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9C6BFD2A-4323-4B25-93BB-49CA7D13E03F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0" i="1" l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R79" i="1"/>
  <c r="S79" i="1"/>
  <c r="T79" i="1"/>
  <c r="U7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S33" i="1" l="1"/>
  <c r="R33" i="1"/>
  <c r="Q33" i="1"/>
  <c r="P33" i="1"/>
  <c r="O33" i="1"/>
  <c r="N33" i="1"/>
  <c r="S32" i="1"/>
  <c r="R32" i="1"/>
  <c r="Q32" i="1"/>
  <c r="P32" i="1"/>
  <c r="O32" i="1"/>
  <c r="N32" i="1"/>
  <c r="S31" i="1"/>
  <c r="R31" i="1"/>
  <c r="Q31" i="1"/>
  <c r="P31" i="1"/>
  <c r="O31" i="1"/>
  <c r="N31" i="1"/>
  <c r="S30" i="1"/>
  <c r="R30" i="1"/>
  <c r="Q30" i="1"/>
  <c r="P30" i="1"/>
  <c r="O30" i="1"/>
  <c r="N30" i="1"/>
  <c r="S29" i="1"/>
  <c r="R29" i="1"/>
  <c r="Q29" i="1"/>
  <c r="P29" i="1"/>
  <c r="O29" i="1"/>
  <c r="N29" i="1"/>
  <c r="S28" i="1"/>
  <c r="R28" i="1"/>
  <c r="Q28" i="1"/>
  <c r="P28" i="1"/>
  <c r="O28" i="1"/>
  <c r="N28" i="1"/>
  <c r="S27" i="1"/>
  <c r="R27" i="1"/>
  <c r="Q27" i="1"/>
  <c r="P27" i="1"/>
  <c r="O27" i="1"/>
  <c r="N27" i="1"/>
  <c r="S26" i="1"/>
  <c r="R26" i="1"/>
  <c r="Q26" i="1"/>
  <c r="P26" i="1"/>
  <c r="O26" i="1"/>
  <c r="N26" i="1"/>
  <c r="S25" i="1"/>
  <c r="R25" i="1"/>
  <c r="Q25" i="1"/>
  <c r="P25" i="1"/>
  <c r="O25" i="1"/>
  <c r="N25" i="1"/>
  <c r="S24" i="1"/>
  <c r="R24" i="1"/>
  <c r="Q24" i="1"/>
  <c r="P24" i="1"/>
  <c r="O24" i="1"/>
  <c r="N24" i="1"/>
  <c r="S23" i="1"/>
  <c r="R23" i="1"/>
  <c r="Q23" i="1"/>
  <c r="P23" i="1"/>
  <c r="O23" i="1"/>
  <c r="N23" i="1"/>
  <c r="S22" i="1"/>
  <c r="R22" i="1"/>
  <c r="Q22" i="1"/>
  <c r="P22" i="1"/>
  <c r="O22" i="1"/>
  <c r="N22" i="1"/>
  <c r="S21" i="1"/>
  <c r="R21" i="1"/>
  <c r="Q21" i="1"/>
  <c r="P21" i="1"/>
  <c r="O21" i="1"/>
  <c r="N21" i="1"/>
  <c r="S20" i="1"/>
  <c r="R20" i="1"/>
  <c r="Q20" i="1"/>
  <c r="P20" i="1"/>
  <c r="O20" i="1"/>
  <c r="N20" i="1"/>
  <c r="S19" i="1"/>
  <c r="R19" i="1"/>
  <c r="Q19" i="1"/>
  <c r="P19" i="1"/>
  <c r="O19" i="1"/>
  <c r="N19" i="1"/>
  <c r="S18" i="1"/>
  <c r="R18" i="1"/>
  <c r="Q18" i="1"/>
  <c r="P18" i="1"/>
  <c r="O18" i="1"/>
  <c r="N18" i="1"/>
  <c r="S17" i="1"/>
  <c r="R17" i="1"/>
  <c r="Q17" i="1"/>
  <c r="P17" i="1"/>
  <c r="O17" i="1"/>
  <c r="N17" i="1"/>
  <c r="S16" i="1"/>
  <c r="R16" i="1"/>
  <c r="Q16" i="1"/>
  <c r="P16" i="1"/>
  <c r="S15" i="1"/>
  <c r="R15" i="1"/>
  <c r="Q15" i="1"/>
  <c r="P15" i="1"/>
  <c r="S14" i="1"/>
  <c r="R14" i="1"/>
  <c r="Q14" i="1"/>
  <c r="P14" i="1"/>
  <c r="S13" i="1"/>
  <c r="R13" i="1"/>
  <c r="Q13" i="1"/>
  <c r="P13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S8" i="1"/>
  <c r="R8" i="1"/>
  <c r="Q8" i="1"/>
  <c r="P8" i="1"/>
  <c r="S7" i="1"/>
  <c r="R7" i="1"/>
  <c r="Q7" i="1"/>
  <c r="P7" i="1"/>
  <c r="S6" i="1"/>
  <c r="R6" i="1"/>
  <c r="Q6" i="1"/>
  <c r="P6" i="1"/>
  <c r="S5" i="1"/>
  <c r="R5" i="1"/>
  <c r="Q5" i="1"/>
  <c r="P5" i="1"/>
  <c r="O5" i="1"/>
  <c r="N5" i="1"/>
  <c r="S4" i="1"/>
  <c r="R4" i="1"/>
  <c r="Q4" i="1"/>
  <c r="P4" i="1"/>
  <c r="O4" i="1"/>
  <c r="N4" i="1"/>
  <c r="S3" i="1"/>
  <c r="R3" i="1"/>
  <c r="Q3" i="1"/>
  <c r="P3" i="1"/>
  <c r="O3" i="1"/>
  <c r="N3" i="1"/>
  <c r="S2" i="1"/>
  <c r="R2" i="1"/>
  <c r="Q2" i="1"/>
  <c r="P2" i="1"/>
  <c r="O2" i="1"/>
  <c r="N2" i="1"/>
  <c r="S65" i="1"/>
  <c r="R65" i="1"/>
  <c r="Q65" i="1"/>
  <c r="P65" i="1"/>
  <c r="O65" i="1"/>
  <c r="N65" i="1"/>
  <c r="S64" i="1"/>
  <c r="R64" i="1"/>
  <c r="Q64" i="1"/>
  <c r="P64" i="1"/>
  <c r="O64" i="1"/>
  <c r="N64" i="1"/>
  <c r="S63" i="1"/>
  <c r="R63" i="1"/>
  <c r="Q63" i="1"/>
  <c r="P63" i="1"/>
  <c r="O63" i="1"/>
  <c r="N63" i="1"/>
  <c r="S62" i="1"/>
  <c r="R62" i="1"/>
  <c r="Q62" i="1"/>
  <c r="P62" i="1"/>
  <c r="O62" i="1"/>
  <c r="N62" i="1"/>
  <c r="S61" i="1"/>
  <c r="R61" i="1"/>
  <c r="Q61" i="1"/>
  <c r="P61" i="1"/>
  <c r="O61" i="1"/>
  <c r="N61" i="1"/>
  <c r="S60" i="1"/>
  <c r="R60" i="1"/>
  <c r="Q60" i="1"/>
  <c r="P60" i="1"/>
  <c r="O60" i="1"/>
  <c r="N60" i="1"/>
  <c r="S59" i="1"/>
  <c r="R59" i="1"/>
  <c r="Q59" i="1"/>
  <c r="P59" i="1"/>
  <c r="O59" i="1"/>
  <c r="N59" i="1"/>
  <c r="S58" i="1"/>
  <c r="R58" i="1"/>
  <c r="Q58" i="1"/>
  <c r="P58" i="1"/>
  <c r="O58" i="1"/>
  <c r="N58" i="1"/>
  <c r="S57" i="1"/>
  <c r="R57" i="1"/>
  <c r="Q57" i="1"/>
  <c r="P57" i="1"/>
  <c r="O57" i="1"/>
  <c r="N57" i="1"/>
  <c r="S56" i="1"/>
  <c r="R56" i="1"/>
  <c r="Q56" i="1"/>
  <c r="P56" i="1"/>
  <c r="O56" i="1"/>
  <c r="N56" i="1"/>
  <c r="S55" i="1"/>
  <c r="R55" i="1"/>
  <c r="Q55" i="1"/>
  <c r="P55" i="1"/>
  <c r="O55" i="1"/>
  <c r="N55" i="1"/>
  <c r="S54" i="1"/>
  <c r="R54" i="1"/>
  <c r="Q54" i="1"/>
  <c r="P54" i="1"/>
  <c r="O54" i="1"/>
  <c r="N54" i="1"/>
  <c r="S53" i="1"/>
  <c r="R53" i="1"/>
  <c r="Q53" i="1"/>
  <c r="P53" i="1"/>
  <c r="O53" i="1"/>
  <c r="N53" i="1"/>
  <c r="S52" i="1"/>
  <c r="R52" i="1"/>
  <c r="Q52" i="1"/>
  <c r="P52" i="1"/>
  <c r="O52" i="1"/>
  <c r="N52" i="1"/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U64" i="1"/>
  <c r="T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U52" i="1"/>
  <c r="T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AE20" i="1"/>
  <c r="AE2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Q70" i="1"/>
  <c r="Q71" i="1"/>
  <c r="Q72" i="1"/>
  <c r="Q73" i="1"/>
  <c r="Q74" i="1"/>
  <c r="Q75" i="1"/>
  <c r="Q76" i="1"/>
  <c r="Q77" i="1"/>
  <c r="Q78" i="1"/>
  <c r="Q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S982" i="1"/>
  <c r="T982" i="1"/>
  <c r="U982" i="1"/>
  <c r="N983" i="1"/>
  <c r="O983" i="1"/>
  <c r="P983" i="1"/>
  <c r="Q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AE5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<sst xmlns="http://schemas.openxmlformats.org/spreadsheetml/2006/main" count="17" uniqueCount="16">
  <si>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</si>
  <si>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</si>
  <si>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</si>
  <si>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</si>
  <si>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</si>
  <si>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</si>
  <si>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</si>
  <si>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</si>
  <si>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</si>
  <si>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</si>
  <si>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</si>
  <si>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</si>
  <si>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</si>
  <si>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</si>
  <si>
    <t>#</t>
  </si>
  <si>
    <t>#define HELLC_NULL_ALT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</si>
</sst>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62" activePane="bottomLeft" state="frozen"/>
      <selection pane="bottomLeft" activeCell="V80" sqref="V80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33" si="0">IF(B2&gt;0,"#","")</f>
        <v/>
      </c>
      <c r="O2" t="str">
        <f t="shared" ref="O2:O33" si="1">IF(C2&gt;0,"#","")</f>
        <v/>
      </c>
      <c r="P2" t="str">
        <f t="shared" ref="P2:P33" si="2">IF(D2&gt;0,"#","")</f>
        <v/>
      </c>
      <c r="Q2" t="str">
        <f t="shared" ref="Q2:Q33" si="3">IF(E2&gt;0,"#","")</f>
        <v/>
      </c>
      <c r="R2" t="str">
        <f t="shared" ref="R2:R33" si="4">IF(F2&gt;0,"#","")</f>
        <v/>
      </c>
      <c r="S2" t="str">
        <f t="shared" ref="S2:S33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12</v>
      </c>
      <c r="AD2">
        <f>SUM(X4:AC17)</f>
        <v>6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3120,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12480,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3120,</v>
      </c>
    </row>
    <row r="6" spans="1:31" x14ac:dyDescent="0.2">
      <c r="A6" s="21"/>
      <c r="B6" s="21">
        <v>1</v>
      </c>
      <c r="C6" s="21">
        <v>0</v>
      </c>
      <c r="D6" s="21">
        <v>1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/>
      </c>
      <c r="P6" s="15" t="str">
        <f t="shared" si="2"/>
        <v>#</v>
      </c>
      <c r="Q6" s="15" t="str">
        <f t="shared" si="3"/>
        <v/>
      </c>
      <c r="R6" s="16" t="str">
        <f t="shared" si="4"/>
        <v/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0</v>
      </c>
      <c r="Z6">
        <f t="shared" si="13"/>
        <v>1</v>
      </c>
      <c r="AA6">
        <f t="shared" si="14"/>
        <v>0</v>
      </c>
      <c r="AB6">
        <f t="shared" si="15"/>
        <v>0</v>
      </c>
      <c r="AC6">
        <f t="shared" si="16"/>
        <v>0</v>
      </c>
      <c r="AE6" t="str">
        <f>(E17*128+E16*64+E15*32+E14*16+E13*8+E12*4+E11*2+E10)*256+E9*128+E8*64+E7*32+E6*16+E5*8+E4*4+E3*2+E2&amp;","</f>
        <v>0,</v>
      </c>
    </row>
    <row r="7" spans="1:31" x14ac:dyDescent="0.2">
      <c r="A7" s="21"/>
      <c r="B7" s="21">
        <v>1</v>
      </c>
      <c r="C7" s="21">
        <v>0</v>
      </c>
      <c r="D7" s="21">
        <v>1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/>
      </c>
      <c r="P7" s="7" t="str">
        <f t="shared" si="2"/>
        <v>#</v>
      </c>
      <c r="Q7" s="7" t="str">
        <f t="shared" si="3"/>
        <v/>
      </c>
      <c r="R7" s="17" t="str">
        <f t="shared" si="4"/>
        <v/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0,</v>
      </c>
    </row>
    <row r="8" spans="1:31" x14ac:dyDescent="0.2">
      <c r="A8" s="21"/>
      <c r="B8" s="21">
        <v>0</v>
      </c>
      <c r="C8" s="21">
        <v>1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>#</v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1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1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>#</v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/>
      </c>
      <c r="O10" s="7" t="str">
        <f t="shared" si="1"/>
        <v/>
      </c>
      <c r="P10" s="7" t="str">
        <f t="shared" si="2"/>
        <v/>
      </c>
      <c r="Q10" s="7" t="str">
        <f t="shared" si="3"/>
        <v/>
      </c>
      <c r="R10" s="17" t="str">
        <f t="shared" si="4"/>
        <v/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0</v>
      </c>
      <c r="Y10">
        <f t="shared" si="12"/>
        <v>0</v>
      </c>
      <c r="Z10">
        <f t="shared" si="13"/>
        <v>0</v>
      </c>
      <c r="AA10">
        <f t="shared" si="14"/>
        <v>0</v>
      </c>
      <c r="AB10">
        <f t="shared" si="15"/>
        <v>0</v>
      </c>
      <c r="AC10">
        <f t="shared" si="16"/>
        <v>0</v>
      </c>
    </row>
    <row r="11" spans="1:31" x14ac:dyDescent="0.2">
      <c r="A11" s="21"/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/>
      </c>
      <c r="O11" s="7" t="str">
        <f t="shared" si="1"/>
        <v/>
      </c>
      <c r="P11" s="7" t="str">
        <f t="shared" si="2"/>
        <v/>
      </c>
      <c r="Q11" s="7" t="str">
        <f t="shared" si="3"/>
        <v/>
      </c>
      <c r="R11" s="17" t="str">
        <f t="shared" si="4"/>
        <v/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1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>#</v>
      </c>
      <c r="O12" s="7" t="str">
        <f t="shared" si="1"/>
        <v/>
      </c>
      <c r="P12" s="7" t="str">
        <f t="shared" si="2"/>
        <v>#</v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1</v>
      </c>
      <c r="Y12">
        <f t="shared" si="12"/>
        <v>0</v>
      </c>
      <c r="Z12">
        <f t="shared" si="13"/>
        <v>1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1</v>
      </c>
      <c r="C13" s="21">
        <v>0</v>
      </c>
      <c r="D13" s="21">
        <v>1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>#</v>
      </c>
      <c r="O13" s="7" t="str">
        <f t="shared" si="1"/>
        <v/>
      </c>
      <c r="P13" s="7" t="str">
        <f t="shared" si="2"/>
        <v>#</v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0</v>
      </c>
      <c r="C14" s="21">
        <v>1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/>
      </c>
      <c r="O14" s="7" t="str">
        <f t="shared" si="1"/>
        <v>#</v>
      </c>
      <c r="P14" s="7" t="str">
        <f t="shared" si="2"/>
        <v/>
      </c>
      <c r="Q14" s="7" t="str">
        <f t="shared" si="3"/>
        <v/>
      </c>
      <c r="R14" s="17" t="str">
        <f t="shared" si="4"/>
        <v/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0</v>
      </c>
      <c r="Y14">
        <f t="shared" si="12"/>
        <v>1</v>
      </c>
      <c r="Z14">
        <f t="shared" si="13"/>
        <v>0</v>
      </c>
      <c r="AA14">
        <f t="shared" si="14"/>
        <v>0</v>
      </c>
      <c r="AB14">
        <f t="shared" si="15"/>
        <v>0</v>
      </c>
      <c r="AC14">
        <f t="shared" si="16"/>
        <v>0</v>
      </c>
    </row>
    <row r="15" spans="1:31" ht="13.5" thickBot="1" x14ac:dyDescent="0.25">
      <c r="A15" s="21"/>
      <c r="B15" s="21">
        <v>0</v>
      </c>
      <c r="C15" s="21">
        <v>1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/>
      </c>
      <c r="O15" s="19" t="str">
        <f t="shared" si="1"/>
        <v>#</v>
      </c>
      <c r="P15" s="19" t="str">
        <f t="shared" si="2"/>
        <v/>
      </c>
      <c r="Q15" s="19" t="str">
        <f t="shared" si="3"/>
        <v/>
      </c>
      <c r="R15" s="20" t="str">
        <f t="shared" si="4"/>
        <v/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s="2" t="str">
        <f t="shared" ref="T18:T81" si="17">IF(H18&gt;0,"#","")</f>
        <v/>
      </c>
      <c r="U18" s="2" t="str">
        <f t="shared" ref="U18:U81" si="18">IF(I18&gt;0,"#","")</f>
        <v/>
      </c>
      <c r="V18" t="str">
        <f t="shared" si="8"/>
        <v/>
      </c>
      <c r="W18">
        <f>SUM(B20:G33)</f>
        <v>32</v>
      </c>
      <c r="AD18">
        <f t="shared" ref="AD18" si="19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s="2" t="str">
        <f t="shared" si="17"/>
        <v/>
      </c>
      <c r="U19" s="2" t="str">
        <f t="shared" si="18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0">L19</f>
        <v>_x000B_</v>
      </c>
      <c r="M20">
        <v>3</v>
      </c>
      <c r="N20" s="3" t="str">
        <f t="shared" si="0"/>
        <v/>
      </c>
      <c r="O20" s="4" t="str">
        <f t="shared" si="1"/>
        <v/>
      </c>
      <c r="P20" s="4" t="str">
        <f t="shared" si="2"/>
        <v/>
      </c>
      <c r="Q20" s="4" t="str">
        <f t="shared" si="3"/>
        <v/>
      </c>
      <c r="R20" s="4" t="str">
        <f t="shared" si="4"/>
        <v/>
      </c>
      <c r="S20" s="5" t="str">
        <f t="shared" si="5"/>
        <v/>
      </c>
      <c r="T20" s="2" t="str">
        <f t="shared" si="17"/>
        <v/>
      </c>
      <c r="U20" s="2" t="str">
        <f t="shared" si="18"/>
        <v/>
      </c>
      <c r="V20" t="str">
        <f t="shared" si="8"/>
        <v/>
      </c>
      <c r="X20">
        <f t="shared" ref="X20:X33" si="21">MAX(B20-B19,0)</f>
        <v>0</v>
      </c>
      <c r="Y20">
        <f t="shared" ref="Y20:Y33" si="22">MAX(C20-C19,0)</f>
        <v>0</v>
      </c>
      <c r="Z20">
        <f t="shared" ref="Z20:Z33" si="23">MAX(D20-D19,0)</f>
        <v>0</v>
      </c>
      <c r="AA20">
        <f t="shared" ref="AA20:AA33" si="24">MAX(E20-E19,0)</f>
        <v>0</v>
      </c>
      <c r="AB20">
        <f t="shared" ref="AB20:AB33" si="25">MAX(F20-F19,0)</f>
        <v>0</v>
      </c>
      <c r="AC20">
        <f t="shared" ref="AC20:AC33" si="26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0"/>
        <v>_x000B_</v>
      </c>
      <c r="M21">
        <v>4</v>
      </c>
      <c r="N21" s="6" t="str">
        <f t="shared" si="0"/>
        <v/>
      </c>
      <c r="O21" s="7" t="str">
        <f t="shared" si="1"/>
        <v/>
      </c>
      <c r="P21" s="7" t="str">
        <f t="shared" si="2"/>
        <v/>
      </c>
      <c r="Q21" s="7" t="str">
        <f t="shared" si="3"/>
        <v/>
      </c>
      <c r="R21" s="7" t="str">
        <f t="shared" si="4"/>
        <v/>
      </c>
      <c r="S21" s="8" t="str">
        <f t="shared" si="5"/>
        <v/>
      </c>
      <c r="T21" s="2" t="str">
        <f t="shared" si="17"/>
        <v/>
      </c>
      <c r="U21" s="2" t="str">
        <f t="shared" si="18"/>
        <v/>
      </c>
      <c r="V21" t="str">
        <f t="shared" si="8"/>
        <v/>
      </c>
      <c r="X21">
        <f t="shared" si="21"/>
        <v>0</v>
      </c>
      <c r="Y21">
        <f t="shared" si="22"/>
        <v>0</v>
      </c>
      <c r="Z21">
        <f t="shared" si="23"/>
        <v>0</v>
      </c>
      <c r="AA21">
        <f t="shared" si="24"/>
        <v>0</v>
      </c>
      <c r="AB21">
        <f t="shared" si="25"/>
        <v>0</v>
      </c>
      <c r="AC21">
        <f t="shared" si="26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0"/>
        <v>_x000B_</v>
      </c>
      <c r="M22">
        <v>5</v>
      </c>
      <c r="N22" s="22" t="str">
        <f t="shared" si="0"/>
        <v/>
      </c>
      <c r="O22" s="15" t="str">
        <f t="shared" si="1"/>
        <v>#</v>
      </c>
      <c r="P22" s="15" t="str">
        <f t="shared" si="2"/>
        <v>#</v>
      </c>
      <c r="Q22" s="15" t="str">
        <f t="shared" si="3"/>
        <v>#</v>
      </c>
      <c r="R22" s="16" t="str">
        <f t="shared" si="4"/>
        <v/>
      </c>
      <c r="S22" s="8" t="str">
        <f t="shared" si="5"/>
        <v/>
      </c>
      <c r="T22" s="2" t="str">
        <f t="shared" si="17"/>
        <v/>
      </c>
      <c r="U22" s="2" t="str">
        <f t="shared" si="18"/>
        <v/>
      </c>
      <c r="V22" t="str">
        <f t="shared" si="8"/>
        <v/>
      </c>
      <c r="X22">
        <f t="shared" si="21"/>
        <v>0</v>
      </c>
      <c r="Y22">
        <f t="shared" si="22"/>
        <v>1</v>
      </c>
      <c r="Z22">
        <f t="shared" si="23"/>
        <v>1</v>
      </c>
      <c r="AA22">
        <f t="shared" si="24"/>
        <v>1</v>
      </c>
      <c r="AB22">
        <f t="shared" si="25"/>
        <v>0</v>
      </c>
      <c r="AC22">
        <f t="shared" si="26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0"/>
        <v>_x000B_</v>
      </c>
      <c r="M23">
        <v>6</v>
      </c>
      <c r="N23" s="23" t="str">
        <f t="shared" si="0"/>
        <v/>
      </c>
      <c r="O23" s="7" t="str">
        <f t="shared" si="1"/>
        <v>#</v>
      </c>
      <c r="P23" s="7" t="str">
        <f t="shared" si="2"/>
        <v>#</v>
      </c>
      <c r="Q23" s="7" t="str">
        <f t="shared" si="3"/>
        <v>#</v>
      </c>
      <c r="R23" s="17" t="str">
        <f t="shared" si="4"/>
        <v/>
      </c>
      <c r="S23" s="8" t="str">
        <f t="shared" si="5"/>
        <v/>
      </c>
      <c r="T23" s="2" t="str">
        <f t="shared" si="17"/>
        <v/>
      </c>
      <c r="U23" s="2" t="str">
        <f t="shared" si="18"/>
        <v/>
      </c>
      <c r="V23" t="str">
        <f t="shared" si="8"/>
        <v/>
      </c>
      <c r="X23">
        <f t="shared" si="21"/>
        <v>0</v>
      </c>
      <c r="Y23">
        <f t="shared" si="22"/>
        <v>0</v>
      </c>
      <c r="Z23">
        <f t="shared" si="23"/>
        <v>0</v>
      </c>
      <c r="AA23">
        <f t="shared" si="24"/>
        <v>0</v>
      </c>
      <c r="AB23">
        <f t="shared" si="25"/>
        <v>0</v>
      </c>
      <c r="AC23">
        <f t="shared" si="26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0"/>
        <v>_x000B_</v>
      </c>
      <c r="M24">
        <v>7</v>
      </c>
      <c r="N24" s="23" t="str">
        <f t="shared" si="0"/>
        <v>#</v>
      </c>
      <c r="O24" s="7" t="str">
        <f t="shared" si="1"/>
        <v/>
      </c>
      <c r="P24" s="7" t="str">
        <f t="shared" si="2"/>
        <v/>
      </c>
      <c r="Q24" s="7" t="str">
        <f t="shared" si="3"/>
        <v/>
      </c>
      <c r="R24" s="17" t="str">
        <f t="shared" si="4"/>
        <v>#</v>
      </c>
      <c r="S24" s="8" t="str">
        <f t="shared" si="5"/>
        <v/>
      </c>
      <c r="T24" s="2" t="str">
        <f t="shared" si="17"/>
        <v/>
      </c>
      <c r="U24" s="2" t="str">
        <f t="shared" si="18"/>
        <v/>
      </c>
      <c r="V24" t="str">
        <f t="shared" si="8"/>
        <v/>
      </c>
      <c r="X24">
        <f t="shared" si="21"/>
        <v>1</v>
      </c>
      <c r="Y24">
        <f t="shared" si="22"/>
        <v>0</v>
      </c>
      <c r="Z24">
        <f t="shared" si="23"/>
        <v>0</v>
      </c>
      <c r="AA24">
        <f t="shared" si="24"/>
        <v>0</v>
      </c>
      <c r="AB24">
        <f t="shared" si="25"/>
        <v>1</v>
      </c>
      <c r="AC24">
        <f t="shared" si="26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0"/>
        <v>_x000B_</v>
      </c>
      <c r="M25">
        <v>8</v>
      </c>
      <c r="N25" s="23" t="str">
        <f t="shared" si="0"/>
        <v>#</v>
      </c>
      <c r="O25" s="7" t="str">
        <f t="shared" si="1"/>
        <v/>
      </c>
      <c r="P25" s="7" t="str">
        <f t="shared" si="2"/>
        <v/>
      </c>
      <c r="Q25" s="7" t="str">
        <f t="shared" si="3"/>
        <v/>
      </c>
      <c r="R25" s="17" t="str">
        <f t="shared" si="4"/>
        <v>#</v>
      </c>
      <c r="S25" s="8" t="str">
        <f t="shared" si="5"/>
        <v/>
      </c>
      <c r="T25" s="2" t="str">
        <f t="shared" si="17"/>
        <v/>
      </c>
      <c r="U25" s="2" t="str">
        <f t="shared" si="18"/>
        <v/>
      </c>
      <c r="V25" t="str">
        <f t="shared" si="8"/>
        <v/>
      </c>
      <c r="X25">
        <f t="shared" si="21"/>
        <v>0</v>
      </c>
      <c r="Y25">
        <f t="shared" si="22"/>
        <v>0</v>
      </c>
      <c r="Z25">
        <f t="shared" si="23"/>
        <v>0</v>
      </c>
      <c r="AA25">
        <f t="shared" si="24"/>
        <v>0</v>
      </c>
      <c r="AB25">
        <f t="shared" si="25"/>
        <v>0</v>
      </c>
      <c r="AC25">
        <f t="shared" si="26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0"/>
        <v>_x000B_</v>
      </c>
      <c r="M26">
        <v>9</v>
      </c>
      <c r="N26" s="23" t="str">
        <f t="shared" si="0"/>
        <v>#</v>
      </c>
      <c r="O26" s="7" t="str">
        <f t="shared" si="1"/>
        <v>#</v>
      </c>
      <c r="P26" s="7" t="str">
        <f t="shared" si="2"/>
        <v>#</v>
      </c>
      <c r="Q26" s="7" t="str">
        <f t="shared" si="3"/>
        <v>#</v>
      </c>
      <c r="R26" s="17" t="str">
        <f t="shared" si="4"/>
        <v>#</v>
      </c>
      <c r="S26" s="8" t="str">
        <f t="shared" si="5"/>
        <v/>
      </c>
      <c r="T26" s="2" t="str">
        <f t="shared" si="17"/>
        <v/>
      </c>
      <c r="U26" s="2" t="str">
        <f t="shared" si="18"/>
        <v/>
      </c>
      <c r="V26" t="str">
        <f t="shared" si="8"/>
        <v/>
      </c>
      <c r="X26">
        <f t="shared" si="21"/>
        <v>0</v>
      </c>
      <c r="Y26">
        <f t="shared" si="22"/>
        <v>1</v>
      </c>
      <c r="Z26">
        <f t="shared" si="23"/>
        <v>1</v>
      </c>
      <c r="AA26">
        <f t="shared" si="24"/>
        <v>1</v>
      </c>
      <c r="AB26">
        <f t="shared" si="25"/>
        <v>0</v>
      </c>
      <c r="AC26">
        <f t="shared" si="26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0"/>
        <v>_x000B_</v>
      </c>
      <c r="M27">
        <v>10</v>
      </c>
      <c r="N27" s="23" t="str">
        <f t="shared" si="0"/>
        <v>#</v>
      </c>
      <c r="O27" s="7" t="str">
        <f t="shared" si="1"/>
        <v>#</v>
      </c>
      <c r="P27" s="7" t="str">
        <f t="shared" si="2"/>
        <v>#</v>
      </c>
      <c r="Q27" s="7" t="str">
        <f t="shared" si="3"/>
        <v>#</v>
      </c>
      <c r="R27" s="17" t="str">
        <f t="shared" si="4"/>
        <v>#</v>
      </c>
      <c r="S27" s="8" t="str">
        <f t="shared" si="5"/>
        <v/>
      </c>
      <c r="T27" s="2" t="str">
        <f t="shared" si="17"/>
        <v/>
      </c>
      <c r="U27" s="2" t="str">
        <f t="shared" si="18"/>
        <v/>
      </c>
      <c r="V27" t="str">
        <f t="shared" si="8"/>
        <v/>
      </c>
      <c r="X27">
        <f t="shared" si="21"/>
        <v>0</v>
      </c>
      <c r="Y27">
        <f t="shared" si="22"/>
        <v>0</v>
      </c>
      <c r="Z27">
        <f t="shared" si="23"/>
        <v>0</v>
      </c>
      <c r="AA27">
        <f t="shared" si="24"/>
        <v>0</v>
      </c>
      <c r="AB27">
        <f t="shared" si="25"/>
        <v>0</v>
      </c>
      <c r="AC27">
        <f t="shared" si="26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0"/>
        <v>_x000B_</v>
      </c>
      <c r="M28">
        <v>11</v>
      </c>
      <c r="N28" s="23" t="str">
        <f t="shared" si="0"/>
        <v/>
      </c>
      <c r="O28" s="7" t="str">
        <f t="shared" si="1"/>
        <v>#</v>
      </c>
      <c r="P28" s="7" t="str">
        <f t="shared" si="2"/>
        <v/>
      </c>
      <c r="Q28" s="7" t="str">
        <f t="shared" si="3"/>
        <v>#</v>
      </c>
      <c r="R28" s="17" t="str">
        <f t="shared" si="4"/>
        <v/>
      </c>
      <c r="S28" s="8" t="str">
        <f t="shared" si="5"/>
        <v/>
      </c>
      <c r="T28" s="2" t="str">
        <f t="shared" si="17"/>
        <v/>
      </c>
      <c r="U28" s="2" t="str">
        <f t="shared" si="18"/>
        <v/>
      </c>
      <c r="V28" t="str">
        <f t="shared" si="8"/>
        <v/>
      </c>
      <c r="X28">
        <f t="shared" si="21"/>
        <v>0</v>
      </c>
      <c r="Y28">
        <f t="shared" si="22"/>
        <v>0</v>
      </c>
      <c r="Z28">
        <f t="shared" si="23"/>
        <v>0</v>
      </c>
      <c r="AA28">
        <f t="shared" si="24"/>
        <v>0</v>
      </c>
      <c r="AB28">
        <f t="shared" si="25"/>
        <v>0</v>
      </c>
      <c r="AC28">
        <f t="shared" si="26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0"/>
        <v>_x000B_</v>
      </c>
      <c r="M29">
        <v>12</v>
      </c>
      <c r="N29" s="23" t="str">
        <f t="shared" si="0"/>
        <v/>
      </c>
      <c r="O29" s="7" t="str">
        <f t="shared" si="1"/>
        <v>#</v>
      </c>
      <c r="P29" s="7" t="str">
        <f t="shared" si="2"/>
        <v/>
      </c>
      <c r="Q29" s="7" t="str">
        <f t="shared" si="3"/>
        <v>#</v>
      </c>
      <c r="R29" s="17" t="str">
        <f t="shared" si="4"/>
        <v/>
      </c>
      <c r="S29" s="8" t="str">
        <f t="shared" si="5"/>
        <v/>
      </c>
      <c r="T29" s="2" t="str">
        <f t="shared" si="17"/>
        <v/>
      </c>
      <c r="U29" s="2" t="str">
        <f t="shared" si="18"/>
        <v/>
      </c>
      <c r="V29" t="str">
        <f t="shared" si="8"/>
        <v/>
      </c>
      <c r="X29">
        <f t="shared" si="21"/>
        <v>0</v>
      </c>
      <c r="Y29">
        <f t="shared" si="22"/>
        <v>0</v>
      </c>
      <c r="Z29">
        <f t="shared" si="23"/>
        <v>0</v>
      </c>
      <c r="AA29">
        <f t="shared" si="24"/>
        <v>0</v>
      </c>
      <c r="AB29">
        <f t="shared" si="25"/>
        <v>0</v>
      </c>
      <c r="AC29">
        <f t="shared" si="26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0"/>
        <v>_x000B_</v>
      </c>
      <c r="M30">
        <v>13</v>
      </c>
      <c r="N30" s="6" t="str">
        <f t="shared" si="0"/>
        <v>#</v>
      </c>
      <c r="O30" s="7" t="str">
        <f t="shared" si="1"/>
        <v>#</v>
      </c>
      <c r="P30" s="7" t="str">
        <f t="shared" si="2"/>
        <v/>
      </c>
      <c r="Q30" s="7" t="str">
        <f t="shared" si="3"/>
        <v>#</v>
      </c>
      <c r="R30" s="17" t="str">
        <f t="shared" si="4"/>
        <v>#</v>
      </c>
      <c r="S30" s="8" t="str">
        <f t="shared" si="5"/>
        <v/>
      </c>
      <c r="T30" s="2" t="str">
        <f t="shared" si="17"/>
        <v/>
      </c>
      <c r="U30" s="2" t="str">
        <f t="shared" si="18"/>
        <v/>
      </c>
      <c r="V30" t="str">
        <f t="shared" si="8"/>
        <v/>
      </c>
      <c r="X30">
        <f t="shared" si="21"/>
        <v>1</v>
      </c>
      <c r="Y30">
        <f t="shared" si="22"/>
        <v>0</v>
      </c>
      <c r="Z30">
        <f t="shared" si="23"/>
        <v>0</v>
      </c>
      <c r="AA30">
        <f t="shared" si="24"/>
        <v>0</v>
      </c>
      <c r="AB30">
        <f t="shared" si="25"/>
        <v>1</v>
      </c>
      <c r="AC30">
        <f t="shared" si="26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0"/>
        <v>_x000B_</v>
      </c>
      <c r="M31">
        <v>14</v>
      </c>
      <c r="N31" s="18" t="str">
        <f t="shared" si="0"/>
        <v>#</v>
      </c>
      <c r="O31" s="19" t="str">
        <f t="shared" si="1"/>
        <v>#</v>
      </c>
      <c r="P31" s="19" t="str">
        <f t="shared" si="2"/>
        <v/>
      </c>
      <c r="Q31" s="19" t="str">
        <f t="shared" si="3"/>
        <v>#</v>
      </c>
      <c r="R31" s="20" t="str">
        <f t="shared" si="4"/>
        <v>#</v>
      </c>
      <c r="S31" s="8" t="str">
        <f t="shared" si="5"/>
        <v/>
      </c>
      <c r="T31" s="2" t="str">
        <f t="shared" si="17"/>
        <v/>
      </c>
      <c r="U31" s="2" t="str">
        <f t="shared" si="18"/>
        <v/>
      </c>
      <c r="V31" t="str">
        <f t="shared" si="8"/>
        <v/>
      </c>
      <c r="X31">
        <f t="shared" si="21"/>
        <v>0</v>
      </c>
      <c r="Y31">
        <f t="shared" si="22"/>
        <v>0</v>
      </c>
      <c r="Z31">
        <f t="shared" si="23"/>
        <v>0</v>
      </c>
      <c r="AA31">
        <f t="shared" si="24"/>
        <v>0</v>
      </c>
      <c r="AB31">
        <f t="shared" si="25"/>
        <v>0</v>
      </c>
      <c r="AC31">
        <f t="shared" si="26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0"/>
        <v>_x000B_</v>
      </c>
      <c r="M32">
        <v>15</v>
      </c>
      <c r="N32" s="9" t="str">
        <f t="shared" si="0"/>
        <v/>
      </c>
      <c r="O32" s="10" t="str">
        <f t="shared" si="1"/>
        <v/>
      </c>
      <c r="P32" s="10" t="str">
        <f t="shared" si="2"/>
        <v/>
      </c>
      <c r="Q32" s="10" t="str">
        <f t="shared" si="3"/>
        <v/>
      </c>
      <c r="R32" s="10" t="str">
        <f t="shared" si="4"/>
        <v/>
      </c>
      <c r="S32" s="11" t="str">
        <f t="shared" si="5"/>
        <v/>
      </c>
      <c r="T32" s="2" t="str">
        <f t="shared" si="17"/>
        <v/>
      </c>
      <c r="U32" s="2" t="str">
        <f t="shared" si="18"/>
        <v/>
      </c>
      <c r="V32" t="str">
        <f t="shared" si="8"/>
        <v/>
      </c>
      <c r="X32">
        <f t="shared" si="21"/>
        <v>0</v>
      </c>
      <c r="Y32">
        <f t="shared" si="22"/>
        <v>0</v>
      </c>
      <c r="Z32">
        <f t="shared" si="23"/>
        <v>0</v>
      </c>
      <c r="AA32">
        <f t="shared" si="24"/>
        <v>0</v>
      </c>
      <c r="AB32">
        <f t="shared" si="25"/>
        <v>0</v>
      </c>
      <c r="AC32">
        <f t="shared" si="26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0"/>
        <v>_x000B_</v>
      </c>
      <c r="M33">
        <v>16</v>
      </c>
      <c r="N33" s="12" t="str">
        <f t="shared" si="0"/>
        <v/>
      </c>
      <c r="O33" s="13" t="str">
        <f t="shared" si="1"/>
        <v/>
      </c>
      <c r="P33" s="13" t="str">
        <f t="shared" si="2"/>
        <v/>
      </c>
      <c r="Q33" s="13" t="str">
        <f t="shared" si="3"/>
        <v/>
      </c>
      <c r="R33" s="13" t="str">
        <f t="shared" si="4"/>
        <v/>
      </c>
      <c r="S33" s="14" t="str">
        <f t="shared" si="5"/>
        <v/>
      </c>
      <c r="T33" s="2" t="str">
        <f t="shared" si="17"/>
        <v/>
      </c>
      <c r="U33" s="2" t="str">
        <f t="shared" si="18"/>
        <v/>
      </c>
      <c r="V33" t="str">
        <f t="shared" si="8"/>
        <v/>
      </c>
      <c r="X33">
        <f t="shared" si="21"/>
        <v>0</v>
      </c>
      <c r="Y33">
        <f t="shared" si="22"/>
        <v>0</v>
      </c>
      <c r="Z33">
        <f t="shared" si="23"/>
        <v>0</v>
      </c>
      <c r="AA33">
        <f t="shared" si="24"/>
        <v>0</v>
      </c>
      <c r="AB33">
        <f t="shared" si="25"/>
        <v>0</v>
      </c>
      <c r="AC33">
        <f t="shared" si="26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ref="N34:N81" si="27">IF(B34&gt;0,"#","")</f>
        <v/>
      </c>
      <c r="O34" t="str">
        <f t="shared" ref="O34:O81" si="28">IF(C34&gt;0,"#","")</f>
        <v/>
      </c>
      <c r="P34" t="str">
        <f t="shared" ref="P34:P81" si="29">IF(D34&gt;0,"#","")</f>
        <v/>
      </c>
      <c r="Q34" t="str">
        <f t="shared" ref="Q34:Q81" si="30">IF(E34&gt;0,"#","")</f>
        <v/>
      </c>
      <c r="R34" t="str">
        <f t="shared" ref="R34:R81" si="31">IF(F34&gt;0,"#","")</f>
        <v/>
      </c>
      <c r="S34" t="str">
        <f t="shared" ref="S34:S81" si="32">IF(G34&gt;0,"#","")</f>
        <v/>
      </c>
      <c r="T34" s="2" t="str">
        <f t="shared" si="17"/>
        <v/>
      </c>
      <c r="U34" s="2" t="str">
        <f t="shared" si="18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27"/>
        <v/>
      </c>
      <c r="O35" t="str">
        <f t="shared" si="28"/>
        <v/>
      </c>
      <c r="P35" t="str">
        <f t="shared" si="29"/>
        <v/>
      </c>
      <c r="Q35" t="str">
        <f t="shared" si="30"/>
        <v/>
      </c>
      <c r="R35" t="str">
        <f t="shared" si="31"/>
        <v/>
      </c>
      <c r="S35" t="str">
        <f t="shared" si="32"/>
        <v/>
      </c>
      <c r="T35" s="2" t="str">
        <f t="shared" si="17"/>
        <v/>
      </c>
      <c r="U35" s="2" t="str">
        <f t="shared" si="18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27"/>
        <v/>
      </c>
      <c r="O36" s="4" t="str">
        <f t="shared" si="28"/>
        <v/>
      </c>
      <c r="P36" s="4" t="str">
        <f t="shared" si="29"/>
        <v/>
      </c>
      <c r="Q36" s="4" t="str">
        <f t="shared" si="30"/>
        <v/>
      </c>
      <c r="R36" s="4" t="str">
        <f t="shared" si="31"/>
        <v/>
      </c>
      <c r="S36" s="5" t="str">
        <f t="shared" si="32"/>
        <v/>
      </c>
      <c r="T36" s="2" t="str">
        <f t="shared" si="17"/>
        <v/>
      </c>
      <c r="U36" s="2" t="str">
        <f t="shared" si="18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27"/>
        <v/>
      </c>
      <c r="O37" s="7" t="str">
        <f t="shared" si="28"/>
        <v/>
      </c>
      <c r="P37" s="7" t="str">
        <f t="shared" si="29"/>
        <v/>
      </c>
      <c r="Q37" s="7" t="str">
        <f t="shared" si="30"/>
        <v/>
      </c>
      <c r="R37" s="7" t="str">
        <f t="shared" si="31"/>
        <v/>
      </c>
      <c r="S37" s="8" t="str">
        <f t="shared" si="32"/>
        <v/>
      </c>
      <c r="T37" s="2" t="str">
        <f t="shared" si="17"/>
        <v/>
      </c>
      <c r="U37" s="2" t="str">
        <f t="shared" si="18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27"/>
        <v/>
      </c>
      <c r="O38" s="15" t="str">
        <f t="shared" si="28"/>
        <v>#</v>
      </c>
      <c r="P38" s="15" t="str">
        <f t="shared" si="29"/>
        <v>#</v>
      </c>
      <c r="Q38" s="15" t="str">
        <f t="shared" si="30"/>
        <v>#</v>
      </c>
      <c r="R38" s="16" t="str">
        <f t="shared" si="31"/>
        <v/>
      </c>
      <c r="S38" s="8" t="str">
        <f t="shared" si="32"/>
        <v/>
      </c>
      <c r="T38" s="2" t="str">
        <f t="shared" si="17"/>
        <v/>
      </c>
      <c r="U38" s="2" t="str">
        <f t="shared" si="18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27"/>
        <v/>
      </c>
      <c r="O39" s="7" t="str">
        <f t="shared" si="28"/>
        <v>#</v>
      </c>
      <c r="P39" s="7" t="str">
        <f t="shared" si="29"/>
        <v>#</v>
      </c>
      <c r="Q39" s="7" t="str">
        <f t="shared" si="30"/>
        <v>#</v>
      </c>
      <c r="R39" s="17" t="str">
        <f t="shared" si="31"/>
        <v/>
      </c>
      <c r="S39" s="8" t="str">
        <f t="shared" si="32"/>
        <v/>
      </c>
      <c r="T39" s="2" t="str">
        <f t="shared" si="17"/>
        <v/>
      </c>
      <c r="U39" s="2" t="str">
        <f t="shared" si="18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27"/>
        <v/>
      </c>
      <c r="O40" s="7" t="str">
        <f t="shared" si="28"/>
        <v/>
      </c>
      <c r="P40" s="7" t="str">
        <f t="shared" si="29"/>
        <v>#</v>
      </c>
      <c r="Q40" s="7" t="str">
        <f t="shared" si="30"/>
        <v/>
      </c>
      <c r="R40" s="17" t="str">
        <f t="shared" si="31"/>
        <v/>
      </c>
      <c r="S40" s="8" t="str">
        <f t="shared" si="32"/>
        <v/>
      </c>
      <c r="T40" s="2" t="str">
        <f t="shared" si="17"/>
        <v/>
      </c>
      <c r="U40" s="2" t="str">
        <f t="shared" si="18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27"/>
        <v>#</v>
      </c>
      <c r="O41" s="7" t="str">
        <f t="shared" si="28"/>
        <v/>
      </c>
      <c r="P41" s="7" t="str">
        <f t="shared" si="29"/>
        <v>#</v>
      </c>
      <c r="Q41" s="7" t="str">
        <f t="shared" si="30"/>
        <v/>
      </c>
      <c r="R41" s="17" t="str">
        <f t="shared" si="31"/>
        <v>#</v>
      </c>
      <c r="S41" s="8" t="str">
        <f t="shared" si="32"/>
        <v/>
      </c>
      <c r="T41" s="2" t="str">
        <f t="shared" si="17"/>
        <v/>
      </c>
      <c r="U41" s="2" t="str">
        <f t="shared" si="18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27"/>
        <v>#</v>
      </c>
      <c r="O42" s="7" t="str">
        <f t="shared" si="28"/>
        <v>#</v>
      </c>
      <c r="P42" s="7" t="str">
        <f t="shared" si="29"/>
        <v>#</v>
      </c>
      <c r="Q42" s="7" t="str">
        <f t="shared" si="30"/>
        <v>#</v>
      </c>
      <c r="R42" s="17" t="str">
        <f t="shared" si="31"/>
        <v>#</v>
      </c>
      <c r="S42" s="8" t="str">
        <f t="shared" si="32"/>
        <v/>
      </c>
      <c r="T42" s="2" t="str">
        <f t="shared" si="17"/>
        <v/>
      </c>
      <c r="U42" s="2" t="str">
        <f t="shared" si="18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27"/>
        <v>#</v>
      </c>
      <c r="O43" s="7" t="str">
        <f t="shared" si="28"/>
        <v>#</v>
      </c>
      <c r="P43" s="7" t="str">
        <f t="shared" si="29"/>
        <v>#</v>
      </c>
      <c r="Q43" s="7" t="str">
        <f t="shared" si="30"/>
        <v>#</v>
      </c>
      <c r="R43" s="17" t="str">
        <f t="shared" si="31"/>
        <v>#</v>
      </c>
      <c r="S43" s="8" t="str">
        <f t="shared" si="32"/>
        <v/>
      </c>
      <c r="T43" s="2" t="str">
        <f t="shared" si="17"/>
        <v/>
      </c>
      <c r="U43" s="2" t="str">
        <f t="shared" si="18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27"/>
        <v>#</v>
      </c>
      <c r="O44" s="7" t="str">
        <f t="shared" si="28"/>
        <v/>
      </c>
      <c r="P44" s="7" t="str">
        <f t="shared" si="29"/>
        <v>#</v>
      </c>
      <c r="Q44" s="7" t="str">
        <f t="shared" si="30"/>
        <v/>
      </c>
      <c r="R44" s="17" t="str">
        <f t="shared" si="31"/>
        <v>#</v>
      </c>
      <c r="S44" s="8" t="str">
        <f t="shared" si="32"/>
        <v/>
      </c>
      <c r="T44" s="2" t="str">
        <f t="shared" si="17"/>
        <v/>
      </c>
      <c r="U44" s="2" t="str">
        <f t="shared" si="18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27"/>
        <v/>
      </c>
      <c r="O45" s="7" t="str">
        <f t="shared" si="28"/>
        <v/>
      </c>
      <c r="P45" s="7" t="str">
        <f t="shared" si="29"/>
        <v>#</v>
      </c>
      <c r="Q45" s="7" t="str">
        <f t="shared" si="30"/>
        <v/>
      </c>
      <c r="R45" s="17" t="str">
        <f t="shared" si="31"/>
        <v/>
      </c>
      <c r="S45" s="8" t="str">
        <f t="shared" si="32"/>
        <v/>
      </c>
      <c r="T45" s="2" t="str">
        <f t="shared" si="17"/>
        <v/>
      </c>
      <c r="U45" s="2" t="str">
        <f t="shared" si="18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27"/>
        <v/>
      </c>
      <c r="O46" s="7" t="str">
        <f t="shared" si="28"/>
        <v>#</v>
      </c>
      <c r="P46" s="7" t="str">
        <f t="shared" si="29"/>
        <v>#</v>
      </c>
      <c r="Q46" s="7" t="str">
        <f t="shared" si="30"/>
        <v>#</v>
      </c>
      <c r="R46" s="17" t="str">
        <f t="shared" si="31"/>
        <v/>
      </c>
      <c r="S46" s="8" t="str">
        <f t="shared" si="32"/>
        <v/>
      </c>
      <c r="T46" s="2" t="str">
        <f t="shared" si="17"/>
        <v/>
      </c>
      <c r="U46" s="2" t="str">
        <f t="shared" si="18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27"/>
        <v/>
      </c>
      <c r="O47" s="19" t="str">
        <f t="shared" si="28"/>
        <v>#</v>
      </c>
      <c r="P47" s="19" t="str">
        <f t="shared" si="29"/>
        <v>#</v>
      </c>
      <c r="Q47" s="19" t="str">
        <f t="shared" si="30"/>
        <v>#</v>
      </c>
      <c r="R47" s="20" t="str">
        <f t="shared" si="31"/>
        <v/>
      </c>
      <c r="S47" s="8" t="str">
        <f t="shared" si="32"/>
        <v/>
      </c>
      <c r="T47" s="2" t="str">
        <f t="shared" si="17"/>
        <v/>
      </c>
      <c r="U47" s="2" t="str">
        <f t="shared" si="18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27"/>
        <v/>
      </c>
      <c r="O48" s="10" t="str">
        <f t="shared" si="28"/>
        <v/>
      </c>
      <c r="P48" s="10" t="str">
        <f t="shared" si="29"/>
        <v/>
      </c>
      <c r="Q48" s="10" t="str">
        <f t="shared" si="30"/>
        <v/>
      </c>
      <c r="R48" s="10" t="str">
        <f t="shared" si="31"/>
        <v/>
      </c>
      <c r="S48" s="11" t="str">
        <f t="shared" si="32"/>
        <v/>
      </c>
      <c r="T48" s="2" t="str">
        <f t="shared" si="17"/>
        <v/>
      </c>
      <c r="U48" s="2" t="str">
        <f t="shared" si="18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27"/>
        <v/>
      </c>
      <c r="O49" s="13" t="str">
        <f t="shared" si="28"/>
        <v/>
      </c>
      <c r="P49" s="13" t="str">
        <f t="shared" si="29"/>
        <v/>
      </c>
      <c r="Q49" s="13" t="str">
        <f t="shared" si="30"/>
        <v/>
      </c>
      <c r="R49" s="13" t="str">
        <f t="shared" si="31"/>
        <v/>
      </c>
      <c r="S49" s="14" t="str">
        <f t="shared" si="32"/>
        <v/>
      </c>
      <c r="T49" s="2" t="str">
        <f t="shared" si="17"/>
        <v/>
      </c>
      <c r="U49" s="2" t="str">
        <f t="shared" si="18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27"/>
        <v/>
      </c>
      <c r="O50" t="str">
        <f t="shared" si="28"/>
        <v/>
      </c>
      <c r="P50" t="str">
        <f t="shared" si="29"/>
        <v/>
      </c>
      <c r="Q50" t="str">
        <f t="shared" si="30"/>
        <v/>
      </c>
      <c r="R50" t="str">
        <f t="shared" si="31"/>
        <v/>
      </c>
      <c r="S50" t="str">
        <f t="shared" si="32"/>
        <v/>
      </c>
      <c r="T50" s="2" t="str">
        <f t="shared" si="17"/>
        <v/>
      </c>
      <c r="U50" s="2" t="str">
        <f t="shared" si="18"/>
        <v/>
      </c>
      <c r="V50" t="str">
        <f t="shared" si="8"/>
        <v/>
      </c>
      <c r="W50">
        <f>SUM(B52:G65)</f>
        <v>10</v>
      </c>
      <c r="AD50">
        <f t="shared" ref="AD50" si="41">SUM(X52:AC65)</f>
        <v>4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27"/>
        <v/>
      </c>
      <c r="O51" t="str">
        <f t="shared" si="28"/>
        <v/>
      </c>
      <c r="P51" t="str">
        <f t="shared" si="29"/>
        <v/>
      </c>
      <c r="Q51" t="str">
        <f t="shared" si="30"/>
        <v/>
      </c>
      <c r="R51" t="str">
        <f t="shared" si="31"/>
        <v/>
      </c>
      <c r="S51" t="str">
        <f t="shared" si="32"/>
        <v/>
      </c>
      <c r="T51" s="2" t="str">
        <f t="shared" si="17"/>
        <v/>
      </c>
      <c r="U51" s="2" t="str">
        <f t="shared" si="18"/>
        <v/>
      </c>
      <c r="V51" t="str">
        <f t="shared" si="8"/>
        <v/>
      </c>
      <c r="AE51" t="str">
        <f>(B65*128+B64*64+B63*32+B62*16+B61*8+B60*4+B59*2+B58)*256+B57*128+B56*64+B55*32+B54*16+B53*8+B52*4+B51*2+B50&amp;","</f>
        <v>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ref="N52:N65" si="43">IF(B52&gt;0,"#","")</f>
        <v/>
      </c>
      <c r="O52" s="4" t="str">
        <f t="shared" ref="O52:O65" si="44">IF(C52&gt;0,"#","")</f>
        <v/>
      </c>
      <c r="P52" s="4" t="str">
        <f t="shared" ref="P52:P65" si="45">IF(D52&gt;0,"#","")</f>
        <v/>
      </c>
      <c r="Q52" s="4" t="str">
        <f t="shared" ref="Q52:Q65" si="46">IF(E52&gt;0,"#","")</f>
        <v/>
      </c>
      <c r="R52" s="4" t="str">
        <f t="shared" ref="R52:R65" si="47">IF(F52&gt;0,"#","")</f>
        <v/>
      </c>
      <c r="S52" s="5" t="str">
        <f t="shared" ref="S52:S65" si="48">IF(G52&gt;0,"#","")</f>
        <v/>
      </c>
      <c r="T52" s="2" t="str">
        <f t="shared" si="17"/>
        <v/>
      </c>
      <c r="U52" s="2" t="str">
        <f t="shared" si="18"/>
        <v/>
      </c>
      <c r="V52" t="str">
        <f t="shared" si="8"/>
        <v/>
      </c>
      <c r="X52">
        <f t="shared" ref="X52:X65" si="49">MAX(B52-B51,0)</f>
        <v>0</v>
      </c>
      <c r="Y52">
        <f t="shared" ref="Y52:Y65" si="50">MAX(C52-C51,0)</f>
        <v>0</v>
      </c>
      <c r="Z52">
        <f t="shared" ref="Z52:Z65" si="51">MAX(D52-D51,0)</f>
        <v>0</v>
      </c>
      <c r="AA52">
        <f t="shared" ref="AA52:AA65" si="52">MAX(E52-E51,0)</f>
        <v>0</v>
      </c>
      <c r="AB52">
        <f t="shared" ref="AB52:AB65" si="53">MAX(F52-F51,0)</f>
        <v>0</v>
      </c>
      <c r="AC52">
        <f t="shared" ref="AC52:AC65" si="54">MAX(G52-G51,0)</f>
        <v>0</v>
      </c>
      <c r="AE52" t="str">
        <f>(C65*128+C64*64+C63*32+C62*16+C61*8+C60*4+C59*2+C58)*256+C57*128+C56*64+C55*32+C54*16+C53*8+C52*4+C51*2+C50&amp;","</f>
        <v>0,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43"/>
        <v/>
      </c>
      <c r="O53" s="7" t="str">
        <f t="shared" si="44"/>
        <v/>
      </c>
      <c r="P53" s="7" t="str">
        <f t="shared" si="45"/>
        <v/>
      </c>
      <c r="Q53" s="7" t="str">
        <f t="shared" si="46"/>
        <v/>
      </c>
      <c r="R53" s="7" t="str">
        <f t="shared" si="47"/>
        <v/>
      </c>
      <c r="S53" s="8" t="str">
        <f t="shared" si="48"/>
        <v/>
      </c>
      <c r="T53" s="2" t="str">
        <f t="shared" si="17"/>
        <v/>
      </c>
      <c r="U53" s="2" t="str">
        <f t="shared" si="18"/>
        <v/>
      </c>
      <c r="V53" t="str">
        <f t="shared" si="8"/>
        <v/>
      </c>
      <c r="X53">
        <f t="shared" si="49"/>
        <v>0</v>
      </c>
      <c r="Y53">
        <f t="shared" si="50"/>
        <v>0</v>
      </c>
      <c r="Z53">
        <f t="shared" si="51"/>
        <v>0</v>
      </c>
      <c r="AA53">
        <f t="shared" si="52"/>
        <v>0</v>
      </c>
      <c r="AB53">
        <f t="shared" si="53"/>
        <v>0</v>
      </c>
      <c r="AC53">
        <f t="shared" si="54"/>
        <v>0</v>
      </c>
      <c r="AE53" t="str">
        <f>(D65*128+D64*64+D63*32+D62*16+D61*8+D60*4+D59*2+D58)*256+D57*128+D56*64+D55*32+D54*16+D53*8+D52*4+D51*2+D50&amp;","</f>
        <v>384,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43"/>
        <v/>
      </c>
      <c r="O54" s="15" t="str">
        <f t="shared" si="44"/>
        <v/>
      </c>
      <c r="P54" s="15" t="str">
        <f t="shared" si="45"/>
        <v/>
      </c>
      <c r="Q54" s="15" t="str">
        <f t="shared" si="46"/>
        <v/>
      </c>
      <c r="R54" s="16" t="str">
        <f t="shared" si="47"/>
        <v/>
      </c>
      <c r="S54" s="8" t="str">
        <f t="shared" si="48"/>
        <v/>
      </c>
      <c r="T54" s="2" t="str">
        <f t="shared" si="17"/>
        <v/>
      </c>
      <c r="U54" s="2" t="str">
        <f t="shared" si="18"/>
        <v/>
      </c>
      <c r="V54" t="str">
        <f t="shared" si="8"/>
        <v/>
      </c>
      <c r="X54">
        <f t="shared" si="49"/>
        <v>0</v>
      </c>
      <c r="Y54">
        <f t="shared" si="50"/>
        <v>0</v>
      </c>
      <c r="Z54">
        <f t="shared" si="51"/>
        <v>0</v>
      </c>
      <c r="AA54">
        <f t="shared" si="52"/>
        <v>0</v>
      </c>
      <c r="AB54">
        <f t="shared" si="53"/>
        <v>0</v>
      </c>
      <c r="AC54">
        <f t="shared" si="54"/>
        <v>0</v>
      </c>
      <c r="AE54" t="str">
        <f>(E65*128+E64*64+E63*32+E62*16+E61*8+E60*4+E59*2+E58)*256+E57*128+E56*64+E55*32+E54*16+E53*8+E52*4+E51*2+E50&amp;","</f>
        <v>960,</v>
      </c>
    </row>
    <row r="55" spans="1:31" x14ac:dyDescent="0.2">
      <c r="A55" s="21"/>
      <c r="B55" s="21">
        <v>0</v>
      </c>
      <c r="C55" s="21">
        <v>0</v>
      </c>
      <c r="D55" s="21">
        <v>0</v>
      </c>
      <c r="E55" s="21">
        <v>0</v>
      </c>
      <c r="F55" s="21">
        <v>1</v>
      </c>
      <c r="G55" s="21">
        <v>0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43"/>
        <v/>
      </c>
      <c r="O55" s="7" t="str">
        <f t="shared" si="44"/>
        <v/>
      </c>
      <c r="P55" s="7" t="str">
        <f t="shared" si="45"/>
        <v/>
      </c>
      <c r="Q55" s="7" t="str">
        <f t="shared" si="46"/>
        <v/>
      </c>
      <c r="R55" s="17" t="str">
        <f t="shared" si="47"/>
        <v>#</v>
      </c>
      <c r="S55" s="8" t="str">
        <f t="shared" si="48"/>
        <v/>
      </c>
      <c r="T55" s="2" t="str">
        <f t="shared" si="17"/>
        <v/>
      </c>
      <c r="U55" s="2" t="str">
        <f t="shared" si="18"/>
        <v/>
      </c>
      <c r="V55" t="str">
        <f t="shared" si="8"/>
        <v/>
      </c>
      <c r="X55">
        <f t="shared" si="49"/>
        <v>0</v>
      </c>
      <c r="Y55">
        <f t="shared" si="50"/>
        <v>0</v>
      </c>
      <c r="Z55">
        <f t="shared" si="51"/>
        <v>0</v>
      </c>
      <c r="AA55">
        <f t="shared" si="52"/>
        <v>0</v>
      </c>
      <c r="AB55">
        <f t="shared" si="53"/>
        <v>1</v>
      </c>
      <c r="AC55">
        <f t="shared" si="54"/>
        <v>0</v>
      </c>
      <c r="AE55" t="str">
        <f>(F65*128+F64*64+F63*32+F62*16+F61*8+F60*4+F59*2+F58)*256+F57*128+F56*64+F55*32+F54*16+F53*8+F52*4+F51*2+F50&amp;","</f>
        <v>1632,</v>
      </c>
    </row>
    <row r="56" spans="1:31" x14ac:dyDescent="0.2">
      <c r="A56" s="21"/>
      <c r="B56" s="21">
        <v>0</v>
      </c>
      <c r="C56" s="21">
        <v>0</v>
      </c>
      <c r="D56" s="21">
        <v>0</v>
      </c>
      <c r="E56" s="21">
        <v>1</v>
      </c>
      <c r="F56" s="21">
        <v>1</v>
      </c>
      <c r="G56" s="21">
        <v>0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43"/>
        <v/>
      </c>
      <c r="O56" s="7" t="str">
        <f t="shared" si="44"/>
        <v/>
      </c>
      <c r="P56" s="7" t="str">
        <f t="shared" si="45"/>
        <v/>
      </c>
      <c r="Q56" s="7" t="str">
        <f t="shared" si="46"/>
        <v>#</v>
      </c>
      <c r="R56" s="17" t="str">
        <f t="shared" si="47"/>
        <v>#</v>
      </c>
      <c r="S56" s="8" t="str">
        <f t="shared" si="48"/>
        <v/>
      </c>
      <c r="T56" s="2" t="str">
        <f t="shared" si="17"/>
        <v/>
      </c>
      <c r="U56" s="2" t="str">
        <f t="shared" si="18"/>
        <v/>
      </c>
      <c r="V56" t="str">
        <f t="shared" si="8"/>
        <v/>
      </c>
      <c r="X56">
        <f t="shared" si="49"/>
        <v>0</v>
      </c>
      <c r="Y56">
        <f t="shared" si="50"/>
        <v>0</v>
      </c>
      <c r="Z56">
        <f t="shared" si="51"/>
        <v>0</v>
      </c>
      <c r="AA56">
        <f t="shared" si="52"/>
        <v>1</v>
      </c>
      <c r="AB56">
        <f t="shared" si="53"/>
        <v>0</v>
      </c>
      <c r="AC56">
        <f t="shared" si="54"/>
        <v>0</v>
      </c>
      <c r="AE56" t="str">
        <f>(G65*128+G64*64+G63*32+G62*16+G61*8+G60*4+G59*2+G58)*256+G57*128+G56*64+G55*32+G54*16+G53*8+G52*4+G51*2+G50&amp;","</f>
        <v>0,</v>
      </c>
    </row>
    <row r="57" spans="1:31" x14ac:dyDescent="0.2">
      <c r="A57" s="21"/>
      <c r="B57" s="21">
        <v>0</v>
      </c>
      <c r="C57" s="21">
        <v>0</v>
      </c>
      <c r="D57" s="21">
        <v>1</v>
      </c>
      <c r="E57" s="21">
        <v>1</v>
      </c>
      <c r="F57" s="21">
        <v>0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43"/>
        <v/>
      </c>
      <c r="O57" s="7" t="str">
        <f t="shared" si="44"/>
        <v/>
      </c>
      <c r="P57" s="7" t="str">
        <f t="shared" si="45"/>
        <v>#</v>
      </c>
      <c r="Q57" s="7" t="str">
        <f t="shared" si="46"/>
        <v>#</v>
      </c>
      <c r="R57" s="17" t="str">
        <f t="shared" si="47"/>
        <v/>
      </c>
      <c r="S57" s="8" t="str">
        <f t="shared" si="48"/>
        <v/>
      </c>
      <c r="T57" s="2" t="str">
        <f t="shared" si="17"/>
        <v/>
      </c>
      <c r="U57" s="2" t="str">
        <f t="shared" si="18"/>
        <v/>
      </c>
      <c r="V57" t="str">
        <f t="shared" si="8"/>
        <v/>
      </c>
      <c r="X57">
        <f t="shared" si="49"/>
        <v>0</v>
      </c>
      <c r="Y57">
        <f t="shared" si="50"/>
        <v>0</v>
      </c>
      <c r="Z57">
        <f t="shared" si="51"/>
        <v>1</v>
      </c>
      <c r="AA57">
        <f t="shared" si="52"/>
        <v>0</v>
      </c>
      <c r="AB57">
        <f t="shared" si="53"/>
        <v>0</v>
      </c>
      <c r="AC57">
        <f t="shared" si="54"/>
        <v>0</v>
      </c>
    </row>
    <row r="58" spans="1:31" x14ac:dyDescent="0.2">
      <c r="A58" s="21"/>
      <c r="B58" s="21">
        <v>0</v>
      </c>
      <c r="C58" s="21">
        <v>0</v>
      </c>
      <c r="D58" s="21">
        <v>1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43"/>
        <v/>
      </c>
      <c r="O58" s="7" t="str">
        <f t="shared" si="44"/>
        <v/>
      </c>
      <c r="P58" s="7" t="str">
        <f t="shared" si="45"/>
        <v>#</v>
      </c>
      <c r="Q58" s="7" t="str">
        <f t="shared" si="46"/>
        <v>#</v>
      </c>
      <c r="R58" s="17" t="str">
        <f t="shared" si="47"/>
        <v/>
      </c>
      <c r="S58" s="8" t="str">
        <f t="shared" si="48"/>
        <v/>
      </c>
      <c r="T58" s="2" t="str">
        <f t="shared" si="17"/>
        <v/>
      </c>
      <c r="U58" s="2" t="str">
        <f t="shared" si="18"/>
        <v/>
      </c>
      <c r="V58" t="str">
        <f t="shared" si="8"/>
        <v/>
      </c>
      <c r="X58">
        <f t="shared" si="49"/>
        <v>0</v>
      </c>
      <c r="Y58">
        <f t="shared" si="50"/>
        <v>0</v>
      </c>
      <c r="Z58">
        <f t="shared" si="51"/>
        <v>0</v>
      </c>
      <c r="AA58">
        <f t="shared" si="52"/>
        <v>0</v>
      </c>
      <c r="AB58">
        <f t="shared" si="53"/>
        <v>0</v>
      </c>
      <c r="AC58">
        <f t="shared" si="54"/>
        <v>0</v>
      </c>
    </row>
    <row r="59" spans="1:31" x14ac:dyDescent="0.2">
      <c r="A59" s="21"/>
      <c r="B59" s="21">
        <v>0</v>
      </c>
      <c r="C59" s="21">
        <v>0</v>
      </c>
      <c r="D59" s="21">
        <v>0</v>
      </c>
      <c r="E59" s="21">
        <v>1</v>
      </c>
      <c r="F59" s="21">
        <v>1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43"/>
        <v/>
      </c>
      <c r="O59" s="7" t="str">
        <f t="shared" si="44"/>
        <v/>
      </c>
      <c r="P59" s="7" t="str">
        <f t="shared" si="45"/>
        <v/>
      </c>
      <c r="Q59" s="7" t="str">
        <f t="shared" si="46"/>
        <v>#</v>
      </c>
      <c r="R59" s="17" t="str">
        <f t="shared" si="47"/>
        <v>#</v>
      </c>
      <c r="S59" s="8" t="str">
        <f t="shared" si="48"/>
        <v/>
      </c>
      <c r="T59" s="2" t="str">
        <f t="shared" si="17"/>
        <v/>
      </c>
      <c r="U59" s="2" t="str">
        <f t="shared" si="18"/>
        <v/>
      </c>
      <c r="V59" t="str">
        <f t="shared" si="8"/>
        <v/>
      </c>
      <c r="X59">
        <f t="shared" si="49"/>
        <v>0</v>
      </c>
      <c r="Y59">
        <f t="shared" si="50"/>
        <v>0</v>
      </c>
      <c r="Z59">
        <f t="shared" si="51"/>
        <v>0</v>
      </c>
      <c r="AA59">
        <f t="shared" si="52"/>
        <v>0</v>
      </c>
      <c r="AB59">
        <f t="shared" si="53"/>
        <v>1</v>
      </c>
      <c r="AC59">
        <f t="shared" si="54"/>
        <v>0</v>
      </c>
    </row>
    <row r="60" spans="1:31" x14ac:dyDescent="0.2">
      <c r="A60" s="21"/>
      <c r="B60" s="21">
        <v>0</v>
      </c>
      <c r="C60" s="21">
        <v>0</v>
      </c>
      <c r="D60" s="21">
        <v>0</v>
      </c>
      <c r="E60" s="21">
        <v>0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43"/>
        <v/>
      </c>
      <c r="O60" s="7" t="str">
        <f t="shared" si="44"/>
        <v/>
      </c>
      <c r="P60" s="7" t="str">
        <f t="shared" si="45"/>
        <v/>
      </c>
      <c r="Q60" s="7" t="str">
        <f t="shared" si="46"/>
        <v/>
      </c>
      <c r="R60" s="17" t="str">
        <f t="shared" si="47"/>
        <v>#</v>
      </c>
      <c r="S60" s="8" t="str">
        <f t="shared" si="48"/>
        <v/>
      </c>
      <c r="T60" s="2" t="str">
        <f t="shared" si="17"/>
        <v/>
      </c>
      <c r="U60" s="2" t="str">
        <f t="shared" si="18"/>
        <v/>
      </c>
      <c r="V60" t="str">
        <f t="shared" si="8"/>
        <v/>
      </c>
      <c r="X60">
        <f t="shared" si="49"/>
        <v>0</v>
      </c>
      <c r="Y60">
        <f t="shared" si="50"/>
        <v>0</v>
      </c>
      <c r="Z60">
        <f t="shared" si="51"/>
        <v>0</v>
      </c>
      <c r="AA60">
        <f t="shared" si="52"/>
        <v>0</v>
      </c>
      <c r="AB60">
        <f t="shared" si="53"/>
        <v>0</v>
      </c>
      <c r="AC60">
        <f t="shared" si="54"/>
        <v>0</v>
      </c>
    </row>
    <row r="61" spans="1:31" x14ac:dyDescent="0.2">
      <c r="A61" s="21"/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43"/>
        <v/>
      </c>
      <c r="O61" s="7" t="str">
        <f t="shared" si="44"/>
        <v/>
      </c>
      <c r="P61" s="7" t="str">
        <f t="shared" si="45"/>
        <v/>
      </c>
      <c r="Q61" s="7" t="str">
        <f t="shared" si="46"/>
        <v/>
      </c>
      <c r="R61" s="17" t="str">
        <f t="shared" si="47"/>
        <v/>
      </c>
      <c r="S61" s="8" t="str">
        <f t="shared" si="48"/>
        <v/>
      </c>
      <c r="T61" s="2" t="str">
        <f t="shared" si="17"/>
        <v/>
      </c>
      <c r="U61" s="2" t="str">
        <f t="shared" si="18"/>
        <v/>
      </c>
      <c r="V61" t="str">
        <f t="shared" si="8"/>
        <v/>
      </c>
      <c r="X61">
        <f t="shared" si="49"/>
        <v>0</v>
      </c>
      <c r="Y61">
        <f t="shared" si="50"/>
        <v>0</v>
      </c>
      <c r="Z61">
        <f t="shared" si="51"/>
        <v>0</v>
      </c>
      <c r="AA61">
        <f t="shared" si="52"/>
        <v>0</v>
      </c>
      <c r="AB61">
        <f t="shared" si="53"/>
        <v>0</v>
      </c>
      <c r="AC61">
        <f t="shared" si="54"/>
        <v>0</v>
      </c>
    </row>
    <row r="62" spans="1:31" x14ac:dyDescent="0.2">
      <c r="A62" s="21"/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43"/>
        <v/>
      </c>
      <c r="O62" s="7" t="str">
        <f t="shared" si="44"/>
        <v/>
      </c>
      <c r="P62" s="7" t="str">
        <f t="shared" si="45"/>
        <v/>
      </c>
      <c r="Q62" s="7" t="str">
        <f t="shared" si="46"/>
        <v/>
      </c>
      <c r="R62" s="17" t="str">
        <f t="shared" si="47"/>
        <v/>
      </c>
      <c r="S62" s="8" t="str">
        <f t="shared" si="48"/>
        <v/>
      </c>
      <c r="T62" s="2" t="str">
        <f t="shared" si="17"/>
        <v/>
      </c>
      <c r="U62" s="2" t="str">
        <f t="shared" si="18"/>
        <v/>
      </c>
      <c r="V62" t="str">
        <f t="shared" si="8"/>
        <v/>
      </c>
      <c r="X62">
        <f t="shared" si="49"/>
        <v>0</v>
      </c>
      <c r="Y62">
        <f t="shared" si="50"/>
        <v>0</v>
      </c>
      <c r="Z62">
        <f t="shared" si="51"/>
        <v>0</v>
      </c>
      <c r="AA62">
        <f t="shared" si="52"/>
        <v>0</v>
      </c>
      <c r="AB62">
        <f t="shared" si="53"/>
        <v>0</v>
      </c>
      <c r="AC62">
        <f t="shared" si="54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43"/>
        <v/>
      </c>
      <c r="O63" s="19" t="str">
        <f t="shared" si="44"/>
        <v/>
      </c>
      <c r="P63" s="19" t="str">
        <f t="shared" si="45"/>
        <v/>
      </c>
      <c r="Q63" s="19" t="str">
        <f t="shared" si="46"/>
        <v/>
      </c>
      <c r="R63" s="20" t="str">
        <f t="shared" si="47"/>
        <v/>
      </c>
      <c r="S63" s="8" t="str">
        <f t="shared" si="48"/>
        <v/>
      </c>
      <c r="T63" s="2" t="str">
        <f t="shared" si="17"/>
        <v/>
      </c>
      <c r="U63" s="2" t="str">
        <f t="shared" si="18"/>
        <v/>
      </c>
      <c r="V63" t="str">
        <f t="shared" si="8"/>
        <v/>
      </c>
      <c r="X63">
        <f t="shared" si="49"/>
        <v>0</v>
      </c>
      <c r="Y63">
        <f t="shared" si="50"/>
        <v>0</v>
      </c>
      <c r="Z63">
        <f t="shared" si="51"/>
        <v>0</v>
      </c>
      <c r="AA63">
        <f t="shared" si="52"/>
        <v>0</v>
      </c>
      <c r="AB63">
        <f t="shared" si="53"/>
        <v>0</v>
      </c>
      <c r="AC63">
        <f t="shared" si="54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43"/>
        <v/>
      </c>
      <c r="O64" s="10" t="str">
        <f t="shared" si="44"/>
        <v/>
      </c>
      <c r="P64" s="10" t="str">
        <f t="shared" si="45"/>
        <v/>
      </c>
      <c r="Q64" s="10" t="str">
        <f t="shared" si="46"/>
        <v/>
      </c>
      <c r="R64" s="10" t="str">
        <f t="shared" si="47"/>
        <v/>
      </c>
      <c r="S64" s="11" t="str">
        <f t="shared" si="48"/>
        <v/>
      </c>
      <c r="T64" s="2" t="str">
        <f t="shared" si="17"/>
        <v/>
      </c>
      <c r="U64" s="2" t="str">
        <f t="shared" si="18"/>
        <v/>
      </c>
      <c r="V64" t="str">
        <f t="shared" si="8"/>
        <v/>
      </c>
      <c r="X64">
        <f t="shared" si="49"/>
        <v>0</v>
      </c>
      <c r="Y64">
        <f t="shared" si="50"/>
        <v>0</v>
      </c>
      <c r="Z64">
        <f t="shared" si="51"/>
        <v>0</v>
      </c>
      <c r="AA64">
        <f t="shared" si="52"/>
        <v>0</v>
      </c>
      <c r="AB64">
        <f t="shared" si="53"/>
        <v>0</v>
      </c>
      <c r="AC64">
        <f t="shared" si="54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43"/>
        <v/>
      </c>
      <c r="O65" s="13" t="str">
        <f t="shared" si="44"/>
        <v/>
      </c>
      <c r="P65" s="13" t="str">
        <f t="shared" si="45"/>
        <v/>
      </c>
      <c r="Q65" s="13" t="str">
        <f t="shared" si="46"/>
        <v/>
      </c>
      <c r="R65" s="13" t="str">
        <f t="shared" si="47"/>
        <v/>
      </c>
      <c r="S65" s="14" t="str">
        <f t="shared" si="48"/>
        <v/>
      </c>
      <c r="T65" s="2" t="str">
        <f t="shared" si="17"/>
        <v/>
      </c>
      <c r="U65" s="2" t="str">
        <f t="shared" si="18"/>
        <v/>
      </c>
      <c r="V65" t="str">
        <f t="shared" si="8"/>
        <v/>
      </c>
      <c r="X65">
        <f t="shared" si="49"/>
        <v>0</v>
      </c>
      <c r="Y65">
        <f t="shared" si="50"/>
        <v>0</v>
      </c>
      <c r="Z65">
        <f t="shared" si="51"/>
        <v>0</v>
      </c>
      <c r="AA65">
        <f t="shared" si="52"/>
        <v>0</v>
      </c>
      <c r="AB65">
        <f t="shared" si="53"/>
        <v>0</v>
      </c>
      <c r="AC65">
        <f t="shared" si="54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27"/>
        <v/>
      </c>
      <c r="O66" t="str">
        <f t="shared" si="28"/>
        <v/>
      </c>
      <c r="P66" t="str">
        <f t="shared" si="29"/>
        <v/>
      </c>
      <c r="Q66" t="str">
        <f t="shared" si="30"/>
        <v/>
      </c>
      <c r="R66" t="str">
        <f t="shared" si="31"/>
        <v/>
      </c>
      <c r="S66" t="str">
        <f t="shared" si="32"/>
        <v/>
      </c>
      <c r="T66" s="2" t="str">
        <f t="shared" si="17"/>
        <v/>
      </c>
      <c r="U66" s="2" t="str">
        <f t="shared" si="18"/>
        <v/>
      </c>
      <c r="V66" t="str">
        <f t="shared" ref="V66:V129" si="55">IF(A66=0,"",M66)</f>
        <v/>
      </c>
      <c r="W66">
        <f>SUM(B68:G81)</f>
        <v>0</v>
      </c>
      <c r="AD66">
        <f t="shared" ref="AD66" si="56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7">L66</f>
        <v>_x000E_</v>
      </c>
      <c r="M67">
        <v>2</v>
      </c>
      <c r="N67" t="str">
        <f t="shared" si="27"/>
        <v/>
      </c>
      <c r="O67" t="str">
        <f t="shared" si="28"/>
        <v/>
      </c>
      <c r="P67" t="str">
        <f t="shared" si="29"/>
        <v/>
      </c>
      <c r="Q67" t="str">
        <f t="shared" si="30"/>
        <v/>
      </c>
      <c r="R67" t="str">
        <f t="shared" si="31"/>
        <v/>
      </c>
      <c r="S67" t="str">
        <f t="shared" si="32"/>
        <v/>
      </c>
      <c r="T67" s="2" t="str">
        <f t="shared" si="17"/>
        <v/>
      </c>
      <c r="U67" s="2" t="str">
        <f t="shared" si="18"/>
        <v/>
      </c>
      <c r="V67" t="str">
        <f t="shared" si="55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7"/>
        <v>_x000E_</v>
      </c>
      <c r="M68">
        <v>3</v>
      </c>
      <c r="N68" s="3" t="str">
        <f t="shared" si="27"/>
        <v/>
      </c>
      <c r="O68" s="4" t="str">
        <f t="shared" si="28"/>
        <v/>
      </c>
      <c r="P68" s="4" t="str">
        <f t="shared" si="29"/>
        <v/>
      </c>
      <c r="Q68" s="4" t="str">
        <f t="shared" si="30"/>
        <v/>
      </c>
      <c r="R68" s="4" t="str">
        <f t="shared" si="31"/>
        <v/>
      </c>
      <c r="S68" s="5" t="str">
        <f t="shared" si="32"/>
        <v/>
      </c>
      <c r="T68" s="2" t="str">
        <f t="shared" si="17"/>
        <v/>
      </c>
      <c r="U68" s="2" t="str">
        <f t="shared" si="18"/>
        <v/>
      </c>
      <c r="V68" t="str">
        <f t="shared" si="55"/>
        <v/>
      </c>
      <c r="X68">
        <f t="shared" ref="X68:X81" si="58">MAX(B68-B67,0)</f>
        <v>0</v>
      </c>
      <c r="Y68">
        <f t="shared" ref="Y68:Y81" si="59">MAX(C68-C67,0)</f>
        <v>0</v>
      </c>
      <c r="Z68">
        <f t="shared" ref="Z68:Z81" si="60">MAX(D68-D67,0)</f>
        <v>0</v>
      </c>
      <c r="AA68">
        <f t="shared" ref="AA68:AA81" si="61">MAX(E68-E67,0)</f>
        <v>0</v>
      </c>
      <c r="AB68">
        <f t="shared" ref="AB68:AB81" si="62">MAX(F68-F67,0)</f>
        <v>0</v>
      </c>
      <c r="AC68">
        <f t="shared" ref="AC68:AC81" si="63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7"/>
        <v>_x000E_</v>
      </c>
      <c r="M69">
        <v>4</v>
      </c>
      <c r="N69" s="6" t="str">
        <f t="shared" si="27"/>
        <v/>
      </c>
      <c r="O69" s="7" t="str">
        <f t="shared" si="28"/>
        <v/>
      </c>
      <c r="P69" s="7" t="str">
        <f t="shared" si="29"/>
        <v/>
      </c>
      <c r="Q69" s="7" t="str">
        <f t="shared" si="30"/>
        <v/>
      </c>
      <c r="R69" s="7" t="str">
        <f t="shared" si="31"/>
        <v/>
      </c>
      <c r="S69" s="8" t="str">
        <f t="shared" si="32"/>
        <v/>
      </c>
      <c r="T69" s="2" t="str">
        <f t="shared" si="17"/>
        <v/>
      </c>
      <c r="U69" s="2" t="str">
        <f t="shared" si="18"/>
        <v/>
      </c>
      <c r="V69" t="str">
        <f t="shared" si="55"/>
        <v/>
      </c>
      <c r="X69">
        <f t="shared" si="58"/>
        <v>0</v>
      </c>
      <c r="Y69">
        <f t="shared" si="59"/>
        <v>0</v>
      </c>
      <c r="Z69">
        <f t="shared" si="60"/>
        <v>0</v>
      </c>
      <c r="AA69">
        <f t="shared" si="61"/>
        <v>0</v>
      </c>
      <c r="AB69">
        <f t="shared" si="62"/>
        <v>0</v>
      </c>
      <c r="AC69">
        <f t="shared" si="63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7"/>
        <v>_x000E_</v>
      </c>
      <c r="M70">
        <v>5</v>
      </c>
      <c r="N70" s="22" t="str">
        <f t="shared" si="27"/>
        <v/>
      </c>
      <c r="O70" s="15" t="str">
        <f t="shared" si="28"/>
        <v/>
      </c>
      <c r="P70" s="15" t="str">
        <f t="shared" si="29"/>
        <v/>
      </c>
      <c r="Q70" s="15" t="str">
        <f t="shared" si="30"/>
        <v/>
      </c>
      <c r="R70" s="16" t="str">
        <f t="shared" si="31"/>
        <v/>
      </c>
      <c r="S70" s="8" t="str">
        <f t="shared" si="32"/>
        <v/>
      </c>
      <c r="T70" s="2" t="str">
        <f t="shared" si="17"/>
        <v/>
      </c>
      <c r="U70" s="2" t="str">
        <f t="shared" si="18"/>
        <v/>
      </c>
      <c r="V70" t="str">
        <f t="shared" si="55"/>
        <v/>
      </c>
      <c r="X70">
        <f t="shared" si="58"/>
        <v>0</v>
      </c>
      <c r="Y70">
        <f t="shared" si="59"/>
        <v>0</v>
      </c>
      <c r="Z70">
        <f t="shared" si="60"/>
        <v>0</v>
      </c>
      <c r="AA70">
        <f t="shared" si="61"/>
        <v>0</v>
      </c>
      <c r="AB70">
        <f t="shared" si="62"/>
        <v>0</v>
      </c>
      <c r="AC70">
        <f t="shared" si="63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7"/>
        <v>_x000E_</v>
      </c>
      <c r="M71">
        <v>6</v>
      </c>
      <c r="N71" s="23" t="str">
        <f t="shared" si="27"/>
        <v/>
      </c>
      <c r="O71" s="7" t="str">
        <f t="shared" si="28"/>
        <v/>
      </c>
      <c r="P71" s="7" t="str">
        <f t="shared" si="29"/>
        <v/>
      </c>
      <c r="Q71" s="7" t="str">
        <f t="shared" si="30"/>
        <v/>
      </c>
      <c r="R71" s="17" t="str">
        <f t="shared" si="31"/>
        <v/>
      </c>
      <c r="S71" s="8" t="str">
        <f t="shared" si="32"/>
        <v/>
      </c>
      <c r="T71" s="2" t="str">
        <f t="shared" si="17"/>
        <v/>
      </c>
      <c r="U71" s="2" t="str">
        <f t="shared" si="18"/>
        <v/>
      </c>
      <c r="V71" t="str">
        <f t="shared" si="55"/>
        <v/>
      </c>
      <c r="X71">
        <f t="shared" si="58"/>
        <v>0</v>
      </c>
      <c r="Y71">
        <f t="shared" si="59"/>
        <v>0</v>
      </c>
      <c r="Z71">
        <f t="shared" si="60"/>
        <v>0</v>
      </c>
      <c r="AA71">
        <f t="shared" si="61"/>
        <v>0</v>
      </c>
      <c r="AB71">
        <f t="shared" si="62"/>
        <v>0</v>
      </c>
      <c r="AC71">
        <f t="shared" si="63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7"/>
        <v>_x000E_</v>
      </c>
      <c r="M72">
        <v>7</v>
      </c>
      <c r="N72" s="23" t="str">
        <f t="shared" si="27"/>
        <v/>
      </c>
      <c r="O72" s="7" t="str">
        <f t="shared" si="28"/>
        <v/>
      </c>
      <c r="P72" s="7" t="str">
        <f t="shared" si="29"/>
        <v/>
      </c>
      <c r="Q72" s="7" t="str">
        <f t="shared" si="30"/>
        <v/>
      </c>
      <c r="R72" s="17" t="str">
        <f t="shared" si="31"/>
        <v/>
      </c>
      <c r="S72" s="8" t="str">
        <f t="shared" si="32"/>
        <v/>
      </c>
      <c r="T72" s="2" t="str">
        <f t="shared" si="17"/>
        <v/>
      </c>
      <c r="U72" s="2" t="str">
        <f t="shared" si="18"/>
        <v/>
      </c>
      <c r="V72" t="str">
        <f t="shared" si="55"/>
        <v/>
      </c>
      <c r="X72">
        <f t="shared" si="58"/>
        <v>0</v>
      </c>
      <c r="Y72">
        <f t="shared" si="59"/>
        <v>0</v>
      </c>
      <c r="Z72">
        <f t="shared" si="60"/>
        <v>0</v>
      </c>
      <c r="AA72">
        <f t="shared" si="61"/>
        <v>0</v>
      </c>
      <c r="AB72">
        <f t="shared" si="62"/>
        <v>0</v>
      </c>
      <c r="AC72">
        <f t="shared" si="63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7"/>
        <v>_x000E_</v>
      </c>
      <c r="M73">
        <v>8</v>
      </c>
      <c r="N73" s="23" t="str">
        <f t="shared" si="27"/>
        <v/>
      </c>
      <c r="O73" s="7" t="str">
        <f t="shared" si="28"/>
        <v/>
      </c>
      <c r="P73" s="7" t="str">
        <f t="shared" si="29"/>
        <v/>
      </c>
      <c r="Q73" s="7" t="str">
        <f t="shared" si="30"/>
        <v/>
      </c>
      <c r="R73" s="17" t="str">
        <f t="shared" si="31"/>
        <v/>
      </c>
      <c r="S73" s="8" t="str">
        <f t="shared" si="32"/>
        <v/>
      </c>
      <c r="T73" s="2" t="str">
        <f t="shared" si="17"/>
        <v/>
      </c>
      <c r="U73" s="2" t="str">
        <f t="shared" si="18"/>
        <v/>
      </c>
      <c r="V73" t="str">
        <f t="shared" si="55"/>
        <v/>
      </c>
      <c r="X73">
        <f t="shared" si="58"/>
        <v>0</v>
      </c>
      <c r="Y73">
        <f t="shared" si="59"/>
        <v>0</v>
      </c>
      <c r="Z73">
        <f t="shared" si="60"/>
        <v>0</v>
      </c>
      <c r="AA73">
        <f t="shared" si="61"/>
        <v>0</v>
      </c>
      <c r="AB73">
        <f t="shared" si="62"/>
        <v>0</v>
      </c>
      <c r="AC73">
        <f t="shared" si="63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7"/>
        <v>_x000E_</v>
      </c>
      <c r="M74">
        <v>9</v>
      </c>
      <c r="N74" s="23" t="str">
        <f t="shared" si="27"/>
        <v/>
      </c>
      <c r="O74" s="7" t="str">
        <f t="shared" si="28"/>
        <v/>
      </c>
      <c r="P74" s="7" t="str">
        <f t="shared" si="29"/>
        <v/>
      </c>
      <c r="Q74" s="7" t="str">
        <f t="shared" si="30"/>
        <v/>
      </c>
      <c r="R74" s="17" t="str">
        <f t="shared" si="31"/>
        <v/>
      </c>
      <c r="S74" s="8" t="str">
        <f t="shared" si="32"/>
        <v/>
      </c>
      <c r="T74" s="2" t="str">
        <f t="shared" si="17"/>
        <v/>
      </c>
      <c r="U74" s="2" t="str">
        <f t="shared" si="18"/>
        <v/>
      </c>
      <c r="V74" t="str">
        <f t="shared" si="55"/>
        <v/>
      </c>
      <c r="X74">
        <f t="shared" si="58"/>
        <v>0</v>
      </c>
      <c r="Y74">
        <f t="shared" si="59"/>
        <v>0</v>
      </c>
      <c r="Z74">
        <f t="shared" si="60"/>
        <v>0</v>
      </c>
      <c r="AA74">
        <f t="shared" si="61"/>
        <v>0</v>
      </c>
      <c r="AB74">
        <f t="shared" si="62"/>
        <v>0</v>
      </c>
      <c r="AC74">
        <f t="shared" si="63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7"/>
        <v>_x000E_</v>
      </c>
      <c r="M75">
        <v>10</v>
      </c>
      <c r="N75" s="23" t="str">
        <f t="shared" si="27"/>
        <v/>
      </c>
      <c r="O75" s="7" t="str">
        <f t="shared" si="28"/>
        <v/>
      </c>
      <c r="P75" s="7" t="str">
        <f t="shared" si="29"/>
        <v/>
      </c>
      <c r="Q75" s="7" t="str">
        <f t="shared" si="30"/>
        <v/>
      </c>
      <c r="R75" s="17" t="str">
        <f t="shared" si="31"/>
        <v/>
      </c>
      <c r="S75" s="8" t="str">
        <f t="shared" si="32"/>
        <v/>
      </c>
      <c r="T75" s="2" t="str">
        <f t="shared" si="17"/>
        <v/>
      </c>
      <c r="U75" s="2" t="str">
        <f t="shared" si="18"/>
        <v/>
      </c>
      <c r="V75" t="str">
        <f t="shared" si="55"/>
        <v/>
      </c>
      <c r="X75">
        <f t="shared" si="58"/>
        <v>0</v>
      </c>
      <c r="Y75">
        <f t="shared" si="59"/>
        <v>0</v>
      </c>
      <c r="Z75">
        <f t="shared" si="60"/>
        <v>0</v>
      </c>
      <c r="AA75">
        <f t="shared" si="61"/>
        <v>0</v>
      </c>
      <c r="AB75">
        <f t="shared" si="62"/>
        <v>0</v>
      </c>
      <c r="AC75">
        <f t="shared" si="63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7"/>
        <v>_x000E_</v>
      </c>
      <c r="M76">
        <v>11</v>
      </c>
      <c r="N76" s="23" t="str">
        <f t="shared" si="27"/>
        <v/>
      </c>
      <c r="O76" s="7" t="str">
        <f t="shared" si="28"/>
        <v/>
      </c>
      <c r="P76" s="7" t="str">
        <f t="shared" si="29"/>
        <v/>
      </c>
      <c r="Q76" s="7" t="str">
        <f t="shared" si="30"/>
        <v/>
      </c>
      <c r="R76" s="17" t="str">
        <f t="shared" si="31"/>
        <v/>
      </c>
      <c r="S76" s="8" t="str">
        <f t="shared" si="32"/>
        <v/>
      </c>
      <c r="T76" s="2" t="str">
        <f t="shared" si="17"/>
        <v/>
      </c>
      <c r="U76" s="2" t="str">
        <f t="shared" si="18"/>
        <v/>
      </c>
      <c r="V76" t="str">
        <f t="shared" si="55"/>
        <v/>
      </c>
      <c r="X76">
        <f t="shared" si="58"/>
        <v>0</v>
      </c>
      <c r="Y76">
        <f t="shared" si="59"/>
        <v>0</v>
      </c>
      <c r="Z76">
        <f t="shared" si="60"/>
        <v>0</v>
      </c>
      <c r="AA76">
        <f t="shared" si="61"/>
        <v>0</v>
      </c>
      <c r="AB76">
        <f t="shared" si="62"/>
        <v>0</v>
      </c>
      <c r="AC76">
        <f t="shared" si="63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7"/>
        <v>_x000E_</v>
      </c>
      <c r="M77">
        <v>12</v>
      </c>
      <c r="N77" s="23" t="str">
        <f t="shared" si="27"/>
        <v/>
      </c>
      <c r="O77" s="7" t="str">
        <f t="shared" si="28"/>
        <v/>
      </c>
      <c r="P77" s="7" t="str">
        <f t="shared" si="29"/>
        <v/>
      </c>
      <c r="Q77" s="7" t="str">
        <f t="shared" si="30"/>
        <v/>
      </c>
      <c r="R77" s="17" t="str">
        <f t="shared" si="31"/>
        <v/>
      </c>
      <c r="S77" s="8" t="str">
        <f t="shared" si="32"/>
        <v/>
      </c>
      <c r="T77" s="2" t="str">
        <f t="shared" si="17"/>
        <v/>
      </c>
      <c r="U77" s="2" t="str">
        <f t="shared" si="18"/>
        <v/>
      </c>
      <c r="V77" t="str">
        <f t="shared" si="55"/>
        <v/>
      </c>
      <c r="X77">
        <f t="shared" si="58"/>
        <v>0</v>
      </c>
      <c r="Y77">
        <f t="shared" si="59"/>
        <v>0</v>
      </c>
      <c r="Z77">
        <f t="shared" si="60"/>
        <v>0</v>
      </c>
      <c r="AA77">
        <f t="shared" si="61"/>
        <v>0</v>
      </c>
      <c r="AB77">
        <f t="shared" si="62"/>
        <v>0</v>
      </c>
      <c r="AC77">
        <f t="shared" si="63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7"/>
        <v>_x000E_</v>
      </c>
      <c r="M78">
        <v>13</v>
      </c>
      <c r="N78" s="6" t="str">
        <f t="shared" si="27"/>
        <v/>
      </c>
      <c r="O78" s="7" t="str">
        <f t="shared" si="28"/>
        <v/>
      </c>
      <c r="P78" s="7" t="str">
        <f t="shared" si="29"/>
        <v/>
      </c>
      <c r="Q78" s="7" t="str">
        <f t="shared" si="30"/>
        <v/>
      </c>
      <c r="R78" s="17" t="str">
        <f t="shared" si="31"/>
        <v/>
      </c>
      <c r="S78" s="8" t="str">
        <f t="shared" si="32"/>
        <v/>
      </c>
      <c r="T78" s="2" t="str">
        <f t="shared" si="17"/>
        <v/>
      </c>
      <c r="U78" s="2" t="str">
        <f t="shared" si="18"/>
        <v/>
      </c>
      <c r="V78" t="str">
        <f t="shared" si="55"/>
        <v/>
      </c>
      <c r="X78">
        <f t="shared" si="58"/>
        <v>0</v>
      </c>
      <c r="Y78">
        <f t="shared" si="59"/>
        <v>0</v>
      </c>
      <c r="Z78">
        <f t="shared" si="60"/>
        <v>0</v>
      </c>
      <c r="AA78">
        <f t="shared" si="61"/>
        <v>0</v>
      </c>
      <c r="AB78">
        <f t="shared" si="62"/>
        <v>0</v>
      </c>
      <c r="AC78">
        <f t="shared" si="63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7"/>
        <v>_x000E_</v>
      </c>
      <c r="M79">
        <v>14</v>
      </c>
      <c r="N79" s="18" t="str">
        <f t="shared" si="27"/>
        <v/>
      </c>
      <c r="O79" s="19" t="str">
        <f t="shared" si="28"/>
        <v/>
      </c>
      <c r="P79" s="19" t="str">
        <f t="shared" si="29"/>
        <v/>
      </c>
      <c r="Q79" s="19" t="str">
        <f t="shared" si="30"/>
        <v/>
      </c>
      <c r="R79" s="20" t="str">
        <f t="shared" si="31"/>
        <v/>
      </c>
      <c r="S79" s="8" t="str">
        <f t="shared" si="32"/>
        <v/>
      </c>
      <c r="T79" s="2" t="str">
        <f t="shared" si="17"/>
        <v/>
      </c>
      <c r="U79" s="2" t="str">
        <f t="shared" si="18"/>
        <v/>
      </c>
      <c r="V79" t="str">
        <f t="shared" si="55"/>
        <v/>
      </c>
      <c r="X79">
        <f t="shared" si="58"/>
        <v>0</v>
      </c>
      <c r="Y79">
        <f t="shared" si="59"/>
        <v>0</v>
      </c>
      <c r="Z79">
        <f t="shared" si="60"/>
        <v>0</v>
      </c>
      <c r="AA79">
        <f t="shared" si="61"/>
        <v>0</v>
      </c>
      <c r="AB79">
        <f t="shared" si="62"/>
        <v>0</v>
      </c>
      <c r="AC79">
        <f t="shared" si="63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7"/>
        <v>_x000E_</v>
      </c>
      <c r="M80">
        <v>15</v>
      </c>
      <c r="N80" s="9" t="str">
        <f t="shared" si="27"/>
        <v/>
      </c>
      <c r="O80" s="10" t="str">
        <f t="shared" si="28"/>
        <v/>
      </c>
      <c r="P80" s="10" t="str">
        <f t="shared" si="29"/>
        <v/>
      </c>
      <c r="Q80" s="10" t="str">
        <f t="shared" si="30"/>
        <v/>
      </c>
      <c r="R80" s="10" t="str">
        <f t="shared" si="31"/>
        <v/>
      </c>
      <c r="S80" s="11" t="str">
        <f t="shared" si="32"/>
        <v/>
      </c>
      <c r="T80" s="2" t="str">
        <f t="shared" si="17"/>
        <v/>
      </c>
      <c r="U80" s="2" t="str">
        <f t="shared" si="18"/>
        <v/>
      </c>
      <c r="V80" t="str">
        <f t="shared" si="55"/>
        <v/>
      </c>
      <c r="X80">
        <f t="shared" si="58"/>
        <v>0</v>
      </c>
      <c r="Y80">
        <f t="shared" si="59"/>
        <v>0</v>
      </c>
      <c r="Z80">
        <f t="shared" si="60"/>
        <v>0</v>
      </c>
      <c r="AA80">
        <f t="shared" si="61"/>
        <v>0</v>
      </c>
      <c r="AB80">
        <f t="shared" si="62"/>
        <v>0</v>
      </c>
      <c r="AC80">
        <f t="shared" si="63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7"/>
        <v>_x000E_</v>
      </c>
      <c r="M81">
        <v>16</v>
      </c>
      <c r="N81" s="12" t="str">
        <f t="shared" si="27"/>
        <v/>
      </c>
      <c r="O81" s="13" t="str">
        <f t="shared" si="28"/>
        <v/>
      </c>
      <c r="P81" s="13" t="str">
        <f t="shared" si="29"/>
        <v/>
      </c>
      <c r="Q81" s="13" t="str">
        <f t="shared" si="30"/>
        <v/>
      </c>
      <c r="R81" s="13" t="str">
        <f t="shared" si="31"/>
        <v/>
      </c>
      <c r="S81" s="14" t="str">
        <f t="shared" si="32"/>
        <v/>
      </c>
      <c r="T81" s="2" t="str">
        <f t="shared" si="17"/>
        <v/>
      </c>
      <c r="U81" s="2" t="str">
        <f t="shared" si="18"/>
        <v/>
      </c>
      <c r="V81" t="str">
        <f t="shared" si="55"/>
        <v/>
      </c>
      <c r="X81">
        <f t="shared" si="58"/>
        <v>0</v>
      </c>
      <c r="Y81">
        <f t="shared" si="59"/>
        <v>0</v>
      </c>
      <c r="Z81">
        <f t="shared" si="60"/>
        <v>0</v>
      </c>
      <c r="AA81">
        <f t="shared" si="61"/>
        <v>0</v>
      </c>
      <c r="AB81">
        <f t="shared" si="62"/>
        <v>0</v>
      </c>
      <c r="AC81">
        <f t="shared" si="63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64">IF(B82&gt;0,"#","")</f>
        <v/>
      </c>
      <c r="O82" t="str">
        <f t="shared" ref="O82:O97" si="65">IF(C82&gt;0,"#","")</f>
        <v/>
      </c>
      <c r="P82" t="str">
        <f t="shared" ref="P82:P97" si="66">IF(D82&gt;0,"#","")</f>
        <v/>
      </c>
      <c r="Q82" t="str">
        <f t="shared" ref="Q82:Q97" si="67">IF(E82&gt;0,"#","")</f>
        <v/>
      </c>
      <c r="R82" t="str">
        <f t="shared" ref="R82:R97" si="68">IF(F82&gt;0,"#","")</f>
        <v/>
      </c>
      <c r="S82" t="str">
        <f t="shared" ref="S82:S97" si="69">IF(G82&gt;0,"#","")</f>
        <v/>
      </c>
      <c r="T82" s="2" t="str">
        <f t="shared" ref="T82:T97" si="70">IF(H82&gt;0,"#","")</f>
        <v/>
      </c>
      <c r="U82" s="2" t="str">
        <f t="shared" ref="U82:U97" si="71">IF(I82&gt;0,"#","")</f>
        <v/>
      </c>
      <c r="V82" t="str">
        <f t="shared" si="55"/>
        <v/>
      </c>
      <c r="W82">
        <f>SUM(B84:G97)</f>
        <v>34</v>
      </c>
      <c r="AD82">
        <f t="shared" ref="AD82" si="72">SUM(X84:AC97)</f>
        <v>9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73">L82</f>
        <v>_x000F_</v>
      </c>
      <c r="M83">
        <v>2</v>
      </c>
      <c r="N83" t="str">
        <f t="shared" si="64"/>
        <v/>
      </c>
      <c r="O83" t="str">
        <f t="shared" si="65"/>
        <v/>
      </c>
      <c r="P83" t="str">
        <f t="shared" si="66"/>
        <v/>
      </c>
      <c r="Q83" t="str">
        <f t="shared" si="67"/>
        <v/>
      </c>
      <c r="R83" t="str">
        <f t="shared" si="68"/>
        <v/>
      </c>
      <c r="S83" t="str">
        <f t="shared" si="69"/>
        <v/>
      </c>
      <c r="T83" s="2" t="str">
        <f t="shared" si="70"/>
        <v/>
      </c>
      <c r="U83" s="2" t="str">
        <f t="shared" si="71"/>
        <v/>
      </c>
      <c r="V83" t="str">
        <f t="shared" si="55"/>
        <v/>
      </c>
      <c r="AE83" t="str">
        <f>(B97*128+B96*64+B95*32+B94*16+B93*8+B92*4+B91*2+B90)*256+B89*128+B88*64+B87*32+B86*16+B85*8+B84*4+B83*2+B82&amp;","</f>
        <v>8160,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73"/>
        <v>_x000F_</v>
      </c>
      <c r="M84">
        <v>3</v>
      </c>
      <c r="N84" s="3" t="str">
        <f t="shared" si="64"/>
        <v/>
      </c>
      <c r="O84" s="4" t="str">
        <f t="shared" si="65"/>
        <v/>
      </c>
      <c r="P84" s="4" t="str">
        <f t="shared" si="66"/>
        <v/>
      </c>
      <c r="Q84" s="4" t="str">
        <f t="shared" si="67"/>
        <v/>
      </c>
      <c r="R84" s="4" t="str">
        <f t="shared" si="68"/>
        <v/>
      </c>
      <c r="S84" s="5" t="str">
        <f t="shared" si="69"/>
        <v/>
      </c>
      <c r="T84" s="2" t="str">
        <f t="shared" si="70"/>
        <v/>
      </c>
      <c r="U84" s="2" t="str">
        <f t="shared" si="71"/>
        <v/>
      </c>
      <c r="V84" t="str">
        <f t="shared" si="55"/>
        <v/>
      </c>
      <c r="X84">
        <f t="shared" ref="X84:X97" si="74">MAX(B84-B83,0)</f>
        <v>0</v>
      </c>
      <c r="Y84">
        <f t="shared" ref="Y84:Y97" si="75">MAX(C84-C83,0)</f>
        <v>0</v>
      </c>
      <c r="Z84">
        <f t="shared" ref="Z84:Z97" si="76">MAX(D84-D83,0)</f>
        <v>0</v>
      </c>
      <c r="AA84">
        <f t="shared" ref="AA84:AA97" si="77">MAX(E84-E83,0)</f>
        <v>0</v>
      </c>
      <c r="AB84">
        <f t="shared" ref="AB84:AB97" si="78">MAX(F84-F83,0)</f>
        <v>0</v>
      </c>
      <c r="AC84">
        <f t="shared" ref="AC84:AC97" si="79">MAX(G84-G83,0)</f>
        <v>0</v>
      </c>
      <c r="AE84" t="str">
        <f>(C97*128+C96*64+C95*32+C94*16+C93*8+C92*4+C91*2+C90)*256+C89*128+C88*64+C87*32+C86*16+C85*8+C84*4+C83*2+C82&amp;","</f>
        <v>15408,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73"/>
        <v>_x000F_</v>
      </c>
      <c r="M85">
        <v>4</v>
      </c>
      <c r="N85" s="6" t="str">
        <f t="shared" si="64"/>
        <v/>
      </c>
      <c r="O85" s="7" t="str">
        <f t="shared" si="65"/>
        <v/>
      </c>
      <c r="P85" s="7" t="str">
        <f t="shared" si="66"/>
        <v/>
      </c>
      <c r="Q85" s="7" t="str">
        <f t="shared" si="67"/>
        <v/>
      </c>
      <c r="R85" s="7" t="str">
        <f t="shared" si="68"/>
        <v/>
      </c>
      <c r="S85" s="8" t="str">
        <f t="shared" si="69"/>
        <v/>
      </c>
      <c r="T85" s="2" t="str">
        <f t="shared" si="70"/>
        <v/>
      </c>
      <c r="U85" s="2" t="str">
        <f t="shared" si="71"/>
        <v/>
      </c>
      <c r="V85" t="str">
        <f t="shared" si="55"/>
        <v/>
      </c>
      <c r="X85">
        <f t="shared" si="74"/>
        <v>0</v>
      </c>
      <c r="Y85">
        <f t="shared" si="75"/>
        <v>0</v>
      </c>
      <c r="Z85">
        <f t="shared" si="76"/>
        <v>0</v>
      </c>
      <c r="AA85">
        <f t="shared" si="77"/>
        <v>0</v>
      </c>
      <c r="AB85">
        <f t="shared" si="78"/>
        <v>0</v>
      </c>
      <c r="AC85">
        <f t="shared" si="79"/>
        <v>0</v>
      </c>
      <c r="AE85" t="str">
        <f>(D97*128+D96*64+D95*32+D94*16+D93*8+D92*4+D91*2+D90)*256+D89*128+D88*64+D87*32+D86*16+D85*8+D84*4+D83*2+D82&amp;","</f>
        <v>13104,</v>
      </c>
    </row>
    <row r="86" spans="1:31" x14ac:dyDescent="0.2">
      <c r="A86" s="21"/>
      <c r="B86" s="21">
        <v>0</v>
      </c>
      <c r="C86" s="21">
        <v>1</v>
      </c>
      <c r="D86" s="21">
        <v>1</v>
      </c>
      <c r="E86" s="21">
        <v>1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73"/>
        <v>_x000F_</v>
      </c>
      <c r="M86">
        <v>5</v>
      </c>
      <c r="N86" s="22" t="str">
        <f t="shared" si="64"/>
        <v/>
      </c>
      <c r="O86" s="15" t="str">
        <f t="shared" si="65"/>
        <v>#</v>
      </c>
      <c r="P86" s="15" t="str">
        <f t="shared" si="66"/>
        <v>#</v>
      </c>
      <c r="Q86" s="15" t="str">
        <f t="shared" si="67"/>
        <v>#</v>
      </c>
      <c r="R86" s="16" t="str">
        <f t="shared" si="68"/>
        <v/>
      </c>
      <c r="S86" s="8" t="str">
        <f t="shared" si="69"/>
        <v/>
      </c>
      <c r="T86" s="2" t="str">
        <f t="shared" si="70"/>
        <v/>
      </c>
      <c r="U86" s="2" t="str">
        <f t="shared" si="71"/>
        <v/>
      </c>
      <c r="V86" t="str">
        <f t="shared" si="55"/>
        <v/>
      </c>
      <c r="X86">
        <f t="shared" si="74"/>
        <v>0</v>
      </c>
      <c r="Y86">
        <f t="shared" si="75"/>
        <v>1</v>
      </c>
      <c r="Z86">
        <f t="shared" si="76"/>
        <v>1</v>
      </c>
      <c r="AA86">
        <f t="shared" si="77"/>
        <v>1</v>
      </c>
      <c r="AB86">
        <f t="shared" si="78"/>
        <v>0</v>
      </c>
      <c r="AC86">
        <f t="shared" si="79"/>
        <v>0</v>
      </c>
      <c r="AE86" t="str">
        <f>(E97*128+E96*64+E95*32+E94*16+E93*8+E92*4+E91*2+E90)*256+E89*128+E88*64+E87*32+E86*16+E85*8+E84*4+E83*2+E82&amp;","</f>
        <v>12528,</v>
      </c>
    </row>
    <row r="87" spans="1:31" x14ac:dyDescent="0.2">
      <c r="A87" s="21"/>
      <c r="B87" s="21">
        <v>1</v>
      </c>
      <c r="C87" s="21">
        <v>1</v>
      </c>
      <c r="D87" s="21">
        <v>1</v>
      </c>
      <c r="E87" s="21">
        <v>1</v>
      </c>
      <c r="F87" s="21">
        <v>1</v>
      </c>
      <c r="G87" s="21">
        <v>0</v>
      </c>
      <c r="H87" s="21">
        <v>0</v>
      </c>
      <c r="I87" s="21">
        <v>0</v>
      </c>
      <c r="L87" t="str">
        <f t="shared" si="73"/>
        <v>_x000F_</v>
      </c>
      <c r="M87">
        <v>6</v>
      </c>
      <c r="N87" s="23" t="str">
        <f t="shared" si="64"/>
        <v>#</v>
      </c>
      <c r="O87" s="7" t="str">
        <f t="shared" si="65"/>
        <v>#</v>
      </c>
      <c r="P87" s="7" t="str">
        <f t="shared" si="66"/>
        <v>#</v>
      </c>
      <c r="Q87" s="7" t="str">
        <f t="shared" si="67"/>
        <v>#</v>
      </c>
      <c r="R87" s="17" t="str">
        <f t="shared" si="68"/>
        <v>#</v>
      </c>
      <c r="S87" s="8" t="str">
        <f t="shared" si="69"/>
        <v/>
      </c>
      <c r="T87" s="2" t="str">
        <f t="shared" si="70"/>
        <v/>
      </c>
      <c r="U87" s="2" t="str">
        <f t="shared" si="71"/>
        <v/>
      </c>
      <c r="V87" t="str">
        <f t="shared" si="55"/>
        <v/>
      </c>
      <c r="X87">
        <f t="shared" si="74"/>
        <v>1</v>
      </c>
      <c r="Y87">
        <f t="shared" si="75"/>
        <v>0</v>
      </c>
      <c r="Z87">
        <f t="shared" si="76"/>
        <v>0</v>
      </c>
      <c r="AA87">
        <f t="shared" si="77"/>
        <v>0</v>
      </c>
      <c r="AB87">
        <f t="shared" si="78"/>
        <v>1</v>
      </c>
      <c r="AC87">
        <f t="shared" si="79"/>
        <v>0</v>
      </c>
      <c r="AE87" t="str">
        <f>(F97*128+F96*64+F95*32+F94*16+F93*8+F92*4+F91*2+F90)*256+F89*128+F88*64+F87*32+F86*16+F85*8+F84*4+F83*2+F82&amp;","</f>
        <v>8160,</v>
      </c>
    </row>
    <row r="88" spans="1:31" x14ac:dyDescent="0.2">
      <c r="A88" s="21"/>
      <c r="B88" s="21">
        <v>1</v>
      </c>
      <c r="C88" s="21">
        <v>0</v>
      </c>
      <c r="D88" s="21">
        <v>0</v>
      </c>
      <c r="E88" s="21">
        <v>1</v>
      </c>
      <c r="F88" s="21">
        <v>1</v>
      </c>
      <c r="G88" s="21">
        <v>0</v>
      </c>
      <c r="H88" s="21">
        <v>0</v>
      </c>
      <c r="I88" s="21">
        <v>0</v>
      </c>
      <c r="L88" t="str">
        <f t="shared" si="73"/>
        <v>_x000F_</v>
      </c>
      <c r="M88">
        <v>7</v>
      </c>
      <c r="N88" s="23" t="str">
        <f t="shared" si="64"/>
        <v>#</v>
      </c>
      <c r="O88" s="7" t="str">
        <f t="shared" si="65"/>
        <v/>
      </c>
      <c r="P88" s="7" t="str">
        <f t="shared" si="66"/>
        <v/>
      </c>
      <c r="Q88" s="7" t="str">
        <f t="shared" si="67"/>
        <v>#</v>
      </c>
      <c r="R88" s="17" t="str">
        <f t="shared" si="68"/>
        <v>#</v>
      </c>
      <c r="S88" s="8" t="str">
        <f t="shared" si="69"/>
        <v/>
      </c>
      <c r="T88" s="2" t="str">
        <f t="shared" si="70"/>
        <v/>
      </c>
      <c r="U88" s="2" t="str">
        <f t="shared" si="71"/>
        <v/>
      </c>
      <c r="V88" t="str">
        <f t="shared" si="55"/>
        <v/>
      </c>
      <c r="X88">
        <f t="shared" si="74"/>
        <v>0</v>
      </c>
      <c r="Y88">
        <f t="shared" si="75"/>
        <v>0</v>
      </c>
      <c r="Z88">
        <f t="shared" si="76"/>
        <v>0</v>
      </c>
      <c r="AA88">
        <f t="shared" si="77"/>
        <v>0</v>
      </c>
      <c r="AB88">
        <f t="shared" si="78"/>
        <v>0</v>
      </c>
      <c r="AC88">
        <f t="shared" si="79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1</v>
      </c>
      <c r="C89" s="21">
        <v>0</v>
      </c>
      <c r="D89" s="21">
        <v>0</v>
      </c>
      <c r="E89" s="21">
        <v>1</v>
      </c>
      <c r="F89" s="21">
        <v>1</v>
      </c>
      <c r="G89" s="21">
        <v>0</v>
      </c>
      <c r="H89" s="21">
        <v>0</v>
      </c>
      <c r="I89" s="21">
        <v>0</v>
      </c>
      <c r="L89" t="str">
        <f t="shared" si="73"/>
        <v>_x000F_</v>
      </c>
      <c r="M89">
        <v>8</v>
      </c>
      <c r="N89" s="23" t="str">
        <f t="shared" si="64"/>
        <v>#</v>
      </c>
      <c r="O89" s="7" t="str">
        <f t="shared" si="65"/>
        <v/>
      </c>
      <c r="P89" s="7" t="str">
        <f t="shared" si="66"/>
        <v/>
      </c>
      <c r="Q89" s="7" t="str">
        <f t="shared" si="67"/>
        <v>#</v>
      </c>
      <c r="R89" s="17" t="str">
        <f t="shared" si="68"/>
        <v>#</v>
      </c>
      <c r="S89" s="8" t="str">
        <f t="shared" si="69"/>
        <v/>
      </c>
      <c r="T89" s="2" t="str">
        <f t="shared" si="70"/>
        <v/>
      </c>
      <c r="U89" s="2" t="str">
        <f t="shared" si="71"/>
        <v/>
      </c>
      <c r="V89" t="str">
        <f t="shared" si="55"/>
        <v/>
      </c>
      <c r="X89">
        <f t="shared" si="74"/>
        <v>0</v>
      </c>
      <c r="Y89">
        <f t="shared" si="75"/>
        <v>0</v>
      </c>
      <c r="Z89">
        <f t="shared" si="76"/>
        <v>0</v>
      </c>
      <c r="AA89">
        <f t="shared" si="77"/>
        <v>0</v>
      </c>
      <c r="AB89">
        <f t="shared" si="78"/>
        <v>0</v>
      </c>
      <c r="AC89">
        <f t="shared" si="79"/>
        <v>0</v>
      </c>
      <c r="AE89" s="24" t="s">
        <v>15</v>
      </c>
    </row>
    <row r="90" spans="1:31" x14ac:dyDescent="0.2">
      <c r="A90" s="21"/>
      <c r="B90" s="21">
        <v>1</v>
      </c>
      <c r="C90" s="21">
        <v>0</v>
      </c>
      <c r="D90" s="21">
        <v>1</v>
      </c>
      <c r="E90" s="21">
        <v>0</v>
      </c>
      <c r="F90" s="21">
        <v>1</v>
      </c>
      <c r="G90" s="21">
        <v>0</v>
      </c>
      <c r="H90" s="21">
        <v>0</v>
      </c>
      <c r="I90" s="21">
        <v>0</v>
      </c>
      <c r="L90" t="str">
        <f t="shared" si="73"/>
        <v>_x000F_</v>
      </c>
      <c r="M90">
        <v>9</v>
      </c>
      <c r="N90" s="23" t="str">
        <f t="shared" si="64"/>
        <v>#</v>
      </c>
      <c r="O90" s="7" t="str">
        <f t="shared" si="65"/>
        <v/>
      </c>
      <c r="P90" s="7" t="str">
        <f t="shared" si="66"/>
        <v>#</v>
      </c>
      <c r="Q90" s="7" t="str">
        <f t="shared" si="67"/>
        <v/>
      </c>
      <c r="R90" s="17" t="str">
        <f t="shared" si="68"/>
        <v>#</v>
      </c>
      <c r="S90" s="8" t="str">
        <f t="shared" si="69"/>
        <v/>
      </c>
      <c r="T90" s="2" t="str">
        <f t="shared" si="70"/>
        <v/>
      </c>
      <c r="U90" s="2" t="str">
        <f t="shared" si="71"/>
        <v/>
      </c>
      <c r="V90" t="str">
        <f t="shared" si="55"/>
        <v/>
      </c>
      <c r="X90">
        <f t="shared" si="74"/>
        <v>0</v>
      </c>
      <c r="Y90">
        <f t="shared" si="75"/>
        <v>0</v>
      </c>
      <c r="Z90">
        <f t="shared" si="76"/>
        <v>1</v>
      </c>
      <c r="AA90">
        <f t="shared" si="77"/>
        <v>0</v>
      </c>
      <c r="AB90">
        <f t="shared" si="78"/>
        <v>0</v>
      </c>
      <c r="AC90">
        <f t="shared" si="79"/>
        <v>0</v>
      </c>
    </row>
    <row r="91" spans="1:31" x14ac:dyDescent="0.2">
      <c r="A91" s="21"/>
      <c r="B91" s="21">
        <v>1</v>
      </c>
      <c r="C91" s="21">
        <v>0</v>
      </c>
      <c r="D91" s="21">
        <v>1</v>
      </c>
      <c r="E91" s="21">
        <v>0</v>
      </c>
      <c r="F91" s="21">
        <v>1</v>
      </c>
      <c r="G91" s="21">
        <v>0</v>
      </c>
      <c r="H91" s="21">
        <v>0</v>
      </c>
      <c r="I91" s="21">
        <v>0</v>
      </c>
      <c r="L91" t="str">
        <f t="shared" si="73"/>
        <v>_x000F_</v>
      </c>
      <c r="M91">
        <v>10</v>
      </c>
      <c r="N91" s="23" t="str">
        <f t="shared" si="64"/>
        <v>#</v>
      </c>
      <c r="O91" s="7" t="str">
        <f t="shared" si="65"/>
        <v/>
      </c>
      <c r="P91" s="7" t="str">
        <f t="shared" si="66"/>
        <v>#</v>
      </c>
      <c r="Q91" s="7" t="str">
        <f t="shared" si="67"/>
        <v/>
      </c>
      <c r="R91" s="17" t="str">
        <f t="shared" si="68"/>
        <v>#</v>
      </c>
      <c r="S91" s="8" t="str">
        <f t="shared" si="69"/>
        <v/>
      </c>
      <c r="T91" s="2" t="str">
        <f t="shared" si="70"/>
        <v/>
      </c>
      <c r="U91" s="2" t="str">
        <f t="shared" si="71"/>
        <v/>
      </c>
      <c r="V91" t="str">
        <f t="shared" si="55"/>
        <v/>
      </c>
      <c r="X91">
        <f t="shared" si="74"/>
        <v>0</v>
      </c>
      <c r="Y91">
        <f t="shared" si="75"/>
        <v>0</v>
      </c>
      <c r="Z91">
        <f t="shared" si="76"/>
        <v>0</v>
      </c>
      <c r="AA91">
        <f t="shared" si="77"/>
        <v>0</v>
      </c>
      <c r="AB91">
        <f t="shared" si="78"/>
        <v>0</v>
      </c>
      <c r="AC91">
        <f t="shared" si="79"/>
        <v>0</v>
      </c>
    </row>
    <row r="92" spans="1:31" x14ac:dyDescent="0.2">
      <c r="A92" s="21"/>
      <c r="B92" s="21">
        <v>1</v>
      </c>
      <c r="C92" s="21">
        <v>1</v>
      </c>
      <c r="D92" s="21">
        <v>0</v>
      </c>
      <c r="E92" s="21">
        <v>0</v>
      </c>
      <c r="F92" s="21">
        <v>1</v>
      </c>
      <c r="G92" s="21">
        <v>0</v>
      </c>
      <c r="H92" s="21">
        <v>0</v>
      </c>
      <c r="I92" s="21">
        <v>0</v>
      </c>
      <c r="L92" t="str">
        <f t="shared" si="73"/>
        <v>_x000F_</v>
      </c>
      <c r="M92">
        <v>11</v>
      </c>
      <c r="N92" s="23" t="str">
        <f t="shared" si="64"/>
        <v>#</v>
      </c>
      <c r="O92" s="7" t="str">
        <f t="shared" si="65"/>
        <v>#</v>
      </c>
      <c r="P92" s="7" t="str">
        <f t="shared" si="66"/>
        <v/>
      </c>
      <c r="Q92" s="7" t="str">
        <f t="shared" si="67"/>
        <v/>
      </c>
      <c r="R92" s="17" t="str">
        <f t="shared" si="68"/>
        <v>#</v>
      </c>
      <c r="S92" s="8" t="str">
        <f t="shared" si="69"/>
        <v/>
      </c>
      <c r="T92" s="2" t="str">
        <f t="shared" si="70"/>
        <v/>
      </c>
      <c r="U92" s="2" t="str">
        <f t="shared" si="71"/>
        <v/>
      </c>
      <c r="V92" t="str">
        <f t="shared" si="55"/>
        <v/>
      </c>
      <c r="X92">
        <f t="shared" si="74"/>
        <v>0</v>
      </c>
      <c r="Y92">
        <f t="shared" si="75"/>
        <v>1</v>
      </c>
      <c r="Z92">
        <f t="shared" si="76"/>
        <v>0</v>
      </c>
      <c r="AA92">
        <f t="shared" si="77"/>
        <v>0</v>
      </c>
      <c r="AB92">
        <f t="shared" si="78"/>
        <v>0</v>
      </c>
      <c r="AC92">
        <f t="shared" si="79"/>
        <v>0</v>
      </c>
    </row>
    <row r="93" spans="1:31" x14ac:dyDescent="0.2">
      <c r="A93" s="21"/>
      <c r="B93" s="21">
        <v>1</v>
      </c>
      <c r="C93" s="21">
        <v>1</v>
      </c>
      <c r="D93" s="21">
        <v>0</v>
      </c>
      <c r="E93" s="21">
        <v>0</v>
      </c>
      <c r="F93" s="21">
        <v>1</v>
      </c>
      <c r="G93" s="21">
        <v>0</v>
      </c>
      <c r="H93" s="21">
        <v>0</v>
      </c>
      <c r="I93" s="21">
        <v>0</v>
      </c>
      <c r="L93" t="str">
        <f t="shared" si="73"/>
        <v>_x000F_</v>
      </c>
      <c r="M93">
        <v>12</v>
      </c>
      <c r="N93" s="23" t="str">
        <f t="shared" si="64"/>
        <v>#</v>
      </c>
      <c r="O93" s="7" t="str">
        <f t="shared" si="65"/>
        <v>#</v>
      </c>
      <c r="P93" s="7" t="str">
        <f t="shared" si="66"/>
        <v/>
      </c>
      <c r="Q93" s="7" t="str">
        <f t="shared" si="67"/>
        <v/>
      </c>
      <c r="R93" s="17" t="str">
        <f t="shared" si="68"/>
        <v>#</v>
      </c>
      <c r="S93" s="8" t="str">
        <f t="shared" si="69"/>
        <v/>
      </c>
      <c r="T93" s="2" t="str">
        <f t="shared" si="70"/>
        <v/>
      </c>
      <c r="U93" s="2" t="str">
        <f t="shared" si="71"/>
        <v/>
      </c>
      <c r="V93" t="str">
        <f t="shared" si="55"/>
        <v/>
      </c>
      <c r="X93">
        <f t="shared" si="74"/>
        <v>0</v>
      </c>
      <c r="Y93">
        <f t="shared" si="75"/>
        <v>0</v>
      </c>
      <c r="Z93">
        <f t="shared" si="76"/>
        <v>0</v>
      </c>
      <c r="AA93">
        <f t="shared" si="77"/>
        <v>0</v>
      </c>
      <c r="AB93">
        <f t="shared" si="78"/>
        <v>0</v>
      </c>
      <c r="AC93">
        <f t="shared" si="79"/>
        <v>0</v>
      </c>
    </row>
    <row r="94" spans="1:31" x14ac:dyDescent="0.2">
      <c r="A94" s="21"/>
      <c r="B94" s="21">
        <v>1</v>
      </c>
      <c r="C94" s="21">
        <v>1</v>
      </c>
      <c r="D94" s="21">
        <v>1</v>
      </c>
      <c r="E94" s="21">
        <v>1</v>
      </c>
      <c r="F94" s="21">
        <v>1</v>
      </c>
      <c r="G94" s="21">
        <v>0</v>
      </c>
      <c r="H94" s="21">
        <v>0</v>
      </c>
      <c r="I94" s="21">
        <v>0</v>
      </c>
      <c r="L94" t="str">
        <f t="shared" si="73"/>
        <v>_x000F_</v>
      </c>
      <c r="M94">
        <v>13</v>
      </c>
      <c r="N94" s="6" t="str">
        <f t="shared" si="64"/>
        <v>#</v>
      </c>
      <c r="O94" s="7" t="str">
        <f t="shared" si="65"/>
        <v>#</v>
      </c>
      <c r="P94" s="7" t="str">
        <f t="shared" si="66"/>
        <v>#</v>
      </c>
      <c r="Q94" s="7" t="str">
        <f t="shared" si="67"/>
        <v>#</v>
      </c>
      <c r="R94" s="17" t="str">
        <f t="shared" si="68"/>
        <v>#</v>
      </c>
      <c r="S94" s="8" t="str">
        <f t="shared" si="69"/>
        <v/>
      </c>
      <c r="T94" s="2" t="str">
        <f t="shared" si="70"/>
        <v/>
      </c>
      <c r="U94" s="2" t="str">
        <f t="shared" si="71"/>
        <v/>
      </c>
      <c r="V94" t="str">
        <f t="shared" si="55"/>
        <v/>
      </c>
      <c r="X94">
        <f t="shared" si="74"/>
        <v>0</v>
      </c>
      <c r="Y94">
        <f t="shared" si="75"/>
        <v>0</v>
      </c>
      <c r="Z94">
        <f t="shared" si="76"/>
        <v>1</v>
      </c>
      <c r="AA94">
        <f t="shared" si="77"/>
        <v>1</v>
      </c>
      <c r="AB94">
        <f t="shared" si="78"/>
        <v>0</v>
      </c>
      <c r="AC94">
        <f t="shared" si="79"/>
        <v>0</v>
      </c>
    </row>
    <row r="95" spans="1:31" ht="13.5" thickBot="1" x14ac:dyDescent="0.25">
      <c r="A95" s="21"/>
      <c r="B95" s="21">
        <v>0</v>
      </c>
      <c r="C95" s="21">
        <v>1</v>
      </c>
      <c r="D95" s="21">
        <v>1</v>
      </c>
      <c r="E95" s="21">
        <v>1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73"/>
        <v>_x000F_</v>
      </c>
      <c r="M95">
        <v>14</v>
      </c>
      <c r="N95" s="18" t="str">
        <f t="shared" si="64"/>
        <v/>
      </c>
      <c r="O95" s="19" t="str">
        <f t="shared" si="65"/>
        <v>#</v>
      </c>
      <c r="P95" s="19" t="str">
        <f t="shared" si="66"/>
        <v>#</v>
      </c>
      <c r="Q95" s="19" t="str">
        <f t="shared" si="67"/>
        <v>#</v>
      </c>
      <c r="R95" s="20" t="str">
        <f t="shared" si="68"/>
        <v/>
      </c>
      <c r="S95" s="8" t="str">
        <f t="shared" si="69"/>
        <v/>
      </c>
      <c r="T95" s="2" t="str">
        <f t="shared" si="70"/>
        <v/>
      </c>
      <c r="U95" s="2" t="str">
        <f t="shared" si="71"/>
        <v/>
      </c>
      <c r="V95" t="str">
        <f t="shared" si="55"/>
        <v/>
      </c>
      <c r="X95">
        <f t="shared" si="74"/>
        <v>0</v>
      </c>
      <c r="Y95">
        <f t="shared" si="75"/>
        <v>0</v>
      </c>
      <c r="Z95">
        <f t="shared" si="76"/>
        <v>0</v>
      </c>
      <c r="AA95">
        <f t="shared" si="77"/>
        <v>0</v>
      </c>
      <c r="AB95">
        <f t="shared" si="78"/>
        <v>0</v>
      </c>
      <c r="AC95">
        <f t="shared" si="79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73"/>
        <v>_x000F_</v>
      </c>
      <c r="M96">
        <v>15</v>
      </c>
      <c r="N96" s="9" t="str">
        <f t="shared" si="64"/>
        <v/>
      </c>
      <c r="O96" s="10" t="str">
        <f t="shared" si="65"/>
        <v/>
      </c>
      <c r="P96" s="10" t="str">
        <f t="shared" si="66"/>
        <v/>
      </c>
      <c r="Q96" s="10" t="str">
        <f t="shared" si="67"/>
        <v/>
      </c>
      <c r="R96" s="10" t="str">
        <f t="shared" si="68"/>
        <v/>
      </c>
      <c r="S96" s="11" t="str">
        <f t="shared" si="69"/>
        <v/>
      </c>
      <c r="T96" s="2" t="str">
        <f t="shared" si="70"/>
        <v/>
      </c>
      <c r="U96" s="2" t="str">
        <f t="shared" si="71"/>
        <v/>
      </c>
      <c r="V96" t="str">
        <f t="shared" si="55"/>
        <v/>
      </c>
      <c r="X96">
        <f t="shared" si="74"/>
        <v>0</v>
      </c>
      <c r="Y96">
        <f t="shared" si="75"/>
        <v>0</v>
      </c>
      <c r="Z96">
        <f t="shared" si="76"/>
        <v>0</v>
      </c>
      <c r="AA96">
        <f t="shared" si="77"/>
        <v>0</v>
      </c>
      <c r="AB96">
        <f t="shared" si="78"/>
        <v>0</v>
      </c>
      <c r="AC96">
        <f t="shared" si="79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73"/>
        <v>_x000F_</v>
      </c>
      <c r="M97">
        <v>16</v>
      </c>
      <c r="N97" s="12" t="str">
        <f t="shared" si="64"/>
        <v/>
      </c>
      <c r="O97" s="13" t="str">
        <f t="shared" si="65"/>
        <v/>
      </c>
      <c r="P97" s="13" t="str">
        <f t="shared" si="66"/>
        <v/>
      </c>
      <c r="Q97" s="13" t="str">
        <f t="shared" si="67"/>
        <v/>
      </c>
      <c r="R97" s="13" t="str">
        <f t="shared" si="68"/>
        <v/>
      </c>
      <c r="S97" s="14" t="str">
        <f t="shared" si="69"/>
        <v/>
      </c>
      <c r="T97" s="2" t="str">
        <f t="shared" si="70"/>
        <v/>
      </c>
      <c r="U97" s="2" t="str">
        <f t="shared" si="71"/>
        <v/>
      </c>
      <c r="V97" t="str">
        <f t="shared" si="55"/>
        <v/>
      </c>
      <c r="X97">
        <f t="shared" si="74"/>
        <v>0</v>
      </c>
      <c r="Y97">
        <f t="shared" si="75"/>
        <v>0</v>
      </c>
      <c r="Z97">
        <f t="shared" si="76"/>
        <v>0</v>
      </c>
      <c r="AA97">
        <f t="shared" si="77"/>
        <v>0</v>
      </c>
      <c r="AB97">
        <f t="shared" si="78"/>
        <v>0</v>
      </c>
      <c r="AC97">
        <f t="shared" si="79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80">IF(B98&gt;0,"#","")</f>
        <v/>
      </c>
      <c r="O98" t="str">
        <f t="shared" ref="O98:O161" si="81">IF(C98&gt;0,"#","")</f>
        <v/>
      </c>
      <c r="P98" t="str">
        <f t="shared" ref="P98:P161" si="82">IF(D98&gt;0,"#","")</f>
        <v/>
      </c>
      <c r="Q98" t="str">
        <f t="shared" ref="Q98:Q161" si="83">IF(E98&gt;0,"#","")</f>
        <v/>
      </c>
      <c r="R98" t="str">
        <f t="shared" ref="R98:R161" si="84">IF(F98&gt;0,"#","")</f>
        <v/>
      </c>
      <c r="S98" t="str">
        <f t="shared" ref="S98:S161" si="85">IF(G98&gt;0,"#","")</f>
        <v/>
      </c>
      <c r="T98" s="2" t="str">
        <f t="shared" ref="T98:T161" si="86">IF(H98&gt;0,"#","")</f>
        <v/>
      </c>
      <c r="U98" s="2" t="str">
        <f t="shared" ref="U98:U161" si="87">IF(I98&gt;0,"#","")</f>
        <v/>
      </c>
      <c r="V98" t="str">
        <f t="shared" si="55"/>
        <v/>
      </c>
      <c r="W98">
        <f>SUM(B100:G113)</f>
        <v>35</v>
      </c>
      <c r="AD98">
        <f t="shared" ref="AD98" si="88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9">L98</f>
        <v>_x0010_</v>
      </c>
      <c r="M99">
        <v>2</v>
      </c>
      <c r="N99" t="str">
        <f t="shared" si="80"/>
        <v/>
      </c>
      <c r="O99" t="str">
        <f t="shared" si="81"/>
        <v/>
      </c>
      <c r="P99" t="str">
        <f t="shared" si="82"/>
        <v/>
      </c>
      <c r="Q99" t="str">
        <f t="shared" si="83"/>
        <v/>
      </c>
      <c r="R99" t="str">
        <f t="shared" si="84"/>
        <v/>
      </c>
      <c r="S99" t="str">
        <f t="shared" si="85"/>
        <v/>
      </c>
      <c r="T99" s="2" t="str">
        <f t="shared" si="86"/>
        <v/>
      </c>
      <c r="U99" s="2" t="str">
        <f t="shared" si="87"/>
        <v/>
      </c>
      <c r="V99" t="str">
        <f t="shared" si="55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9"/>
        <v>_x0010_</v>
      </c>
      <c r="M100">
        <v>3</v>
      </c>
      <c r="N100" s="3" t="str">
        <f t="shared" si="80"/>
        <v>#</v>
      </c>
      <c r="O100" s="4" t="str">
        <f t="shared" si="81"/>
        <v>#</v>
      </c>
      <c r="P100" s="4" t="str">
        <f t="shared" si="82"/>
        <v>#</v>
      </c>
      <c r="Q100" s="4" t="str">
        <f t="shared" si="83"/>
        <v>#</v>
      </c>
      <c r="R100" s="4" t="str">
        <f t="shared" si="84"/>
        <v>#</v>
      </c>
      <c r="S100" s="5" t="str">
        <f t="shared" si="85"/>
        <v/>
      </c>
      <c r="T100" s="2" t="str">
        <f t="shared" si="86"/>
        <v/>
      </c>
      <c r="U100" s="2" t="str">
        <f t="shared" si="87"/>
        <v/>
      </c>
      <c r="V100" t="str">
        <f t="shared" si="55"/>
        <v/>
      </c>
      <c r="X100">
        <f t="shared" ref="X100:X113" si="90">MAX(B100-B99,0)</f>
        <v>1</v>
      </c>
      <c r="Y100">
        <f t="shared" ref="Y100:Y113" si="91">MAX(C100-C99,0)</f>
        <v>1</v>
      </c>
      <c r="Z100">
        <f t="shared" ref="Z100:Z113" si="92">MAX(D100-D99,0)</f>
        <v>1</v>
      </c>
      <c r="AA100">
        <f t="shared" ref="AA100:AA113" si="93">MAX(E100-E99,0)</f>
        <v>1</v>
      </c>
      <c r="AB100">
        <f t="shared" ref="AB100:AB113" si="94">MAX(F100-F99,0)</f>
        <v>1</v>
      </c>
      <c r="AC100">
        <f t="shared" ref="AC100:AC113" si="95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9"/>
        <v>_x0010_</v>
      </c>
      <c r="M101">
        <v>4</v>
      </c>
      <c r="N101" s="6" t="str">
        <f t="shared" si="80"/>
        <v/>
      </c>
      <c r="O101" s="7" t="str">
        <f t="shared" si="81"/>
        <v>#</v>
      </c>
      <c r="P101" s="7" t="str">
        <f t="shared" si="82"/>
        <v>#</v>
      </c>
      <c r="Q101" s="7" t="str">
        <f t="shared" si="83"/>
        <v>#</v>
      </c>
      <c r="R101" s="7" t="str">
        <f t="shared" si="84"/>
        <v>#</v>
      </c>
      <c r="S101" s="8" t="str">
        <f t="shared" si="85"/>
        <v/>
      </c>
      <c r="T101" s="2" t="str">
        <f t="shared" si="86"/>
        <v/>
      </c>
      <c r="U101" s="2" t="str">
        <f t="shared" si="87"/>
        <v/>
      </c>
      <c r="V101" t="str">
        <f t="shared" si="55"/>
        <v/>
      </c>
      <c r="X101">
        <f t="shared" si="90"/>
        <v>0</v>
      </c>
      <c r="Y101">
        <f t="shared" si="91"/>
        <v>0</v>
      </c>
      <c r="Z101">
        <f t="shared" si="92"/>
        <v>0</v>
      </c>
      <c r="AA101">
        <f t="shared" si="93"/>
        <v>0</v>
      </c>
      <c r="AB101">
        <f t="shared" si="94"/>
        <v>0</v>
      </c>
      <c r="AC101">
        <f t="shared" si="95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9"/>
        <v>_x0010_</v>
      </c>
      <c r="M102">
        <v>5</v>
      </c>
      <c r="N102" s="22" t="str">
        <f t="shared" si="80"/>
        <v/>
      </c>
      <c r="O102" s="15" t="str">
        <f t="shared" si="81"/>
        <v/>
      </c>
      <c r="P102" s="15" t="str">
        <f t="shared" si="82"/>
        <v>#</v>
      </c>
      <c r="Q102" s="15" t="str">
        <f t="shared" si="83"/>
        <v>#</v>
      </c>
      <c r="R102" s="16" t="str">
        <f t="shared" si="84"/>
        <v>#</v>
      </c>
      <c r="S102" s="8" t="str">
        <f t="shared" si="85"/>
        <v/>
      </c>
      <c r="T102" s="2" t="str">
        <f t="shared" si="86"/>
        <v/>
      </c>
      <c r="U102" s="2" t="str">
        <f t="shared" si="87"/>
        <v/>
      </c>
      <c r="V102" t="str">
        <f t="shared" si="55"/>
        <v/>
      </c>
      <c r="X102">
        <f t="shared" si="90"/>
        <v>0</v>
      </c>
      <c r="Y102">
        <f t="shared" si="91"/>
        <v>0</v>
      </c>
      <c r="Z102">
        <f t="shared" si="92"/>
        <v>0</v>
      </c>
      <c r="AA102">
        <f t="shared" si="93"/>
        <v>0</v>
      </c>
      <c r="AB102">
        <f t="shared" si="94"/>
        <v>0</v>
      </c>
      <c r="AC102">
        <f t="shared" si="95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9"/>
        <v>_x0010_</v>
      </c>
      <c r="M103">
        <v>6</v>
      </c>
      <c r="N103" s="23" t="str">
        <f t="shared" si="80"/>
        <v/>
      </c>
      <c r="O103" s="7" t="str">
        <f t="shared" si="81"/>
        <v/>
      </c>
      <c r="P103" s="7" t="str">
        <f t="shared" si="82"/>
        <v/>
      </c>
      <c r="Q103" s="7" t="str">
        <f t="shared" si="83"/>
        <v>#</v>
      </c>
      <c r="R103" s="17" t="str">
        <f t="shared" si="84"/>
        <v>#</v>
      </c>
      <c r="S103" s="8" t="str">
        <f t="shared" si="85"/>
        <v/>
      </c>
      <c r="T103" s="2" t="str">
        <f t="shared" si="86"/>
        <v/>
      </c>
      <c r="U103" s="2" t="str">
        <f t="shared" si="87"/>
        <v/>
      </c>
      <c r="V103" t="str">
        <f t="shared" si="55"/>
        <v/>
      </c>
      <c r="X103">
        <f t="shared" si="90"/>
        <v>0</v>
      </c>
      <c r="Y103">
        <f t="shared" si="91"/>
        <v>0</v>
      </c>
      <c r="Z103">
        <f t="shared" si="92"/>
        <v>0</v>
      </c>
      <c r="AA103">
        <f t="shared" si="93"/>
        <v>0</v>
      </c>
      <c r="AB103">
        <f t="shared" si="94"/>
        <v>0</v>
      </c>
      <c r="AC103">
        <f t="shared" si="95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9"/>
        <v>_x0010_</v>
      </c>
      <c r="M104">
        <v>7</v>
      </c>
      <c r="N104" s="23" t="str">
        <f t="shared" si="80"/>
        <v/>
      </c>
      <c r="O104" s="7" t="str">
        <f t="shared" si="81"/>
        <v/>
      </c>
      <c r="P104" s="7" t="str">
        <f t="shared" si="82"/>
        <v/>
      </c>
      <c r="Q104" s="7" t="str">
        <f t="shared" si="83"/>
        <v/>
      </c>
      <c r="R104" s="17" t="str">
        <f t="shared" si="84"/>
        <v>#</v>
      </c>
      <c r="S104" s="8" t="str">
        <f t="shared" si="85"/>
        <v/>
      </c>
      <c r="T104" s="2" t="str">
        <f t="shared" si="86"/>
        <v/>
      </c>
      <c r="U104" s="2" t="str">
        <f t="shared" si="87"/>
        <v/>
      </c>
      <c r="V104" t="str">
        <f t="shared" si="55"/>
        <v/>
      </c>
      <c r="X104">
        <f t="shared" si="90"/>
        <v>0</v>
      </c>
      <c r="Y104">
        <f t="shared" si="91"/>
        <v>0</v>
      </c>
      <c r="Z104">
        <f t="shared" si="92"/>
        <v>0</v>
      </c>
      <c r="AA104">
        <f t="shared" si="93"/>
        <v>0</v>
      </c>
      <c r="AB104">
        <f t="shared" si="94"/>
        <v>0</v>
      </c>
      <c r="AC104">
        <f t="shared" si="95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9"/>
        <v>_x0010_</v>
      </c>
      <c r="M105">
        <v>8</v>
      </c>
      <c r="N105" s="23" t="str">
        <f t="shared" si="80"/>
        <v/>
      </c>
      <c r="O105" s="7" t="str">
        <f t="shared" si="81"/>
        <v/>
      </c>
      <c r="P105" s="7" t="str">
        <f t="shared" si="82"/>
        <v/>
      </c>
      <c r="Q105" s="7" t="str">
        <f t="shared" si="83"/>
        <v/>
      </c>
      <c r="R105" s="17" t="str">
        <f t="shared" si="84"/>
        <v/>
      </c>
      <c r="S105" s="8" t="str">
        <f t="shared" si="85"/>
        <v/>
      </c>
      <c r="T105" s="2" t="str">
        <f t="shared" si="86"/>
        <v/>
      </c>
      <c r="U105" s="2" t="str">
        <f t="shared" si="87"/>
        <v/>
      </c>
      <c r="V105" t="str">
        <f t="shared" si="55"/>
        <v/>
      </c>
      <c r="X105">
        <f t="shared" si="90"/>
        <v>0</v>
      </c>
      <c r="Y105">
        <f t="shared" si="91"/>
        <v>0</v>
      </c>
      <c r="Z105">
        <f t="shared" si="92"/>
        <v>0</v>
      </c>
      <c r="AA105">
        <f t="shared" si="93"/>
        <v>0</v>
      </c>
      <c r="AB105">
        <f t="shared" si="94"/>
        <v>0</v>
      </c>
      <c r="AC105">
        <f t="shared" si="95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9"/>
        <v>_x0010_</v>
      </c>
      <c r="M106">
        <v>9</v>
      </c>
      <c r="N106" s="23" t="str">
        <f t="shared" si="80"/>
        <v/>
      </c>
      <c r="O106" s="7" t="str">
        <f t="shared" si="81"/>
        <v/>
      </c>
      <c r="P106" s="7" t="str">
        <f t="shared" si="82"/>
        <v/>
      </c>
      <c r="Q106" s="7" t="str">
        <f t="shared" si="83"/>
        <v/>
      </c>
      <c r="R106" s="17" t="str">
        <f t="shared" si="84"/>
        <v/>
      </c>
      <c r="S106" s="8" t="str">
        <f t="shared" si="85"/>
        <v/>
      </c>
      <c r="T106" s="2" t="str">
        <f t="shared" si="86"/>
        <v/>
      </c>
      <c r="U106" s="2" t="str">
        <f t="shared" si="87"/>
        <v/>
      </c>
      <c r="V106" t="str">
        <f t="shared" si="55"/>
        <v/>
      </c>
      <c r="X106">
        <f t="shared" si="90"/>
        <v>0</v>
      </c>
      <c r="Y106">
        <f t="shared" si="91"/>
        <v>0</v>
      </c>
      <c r="Z106">
        <f t="shared" si="92"/>
        <v>0</v>
      </c>
      <c r="AA106">
        <f t="shared" si="93"/>
        <v>0</v>
      </c>
      <c r="AB106">
        <f t="shared" si="94"/>
        <v>0</v>
      </c>
      <c r="AC106">
        <f t="shared" si="95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9"/>
        <v>_x0010_</v>
      </c>
      <c r="M107">
        <v>10</v>
      </c>
      <c r="N107" s="23" t="str">
        <f t="shared" si="80"/>
        <v/>
      </c>
      <c r="O107" s="7" t="str">
        <f t="shared" si="81"/>
        <v/>
      </c>
      <c r="P107" s="7" t="str">
        <f t="shared" si="82"/>
        <v/>
      </c>
      <c r="Q107" s="7" t="str">
        <f t="shared" si="83"/>
        <v/>
      </c>
      <c r="R107" s="17" t="str">
        <f t="shared" si="84"/>
        <v/>
      </c>
      <c r="S107" s="8" t="str">
        <f t="shared" si="85"/>
        <v/>
      </c>
      <c r="T107" s="2" t="str">
        <f t="shared" si="86"/>
        <v/>
      </c>
      <c r="U107" s="2" t="str">
        <f t="shared" si="87"/>
        <v/>
      </c>
      <c r="V107" t="str">
        <f t="shared" si="55"/>
        <v/>
      </c>
      <c r="X107">
        <f t="shared" si="90"/>
        <v>0</v>
      </c>
      <c r="Y107">
        <f t="shared" si="91"/>
        <v>0</v>
      </c>
      <c r="Z107">
        <f t="shared" si="92"/>
        <v>0</v>
      </c>
      <c r="AA107">
        <f t="shared" si="93"/>
        <v>0</v>
      </c>
      <c r="AB107">
        <f t="shared" si="94"/>
        <v>0</v>
      </c>
      <c r="AC107">
        <f t="shared" si="95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9"/>
        <v>_x0010_</v>
      </c>
      <c r="M108">
        <v>11</v>
      </c>
      <c r="N108" s="23" t="str">
        <f t="shared" si="80"/>
        <v>#</v>
      </c>
      <c r="O108" s="7" t="str">
        <f t="shared" si="81"/>
        <v/>
      </c>
      <c r="P108" s="7" t="str">
        <f t="shared" si="82"/>
        <v/>
      </c>
      <c r="Q108" s="7" t="str">
        <f t="shared" si="83"/>
        <v/>
      </c>
      <c r="R108" s="17" t="str">
        <f t="shared" si="84"/>
        <v/>
      </c>
      <c r="S108" s="8" t="str">
        <f t="shared" si="85"/>
        <v/>
      </c>
      <c r="T108" s="2" t="str">
        <f t="shared" si="86"/>
        <v/>
      </c>
      <c r="U108" s="2" t="str">
        <f t="shared" si="87"/>
        <v/>
      </c>
      <c r="V108" t="str">
        <f t="shared" si="55"/>
        <v/>
      </c>
      <c r="X108">
        <f t="shared" si="90"/>
        <v>1</v>
      </c>
      <c r="Y108">
        <f t="shared" si="91"/>
        <v>0</v>
      </c>
      <c r="Z108">
        <f t="shared" si="92"/>
        <v>0</v>
      </c>
      <c r="AA108">
        <f t="shared" si="93"/>
        <v>0</v>
      </c>
      <c r="AB108">
        <f t="shared" si="94"/>
        <v>0</v>
      </c>
      <c r="AC108">
        <f t="shared" si="95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9"/>
        <v>_x0010_</v>
      </c>
      <c r="M109">
        <v>12</v>
      </c>
      <c r="N109" s="23" t="str">
        <f t="shared" si="80"/>
        <v>#</v>
      </c>
      <c r="O109" s="7" t="str">
        <f t="shared" si="81"/>
        <v>#</v>
      </c>
      <c r="P109" s="7" t="str">
        <f t="shared" si="82"/>
        <v/>
      </c>
      <c r="Q109" s="7" t="str">
        <f t="shared" si="83"/>
        <v/>
      </c>
      <c r="R109" s="17" t="str">
        <f t="shared" si="84"/>
        <v/>
      </c>
      <c r="S109" s="8" t="str">
        <f t="shared" si="85"/>
        <v/>
      </c>
      <c r="T109" s="2" t="str">
        <f t="shared" si="86"/>
        <v/>
      </c>
      <c r="U109" s="2" t="str">
        <f t="shared" si="87"/>
        <v/>
      </c>
      <c r="V109" t="str">
        <f t="shared" si="55"/>
        <v/>
      </c>
      <c r="X109">
        <f t="shared" si="90"/>
        <v>0</v>
      </c>
      <c r="Y109">
        <f t="shared" si="91"/>
        <v>1</v>
      </c>
      <c r="Z109">
        <f t="shared" si="92"/>
        <v>0</v>
      </c>
      <c r="AA109">
        <f t="shared" si="93"/>
        <v>0</v>
      </c>
      <c r="AB109">
        <f t="shared" si="94"/>
        <v>0</v>
      </c>
      <c r="AC109">
        <f t="shared" si="95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9"/>
        <v>_x0010_</v>
      </c>
      <c r="M110">
        <v>13</v>
      </c>
      <c r="N110" s="6" t="str">
        <f t="shared" si="80"/>
        <v>#</v>
      </c>
      <c r="O110" s="7" t="str">
        <f t="shared" si="81"/>
        <v>#</v>
      </c>
      <c r="P110" s="7" t="str">
        <f t="shared" si="82"/>
        <v>#</v>
      </c>
      <c r="Q110" s="7" t="str">
        <f t="shared" si="83"/>
        <v/>
      </c>
      <c r="R110" s="17" t="str">
        <f t="shared" si="84"/>
        <v/>
      </c>
      <c r="S110" s="8" t="str">
        <f t="shared" si="85"/>
        <v/>
      </c>
      <c r="T110" s="2" t="str">
        <f t="shared" si="86"/>
        <v/>
      </c>
      <c r="U110" s="2" t="str">
        <f t="shared" si="87"/>
        <v/>
      </c>
      <c r="V110" t="str">
        <f t="shared" si="55"/>
        <v/>
      </c>
      <c r="X110">
        <f t="shared" si="90"/>
        <v>0</v>
      </c>
      <c r="Y110">
        <f t="shared" si="91"/>
        <v>0</v>
      </c>
      <c r="Z110">
        <f t="shared" si="92"/>
        <v>1</v>
      </c>
      <c r="AA110">
        <f t="shared" si="93"/>
        <v>0</v>
      </c>
      <c r="AB110">
        <f t="shared" si="94"/>
        <v>0</v>
      </c>
      <c r="AC110">
        <f t="shared" si="95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9"/>
        <v>_x0010_</v>
      </c>
      <c r="M111">
        <v>14</v>
      </c>
      <c r="N111" s="18" t="str">
        <f t="shared" si="80"/>
        <v>#</v>
      </c>
      <c r="O111" s="19" t="str">
        <f t="shared" si="81"/>
        <v>#</v>
      </c>
      <c r="P111" s="19" t="str">
        <f t="shared" si="82"/>
        <v>#</v>
      </c>
      <c r="Q111" s="19" t="str">
        <f t="shared" si="83"/>
        <v>#</v>
      </c>
      <c r="R111" s="20" t="str">
        <f t="shared" si="84"/>
        <v/>
      </c>
      <c r="S111" s="8" t="str">
        <f t="shared" si="85"/>
        <v/>
      </c>
      <c r="T111" s="2" t="str">
        <f t="shared" si="86"/>
        <v/>
      </c>
      <c r="U111" s="2" t="str">
        <f t="shared" si="87"/>
        <v/>
      </c>
      <c r="V111" t="str">
        <f t="shared" si="55"/>
        <v/>
      </c>
      <c r="X111">
        <f t="shared" si="90"/>
        <v>0</v>
      </c>
      <c r="Y111">
        <f t="shared" si="91"/>
        <v>0</v>
      </c>
      <c r="Z111">
        <f t="shared" si="92"/>
        <v>0</v>
      </c>
      <c r="AA111">
        <f t="shared" si="93"/>
        <v>1</v>
      </c>
      <c r="AB111">
        <f t="shared" si="94"/>
        <v>0</v>
      </c>
      <c r="AC111">
        <f t="shared" si="95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9"/>
        <v>_x0010_</v>
      </c>
      <c r="M112">
        <v>15</v>
      </c>
      <c r="N112" s="9" t="str">
        <f t="shared" si="80"/>
        <v>#</v>
      </c>
      <c r="O112" s="10" t="str">
        <f t="shared" si="81"/>
        <v>#</v>
      </c>
      <c r="P112" s="10" t="str">
        <f t="shared" si="82"/>
        <v>#</v>
      </c>
      <c r="Q112" s="10" t="str">
        <f t="shared" si="83"/>
        <v>#</v>
      </c>
      <c r="R112" s="10" t="str">
        <f t="shared" si="84"/>
        <v>#</v>
      </c>
      <c r="S112" s="11" t="str">
        <f t="shared" si="85"/>
        <v/>
      </c>
      <c r="T112" s="2" t="str">
        <f t="shared" si="86"/>
        <v/>
      </c>
      <c r="U112" s="2" t="str">
        <f t="shared" si="87"/>
        <v/>
      </c>
      <c r="V112" t="str">
        <f t="shared" si="55"/>
        <v/>
      </c>
      <c r="X112">
        <f t="shared" si="90"/>
        <v>0</v>
      </c>
      <c r="Y112">
        <f t="shared" si="91"/>
        <v>0</v>
      </c>
      <c r="Z112">
        <f t="shared" si="92"/>
        <v>0</v>
      </c>
      <c r="AA112">
        <f t="shared" si="93"/>
        <v>0</v>
      </c>
      <c r="AB112">
        <f t="shared" si="94"/>
        <v>1</v>
      </c>
      <c r="AC112">
        <f t="shared" si="95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9"/>
        <v>_x0010_</v>
      </c>
      <c r="M113">
        <v>16</v>
      </c>
      <c r="N113" s="12" t="str">
        <f t="shared" si="80"/>
        <v>#</v>
      </c>
      <c r="O113" s="13" t="str">
        <f t="shared" si="81"/>
        <v>#</v>
      </c>
      <c r="P113" s="13" t="str">
        <f t="shared" si="82"/>
        <v>#</v>
      </c>
      <c r="Q113" s="13" t="str">
        <f t="shared" si="83"/>
        <v>#</v>
      </c>
      <c r="R113" s="13" t="str">
        <f t="shared" si="84"/>
        <v>#</v>
      </c>
      <c r="S113" s="14" t="str">
        <f t="shared" si="85"/>
        <v/>
      </c>
      <c r="T113" s="2" t="str">
        <f t="shared" si="86"/>
        <v/>
      </c>
      <c r="U113" s="2" t="str">
        <f t="shared" si="87"/>
        <v/>
      </c>
      <c r="V113" t="str">
        <f t="shared" si="55"/>
        <v/>
      </c>
      <c r="X113">
        <f t="shared" si="90"/>
        <v>0</v>
      </c>
      <c r="Y113">
        <f t="shared" si="91"/>
        <v>0</v>
      </c>
      <c r="Z113">
        <f t="shared" si="92"/>
        <v>0</v>
      </c>
      <c r="AA113">
        <f t="shared" si="93"/>
        <v>0</v>
      </c>
      <c r="AB113">
        <f t="shared" si="94"/>
        <v>0</v>
      </c>
      <c r="AC113">
        <f t="shared" si="95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80"/>
        <v/>
      </c>
      <c r="O114" t="str">
        <f t="shared" si="81"/>
        <v/>
      </c>
      <c r="P114" t="str">
        <f t="shared" si="82"/>
        <v/>
      </c>
      <c r="Q114" t="str">
        <f t="shared" si="83"/>
        <v/>
      </c>
      <c r="R114" t="str">
        <f t="shared" si="84"/>
        <v/>
      </c>
      <c r="S114" t="str">
        <f t="shared" si="85"/>
        <v/>
      </c>
      <c r="T114" s="2" t="str">
        <f t="shared" si="86"/>
        <v/>
      </c>
      <c r="U114" s="2" t="str">
        <f t="shared" si="87"/>
        <v/>
      </c>
      <c r="V114" t="str">
        <f t="shared" si="55"/>
        <v/>
      </c>
      <c r="W114">
        <f>SUM(B116:G129)</f>
        <v>42</v>
      </c>
      <c r="AD114">
        <f t="shared" ref="AD114" si="96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7">L114</f>
        <v>_x0011_</v>
      </c>
      <c r="M115">
        <v>2</v>
      </c>
      <c r="N115" t="str">
        <f t="shared" si="80"/>
        <v/>
      </c>
      <c r="O115" t="str">
        <f t="shared" si="81"/>
        <v/>
      </c>
      <c r="P115" t="str">
        <f t="shared" si="82"/>
        <v/>
      </c>
      <c r="Q115" t="str">
        <f t="shared" si="83"/>
        <v/>
      </c>
      <c r="R115" t="str">
        <f t="shared" si="84"/>
        <v/>
      </c>
      <c r="S115" t="str">
        <f t="shared" si="85"/>
        <v/>
      </c>
      <c r="T115" s="2" t="str">
        <f t="shared" si="86"/>
        <v/>
      </c>
      <c r="U115" s="2" t="str">
        <f t="shared" si="87"/>
        <v/>
      </c>
      <c r="V115" t="str">
        <f t="shared" si="55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7"/>
        <v>_x0011_</v>
      </c>
      <c r="M116">
        <v>3</v>
      </c>
      <c r="N116" s="3" t="str">
        <f t="shared" si="80"/>
        <v/>
      </c>
      <c r="O116" s="4" t="str">
        <f t="shared" si="81"/>
        <v>#</v>
      </c>
      <c r="P116" s="4" t="str">
        <f t="shared" si="82"/>
        <v/>
      </c>
      <c r="Q116" s="4" t="str">
        <f t="shared" si="83"/>
        <v>#</v>
      </c>
      <c r="R116" s="4" t="str">
        <f t="shared" si="84"/>
        <v/>
      </c>
      <c r="S116" s="5" t="str">
        <f t="shared" si="85"/>
        <v>#</v>
      </c>
      <c r="T116" s="2" t="str">
        <f t="shared" si="86"/>
        <v/>
      </c>
      <c r="U116" s="2" t="str">
        <f t="shared" si="87"/>
        <v/>
      </c>
      <c r="V116" t="str">
        <f t="shared" si="55"/>
        <v/>
      </c>
      <c r="X116">
        <f t="shared" ref="X116:X129" si="98">MAX(B116-B115,0)</f>
        <v>0</v>
      </c>
      <c r="Y116">
        <f t="shared" ref="Y116:Y129" si="99">MAX(C116-C115,0)</f>
        <v>1</v>
      </c>
      <c r="Z116">
        <f t="shared" ref="Z116:Z129" si="100">MAX(D116-D115,0)</f>
        <v>0</v>
      </c>
      <c r="AA116">
        <f t="shared" ref="AA116:AA129" si="101">MAX(E116-E115,0)</f>
        <v>1</v>
      </c>
      <c r="AB116">
        <f t="shared" ref="AB116:AB129" si="102">MAX(F116-F115,0)</f>
        <v>0</v>
      </c>
      <c r="AC116">
        <f t="shared" ref="AC116:AC129" si="103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7"/>
        <v>_x0011_</v>
      </c>
      <c r="M117">
        <v>4</v>
      </c>
      <c r="N117" s="6" t="str">
        <f t="shared" si="80"/>
        <v/>
      </c>
      <c r="O117" s="7" t="str">
        <f t="shared" si="81"/>
        <v>#</v>
      </c>
      <c r="P117" s="7" t="str">
        <f t="shared" si="82"/>
        <v/>
      </c>
      <c r="Q117" s="7" t="str">
        <f t="shared" si="83"/>
        <v>#</v>
      </c>
      <c r="R117" s="7" t="str">
        <f t="shared" si="84"/>
        <v/>
      </c>
      <c r="S117" s="8" t="str">
        <f t="shared" si="85"/>
        <v>#</v>
      </c>
      <c r="T117" s="2" t="str">
        <f t="shared" si="86"/>
        <v/>
      </c>
      <c r="U117" s="2" t="str">
        <f t="shared" si="87"/>
        <v/>
      </c>
      <c r="V117" t="str">
        <f t="shared" si="55"/>
        <v/>
      </c>
      <c r="X117">
        <f t="shared" si="98"/>
        <v>0</v>
      </c>
      <c r="Y117">
        <f t="shared" si="99"/>
        <v>0</v>
      </c>
      <c r="Z117">
        <f t="shared" si="100"/>
        <v>0</v>
      </c>
      <c r="AA117">
        <f t="shared" si="101"/>
        <v>0</v>
      </c>
      <c r="AB117">
        <f t="shared" si="102"/>
        <v>0</v>
      </c>
      <c r="AC117">
        <f t="shared" si="103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7"/>
        <v>_x0011_</v>
      </c>
      <c r="M118">
        <v>5</v>
      </c>
      <c r="N118" s="22" t="str">
        <f t="shared" si="80"/>
        <v>#</v>
      </c>
      <c r="O118" s="15" t="str">
        <f t="shared" si="81"/>
        <v/>
      </c>
      <c r="P118" s="15" t="str">
        <f t="shared" si="82"/>
        <v>#</v>
      </c>
      <c r="Q118" s="15" t="str">
        <f t="shared" si="83"/>
        <v/>
      </c>
      <c r="R118" s="16" t="str">
        <f t="shared" si="84"/>
        <v>#</v>
      </c>
      <c r="S118" s="8" t="str">
        <f t="shared" si="85"/>
        <v/>
      </c>
      <c r="T118" s="2" t="str">
        <f t="shared" si="86"/>
        <v/>
      </c>
      <c r="U118" s="2" t="str">
        <f t="shared" si="87"/>
        <v/>
      </c>
      <c r="V118" t="str">
        <f t="shared" si="55"/>
        <v/>
      </c>
      <c r="X118">
        <f t="shared" si="98"/>
        <v>1</v>
      </c>
      <c r="Y118">
        <f t="shared" si="99"/>
        <v>0</v>
      </c>
      <c r="Z118">
        <f t="shared" si="100"/>
        <v>1</v>
      </c>
      <c r="AA118">
        <f t="shared" si="101"/>
        <v>0</v>
      </c>
      <c r="AB118">
        <f t="shared" si="102"/>
        <v>1</v>
      </c>
      <c r="AC118">
        <f t="shared" si="103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7"/>
        <v>_x0011_</v>
      </c>
      <c r="M119">
        <v>6</v>
      </c>
      <c r="N119" s="23" t="str">
        <f t="shared" si="80"/>
        <v>#</v>
      </c>
      <c r="O119" s="7" t="str">
        <f t="shared" si="81"/>
        <v/>
      </c>
      <c r="P119" s="7" t="str">
        <f t="shared" si="82"/>
        <v>#</v>
      </c>
      <c r="Q119" s="7" t="str">
        <f t="shared" si="83"/>
        <v/>
      </c>
      <c r="R119" s="17" t="str">
        <f t="shared" si="84"/>
        <v>#</v>
      </c>
      <c r="S119" s="8" t="str">
        <f t="shared" si="85"/>
        <v/>
      </c>
      <c r="T119" s="2" t="str">
        <f t="shared" si="86"/>
        <v/>
      </c>
      <c r="U119" s="2" t="str">
        <f t="shared" si="87"/>
        <v/>
      </c>
      <c r="V119" t="str">
        <f t="shared" si="55"/>
        <v/>
      </c>
      <c r="X119">
        <f t="shared" si="98"/>
        <v>0</v>
      </c>
      <c r="Y119">
        <f t="shared" si="99"/>
        <v>0</v>
      </c>
      <c r="Z119">
        <f t="shared" si="100"/>
        <v>0</v>
      </c>
      <c r="AA119">
        <f t="shared" si="101"/>
        <v>0</v>
      </c>
      <c r="AB119">
        <f t="shared" si="102"/>
        <v>0</v>
      </c>
      <c r="AC119">
        <f t="shared" si="103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7"/>
        <v>_x0011_</v>
      </c>
      <c r="M120">
        <v>7</v>
      </c>
      <c r="N120" s="23" t="str">
        <f t="shared" si="80"/>
        <v/>
      </c>
      <c r="O120" s="7" t="str">
        <f t="shared" si="81"/>
        <v>#</v>
      </c>
      <c r="P120" s="7" t="str">
        <f t="shared" si="82"/>
        <v/>
      </c>
      <c r="Q120" s="7" t="str">
        <f t="shared" si="83"/>
        <v>#</v>
      </c>
      <c r="R120" s="17" t="str">
        <f t="shared" si="84"/>
        <v/>
      </c>
      <c r="S120" s="8" t="str">
        <f t="shared" si="85"/>
        <v>#</v>
      </c>
      <c r="T120" s="2" t="str">
        <f t="shared" si="86"/>
        <v/>
      </c>
      <c r="U120" s="2" t="str">
        <f t="shared" si="87"/>
        <v/>
      </c>
      <c r="V120" t="str">
        <f t="shared" si="55"/>
        <v/>
      </c>
      <c r="X120">
        <f t="shared" si="98"/>
        <v>0</v>
      </c>
      <c r="Y120">
        <f t="shared" si="99"/>
        <v>1</v>
      </c>
      <c r="Z120">
        <f t="shared" si="100"/>
        <v>0</v>
      </c>
      <c r="AA120">
        <f t="shared" si="101"/>
        <v>1</v>
      </c>
      <c r="AB120">
        <f t="shared" si="102"/>
        <v>0</v>
      </c>
      <c r="AC120">
        <f t="shared" si="103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7"/>
        <v>_x0011_</v>
      </c>
      <c r="M121">
        <v>8</v>
      </c>
      <c r="N121" s="23" t="str">
        <f t="shared" si="80"/>
        <v/>
      </c>
      <c r="O121" s="7" t="str">
        <f t="shared" si="81"/>
        <v>#</v>
      </c>
      <c r="P121" s="7" t="str">
        <f t="shared" si="82"/>
        <v/>
      </c>
      <c r="Q121" s="7" t="str">
        <f t="shared" si="83"/>
        <v>#</v>
      </c>
      <c r="R121" s="17" t="str">
        <f t="shared" si="84"/>
        <v/>
      </c>
      <c r="S121" s="8" t="str">
        <f t="shared" si="85"/>
        <v>#</v>
      </c>
      <c r="T121" s="2" t="str">
        <f t="shared" si="86"/>
        <v/>
      </c>
      <c r="U121" s="2" t="str">
        <f t="shared" si="87"/>
        <v/>
      </c>
      <c r="V121" t="str">
        <f t="shared" si="55"/>
        <v/>
      </c>
      <c r="X121">
        <f t="shared" si="98"/>
        <v>0</v>
      </c>
      <c r="Y121">
        <f t="shared" si="99"/>
        <v>0</v>
      </c>
      <c r="Z121">
        <f t="shared" si="100"/>
        <v>0</v>
      </c>
      <c r="AA121">
        <f t="shared" si="101"/>
        <v>0</v>
      </c>
      <c r="AB121">
        <f t="shared" si="102"/>
        <v>0</v>
      </c>
      <c r="AC121">
        <f t="shared" si="103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7"/>
        <v>_x0011_</v>
      </c>
      <c r="M122">
        <v>9</v>
      </c>
      <c r="N122" s="23" t="str">
        <f t="shared" si="80"/>
        <v>#</v>
      </c>
      <c r="O122" s="7" t="str">
        <f t="shared" si="81"/>
        <v/>
      </c>
      <c r="P122" s="7" t="str">
        <f t="shared" si="82"/>
        <v>#</v>
      </c>
      <c r="Q122" s="7" t="str">
        <f t="shared" si="83"/>
        <v/>
      </c>
      <c r="R122" s="17" t="str">
        <f t="shared" si="84"/>
        <v>#</v>
      </c>
      <c r="S122" s="8" t="str">
        <f t="shared" si="85"/>
        <v/>
      </c>
      <c r="T122" s="2" t="str">
        <f t="shared" si="86"/>
        <v/>
      </c>
      <c r="U122" s="2" t="str">
        <f t="shared" si="87"/>
        <v/>
      </c>
      <c r="V122" t="str">
        <f t="shared" si="55"/>
        <v/>
      </c>
      <c r="X122">
        <f t="shared" si="98"/>
        <v>1</v>
      </c>
      <c r="Y122">
        <f t="shared" si="99"/>
        <v>0</v>
      </c>
      <c r="Z122">
        <f t="shared" si="100"/>
        <v>1</v>
      </c>
      <c r="AA122">
        <f t="shared" si="101"/>
        <v>0</v>
      </c>
      <c r="AB122">
        <f t="shared" si="102"/>
        <v>1</v>
      </c>
      <c r="AC122">
        <f t="shared" si="103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7"/>
        <v>_x0011_</v>
      </c>
      <c r="M123">
        <v>10</v>
      </c>
      <c r="N123" s="23" t="str">
        <f t="shared" si="80"/>
        <v>#</v>
      </c>
      <c r="O123" s="7" t="str">
        <f t="shared" si="81"/>
        <v/>
      </c>
      <c r="P123" s="7" t="str">
        <f t="shared" si="82"/>
        <v>#</v>
      </c>
      <c r="Q123" s="7" t="str">
        <f t="shared" si="83"/>
        <v/>
      </c>
      <c r="R123" s="17" t="str">
        <f t="shared" si="84"/>
        <v>#</v>
      </c>
      <c r="S123" s="8" t="str">
        <f t="shared" si="85"/>
        <v/>
      </c>
      <c r="T123" s="2" t="str">
        <f t="shared" si="86"/>
        <v/>
      </c>
      <c r="U123" s="2" t="str">
        <f t="shared" si="87"/>
        <v/>
      </c>
      <c r="V123" t="str">
        <f t="shared" si="55"/>
        <v/>
      </c>
      <c r="X123">
        <f t="shared" si="98"/>
        <v>0</v>
      </c>
      <c r="Y123">
        <f t="shared" si="99"/>
        <v>0</v>
      </c>
      <c r="Z123">
        <f t="shared" si="100"/>
        <v>0</v>
      </c>
      <c r="AA123">
        <f t="shared" si="101"/>
        <v>0</v>
      </c>
      <c r="AB123">
        <f t="shared" si="102"/>
        <v>0</v>
      </c>
      <c r="AC123">
        <f t="shared" si="103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7"/>
        <v>_x0011_</v>
      </c>
      <c r="M124">
        <v>11</v>
      </c>
      <c r="N124" s="23" t="str">
        <f t="shared" si="80"/>
        <v/>
      </c>
      <c r="O124" s="7" t="str">
        <f t="shared" si="81"/>
        <v>#</v>
      </c>
      <c r="P124" s="7" t="str">
        <f t="shared" si="82"/>
        <v/>
      </c>
      <c r="Q124" s="7" t="str">
        <f t="shared" si="83"/>
        <v>#</v>
      </c>
      <c r="R124" s="17" t="str">
        <f t="shared" si="84"/>
        <v/>
      </c>
      <c r="S124" s="8" t="str">
        <f t="shared" si="85"/>
        <v>#</v>
      </c>
      <c r="T124" s="2" t="str">
        <f t="shared" si="86"/>
        <v/>
      </c>
      <c r="U124" s="2" t="str">
        <f t="shared" si="87"/>
        <v/>
      </c>
      <c r="V124" t="str">
        <f t="shared" si="55"/>
        <v/>
      </c>
      <c r="X124">
        <f t="shared" si="98"/>
        <v>0</v>
      </c>
      <c r="Y124">
        <f t="shared" si="99"/>
        <v>1</v>
      </c>
      <c r="Z124">
        <f t="shared" si="100"/>
        <v>0</v>
      </c>
      <c r="AA124">
        <f t="shared" si="101"/>
        <v>1</v>
      </c>
      <c r="AB124">
        <f t="shared" si="102"/>
        <v>0</v>
      </c>
      <c r="AC124">
        <f t="shared" si="103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7"/>
        <v>_x0011_</v>
      </c>
      <c r="M125">
        <v>12</v>
      </c>
      <c r="N125" s="23" t="str">
        <f t="shared" si="80"/>
        <v/>
      </c>
      <c r="O125" s="7" t="str">
        <f t="shared" si="81"/>
        <v>#</v>
      </c>
      <c r="P125" s="7" t="str">
        <f t="shared" si="82"/>
        <v/>
      </c>
      <c r="Q125" s="7" t="str">
        <f t="shared" si="83"/>
        <v>#</v>
      </c>
      <c r="R125" s="17" t="str">
        <f t="shared" si="84"/>
        <v/>
      </c>
      <c r="S125" s="8" t="str">
        <f t="shared" si="85"/>
        <v>#</v>
      </c>
      <c r="T125" s="2" t="str">
        <f t="shared" si="86"/>
        <v/>
      </c>
      <c r="U125" s="2" t="str">
        <f t="shared" si="87"/>
        <v/>
      </c>
      <c r="V125" t="str">
        <f t="shared" si="55"/>
        <v/>
      </c>
      <c r="X125">
        <f t="shared" si="98"/>
        <v>0</v>
      </c>
      <c r="Y125">
        <f t="shared" si="99"/>
        <v>0</v>
      </c>
      <c r="Z125">
        <f t="shared" si="100"/>
        <v>0</v>
      </c>
      <c r="AA125">
        <f t="shared" si="101"/>
        <v>0</v>
      </c>
      <c r="AB125">
        <f t="shared" si="102"/>
        <v>0</v>
      </c>
      <c r="AC125">
        <f t="shared" si="103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7"/>
        <v>_x0011_</v>
      </c>
      <c r="M126">
        <v>13</v>
      </c>
      <c r="N126" s="6" t="str">
        <f t="shared" si="80"/>
        <v>#</v>
      </c>
      <c r="O126" s="7" t="str">
        <f t="shared" si="81"/>
        <v/>
      </c>
      <c r="P126" s="7" t="str">
        <f t="shared" si="82"/>
        <v>#</v>
      </c>
      <c r="Q126" s="7" t="str">
        <f t="shared" si="83"/>
        <v/>
      </c>
      <c r="R126" s="17" t="str">
        <f t="shared" si="84"/>
        <v>#</v>
      </c>
      <c r="S126" s="8" t="str">
        <f t="shared" si="85"/>
        <v/>
      </c>
      <c r="T126" s="2" t="str">
        <f t="shared" si="86"/>
        <v/>
      </c>
      <c r="U126" s="2" t="str">
        <f t="shared" si="87"/>
        <v/>
      </c>
      <c r="V126" t="str">
        <f t="shared" si="55"/>
        <v/>
      </c>
      <c r="X126">
        <f t="shared" si="98"/>
        <v>1</v>
      </c>
      <c r="Y126">
        <f t="shared" si="99"/>
        <v>0</v>
      </c>
      <c r="Z126">
        <f t="shared" si="100"/>
        <v>1</v>
      </c>
      <c r="AA126">
        <f t="shared" si="101"/>
        <v>0</v>
      </c>
      <c r="AB126">
        <f t="shared" si="102"/>
        <v>1</v>
      </c>
      <c r="AC126">
        <f t="shared" si="103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7"/>
        <v>_x0011_</v>
      </c>
      <c r="M127">
        <v>14</v>
      </c>
      <c r="N127" s="18" t="str">
        <f t="shared" si="80"/>
        <v>#</v>
      </c>
      <c r="O127" s="19" t="str">
        <f t="shared" si="81"/>
        <v/>
      </c>
      <c r="P127" s="19" t="str">
        <f t="shared" si="82"/>
        <v>#</v>
      </c>
      <c r="Q127" s="19" t="str">
        <f t="shared" si="83"/>
        <v/>
      </c>
      <c r="R127" s="20" t="str">
        <f t="shared" si="84"/>
        <v>#</v>
      </c>
      <c r="S127" s="8" t="str">
        <f t="shared" si="85"/>
        <v/>
      </c>
      <c r="T127" s="2" t="str">
        <f t="shared" si="86"/>
        <v/>
      </c>
      <c r="U127" s="2" t="str">
        <f t="shared" si="87"/>
        <v/>
      </c>
      <c r="V127" t="str">
        <f t="shared" si="55"/>
        <v/>
      </c>
      <c r="X127">
        <f t="shared" si="98"/>
        <v>0</v>
      </c>
      <c r="Y127">
        <f t="shared" si="99"/>
        <v>0</v>
      </c>
      <c r="Z127">
        <f t="shared" si="100"/>
        <v>0</v>
      </c>
      <c r="AA127">
        <f t="shared" si="101"/>
        <v>0</v>
      </c>
      <c r="AB127">
        <f t="shared" si="102"/>
        <v>0</v>
      </c>
      <c r="AC127">
        <f t="shared" si="103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7"/>
        <v>_x0011_</v>
      </c>
      <c r="M128">
        <v>15</v>
      </c>
      <c r="N128" s="9" t="str">
        <f t="shared" si="80"/>
        <v/>
      </c>
      <c r="O128" s="10" t="str">
        <f t="shared" si="81"/>
        <v>#</v>
      </c>
      <c r="P128" s="10" t="str">
        <f t="shared" si="82"/>
        <v/>
      </c>
      <c r="Q128" s="10" t="str">
        <f t="shared" si="83"/>
        <v>#</v>
      </c>
      <c r="R128" s="10" t="str">
        <f t="shared" si="84"/>
        <v/>
      </c>
      <c r="S128" s="11" t="str">
        <f t="shared" si="85"/>
        <v>#</v>
      </c>
      <c r="T128" s="2" t="str">
        <f t="shared" si="86"/>
        <v/>
      </c>
      <c r="U128" s="2" t="str">
        <f t="shared" si="87"/>
        <v/>
      </c>
      <c r="V128" t="str">
        <f t="shared" si="55"/>
        <v/>
      </c>
      <c r="X128">
        <f t="shared" si="98"/>
        <v>0</v>
      </c>
      <c r="Y128">
        <f t="shared" si="99"/>
        <v>1</v>
      </c>
      <c r="Z128">
        <f t="shared" si="100"/>
        <v>0</v>
      </c>
      <c r="AA128">
        <f t="shared" si="101"/>
        <v>1</v>
      </c>
      <c r="AB128">
        <f t="shared" si="102"/>
        <v>0</v>
      </c>
      <c r="AC128">
        <f t="shared" si="103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7"/>
        <v>_x0011_</v>
      </c>
      <c r="M129">
        <v>16</v>
      </c>
      <c r="N129" s="12" t="str">
        <f t="shared" si="80"/>
        <v/>
      </c>
      <c r="O129" s="13" t="str">
        <f t="shared" si="81"/>
        <v>#</v>
      </c>
      <c r="P129" s="13" t="str">
        <f t="shared" si="82"/>
        <v/>
      </c>
      <c r="Q129" s="13" t="str">
        <f t="shared" si="83"/>
        <v>#</v>
      </c>
      <c r="R129" s="13" t="str">
        <f t="shared" si="84"/>
        <v/>
      </c>
      <c r="S129" s="14" t="str">
        <f t="shared" si="85"/>
        <v>#</v>
      </c>
      <c r="T129" s="2" t="str">
        <f t="shared" si="86"/>
        <v/>
      </c>
      <c r="U129" s="2" t="str">
        <f t="shared" si="87"/>
        <v/>
      </c>
      <c r="V129" t="str">
        <f t="shared" si="55"/>
        <v/>
      </c>
      <c r="X129">
        <f t="shared" si="98"/>
        <v>0</v>
      </c>
      <c r="Y129">
        <f t="shared" si="99"/>
        <v>0</v>
      </c>
      <c r="Z129">
        <f t="shared" si="100"/>
        <v>0</v>
      </c>
      <c r="AA129">
        <f t="shared" si="101"/>
        <v>0</v>
      </c>
      <c r="AB129">
        <f t="shared" si="102"/>
        <v>0</v>
      </c>
      <c r="AC129">
        <f t="shared" si="103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80"/>
        <v/>
      </c>
      <c r="O130" t="str">
        <f t="shared" si="81"/>
        <v/>
      </c>
      <c r="P130" t="str">
        <f t="shared" si="82"/>
        <v/>
      </c>
      <c r="Q130" t="str">
        <f t="shared" si="83"/>
        <v/>
      </c>
      <c r="R130" t="str">
        <f t="shared" si="84"/>
        <v/>
      </c>
      <c r="S130" t="str">
        <f t="shared" si="85"/>
        <v/>
      </c>
      <c r="T130" s="2" t="str">
        <f t="shared" si="86"/>
        <v/>
      </c>
      <c r="U130" s="2" t="str">
        <f t="shared" si="87"/>
        <v/>
      </c>
      <c r="V130" t="str">
        <f t="shared" ref="V130:V193" si="104">IF(A130=0,"",M130)</f>
        <v/>
      </c>
      <c r="W130">
        <f>SUM(B132:G145)</f>
        <v>35</v>
      </c>
      <c r="AD130">
        <f t="shared" ref="AD130" si="105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6">L130</f>
        <v>_x0012_</v>
      </c>
      <c r="M131">
        <v>2</v>
      </c>
      <c r="N131" t="str">
        <f t="shared" si="80"/>
        <v/>
      </c>
      <c r="O131" t="str">
        <f t="shared" si="81"/>
        <v/>
      </c>
      <c r="P131" t="str">
        <f t="shared" si="82"/>
        <v/>
      </c>
      <c r="Q131" t="str">
        <f t="shared" si="83"/>
        <v/>
      </c>
      <c r="R131" t="str">
        <f t="shared" si="84"/>
        <v/>
      </c>
      <c r="S131" t="str">
        <f t="shared" si="85"/>
        <v/>
      </c>
      <c r="T131" s="2" t="str">
        <f t="shared" si="86"/>
        <v/>
      </c>
      <c r="U131" s="2" t="str">
        <f t="shared" si="87"/>
        <v/>
      </c>
      <c r="V131" t="str">
        <f t="shared" si="104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6"/>
        <v>_x0012_</v>
      </c>
      <c r="M132">
        <v>3</v>
      </c>
      <c r="N132" s="3" t="str">
        <f t="shared" si="80"/>
        <v>#</v>
      </c>
      <c r="O132" s="4" t="str">
        <f t="shared" si="81"/>
        <v/>
      </c>
      <c r="P132" s="4" t="str">
        <f t="shared" si="82"/>
        <v>#</v>
      </c>
      <c r="Q132" s="4" t="str">
        <f t="shared" si="83"/>
        <v/>
      </c>
      <c r="R132" s="4" t="str">
        <f t="shared" si="84"/>
        <v>#</v>
      </c>
      <c r="S132" s="5" t="str">
        <f t="shared" si="85"/>
        <v/>
      </c>
      <c r="T132" s="2" t="str">
        <f t="shared" si="86"/>
        <v/>
      </c>
      <c r="U132" s="2" t="str">
        <f t="shared" si="87"/>
        <v/>
      </c>
      <c r="V132" t="str">
        <f t="shared" si="104"/>
        <v/>
      </c>
      <c r="X132">
        <f t="shared" ref="X132:X145" si="107">MAX(B132-B131,0)</f>
        <v>1</v>
      </c>
      <c r="Y132">
        <f t="shared" ref="Y132:Y145" si="108">MAX(C132-C131,0)</f>
        <v>0</v>
      </c>
      <c r="Z132">
        <f t="shared" ref="Z132:Z145" si="109">MAX(D132-D131,0)</f>
        <v>1</v>
      </c>
      <c r="AA132">
        <f t="shared" ref="AA132:AA145" si="110">MAX(E132-E131,0)</f>
        <v>0</v>
      </c>
      <c r="AB132">
        <f t="shared" ref="AB132:AB145" si="111">MAX(F132-F131,0)</f>
        <v>1</v>
      </c>
      <c r="AC132">
        <f t="shared" ref="AC132:AC145" si="112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6"/>
        <v>_x0012_</v>
      </c>
      <c r="M133">
        <v>4</v>
      </c>
      <c r="N133" s="6" t="str">
        <f t="shared" si="80"/>
        <v/>
      </c>
      <c r="O133" s="7" t="str">
        <f t="shared" si="81"/>
        <v>#</v>
      </c>
      <c r="P133" s="7" t="str">
        <f t="shared" si="82"/>
        <v/>
      </c>
      <c r="Q133" s="7" t="str">
        <f t="shared" si="83"/>
        <v>#</v>
      </c>
      <c r="R133" s="7" t="str">
        <f t="shared" si="84"/>
        <v/>
      </c>
      <c r="S133" s="8" t="str">
        <f t="shared" si="85"/>
        <v/>
      </c>
      <c r="T133" s="2" t="str">
        <f t="shared" si="86"/>
        <v/>
      </c>
      <c r="U133" s="2" t="str">
        <f t="shared" si="87"/>
        <v/>
      </c>
      <c r="V133" t="str">
        <f t="shared" si="104"/>
        <v/>
      </c>
      <c r="X133">
        <f t="shared" si="107"/>
        <v>0</v>
      </c>
      <c r="Y133">
        <f t="shared" si="108"/>
        <v>1</v>
      </c>
      <c r="Z133">
        <f t="shared" si="109"/>
        <v>0</v>
      </c>
      <c r="AA133">
        <f t="shared" si="110"/>
        <v>1</v>
      </c>
      <c r="AB133">
        <f t="shared" si="111"/>
        <v>0</v>
      </c>
      <c r="AC133">
        <f t="shared" si="112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6"/>
        <v>_x0012_</v>
      </c>
      <c r="M134">
        <v>5</v>
      </c>
      <c r="N134" s="22" t="str">
        <f t="shared" si="80"/>
        <v>#</v>
      </c>
      <c r="O134" s="15" t="str">
        <f t="shared" si="81"/>
        <v/>
      </c>
      <c r="P134" s="15" t="str">
        <f t="shared" si="82"/>
        <v>#</v>
      </c>
      <c r="Q134" s="15" t="str">
        <f t="shared" si="83"/>
        <v/>
      </c>
      <c r="R134" s="16" t="str">
        <f t="shared" si="84"/>
        <v>#</v>
      </c>
      <c r="S134" s="8" t="str">
        <f t="shared" si="85"/>
        <v/>
      </c>
      <c r="T134" s="2" t="str">
        <f t="shared" si="86"/>
        <v/>
      </c>
      <c r="U134" s="2" t="str">
        <f t="shared" si="87"/>
        <v/>
      </c>
      <c r="V134" t="str">
        <f t="shared" si="104"/>
        <v/>
      </c>
      <c r="X134">
        <f t="shared" si="107"/>
        <v>1</v>
      </c>
      <c r="Y134">
        <f t="shared" si="108"/>
        <v>0</v>
      </c>
      <c r="Z134">
        <f t="shared" si="109"/>
        <v>1</v>
      </c>
      <c r="AA134">
        <f t="shared" si="110"/>
        <v>0</v>
      </c>
      <c r="AB134">
        <f t="shared" si="111"/>
        <v>1</v>
      </c>
      <c r="AC134">
        <f t="shared" si="112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6"/>
        <v>_x0012_</v>
      </c>
      <c r="M135">
        <v>6</v>
      </c>
      <c r="N135" s="23" t="str">
        <f t="shared" si="80"/>
        <v/>
      </c>
      <c r="O135" s="7" t="str">
        <f t="shared" si="81"/>
        <v>#</v>
      </c>
      <c r="P135" s="7" t="str">
        <f t="shared" si="82"/>
        <v/>
      </c>
      <c r="Q135" s="7" t="str">
        <f t="shared" si="83"/>
        <v>#</v>
      </c>
      <c r="R135" s="17" t="str">
        <f t="shared" si="84"/>
        <v/>
      </c>
      <c r="S135" s="8" t="str">
        <f t="shared" si="85"/>
        <v/>
      </c>
      <c r="T135" s="2" t="str">
        <f t="shared" si="86"/>
        <v/>
      </c>
      <c r="U135" s="2" t="str">
        <f t="shared" si="87"/>
        <v/>
      </c>
      <c r="V135" t="str">
        <f t="shared" si="104"/>
        <v/>
      </c>
      <c r="X135">
        <f t="shared" si="107"/>
        <v>0</v>
      </c>
      <c r="Y135">
        <f t="shared" si="108"/>
        <v>1</v>
      </c>
      <c r="Z135">
        <f t="shared" si="109"/>
        <v>0</v>
      </c>
      <c r="AA135">
        <f t="shared" si="110"/>
        <v>1</v>
      </c>
      <c r="AB135">
        <f t="shared" si="111"/>
        <v>0</v>
      </c>
      <c r="AC135">
        <f t="shared" si="112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6"/>
        <v>_x0012_</v>
      </c>
      <c r="M136">
        <v>7</v>
      </c>
      <c r="N136" s="23" t="str">
        <f t="shared" si="80"/>
        <v>#</v>
      </c>
      <c r="O136" s="7" t="str">
        <f t="shared" si="81"/>
        <v/>
      </c>
      <c r="P136" s="7" t="str">
        <f t="shared" si="82"/>
        <v>#</v>
      </c>
      <c r="Q136" s="7" t="str">
        <f t="shared" si="83"/>
        <v/>
      </c>
      <c r="R136" s="17" t="str">
        <f t="shared" si="84"/>
        <v>#</v>
      </c>
      <c r="S136" s="8" t="str">
        <f t="shared" si="85"/>
        <v/>
      </c>
      <c r="T136" s="2" t="str">
        <f t="shared" si="86"/>
        <v/>
      </c>
      <c r="U136" s="2" t="str">
        <f t="shared" si="87"/>
        <v/>
      </c>
      <c r="V136" t="str">
        <f t="shared" si="104"/>
        <v/>
      </c>
      <c r="X136">
        <f t="shared" si="107"/>
        <v>1</v>
      </c>
      <c r="Y136">
        <f t="shared" si="108"/>
        <v>0</v>
      </c>
      <c r="Z136">
        <f t="shared" si="109"/>
        <v>1</v>
      </c>
      <c r="AA136">
        <f t="shared" si="110"/>
        <v>0</v>
      </c>
      <c r="AB136">
        <f t="shared" si="111"/>
        <v>1</v>
      </c>
      <c r="AC136">
        <f t="shared" si="112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6"/>
        <v>_x0012_</v>
      </c>
      <c r="M137">
        <v>8</v>
      </c>
      <c r="N137" s="23" t="str">
        <f t="shared" si="80"/>
        <v/>
      </c>
      <c r="O137" s="7" t="str">
        <f t="shared" si="81"/>
        <v>#</v>
      </c>
      <c r="P137" s="7" t="str">
        <f t="shared" si="82"/>
        <v/>
      </c>
      <c r="Q137" s="7" t="str">
        <f t="shared" si="83"/>
        <v>#</v>
      </c>
      <c r="R137" s="17" t="str">
        <f t="shared" si="84"/>
        <v/>
      </c>
      <c r="S137" s="8" t="str">
        <f t="shared" si="85"/>
        <v/>
      </c>
      <c r="T137" s="2" t="str">
        <f t="shared" si="86"/>
        <v/>
      </c>
      <c r="U137" s="2" t="str">
        <f t="shared" si="87"/>
        <v/>
      </c>
      <c r="V137" t="str">
        <f t="shared" si="104"/>
        <v/>
      </c>
      <c r="X137">
        <f t="shared" si="107"/>
        <v>0</v>
      </c>
      <c r="Y137">
        <f t="shared" si="108"/>
        <v>1</v>
      </c>
      <c r="Z137">
        <f t="shared" si="109"/>
        <v>0</v>
      </c>
      <c r="AA137">
        <f t="shared" si="110"/>
        <v>1</v>
      </c>
      <c r="AB137">
        <f t="shared" si="111"/>
        <v>0</v>
      </c>
      <c r="AC137">
        <f t="shared" si="112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6"/>
        <v>_x0012_</v>
      </c>
      <c r="M138">
        <v>9</v>
      </c>
      <c r="N138" s="23" t="str">
        <f t="shared" si="80"/>
        <v>#</v>
      </c>
      <c r="O138" s="7" t="str">
        <f t="shared" si="81"/>
        <v/>
      </c>
      <c r="P138" s="7" t="str">
        <f t="shared" si="82"/>
        <v>#</v>
      </c>
      <c r="Q138" s="7" t="str">
        <f t="shared" si="83"/>
        <v/>
      </c>
      <c r="R138" s="17" t="str">
        <f t="shared" si="84"/>
        <v>#</v>
      </c>
      <c r="S138" s="8" t="str">
        <f t="shared" si="85"/>
        <v/>
      </c>
      <c r="T138" s="2" t="str">
        <f t="shared" si="86"/>
        <v/>
      </c>
      <c r="U138" s="2" t="str">
        <f t="shared" si="87"/>
        <v/>
      </c>
      <c r="V138" t="str">
        <f t="shared" si="104"/>
        <v/>
      </c>
      <c r="X138">
        <f t="shared" si="107"/>
        <v>1</v>
      </c>
      <c r="Y138">
        <f t="shared" si="108"/>
        <v>0</v>
      </c>
      <c r="Z138">
        <f t="shared" si="109"/>
        <v>1</v>
      </c>
      <c r="AA138">
        <f t="shared" si="110"/>
        <v>0</v>
      </c>
      <c r="AB138">
        <f t="shared" si="111"/>
        <v>1</v>
      </c>
      <c r="AC138">
        <f t="shared" si="112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6"/>
        <v>_x0012_</v>
      </c>
      <c r="M139">
        <v>10</v>
      </c>
      <c r="N139" s="23" t="str">
        <f t="shared" si="80"/>
        <v/>
      </c>
      <c r="O139" s="7" t="str">
        <f t="shared" si="81"/>
        <v>#</v>
      </c>
      <c r="P139" s="7" t="str">
        <f t="shared" si="82"/>
        <v/>
      </c>
      <c r="Q139" s="7" t="str">
        <f t="shared" si="83"/>
        <v>#</v>
      </c>
      <c r="R139" s="17" t="str">
        <f t="shared" si="84"/>
        <v/>
      </c>
      <c r="S139" s="8" t="str">
        <f t="shared" si="85"/>
        <v/>
      </c>
      <c r="T139" s="2" t="str">
        <f t="shared" si="86"/>
        <v/>
      </c>
      <c r="U139" s="2" t="str">
        <f t="shared" si="87"/>
        <v/>
      </c>
      <c r="V139" t="str">
        <f t="shared" si="104"/>
        <v/>
      </c>
      <c r="X139">
        <f t="shared" si="107"/>
        <v>0</v>
      </c>
      <c r="Y139">
        <f t="shared" si="108"/>
        <v>1</v>
      </c>
      <c r="Z139">
        <f t="shared" si="109"/>
        <v>0</v>
      </c>
      <c r="AA139">
        <f t="shared" si="110"/>
        <v>1</v>
      </c>
      <c r="AB139">
        <f t="shared" si="111"/>
        <v>0</v>
      </c>
      <c r="AC139">
        <f t="shared" si="112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6"/>
        <v>_x0012_</v>
      </c>
      <c r="M140">
        <v>11</v>
      </c>
      <c r="N140" s="23" t="str">
        <f t="shared" si="80"/>
        <v>#</v>
      </c>
      <c r="O140" s="7" t="str">
        <f t="shared" si="81"/>
        <v/>
      </c>
      <c r="P140" s="7" t="str">
        <f t="shared" si="82"/>
        <v>#</v>
      </c>
      <c r="Q140" s="7" t="str">
        <f t="shared" si="83"/>
        <v/>
      </c>
      <c r="R140" s="17" t="str">
        <f t="shared" si="84"/>
        <v>#</v>
      </c>
      <c r="S140" s="8" t="str">
        <f t="shared" si="85"/>
        <v/>
      </c>
      <c r="T140" s="2" t="str">
        <f t="shared" si="86"/>
        <v/>
      </c>
      <c r="U140" s="2" t="str">
        <f t="shared" si="87"/>
        <v/>
      </c>
      <c r="V140" t="str">
        <f t="shared" si="104"/>
        <v/>
      </c>
      <c r="X140">
        <f t="shared" si="107"/>
        <v>1</v>
      </c>
      <c r="Y140">
        <f t="shared" si="108"/>
        <v>0</v>
      </c>
      <c r="Z140">
        <f t="shared" si="109"/>
        <v>1</v>
      </c>
      <c r="AA140">
        <f t="shared" si="110"/>
        <v>0</v>
      </c>
      <c r="AB140">
        <f t="shared" si="111"/>
        <v>1</v>
      </c>
      <c r="AC140">
        <f t="shared" si="112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6"/>
        <v>_x0012_</v>
      </c>
      <c r="M141">
        <v>12</v>
      </c>
      <c r="N141" s="23" t="str">
        <f t="shared" si="80"/>
        <v/>
      </c>
      <c r="O141" s="7" t="str">
        <f t="shared" si="81"/>
        <v>#</v>
      </c>
      <c r="P141" s="7" t="str">
        <f t="shared" si="82"/>
        <v/>
      </c>
      <c r="Q141" s="7" t="str">
        <f t="shared" si="83"/>
        <v>#</v>
      </c>
      <c r="R141" s="17" t="str">
        <f t="shared" si="84"/>
        <v/>
      </c>
      <c r="S141" s="8" t="str">
        <f t="shared" si="85"/>
        <v/>
      </c>
      <c r="T141" s="2" t="str">
        <f t="shared" si="86"/>
        <v/>
      </c>
      <c r="U141" s="2" t="str">
        <f t="shared" si="87"/>
        <v/>
      </c>
      <c r="V141" t="str">
        <f t="shared" si="104"/>
        <v/>
      </c>
      <c r="X141">
        <f t="shared" si="107"/>
        <v>0</v>
      </c>
      <c r="Y141">
        <f t="shared" si="108"/>
        <v>1</v>
      </c>
      <c r="Z141">
        <f t="shared" si="109"/>
        <v>0</v>
      </c>
      <c r="AA141">
        <f t="shared" si="110"/>
        <v>1</v>
      </c>
      <c r="AB141">
        <f t="shared" si="111"/>
        <v>0</v>
      </c>
      <c r="AC141">
        <f t="shared" si="112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6"/>
        <v>_x0012_</v>
      </c>
      <c r="M142">
        <v>13</v>
      </c>
      <c r="N142" s="6" t="str">
        <f t="shared" si="80"/>
        <v>#</v>
      </c>
      <c r="O142" s="7" t="str">
        <f t="shared" si="81"/>
        <v/>
      </c>
      <c r="P142" s="7" t="str">
        <f t="shared" si="82"/>
        <v>#</v>
      </c>
      <c r="Q142" s="7" t="str">
        <f t="shared" si="83"/>
        <v/>
      </c>
      <c r="R142" s="17" t="str">
        <f t="shared" si="84"/>
        <v>#</v>
      </c>
      <c r="S142" s="8" t="str">
        <f t="shared" si="85"/>
        <v/>
      </c>
      <c r="T142" s="2" t="str">
        <f t="shared" si="86"/>
        <v/>
      </c>
      <c r="U142" s="2" t="str">
        <f t="shared" si="87"/>
        <v/>
      </c>
      <c r="V142" t="str">
        <f t="shared" si="104"/>
        <v/>
      </c>
      <c r="X142">
        <f t="shared" si="107"/>
        <v>1</v>
      </c>
      <c r="Y142">
        <f t="shared" si="108"/>
        <v>0</v>
      </c>
      <c r="Z142">
        <f t="shared" si="109"/>
        <v>1</v>
      </c>
      <c r="AA142">
        <f t="shared" si="110"/>
        <v>0</v>
      </c>
      <c r="AB142">
        <f t="shared" si="111"/>
        <v>1</v>
      </c>
      <c r="AC142">
        <f t="shared" si="112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6"/>
        <v>_x0012_</v>
      </c>
      <c r="M143">
        <v>14</v>
      </c>
      <c r="N143" s="18" t="str">
        <f t="shared" si="80"/>
        <v/>
      </c>
      <c r="O143" s="19" t="str">
        <f t="shared" si="81"/>
        <v>#</v>
      </c>
      <c r="P143" s="19" t="str">
        <f t="shared" si="82"/>
        <v/>
      </c>
      <c r="Q143" s="19" t="str">
        <f t="shared" si="83"/>
        <v>#</v>
      </c>
      <c r="R143" s="20" t="str">
        <f t="shared" si="84"/>
        <v/>
      </c>
      <c r="S143" s="8" t="str">
        <f t="shared" si="85"/>
        <v/>
      </c>
      <c r="T143" s="2" t="str">
        <f t="shared" si="86"/>
        <v/>
      </c>
      <c r="U143" s="2" t="str">
        <f t="shared" si="87"/>
        <v/>
      </c>
      <c r="V143" t="str">
        <f t="shared" si="104"/>
        <v/>
      </c>
      <c r="X143">
        <f t="shared" si="107"/>
        <v>0</v>
      </c>
      <c r="Y143">
        <f t="shared" si="108"/>
        <v>1</v>
      </c>
      <c r="Z143">
        <f t="shared" si="109"/>
        <v>0</v>
      </c>
      <c r="AA143">
        <f t="shared" si="110"/>
        <v>1</v>
      </c>
      <c r="AB143">
        <f t="shared" si="111"/>
        <v>0</v>
      </c>
      <c r="AC143">
        <f t="shared" si="112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6"/>
        <v>_x0012_</v>
      </c>
      <c r="M144">
        <v>15</v>
      </c>
      <c r="N144" s="9" t="str">
        <f t="shared" si="80"/>
        <v>#</v>
      </c>
      <c r="O144" s="10" t="str">
        <f t="shared" si="81"/>
        <v/>
      </c>
      <c r="P144" s="10" t="str">
        <f t="shared" si="82"/>
        <v>#</v>
      </c>
      <c r="Q144" s="10" t="str">
        <f t="shared" si="83"/>
        <v/>
      </c>
      <c r="R144" s="10" t="str">
        <f t="shared" si="84"/>
        <v>#</v>
      </c>
      <c r="S144" s="11" t="str">
        <f t="shared" si="85"/>
        <v/>
      </c>
      <c r="T144" s="2" t="str">
        <f t="shared" si="86"/>
        <v/>
      </c>
      <c r="U144" s="2" t="str">
        <f t="shared" si="87"/>
        <v/>
      </c>
      <c r="V144" t="str">
        <f t="shared" si="104"/>
        <v/>
      </c>
      <c r="X144">
        <f t="shared" si="107"/>
        <v>1</v>
      </c>
      <c r="Y144">
        <f t="shared" si="108"/>
        <v>0</v>
      </c>
      <c r="Z144">
        <f t="shared" si="109"/>
        <v>1</v>
      </c>
      <c r="AA144">
        <f t="shared" si="110"/>
        <v>0</v>
      </c>
      <c r="AB144">
        <f t="shared" si="111"/>
        <v>1</v>
      </c>
      <c r="AC144">
        <f t="shared" si="112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6"/>
        <v>_x0012_</v>
      </c>
      <c r="M145">
        <v>16</v>
      </c>
      <c r="N145" s="12" t="str">
        <f t="shared" si="80"/>
        <v/>
      </c>
      <c r="O145" s="13" t="str">
        <f t="shared" si="81"/>
        <v>#</v>
      </c>
      <c r="P145" s="13" t="str">
        <f t="shared" si="82"/>
        <v/>
      </c>
      <c r="Q145" s="13" t="str">
        <f t="shared" si="83"/>
        <v>#</v>
      </c>
      <c r="R145" s="13" t="str">
        <f t="shared" si="84"/>
        <v/>
      </c>
      <c r="S145" s="14" t="str">
        <f t="shared" si="85"/>
        <v/>
      </c>
      <c r="T145" s="2" t="str">
        <f t="shared" si="86"/>
        <v/>
      </c>
      <c r="U145" s="2" t="str">
        <f t="shared" si="87"/>
        <v/>
      </c>
      <c r="V145" t="str">
        <f t="shared" si="104"/>
        <v/>
      </c>
      <c r="X145">
        <f t="shared" si="107"/>
        <v>0</v>
      </c>
      <c r="Y145">
        <f t="shared" si="108"/>
        <v>1</v>
      </c>
      <c r="Z145">
        <f t="shared" si="109"/>
        <v>0</v>
      </c>
      <c r="AA145">
        <f t="shared" si="110"/>
        <v>1</v>
      </c>
      <c r="AB145">
        <f t="shared" si="111"/>
        <v>0</v>
      </c>
      <c r="AC145">
        <f t="shared" si="112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80"/>
        <v/>
      </c>
      <c r="O146" t="str">
        <f t="shared" si="81"/>
        <v/>
      </c>
      <c r="P146" t="str">
        <f t="shared" si="82"/>
        <v/>
      </c>
      <c r="Q146" t="str">
        <f t="shared" si="83"/>
        <v/>
      </c>
      <c r="R146" t="str">
        <f t="shared" si="84"/>
        <v/>
      </c>
      <c r="S146" t="str">
        <f t="shared" si="85"/>
        <v/>
      </c>
      <c r="T146" s="2" t="str">
        <f t="shared" si="86"/>
        <v/>
      </c>
      <c r="U146" s="2" t="str">
        <f t="shared" si="87"/>
        <v/>
      </c>
      <c r="V146" t="str">
        <f t="shared" si="104"/>
        <v/>
      </c>
      <c r="W146">
        <f>SUM(B148:G161)</f>
        <v>24</v>
      </c>
      <c r="AD146">
        <f t="shared" ref="AD146" si="113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14">L146</f>
        <v>_x0013_</v>
      </c>
      <c r="M147">
        <v>2</v>
      </c>
      <c r="N147" t="str">
        <f t="shared" si="80"/>
        <v/>
      </c>
      <c r="O147" t="str">
        <f t="shared" si="81"/>
        <v/>
      </c>
      <c r="P147" t="str">
        <f t="shared" si="82"/>
        <v/>
      </c>
      <c r="Q147" t="str">
        <f t="shared" si="83"/>
        <v/>
      </c>
      <c r="R147" t="str">
        <f t="shared" si="84"/>
        <v/>
      </c>
      <c r="S147" t="str">
        <f t="shared" si="85"/>
        <v/>
      </c>
      <c r="T147" s="2" t="str">
        <f t="shared" si="86"/>
        <v/>
      </c>
      <c r="U147" s="2" t="str">
        <f t="shared" si="87"/>
        <v/>
      </c>
      <c r="V147" t="str">
        <f t="shared" si="104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14"/>
        <v>_x0013_</v>
      </c>
      <c r="M148">
        <v>3</v>
      </c>
      <c r="N148" s="3" t="str">
        <f t="shared" si="80"/>
        <v/>
      </c>
      <c r="O148" s="4" t="str">
        <f t="shared" si="81"/>
        <v>#</v>
      </c>
      <c r="P148" s="4" t="str">
        <f t="shared" si="82"/>
        <v/>
      </c>
      <c r="Q148" s="4" t="str">
        <f t="shared" si="83"/>
        <v>#</v>
      </c>
      <c r="R148" s="4" t="str">
        <f t="shared" si="84"/>
        <v/>
      </c>
      <c r="S148" s="5" t="str">
        <f t="shared" si="85"/>
        <v/>
      </c>
      <c r="T148" s="2" t="str">
        <f t="shared" si="86"/>
        <v/>
      </c>
      <c r="U148" s="2" t="str">
        <f t="shared" si="87"/>
        <v/>
      </c>
      <c r="V148" t="str">
        <f t="shared" si="104"/>
        <v/>
      </c>
      <c r="X148">
        <f t="shared" ref="X148:X161" si="115">MAX(B148-B147,0)</f>
        <v>0</v>
      </c>
      <c r="Y148">
        <f t="shared" ref="Y148:Y161" si="116">MAX(C148-C147,0)</f>
        <v>1</v>
      </c>
      <c r="Z148">
        <f t="shared" ref="Z148:Z161" si="117">MAX(D148-D147,0)</f>
        <v>0</v>
      </c>
      <c r="AA148">
        <f t="shared" ref="AA148:AA161" si="118">MAX(E148-E147,0)</f>
        <v>1</v>
      </c>
      <c r="AB148">
        <f t="shared" ref="AB148:AB161" si="119">MAX(F148-F147,0)</f>
        <v>0</v>
      </c>
      <c r="AC148">
        <f t="shared" ref="AC148:AC161" si="120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14"/>
        <v>_x0013_</v>
      </c>
      <c r="M149">
        <v>4</v>
      </c>
      <c r="N149" s="6" t="str">
        <f t="shared" si="80"/>
        <v/>
      </c>
      <c r="O149" s="7" t="str">
        <f t="shared" si="81"/>
        <v>#</v>
      </c>
      <c r="P149" s="7" t="str">
        <f t="shared" si="82"/>
        <v/>
      </c>
      <c r="Q149" s="7" t="str">
        <f t="shared" si="83"/>
        <v>#</v>
      </c>
      <c r="R149" s="7" t="str">
        <f t="shared" si="84"/>
        <v/>
      </c>
      <c r="S149" s="8" t="str">
        <f t="shared" si="85"/>
        <v/>
      </c>
      <c r="T149" s="2" t="str">
        <f t="shared" si="86"/>
        <v/>
      </c>
      <c r="U149" s="2" t="str">
        <f t="shared" si="87"/>
        <v/>
      </c>
      <c r="V149" t="str">
        <f t="shared" si="104"/>
        <v/>
      </c>
      <c r="X149">
        <f t="shared" si="115"/>
        <v>0</v>
      </c>
      <c r="Y149">
        <f t="shared" si="116"/>
        <v>0</v>
      </c>
      <c r="Z149">
        <f t="shared" si="117"/>
        <v>0</v>
      </c>
      <c r="AA149">
        <f t="shared" si="118"/>
        <v>0</v>
      </c>
      <c r="AB149">
        <f t="shared" si="119"/>
        <v>0</v>
      </c>
      <c r="AC149">
        <f t="shared" si="120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14"/>
        <v>_x0013_</v>
      </c>
      <c r="M150">
        <v>5</v>
      </c>
      <c r="N150" s="22" t="str">
        <f t="shared" si="80"/>
        <v/>
      </c>
      <c r="O150" s="15" t="str">
        <f t="shared" si="81"/>
        <v/>
      </c>
      <c r="P150" s="15" t="str">
        <f t="shared" si="82"/>
        <v/>
      </c>
      <c r="Q150" s="15" t="str">
        <f t="shared" si="83"/>
        <v/>
      </c>
      <c r="R150" s="16" t="str">
        <f t="shared" si="84"/>
        <v/>
      </c>
      <c r="S150" s="8" t="str">
        <f t="shared" si="85"/>
        <v/>
      </c>
      <c r="T150" s="2" t="str">
        <f t="shared" si="86"/>
        <v/>
      </c>
      <c r="U150" s="2" t="str">
        <f t="shared" si="87"/>
        <v/>
      </c>
      <c r="V150" t="str">
        <f t="shared" si="104"/>
        <v/>
      </c>
      <c r="X150">
        <f t="shared" si="115"/>
        <v>0</v>
      </c>
      <c r="Y150">
        <f t="shared" si="116"/>
        <v>0</v>
      </c>
      <c r="Z150">
        <f t="shared" si="117"/>
        <v>0</v>
      </c>
      <c r="AA150">
        <f t="shared" si="118"/>
        <v>0</v>
      </c>
      <c r="AB150">
        <f t="shared" si="119"/>
        <v>0</v>
      </c>
      <c r="AC150">
        <f t="shared" si="120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14"/>
        <v>_x0013_</v>
      </c>
      <c r="M151">
        <v>6</v>
      </c>
      <c r="N151" s="23" t="str">
        <f t="shared" si="80"/>
        <v>#</v>
      </c>
      <c r="O151" s="7" t="str">
        <f t="shared" si="81"/>
        <v/>
      </c>
      <c r="P151" s="7" t="str">
        <f t="shared" si="82"/>
        <v>#</v>
      </c>
      <c r="Q151" s="7" t="str">
        <f t="shared" si="83"/>
        <v/>
      </c>
      <c r="R151" s="17" t="str">
        <f t="shared" si="84"/>
        <v>#</v>
      </c>
      <c r="S151" s="8" t="str">
        <f t="shared" si="85"/>
        <v/>
      </c>
      <c r="T151" s="2" t="str">
        <f t="shared" si="86"/>
        <v/>
      </c>
      <c r="U151" s="2" t="str">
        <f t="shared" si="87"/>
        <v/>
      </c>
      <c r="V151" t="str">
        <f t="shared" si="104"/>
        <v/>
      </c>
      <c r="X151">
        <f t="shared" si="115"/>
        <v>1</v>
      </c>
      <c r="Y151">
        <f t="shared" si="116"/>
        <v>0</v>
      </c>
      <c r="Z151">
        <f t="shared" si="117"/>
        <v>1</v>
      </c>
      <c r="AA151">
        <f t="shared" si="118"/>
        <v>0</v>
      </c>
      <c r="AB151">
        <f t="shared" si="119"/>
        <v>1</v>
      </c>
      <c r="AC151">
        <f t="shared" si="120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14"/>
        <v>_x0013_</v>
      </c>
      <c r="M152">
        <v>7</v>
      </c>
      <c r="N152" s="23" t="str">
        <f t="shared" si="80"/>
        <v>#</v>
      </c>
      <c r="O152" s="7" t="str">
        <f t="shared" si="81"/>
        <v/>
      </c>
      <c r="P152" s="7" t="str">
        <f t="shared" si="82"/>
        <v>#</v>
      </c>
      <c r="Q152" s="7" t="str">
        <f t="shared" si="83"/>
        <v/>
      </c>
      <c r="R152" s="17" t="str">
        <f t="shared" si="84"/>
        <v>#</v>
      </c>
      <c r="S152" s="8" t="str">
        <f t="shared" si="85"/>
        <v/>
      </c>
      <c r="T152" s="2" t="str">
        <f t="shared" si="86"/>
        <v/>
      </c>
      <c r="U152" s="2" t="str">
        <f t="shared" si="87"/>
        <v/>
      </c>
      <c r="V152" t="str">
        <f t="shared" si="104"/>
        <v/>
      </c>
      <c r="X152">
        <f t="shared" si="115"/>
        <v>0</v>
      </c>
      <c r="Y152">
        <f t="shared" si="116"/>
        <v>0</v>
      </c>
      <c r="Z152">
        <f t="shared" si="117"/>
        <v>0</v>
      </c>
      <c r="AA152">
        <f t="shared" si="118"/>
        <v>0</v>
      </c>
      <c r="AB152">
        <f t="shared" si="119"/>
        <v>0</v>
      </c>
      <c r="AC152">
        <f t="shared" si="120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14"/>
        <v>_x0013_</v>
      </c>
      <c r="M153">
        <v>8</v>
      </c>
      <c r="N153" s="23" t="str">
        <f t="shared" si="80"/>
        <v/>
      </c>
      <c r="O153" s="7" t="str">
        <f t="shared" si="81"/>
        <v/>
      </c>
      <c r="P153" s="7" t="str">
        <f t="shared" si="82"/>
        <v/>
      </c>
      <c r="Q153" s="7" t="str">
        <f t="shared" si="83"/>
        <v/>
      </c>
      <c r="R153" s="17" t="str">
        <f t="shared" si="84"/>
        <v/>
      </c>
      <c r="S153" s="8" t="str">
        <f t="shared" si="85"/>
        <v/>
      </c>
      <c r="T153" s="2" t="str">
        <f t="shared" si="86"/>
        <v/>
      </c>
      <c r="U153" s="2" t="str">
        <f t="shared" si="87"/>
        <v/>
      </c>
      <c r="V153" t="str">
        <f t="shared" si="104"/>
        <v/>
      </c>
      <c r="X153">
        <f t="shared" si="115"/>
        <v>0</v>
      </c>
      <c r="Y153">
        <f t="shared" si="116"/>
        <v>0</v>
      </c>
      <c r="Z153">
        <f t="shared" si="117"/>
        <v>0</v>
      </c>
      <c r="AA153">
        <f t="shared" si="118"/>
        <v>0</v>
      </c>
      <c r="AB153">
        <f t="shared" si="119"/>
        <v>0</v>
      </c>
      <c r="AC153">
        <f t="shared" si="120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14"/>
        <v>_x0013_</v>
      </c>
      <c r="M154">
        <v>9</v>
      </c>
      <c r="N154" s="23" t="str">
        <f t="shared" si="80"/>
        <v/>
      </c>
      <c r="O154" s="7" t="str">
        <f t="shared" si="81"/>
        <v>#</v>
      </c>
      <c r="P154" s="7" t="str">
        <f t="shared" si="82"/>
        <v/>
      </c>
      <c r="Q154" s="7" t="str">
        <f t="shared" si="83"/>
        <v>#</v>
      </c>
      <c r="R154" s="17" t="str">
        <f t="shared" si="84"/>
        <v/>
      </c>
      <c r="S154" s="8" t="str">
        <f t="shared" si="85"/>
        <v/>
      </c>
      <c r="T154" s="2" t="str">
        <f t="shared" si="86"/>
        <v/>
      </c>
      <c r="U154" s="2" t="str">
        <f t="shared" si="87"/>
        <v/>
      </c>
      <c r="V154" t="str">
        <f t="shared" si="104"/>
        <v/>
      </c>
      <c r="X154">
        <f t="shared" si="115"/>
        <v>0</v>
      </c>
      <c r="Y154">
        <f t="shared" si="116"/>
        <v>1</v>
      </c>
      <c r="Z154">
        <f t="shared" si="117"/>
        <v>0</v>
      </c>
      <c r="AA154">
        <f t="shared" si="118"/>
        <v>1</v>
      </c>
      <c r="AB154">
        <f t="shared" si="119"/>
        <v>0</v>
      </c>
      <c r="AC154">
        <f t="shared" si="120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14"/>
        <v>_x0013_</v>
      </c>
      <c r="M155">
        <v>10</v>
      </c>
      <c r="N155" s="23" t="str">
        <f t="shared" si="80"/>
        <v/>
      </c>
      <c r="O155" s="7" t="str">
        <f t="shared" si="81"/>
        <v>#</v>
      </c>
      <c r="P155" s="7" t="str">
        <f t="shared" si="82"/>
        <v/>
      </c>
      <c r="Q155" s="7" t="str">
        <f t="shared" si="83"/>
        <v>#</v>
      </c>
      <c r="R155" s="17" t="str">
        <f t="shared" si="84"/>
        <v/>
      </c>
      <c r="S155" s="8" t="str">
        <f t="shared" si="85"/>
        <v/>
      </c>
      <c r="T155" s="2" t="str">
        <f t="shared" si="86"/>
        <v/>
      </c>
      <c r="U155" s="2" t="str">
        <f t="shared" si="87"/>
        <v/>
      </c>
      <c r="V155" t="str">
        <f t="shared" si="104"/>
        <v/>
      </c>
      <c r="X155">
        <f t="shared" si="115"/>
        <v>0</v>
      </c>
      <c r="Y155">
        <f t="shared" si="116"/>
        <v>0</v>
      </c>
      <c r="Z155">
        <f t="shared" si="117"/>
        <v>0</v>
      </c>
      <c r="AA155">
        <f t="shared" si="118"/>
        <v>0</v>
      </c>
      <c r="AB155">
        <f t="shared" si="119"/>
        <v>0</v>
      </c>
      <c r="AC155">
        <f t="shared" si="120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14"/>
        <v>_x0013_</v>
      </c>
      <c r="M156">
        <v>11</v>
      </c>
      <c r="N156" s="23" t="str">
        <f t="shared" si="80"/>
        <v/>
      </c>
      <c r="O156" s="7" t="str">
        <f t="shared" si="81"/>
        <v/>
      </c>
      <c r="P156" s="7" t="str">
        <f t="shared" si="82"/>
        <v/>
      </c>
      <c r="Q156" s="7" t="str">
        <f t="shared" si="83"/>
        <v/>
      </c>
      <c r="R156" s="17" t="str">
        <f t="shared" si="84"/>
        <v/>
      </c>
      <c r="S156" s="8" t="str">
        <f t="shared" si="85"/>
        <v/>
      </c>
      <c r="T156" s="2" t="str">
        <f t="shared" si="86"/>
        <v/>
      </c>
      <c r="U156" s="2" t="str">
        <f t="shared" si="87"/>
        <v/>
      </c>
      <c r="V156" t="str">
        <f t="shared" si="104"/>
        <v/>
      </c>
      <c r="X156">
        <f t="shared" si="115"/>
        <v>0</v>
      </c>
      <c r="Y156">
        <f t="shared" si="116"/>
        <v>0</v>
      </c>
      <c r="Z156">
        <f t="shared" si="117"/>
        <v>0</v>
      </c>
      <c r="AA156">
        <f t="shared" si="118"/>
        <v>0</v>
      </c>
      <c r="AB156">
        <f t="shared" si="119"/>
        <v>0</v>
      </c>
      <c r="AC156">
        <f t="shared" si="120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14"/>
        <v>_x0013_</v>
      </c>
      <c r="M157">
        <v>12</v>
      </c>
      <c r="N157" s="23" t="str">
        <f t="shared" si="80"/>
        <v>#</v>
      </c>
      <c r="O157" s="7" t="str">
        <f t="shared" si="81"/>
        <v/>
      </c>
      <c r="P157" s="7" t="str">
        <f t="shared" si="82"/>
        <v>#</v>
      </c>
      <c r="Q157" s="7" t="str">
        <f t="shared" si="83"/>
        <v/>
      </c>
      <c r="R157" s="17" t="str">
        <f t="shared" si="84"/>
        <v>#</v>
      </c>
      <c r="S157" s="8" t="str">
        <f t="shared" si="85"/>
        <v/>
      </c>
      <c r="T157" s="2" t="str">
        <f t="shared" si="86"/>
        <v/>
      </c>
      <c r="U157" s="2" t="str">
        <f t="shared" si="87"/>
        <v/>
      </c>
      <c r="V157" t="str">
        <f t="shared" si="104"/>
        <v/>
      </c>
      <c r="X157">
        <f t="shared" si="115"/>
        <v>1</v>
      </c>
      <c r="Y157">
        <f t="shared" si="116"/>
        <v>0</v>
      </c>
      <c r="Z157">
        <f t="shared" si="117"/>
        <v>1</v>
      </c>
      <c r="AA157">
        <f t="shared" si="118"/>
        <v>0</v>
      </c>
      <c r="AB157">
        <f t="shared" si="119"/>
        <v>1</v>
      </c>
      <c r="AC157">
        <f t="shared" si="120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14"/>
        <v>_x0013_</v>
      </c>
      <c r="M158">
        <v>13</v>
      </c>
      <c r="N158" s="6" t="str">
        <f t="shared" si="80"/>
        <v>#</v>
      </c>
      <c r="O158" s="7" t="str">
        <f t="shared" si="81"/>
        <v/>
      </c>
      <c r="P158" s="7" t="str">
        <f t="shared" si="82"/>
        <v>#</v>
      </c>
      <c r="Q158" s="7" t="str">
        <f t="shared" si="83"/>
        <v/>
      </c>
      <c r="R158" s="17" t="str">
        <f t="shared" si="84"/>
        <v>#</v>
      </c>
      <c r="S158" s="8" t="str">
        <f t="shared" si="85"/>
        <v/>
      </c>
      <c r="T158" s="2" t="str">
        <f t="shared" si="86"/>
        <v/>
      </c>
      <c r="U158" s="2" t="str">
        <f t="shared" si="87"/>
        <v/>
      </c>
      <c r="V158" t="str">
        <f t="shared" si="104"/>
        <v/>
      </c>
      <c r="X158">
        <f t="shared" si="115"/>
        <v>0</v>
      </c>
      <c r="Y158">
        <f t="shared" si="116"/>
        <v>0</v>
      </c>
      <c r="Z158">
        <f t="shared" si="117"/>
        <v>0</v>
      </c>
      <c r="AA158">
        <f t="shared" si="118"/>
        <v>0</v>
      </c>
      <c r="AB158">
        <f t="shared" si="119"/>
        <v>0</v>
      </c>
      <c r="AC158">
        <f t="shared" si="120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14"/>
        <v>_x0013_</v>
      </c>
      <c r="M159">
        <v>14</v>
      </c>
      <c r="N159" s="18" t="str">
        <f t="shared" si="80"/>
        <v/>
      </c>
      <c r="O159" s="19" t="str">
        <f t="shared" si="81"/>
        <v/>
      </c>
      <c r="P159" s="19" t="str">
        <f t="shared" si="82"/>
        <v/>
      </c>
      <c r="Q159" s="19" t="str">
        <f t="shared" si="83"/>
        <v/>
      </c>
      <c r="R159" s="20" t="str">
        <f t="shared" si="84"/>
        <v/>
      </c>
      <c r="S159" s="8" t="str">
        <f t="shared" si="85"/>
        <v/>
      </c>
      <c r="T159" s="2" t="str">
        <f t="shared" si="86"/>
        <v/>
      </c>
      <c r="U159" s="2" t="str">
        <f t="shared" si="87"/>
        <v/>
      </c>
      <c r="V159" t="str">
        <f t="shared" si="104"/>
        <v/>
      </c>
      <c r="X159">
        <f t="shared" si="115"/>
        <v>0</v>
      </c>
      <c r="Y159">
        <f t="shared" si="116"/>
        <v>0</v>
      </c>
      <c r="Z159">
        <f t="shared" si="117"/>
        <v>0</v>
      </c>
      <c r="AA159">
        <f t="shared" si="118"/>
        <v>0</v>
      </c>
      <c r="AB159">
        <f t="shared" si="119"/>
        <v>0</v>
      </c>
      <c r="AC159">
        <f t="shared" si="120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14"/>
        <v>_x0013_</v>
      </c>
      <c r="M160">
        <v>15</v>
      </c>
      <c r="N160" s="9" t="str">
        <f t="shared" si="80"/>
        <v/>
      </c>
      <c r="O160" s="10" t="str">
        <f t="shared" si="81"/>
        <v>#</v>
      </c>
      <c r="P160" s="10" t="str">
        <f t="shared" si="82"/>
        <v/>
      </c>
      <c r="Q160" s="10" t="str">
        <f t="shared" si="83"/>
        <v>#</v>
      </c>
      <c r="R160" s="10" t="str">
        <f t="shared" si="84"/>
        <v/>
      </c>
      <c r="S160" s="11" t="str">
        <f t="shared" si="85"/>
        <v/>
      </c>
      <c r="T160" s="2" t="str">
        <f t="shared" si="86"/>
        <v/>
      </c>
      <c r="U160" s="2" t="str">
        <f t="shared" si="87"/>
        <v/>
      </c>
      <c r="V160" t="str">
        <f t="shared" si="104"/>
        <v/>
      </c>
      <c r="X160">
        <f t="shared" si="115"/>
        <v>0</v>
      </c>
      <c r="Y160">
        <f t="shared" si="116"/>
        <v>1</v>
      </c>
      <c r="Z160">
        <f t="shared" si="117"/>
        <v>0</v>
      </c>
      <c r="AA160">
        <f t="shared" si="118"/>
        <v>1</v>
      </c>
      <c r="AB160">
        <f t="shared" si="119"/>
        <v>0</v>
      </c>
      <c r="AC160">
        <f t="shared" si="120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14"/>
        <v>_x0013_</v>
      </c>
      <c r="M161">
        <v>16</v>
      </c>
      <c r="N161" s="12" t="str">
        <f t="shared" si="80"/>
        <v/>
      </c>
      <c r="O161" s="13" t="str">
        <f t="shared" si="81"/>
        <v>#</v>
      </c>
      <c r="P161" s="13" t="str">
        <f t="shared" si="82"/>
        <v/>
      </c>
      <c r="Q161" s="13" t="str">
        <f t="shared" si="83"/>
        <v>#</v>
      </c>
      <c r="R161" s="13" t="str">
        <f t="shared" si="84"/>
        <v/>
      </c>
      <c r="S161" s="14" t="str">
        <f t="shared" si="85"/>
        <v/>
      </c>
      <c r="T161" s="2" t="str">
        <f t="shared" si="86"/>
        <v/>
      </c>
      <c r="U161" s="2" t="str">
        <f t="shared" si="87"/>
        <v/>
      </c>
      <c r="V161" t="str">
        <f t="shared" si="104"/>
        <v/>
      </c>
      <c r="X161">
        <f t="shared" si="115"/>
        <v>0</v>
      </c>
      <c r="Y161">
        <f t="shared" si="116"/>
        <v>0</v>
      </c>
      <c r="Z161">
        <f t="shared" si="117"/>
        <v>0</v>
      </c>
      <c r="AA161">
        <f t="shared" si="118"/>
        <v>0</v>
      </c>
      <c r="AB161">
        <f t="shared" si="119"/>
        <v>0</v>
      </c>
      <c r="AC161">
        <f t="shared" si="120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21">IF(B162&gt;0,"#","")</f>
        <v/>
      </c>
      <c r="O162" t="str">
        <f t="shared" ref="O162:O225" si="122">IF(C162&gt;0,"#","")</f>
        <v/>
      </c>
      <c r="P162" t="str">
        <f t="shared" ref="P162:P225" si="123">IF(D162&gt;0,"#","")</f>
        <v/>
      </c>
      <c r="Q162" t="str">
        <f t="shared" ref="Q162:Q225" si="124">IF(E162&gt;0,"#","")</f>
        <v/>
      </c>
      <c r="R162" t="str">
        <f t="shared" ref="R162:R225" si="125">IF(F162&gt;0,"#","")</f>
        <v/>
      </c>
      <c r="S162" t="str">
        <f t="shared" ref="S162:S225" si="126">IF(G162&gt;0,"#","")</f>
        <v/>
      </c>
      <c r="T162" s="2" t="str">
        <f t="shared" ref="T162:T225" si="127">IF(H162&gt;0,"#","")</f>
        <v/>
      </c>
      <c r="U162" s="2" t="str">
        <f t="shared" ref="U162:U225" si="128">IF(I162&gt;0,"#","")</f>
        <v/>
      </c>
      <c r="V162" t="str">
        <f t="shared" si="104"/>
        <v/>
      </c>
      <c r="W162">
        <f>SUM(B164:G177)</f>
        <v>12</v>
      </c>
      <c r="AD162">
        <f t="shared" ref="AD162" si="129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30">L162</f>
        <v>_x0014_</v>
      </c>
      <c r="M163">
        <v>2</v>
      </c>
      <c r="N163" t="str">
        <f t="shared" si="121"/>
        <v/>
      </c>
      <c r="O163" t="str">
        <f t="shared" si="122"/>
        <v/>
      </c>
      <c r="P163" t="str">
        <f t="shared" si="123"/>
        <v/>
      </c>
      <c r="Q163" t="str">
        <f t="shared" si="124"/>
        <v/>
      </c>
      <c r="R163" t="str">
        <f t="shared" si="125"/>
        <v/>
      </c>
      <c r="S163" t="str">
        <f t="shared" si="126"/>
        <v/>
      </c>
      <c r="T163" s="2" t="str">
        <f t="shared" si="127"/>
        <v/>
      </c>
      <c r="U163" s="2" t="str">
        <f t="shared" si="128"/>
        <v/>
      </c>
      <c r="V163" t="str">
        <f t="shared" si="104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30"/>
        <v>_x0014_</v>
      </c>
      <c r="M164">
        <v>3</v>
      </c>
      <c r="N164" s="3" t="str">
        <f t="shared" si="121"/>
        <v/>
      </c>
      <c r="O164" s="4" t="str">
        <f t="shared" si="122"/>
        <v>#</v>
      </c>
      <c r="P164" s="4" t="str">
        <f t="shared" si="123"/>
        <v/>
      </c>
      <c r="Q164" s="4" t="str">
        <f t="shared" si="124"/>
        <v>#</v>
      </c>
      <c r="R164" s="4" t="str">
        <f t="shared" si="125"/>
        <v/>
      </c>
      <c r="S164" s="5" t="str">
        <f t="shared" si="126"/>
        <v/>
      </c>
      <c r="T164" s="2" t="str">
        <f t="shared" si="127"/>
        <v/>
      </c>
      <c r="U164" s="2" t="str">
        <f t="shared" si="128"/>
        <v/>
      </c>
      <c r="V164" t="str">
        <f t="shared" si="104"/>
        <v/>
      </c>
      <c r="X164">
        <f t="shared" ref="X164:X177" si="131">MAX(B164-B163,0)</f>
        <v>0</v>
      </c>
      <c r="Y164">
        <f t="shared" ref="Y164:Y177" si="132">MAX(C164-C163,0)</f>
        <v>1</v>
      </c>
      <c r="Z164">
        <f t="shared" ref="Z164:Z177" si="133">MAX(D164-D163,0)</f>
        <v>0</v>
      </c>
      <c r="AA164">
        <f t="shared" ref="AA164:AA177" si="134">MAX(E164-E163,0)</f>
        <v>1</v>
      </c>
      <c r="AB164">
        <f t="shared" ref="AB164:AB177" si="135">MAX(F164-F163,0)</f>
        <v>0</v>
      </c>
      <c r="AC164">
        <f t="shared" ref="AC164:AC177" si="136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30"/>
        <v>_x0014_</v>
      </c>
      <c r="M165">
        <v>4</v>
      </c>
      <c r="N165" s="6" t="str">
        <f t="shared" si="121"/>
        <v/>
      </c>
      <c r="O165" s="7" t="str">
        <f t="shared" si="122"/>
        <v/>
      </c>
      <c r="P165" s="7" t="str">
        <f t="shared" si="123"/>
        <v/>
      </c>
      <c r="Q165" s="7" t="str">
        <f t="shared" si="124"/>
        <v/>
      </c>
      <c r="R165" s="7" t="str">
        <f t="shared" si="125"/>
        <v/>
      </c>
      <c r="S165" s="8" t="str">
        <f t="shared" si="126"/>
        <v/>
      </c>
      <c r="T165" s="2" t="str">
        <f t="shared" si="127"/>
        <v/>
      </c>
      <c r="U165" s="2" t="str">
        <f t="shared" si="128"/>
        <v/>
      </c>
      <c r="V165" t="str">
        <f t="shared" si="104"/>
        <v/>
      </c>
      <c r="X165">
        <f t="shared" si="131"/>
        <v>0</v>
      </c>
      <c r="Y165">
        <f t="shared" si="132"/>
        <v>0</v>
      </c>
      <c r="Z165">
        <f t="shared" si="133"/>
        <v>0</v>
      </c>
      <c r="AA165">
        <f t="shared" si="134"/>
        <v>0</v>
      </c>
      <c r="AB165">
        <f t="shared" si="135"/>
        <v>0</v>
      </c>
      <c r="AC165">
        <f t="shared" si="136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30"/>
        <v>_x0014_</v>
      </c>
      <c r="M166">
        <v>5</v>
      </c>
      <c r="N166" s="22" t="str">
        <f t="shared" si="121"/>
        <v/>
      </c>
      <c r="O166" s="15" t="str">
        <f t="shared" si="122"/>
        <v/>
      </c>
      <c r="P166" s="15" t="str">
        <f t="shared" si="123"/>
        <v/>
      </c>
      <c r="Q166" s="15" t="str">
        <f t="shared" si="124"/>
        <v/>
      </c>
      <c r="R166" s="16" t="str">
        <f t="shared" si="125"/>
        <v/>
      </c>
      <c r="S166" s="8" t="str">
        <f t="shared" si="126"/>
        <v/>
      </c>
      <c r="T166" s="2" t="str">
        <f t="shared" si="127"/>
        <v/>
      </c>
      <c r="U166" s="2" t="str">
        <f t="shared" si="128"/>
        <v/>
      </c>
      <c r="V166" t="str">
        <f t="shared" si="104"/>
        <v/>
      </c>
      <c r="X166">
        <f t="shared" si="131"/>
        <v>0</v>
      </c>
      <c r="Y166">
        <f t="shared" si="132"/>
        <v>0</v>
      </c>
      <c r="Z166">
        <f t="shared" si="133"/>
        <v>0</v>
      </c>
      <c r="AA166">
        <f t="shared" si="134"/>
        <v>0</v>
      </c>
      <c r="AB166">
        <f t="shared" si="135"/>
        <v>0</v>
      </c>
      <c r="AC166">
        <f t="shared" si="136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30"/>
        <v>_x0014_</v>
      </c>
      <c r="M167">
        <v>6</v>
      </c>
      <c r="N167" s="23" t="str">
        <f t="shared" si="121"/>
        <v>#</v>
      </c>
      <c r="O167" s="7" t="str">
        <f t="shared" si="122"/>
        <v/>
      </c>
      <c r="P167" s="7" t="str">
        <f t="shared" si="123"/>
        <v>#</v>
      </c>
      <c r="Q167" s="7" t="str">
        <f t="shared" si="124"/>
        <v/>
      </c>
      <c r="R167" s="17" t="str">
        <f t="shared" si="125"/>
        <v>#</v>
      </c>
      <c r="S167" s="8" t="str">
        <f t="shared" si="126"/>
        <v/>
      </c>
      <c r="T167" s="2" t="str">
        <f t="shared" si="127"/>
        <v/>
      </c>
      <c r="U167" s="2" t="str">
        <f t="shared" si="128"/>
        <v/>
      </c>
      <c r="V167" t="str">
        <f t="shared" si="104"/>
        <v/>
      </c>
      <c r="X167">
        <f t="shared" si="131"/>
        <v>1</v>
      </c>
      <c r="Y167">
        <f t="shared" si="132"/>
        <v>0</v>
      </c>
      <c r="Z167">
        <f t="shared" si="133"/>
        <v>1</v>
      </c>
      <c r="AA167">
        <f t="shared" si="134"/>
        <v>0</v>
      </c>
      <c r="AB167">
        <f t="shared" si="135"/>
        <v>1</v>
      </c>
      <c r="AC167">
        <f t="shared" si="136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30"/>
        <v>_x0014_</v>
      </c>
      <c r="M168">
        <v>7</v>
      </c>
      <c r="N168" s="23" t="str">
        <f t="shared" si="121"/>
        <v/>
      </c>
      <c r="O168" s="7" t="str">
        <f t="shared" si="122"/>
        <v/>
      </c>
      <c r="P168" s="7" t="str">
        <f t="shared" si="123"/>
        <v/>
      </c>
      <c r="Q168" s="7" t="str">
        <f t="shared" si="124"/>
        <v/>
      </c>
      <c r="R168" s="17" t="str">
        <f t="shared" si="125"/>
        <v/>
      </c>
      <c r="S168" s="8" t="str">
        <f t="shared" si="126"/>
        <v/>
      </c>
      <c r="T168" s="2" t="str">
        <f t="shared" si="127"/>
        <v/>
      </c>
      <c r="U168" s="2" t="str">
        <f t="shared" si="128"/>
        <v/>
      </c>
      <c r="V168" t="str">
        <f t="shared" si="104"/>
        <v/>
      </c>
      <c r="X168">
        <f t="shared" si="131"/>
        <v>0</v>
      </c>
      <c r="Y168">
        <f t="shared" si="132"/>
        <v>0</v>
      </c>
      <c r="Z168">
        <f t="shared" si="133"/>
        <v>0</v>
      </c>
      <c r="AA168">
        <f t="shared" si="134"/>
        <v>0</v>
      </c>
      <c r="AB168">
        <f t="shared" si="135"/>
        <v>0</v>
      </c>
      <c r="AC168">
        <f t="shared" si="136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30"/>
        <v>_x0014_</v>
      </c>
      <c r="M169">
        <v>8</v>
      </c>
      <c r="N169" s="23" t="str">
        <f t="shared" si="121"/>
        <v/>
      </c>
      <c r="O169" s="7" t="str">
        <f t="shared" si="122"/>
        <v/>
      </c>
      <c r="P169" s="7" t="str">
        <f t="shared" si="123"/>
        <v/>
      </c>
      <c r="Q169" s="7" t="str">
        <f t="shared" si="124"/>
        <v/>
      </c>
      <c r="R169" s="17" t="str">
        <f t="shared" si="125"/>
        <v/>
      </c>
      <c r="S169" s="8" t="str">
        <f t="shared" si="126"/>
        <v/>
      </c>
      <c r="T169" s="2" t="str">
        <f t="shared" si="127"/>
        <v/>
      </c>
      <c r="U169" s="2" t="str">
        <f t="shared" si="128"/>
        <v/>
      </c>
      <c r="V169" t="str">
        <f t="shared" si="104"/>
        <v/>
      </c>
      <c r="X169">
        <f t="shared" si="131"/>
        <v>0</v>
      </c>
      <c r="Y169">
        <f t="shared" si="132"/>
        <v>0</v>
      </c>
      <c r="Z169">
        <f t="shared" si="133"/>
        <v>0</v>
      </c>
      <c r="AA169">
        <f t="shared" si="134"/>
        <v>0</v>
      </c>
      <c r="AB169">
        <f t="shared" si="135"/>
        <v>0</v>
      </c>
      <c r="AC169">
        <f t="shared" si="136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30"/>
        <v>_x0014_</v>
      </c>
      <c r="M170">
        <v>9</v>
      </c>
      <c r="N170" s="23" t="str">
        <f t="shared" si="121"/>
        <v/>
      </c>
      <c r="O170" s="7" t="str">
        <f t="shared" si="122"/>
        <v>#</v>
      </c>
      <c r="P170" s="7" t="str">
        <f t="shared" si="123"/>
        <v/>
      </c>
      <c r="Q170" s="7" t="str">
        <f t="shared" si="124"/>
        <v>#</v>
      </c>
      <c r="R170" s="17" t="str">
        <f t="shared" si="125"/>
        <v/>
      </c>
      <c r="S170" s="8" t="str">
        <f t="shared" si="126"/>
        <v/>
      </c>
      <c r="T170" s="2" t="str">
        <f t="shared" si="127"/>
        <v/>
      </c>
      <c r="U170" s="2" t="str">
        <f t="shared" si="128"/>
        <v/>
      </c>
      <c r="V170" t="str">
        <f t="shared" si="104"/>
        <v/>
      </c>
      <c r="X170">
        <f t="shared" si="131"/>
        <v>0</v>
      </c>
      <c r="Y170">
        <f t="shared" si="132"/>
        <v>1</v>
      </c>
      <c r="Z170">
        <f t="shared" si="133"/>
        <v>0</v>
      </c>
      <c r="AA170">
        <f t="shared" si="134"/>
        <v>1</v>
      </c>
      <c r="AB170">
        <f t="shared" si="135"/>
        <v>0</v>
      </c>
      <c r="AC170">
        <f t="shared" si="136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30"/>
        <v>_x0014_</v>
      </c>
      <c r="M171">
        <v>10</v>
      </c>
      <c r="N171" s="23" t="str">
        <f t="shared" si="121"/>
        <v/>
      </c>
      <c r="O171" s="7" t="str">
        <f t="shared" si="122"/>
        <v/>
      </c>
      <c r="P171" s="7" t="str">
        <f t="shared" si="123"/>
        <v/>
      </c>
      <c r="Q171" s="7" t="str">
        <f t="shared" si="124"/>
        <v/>
      </c>
      <c r="R171" s="17" t="str">
        <f t="shared" si="125"/>
        <v/>
      </c>
      <c r="S171" s="8" t="str">
        <f t="shared" si="126"/>
        <v/>
      </c>
      <c r="T171" s="2" t="str">
        <f t="shared" si="127"/>
        <v/>
      </c>
      <c r="U171" s="2" t="str">
        <f t="shared" si="128"/>
        <v/>
      </c>
      <c r="V171" t="str">
        <f t="shared" si="104"/>
        <v/>
      </c>
      <c r="X171">
        <f t="shared" si="131"/>
        <v>0</v>
      </c>
      <c r="Y171">
        <f t="shared" si="132"/>
        <v>0</v>
      </c>
      <c r="Z171">
        <f t="shared" si="133"/>
        <v>0</v>
      </c>
      <c r="AA171">
        <f t="shared" si="134"/>
        <v>0</v>
      </c>
      <c r="AB171">
        <f t="shared" si="135"/>
        <v>0</v>
      </c>
      <c r="AC171">
        <f t="shared" si="136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30"/>
        <v>_x0014_</v>
      </c>
      <c r="M172">
        <v>11</v>
      </c>
      <c r="N172" s="23" t="str">
        <f t="shared" si="121"/>
        <v/>
      </c>
      <c r="O172" s="7" t="str">
        <f t="shared" si="122"/>
        <v/>
      </c>
      <c r="P172" s="7" t="str">
        <f t="shared" si="123"/>
        <v/>
      </c>
      <c r="Q172" s="7" t="str">
        <f t="shared" si="124"/>
        <v/>
      </c>
      <c r="R172" s="17" t="str">
        <f t="shared" si="125"/>
        <v/>
      </c>
      <c r="S172" s="8" t="str">
        <f t="shared" si="126"/>
        <v/>
      </c>
      <c r="T172" s="2" t="str">
        <f t="shared" si="127"/>
        <v/>
      </c>
      <c r="U172" s="2" t="str">
        <f t="shared" si="128"/>
        <v/>
      </c>
      <c r="V172" t="str">
        <f t="shared" si="104"/>
        <v/>
      </c>
      <c r="X172">
        <f t="shared" si="131"/>
        <v>0</v>
      </c>
      <c r="Y172">
        <f t="shared" si="132"/>
        <v>0</v>
      </c>
      <c r="Z172">
        <f t="shared" si="133"/>
        <v>0</v>
      </c>
      <c r="AA172">
        <f t="shared" si="134"/>
        <v>0</v>
      </c>
      <c r="AB172">
        <f t="shared" si="135"/>
        <v>0</v>
      </c>
      <c r="AC172">
        <f t="shared" si="136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30"/>
        <v>_x0014_</v>
      </c>
      <c r="M173">
        <v>12</v>
      </c>
      <c r="N173" s="23" t="str">
        <f t="shared" si="121"/>
        <v>#</v>
      </c>
      <c r="O173" s="7" t="str">
        <f t="shared" si="122"/>
        <v/>
      </c>
      <c r="P173" s="7" t="str">
        <f t="shared" si="123"/>
        <v>#</v>
      </c>
      <c r="Q173" s="7" t="str">
        <f t="shared" si="124"/>
        <v/>
      </c>
      <c r="R173" s="17" t="str">
        <f t="shared" si="125"/>
        <v>#</v>
      </c>
      <c r="S173" s="8" t="str">
        <f t="shared" si="126"/>
        <v/>
      </c>
      <c r="T173" s="2" t="str">
        <f t="shared" si="127"/>
        <v/>
      </c>
      <c r="U173" s="2" t="str">
        <f t="shared" si="128"/>
        <v/>
      </c>
      <c r="V173" t="str">
        <f t="shared" si="104"/>
        <v/>
      </c>
      <c r="X173">
        <f t="shared" si="131"/>
        <v>1</v>
      </c>
      <c r="Y173">
        <f t="shared" si="132"/>
        <v>0</v>
      </c>
      <c r="Z173">
        <f t="shared" si="133"/>
        <v>1</v>
      </c>
      <c r="AA173">
        <f t="shared" si="134"/>
        <v>0</v>
      </c>
      <c r="AB173">
        <f t="shared" si="135"/>
        <v>1</v>
      </c>
      <c r="AC173">
        <f t="shared" si="136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30"/>
        <v>_x0014_</v>
      </c>
      <c r="M174">
        <v>13</v>
      </c>
      <c r="N174" s="6" t="str">
        <f t="shared" si="121"/>
        <v/>
      </c>
      <c r="O174" s="7" t="str">
        <f t="shared" si="122"/>
        <v/>
      </c>
      <c r="P174" s="7" t="str">
        <f t="shared" si="123"/>
        <v/>
      </c>
      <c r="Q174" s="7" t="str">
        <f t="shared" si="124"/>
        <v/>
      </c>
      <c r="R174" s="17" t="str">
        <f t="shared" si="125"/>
        <v/>
      </c>
      <c r="S174" s="8" t="str">
        <f t="shared" si="126"/>
        <v/>
      </c>
      <c r="T174" s="2" t="str">
        <f t="shared" si="127"/>
        <v/>
      </c>
      <c r="U174" s="2" t="str">
        <f t="shared" si="128"/>
        <v/>
      </c>
      <c r="V174" t="str">
        <f t="shared" si="104"/>
        <v/>
      </c>
      <c r="X174">
        <f t="shared" si="131"/>
        <v>0</v>
      </c>
      <c r="Y174">
        <f t="shared" si="132"/>
        <v>0</v>
      </c>
      <c r="Z174">
        <f t="shared" si="133"/>
        <v>0</v>
      </c>
      <c r="AA174">
        <f t="shared" si="134"/>
        <v>0</v>
      </c>
      <c r="AB174">
        <f t="shared" si="135"/>
        <v>0</v>
      </c>
      <c r="AC174">
        <f t="shared" si="136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30"/>
        <v>_x0014_</v>
      </c>
      <c r="M175">
        <v>14</v>
      </c>
      <c r="N175" s="18" t="str">
        <f t="shared" si="121"/>
        <v/>
      </c>
      <c r="O175" s="19" t="str">
        <f t="shared" si="122"/>
        <v/>
      </c>
      <c r="P175" s="19" t="str">
        <f t="shared" si="123"/>
        <v/>
      </c>
      <c r="Q175" s="19" t="str">
        <f t="shared" si="124"/>
        <v/>
      </c>
      <c r="R175" s="20" t="str">
        <f t="shared" si="125"/>
        <v/>
      </c>
      <c r="S175" s="8" t="str">
        <f t="shared" si="126"/>
        <v/>
      </c>
      <c r="T175" s="2" t="str">
        <f t="shared" si="127"/>
        <v/>
      </c>
      <c r="U175" s="2" t="str">
        <f t="shared" si="128"/>
        <v/>
      </c>
      <c r="V175" t="str">
        <f t="shared" si="104"/>
        <v/>
      </c>
      <c r="X175">
        <f t="shared" si="131"/>
        <v>0</v>
      </c>
      <c r="Y175">
        <f t="shared" si="132"/>
        <v>0</v>
      </c>
      <c r="Z175">
        <f t="shared" si="133"/>
        <v>0</v>
      </c>
      <c r="AA175">
        <f t="shared" si="134"/>
        <v>0</v>
      </c>
      <c r="AB175">
        <f t="shared" si="135"/>
        <v>0</v>
      </c>
      <c r="AC175">
        <f t="shared" si="136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30"/>
        <v>_x0014_</v>
      </c>
      <c r="M176">
        <v>15</v>
      </c>
      <c r="N176" s="9" t="str">
        <f t="shared" si="121"/>
        <v/>
      </c>
      <c r="O176" s="10" t="str">
        <f t="shared" si="122"/>
        <v>#</v>
      </c>
      <c r="P176" s="10" t="str">
        <f t="shared" si="123"/>
        <v/>
      </c>
      <c r="Q176" s="10" t="str">
        <f t="shared" si="124"/>
        <v>#</v>
      </c>
      <c r="R176" s="10" t="str">
        <f t="shared" si="125"/>
        <v/>
      </c>
      <c r="S176" s="11" t="str">
        <f t="shared" si="126"/>
        <v/>
      </c>
      <c r="T176" s="2" t="str">
        <f t="shared" si="127"/>
        <v/>
      </c>
      <c r="U176" s="2" t="str">
        <f t="shared" si="128"/>
        <v/>
      </c>
      <c r="V176" t="str">
        <f t="shared" si="104"/>
        <v/>
      </c>
      <c r="X176">
        <f t="shared" si="131"/>
        <v>0</v>
      </c>
      <c r="Y176">
        <f t="shared" si="132"/>
        <v>1</v>
      </c>
      <c r="Z176">
        <f t="shared" si="133"/>
        <v>0</v>
      </c>
      <c r="AA176">
        <f t="shared" si="134"/>
        <v>1</v>
      </c>
      <c r="AB176">
        <f t="shared" si="135"/>
        <v>0</v>
      </c>
      <c r="AC176">
        <f t="shared" si="136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30"/>
        <v>_x0014_</v>
      </c>
      <c r="M177">
        <v>16</v>
      </c>
      <c r="N177" s="12" t="str">
        <f t="shared" si="121"/>
        <v/>
      </c>
      <c r="O177" s="13" t="str">
        <f t="shared" si="122"/>
        <v/>
      </c>
      <c r="P177" s="13" t="str">
        <f t="shared" si="123"/>
        <v/>
      </c>
      <c r="Q177" s="13" t="str">
        <f t="shared" si="124"/>
        <v/>
      </c>
      <c r="R177" s="13" t="str">
        <f t="shared" si="125"/>
        <v/>
      </c>
      <c r="S177" s="14" t="str">
        <f t="shared" si="126"/>
        <v/>
      </c>
      <c r="T177" s="2" t="str">
        <f t="shared" si="127"/>
        <v/>
      </c>
      <c r="U177" s="2" t="str">
        <f t="shared" si="128"/>
        <v/>
      </c>
      <c r="V177" t="str">
        <f t="shared" si="104"/>
        <v/>
      </c>
      <c r="X177">
        <f t="shared" si="131"/>
        <v>0</v>
      </c>
      <c r="Y177">
        <f t="shared" si="132"/>
        <v>0</v>
      </c>
      <c r="Z177">
        <f t="shared" si="133"/>
        <v>0</v>
      </c>
      <c r="AA177">
        <f t="shared" si="134"/>
        <v>0</v>
      </c>
      <c r="AB177">
        <f t="shared" si="135"/>
        <v>0</v>
      </c>
      <c r="AC177">
        <f t="shared" si="136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21"/>
        <v/>
      </c>
      <c r="O178" t="str">
        <f t="shared" si="122"/>
        <v/>
      </c>
      <c r="P178" t="str">
        <f t="shared" si="123"/>
        <v/>
      </c>
      <c r="Q178" t="str">
        <f t="shared" si="124"/>
        <v/>
      </c>
      <c r="R178" t="str">
        <f t="shared" si="125"/>
        <v/>
      </c>
      <c r="S178" t="str">
        <f t="shared" si="126"/>
        <v/>
      </c>
      <c r="T178" s="2" t="str">
        <f t="shared" si="127"/>
        <v/>
      </c>
      <c r="U178" s="2" t="str">
        <f t="shared" si="128"/>
        <v/>
      </c>
      <c r="V178" t="str">
        <f t="shared" si="104"/>
        <v/>
      </c>
      <c r="W178">
        <f>SUM(B180:G193)</f>
        <v>24</v>
      </c>
      <c r="AD178">
        <f t="shared" ref="AD178" si="137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8">L178</f>
        <v>_x0015_</v>
      </c>
      <c r="M179">
        <v>2</v>
      </c>
      <c r="N179" t="str">
        <f t="shared" si="121"/>
        <v/>
      </c>
      <c r="O179" t="str">
        <f t="shared" si="122"/>
        <v/>
      </c>
      <c r="P179" t="str">
        <f t="shared" si="123"/>
        <v/>
      </c>
      <c r="Q179" t="str">
        <f t="shared" si="124"/>
        <v/>
      </c>
      <c r="R179" t="str">
        <f t="shared" si="125"/>
        <v/>
      </c>
      <c r="S179" t="str">
        <f t="shared" si="126"/>
        <v/>
      </c>
      <c r="T179" s="2" t="str">
        <f t="shared" si="127"/>
        <v/>
      </c>
      <c r="U179" s="2" t="str">
        <f t="shared" si="128"/>
        <v/>
      </c>
      <c r="V179" t="str">
        <f t="shared" si="104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8"/>
        <v>_x0015_</v>
      </c>
      <c r="M180">
        <v>3</v>
      </c>
      <c r="N180" s="3" t="str">
        <f t="shared" si="121"/>
        <v/>
      </c>
      <c r="O180" s="4" t="str">
        <f t="shared" si="122"/>
        <v/>
      </c>
      <c r="P180" s="4" t="str">
        <f t="shared" si="123"/>
        <v/>
      </c>
      <c r="Q180" s="4" t="str">
        <f t="shared" si="124"/>
        <v/>
      </c>
      <c r="R180" s="4" t="str">
        <f t="shared" si="125"/>
        <v/>
      </c>
      <c r="S180" s="5" t="str">
        <f t="shared" si="126"/>
        <v/>
      </c>
      <c r="T180" s="2" t="str">
        <f t="shared" si="127"/>
        <v/>
      </c>
      <c r="U180" s="2" t="str">
        <f t="shared" si="128"/>
        <v/>
      </c>
      <c r="V180" t="str">
        <f t="shared" si="104"/>
        <v/>
      </c>
      <c r="X180">
        <f t="shared" ref="X180:X193" si="139">MAX(B180-B179,0)</f>
        <v>0</v>
      </c>
      <c r="Y180">
        <f t="shared" ref="Y180:Y193" si="140">MAX(C180-C179,0)</f>
        <v>0</v>
      </c>
      <c r="Z180">
        <f t="shared" ref="Z180:Z193" si="141">MAX(D180-D179,0)</f>
        <v>0</v>
      </c>
      <c r="AA180">
        <f t="shared" ref="AA180:AA193" si="142">MAX(E180-E179,0)</f>
        <v>0</v>
      </c>
      <c r="AB180">
        <f t="shared" ref="AB180:AB193" si="143">MAX(F180-F179,0)</f>
        <v>0</v>
      </c>
      <c r="AC180">
        <f t="shared" ref="AC180:AC193" si="144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8"/>
        <v>_x0015_</v>
      </c>
      <c r="M181">
        <v>4</v>
      </c>
      <c r="N181" s="6" t="str">
        <f t="shared" si="121"/>
        <v/>
      </c>
      <c r="O181" s="7" t="str">
        <f t="shared" si="122"/>
        <v/>
      </c>
      <c r="P181" s="7" t="str">
        <f t="shared" si="123"/>
        <v/>
      </c>
      <c r="Q181" s="7" t="str">
        <f t="shared" si="124"/>
        <v/>
      </c>
      <c r="R181" s="7" t="str">
        <f t="shared" si="125"/>
        <v/>
      </c>
      <c r="S181" s="8" t="str">
        <f t="shared" si="126"/>
        <v/>
      </c>
      <c r="T181" s="2" t="str">
        <f t="shared" si="127"/>
        <v/>
      </c>
      <c r="U181" s="2" t="str">
        <f t="shared" si="128"/>
        <v/>
      </c>
      <c r="V181" t="str">
        <f t="shared" si="104"/>
        <v/>
      </c>
      <c r="X181">
        <f t="shared" si="139"/>
        <v>0</v>
      </c>
      <c r="Y181">
        <f t="shared" si="140"/>
        <v>0</v>
      </c>
      <c r="Z181">
        <f t="shared" si="141"/>
        <v>0</v>
      </c>
      <c r="AA181">
        <f t="shared" si="142"/>
        <v>0</v>
      </c>
      <c r="AB181">
        <f t="shared" si="143"/>
        <v>0</v>
      </c>
      <c r="AC181">
        <f t="shared" si="144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8"/>
        <v>_x0015_</v>
      </c>
      <c r="M182">
        <v>5</v>
      </c>
      <c r="N182" s="22" t="str">
        <f t="shared" si="121"/>
        <v/>
      </c>
      <c r="O182" s="15" t="str">
        <f t="shared" si="122"/>
        <v/>
      </c>
      <c r="P182" s="15" t="str">
        <f t="shared" si="123"/>
        <v>#</v>
      </c>
      <c r="Q182" s="15" t="str">
        <f t="shared" si="124"/>
        <v/>
      </c>
      <c r="R182" s="16" t="str">
        <f t="shared" si="125"/>
        <v/>
      </c>
      <c r="S182" s="8" t="str">
        <f t="shared" si="126"/>
        <v/>
      </c>
      <c r="T182" s="2" t="str">
        <f t="shared" si="127"/>
        <v/>
      </c>
      <c r="U182" s="2" t="str">
        <f t="shared" si="128"/>
        <v/>
      </c>
      <c r="V182" t="str">
        <f t="shared" si="104"/>
        <v/>
      </c>
      <c r="X182">
        <f t="shared" si="139"/>
        <v>0</v>
      </c>
      <c r="Y182">
        <f t="shared" si="140"/>
        <v>0</v>
      </c>
      <c r="Z182">
        <f t="shared" si="141"/>
        <v>1</v>
      </c>
      <c r="AA182">
        <f t="shared" si="142"/>
        <v>0</v>
      </c>
      <c r="AB182">
        <f t="shared" si="143"/>
        <v>0</v>
      </c>
      <c r="AC182">
        <f t="shared" si="144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8"/>
        <v>_x0015_</v>
      </c>
      <c r="M183">
        <v>6</v>
      </c>
      <c r="N183" s="23" t="str">
        <f t="shared" si="121"/>
        <v/>
      </c>
      <c r="O183" s="7" t="str">
        <f t="shared" si="122"/>
        <v/>
      </c>
      <c r="P183" s="7" t="str">
        <f t="shared" si="123"/>
        <v>#</v>
      </c>
      <c r="Q183" s="7" t="str">
        <f t="shared" si="124"/>
        <v/>
      </c>
      <c r="R183" s="17" t="str">
        <f t="shared" si="125"/>
        <v/>
      </c>
      <c r="S183" s="8" t="str">
        <f t="shared" si="126"/>
        <v/>
      </c>
      <c r="T183" s="2" t="str">
        <f t="shared" si="127"/>
        <v/>
      </c>
      <c r="U183" s="2" t="str">
        <f t="shared" si="128"/>
        <v/>
      </c>
      <c r="V183" t="str">
        <f t="shared" si="104"/>
        <v/>
      </c>
      <c r="X183">
        <f t="shared" si="139"/>
        <v>0</v>
      </c>
      <c r="Y183">
        <f t="shared" si="140"/>
        <v>0</v>
      </c>
      <c r="Z183">
        <f t="shared" si="141"/>
        <v>0</v>
      </c>
      <c r="AA183">
        <f t="shared" si="142"/>
        <v>0</v>
      </c>
      <c r="AB183">
        <f t="shared" si="143"/>
        <v>0</v>
      </c>
      <c r="AC183">
        <f t="shared" si="144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8"/>
        <v>_x0015_</v>
      </c>
      <c r="M184">
        <v>7</v>
      </c>
      <c r="N184" s="23" t="str">
        <f t="shared" si="121"/>
        <v/>
      </c>
      <c r="O184" s="7" t="str">
        <f t="shared" si="122"/>
        <v>#</v>
      </c>
      <c r="P184" s="7" t="str">
        <f t="shared" si="123"/>
        <v>#</v>
      </c>
      <c r="Q184" s="7" t="str">
        <f t="shared" si="124"/>
        <v>#</v>
      </c>
      <c r="R184" s="17" t="str">
        <f t="shared" si="125"/>
        <v/>
      </c>
      <c r="S184" s="8" t="str">
        <f t="shared" si="126"/>
        <v/>
      </c>
      <c r="T184" s="2" t="str">
        <f t="shared" si="127"/>
        <v/>
      </c>
      <c r="U184" s="2" t="str">
        <f t="shared" si="128"/>
        <v/>
      </c>
      <c r="V184" t="str">
        <f t="shared" si="104"/>
        <v/>
      </c>
      <c r="X184">
        <f t="shared" si="139"/>
        <v>0</v>
      </c>
      <c r="Y184">
        <f t="shared" si="140"/>
        <v>1</v>
      </c>
      <c r="Z184">
        <f t="shared" si="141"/>
        <v>0</v>
      </c>
      <c r="AA184">
        <f t="shared" si="142"/>
        <v>1</v>
      </c>
      <c r="AB184">
        <f t="shared" si="143"/>
        <v>0</v>
      </c>
      <c r="AC184">
        <f t="shared" si="144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8"/>
        <v>_x0015_</v>
      </c>
      <c r="M185">
        <v>8</v>
      </c>
      <c r="N185" s="23" t="str">
        <f t="shared" si="121"/>
        <v/>
      </c>
      <c r="O185" s="7" t="str">
        <f t="shared" si="122"/>
        <v>#</v>
      </c>
      <c r="P185" s="7" t="str">
        <f t="shared" si="123"/>
        <v>#</v>
      </c>
      <c r="Q185" s="7" t="str">
        <f t="shared" si="124"/>
        <v>#</v>
      </c>
      <c r="R185" s="17" t="str">
        <f t="shared" si="125"/>
        <v/>
      </c>
      <c r="S185" s="8" t="str">
        <f t="shared" si="126"/>
        <v/>
      </c>
      <c r="T185" s="2" t="str">
        <f t="shared" si="127"/>
        <v/>
      </c>
      <c r="U185" s="2" t="str">
        <f t="shared" si="128"/>
        <v/>
      </c>
      <c r="V185" t="str">
        <f t="shared" si="104"/>
        <v/>
      </c>
      <c r="X185">
        <f t="shared" si="139"/>
        <v>0</v>
      </c>
      <c r="Y185">
        <f t="shared" si="140"/>
        <v>0</v>
      </c>
      <c r="Z185">
        <f t="shared" si="141"/>
        <v>0</v>
      </c>
      <c r="AA185">
        <f t="shared" si="142"/>
        <v>0</v>
      </c>
      <c r="AB185">
        <f t="shared" si="143"/>
        <v>0</v>
      </c>
      <c r="AC185">
        <f t="shared" si="144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8"/>
        <v>_x0015_</v>
      </c>
      <c r="M186">
        <v>9</v>
      </c>
      <c r="N186" s="23" t="str">
        <f t="shared" si="121"/>
        <v>#</v>
      </c>
      <c r="O186" s="7" t="str">
        <f t="shared" si="122"/>
        <v>#</v>
      </c>
      <c r="P186" s="7" t="str">
        <f t="shared" si="123"/>
        <v/>
      </c>
      <c r="Q186" s="7" t="str">
        <f t="shared" si="124"/>
        <v>#</v>
      </c>
      <c r="R186" s="17" t="str">
        <f t="shared" si="125"/>
        <v>#</v>
      </c>
      <c r="S186" s="8" t="str">
        <f t="shared" si="126"/>
        <v/>
      </c>
      <c r="T186" s="2" t="str">
        <f t="shared" si="127"/>
        <v/>
      </c>
      <c r="U186" s="2" t="str">
        <f t="shared" si="128"/>
        <v/>
      </c>
      <c r="V186" t="str">
        <f t="shared" si="104"/>
        <v/>
      </c>
      <c r="X186">
        <f t="shared" si="139"/>
        <v>1</v>
      </c>
      <c r="Y186">
        <f t="shared" si="140"/>
        <v>0</v>
      </c>
      <c r="Z186">
        <f t="shared" si="141"/>
        <v>0</v>
      </c>
      <c r="AA186">
        <f t="shared" si="142"/>
        <v>0</v>
      </c>
      <c r="AB186">
        <f t="shared" si="143"/>
        <v>1</v>
      </c>
      <c r="AC186">
        <f t="shared" si="144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8"/>
        <v>_x0015_</v>
      </c>
      <c r="M187">
        <v>10</v>
      </c>
      <c r="N187" s="23" t="str">
        <f t="shared" si="121"/>
        <v>#</v>
      </c>
      <c r="O187" s="7" t="str">
        <f t="shared" si="122"/>
        <v>#</v>
      </c>
      <c r="P187" s="7" t="str">
        <f t="shared" si="123"/>
        <v/>
      </c>
      <c r="Q187" s="7" t="str">
        <f t="shared" si="124"/>
        <v>#</v>
      </c>
      <c r="R187" s="17" t="str">
        <f t="shared" si="125"/>
        <v>#</v>
      </c>
      <c r="S187" s="8" t="str">
        <f t="shared" si="126"/>
        <v/>
      </c>
      <c r="T187" s="2" t="str">
        <f t="shared" si="127"/>
        <v/>
      </c>
      <c r="U187" s="2" t="str">
        <f t="shared" si="128"/>
        <v/>
      </c>
      <c r="V187" t="str">
        <f t="shared" si="104"/>
        <v/>
      </c>
      <c r="X187">
        <f t="shared" si="139"/>
        <v>0</v>
      </c>
      <c r="Y187">
        <f t="shared" si="140"/>
        <v>0</v>
      </c>
      <c r="Z187">
        <f t="shared" si="141"/>
        <v>0</v>
      </c>
      <c r="AA187">
        <f t="shared" si="142"/>
        <v>0</v>
      </c>
      <c r="AB187">
        <f t="shared" si="143"/>
        <v>0</v>
      </c>
      <c r="AC187">
        <f t="shared" si="144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8"/>
        <v>_x0015_</v>
      </c>
      <c r="M188">
        <v>11</v>
      </c>
      <c r="N188" s="23" t="str">
        <f t="shared" si="121"/>
        <v/>
      </c>
      <c r="O188" s="7" t="str">
        <f t="shared" si="122"/>
        <v>#</v>
      </c>
      <c r="P188" s="7" t="str">
        <f t="shared" si="123"/>
        <v>#</v>
      </c>
      <c r="Q188" s="7" t="str">
        <f t="shared" si="124"/>
        <v>#</v>
      </c>
      <c r="R188" s="17" t="str">
        <f t="shared" si="125"/>
        <v/>
      </c>
      <c r="S188" s="8" t="str">
        <f t="shared" si="126"/>
        <v/>
      </c>
      <c r="T188" s="2" t="str">
        <f t="shared" si="127"/>
        <v/>
      </c>
      <c r="U188" s="2" t="str">
        <f t="shared" si="128"/>
        <v/>
      </c>
      <c r="V188" t="str">
        <f t="shared" si="104"/>
        <v/>
      </c>
      <c r="X188">
        <f t="shared" si="139"/>
        <v>0</v>
      </c>
      <c r="Y188">
        <f t="shared" si="140"/>
        <v>0</v>
      </c>
      <c r="Z188">
        <f t="shared" si="141"/>
        <v>1</v>
      </c>
      <c r="AA188">
        <f t="shared" si="142"/>
        <v>0</v>
      </c>
      <c r="AB188">
        <f t="shared" si="143"/>
        <v>0</v>
      </c>
      <c r="AC188">
        <f t="shared" si="144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8"/>
        <v>_x0015_</v>
      </c>
      <c r="M189">
        <v>12</v>
      </c>
      <c r="N189" s="23" t="str">
        <f t="shared" si="121"/>
        <v/>
      </c>
      <c r="O189" s="7" t="str">
        <f t="shared" si="122"/>
        <v>#</v>
      </c>
      <c r="P189" s="7" t="str">
        <f t="shared" si="123"/>
        <v>#</v>
      </c>
      <c r="Q189" s="7" t="str">
        <f t="shared" si="124"/>
        <v>#</v>
      </c>
      <c r="R189" s="17" t="str">
        <f t="shared" si="125"/>
        <v/>
      </c>
      <c r="S189" s="8" t="str">
        <f t="shared" si="126"/>
        <v/>
      </c>
      <c r="T189" s="2" t="str">
        <f t="shared" si="127"/>
        <v/>
      </c>
      <c r="U189" s="2" t="str">
        <f t="shared" si="128"/>
        <v/>
      </c>
      <c r="V189" t="str">
        <f t="shared" si="104"/>
        <v/>
      </c>
      <c r="X189">
        <f t="shared" si="139"/>
        <v>0</v>
      </c>
      <c r="Y189">
        <f t="shared" si="140"/>
        <v>0</v>
      </c>
      <c r="Z189">
        <f t="shared" si="141"/>
        <v>0</v>
      </c>
      <c r="AA189">
        <f t="shared" si="142"/>
        <v>0</v>
      </c>
      <c r="AB189">
        <f t="shared" si="143"/>
        <v>0</v>
      </c>
      <c r="AC189">
        <f t="shared" si="144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8"/>
        <v>_x0015_</v>
      </c>
      <c r="M190">
        <v>13</v>
      </c>
      <c r="N190" s="6" t="str">
        <f t="shared" si="121"/>
        <v/>
      </c>
      <c r="O190" s="7" t="str">
        <f t="shared" si="122"/>
        <v/>
      </c>
      <c r="P190" s="7" t="str">
        <f t="shared" si="123"/>
        <v>#</v>
      </c>
      <c r="Q190" s="7" t="str">
        <f t="shared" si="124"/>
        <v/>
      </c>
      <c r="R190" s="17" t="str">
        <f t="shared" si="125"/>
        <v/>
      </c>
      <c r="S190" s="8" t="str">
        <f t="shared" si="126"/>
        <v/>
      </c>
      <c r="T190" s="2" t="str">
        <f t="shared" si="127"/>
        <v/>
      </c>
      <c r="U190" s="2" t="str">
        <f t="shared" si="128"/>
        <v/>
      </c>
      <c r="V190" t="str">
        <f t="shared" si="104"/>
        <v/>
      </c>
      <c r="X190">
        <f t="shared" si="139"/>
        <v>0</v>
      </c>
      <c r="Y190">
        <f t="shared" si="140"/>
        <v>0</v>
      </c>
      <c r="Z190">
        <f t="shared" si="141"/>
        <v>0</v>
      </c>
      <c r="AA190">
        <f t="shared" si="142"/>
        <v>0</v>
      </c>
      <c r="AB190">
        <f t="shared" si="143"/>
        <v>0</v>
      </c>
      <c r="AC190">
        <f t="shared" si="144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8"/>
        <v>_x0015_</v>
      </c>
      <c r="M191">
        <v>14</v>
      </c>
      <c r="N191" s="18" t="str">
        <f t="shared" si="121"/>
        <v/>
      </c>
      <c r="O191" s="19" t="str">
        <f t="shared" si="122"/>
        <v/>
      </c>
      <c r="P191" s="19" t="str">
        <f t="shared" si="123"/>
        <v>#</v>
      </c>
      <c r="Q191" s="19" t="str">
        <f t="shared" si="124"/>
        <v/>
      </c>
      <c r="R191" s="20" t="str">
        <f t="shared" si="125"/>
        <v/>
      </c>
      <c r="S191" s="8" t="str">
        <f t="shared" si="126"/>
        <v/>
      </c>
      <c r="T191" s="2" t="str">
        <f t="shared" si="127"/>
        <v/>
      </c>
      <c r="U191" s="2" t="str">
        <f t="shared" si="128"/>
        <v/>
      </c>
      <c r="V191" t="str">
        <f t="shared" si="104"/>
        <v/>
      </c>
      <c r="X191">
        <f t="shared" si="139"/>
        <v>0</v>
      </c>
      <c r="Y191">
        <f t="shared" si="140"/>
        <v>0</v>
      </c>
      <c r="Z191">
        <f t="shared" si="141"/>
        <v>0</v>
      </c>
      <c r="AA191">
        <f t="shared" si="142"/>
        <v>0</v>
      </c>
      <c r="AB191">
        <f t="shared" si="143"/>
        <v>0</v>
      </c>
      <c r="AC191">
        <f t="shared" si="144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8"/>
        <v>_x0015_</v>
      </c>
      <c r="M192">
        <v>15</v>
      </c>
      <c r="N192" s="9" t="str">
        <f t="shared" si="121"/>
        <v/>
      </c>
      <c r="O192" s="10" t="str">
        <f t="shared" si="122"/>
        <v/>
      </c>
      <c r="P192" s="10" t="str">
        <f t="shared" si="123"/>
        <v/>
      </c>
      <c r="Q192" s="10" t="str">
        <f t="shared" si="124"/>
        <v/>
      </c>
      <c r="R192" s="10" t="str">
        <f t="shared" si="125"/>
        <v/>
      </c>
      <c r="S192" s="11" t="str">
        <f t="shared" si="126"/>
        <v/>
      </c>
      <c r="T192" s="2" t="str">
        <f t="shared" si="127"/>
        <v/>
      </c>
      <c r="U192" s="2" t="str">
        <f t="shared" si="128"/>
        <v/>
      </c>
      <c r="V192" t="str">
        <f t="shared" si="104"/>
        <v/>
      </c>
      <c r="X192">
        <f t="shared" si="139"/>
        <v>0</v>
      </c>
      <c r="Y192">
        <f t="shared" si="140"/>
        <v>0</v>
      </c>
      <c r="Z192">
        <f t="shared" si="141"/>
        <v>0</v>
      </c>
      <c r="AA192">
        <f t="shared" si="142"/>
        <v>0</v>
      </c>
      <c r="AB192">
        <f t="shared" si="143"/>
        <v>0</v>
      </c>
      <c r="AC192">
        <f t="shared" si="144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8"/>
        <v>_x0015_</v>
      </c>
      <c r="M193">
        <v>16</v>
      </c>
      <c r="N193" s="12" t="str">
        <f t="shared" si="121"/>
        <v/>
      </c>
      <c r="O193" s="13" t="str">
        <f t="shared" si="122"/>
        <v/>
      </c>
      <c r="P193" s="13" t="str">
        <f t="shared" si="123"/>
        <v/>
      </c>
      <c r="Q193" s="13" t="str">
        <f t="shared" si="124"/>
        <v/>
      </c>
      <c r="R193" s="13" t="str">
        <f t="shared" si="125"/>
        <v/>
      </c>
      <c r="S193" s="14" t="str">
        <f t="shared" si="126"/>
        <v/>
      </c>
      <c r="T193" s="2" t="str">
        <f t="shared" si="127"/>
        <v/>
      </c>
      <c r="U193" s="2" t="str">
        <f t="shared" si="128"/>
        <v/>
      </c>
      <c r="V193" t="str">
        <f t="shared" si="104"/>
        <v/>
      </c>
      <c r="X193">
        <f t="shared" si="139"/>
        <v>0</v>
      </c>
      <c r="Y193">
        <f t="shared" si="140"/>
        <v>0</v>
      </c>
      <c r="Z193">
        <f t="shared" si="141"/>
        <v>0</v>
      </c>
      <c r="AA193">
        <f t="shared" si="142"/>
        <v>0</v>
      </c>
      <c r="AB193">
        <f t="shared" si="143"/>
        <v>0</v>
      </c>
      <c r="AC193">
        <f t="shared" si="144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21"/>
        <v/>
      </c>
      <c r="O194" t="str">
        <f t="shared" si="122"/>
        <v/>
      </c>
      <c r="P194" t="str">
        <f t="shared" si="123"/>
        <v/>
      </c>
      <c r="Q194" t="str">
        <f t="shared" si="124"/>
        <v/>
      </c>
      <c r="R194" t="str">
        <f t="shared" si="125"/>
        <v/>
      </c>
      <c r="S194" t="str">
        <f t="shared" si="126"/>
        <v/>
      </c>
      <c r="T194" s="2" t="str">
        <f t="shared" si="127"/>
        <v/>
      </c>
      <c r="U194" s="2" t="str">
        <f t="shared" si="128"/>
        <v/>
      </c>
      <c r="V194" t="str">
        <f t="shared" ref="V194:V257" si="145">IF(A194=0,"",M194)</f>
        <v/>
      </c>
      <c r="W194">
        <f>SUM(B196:G209)</f>
        <v>30</v>
      </c>
      <c r="AD194">
        <f t="shared" ref="AD194" si="146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7">L194</f>
        <v>_x0016_</v>
      </c>
      <c r="M195">
        <v>2</v>
      </c>
      <c r="N195" t="str">
        <f t="shared" si="121"/>
        <v/>
      </c>
      <c r="O195" t="str">
        <f t="shared" si="122"/>
        <v/>
      </c>
      <c r="P195" t="str">
        <f t="shared" si="123"/>
        <v/>
      </c>
      <c r="Q195" t="str">
        <f t="shared" si="124"/>
        <v/>
      </c>
      <c r="R195" t="str">
        <f t="shared" si="125"/>
        <v/>
      </c>
      <c r="S195" t="str">
        <f t="shared" si="126"/>
        <v/>
      </c>
      <c r="T195" s="2" t="str">
        <f t="shared" si="127"/>
        <v/>
      </c>
      <c r="U195" s="2" t="str">
        <f t="shared" si="128"/>
        <v/>
      </c>
      <c r="V195" t="str">
        <f t="shared" si="145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7"/>
        <v>_x0016_</v>
      </c>
      <c r="M196">
        <v>3</v>
      </c>
      <c r="N196" s="3" t="str">
        <f t="shared" si="121"/>
        <v/>
      </c>
      <c r="O196" s="4" t="str">
        <f t="shared" si="122"/>
        <v/>
      </c>
      <c r="P196" s="4" t="str">
        <f t="shared" si="123"/>
        <v/>
      </c>
      <c r="Q196" s="4" t="str">
        <f t="shared" si="124"/>
        <v/>
      </c>
      <c r="R196" s="4" t="str">
        <f t="shared" si="125"/>
        <v/>
      </c>
      <c r="S196" s="5" t="str">
        <f t="shared" si="126"/>
        <v/>
      </c>
      <c r="T196" s="2" t="str">
        <f t="shared" si="127"/>
        <v/>
      </c>
      <c r="U196" s="2" t="str">
        <f t="shared" si="128"/>
        <v/>
      </c>
      <c r="V196" t="str">
        <f t="shared" si="145"/>
        <v/>
      </c>
      <c r="X196">
        <f t="shared" ref="X196:X209" si="148">MAX(B196-B195,0)</f>
        <v>0</v>
      </c>
      <c r="Y196">
        <f t="shared" ref="Y196:Y209" si="149">MAX(C196-C195,0)</f>
        <v>0</v>
      </c>
      <c r="Z196">
        <f t="shared" ref="Z196:Z209" si="150">MAX(D196-D195,0)</f>
        <v>0</v>
      </c>
      <c r="AA196">
        <f t="shared" ref="AA196:AA209" si="151">MAX(E196-E195,0)</f>
        <v>0</v>
      </c>
      <c r="AB196">
        <f t="shared" ref="AB196:AB209" si="152">MAX(F196-F195,0)</f>
        <v>0</v>
      </c>
      <c r="AC196">
        <f t="shared" ref="AC196:AC209" si="153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7"/>
        <v>_x0016_</v>
      </c>
      <c r="M197">
        <v>4</v>
      </c>
      <c r="N197" s="6" t="str">
        <f t="shared" si="121"/>
        <v/>
      </c>
      <c r="O197" s="7" t="str">
        <f t="shared" si="122"/>
        <v/>
      </c>
      <c r="P197" s="7" t="str">
        <f t="shared" si="123"/>
        <v/>
      </c>
      <c r="Q197" s="7" t="str">
        <f t="shared" si="124"/>
        <v/>
      </c>
      <c r="R197" s="7" t="str">
        <f t="shared" si="125"/>
        <v/>
      </c>
      <c r="S197" s="8" t="str">
        <f t="shared" si="126"/>
        <v/>
      </c>
      <c r="T197" s="2" t="str">
        <f t="shared" si="127"/>
        <v/>
      </c>
      <c r="U197" s="2" t="str">
        <f t="shared" si="128"/>
        <v/>
      </c>
      <c r="V197" t="str">
        <f t="shared" si="145"/>
        <v/>
      </c>
      <c r="X197">
        <f t="shared" si="148"/>
        <v>0</v>
      </c>
      <c r="Y197">
        <f t="shared" si="149"/>
        <v>0</v>
      </c>
      <c r="Z197">
        <f t="shared" si="150"/>
        <v>0</v>
      </c>
      <c r="AA197">
        <f t="shared" si="151"/>
        <v>0</v>
      </c>
      <c r="AB197">
        <f t="shared" si="152"/>
        <v>0</v>
      </c>
      <c r="AC197">
        <f t="shared" si="153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7"/>
        <v>_x0016_</v>
      </c>
      <c r="M198">
        <v>5</v>
      </c>
      <c r="N198" s="22" t="str">
        <f t="shared" si="121"/>
        <v>#</v>
      </c>
      <c r="O198" s="15" t="str">
        <f t="shared" si="122"/>
        <v/>
      </c>
      <c r="P198" s="15" t="str">
        <f t="shared" si="123"/>
        <v/>
      </c>
      <c r="Q198" s="15" t="str">
        <f t="shared" si="124"/>
        <v/>
      </c>
      <c r="R198" s="16" t="str">
        <f t="shared" si="125"/>
        <v/>
      </c>
      <c r="S198" s="8" t="str">
        <f t="shared" si="126"/>
        <v/>
      </c>
      <c r="T198" s="2" t="str">
        <f t="shared" si="127"/>
        <v/>
      </c>
      <c r="U198" s="2" t="str">
        <f t="shared" si="128"/>
        <v/>
      </c>
      <c r="V198" t="str">
        <f t="shared" si="145"/>
        <v/>
      </c>
      <c r="X198">
        <f t="shared" si="148"/>
        <v>1</v>
      </c>
      <c r="Y198">
        <f t="shared" si="149"/>
        <v>0</v>
      </c>
      <c r="Z198">
        <f t="shared" si="150"/>
        <v>0</v>
      </c>
      <c r="AA198">
        <f t="shared" si="151"/>
        <v>0</v>
      </c>
      <c r="AB198">
        <f t="shared" si="152"/>
        <v>0</v>
      </c>
      <c r="AC198">
        <f t="shared" si="153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7"/>
        <v>_x0016_</v>
      </c>
      <c r="M199">
        <v>6</v>
      </c>
      <c r="N199" s="23" t="str">
        <f t="shared" si="121"/>
        <v>#</v>
      </c>
      <c r="O199" s="7" t="str">
        <f t="shared" si="122"/>
        <v>#</v>
      </c>
      <c r="P199" s="7" t="str">
        <f t="shared" si="123"/>
        <v/>
      </c>
      <c r="Q199" s="7" t="str">
        <f t="shared" si="124"/>
        <v/>
      </c>
      <c r="R199" s="17" t="str">
        <f t="shared" si="125"/>
        <v/>
      </c>
      <c r="S199" s="8" t="str">
        <f t="shared" si="126"/>
        <v/>
      </c>
      <c r="T199" s="2" t="str">
        <f t="shared" si="127"/>
        <v/>
      </c>
      <c r="U199" s="2" t="str">
        <f t="shared" si="128"/>
        <v/>
      </c>
      <c r="V199" t="str">
        <f t="shared" si="145"/>
        <v/>
      </c>
      <c r="X199">
        <f t="shared" si="148"/>
        <v>0</v>
      </c>
      <c r="Y199">
        <f t="shared" si="149"/>
        <v>1</v>
      </c>
      <c r="Z199">
        <f t="shared" si="150"/>
        <v>0</v>
      </c>
      <c r="AA199">
        <f t="shared" si="151"/>
        <v>0</v>
      </c>
      <c r="AB199">
        <f t="shared" si="152"/>
        <v>0</v>
      </c>
      <c r="AC199">
        <f t="shared" si="153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7"/>
        <v>_x0016_</v>
      </c>
      <c r="M200">
        <v>7</v>
      </c>
      <c r="N200" s="23" t="str">
        <f t="shared" si="121"/>
        <v>#</v>
      </c>
      <c r="O200" s="7" t="str">
        <f t="shared" si="122"/>
        <v>#</v>
      </c>
      <c r="P200" s="7" t="str">
        <f t="shared" si="123"/>
        <v>#</v>
      </c>
      <c r="Q200" s="7" t="str">
        <f t="shared" si="124"/>
        <v/>
      </c>
      <c r="R200" s="17" t="str">
        <f t="shared" si="125"/>
        <v/>
      </c>
      <c r="S200" s="8" t="str">
        <f t="shared" si="126"/>
        <v/>
      </c>
      <c r="T200" s="2" t="str">
        <f t="shared" si="127"/>
        <v/>
      </c>
      <c r="U200" s="2" t="str">
        <f t="shared" si="128"/>
        <v/>
      </c>
      <c r="V200" t="str">
        <f t="shared" si="145"/>
        <v/>
      </c>
      <c r="X200">
        <f t="shared" si="148"/>
        <v>0</v>
      </c>
      <c r="Y200">
        <f t="shared" si="149"/>
        <v>0</v>
      </c>
      <c r="Z200">
        <f t="shared" si="150"/>
        <v>1</v>
      </c>
      <c r="AA200">
        <f t="shared" si="151"/>
        <v>0</v>
      </c>
      <c r="AB200">
        <f t="shared" si="152"/>
        <v>0</v>
      </c>
      <c r="AC200">
        <f t="shared" si="153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7"/>
        <v>_x0016_</v>
      </c>
      <c r="M201">
        <v>8</v>
      </c>
      <c r="N201" s="23" t="str">
        <f t="shared" si="121"/>
        <v>#</v>
      </c>
      <c r="O201" s="7" t="str">
        <f t="shared" si="122"/>
        <v>#</v>
      </c>
      <c r="P201" s="7" t="str">
        <f t="shared" si="123"/>
        <v>#</v>
      </c>
      <c r="Q201" s="7" t="str">
        <f t="shared" si="124"/>
        <v>#</v>
      </c>
      <c r="R201" s="17" t="str">
        <f t="shared" si="125"/>
        <v/>
      </c>
      <c r="S201" s="8" t="str">
        <f t="shared" si="126"/>
        <v/>
      </c>
      <c r="T201" s="2" t="str">
        <f t="shared" si="127"/>
        <v/>
      </c>
      <c r="U201" s="2" t="str">
        <f t="shared" si="128"/>
        <v/>
      </c>
      <c r="V201" t="str">
        <f t="shared" si="145"/>
        <v/>
      </c>
      <c r="X201">
        <f t="shared" si="148"/>
        <v>0</v>
      </c>
      <c r="Y201">
        <f t="shared" si="149"/>
        <v>0</v>
      </c>
      <c r="Z201">
        <f t="shared" si="150"/>
        <v>0</v>
      </c>
      <c r="AA201">
        <f t="shared" si="151"/>
        <v>1</v>
      </c>
      <c r="AB201">
        <f t="shared" si="152"/>
        <v>0</v>
      </c>
      <c r="AC201">
        <f t="shared" si="153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7"/>
        <v>_x0016_</v>
      </c>
      <c r="M202">
        <v>9</v>
      </c>
      <c r="N202" s="23" t="str">
        <f t="shared" si="121"/>
        <v>#</v>
      </c>
      <c r="O202" s="7" t="str">
        <f t="shared" si="122"/>
        <v>#</v>
      </c>
      <c r="P202" s="7" t="str">
        <f t="shared" si="123"/>
        <v>#</v>
      </c>
      <c r="Q202" s="7" t="str">
        <f t="shared" si="124"/>
        <v>#</v>
      </c>
      <c r="R202" s="17" t="str">
        <f t="shared" si="125"/>
        <v>#</v>
      </c>
      <c r="S202" s="8" t="str">
        <f t="shared" si="126"/>
        <v/>
      </c>
      <c r="T202" s="2" t="str">
        <f t="shared" si="127"/>
        <v/>
      </c>
      <c r="U202" s="2" t="str">
        <f t="shared" si="128"/>
        <v/>
      </c>
      <c r="V202" t="str">
        <f t="shared" si="145"/>
        <v/>
      </c>
      <c r="X202">
        <f t="shared" si="148"/>
        <v>0</v>
      </c>
      <c r="Y202">
        <f t="shared" si="149"/>
        <v>0</v>
      </c>
      <c r="Z202">
        <f t="shared" si="150"/>
        <v>0</v>
      </c>
      <c r="AA202">
        <f t="shared" si="151"/>
        <v>0</v>
      </c>
      <c r="AB202">
        <f t="shared" si="152"/>
        <v>1</v>
      </c>
      <c r="AC202">
        <f t="shared" si="153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7"/>
        <v>_x0016_</v>
      </c>
      <c r="M203">
        <v>10</v>
      </c>
      <c r="N203" s="23" t="str">
        <f t="shared" si="121"/>
        <v>#</v>
      </c>
      <c r="O203" s="7" t="str">
        <f t="shared" si="122"/>
        <v>#</v>
      </c>
      <c r="P203" s="7" t="str">
        <f t="shared" si="123"/>
        <v>#</v>
      </c>
      <c r="Q203" s="7" t="str">
        <f t="shared" si="124"/>
        <v>#</v>
      </c>
      <c r="R203" s="17" t="str">
        <f t="shared" si="125"/>
        <v>#</v>
      </c>
      <c r="S203" s="8" t="str">
        <f t="shared" si="126"/>
        <v/>
      </c>
      <c r="T203" s="2" t="str">
        <f t="shared" si="127"/>
        <v/>
      </c>
      <c r="U203" s="2" t="str">
        <f t="shared" si="128"/>
        <v/>
      </c>
      <c r="V203" t="str">
        <f t="shared" si="145"/>
        <v/>
      </c>
      <c r="X203">
        <f t="shared" si="148"/>
        <v>0</v>
      </c>
      <c r="Y203">
        <f t="shared" si="149"/>
        <v>0</v>
      </c>
      <c r="Z203">
        <f t="shared" si="150"/>
        <v>0</v>
      </c>
      <c r="AA203">
        <f t="shared" si="151"/>
        <v>0</v>
      </c>
      <c r="AB203">
        <f t="shared" si="152"/>
        <v>0</v>
      </c>
      <c r="AC203">
        <f t="shared" si="153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7"/>
        <v>_x0016_</v>
      </c>
      <c r="M204">
        <v>11</v>
      </c>
      <c r="N204" s="23" t="str">
        <f t="shared" si="121"/>
        <v>#</v>
      </c>
      <c r="O204" s="7" t="str">
        <f t="shared" si="122"/>
        <v>#</v>
      </c>
      <c r="P204" s="7" t="str">
        <f t="shared" si="123"/>
        <v>#</v>
      </c>
      <c r="Q204" s="7" t="str">
        <f t="shared" si="124"/>
        <v>#</v>
      </c>
      <c r="R204" s="17" t="str">
        <f t="shared" si="125"/>
        <v/>
      </c>
      <c r="S204" s="8" t="str">
        <f t="shared" si="126"/>
        <v/>
      </c>
      <c r="T204" s="2" t="str">
        <f t="shared" si="127"/>
        <v/>
      </c>
      <c r="U204" s="2" t="str">
        <f t="shared" si="128"/>
        <v/>
      </c>
      <c r="V204" t="str">
        <f t="shared" si="145"/>
        <v/>
      </c>
      <c r="X204">
        <f t="shared" si="148"/>
        <v>0</v>
      </c>
      <c r="Y204">
        <f t="shared" si="149"/>
        <v>0</v>
      </c>
      <c r="Z204">
        <f t="shared" si="150"/>
        <v>0</v>
      </c>
      <c r="AA204">
        <f t="shared" si="151"/>
        <v>0</v>
      </c>
      <c r="AB204">
        <f t="shared" si="152"/>
        <v>0</v>
      </c>
      <c r="AC204">
        <f t="shared" si="153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7"/>
        <v>_x0016_</v>
      </c>
      <c r="M205">
        <v>12</v>
      </c>
      <c r="N205" s="23" t="str">
        <f t="shared" si="121"/>
        <v>#</v>
      </c>
      <c r="O205" s="7" t="str">
        <f t="shared" si="122"/>
        <v>#</v>
      </c>
      <c r="P205" s="7" t="str">
        <f t="shared" si="123"/>
        <v>#</v>
      </c>
      <c r="Q205" s="7" t="str">
        <f t="shared" si="124"/>
        <v/>
      </c>
      <c r="R205" s="17" t="str">
        <f t="shared" si="125"/>
        <v/>
      </c>
      <c r="S205" s="8" t="str">
        <f t="shared" si="126"/>
        <v/>
      </c>
      <c r="T205" s="2" t="str">
        <f t="shared" si="127"/>
        <v/>
      </c>
      <c r="U205" s="2" t="str">
        <f t="shared" si="128"/>
        <v/>
      </c>
      <c r="V205" t="str">
        <f t="shared" si="145"/>
        <v/>
      </c>
      <c r="X205">
        <f t="shared" si="148"/>
        <v>0</v>
      </c>
      <c r="Y205">
        <f t="shared" si="149"/>
        <v>0</v>
      </c>
      <c r="Z205">
        <f t="shared" si="150"/>
        <v>0</v>
      </c>
      <c r="AA205">
        <f t="shared" si="151"/>
        <v>0</v>
      </c>
      <c r="AB205">
        <f t="shared" si="152"/>
        <v>0</v>
      </c>
      <c r="AC205">
        <f t="shared" si="153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7"/>
        <v>_x0016_</v>
      </c>
      <c r="M206">
        <v>13</v>
      </c>
      <c r="N206" s="6" t="str">
        <f t="shared" si="121"/>
        <v>#</v>
      </c>
      <c r="O206" s="7" t="str">
        <f t="shared" si="122"/>
        <v>#</v>
      </c>
      <c r="P206" s="7" t="str">
        <f t="shared" si="123"/>
        <v/>
      </c>
      <c r="Q206" s="7" t="str">
        <f t="shared" si="124"/>
        <v/>
      </c>
      <c r="R206" s="17" t="str">
        <f t="shared" si="125"/>
        <v/>
      </c>
      <c r="S206" s="8" t="str">
        <f t="shared" si="126"/>
        <v/>
      </c>
      <c r="T206" s="2" t="str">
        <f t="shared" si="127"/>
        <v/>
      </c>
      <c r="U206" s="2" t="str">
        <f t="shared" si="128"/>
        <v/>
      </c>
      <c r="V206" t="str">
        <f t="shared" si="145"/>
        <v/>
      </c>
      <c r="X206">
        <f t="shared" si="148"/>
        <v>0</v>
      </c>
      <c r="Y206">
        <f t="shared" si="149"/>
        <v>0</v>
      </c>
      <c r="Z206">
        <f t="shared" si="150"/>
        <v>0</v>
      </c>
      <c r="AA206">
        <f t="shared" si="151"/>
        <v>0</v>
      </c>
      <c r="AB206">
        <f t="shared" si="152"/>
        <v>0</v>
      </c>
      <c r="AC206">
        <f t="shared" si="153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7"/>
        <v>_x0016_</v>
      </c>
      <c r="M207">
        <v>14</v>
      </c>
      <c r="N207" s="18" t="str">
        <f t="shared" si="121"/>
        <v>#</v>
      </c>
      <c r="O207" s="19" t="str">
        <f t="shared" si="122"/>
        <v/>
      </c>
      <c r="P207" s="19" t="str">
        <f t="shared" si="123"/>
        <v/>
      </c>
      <c r="Q207" s="19" t="str">
        <f t="shared" si="124"/>
        <v/>
      </c>
      <c r="R207" s="20" t="str">
        <f t="shared" si="125"/>
        <v/>
      </c>
      <c r="S207" s="8" t="str">
        <f t="shared" si="126"/>
        <v/>
      </c>
      <c r="T207" s="2" t="str">
        <f t="shared" si="127"/>
        <v/>
      </c>
      <c r="U207" s="2" t="str">
        <f t="shared" si="128"/>
        <v/>
      </c>
      <c r="V207" t="str">
        <f t="shared" si="145"/>
        <v/>
      </c>
      <c r="X207">
        <f t="shared" si="148"/>
        <v>0</v>
      </c>
      <c r="Y207">
        <f t="shared" si="149"/>
        <v>0</v>
      </c>
      <c r="Z207">
        <f t="shared" si="150"/>
        <v>0</v>
      </c>
      <c r="AA207">
        <f t="shared" si="151"/>
        <v>0</v>
      </c>
      <c r="AB207">
        <f t="shared" si="152"/>
        <v>0</v>
      </c>
      <c r="AC207">
        <f t="shared" si="153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7"/>
        <v>_x0016_</v>
      </c>
      <c r="M208">
        <v>15</v>
      </c>
      <c r="N208" s="9" t="str">
        <f t="shared" si="121"/>
        <v/>
      </c>
      <c r="O208" s="10" t="str">
        <f t="shared" si="122"/>
        <v/>
      </c>
      <c r="P208" s="10" t="str">
        <f t="shared" si="123"/>
        <v/>
      </c>
      <c r="Q208" s="10" t="str">
        <f t="shared" si="124"/>
        <v/>
      </c>
      <c r="R208" s="10" t="str">
        <f t="shared" si="125"/>
        <v/>
      </c>
      <c r="S208" s="11" t="str">
        <f t="shared" si="126"/>
        <v/>
      </c>
      <c r="T208" s="2" t="str">
        <f t="shared" si="127"/>
        <v/>
      </c>
      <c r="U208" s="2" t="str">
        <f t="shared" si="128"/>
        <v/>
      </c>
      <c r="V208" t="str">
        <f t="shared" si="145"/>
        <v/>
      </c>
      <c r="X208">
        <f t="shared" si="148"/>
        <v>0</v>
      </c>
      <c r="Y208">
        <f t="shared" si="149"/>
        <v>0</v>
      </c>
      <c r="Z208">
        <f t="shared" si="150"/>
        <v>0</v>
      </c>
      <c r="AA208">
        <f t="shared" si="151"/>
        <v>0</v>
      </c>
      <c r="AB208">
        <f t="shared" si="152"/>
        <v>0</v>
      </c>
      <c r="AC208">
        <f t="shared" si="153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7"/>
        <v>_x0016_</v>
      </c>
      <c r="M209">
        <v>16</v>
      </c>
      <c r="N209" s="12" t="str">
        <f t="shared" si="121"/>
        <v/>
      </c>
      <c r="O209" s="13" t="str">
        <f t="shared" si="122"/>
        <v/>
      </c>
      <c r="P209" s="13" t="str">
        <f t="shared" si="123"/>
        <v/>
      </c>
      <c r="Q209" s="13" t="str">
        <f t="shared" si="124"/>
        <v/>
      </c>
      <c r="R209" s="13" t="str">
        <f t="shared" si="125"/>
        <v/>
      </c>
      <c r="S209" s="14" t="str">
        <f t="shared" si="126"/>
        <v/>
      </c>
      <c r="T209" s="2" t="str">
        <f t="shared" si="127"/>
        <v/>
      </c>
      <c r="U209" s="2" t="str">
        <f t="shared" si="128"/>
        <v/>
      </c>
      <c r="V209" t="str">
        <f t="shared" si="145"/>
        <v/>
      </c>
      <c r="X209">
        <f t="shared" si="148"/>
        <v>0</v>
      </c>
      <c r="Y209">
        <f t="shared" si="149"/>
        <v>0</v>
      </c>
      <c r="Z209">
        <f t="shared" si="150"/>
        <v>0</v>
      </c>
      <c r="AA209">
        <f t="shared" si="151"/>
        <v>0</v>
      </c>
      <c r="AB209">
        <f t="shared" si="152"/>
        <v>0</v>
      </c>
      <c r="AC209">
        <f t="shared" si="153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21"/>
        <v/>
      </c>
      <c r="O210" t="str">
        <f t="shared" si="122"/>
        <v/>
      </c>
      <c r="P210" t="str">
        <f t="shared" si="123"/>
        <v/>
      </c>
      <c r="Q210" t="str">
        <f t="shared" si="124"/>
        <v/>
      </c>
      <c r="R210" t="str">
        <f t="shared" si="125"/>
        <v/>
      </c>
      <c r="S210" t="str">
        <f t="shared" si="126"/>
        <v/>
      </c>
      <c r="T210" s="2" t="str">
        <f t="shared" si="127"/>
        <v/>
      </c>
      <c r="U210" s="2" t="str">
        <f t="shared" si="128"/>
        <v/>
      </c>
      <c r="V210" t="str">
        <f t="shared" si="145"/>
        <v/>
      </c>
      <c r="W210">
        <f>SUM(B212:G225)</f>
        <v>34</v>
      </c>
      <c r="AD210">
        <f t="shared" ref="AD210" si="154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55">L210</f>
        <v>_x0017_</v>
      </c>
      <c r="M211">
        <v>2</v>
      </c>
      <c r="N211" t="str">
        <f t="shared" si="121"/>
        <v/>
      </c>
      <c r="O211" t="str">
        <f t="shared" si="122"/>
        <v/>
      </c>
      <c r="P211" t="str">
        <f t="shared" si="123"/>
        <v/>
      </c>
      <c r="Q211" t="str">
        <f t="shared" si="124"/>
        <v/>
      </c>
      <c r="R211" t="str">
        <f t="shared" si="125"/>
        <v/>
      </c>
      <c r="S211" t="str">
        <f t="shared" si="126"/>
        <v/>
      </c>
      <c r="T211" s="2" t="str">
        <f t="shared" si="127"/>
        <v/>
      </c>
      <c r="U211" s="2" t="str">
        <f t="shared" si="128"/>
        <v/>
      </c>
      <c r="V211" t="str">
        <f t="shared" si="145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55"/>
        <v>_x0017_</v>
      </c>
      <c r="M212">
        <v>3</v>
      </c>
      <c r="N212" s="3" t="str">
        <f t="shared" si="121"/>
        <v/>
      </c>
      <c r="O212" s="4" t="str">
        <f t="shared" si="122"/>
        <v/>
      </c>
      <c r="P212" s="4" t="str">
        <f t="shared" si="123"/>
        <v/>
      </c>
      <c r="Q212" s="4" t="str">
        <f t="shared" si="124"/>
        <v/>
      </c>
      <c r="R212" s="4" t="str">
        <f t="shared" si="125"/>
        <v/>
      </c>
      <c r="S212" s="5" t="str">
        <f t="shared" si="126"/>
        <v/>
      </c>
      <c r="T212" s="2" t="str">
        <f t="shared" si="127"/>
        <v/>
      </c>
      <c r="U212" s="2" t="str">
        <f t="shared" si="128"/>
        <v/>
      </c>
      <c r="V212" t="str">
        <f t="shared" si="145"/>
        <v/>
      </c>
      <c r="X212">
        <f t="shared" ref="X212:X225" si="156">MAX(B212-B211,0)</f>
        <v>0</v>
      </c>
      <c r="Y212">
        <f t="shared" ref="Y212:Y225" si="157">MAX(C212-C211,0)</f>
        <v>0</v>
      </c>
      <c r="Z212">
        <f t="shared" ref="Z212:Z225" si="158">MAX(D212-D211,0)</f>
        <v>0</v>
      </c>
      <c r="AA212">
        <f t="shared" ref="AA212:AA225" si="159">MAX(E212-E211,0)</f>
        <v>0</v>
      </c>
      <c r="AB212">
        <f t="shared" ref="AB212:AB225" si="160">MAX(F212-F211,0)</f>
        <v>0</v>
      </c>
      <c r="AC212">
        <f t="shared" ref="AC212:AC225" si="161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55"/>
        <v>_x0017_</v>
      </c>
      <c r="M213">
        <v>4</v>
      </c>
      <c r="N213" s="6" t="str">
        <f t="shared" si="121"/>
        <v>#</v>
      </c>
      <c r="O213" s="7" t="str">
        <f t="shared" si="122"/>
        <v>#</v>
      </c>
      <c r="P213" s="7" t="str">
        <f t="shared" si="123"/>
        <v>#</v>
      </c>
      <c r="Q213" s="7" t="str">
        <f t="shared" si="124"/>
        <v>#</v>
      </c>
      <c r="R213" s="7" t="str">
        <f t="shared" si="125"/>
        <v>#</v>
      </c>
      <c r="S213" s="8" t="str">
        <f t="shared" si="126"/>
        <v/>
      </c>
      <c r="T213" s="2" t="str">
        <f t="shared" si="127"/>
        <v/>
      </c>
      <c r="U213" s="2" t="str">
        <f t="shared" si="128"/>
        <v/>
      </c>
      <c r="V213" t="str">
        <f t="shared" si="145"/>
        <v/>
      </c>
      <c r="X213">
        <f t="shared" si="156"/>
        <v>1</v>
      </c>
      <c r="Y213">
        <f t="shared" si="157"/>
        <v>1</v>
      </c>
      <c r="Z213">
        <f t="shared" si="158"/>
        <v>1</v>
      </c>
      <c r="AA213">
        <f t="shared" si="159"/>
        <v>1</v>
      </c>
      <c r="AB213">
        <f t="shared" si="160"/>
        <v>1</v>
      </c>
      <c r="AC213">
        <f t="shared" si="161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55"/>
        <v>_x0017_</v>
      </c>
      <c r="M214">
        <v>5</v>
      </c>
      <c r="N214" s="22" t="str">
        <f t="shared" si="121"/>
        <v>#</v>
      </c>
      <c r="O214" s="15" t="str">
        <f t="shared" si="122"/>
        <v>#</v>
      </c>
      <c r="P214" s="15" t="str">
        <f t="shared" si="123"/>
        <v>#</v>
      </c>
      <c r="Q214" s="15" t="str">
        <f t="shared" si="124"/>
        <v>#</v>
      </c>
      <c r="R214" s="16" t="str">
        <f t="shared" si="125"/>
        <v>#</v>
      </c>
      <c r="S214" s="8" t="str">
        <f t="shared" si="126"/>
        <v/>
      </c>
      <c r="T214" s="2" t="str">
        <f t="shared" si="127"/>
        <v/>
      </c>
      <c r="U214" s="2" t="str">
        <f t="shared" si="128"/>
        <v/>
      </c>
      <c r="V214" t="str">
        <f t="shared" si="145"/>
        <v/>
      </c>
      <c r="X214">
        <f t="shared" si="156"/>
        <v>0</v>
      </c>
      <c r="Y214">
        <f t="shared" si="157"/>
        <v>0</v>
      </c>
      <c r="Z214">
        <f t="shared" si="158"/>
        <v>0</v>
      </c>
      <c r="AA214">
        <f t="shared" si="159"/>
        <v>0</v>
      </c>
      <c r="AB214">
        <f t="shared" si="160"/>
        <v>0</v>
      </c>
      <c r="AC214">
        <f t="shared" si="161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55"/>
        <v>_x0017_</v>
      </c>
      <c r="M215">
        <v>6</v>
      </c>
      <c r="N215" s="23" t="str">
        <f t="shared" si="121"/>
        <v/>
      </c>
      <c r="O215" s="7" t="str">
        <f t="shared" si="122"/>
        <v>#</v>
      </c>
      <c r="P215" s="7" t="str">
        <f t="shared" si="123"/>
        <v>#</v>
      </c>
      <c r="Q215" s="7" t="str">
        <f t="shared" si="124"/>
        <v>#</v>
      </c>
      <c r="R215" s="17" t="str">
        <f t="shared" si="125"/>
        <v/>
      </c>
      <c r="S215" s="8" t="str">
        <f t="shared" si="126"/>
        <v/>
      </c>
      <c r="T215" s="2" t="str">
        <f t="shared" si="127"/>
        <v/>
      </c>
      <c r="U215" s="2" t="str">
        <f t="shared" si="128"/>
        <v/>
      </c>
      <c r="V215" t="str">
        <f t="shared" si="145"/>
        <v/>
      </c>
      <c r="X215">
        <f t="shared" si="156"/>
        <v>0</v>
      </c>
      <c r="Y215">
        <f t="shared" si="157"/>
        <v>0</v>
      </c>
      <c r="Z215">
        <f t="shared" si="158"/>
        <v>0</v>
      </c>
      <c r="AA215">
        <f t="shared" si="159"/>
        <v>0</v>
      </c>
      <c r="AB215">
        <f t="shared" si="160"/>
        <v>0</v>
      </c>
      <c r="AC215">
        <f t="shared" si="161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55"/>
        <v>_x0017_</v>
      </c>
      <c r="M216">
        <v>7</v>
      </c>
      <c r="N216" s="23" t="str">
        <f t="shared" si="121"/>
        <v/>
      </c>
      <c r="O216" s="7" t="str">
        <f t="shared" si="122"/>
        <v>#</v>
      </c>
      <c r="P216" s="7" t="str">
        <f t="shared" si="123"/>
        <v>#</v>
      </c>
      <c r="Q216" s="7" t="str">
        <f t="shared" si="124"/>
        <v>#</v>
      </c>
      <c r="R216" s="17" t="str">
        <f t="shared" si="125"/>
        <v/>
      </c>
      <c r="S216" s="8" t="str">
        <f t="shared" si="126"/>
        <v/>
      </c>
      <c r="T216" s="2" t="str">
        <f t="shared" si="127"/>
        <v/>
      </c>
      <c r="U216" s="2" t="str">
        <f t="shared" si="128"/>
        <v/>
      </c>
      <c r="V216" t="str">
        <f t="shared" si="145"/>
        <v/>
      </c>
      <c r="X216">
        <f t="shared" si="156"/>
        <v>0</v>
      </c>
      <c r="Y216">
        <f t="shared" si="157"/>
        <v>0</v>
      </c>
      <c r="Z216">
        <f t="shared" si="158"/>
        <v>0</v>
      </c>
      <c r="AA216">
        <f t="shared" si="159"/>
        <v>0</v>
      </c>
      <c r="AB216">
        <f t="shared" si="160"/>
        <v>0</v>
      </c>
      <c r="AC216">
        <f t="shared" si="161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55"/>
        <v>_x0017_</v>
      </c>
      <c r="M217">
        <v>8</v>
      </c>
      <c r="N217" s="23" t="str">
        <f t="shared" si="121"/>
        <v/>
      </c>
      <c r="O217" s="7" t="str">
        <f t="shared" si="122"/>
        <v/>
      </c>
      <c r="P217" s="7" t="str">
        <f t="shared" si="123"/>
        <v>#</v>
      </c>
      <c r="Q217" s="7" t="str">
        <f t="shared" si="124"/>
        <v/>
      </c>
      <c r="R217" s="17" t="str">
        <f t="shared" si="125"/>
        <v/>
      </c>
      <c r="S217" s="8" t="str">
        <f t="shared" si="126"/>
        <v/>
      </c>
      <c r="T217" s="2" t="str">
        <f t="shared" si="127"/>
        <v/>
      </c>
      <c r="U217" s="2" t="str">
        <f t="shared" si="128"/>
        <v/>
      </c>
      <c r="V217" t="str">
        <f t="shared" si="145"/>
        <v/>
      </c>
      <c r="X217">
        <f t="shared" si="156"/>
        <v>0</v>
      </c>
      <c r="Y217">
        <f t="shared" si="157"/>
        <v>0</v>
      </c>
      <c r="Z217">
        <f t="shared" si="158"/>
        <v>0</v>
      </c>
      <c r="AA217">
        <f t="shared" si="159"/>
        <v>0</v>
      </c>
      <c r="AB217">
        <f t="shared" si="160"/>
        <v>0</v>
      </c>
      <c r="AC217">
        <f t="shared" si="161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55"/>
        <v>_x0017_</v>
      </c>
      <c r="M218">
        <v>9</v>
      </c>
      <c r="N218" s="23" t="str">
        <f t="shared" si="121"/>
        <v/>
      </c>
      <c r="O218" s="7" t="str">
        <f t="shared" si="122"/>
        <v/>
      </c>
      <c r="P218" s="7" t="str">
        <f t="shared" si="123"/>
        <v/>
      </c>
      <c r="Q218" s="7" t="str">
        <f t="shared" si="124"/>
        <v/>
      </c>
      <c r="R218" s="17" t="str">
        <f t="shared" si="125"/>
        <v/>
      </c>
      <c r="S218" s="8" t="str">
        <f t="shared" si="126"/>
        <v/>
      </c>
      <c r="T218" s="2" t="str">
        <f t="shared" si="127"/>
        <v/>
      </c>
      <c r="U218" s="2" t="str">
        <f t="shared" si="128"/>
        <v/>
      </c>
      <c r="V218" t="str">
        <f t="shared" si="145"/>
        <v/>
      </c>
      <c r="X218">
        <f t="shared" si="156"/>
        <v>0</v>
      </c>
      <c r="Y218">
        <f t="shared" si="157"/>
        <v>0</v>
      </c>
      <c r="Z218">
        <f t="shared" si="158"/>
        <v>0</v>
      </c>
      <c r="AA218">
        <f t="shared" si="159"/>
        <v>0</v>
      </c>
      <c r="AB218">
        <f t="shared" si="160"/>
        <v>0</v>
      </c>
      <c r="AC218">
        <f t="shared" si="161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55"/>
        <v>_x0017_</v>
      </c>
      <c r="M219">
        <v>10</v>
      </c>
      <c r="N219" s="23" t="str">
        <f t="shared" si="121"/>
        <v/>
      </c>
      <c r="O219" s="7" t="str">
        <f t="shared" si="122"/>
        <v/>
      </c>
      <c r="P219" s="7" t="str">
        <f t="shared" si="123"/>
        <v/>
      </c>
      <c r="Q219" s="7" t="str">
        <f t="shared" si="124"/>
        <v/>
      </c>
      <c r="R219" s="17" t="str">
        <f t="shared" si="125"/>
        <v/>
      </c>
      <c r="S219" s="8" t="str">
        <f t="shared" si="126"/>
        <v/>
      </c>
      <c r="T219" s="2" t="str">
        <f t="shared" si="127"/>
        <v/>
      </c>
      <c r="U219" s="2" t="str">
        <f t="shared" si="128"/>
        <v/>
      </c>
      <c r="V219" t="str">
        <f t="shared" si="145"/>
        <v/>
      </c>
      <c r="X219">
        <f t="shared" si="156"/>
        <v>0</v>
      </c>
      <c r="Y219">
        <f t="shared" si="157"/>
        <v>0</v>
      </c>
      <c r="Z219">
        <f t="shared" si="158"/>
        <v>0</v>
      </c>
      <c r="AA219">
        <f t="shared" si="159"/>
        <v>0</v>
      </c>
      <c r="AB219">
        <f t="shared" si="160"/>
        <v>0</v>
      </c>
      <c r="AC219">
        <f t="shared" si="161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55"/>
        <v>_x0017_</v>
      </c>
      <c r="M220">
        <v>11</v>
      </c>
      <c r="N220" s="23" t="str">
        <f t="shared" si="121"/>
        <v/>
      </c>
      <c r="O220" s="7" t="str">
        <f t="shared" si="122"/>
        <v/>
      </c>
      <c r="P220" s="7" t="str">
        <f t="shared" si="123"/>
        <v>#</v>
      </c>
      <c r="Q220" s="7" t="str">
        <f t="shared" si="124"/>
        <v/>
      </c>
      <c r="R220" s="17" t="str">
        <f t="shared" si="125"/>
        <v/>
      </c>
      <c r="S220" s="8" t="str">
        <f t="shared" si="126"/>
        <v/>
      </c>
      <c r="T220" s="2" t="str">
        <f t="shared" si="127"/>
        <v/>
      </c>
      <c r="U220" s="2" t="str">
        <f t="shared" si="128"/>
        <v/>
      </c>
      <c r="V220" t="str">
        <f t="shared" si="145"/>
        <v/>
      </c>
      <c r="X220">
        <f t="shared" si="156"/>
        <v>0</v>
      </c>
      <c r="Y220">
        <f t="shared" si="157"/>
        <v>0</v>
      </c>
      <c r="Z220">
        <f t="shared" si="158"/>
        <v>1</v>
      </c>
      <c r="AA220">
        <f t="shared" si="159"/>
        <v>0</v>
      </c>
      <c r="AB220">
        <f t="shared" si="160"/>
        <v>0</v>
      </c>
      <c r="AC220">
        <f t="shared" si="161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55"/>
        <v>_x0017_</v>
      </c>
      <c r="M221">
        <v>12</v>
      </c>
      <c r="N221" s="23" t="str">
        <f t="shared" si="121"/>
        <v/>
      </c>
      <c r="O221" s="7" t="str">
        <f t="shared" si="122"/>
        <v>#</v>
      </c>
      <c r="P221" s="7" t="str">
        <f t="shared" si="123"/>
        <v>#</v>
      </c>
      <c r="Q221" s="7" t="str">
        <f t="shared" si="124"/>
        <v>#</v>
      </c>
      <c r="R221" s="17" t="str">
        <f t="shared" si="125"/>
        <v/>
      </c>
      <c r="S221" s="8" t="str">
        <f t="shared" si="126"/>
        <v/>
      </c>
      <c r="T221" s="2" t="str">
        <f t="shared" si="127"/>
        <v/>
      </c>
      <c r="U221" s="2" t="str">
        <f t="shared" si="128"/>
        <v/>
      </c>
      <c r="V221" t="str">
        <f t="shared" si="145"/>
        <v/>
      </c>
      <c r="X221">
        <f t="shared" si="156"/>
        <v>0</v>
      </c>
      <c r="Y221">
        <f t="shared" si="157"/>
        <v>1</v>
      </c>
      <c r="Z221">
        <f t="shared" si="158"/>
        <v>0</v>
      </c>
      <c r="AA221">
        <f t="shared" si="159"/>
        <v>1</v>
      </c>
      <c r="AB221">
        <f t="shared" si="160"/>
        <v>0</v>
      </c>
      <c r="AC221">
        <f t="shared" si="161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55"/>
        <v>_x0017_</v>
      </c>
      <c r="M222">
        <v>13</v>
      </c>
      <c r="N222" s="6" t="str">
        <f t="shared" si="121"/>
        <v/>
      </c>
      <c r="O222" s="7" t="str">
        <f t="shared" si="122"/>
        <v>#</v>
      </c>
      <c r="P222" s="7" t="str">
        <f t="shared" si="123"/>
        <v>#</v>
      </c>
      <c r="Q222" s="7" t="str">
        <f t="shared" si="124"/>
        <v>#</v>
      </c>
      <c r="R222" s="17" t="str">
        <f t="shared" si="125"/>
        <v/>
      </c>
      <c r="S222" s="8" t="str">
        <f t="shared" si="126"/>
        <v/>
      </c>
      <c r="T222" s="2" t="str">
        <f t="shared" si="127"/>
        <v/>
      </c>
      <c r="U222" s="2" t="str">
        <f t="shared" si="128"/>
        <v/>
      </c>
      <c r="V222" t="str">
        <f t="shared" si="145"/>
        <v/>
      </c>
      <c r="X222">
        <f t="shared" si="156"/>
        <v>0</v>
      </c>
      <c r="Y222">
        <f t="shared" si="157"/>
        <v>0</v>
      </c>
      <c r="Z222">
        <f t="shared" si="158"/>
        <v>0</v>
      </c>
      <c r="AA222">
        <f t="shared" si="159"/>
        <v>0</v>
      </c>
      <c r="AB222">
        <f t="shared" si="160"/>
        <v>0</v>
      </c>
      <c r="AC222">
        <f t="shared" si="161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55"/>
        <v>_x0017_</v>
      </c>
      <c r="M223">
        <v>14</v>
      </c>
      <c r="N223" s="18" t="str">
        <f t="shared" si="121"/>
        <v>#</v>
      </c>
      <c r="O223" s="19" t="str">
        <f t="shared" si="122"/>
        <v>#</v>
      </c>
      <c r="P223" s="19" t="str">
        <f t="shared" si="123"/>
        <v>#</v>
      </c>
      <c r="Q223" s="19" t="str">
        <f t="shared" si="124"/>
        <v>#</v>
      </c>
      <c r="R223" s="20" t="str">
        <f t="shared" si="125"/>
        <v>#</v>
      </c>
      <c r="S223" s="8" t="str">
        <f t="shared" si="126"/>
        <v/>
      </c>
      <c r="T223" s="2" t="str">
        <f t="shared" si="127"/>
        <v/>
      </c>
      <c r="U223" s="2" t="str">
        <f t="shared" si="128"/>
        <v/>
      </c>
      <c r="V223" t="str">
        <f t="shared" si="145"/>
        <v/>
      </c>
      <c r="X223">
        <f t="shared" si="156"/>
        <v>1</v>
      </c>
      <c r="Y223">
        <f t="shared" si="157"/>
        <v>0</v>
      </c>
      <c r="Z223">
        <f t="shared" si="158"/>
        <v>0</v>
      </c>
      <c r="AA223">
        <f t="shared" si="159"/>
        <v>0</v>
      </c>
      <c r="AB223">
        <f t="shared" si="160"/>
        <v>1</v>
      </c>
      <c r="AC223">
        <f t="shared" si="161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55"/>
        <v>_x0017_</v>
      </c>
      <c r="M224">
        <v>15</v>
      </c>
      <c r="N224" s="9" t="str">
        <f t="shared" si="121"/>
        <v>#</v>
      </c>
      <c r="O224" s="10" t="str">
        <f t="shared" si="122"/>
        <v>#</v>
      </c>
      <c r="P224" s="10" t="str">
        <f t="shared" si="123"/>
        <v>#</v>
      </c>
      <c r="Q224" s="10" t="str">
        <f t="shared" si="124"/>
        <v>#</v>
      </c>
      <c r="R224" s="10" t="str">
        <f t="shared" si="125"/>
        <v>#</v>
      </c>
      <c r="S224" s="11" t="str">
        <f t="shared" si="126"/>
        <v/>
      </c>
      <c r="T224" s="2" t="str">
        <f t="shared" si="127"/>
        <v/>
      </c>
      <c r="U224" s="2" t="str">
        <f t="shared" si="128"/>
        <v/>
      </c>
      <c r="V224" t="str">
        <f t="shared" si="145"/>
        <v/>
      </c>
      <c r="X224">
        <f t="shared" si="156"/>
        <v>0</v>
      </c>
      <c r="Y224">
        <f t="shared" si="157"/>
        <v>0</v>
      </c>
      <c r="Z224">
        <f t="shared" si="158"/>
        <v>0</v>
      </c>
      <c r="AA224">
        <f t="shared" si="159"/>
        <v>0</v>
      </c>
      <c r="AB224">
        <f t="shared" si="160"/>
        <v>0</v>
      </c>
      <c r="AC224">
        <f t="shared" si="161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55"/>
        <v>_x0017_</v>
      </c>
      <c r="M225">
        <v>16</v>
      </c>
      <c r="N225" s="12" t="str">
        <f t="shared" si="121"/>
        <v/>
      </c>
      <c r="O225" s="13" t="str">
        <f t="shared" si="122"/>
        <v/>
      </c>
      <c r="P225" s="13" t="str">
        <f t="shared" si="123"/>
        <v/>
      </c>
      <c r="Q225" s="13" t="str">
        <f t="shared" si="124"/>
        <v/>
      </c>
      <c r="R225" s="13" t="str">
        <f t="shared" si="125"/>
        <v/>
      </c>
      <c r="S225" s="14" t="str">
        <f t="shared" si="126"/>
        <v/>
      </c>
      <c r="T225" s="2" t="str">
        <f t="shared" si="127"/>
        <v/>
      </c>
      <c r="U225" s="2" t="str">
        <f t="shared" si="128"/>
        <v/>
      </c>
      <c r="V225" t="str">
        <f t="shared" si="145"/>
        <v/>
      </c>
      <c r="X225">
        <f t="shared" si="156"/>
        <v>0</v>
      </c>
      <c r="Y225">
        <f t="shared" si="157"/>
        <v>0</v>
      </c>
      <c r="Z225">
        <f t="shared" si="158"/>
        <v>0</v>
      </c>
      <c r="AA225">
        <f t="shared" si="159"/>
        <v>0</v>
      </c>
      <c r="AB225">
        <f t="shared" si="160"/>
        <v>0</v>
      </c>
      <c r="AC225">
        <f t="shared" si="161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62">IF(B226&gt;0,"#","")</f>
        <v/>
      </c>
      <c r="O226" t="str">
        <f t="shared" ref="O226:O289" si="163">IF(C226&gt;0,"#","")</f>
        <v/>
      </c>
      <c r="P226" t="str">
        <f t="shared" ref="P226:P289" si="164">IF(D226&gt;0,"#","")</f>
        <v/>
      </c>
      <c r="Q226" t="str">
        <f t="shared" ref="Q226:Q289" si="165">IF(E226&gt;0,"#","")</f>
        <v/>
      </c>
      <c r="R226" t="str">
        <f t="shared" ref="R226:R289" si="166">IF(F226&gt;0,"#","")</f>
        <v/>
      </c>
      <c r="S226" t="str">
        <f t="shared" ref="S226:S289" si="167">IF(G226&gt;0,"#","")</f>
        <v/>
      </c>
      <c r="T226" s="2" t="str">
        <f t="shared" ref="T226:T289" si="168">IF(H226&gt;0,"#","")</f>
        <v/>
      </c>
      <c r="U226" s="2" t="str">
        <f t="shared" ref="U226:U289" si="169">IF(I226&gt;0,"#","")</f>
        <v/>
      </c>
      <c r="V226" t="str">
        <f t="shared" si="145"/>
        <v/>
      </c>
      <c r="W226">
        <f>SUM(B228:G241)</f>
        <v>20</v>
      </c>
      <c r="AD226">
        <f t="shared" ref="AD226" si="170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71">L226</f>
        <v>_x0018_</v>
      </c>
      <c r="M227">
        <v>2</v>
      </c>
      <c r="N227" t="str">
        <f t="shared" si="162"/>
        <v/>
      </c>
      <c r="O227" t="str">
        <f t="shared" si="163"/>
        <v/>
      </c>
      <c r="P227" t="str">
        <f t="shared" si="164"/>
        <v/>
      </c>
      <c r="Q227" t="str">
        <f t="shared" si="165"/>
        <v/>
      </c>
      <c r="R227" t="str">
        <f t="shared" si="166"/>
        <v/>
      </c>
      <c r="S227" t="str">
        <f t="shared" si="167"/>
        <v/>
      </c>
      <c r="T227" s="2" t="str">
        <f t="shared" si="168"/>
        <v/>
      </c>
      <c r="U227" s="2" t="str">
        <f t="shared" si="169"/>
        <v/>
      </c>
      <c r="V227" t="str">
        <f t="shared" si="145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71"/>
        <v>_x0018_</v>
      </c>
      <c r="M228">
        <v>3</v>
      </c>
      <c r="N228" s="3" t="str">
        <f t="shared" si="162"/>
        <v/>
      </c>
      <c r="O228" s="4" t="str">
        <f t="shared" si="163"/>
        <v/>
      </c>
      <c r="P228" s="4" t="str">
        <f t="shared" si="164"/>
        <v/>
      </c>
      <c r="Q228" s="4" t="str">
        <f t="shared" si="165"/>
        <v/>
      </c>
      <c r="R228" s="4" t="str">
        <f t="shared" si="166"/>
        <v/>
      </c>
      <c r="S228" s="5" t="str">
        <f t="shared" si="167"/>
        <v/>
      </c>
      <c r="T228" s="2" t="str">
        <f t="shared" si="168"/>
        <v/>
      </c>
      <c r="U228" s="2" t="str">
        <f t="shared" si="169"/>
        <v/>
      </c>
      <c r="V228" t="str">
        <f t="shared" si="145"/>
        <v/>
      </c>
      <c r="X228">
        <f t="shared" ref="X228:X241" si="172">MAX(B228-B227,0)</f>
        <v>0</v>
      </c>
      <c r="Y228">
        <f t="shared" ref="Y228:Y241" si="173">MAX(C228-C227,0)</f>
        <v>0</v>
      </c>
      <c r="Z228">
        <f t="shared" ref="Z228:Z241" si="174">MAX(D228-D227,0)</f>
        <v>0</v>
      </c>
      <c r="AA228">
        <f t="shared" ref="AA228:AA241" si="175">MAX(E228-E227,0)</f>
        <v>0</v>
      </c>
      <c r="AB228">
        <f t="shared" ref="AB228:AB241" si="176">MAX(F228-F227,0)</f>
        <v>0</v>
      </c>
      <c r="AC228">
        <f t="shared" ref="AC228:AC241" si="177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71"/>
        <v>_x0018_</v>
      </c>
      <c r="M229">
        <v>4</v>
      </c>
      <c r="N229" s="6" t="str">
        <f t="shared" si="162"/>
        <v/>
      </c>
      <c r="O229" s="7" t="str">
        <f t="shared" si="163"/>
        <v/>
      </c>
      <c r="P229" s="7" t="str">
        <f t="shared" si="164"/>
        <v/>
      </c>
      <c r="Q229" s="7" t="str">
        <f t="shared" si="165"/>
        <v/>
      </c>
      <c r="R229" s="7" t="str">
        <f t="shared" si="166"/>
        <v/>
      </c>
      <c r="S229" s="8" t="str">
        <f t="shared" si="167"/>
        <v/>
      </c>
      <c r="T229" s="2" t="str">
        <f t="shared" si="168"/>
        <v/>
      </c>
      <c r="U229" s="2" t="str">
        <f t="shared" si="169"/>
        <v/>
      </c>
      <c r="V229" t="str">
        <f t="shared" si="145"/>
        <v/>
      </c>
      <c r="X229">
        <f t="shared" si="172"/>
        <v>0</v>
      </c>
      <c r="Y229">
        <f t="shared" si="173"/>
        <v>0</v>
      </c>
      <c r="Z229">
        <f t="shared" si="174"/>
        <v>0</v>
      </c>
      <c r="AA229">
        <f t="shared" si="175"/>
        <v>0</v>
      </c>
      <c r="AB229">
        <f t="shared" si="176"/>
        <v>0</v>
      </c>
      <c r="AC229">
        <f t="shared" si="177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71"/>
        <v>_x0018_</v>
      </c>
      <c r="M230">
        <v>5</v>
      </c>
      <c r="N230" s="22" t="str">
        <f t="shared" si="162"/>
        <v>#</v>
      </c>
      <c r="O230" s="15" t="str">
        <f t="shared" si="163"/>
        <v>#</v>
      </c>
      <c r="P230" s="15" t="str">
        <f t="shared" si="164"/>
        <v>#</v>
      </c>
      <c r="Q230" s="15" t="str">
        <f t="shared" si="165"/>
        <v>#</v>
      </c>
      <c r="R230" s="16" t="str">
        <f t="shared" si="166"/>
        <v>#</v>
      </c>
      <c r="S230" s="8" t="str">
        <f t="shared" si="167"/>
        <v/>
      </c>
      <c r="T230" s="2" t="str">
        <f t="shared" si="168"/>
        <v/>
      </c>
      <c r="U230" s="2" t="str">
        <f t="shared" si="169"/>
        <v/>
      </c>
      <c r="V230" t="str">
        <f t="shared" si="145"/>
        <v/>
      </c>
      <c r="X230">
        <f t="shared" si="172"/>
        <v>1</v>
      </c>
      <c r="Y230">
        <f t="shared" si="173"/>
        <v>1</v>
      </c>
      <c r="Z230">
        <f t="shared" si="174"/>
        <v>1</v>
      </c>
      <c r="AA230">
        <f t="shared" si="175"/>
        <v>1</v>
      </c>
      <c r="AB230">
        <f t="shared" si="176"/>
        <v>1</v>
      </c>
      <c r="AC230">
        <f t="shared" si="177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71"/>
        <v>_x0018_</v>
      </c>
      <c r="M231">
        <v>6</v>
      </c>
      <c r="N231" s="23" t="str">
        <f t="shared" si="162"/>
        <v>#</v>
      </c>
      <c r="O231" s="7" t="str">
        <f t="shared" si="163"/>
        <v>#</v>
      </c>
      <c r="P231" s="7" t="str">
        <f t="shared" si="164"/>
        <v>#</v>
      </c>
      <c r="Q231" s="7" t="str">
        <f t="shared" si="165"/>
        <v>#</v>
      </c>
      <c r="R231" s="17" t="str">
        <f t="shared" si="166"/>
        <v>#</v>
      </c>
      <c r="S231" s="8" t="str">
        <f t="shared" si="167"/>
        <v/>
      </c>
      <c r="T231" s="2" t="str">
        <f t="shared" si="168"/>
        <v/>
      </c>
      <c r="U231" s="2" t="str">
        <f t="shared" si="169"/>
        <v/>
      </c>
      <c r="V231" t="str">
        <f t="shared" si="145"/>
        <v/>
      </c>
      <c r="X231">
        <f t="shared" si="172"/>
        <v>0</v>
      </c>
      <c r="Y231">
        <f t="shared" si="173"/>
        <v>0</v>
      </c>
      <c r="Z231">
        <f t="shared" si="174"/>
        <v>0</v>
      </c>
      <c r="AA231">
        <f t="shared" si="175"/>
        <v>0</v>
      </c>
      <c r="AB231">
        <f t="shared" si="176"/>
        <v>0</v>
      </c>
      <c r="AC231">
        <f t="shared" si="177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71"/>
        <v>_x0018_</v>
      </c>
      <c r="M232">
        <v>7</v>
      </c>
      <c r="N232" s="23" t="str">
        <f t="shared" si="162"/>
        <v/>
      </c>
      <c r="O232" s="7" t="str">
        <f t="shared" si="163"/>
        <v/>
      </c>
      <c r="P232" s="7" t="str">
        <f t="shared" si="164"/>
        <v/>
      </c>
      <c r="Q232" s="7" t="str">
        <f t="shared" si="165"/>
        <v/>
      </c>
      <c r="R232" s="17" t="str">
        <f t="shared" si="166"/>
        <v/>
      </c>
      <c r="S232" s="8" t="str">
        <f t="shared" si="167"/>
        <v/>
      </c>
      <c r="T232" s="2" t="str">
        <f t="shared" si="168"/>
        <v/>
      </c>
      <c r="U232" s="2" t="str">
        <f t="shared" si="169"/>
        <v/>
      </c>
      <c r="V232" t="str">
        <f t="shared" si="145"/>
        <v/>
      </c>
      <c r="X232">
        <f t="shared" si="172"/>
        <v>0</v>
      </c>
      <c r="Y232">
        <f t="shared" si="173"/>
        <v>0</v>
      </c>
      <c r="Z232">
        <f t="shared" si="174"/>
        <v>0</v>
      </c>
      <c r="AA232">
        <f t="shared" si="175"/>
        <v>0</v>
      </c>
      <c r="AB232">
        <f t="shared" si="176"/>
        <v>0</v>
      </c>
      <c r="AC232">
        <f t="shared" si="177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71"/>
        <v>_x0018_</v>
      </c>
      <c r="M233">
        <v>8</v>
      </c>
      <c r="N233" s="23" t="str">
        <f t="shared" si="162"/>
        <v/>
      </c>
      <c r="O233" s="7" t="str">
        <f t="shared" si="163"/>
        <v/>
      </c>
      <c r="P233" s="7" t="str">
        <f t="shared" si="164"/>
        <v/>
      </c>
      <c r="Q233" s="7" t="str">
        <f t="shared" si="165"/>
        <v/>
      </c>
      <c r="R233" s="17" t="str">
        <f t="shared" si="166"/>
        <v/>
      </c>
      <c r="S233" s="8" t="str">
        <f t="shared" si="167"/>
        <v/>
      </c>
      <c r="T233" s="2" t="str">
        <f t="shared" si="168"/>
        <v/>
      </c>
      <c r="U233" s="2" t="str">
        <f t="shared" si="169"/>
        <v/>
      </c>
      <c r="V233" t="str">
        <f t="shared" si="145"/>
        <v/>
      </c>
      <c r="X233">
        <f t="shared" si="172"/>
        <v>0</v>
      </c>
      <c r="Y233">
        <f t="shared" si="173"/>
        <v>0</v>
      </c>
      <c r="Z233">
        <f t="shared" si="174"/>
        <v>0</v>
      </c>
      <c r="AA233">
        <f t="shared" si="175"/>
        <v>0</v>
      </c>
      <c r="AB233">
        <f t="shared" si="176"/>
        <v>0</v>
      </c>
      <c r="AC233">
        <f t="shared" si="177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71"/>
        <v>_x0018_</v>
      </c>
      <c r="M234">
        <v>9</v>
      </c>
      <c r="N234" s="23" t="str">
        <f t="shared" si="162"/>
        <v/>
      </c>
      <c r="O234" s="7" t="str">
        <f t="shared" si="163"/>
        <v/>
      </c>
      <c r="P234" s="7" t="str">
        <f t="shared" si="164"/>
        <v/>
      </c>
      <c r="Q234" s="7" t="str">
        <f t="shared" si="165"/>
        <v/>
      </c>
      <c r="R234" s="17" t="str">
        <f t="shared" si="166"/>
        <v/>
      </c>
      <c r="S234" s="8" t="str">
        <f t="shared" si="167"/>
        <v/>
      </c>
      <c r="T234" s="2" t="str">
        <f t="shared" si="168"/>
        <v/>
      </c>
      <c r="U234" s="2" t="str">
        <f t="shared" si="169"/>
        <v/>
      </c>
      <c r="V234" t="str">
        <f t="shared" si="145"/>
        <v/>
      </c>
      <c r="X234">
        <f t="shared" si="172"/>
        <v>0</v>
      </c>
      <c r="Y234">
        <f t="shared" si="173"/>
        <v>0</v>
      </c>
      <c r="Z234">
        <f t="shared" si="174"/>
        <v>0</v>
      </c>
      <c r="AA234">
        <f t="shared" si="175"/>
        <v>0</v>
      </c>
      <c r="AB234">
        <f t="shared" si="176"/>
        <v>0</v>
      </c>
      <c r="AC234">
        <f t="shared" si="177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71"/>
        <v>_x0018_</v>
      </c>
      <c r="M235">
        <v>10</v>
      </c>
      <c r="N235" s="23" t="str">
        <f t="shared" si="162"/>
        <v/>
      </c>
      <c r="O235" s="7" t="str">
        <f t="shared" si="163"/>
        <v/>
      </c>
      <c r="P235" s="7" t="str">
        <f t="shared" si="164"/>
        <v/>
      </c>
      <c r="Q235" s="7" t="str">
        <f t="shared" si="165"/>
        <v/>
      </c>
      <c r="R235" s="17" t="str">
        <f t="shared" si="166"/>
        <v/>
      </c>
      <c r="S235" s="8" t="str">
        <f t="shared" si="167"/>
        <v/>
      </c>
      <c r="T235" s="2" t="str">
        <f t="shared" si="168"/>
        <v/>
      </c>
      <c r="U235" s="2" t="str">
        <f t="shared" si="169"/>
        <v/>
      </c>
      <c r="V235" t="str">
        <f t="shared" si="145"/>
        <v/>
      </c>
      <c r="X235">
        <f t="shared" si="172"/>
        <v>0</v>
      </c>
      <c r="Y235">
        <f t="shared" si="173"/>
        <v>0</v>
      </c>
      <c r="Z235">
        <f t="shared" si="174"/>
        <v>0</v>
      </c>
      <c r="AA235">
        <f t="shared" si="175"/>
        <v>0</v>
      </c>
      <c r="AB235">
        <f t="shared" si="176"/>
        <v>0</v>
      </c>
      <c r="AC235">
        <f t="shared" si="177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71"/>
        <v>_x0018_</v>
      </c>
      <c r="M236">
        <v>11</v>
      </c>
      <c r="N236" s="23" t="str">
        <f t="shared" si="162"/>
        <v/>
      </c>
      <c r="O236" s="7" t="str">
        <f t="shared" si="163"/>
        <v/>
      </c>
      <c r="P236" s="7" t="str">
        <f t="shared" si="164"/>
        <v/>
      </c>
      <c r="Q236" s="7" t="str">
        <f t="shared" si="165"/>
        <v/>
      </c>
      <c r="R236" s="17" t="str">
        <f t="shared" si="166"/>
        <v/>
      </c>
      <c r="S236" s="8" t="str">
        <f t="shared" si="167"/>
        <v/>
      </c>
      <c r="T236" s="2" t="str">
        <f t="shared" si="168"/>
        <v/>
      </c>
      <c r="U236" s="2" t="str">
        <f t="shared" si="169"/>
        <v/>
      </c>
      <c r="V236" t="str">
        <f t="shared" si="145"/>
        <v/>
      </c>
      <c r="X236">
        <f t="shared" si="172"/>
        <v>0</v>
      </c>
      <c r="Y236">
        <f t="shared" si="173"/>
        <v>0</v>
      </c>
      <c r="Z236">
        <f t="shared" si="174"/>
        <v>0</v>
      </c>
      <c r="AA236">
        <f t="shared" si="175"/>
        <v>0</v>
      </c>
      <c r="AB236">
        <f t="shared" si="176"/>
        <v>0</v>
      </c>
      <c r="AC236">
        <f t="shared" si="177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71"/>
        <v>_x0018_</v>
      </c>
      <c r="M237">
        <v>12</v>
      </c>
      <c r="N237" s="23" t="str">
        <f t="shared" si="162"/>
        <v/>
      </c>
      <c r="O237" s="7" t="str">
        <f t="shared" si="163"/>
        <v/>
      </c>
      <c r="P237" s="7" t="str">
        <f t="shared" si="164"/>
        <v/>
      </c>
      <c r="Q237" s="7" t="str">
        <f t="shared" si="165"/>
        <v/>
      </c>
      <c r="R237" s="17" t="str">
        <f t="shared" si="166"/>
        <v/>
      </c>
      <c r="S237" s="8" t="str">
        <f t="shared" si="167"/>
        <v/>
      </c>
      <c r="T237" s="2" t="str">
        <f t="shared" si="168"/>
        <v/>
      </c>
      <c r="U237" s="2" t="str">
        <f t="shared" si="169"/>
        <v/>
      </c>
      <c r="V237" t="str">
        <f t="shared" si="145"/>
        <v/>
      </c>
      <c r="X237">
        <f t="shared" si="172"/>
        <v>0</v>
      </c>
      <c r="Y237">
        <f t="shared" si="173"/>
        <v>0</v>
      </c>
      <c r="Z237">
        <f t="shared" si="174"/>
        <v>0</v>
      </c>
      <c r="AA237">
        <f t="shared" si="175"/>
        <v>0</v>
      </c>
      <c r="AB237">
        <f t="shared" si="176"/>
        <v>0</v>
      </c>
      <c r="AC237">
        <f t="shared" si="177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71"/>
        <v>_x0018_</v>
      </c>
      <c r="M238">
        <v>13</v>
      </c>
      <c r="N238" s="6" t="str">
        <f t="shared" si="162"/>
        <v>#</v>
      </c>
      <c r="O238" s="7" t="str">
        <f t="shared" si="163"/>
        <v>#</v>
      </c>
      <c r="P238" s="7" t="str">
        <f t="shared" si="164"/>
        <v>#</v>
      </c>
      <c r="Q238" s="7" t="str">
        <f t="shared" si="165"/>
        <v>#</v>
      </c>
      <c r="R238" s="17" t="str">
        <f t="shared" si="166"/>
        <v>#</v>
      </c>
      <c r="S238" s="8" t="str">
        <f t="shared" si="167"/>
        <v/>
      </c>
      <c r="T238" s="2" t="str">
        <f t="shared" si="168"/>
        <v/>
      </c>
      <c r="U238" s="2" t="str">
        <f t="shared" si="169"/>
        <v/>
      </c>
      <c r="V238" t="str">
        <f t="shared" si="145"/>
        <v/>
      </c>
      <c r="X238">
        <f t="shared" si="172"/>
        <v>1</v>
      </c>
      <c r="Y238">
        <f t="shared" si="173"/>
        <v>1</v>
      </c>
      <c r="Z238">
        <f t="shared" si="174"/>
        <v>1</v>
      </c>
      <c r="AA238">
        <f t="shared" si="175"/>
        <v>1</v>
      </c>
      <c r="AB238">
        <f t="shared" si="176"/>
        <v>1</v>
      </c>
      <c r="AC238">
        <f t="shared" si="177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71"/>
        <v>_x0018_</v>
      </c>
      <c r="M239">
        <v>14</v>
      </c>
      <c r="N239" s="18" t="str">
        <f t="shared" si="162"/>
        <v>#</v>
      </c>
      <c r="O239" s="19" t="str">
        <f t="shared" si="163"/>
        <v>#</v>
      </c>
      <c r="P239" s="19" t="str">
        <f t="shared" si="164"/>
        <v>#</v>
      </c>
      <c r="Q239" s="19" t="str">
        <f t="shared" si="165"/>
        <v>#</v>
      </c>
      <c r="R239" s="20" t="str">
        <f t="shared" si="166"/>
        <v>#</v>
      </c>
      <c r="S239" s="8" t="str">
        <f t="shared" si="167"/>
        <v/>
      </c>
      <c r="T239" s="2" t="str">
        <f t="shared" si="168"/>
        <v/>
      </c>
      <c r="U239" s="2" t="str">
        <f t="shared" si="169"/>
        <v/>
      </c>
      <c r="V239" t="str">
        <f t="shared" si="145"/>
        <v/>
      </c>
      <c r="X239">
        <f t="shared" si="172"/>
        <v>0</v>
      </c>
      <c r="Y239">
        <f t="shared" si="173"/>
        <v>0</v>
      </c>
      <c r="Z239">
        <f t="shared" si="174"/>
        <v>0</v>
      </c>
      <c r="AA239">
        <f t="shared" si="175"/>
        <v>0</v>
      </c>
      <c r="AB239">
        <f t="shared" si="176"/>
        <v>0</v>
      </c>
      <c r="AC239">
        <f t="shared" si="177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71"/>
        <v>_x0018_</v>
      </c>
      <c r="M240">
        <v>15</v>
      </c>
      <c r="N240" s="9" t="str">
        <f t="shared" si="162"/>
        <v/>
      </c>
      <c r="O240" s="10" t="str">
        <f t="shared" si="163"/>
        <v/>
      </c>
      <c r="P240" s="10" t="str">
        <f t="shared" si="164"/>
        <v/>
      </c>
      <c r="Q240" s="10" t="str">
        <f t="shared" si="165"/>
        <v/>
      </c>
      <c r="R240" s="10" t="str">
        <f t="shared" si="166"/>
        <v/>
      </c>
      <c r="S240" s="11" t="str">
        <f t="shared" si="167"/>
        <v/>
      </c>
      <c r="T240" s="2" t="str">
        <f t="shared" si="168"/>
        <v/>
      </c>
      <c r="U240" s="2" t="str">
        <f t="shared" si="169"/>
        <v/>
      </c>
      <c r="V240" t="str">
        <f t="shared" si="145"/>
        <v/>
      </c>
      <c r="X240">
        <f t="shared" si="172"/>
        <v>0</v>
      </c>
      <c r="Y240">
        <f t="shared" si="173"/>
        <v>0</v>
      </c>
      <c r="Z240">
        <f t="shared" si="174"/>
        <v>0</v>
      </c>
      <c r="AA240">
        <f t="shared" si="175"/>
        <v>0</v>
      </c>
      <c r="AB240">
        <f t="shared" si="176"/>
        <v>0</v>
      </c>
      <c r="AC240">
        <f t="shared" si="177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71"/>
        <v>_x0018_</v>
      </c>
      <c r="M241">
        <v>16</v>
      </c>
      <c r="N241" s="12" t="str">
        <f t="shared" si="162"/>
        <v/>
      </c>
      <c r="O241" s="13" t="str">
        <f t="shared" si="163"/>
        <v/>
      </c>
      <c r="P241" s="13" t="str">
        <f t="shared" si="164"/>
        <v/>
      </c>
      <c r="Q241" s="13" t="str">
        <f t="shared" si="165"/>
        <v/>
      </c>
      <c r="R241" s="13" t="str">
        <f t="shared" si="166"/>
        <v/>
      </c>
      <c r="S241" s="14" t="str">
        <f t="shared" si="167"/>
        <v/>
      </c>
      <c r="T241" s="2" t="str">
        <f t="shared" si="168"/>
        <v/>
      </c>
      <c r="U241" s="2" t="str">
        <f t="shared" si="169"/>
        <v/>
      </c>
      <c r="V241" t="str">
        <f t="shared" si="145"/>
        <v/>
      </c>
      <c r="X241">
        <f t="shared" si="172"/>
        <v>0</v>
      </c>
      <c r="Y241">
        <f t="shared" si="173"/>
        <v>0</v>
      </c>
      <c r="Z241">
        <f t="shared" si="174"/>
        <v>0</v>
      </c>
      <c r="AA241">
        <f t="shared" si="175"/>
        <v>0</v>
      </c>
      <c r="AB241">
        <f t="shared" si="176"/>
        <v>0</v>
      </c>
      <c r="AC241">
        <f t="shared" si="177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62"/>
        <v/>
      </c>
      <c r="O242" t="str">
        <f t="shared" si="163"/>
        <v/>
      </c>
      <c r="P242" t="str">
        <f t="shared" si="164"/>
        <v/>
      </c>
      <c r="Q242" t="str">
        <f t="shared" si="165"/>
        <v/>
      </c>
      <c r="R242" t="str">
        <f t="shared" si="166"/>
        <v/>
      </c>
      <c r="S242" t="str">
        <f t="shared" si="167"/>
        <v/>
      </c>
      <c r="T242" s="2" t="str">
        <f t="shared" si="168"/>
        <v/>
      </c>
      <c r="U242" s="2" t="str">
        <f t="shared" si="169"/>
        <v/>
      </c>
      <c r="V242" t="str">
        <f t="shared" si="145"/>
        <v/>
      </c>
      <c r="W242">
        <f>SUM(B244:G257)</f>
        <v>24</v>
      </c>
      <c r="AD242">
        <f t="shared" ref="AD242" si="178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9">L242</f>
        <v>_x0019_</v>
      </c>
      <c r="M243">
        <v>2</v>
      </c>
      <c r="N243" t="str">
        <f t="shared" si="162"/>
        <v/>
      </c>
      <c r="O243" t="str">
        <f t="shared" si="163"/>
        <v/>
      </c>
      <c r="P243" t="str">
        <f t="shared" si="164"/>
        <v/>
      </c>
      <c r="Q243" t="str">
        <f t="shared" si="165"/>
        <v/>
      </c>
      <c r="R243" t="str">
        <f t="shared" si="166"/>
        <v/>
      </c>
      <c r="S243" t="str">
        <f t="shared" si="167"/>
        <v/>
      </c>
      <c r="T243" s="2" t="str">
        <f t="shared" si="168"/>
        <v/>
      </c>
      <c r="U243" s="2" t="str">
        <f t="shared" si="169"/>
        <v/>
      </c>
      <c r="V243" t="str">
        <f t="shared" si="145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9"/>
        <v>_x0019_</v>
      </c>
      <c r="M244">
        <v>3</v>
      </c>
      <c r="N244" s="3" t="str">
        <f t="shared" si="162"/>
        <v>#</v>
      </c>
      <c r="O244" s="4" t="str">
        <f t="shared" si="163"/>
        <v>#</v>
      </c>
      <c r="P244" s="4" t="str">
        <f t="shared" si="164"/>
        <v>#</v>
      </c>
      <c r="Q244" s="4" t="str">
        <f t="shared" si="165"/>
        <v>#</v>
      </c>
      <c r="R244" s="4" t="str">
        <f t="shared" si="166"/>
        <v>#</v>
      </c>
      <c r="S244" s="5" t="str">
        <f t="shared" si="167"/>
        <v>#</v>
      </c>
      <c r="T244" s="2" t="str">
        <f t="shared" si="168"/>
        <v/>
      </c>
      <c r="U244" s="2" t="str">
        <f t="shared" si="169"/>
        <v/>
      </c>
      <c r="V244" t="str">
        <f t="shared" si="145"/>
        <v/>
      </c>
      <c r="X244">
        <f t="shared" ref="X244:X257" si="180">MAX(B244-B243,0)</f>
        <v>1</v>
      </c>
      <c r="Y244">
        <f t="shared" ref="Y244:Y257" si="181">MAX(C244-C243,0)</f>
        <v>1</v>
      </c>
      <c r="Z244">
        <f t="shared" ref="Z244:Z257" si="182">MAX(D244-D243,0)</f>
        <v>1</v>
      </c>
      <c r="AA244">
        <f t="shared" ref="AA244:AA257" si="183">MAX(E244-E243,0)</f>
        <v>1</v>
      </c>
      <c r="AB244">
        <f t="shared" ref="AB244:AB257" si="184">MAX(F244-F243,0)</f>
        <v>1</v>
      </c>
      <c r="AC244">
        <f t="shared" ref="AC244:AC257" si="185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9"/>
        <v>_x0019_</v>
      </c>
      <c r="M245">
        <v>4</v>
      </c>
      <c r="N245" s="6" t="str">
        <f t="shared" si="162"/>
        <v>#</v>
      </c>
      <c r="O245" s="7" t="str">
        <f t="shared" si="163"/>
        <v>#</v>
      </c>
      <c r="P245" s="7" t="str">
        <f t="shared" si="164"/>
        <v>#</v>
      </c>
      <c r="Q245" s="7" t="str">
        <f t="shared" si="165"/>
        <v>#</v>
      </c>
      <c r="R245" s="7" t="str">
        <f t="shared" si="166"/>
        <v>#</v>
      </c>
      <c r="S245" s="8" t="str">
        <f t="shared" si="167"/>
        <v>#</v>
      </c>
      <c r="T245" s="2" t="str">
        <f t="shared" si="168"/>
        <v/>
      </c>
      <c r="U245" s="2" t="str">
        <f t="shared" si="169"/>
        <v/>
      </c>
      <c r="V245" t="str">
        <f t="shared" si="145"/>
        <v/>
      </c>
      <c r="X245">
        <f t="shared" si="180"/>
        <v>0</v>
      </c>
      <c r="Y245">
        <f t="shared" si="181"/>
        <v>0</v>
      </c>
      <c r="Z245">
        <f t="shared" si="182"/>
        <v>0</v>
      </c>
      <c r="AA245">
        <f t="shared" si="183"/>
        <v>0</v>
      </c>
      <c r="AB245">
        <f t="shared" si="184"/>
        <v>0</v>
      </c>
      <c r="AC245">
        <f t="shared" si="185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9"/>
        <v>_x0019_</v>
      </c>
      <c r="M246">
        <v>5</v>
      </c>
      <c r="N246" s="22" t="str">
        <f t="shared" si="162"/>
        <v/>
      </c>
      <c r="O246" s="15" t="str">
        <f t="shared" si="163"/>
        <v/>
      </c>
      <c r="P246" s="15" t="str">
        <f t="shared" si="164"/>
        <v/>
      </c>
      <c r="Q246" s="15" t="str">
        <f t="shared" si="165"/>
        <v/>
      </c>
      <c r="R246" s="16" t="str">
        <f t="shared" si="166"/>
        <v/>
      </c>
      <c r="S246" s="8" t="str">
        <f t="shared" si="167"/>
        <v/>
      </c>
      <c r="T246" s="2" t="str">
        <f t="shared" si="168"/>
        <v/>
      </c>
      <c r="U246" s="2" t="str">
        <f t="shared" si="169"/>
        <v/>
      </c>
      <c r="V246" t="str">
        <f t="shared" si="145"/>
        <v/>
      </c>
      <c r="X246">
        <f t="shared" si="180"/>
        <v>0</v>
      </c>
      <c r="Y246">
        <f t="shared" si="181"/>
        <v>0</v>
      </c>
      <c r="Z246">
        <f t="shared" si="182"/>
        <v>0</v>
      </c>
      <c r="AA246">
        <f t="shared" si="183"/>
        <v>0</v>
      </c>
      <c r="AB246">
        <f t="shared" si="184"/>
        <v>0</v>
      </c>
      <c r="AC246">
        <f t="shared" si="185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9"/>
        <v>_x0019_</v>
      </c>
      <c r="M247">
        <v>6</v>
      </c>
      <c r="N247" s="23" t="str">
        <f t="shared" si="162"/>
        <v/>
      </c>
      <c r="O247" s="7" t="str">
        <f t="shared" si="163"/>
        <v/>
      </c>
      <c r="P247" s="7" t="str">
        <f t="shared" si="164"/>
        <v/>
      </c>
      <c r="Q247" s="7" t="str">
        <f t="shared" si="165"/>
        <v/>
      </c>
      <c r="R247" s="17" t="str">
        <f t="shared" si="166"/>
        <v/>
      </c>
      <c r="S247" s="8" t="str">
        <f t="shared" si="167"/>
        <v/>
      </c>
      <c r="T247" s="2" t="str">
        <f t="shared" si="168"/>
        <v/>
      </c>
      <c r="U247" s="2" t="str">
        <f t="shared" si="169"/>
        <v/>
      </c>
      <c r="V247" t="str">
        <f t="shared" si="145"/>
        <v/>
      </c>
      <c r="X247">
        <f t="shared" si="180"/>
        <v>0</v>
      </c>
      <c r="Y247">
        <f t="shared" si="181"/>
        <v>0</v>
      </c>
      <c r="Z247">
        <f t="shared" si="182"/>
        <v>0</v>
      </c>
      <c r="AA247">
        <f t="shared" si="183"/>
        <v>0</v>
      </c>
      <c r="AB247">
        <f t="shared" si="184"/>
        <v>0</v>
      </c>
      <c r="AC247">
        <f t="shared" si="185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9"/>
        <v>_x0019_</v>
      </c>
      <c r="M248">
        <v>7</v>
      </c>
      <c r="N248" s="23" t="str">
        <f t="shared" si="162"/>
        <v/>
      </c>
      <c r="O248" s="7" t="str">
        <f t="shared" si="163"/>
        <v/>
      </c>
      <c r="P248" s="7" t="str">
        <f t="shared" si="164"/>
        <v/>
      </c>
      <c r="Q248" s="7" t="str">
        <f t="shared" si="165"/>
        <v/>
      </c>
      <c r="R248" s="17" t="str">
        <f t="shared" si="166"/>
        <v/>
      </c>
      <c r="S248" s="8" t="str">
        <f t="shared" si="167"/>
        <v/>
      </c>
      <c r="T248" s="2" t="str">
        <f t="shared" si="168"/>
        <v/>
      </c>
      <c r="U248" s="2" t="str">
        <f t="shared" si="169"/>
        <v/>
      </c>
      <c r="V248" t="str">
        <f t="shared" si="145"/>
        <v/>
      </c>
      <c r="X248">
        <f t="shared" si="180"/>
        <v>0</v>
      </c>
      <c r="Y248">
        <f t="shared" si="181"/>
        <v>0</v>
      </c>
      <c r="Z248">
        <f t="shared" si="182"/>
        <v>0</v>
      </c>
      <c r="AA248">
        <f t="shared" si="183"/>
        <v>0</v>
      </c>
      <c r="AB248">
        <f t="shared" si="184"/>
        <v>0</v>
      </c>
      <c r="AC248">
        <f t="shared" si="185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9"/>
        <v>_x0019_</v>
      </c>
      <c r="M249">
        <v>8</v>
      </c>
      <c r="N249" s="23" t="str">
        <f t="shared" si="162"/>
        <v/>
      </c>
      <c r="O249" s="7" t="str">
        <f t="shared" si="163"/>
        <v/>
      </c>
      <c r="P249" s="7" t="str">
        <f t="shared" si="164"/>
        <v/>
      </c>
      <c r="Q249" s="7" t="str">
        <f t="shared" si="165"/>
        <v/>
      </c>
      <c r="R249" s="17" t="str">
        <f t="shared" si="166"/>
        <v/>
      </c>
      <c r="S249" s="8" t="str">
        <f t="shared" si="167"/>
        <v/>
      </c>
      <c r="T249" s="2" t="str">
        <f t="shared" si="168"/>
        <v/>
      </c>
      <c r="U249" s="2" t="str">
        <f t="shared" si="169"/>
        <v/>
      </c>
      <c r="V249" t="str">
        <f t="shared" si="145"/>
        <v/>
      </c>
      <c r="X249">
        <f t="shared" si="180"/>
        <v>0</v>
      </c>
      <c r="Y249">
        <f t="shared" si="181"/>
        <v>0</v>
      </c>
      <c r="Z249">
        <f t="shared" si="182"/>
        <v>0</v>
      </c>
      <c r="AA249">
        <f t="shared" si="183"/>
        <v>0</v>
      </c>
      <c r="AB249">
        <f t="shared" si="184"/>
        <v>0</v>
      </c>
      <c r="AC249">
        <f t="shared" si="185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9"/>
        <v>_x0019_</v>
      </c>
      <c r="M250">
        <v>9</v>
      </c>
      <c r="N250" s="23" t="str">
        <f t="shared" si="162"/>
        <v/>
      </c>
      <c r="O250" s="7" t="str">
        <f t="shared" si="163"/>
        <v/>
      </c>
      <c r="P250" s="7" t="str">
        <f t="shared" si="164"/>
        <v/>
      </c>
      <c r="Q250" s="7" t="str">
        <f t="shared" si="165"/>
        <v/>
      </c>
      <c r="R250" s="17" t="str">
        <f t="shared" si="166"/>
        <v/>
      </c>
      <c r="S250" s="8" t="str">
        <f t="shared" si="167"/>
        <v/>
      </c>
      <c r="T250" s="2" t="str">
        <f t="shared" si="168"/>
        <v/>
      </c>
      <c r="U250" s="2" t="str">
        <f t="shared" si="169"/>
        <v/>
      </c>
      <c r="V250" t="str">
        <f t="shared" si="145"/>
        <v/>
      </c>
      <c r="X250">
        <f t="shared" si="180"/>
        <v>0</v>
      </c>
      <c r="Y250">
        <f t="shared" si="181"/>
        <v>0</v>
      </c>
      <c r="Z250">
        <f t="shared" si="182"/>
        <v>0</v>
      </c>
      <c r="AA250">
        <f t="shared" si="183"/>
        <v>0</v>
      </c>
      <c r="AB250">
        <f t="shared" si="184"/>
        <v>0</v>
      </c>
      <c r="AC250">
        <f t="shared" si="185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9"/>
        <v>_x0019_</v>
      </c>
      <c r="M251">
        <v>10</v>
      </c>
      <c r="N251" s="23" t="str">
        <f t="shared" si="162"/>
        <v/>
      </c>
      <c r="O251" s="7" t="str">
        <f t="shared" si="163"/>
        <v/>
      </c>
      <c r="P251" s="7" t="str">
        <f t="shared" si="164"/>
        <v/>
      </c>
      <c r="Q251" s="7" t="str">
        <f t="shared" si="165"/>
        <v/>
      </c>
      <c r="R251" s="17" t="str">
        <f t="shared" si="166"/>
        <v/>
      </c>
      <c r="S251" s="8" t="str">
        <f t="shared" si="167"/>
        <v/>
      </c>
      <c r="T251" s="2" t="str">
        <f t="shared" si="168"/>
        <v/>
      </c>
      <c r="U251" s="2" t="str">
        <f t="shared" si="169"/>
        <v/>
      </c>
      <c r="V251" t="str">
        <f t="shared" si="145"/>
        <v/>
      </c>
      <c r="X251">
        <f t="shared" si="180"/>
        <v>0</v>
      </c>
      <c r="Y251">
        <f t="shared" si="181"/>
        <v>0</v>
      </c>
      <c r="Z251">
        <f t="shared" si="182"/>
        <v>0</v>
      </c>
      <c r="AA251">
        <f t="shared" si="183"/>
        <v>0</v>
      </c>
      <c r="AB251">
        <f t="shared" si="184"/>
        <v>0</v>
      </c>
      <c r="AC251">
        <f t="shared" si="185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9"/>
        <v>_x0019_</v>
      </c>
      <c r="M252">
        <v>11</v>
      </c>
      <c r="N252" s="23" t="str">
        <f t="shared" si="162"/>
        <v/>
      </c>
      <c r="O252" s="7" t="str">
        <f t="shared" si="163"/>
        <v/>
      </c>
      <c r="P252" s="7" t="str">
        <f t="shared" si="164"/>
        <v/>
      </c>
      <c r="Q252" s="7" t="str">
        <f t="shared" si="165"/>
        <v/>
      </c>
      <c r="R252" s="17" t="str">
        <f t="shared" si="166"/>
        <v/>
      </c>
      <c r="S252" s="8" t="str">
        <f t="shared" si="167"/>
        <v/>
      </c>
      <c r="T252" s="2" t="str">
        <f t="shared" si="168"/>
        <v/>
      </c>
      <c r="U252" s="2" t="str">
        <f t="shared" si="169"/>
        <v/>
      </c>
      <c r="V252" t="str">
        <f t="shared" si="145"/>
        <v/>
      </c>
      <c r="X252">
        <f t="shared" si="180"/>
        <v>0</v>
      </c>
      <c r="Y252">
        <f t="shared" si="181"/>
        <v>0</v>
      </c>
      <c r="Z252">
        <f t="shared" si="182"/>
        <v>0</v>
      </c>
      <c r="AA252">
        <f t="shared" si="183"/>
        <v>0</v>
      </c>
      <c r="AB252">
        <f t="shared" si="184"/>
        <v>0</v>
      </c>
      <c r="AC252">
        <f t="shared" si="185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9"/>
        <v>_x0019_</v>
      </c>
      <c r="M253">
        <v>12</v>
      </c>
      <c r="N253" s="23" t="str">
        <f t="shared" si="162"/>
        <v/>
      </c>
      <c r="O253" s="7" t="str">
        <f t="shared" si="163"/>
        <v/>
      </c>
      <c r="P253" s="7" t="str">
        <f t="shared" si="164"/>
        <v/>
      </c>
      <c r="Q253" s="7" t="str">
        <f t="shared" si="165"/>
        <v/>
      </c>
      <c r="R253" s="17" t="str">
        <f t="shared" si="166"/>
        <v/>
      </c>
      <c r="S253" s="8" t="str">
        <f t="shared" si="167"/>
        <v/>
      </c>
      <c r="T253" s="2" t="str">
        <f t="shared" si="168"/>
        <v/>
      </c>
      <c r="U253" s="2" t="str">
        <f t="shared" si="169"/>
        <v/>
      </c>
      <c r="V253" t="str">
        <f t="shared" si="145"/>
        <v/>
      </c>
      <c r="X253">
        <f t="shared" si="180"/>
        <v>0</v>
      </c>
      <c r="Y253">
        <f t="shared" si="181"/>
        <v>0</v>
      </c>
      <c r="Z253">
        <f t="shared" si="182"/>
        <v>0</v>
      </c>
      <c r="AA253">
        <f t="shared" si="183"/>
        <v>0</v>
      </c>
      <c r="AB253">
        <f t="shared" si="184"/>
        <v>0</v>
      </c>
      <c r="AC253">
        <f t="shared" si="185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9"/>
        <v>_x0019_</v>
      </c>
      <c r="M254">
        <v>13</v>
      </c>
      <c r="N254" s="6" t="str">
        <f t="shared" si="162"/>
        <v/>
      </c>
      <c r="O254" s="7" t="str">
        <f t="shared" si="163"/>
        <v/>
      </c>
      <c r="P254" s="7" t="str">
        <f t="shared" si="164"/>
        <v/>
      </c>
      <c r="Q254" s="7" t="str">
        <f t="shared" si="165"/>
        <v/>
      </c>
      <c r="R254" s="17" t="str">
        <f t="shared" si="166"/>
        <v/>
      </c>
      <c r="S254" s="8" t="str">
        <f t="shared" si="167"/>
        <v/>
      </c>
      <c r="T254" s="2" t="str">
        <f t="shared" si="168"/>
        <v/>
      </c>
      <c r="U254" s="2" t="str">
        <f t="shared" si="169"/>
        <v/>
      </c>
      <c r="V254" t="str">
        <f t="shared" si="145"/>
        <v/>
      </c>
      <c r="X254">
        <f t="shared" si="180"/>
        <v>0</v>
      </c>
      <c r="Y254">
        <f t="shared" si="181"/>
        <v>0</v>
      </c>
      <c r="Z254">
        <f t="shared" si="182"/>
        <v>0</v>
      </c>
      <c r="AA254">
        <f t="shared" si="183"/>
        <v>0</v>
      </c>
      <c r="AB254">
        <f t="shared" si="184"/>
        <v>0</v>
      </c>
      <c r="AC254">
        <f t="shared" si="185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9"/>
        <v>_x0019_</v>
      </c>
      <c r="M255">
        <v>14</v>
      </c>
      <c r="N255" s="18" t="str">
        <f t="shared" si="162"/>
        <v/>
      </c>
      <c r="O255" s="19" t="str">
        <f t="shared" si="163"/>
        <v/>
      </c>
      <c r="P255" s="19" t="str">
        <f t="shared" si="164"/>
        <v/>
      </c>
      <c r="Q255" s="19" t="str">
        <f t="shared" si="165"/>
        <v/>
      </c>
      <c r="R255" s="20" t="str">
        <f t="shared" si="166"/>
        <v/>
      </c>
      <c r="S255" s="8" t="str">
        <f t="shared" si="167"/>
        <v/>
      </c>
      <c r="T255" s="2" t="str">
        <f t="shared" si="168"/>
        <v/>
      </c>
      <c r="U255" s="2" t="str">
        <f t="shared" si="169"/>
        <v/>
      </c>
      <c r="V255" t="str">
        <f t="shared" si="145"/>
        <v/>
      </c>
      <c r="X255">
        <f t="shared" si="180"/>
        <v>0</v>
      </c>
      <c r="Y255">
        <f t="shared" si="181"/>
        <v>0</v>
      </c>
      <c r="Z255">
        <f t="shared" si="182"/>
        <v>0</v>
      </c>
      <c r="AA255">
        <f t="shared" si="183"/>
        <v>0</v>
      </c>
      <c r="AB255">
        <f t="shared" si="184"/>
        <v>0</v>
      </c>
      <c r="AC255">
        <f t="shared" si="185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9"/>
        <v>_x0019_</v>
      </c>
      <c r="M256">
        <v>15</v>
      </c>
      <c r="N256" s="9" t="str">
        <f t="shared" si="162"/>
        <v>#</v>
      </c>
      <c r="O256" s="10" t="str">
        <f t="shared" si="163"/>
        <v>#</v>
      </c>
      <c r="P256" s="10" t="str">
        <f t="shared" si="164"/>
        <v>#</v>
      </c>
      <c r="Q256" s="10" t="str">
        <f t="shared" si="165"/>
        <v>#</v>
      </c>
      <c r="R256" s="10" t="str">
        <f t="shared" si="166"/>
        <v>#</v>
      </c>
      <c r="S256" s="11" t="str">
        <f t="shared" si="167"/>
        <v>#</v>
      </c>
      <c r="T256" s="2" t="str">
        <f t="shared" si="168"/>
        <v/>
      </c>
      <c r="U256" s="2" t="str">
        <f t="shared" si="169"/>
        <v/>
      </c>
      <c r="V256" t="str">
        <f t="shared" si="145"/>
        <v/>
      </c>
      <c r="X256">
        <f t="shared" si="180"/>
        <v>1</v>
      </c>
      <c r="Y256">
        <f t="shared" si="181"/>
        <v>1</v>
      </c>
      <c r="Z256">
        <f t="shared" si="182"/>
        <v>1</v>
      </c>
      <c r="AA256">
        <f t="shared" si="183"/>
        <v>1</v>
      </c>
      <c r="AB256">
        <f t="shared" si="184"/>
        <v>1</v>
      </c>
      <c r="AC256">
        <f t="shared" si="185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9"/>
        <v>_x0019_</v>
      </c>
      <c r="M257">
        <v>16</v>
      </c>
      <c r="N257" s="12" t="str">
        <f t="shared" si="162"/>
        <v>#</v>
      </c>
      <c r="O257" s="13" t="str">
        <f t="shared" si="163"/>
        <v>#</v>
      </c>
      <c r="P257" s="13" t="str">
        <f t="shared" si="164"/>
        <v>#</v>
      </c>
      <c r="Q257" s="13" t="str">
        <f t="shared" si="165"/>
        <v>#</v>
      </c>
      <c r="R257" s="13" t="str">
        <f t="shared" si="166"/>
        <v>#</v>
      </c>
      <c r="S257" s="14" t="str">
        <f t="shared" si="167"/>
        <v>#</v>
      </c>
      <c r="T257" s="2" t="str">
        <f t="shared" si="168"/>
        <v/>
      </c>
      <c r="U257" s="2" t="str">
        <f t="shared" si="169"/>
        <v/>
      </c>
      <c r="V257" t="str">
        <f t="shared" si="145"/>
        <v/>
      </c>
      <c r="X257">
        <f t="shared" si="180"/>
        <v>0</v>
      </c>
      <c r="Y257">
        <f t="shared" si="181"/>
        <v>0</v>
      </c>
      <c r="Z257">
        <f t="shared" si="182"/>
        <v>0</v>
      </c>
      <c r="AA257">
        <f t="shared" si="183"/>
        <v>0</v>
      </c>
      <c r="AB257">
        <f t="shared" si="184"/>
        <v>0</v>
      </c>
      <c r="AC257">
        <f t="shared" si="185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62"/>
        <v/>
      </c>
      <c r="O258" t="str">
        <f t="shared" si="163"/>
        <v/>
      </c>
      <c r="P258" t="str">
        <f t="shared" si="164"/>
        <v/>
      </c>
      <c r="Q258" t="str">
        <f t="shared" si="165"/>
        <v/>
      </c>
      <c r="R258" t="str">
        <f t="shared" si="166"/>
        <v/>
      </c>
      <c r="S258" t="str">
        <f t="shared" si="167"/>
        <v/>
      </c>
      <c r="T258" s="2" t="str">
        <f t="shared" si="168"/>
        <v/>
      </c>
      <c r="U258" s="2" t="str">
        <f t="shared" si="169"/>
        <v/>
      </c>
      <c r="V258" t="str">
        <f t="shared" ref="V258:V321" si="186">IF(A258=0,"",M258)</f>
        <v/>
      </c>
      <c r="W258">
        <f>SUM(B260:G273)</f>
        <v>84</v>
      </c>
      <c r="AD258">
        <f t="shared" ref="AD258" si="187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8">L258</f>
        <v>_x001A_</v>
      </c>
      <c r="M259">
        <v>2</v>
      </c>
      <c r="N259" t="str">
        <f t="shared" si="162"/>
        <v/>
      </c>
      <c r="O259" t="str">
        <f t="shared" si="163"/>
        <v/>
      </c>
      <c r="P259" t="str">
        <f t="shared" si="164"/>
        <v/>
      </c>
      <c r="Q259" t="str">
        <f t="shared" si="165"/>
        <v/>
      </c>
      <c r="R259" t="str">
        <f t="shared" si="166"/>
        <v/>
      </c>
      <c r="S259" t="str">
        <f t="shared" si="167"/>
        <v/>
      </c>
      <c r="T259" s="2" t="str">
        <f t="shared" si="168"/>
        <v/>
      </c>
      <c r="U259" s="2" t="str">
        <f t="shared" si="169"/>
        <v/>
      </c>
      <c r="V259" t="str">
        <f t="shared" si="186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8"/>
        <v>_x001A_</v>
      </c>
      <c r="M260">
        <v>3</v>
      </c>
      <c r="N260" s="3" t="str">
        <f t="shared" si="162"/>
        <v>#</v>
      </c>
      <c r="O260" s="4" t="str">
        <f t="shared" si="163"/>
        <v>#</v>
      </c>
      <c r="P260" s="4" t="str">
        <f t="shared" si="164"/>
        <v>#</v>
      </c>
      <c r="Q260" s="4" t="str">
        <f t="shared" si="165"/>
        <v>#</v>
      </c>
      <c r="R260" s="4" t="str">
        <f t="shared" si="166"/>
        <v>#</v>
      </c>
      <c r="S260" s="5" t="str">
        <f t="shared" si="167"/>
        <v>#</v>
      </c>
      <c r="T260" s="2" t="str">
        <f t="shared" si="168"/>
        <v/>
      </c>
      <c r="U260" s="2" t="str">
        <f t="shared" si="169"/>
        <v/>
      </c>
      <c r="V260" t="str">
        <f t="shared" si="186"/>
        <v/>
      </c>
      <c r="X260">
        <f t="shared" ref="X260:X273" si="189">MAX(B260-B259,0)</f>
        <v>1</v>
      </c>
      <c r="Y260">
        <f t="shared" ref="Y260:Y273" si="190">MAX(C260-C259,0)</f>
        <v>1</v>
      </c>
      <c r="Z260">
        <f t="shared" ref="Z260:Z273" si="191">MAX(D260-D259,0)</f>
        <v>1</v>
      </c>
      <c r="AA260">
        <f t="shared" ref="AA260:AA273" si="192">MAX(E260-E259,0)</f>
        <v>1</v>
      </c>
      <c r="AB260">
        <f t="shared" ref="AB260:AB273" si="193">MAX(F260-F259,0)</f>
        <v>1</v>
      </c>
      <c r="AC260">
        <f t="shared" ref="AC260:AC273" si="194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8"/>
        <v>_x001A_</v>
      </c>
      <c r="M261">
        <v>4</v>
      </c>
      <c r="N261" s="6" t="str">
        <f t="shared" si="162"/>
        <v>#</v>
      </c>
      <c r="O261" s="7" t="str">
        <f t="shared" si="163"/>
        <v>#</v>
      </c>
      <c r="P261" s="7" t="str">
        <f t="shared" si="164"/>
        <v>#</v>
      </c>
      <c r="Q261" s="7" t="str">
        <f t="shared" si="165"/>
        <v>#</v>
      </c>
      <c r="R261" s="7" t="str">
        <f t="shared" si="166"/>
        <v>#</v>
      </c>
      <c r="S261" s="8" t="str">
        <f t="shared" si="167"/>
        <v>#</v>
      </c>
      <c r="T261" s="2" t="str">
        <f t="shared" si="168"/>
        <v/>
      </c>
      <c r="U261" s="2" t="str">
        <f t="shared" si="169"/>
        <v/>
      </c>
      <c r="V261" t="str">
        <f t="shared" si="186"/>
        <v/>
      </c>
      <c r="X261">
        <f t="shared" si="189"/>
        <v>0</v>
      </c>
      <c r="Y261">
        <f t="shared" si="190"/>
        <v>0</v>
      </c>
      <c r="Z261">
        <f t="shared" si="191"/>
        <v>0</v>
      </c>
      <c r="AA261">
        <f t="shared" si="192"/>
        <v>0</v>
      </c>
      <c r="AB261">
        <f t="shared" si="193"/>
        <v>0</v>
      </c>
      <c r="AC261">
        <f t="shared" si="194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8"/>
        <v>_x001A_</v>
      </c>
      <c r="M262">
        <v>5</v>
      </c>
      <c r="N262" s="22" t="str">
        <f t="shared" si="162"/>
        <v>#</v>
      </c>
      <c r="O262" s="15" t="str">
        <f t="shared" si="163"/>
        <v>#</v>
      </c>
      <c r="P262" s="15" t="str">
        <f t="shared" si="164"/>
        <v>#</v>
      </c>
      <c r="Q262" s="15" t="str">
        <f t="shared" si="165"/>
        <v>#</v>
      </c>
      <c r="R262" s="16" t="str">
        <f t="shared" si="166"/>
        <v>#</v>
      </c>
      <c r="S262" s="8" t="str">
        <f t="shared" si="167"/>
        <v>#</v>
      </c>
      <c r="T262" s="2" t="str">
        <f t="shared" si="168"/>
        <v/>
      </c>
      <c r="U262" s="2" t="str">
        <f t="shared" si="169"/>
        <v/>
      </c>
      <c r="V262" t="str">
        <f t="shared" si="186"/>
        <v/>
      </c>
      <c r="X262">
        <f t="shared" si="189"/>
        <v>0</v>
      </c>
      <c r="Y262">
        <f t="shared" si="190"/>
        <v>0</v>
      </c>
      <c r="Z262">
        <f t="shared" si="191"/>
        <v>0</v>
      </c>
      <c r="AA262">
        <f t="shared" si="192"/>
        <v>0</v>
      </c>
      <c r="AB262">
        <f t="shared" si="193"/>
        <v>0</v>
      </c>
      <c r="AC262">
        <f t="shared" si="194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8"/>
        <v>_x001A_</v>
      </c>
      <c r="M263">
        <v>6</v>
      </c>
      <c r="N263" s="23" t="str">
        <f t="shared" si="162"/>
        <v>#</v>
      </c>
      <c r="O263" s="7" t="str">
        <f t="shared" si="163"/>
        <v>#</v>
      </c>
      <c r="P263" s="7" t="str">
        <f t="shared" si="164"/>
        <v>#</v>
      </c>
      <c r="Q263" s="7" t="str">
        <f t="shared" si="165"/>
        <v>#</v>
      </c>
      <c r="R263" s="17" t="str">
        <f t="shared" si="166"/>
        <v>#</v>
      </c>
      <c r="S263" s="8" t="str">
        <f t="shared" si="167"/>
        <v>#</v>
      </c>
      <c r="T263" s="2" t="str">
        <f t="shared" si="168"/>
        <v/>
      </c>
      <c r="U263" s="2" t="str">
        <f t="shared" si="169"/>
        <v/>
      </c>
      <c r="V263" t="str">
        <f t="shared" si="186"/>
        <v/>
      </c>
      <c r="X263">
        <f t="shared" si="189"/>
        <v>0</v>
      </c>
      <c r="Y263">
        <f t="shared" si="190"/>
        <v>0</v>
      </c>
      <c r="Z263">
        <f t="shared" si="191"/>
        <v>0</v>
      </c>
      <c r="AA263">
        <f t="shared" si="192"/>
        <v>0</v>
      </c>
      <c r="AB263">
        <f t="shared" si="193"/>
        <v>0</v>
      </c>
      <c r="AC263">
        <f t="shared" si="194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8"/>
        <v>_x001A_</v>
      </c>
      <c r="M264">
        <v>7</v>
      </c>
      <c r="N264" s="23" t="str">
        <f t="shared" si="162"/>
        <v>#</v>
      </c>
      <c r="O264" s="7" t="str">
        <f t="shared" si="163"/>
        <v>#</v>
      </c>
      <c r="P264" s="7" t="str">
        <f t="shared" si="164"/>
        <v>#</v>
      </c>
      <c r="Q264" s="7" t="str">
        <f t="shared" si="165"/>
        <v>#</v>
      </c>
      <c r="R264" s="17" t="str">
        <f t="shared" si="166"/>
        <v>#</v>
      </c>
      <c r="S264" s="8" t="str">
        <f t="shared" si="167"/>
        <v>#</v>
      </c>
      <c r="T264" s="2" t="str">
        <f t="shared" si="168"/>
        <v/>
      </c>
      <c r="U264" s="2" t="str">
        <f t="shared" si="169"/>
        <v/>
      </c>
      <c r="V264" t="str">
        <f t="shared" si="186"/>
        <v/>
      </c>
      <c r="X264">
        <f t="shared" si="189"/>
        <v>0</v>
      </c>
      <c r="Y264">
        <f t="shared" si="190"/>
        <v>0</v>
      </c>
      <c r="Z264">
        <f t="shared" si="191"/>
        <v>0</v>
      </c>
      <c r="AA264">
        <f t="shared" si="192"/>
        <v>0</v>
      </c>
      <c r="AB264">
        <f t="shared" si="193"/>
        <v>0</v>
      </c>
      <c r="AC264">
        <f t="shared" si="194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8"/>
        <v>_x001A_</v>
      </c>
      <c r="M265">
        <v>8</v>
      </c>
      <c r="N265" s="23" t="str">
        <f t="shared" si="162"/>
        <v>#</v>
      </c>
      <c r="O265" s="7" t="str">
        <f t="shared" si="163"/>
        <v>#</v>
      </c>
      <c r="P265" s="7" t="str">
        <f t="shared" si="164"/>
        <v>#</v>
      </c>
      <c r="Q265" s="7" t="str">
        <f t="shared" si="165"/>
        <v>#</v>
      </c>
      <c r="R265" s="17" t="str">
        <f t="shared" si="166"/>
        <v>#</v>
      </c>
      <c r="S265" s="8" t="str">
        <f t="shared" si="167"/>
        <v>#</v>
      </c>
      <c r="T265" s="2" t="str">
        <f t="shared" si="168"/>
        <v/>
      </c>
      <c r="U265" s="2" t="str">
        <f t="shared" si="169"/>
        <v/>
      </c>
      <c r="V265" t="str">
        <f t="shared" si="186"/>
        <v/>
      </c>
      <c r="X265">
        <f t="shared" si="189"/>
        <v>0</v>
      </c>
      <c r="Y265">
        <f t="shared" si="190"/>
        <v>0</v>
      </c>
      <c r="Z265">
        <f t="shared" si="191"/>
        <v>0</v>
      </c>
      <c r="AA265">
        <f t="shared" si="192"/>
        <v>0</v>
      </c>
      <c r="AB265">
        <f t="shared" si="193"/>
        <v>0</v>
      </c>
      <c r="AC265">
        <f t="shared" si="194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8"/>
        <v>_x001A_</v>
      </c>
      <c r="M266">
        <v>9</v>
      </c>
      <c r="N266" s="23" t="str">
        <f t="shared" si="162"/>
        <v>#</v>
      </c>
      <c r="O266" s="7" t="str">
        <f t="shared" si="163"/>
        <v>#</v>
      </c>
      <c r="P266" s="7" t="str">
        <f t="shared" si="164"/>
        <v>#</v>
      </c>
      <c r="Q266" s="7" t="str">
        <f t="shared" si="165"/>
        <v>#</v>
      </c>
      <c r="R266" s="17" t="str">
        <f t="shared" si="166"/>
        <v>#</v>
      </c>
      <c r="S266" s="8" t="str">
        <f t="shared" si="167"/>
        <v>#</v>
      </c>
      <c r="T266" s="2" t="str">
        <f t="shared" si="168"/>
        <v/>
      </c>
      <c r="U266" s="2" t="str">
        <f t="shared" si="169"/>
        <v/>
      </c>
      <c r="V266" t="str">
        <f t="shared" si="186"/>
        <v/>
      </c>
      <c r="X266">
        <f t="shared" si="189"/>
        <v>0</v>
      </c>
      <c r="Y266">
        <f t="shared" si="190"/>
        <v>0</v>
      </c>
      <c r="Z266">
        <f t="shared" si="191"/>
        <v>0</v>
      </c>
      <c r="AA266">
        <f t="shared" si="192"/>
        <v>0</v>
      </c>
      <c r="AB266">
        <f t="shared" si="193"/>
        <v>0</v>
      </c>
      <c r="AC266">
        <f t="shared" si="194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8"/>
        <v>_x001A_</v>
      </c>
      <c r="M267">
        <v>10</v>
      </c>
      <c r="N267" s="23" t="str">
        <f t="shared" si="162"/>
        <v>#</v>
      </c>
      <c r="O267" s="7" t="str">
        <f t="shared" si="163"/>
        <v>#</v>
      </c>
      <c r="P267" s="7" t="str">
        <f t="shared" si="164"/>
        <v>#</v>
      </c>
      <c r="Q267" s="7" t="str">
        <f t="shared" si="165"/>
        <v>#</v>
      </c>
      <c r="R267" s="17" t="str">
        <f t="shared" si="166"/>
        <v>#</v>
      </c>
      <c r="S267" s="8" t="str">
        <f t="shared" si="167"/>
        <v>#</v>
      </c>
      <c r="T267" s="2" t="str">
        <f t="shared" si="168"/>
        <v/>
      </c>
      <c r="U267" s="2" t="str">
        <f t="shared" si="169"/>
        <v/>
      </c>
      <c r="V267" t="str">
        <f t="shared" si="186"/>
        <v/>
      </c>
      <c r="X267">
        <f t="shared" si="189"/>
        <v>0</v>
      </c>
      <c r="Y267">
        <f t="shared" si="190"/>
        <v>0</v>
      </c>
      <c r="Z267">
        <f t="shared" si="191"/>
        <v>0</v>
      </c>
      <c r="AA267">
        <f t="shared" si="192"/>
        <v>0</v>
      </c>
      <c r="AB267">
        <f t="shared" si="193"/>
        <v>0</v>
      </c>
      <c r="AC267">
        <f t="shared" si="194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8"/>
        <v>_x001A_</v>
      </c>
      <c r="M268">
        <v>11</v>
      </c>
      <c r="N268" s="23" t="str">
        <f t="shared" si="162"/>
        <v>#</v>
      </c>
      <c r="O268" s="7" t="str">
        <f t="shared" si="163"/>
        <v>#</v>
      </c>
      <c r="P268" s="7" t="str">
        <f t="shared" si="164"/>
        <v>#</v>
      </c>
      <c r="Q268" s="7" t="str">
        <f t="shared" si="165"/>
        <v>#</v>
      </c>
      <c r="R268" s="17" t="str">
        <f t="shared" si="166"/>
        <v>#</v>
      </c>
      <c r="S268" s="8" t="str">
        <f t="shared" si="167"/>
        <v>#</v>
      </c>
      <c r="T268" s="2" t="str">
        <f t="shared" si="168"/>
        <v/>
      </c>
      <c r="U268" s="2" t="str">
        <f t="shared" si="169"/>
        <v/>
      </c>
      <c r="V268" t="str">
        <f t="shared" si="186"/>
        <v/>
      </c>
      <c r="X268">
        <f t="shared" si="189"/>
        <v>0</v>
      </c>
      <c r="Y268">
        <f t="shared" si="190"/>
        <v>0</v>
      </c>
      <c r="Z268">
        <f t="shared" si="191"/>
        <v>0</v>
      </c>
      <c r="AA268">
        <f t="shared" si="192"/>
        <v>0</v>
      </c>
      <c r="AB268">
        <f t="shared" si="193"/>
        <v>0</v>
      </c>
      <c r="AC268">
        <f t="shared" si="194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8"/>
        <v>_x001A_</v>
      </c>
      <c r="M269">
        <v>12</v>
      </c>
      <c r="N269" s="23" t="str">
        <f t="shared" si="162"/>
        <v>#</v>
      </c>
      <c r="O269" s="7" t="str">
        <f t="shared" si="163"/>
        <v>#</v>
      </c>
      <c r="P269" s="7" t="str">
        <f t="shared" si="164"/>
        <v>#</v>
      </c>
      <c r="Q269" s="7" t="str">
        <f t="shared" si="165"/>
        <v>#</v>
      </c>
      <c r="R269" s="17" t="str">
        <f t="shared" si="166"/>
        <v>#</v>
      </c>
      <c r="S269" s="8" t="str">
        <f t="shared" si="167"/>
        <v>#</v>
      </c>
      <c r="T269" s="2" t="str">
        <f t="shared" si="168"/>
        <v/>
      </c>
      <c r="U269" s="2" t="str">
        <f t="shared" si="169"/>
        <v/>
      </c>
      <c r="V269" t="str">
        <f t="shared" si="186"/>
        <v/>
      </c>
      <c r="X269">
        <f t="shared" si="189"/>
        <v>0</v>
      </c>
      <c r="Y269">
        <f t="shared" si="190"/>
        <v>0</v>
      </c>
      <c r="Z269">
        <f t="shared" si="191"/>
        <v>0</v>
      </c>
      <c r="AA269">
        <f t="shared" si="192"/>
        <v>0</v>
      </c>
      <c r="AB269">
        <f t="shared" si="193"/>
        <v>0</v>
      </c>
      <c r="AC269">
        <f t="shared" si="194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8"/>
        <v>_x001A_</v>
      </c>
      <c r="M270">
        <v>13</v>
      </c>
      <c r="N270" s="6" t="str">
        <f t="shared" si="162"/>
        <v>#</v>
      </c>
      <c r="O270" s="7" t="str">
        <f t="shared" si="163"/>
        <v>#</v>
      </c>
      <c r="P270" s="7" t="str">
        <f t="shared" si="164"/>
        <v>#</v>
      </c>
      <c r="Q270" s="7" t="str">
        <f t="shared" si="165"/>
        <v>#</v>
      </c>
      <c r="R270" s="17" t="str">
        <f t="shared" si="166"/>
        <v>#</v>
      </c>
      <c r="S270" s="8" t="str">
        <f t="shared" si="167"/>
        <v>#</v>
      </c>
      <c r="T270" s="2" t="str">
        <f t="shared" si="168"/>
        <v/>
      </c>
      <c r="U270" s="2" t="str">
        <f t="shared" si="169"/>
        <v/>
      </c>
      <c r="V270" t="str">
        <f t="shared" si="186"/>
        <v/>
      </c>
      <c r="X270">
        <f t="shared" si="189"/>
        <v>0</v>
      </c>
      <c r="Y270">
        <f t="shared" si="190"/>
        <v>0</v>
      </c>
      <c r="Z270">
        <f t="shared" si="191"/>
        <v>0</v>
      </c>
      <c r="AA270">
        <f t="shared" si="192"/>
        <v>0</v>
      </c>
      <c r="AB270">
        <f t="shared" si="193"/>
        <v>0</v>
      </c>
      <c r="AC270">
        <f t="shared" si="194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8"/>
        <v>_x001A_</v>
      </c>
      <c r="M271">
        <v>14</v>
      </c>
      <c r="N271" s="18" t="str">
        <f t="shared" si="162"/>
        <v>#</v>
      </c>
      <c r="O271" s="19" t="str">
        <f t="shared" si="163"/>
        <v>#</v>
      </c>
      <c r="P271" s="19" t="str">
        <f t="shared" si="164"/>
        <v>#</v>
      </c>
      <c r="Q271" s="19" t="str">
        <f t="shared" si="165"/>
        <v>#</v>
      </c>
      <c r="R271" s="20" t="str">
        <f t="shared" si="166"/>
        <v>#</v>
      </c>
      <c r="S271" s="8" t="str">
        <f t="shared" si="167"/>
        <v>#</v>
      </c>
      <c r="T271" s="2" t="str">
        <f t="shared" si="168"/>
        <v/>
      </c>
      <c r="U271" s="2" t="str">
        <f t="shared" si="169"/>
        <v/>
      </c>
      <c r="V271" t="str">
        <f t="shared" si="186"/>
        <v/>
      </c>
      <c r="X271">
        <f t="shared" si="189"/>
        <v>0</v>
      </c>
      <c r="Y271">
        <f t="shared" si="190"/>
        <v>0</v>
      </c>
      <c r="Z271">
        <f t="shared" si="191"/>
        <v>0</v>
      </c>
      <c r="AA271">
        <f t="shared" si="192"/>
        <v>0</v>
      </c>
      <c r="AB271">
        <f t="shared" si="193"/>
        <v>0</v>
      </c>
      <c r="AC271">
        <f t="shared" si="194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8"/>
        <v>_x001A_</v>
      </c>
      <c r="M272">
        <v>15</v>
      </c>
      <c r="N272" s="9" t="str">
        <f t="shared" si="162"/>
        <v>#</v>
      </c>
      <c r="O272" s="10" t="str">
        <f t="shared" si="163"/>
        <v>#</v>
      </c>
      <c r="P272" s="10" t="str">
        <f t="shared" si="164"/>
        <v>#</v>
      </c>
      <c r="Q272" s="10" t="str">
        <f t="shared" si="165"/>
        <v>#</v>
      </c>
      <c r="R272" s="10" t="str">
        <f t="shared" si="166"/>
        <v>#</v>
      </c>
      <c r="S272" s="11" t="str">
        <f t="shared" si="167"/>
        <v>#</v>
      </c>
      <c r="T272" s="2" t="str">
        <f t="shared" si="168"/>
        <v/>
      </c>
      <c r="U272" s="2" t="str">
        <f t="shared" si="169"/>
        <v/>
      </c>
      <c r="V272" t="str">
        <f t="shared" si="186"/>
        <v/>
      </c>
      <c r="X272">
        <f t="shared" si="189"/>
        <v>0</v>
      </c>
      <c r="Y272">
        <f t="shared" si="190"/>
        <v>0</v>
      </c>
      <c r="Z272">
        <f t="shared" si="191"/>
        <v>0</v>
      </c>
      <c r="AA272">
        <f t="shared" si="192"/>
        <v>0</v>
      </c>
      <c r="AB272">
        <f t="shared" si="193"/>
        <v>0</v>
      </c>
      <c r="AC272">
        <f t="shared" si="194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8"/>
        <v>_x001A_</v>
      </c>
      <c r="M273">
        <v>16</v>
      </c>
      <c r="N273" s="12" t="str">
        <f t="shared" si="162"/>
        <v>#</v>
      </c>
      <c r="O273" s="13" t="str">
        <f t="shared" si="163"/>
        <v>#</v>
      </c>
      <c r="P273" s="13" t="str">
        <f t="shared" si="164"/>
        <v>#</v>
      </c>
      <c r="Q273" s="13" t="str">
        <f t="shared" si="165"/>
        <v>#</v>
      </c>
      <c r="R273" s="13" t="str">
        <f t="shared" si="166"/>
        <v>#</v>
      </c>
      <c r="S273" s="14" t="str">
        <f t="shared" si="167"/>
        <v>#</v>
      </c>
      <c r="T273" s="2" t="str">
        <f t="shared" si="168"/>
        <v/>
      </c>
      <c r="U273" s="2" t="str">
        <f t="shared" si="169"/>
        <v/>
      </c>
      <c r="V273" t="str">
        <f t="shared" si="186"/>
        <v/>
      </c>
      <c r="X273">
        <f t="shared" si="189"/>
        <v>0</v>
      </c>
      <c r="Y273">
        <f t="shared" si="190"/>
        <v>0</v>
      </c>
      <c r="Z273">
        <f t="shared" si="191"/>
        <v>0</v>
      </c>
      <c r="AA273">
        <f t="shared" si="192"/>
        <v>0</v>
      </c>
      <c r="AB273">
        <f t="shared" si="193"/>
        <v>0</v>
      </c>
      <c r="AC273">
        <f t="shared" si="194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62"/>
        <v/>
      </c>
      <c r="O274" t="str">
        <f t="shared" si="163"/>
        <v/>
      </c>
      <c r="P274" t="str">
        <f t="shared" si="164"/>
        <v/>
      </c>
      <c r="Q274" t="str">
        <f t="shared" si="165"/>
        <v/>
      </c>
      <c r="R274" t="str">
        <f t="shared" si="166"/>
        <v/>
      </c>
      <c r="S274" t="str">
        <f t="shared" si="167"/>
        <v/>
      </c>
      <c r="T274" s="2" t="str">
        <f t="shared" si="168"/>
        <v/>
      </c>
      <c r="U274" s="2" t="str">
        <f t="shared" si="169"/>
        <v/>
      </c>
      <c r="V274" t="str">
        <f t="shared" si="186"/>
        <v/>
      </c>
      <c r="W274">
        <f>SUM(B276:G289)</f>
        <v>70</v>
      </c>
      <c r="AD274">
        <f t="shared" ref="AD274" si="195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6">L274</f>
        <v>_x001B_</v>
      </c>
      <c r="M275">
        <v>2</v>
      </c>
      <c r="N275" t="str">
        <f t="shared" si="162"/>
        <v/>
      </c>
      <c r="O275" t="str">
        <f t="shared" si="163"/>
        <v/>
      </c>
      <c r="P275" t="str">
        <f t="shared" si="164"/>
        <v/>
      </c>
      <c r="Q275" t="str">
        <f t="shared" si="165"/>
        <v/>
      </c>
      <c r="R275" t="str">
        <f t="shared" si="166"/>
        <v/>
      </c>
      <c r="S275" t="str">
        <f t="shared" si="167"/>
        <v/>
      </c>
      <c r="T275" s="2" t="str">
        <f t="shared" si="168"/>
        <v/>
      </c>
      <c r="U275" s="2" t="str">
        <f t="shared" si="169"/>
        <v/>
      </c>
      <c r="V275" t="str">
        <f t="shared" si="186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6"/>
        <v>_x001B_</v>
      </c>
      <c r="M276">
        <v>3</v>
      </c>
      <c r="N276" s="3" t="str">
        <f t="shared" si="162"/>
        <v>#</v>
      </c>
      <c r="O276" s="4" t="str">
        <f t="shared" si="163"/>
        <v>#</v>
      </c>
      <c r="P276" s="4" t="str">
        <f t="shared" si="164"/>
        <v>#</v>
      </c>
      <c r="Q276" s="4" t="str">
        <f t="shared" si="165"/>
        <v>#</v>
      </c>
      <c r="R276" s="4" t="str">
        <f t="shared" si="166"/>
        <v>#</v>
      </c>
      <c r="S276" s="5" t="str">
        <f t="shared" si="167"/>
        <v/>
      </c>
      <c r="T276" s="2" t="str">
        <f t="shared" si="168"/>
        <v/>
      </c>
      <c r="U276" s="2" t="str">
        <f t="shared" si="169"/>
        <v/>
      </c>
      <c r="V276" t="str">
        <f t="shared" si="186"/>
        <v/>
      </c>
      <c r="X276">
        <f t="shared" ref="X276:X289" si="197">MAX(B276-B275,0)</f>
        <v>1</v>
      </c>
      <c r="Y276">
        <f t="shared" ref="Y276:Y289" si="198">MAX(C276-C275,0)</f>
        <v>1</v>
      </c>
      <c r="Z276">
        <f t="shared" ref="Z276:Z289" si="199">MAX(D276-D275,0)</f>
        <v>1</v>
      </c>
      <c r="AA276">
        <f t="shared" ref="AA276:AA289" si="200">MAX(E276-E275,0)</f>
        <v>1</v>
      </c>
      <c r="AB276">
        <f t="shared" ref="AB276:AB289" si="201">MAX(F276-F275,0)</f>
        <v>1</v>
      </c>
      <c r="AC276">
        <f t="shared" ref="AC276:AC289" si="202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6"/>
        <v>_x001B_</v>
      </c>
      <c r="M277">
        <v>4</v>
      </c>
      <c r="N277" s="6" t="str">
        <f t="shared" si="162"/>
        <v>#</v>
      </c>
      <c r="O277" s="7" t="str">
        <f t="shared" si="163"/>
        <v>#</v>
      </c>
      <c r="P277" s="7" t="str">
        <f t="shared" si="164"/>
        <v>#</v>
      </c>
      <c r="Q277" s="7" t="str">
        <f t="shared" si="165"/>
        <v>#</v>
      </c>
      <c r="R277" s="7" t="str">
        <f t="shared" si="166"/>
        <v>#</v>
      </c>
      <c r="S277" s="8" t="str">
        <f t="shared" si="167"/>
        <v/>
      </c>
      <c r="T277" s="2" t="str">
        <f t="shared" si="168"/>
        <v/>
      </c>
      <c r="U277" s="2" t="str">
        <f t="shared" si="169"/>
        <v/>
      </c>
      <c r="V277" t="str">
        <f t="shared" si="186"/>
        <v/>
      </c>
      <c r="X277">
        <f t="shared" si="197"/>
        <v>0</v>
      </c>
      <c r="Y277">
        <f t="shared" si="198"/>
        <v>0</v>
      </c>
      <c r="Z277">
        <f t="shared" si="199"/>
        <v>0</v>
      </c>
      <c r="AA277">
        <f t="shared" si="200"/>
        <v>0</v>
      </c>
      <c r="AB277">
        <f t="shared" si="201"/>
        <v>0</v>
      </c>
      <c r="AC277">
        <f t="shared" si="202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6"/>
        <v>_x001B_</v>
      </c>
      <c r="M278">
        <v>5</v>
      </c>
      <c r="N278" s="22" t="str">
        <f t="shared" si="162"/>
        <v>#</v>
      </c>
      <c r="O278" s="15" t="str">
        <f t="shared" si="163"/>
        <v>#</v>
      </c>
      <c r="P278" s="15" t="str">
        <f t="shared" si="164"/>
        <v>#</v>
      </c>
      <c r="Q278" s="15" t="str">
        <f t="shared" si="165"/>
        <v>#</v>
      </c>
      <c r="R278" s="16" t="str">
        <f t="shared" si="166"/>
        <v>#</v>
      </c>
      <c r="S278" s="8" t="str">
        <f t="shared" si="167"/>
        <v/>
      </c>
      <c r="T278" s="2" t="str">
        <f t="shared" si="168"/>
        <v/>
      </c>
      <c r="U278" s="2" t="str">
        <f t="shared" si="169"/>
        <v/>
      </c>
      <c r="V278" t="str">
        <f t="shared" si="186"/>
        <v/>
      </c>
      <c r="X278">
        <f t="shared" si="197"/>
        <v>0</v>
      </c>
      <c r="Y278">
        <f t="shared" si="198"/>
        <v>0</v>
      </c>
      <c r="Z278">
        <f t="shared" si="199"/>
        <v>0</v>
      </c>
      <c r="AA278">
        <f t="shared" si="200"/>
        <v>0</v>
      </c>
      <c r="AB278">
        <f t="shared" si="201"/>
        <v>0</v>
      </c>
      <c r="AC278">
        <f t="shared" si="202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6"/>
        <v>_x001B_</v>
      </c>
      <c r="M279">
        <v>6</v>
      </c>
      <c r="N279" s="23" t="str">
        <f t="shared" si="162"/>
        <v>#</v>
      </c>
      <c r="O279" s="7" t="str">
        <f t="shared" si="163"/>
        <v>#</v>
      </c>
      <c r="P279" s="7" t="str">
        <f t="shared" si="164"/>
        <v>#</v>
      </c>
      <c r="Q279" s="7" t="str">
        <f t="shared" si="165"/>
        <v>#</v>
      </c>
      <c r="R279" s="17" t="str">
        <f t="shared" si="166"/>
        <v>#</v>
      </c>
      <c r="S279" s="8" t="str">
        <f t="shared" si="167"/>
        <v/>
      </c>
      <c r="T279" s="2" t="str">
        <f t="shared" si="168"/>
        <v/>
      </c>
      <c r="U279" s="2" t="str">
        <f t="shared" si="169"/>
        <v/>
      </c>
      <c r="V279" t="str">
        <f t="shared" si="186"/>
        <v/>
      </c>
      <c r="X279">
        <f t="shared" si="197"/>
        <v>0</v>
      </c>
      <c r="Y279">
        <f t="shared" si="198"/>
        <v>0</v>
      </c>
      <c r="Z279">
        <f t="shared" si="199"/>
        <v>0</v>
      </c>
      <c r="AA279">
        <f t="shared" si="200"/>
        <v>0</v>
      </c>
      <c r="AB279">
        <f t="shared" si="201"/>
        <v>0</v>
      </c>
      <c r="AC279">
        <f t="shared" si="202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6"/>
        <v>_x001B_</v>
      </c>
      <c r="M280">
        <v>7</v>
      </c>
      <c r="N280" s="23" t="str">
        <f t="shared" si="162"/>
        <v>#</v>
      </c>
      <c r="O280" s="7" t="str">
        <f t="shared" si="163"/>
        <v>#</v>
      </c>
      <c r="P280" s="7" t="str">
        <f t="shared" si="164"/>
        <v>#</v>
      </c>
      <c r="Q280" s="7" t="str">
        <f t="shared" si="165"/>
        <v>#</v>
      </c>
      <c r="R280" s="17" t="str">
        <f t="shared" si="166"/>
        <v>#</v>
      </c>
      <c r="S280" s="8" t="str">
        <f t="shared" si="167"/>
        <v/>
      </c>
      <c r="T280" s="2" t="str">
        <f t="shared" si="168"/>
        <v/>
      </c>
      <c r="U280" s="2" t="str">
        <f t="shared" si="169"/>
        <v/>
      </c>
      <c r="V280" t="str">
        <f t="shared" si="186"/>
        <v/>
      </c>
      <c r="X280">
        <f t="shared" si="197"/>
        <v>0</v>
      </c>
      <c r="Y280">
        <f t="shared" si="198"/>
        <v>0</v>
      </c>
      <c r="Z280">
        <f t="shared" si="199"/>
        <v>0</v>
      </c>
      <c r="AA280">
        <f t="shared" si="200"/>
        <v>0</v>
      </c>
      <c r="AB280">
        <f t="shared" si="201"/>
        <v>0</v>
      </c>
      <c r="AC280">
        <f t="shared" si="202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6"/>
        <v>_x001B_</v>
      </c>
      <c r="M281">
        <v>8</v>
      </c>
      <c r="N281" s="23" t="str">
        <f t="shared" si="162"/>
        <v>#</v>
      </c>
      <c r="O281" s="7" t="str">
        <f t="shared" si="163"/>
        <v>#</v>
      </c>
      <c r="P281" s="7" t="str">
        <f t="shared" si="164"/>
        <v>#</v>
      </c>
      <c r="Q281" s="7" t="str">
        <f t="shared" si="165"/>
        <v>#</v>
      </c>
      <c r="R281" s="17" t="str">
        <f t="shared" si="166"/>
        <v>#</v>
      </c>
      <c r="S281" s="8" t="str">
        <f t="shared" si="167"/>
        <v/>
      </c>
      <c r="T281" s="2" t="str">
        <f t="shared" si="168"/>
        <v/>
      </c>
      <c r="U281" s="2" t="str">
        <f t="shared" si="169"/>
        <v/>
      </c>
      <c r="V281" t="str">
        <f t="shared" si="186"/>
        <v/>
      </c>
      <c r="X281">
        <f t="shared" si="197"/>
        <v>0</v>
      </c>
      <c r="Y281">
        <f t="shared" si="198"/>
        <v>0</v>
      </c>
      <c r="Z281">
        <f t="shared" si="199"/>
        <v>0</v>
      </c>
      <c r="AA281">
        <f t="shared" si="200"/>
        <v>0</v>
      </c>
      <c r="AB281">
        <f t="shared" si="201"/>
        <v>0</v>
      </c>
      <c r="AC281">
        <f t="shared" si="202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6"/>
        <v>_x001B_</v>
      </c>
      <c r="M282">
        <v>9</v>
      </c>
      <c r="N282" s="23" t="str">
        <f t="shared" si="162"/>
        <v>#</v>
      </c>
      <c r="O282" s="7" t="str">
        <f t="shared" si="163"/>
        <v>#</v>
      </c>
      <c r="P282" s="7" t="str">
        <f t="shared" si="164"/>
        <v>#</v>
      </c>
      <c r="Q282" s="7" t="str">
        <f t="shared" si="165"/>
        <v>#</v>
      </c>
      <c r="R282" s="17" t="str">
        <f t="shared" si="166"/>
        <v>#</v>
      </c>
      <c r="S282" s="8" t="str">
        <f t="shared" si="167"/>
        <v/>
      </c>
      <c r="T282" s="2" t="str">
        <f t="shared" si="168"/>
        <v/>
      </c>
      <c r="U282" s="2" t="str">
        <f t="shared" si="169"/>
        <v/>
      </c>
      <c r="V282" t="str">
        <f t="shared" si="186"/>
        <v/>
      </c>
      <c r="X282">
        <f t="shared" si="197"/>
        <v>0</v>
      </c>
      <c r="Y282">
        <f t="shared" si="198"/>
        <v>0</v>
      </c>
      <c r="Z282">
        <f t="shared" si="199"/>
        <v>0</v>
      </c>
      <c r="AA282">
        <f t="shared" si="200"/>
        <v>0</v>
      </c>
      <c r="AB282">
        <f t="shared" si="201"/>
        <v>0</v>
      </c>
      <c r="AC282">
        <f t="shared" si="202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6"/>
        <v>_x001B_</v>
      </c>
      <c r="M283">
        <v>10</v>
      </c>
      <c r="N283" s="23" t="str">
        <f t="shared" si="162"/>
        <v>#</v>
      </c>
      <c r="O283" s="7" t="str">
        <f t="shared" si="163"/>
        <v>#</v>
      </c>
      <c r="P283" s="7" t="str">
        <f t="shared" si="164"/>
        <v>#</v>
      </c>
      <c r="Q283" s="7" t="str">
        <f t="shared" si="165"/>
        <v>#</v>
      </c>
      <c r="R283" s="17" t="str">
        <f t="shared" si="166"/>
        <v>#</v>
      </c>
      <c r="S283" s="8" t="str">
        <f t="shared" si="167"/>
        <v/>
      </c>
      <c r="T283" s="2" t="str">
        <f t="shared" si="168"/>
        <v/>
      </c>
      <c r="U283" s="2" t="str">
        <f t="shared" si="169"/>
        <v/>
      </c>
      <c r="V283" t="str">
        <f t="shared" si="186"/>
        <v/>
      </c>
      <c r="X283">
        <f t="shared" si="197"/>
        <v>0</v>
      </c>
      <c r="Y283">
        <f t="shared" si="198"/>
        <v>0</v>
      </c>
      <c r="Z283">
        <f t="shared" si="199"/>
        <v>0</v>
      </c>
      <c r="AA283">
        <f t="shared" si="200"/>
        <v>0</v>
      </c>
      <c r="AB283">
        <f t="shared" si="201"/>
        <v>0</v>
      </c>
      <c r="AC283">
        <f t="shared" si="202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6"/>
        <v>_x001B_</v>
      </c>
      <c r="M284">
        <v>11</v>
      </c>
      <c r="N284" s="23" t="str">
        <f t="shared" si="162"/>
        <v>#</v>
      </c>
      <c r="O284" s="7" t="str">
        <f t="shared" si="163"/>
        <v>#</v>
      </c>
      <c r="P284" s="7" t="str">
        <f t="shared" si="164"/>
        <v>#</v>
      </c>
      <c r="Q284" s="7" t="str">
        <f t="shared" si="165"/>
        <v>#</v>
      </c>
      <c r="R284" s="17" t="str">
        <f t="shared" si="166"/>
        <v>#</v>
      </c>
      <c r="S284" s="8" t="str">
        <f t="shared" si="167"/>
        <v/>
      </c>
      <c r="T284" s="2" t="str">
        <f t="shared" si="168"/>
        <v/>
      </c>
      <c r="U284" s="2" t="str">
        <f t="shared" si="169"/>
        <v/>
      </c>
      <c r="V284" t="str">
        <f t="shared" si="186"/>
        <v/>
      </c>
      <c r="X284">
        <f t="shared" si="197"/>
        <v>0</v>
      </c>
      <c r="Y284">
        <f t="shared" si="198"/>
        <v>0</v>
      </c>
      <c r="Z284">
        <f t="shared" si="199"/>
        <v>0</v>
      </c>
      <c r="AA284">
        <f t="shared" si="200"/>
        <v>0</v>
      </c>
      <c r="AB284">
        <f t="shared" si="201"/>
        <v>0</v>
      </c>
      <c r="AC284">
        <f t="shared" si="202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6"/>
        <v>_x001B_</v>
      </c>
      <c r="M285">
        <v>12</v>
      </c>
      <c r="N285" s="23" t="str">
        <f t="shared" si="162"/>
        <v>#</v>
      </c>
      <c r="O285" s="7" t="str">
        <f t="shared" si="163"/>
        <v>#</v>
      </c>
      <c r="P285" s="7" t="str">
        <f t="shared" si="164"/>
        <v>#</v>
      </c>
      <c r="Q285" s="7" t="str">
        <f t="shared" si="165"/>
        <v>#</v>
      </c>
      <c r="R285" s="17" t="str">
        <f t="shared" si="166"/>
        <v>#</v>
      </c>
      <c r="S285" s="8" t="str">
        <f t="shared" si="167"/>
        <v/>
      </c>
      <c r="T285" s="2" t="str">
        <f t="shared" si="168"/>
        <v/>
      </c>
      <c r="U285" s="2" t="str">
        <f t="shared" si="169"/>
        <v/>
      </c>
      <c r="V285" t="str">
        <f t="shared" si="186"/>
        <v/>
      </c>
      <c r="X285">
        <f t="shared" si="197"/>
        <v>0</v>
      </c>
      <c r="Y285">
        <f t="shared" si="198"/>
        <v>0</v>
      </c>
      <c r="Z285">
        <f t="shared" si="199"/>
        <v>0</v>
      </c>
      <c r="AA285">
        <f t="shared" si="200"/>
        <v>0</v>
      </c>
      <c r="AB285">
        <f t="shared" si="201"/>
        <v>0</v>
      </c>
      <c r="AC285">
        <f t="shared" si="202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6"/>
        <v>_x001B_</v>
      </c>
      <c r="M286">
        <v>13</v>
      </c>
      <c r="N286" s="6" t="str">
        <f t="shared" si="162"/>
        <v>#</v>
      </c>
      <c r="O286" s="7" t="str">
        <f t="shared" si="163"/>
        <v>#</v>
      </c>
      <c r="P286" s="7" t="str">
        <f t="shared" si="164"/>
        <v>#</v>
      </c>
      <c r="Q286" s="7" t="str">
        <f t="shared" si="165"/>
        <v>#</v>
      </c>
      <c r="R286" s="17" t="str">
        <f t="shared" si="166"/>
        <v>#</v>
      </c>
      <c r="S286" s="8" t="str">
        <f t="shared" si="167"/>
        <v/>
      </c>
      <c r="T286" s="2" t="str">
        <f t="shared" si="168"/>
        <v/>
      </c>
      <c r="U286" s="2" t="str">
        <f t="shared" si="169"/>
        <v/>
      </c>
      <c r="V286" t="str">
        <f t="shared" si="186"/>
        <v/>
      </c>
      <c r="X286">
        <f t="shared" si="197"/>
        <v>0</v>
      </c>
      <c r="Y286">
        <f t="shared" si="198"/>
        <v>0</v>
      </c>
      <c r="Z286">
        <f t="shared" si="199"/>
        <v>0</v>
      </c>
      <c r="AA286">
        <f t="shared" si="200"/>
        <v>0</v>
      </c>
      <c r="AB286">
        <f t="shared" si="201"/>
        <v>0</v>
      </c>
      <c r="AC286">
        <f t="shared" si="202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6"/>
        <v>_x001B_</v>
      </c>
      <c r="M287">
        <v>14</v>
      </c>
      <c r="N287" s="18" t="str">
        <f t="shared" si="162"/>
        <v>#</v>
      </c>
      <c r="O287" s="19" t="str">
        <f t="shared" si="163"/>
        <v>#</v>
      </c>
      <c r="P287" s="19" t="str">
        <f t="shared" si="164"/>
        <v>#</v>
      </c>
      <c r="Q287" s="19" t="str">
        <f t="shared" si="165"/>
        <v>#</v>
      </c>
      <c r="R287" s="20" t="str">
        <f t="shared" si="166"/>
        <v>#</v>
      </c>
      <c r="S287" s="8" t="str">
        <f t="shared" si="167"/>
        <v/>
      </c>
      <c r="T287" s="2" t="str">
        <f t="shared" si="168"/>
        <v/>
      </c>
      <c r="U287" s="2" t="str">
        <f t="shared" si="169"/>
        <v/>
      </c>
      <c r="V287" t="str">
        <f t="shared" si="186"/>
        <v/>
      </c>
      <c r="X287">
        <f t="shared" si="197"/>
        <v>0</v>
      </c>
      <c r="Y287">
        <f t="shared" si="198"/>
        <v>0</v>
      </c>
      <c r="Z287">
        <f t="shared" si="199"/>
        <v>0</v>
      </c>
      <c r="AA287">
        <f t="shared" si="200"/>
        <v>0</v>
      </c>
      <c r="AB287">
        <f t="shared" si="201"/>
        <v>0</v>
      </c>
      <c r="AC287">
        <f t="shared" si="202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6"/>
        <v>_x001B_</v>
      </c>
      <c r="M288">
        <v>15</v>
      </c>
      <c r="N288" s="9" t="str">
        <f t="shared" si="162"/>
        <v>#</v>
      </c>
      <c r="O288" s="10" t="str">
        <f t="shared" si="163"/>
        <v>#</v>
      </c>
      <c r="P288" s="10" t="str">
        <f t="shared" si="164"/>
        <v>#</v>
      </c>
      <c r="Q288" s="10" t="str">
        <f t="shared" si="165"/>
        <v>#</v>
      </c>
      <c r="R288" s="10" t="str">
        <f t="shared" si="166"/>
        <v>#</v>
      </c>
      <c r="S288" s="11" t="str">
        <f t="shared" si="167"/>
        <v/>
      </c>
      <c r="T288" s="2" t="str">
        <f t="shared" si="168"/>
        <v/>
      </c>
      <c r="U288" s="2" t="str">
        <f t="shared" si="169"/>
        <v/>
      </c>
      <c r="V288" t="str">
        <f t="shared" si="186"/>
        <v/>
      </c>
      <c r="X288">
        <f t="shared" si="197"/>
        <v>0</v>
      </c>
      <c r="Y288">
        <f t="shared" si="198"/>
        <v>0</v>
      </c>
      <c r="Z288">
        <f t="shared" si="199"/>
        <v>0</v>
      </c>
      <c r="AA288">
        <f t="shared" si="200"/>
        <v>0</v>
      </c>
      <c r="AB288">
        <f t="shared" si="201"/>
        <v>0</v>
      </c>
      <c r="AC288">
        <f t="shared" si="202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6"/>
        <v>_x001B_</v>
      </c>
      <c r="M289">
        <v>16</v>
      </c>
      <c r="N289" s="12" t="str">
        <f t="shared" si="162"/>
        <v>#</v>
      </c>
      <c r="O289" s="13" t="str">
        <f t="shared" si="163"/>
        <v>#</v>
      </c>
      <c r="P289" s="13" t="str">
        <f t="shared" si="164"/>
        <v>#</v>
      </c>
      <c r="Q289" s="13" t="str">
        <f t="shared" si="165"/>
        <v>#</v>
      </c>
      <c r="R289" s="13" t="str">
        <f t="shared" si="166"/>
        <v>#</v>
      </c>
      <c r="S289" s="14" t="str">
        <f t="shared" si="167"/>
        <v/>
      </c>
      <c r="T289" s="2" t="str">
        <f t="shared" si="168"/>
        <v/>
      </c>
      <c r="U289" s="2" t="str">
        <f t="shared" si="169"/>
        <v/>
      </c>
      <c r="V289" t="str">
        <f t="shared" si="186"/>
        <v/>
      </c>
      <c r="X289">
        <f t="shared" si="197"/>
        <v>0</v>
      </c>
      <c r="Y289">
        <f t="shared" si="198"/>
        <v>0</v>
      </c>
      <c r="Z289">
        <f t="shared" si="199"/>
        <v>0</v>
      </c>
      <c r="AA289">
        <f t="shared" si="200"/>
        <v>0</v>
      </c>
      <c r="AB289">
        <f t="shared" si="201"/>
        <v>0</v>
      </c>
      <c r="AC289">
        <f t="shared" si="202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203">IF(B290&gt;0,"#","")</f>
        <v/>
      </c>
      <c r="O290" t="str">
        <f t="shared" ref="O290:O353" si="204">IF(C290&gt;0,"#","")</f>
        <v/>
      </c>
      <c r="P290" t="str">
        <f t="shared" ref="P290:P353" si="205">IF(D290&gt;0,"#","")</f>
        <v/>
      </c>
      <c r="Q290" t="str">
        <f t="shared" ref="Q290:Q353" si="206">IF(E290&gt;0,"#","")</f>
        <v/>
      </c>
      <c r="R290" t="str">
        <f t="shared" ref="R290:R353" si="207">IF(F290&gt;0,"#","")</f>
        <v/>
      </c>
      <c r="S290" t="str">
        <f t="shared" ref="S290:S353" si="208">IF(G290&gt;0,"#","")</f>
        <v/>
      </c>
      <c r="T290" s="2" t="str">
        <f t="shared" ref="T290:T353" si="209">IF(H290&gt;0,"#","")</f>
        <v/>
      </c>
      <c r="U290" s="2" t="str">
        <f t="shared" ref="U290:U353" si="210">IF(I290&gt;0,"#","")</f>
        <v/>
      </c>
      <c r="V290" t="str">
        <f t="shared" si="186"/>
        <v/>
      </c>
      <c r="W290">
        <f>SUM(B292:G305)</f>
        <v>56</v>
      </c>
      <c r="AD290">
        <f t="shared" ref="AD290" si="211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12">L290</f>
        <v>_x001C_</v>
      </c>
      <c r="M291">
        <v>2</v>
      </c>
      <c r="N291" t="str">
        <f t="shared" si="203"/>
        <v/>
      </c>
      <c r="O291" t="str">
        <f t="shared" si="204"/>
        <v/>
      </c>
      <c r="P291" t="str">
        <f t="shared" si="205"/>
        <v/>
      </c>
      <c r="Q291" t="str">
        <f t="shared" si="206"/>
        <v/>
      </c>
      <c r="R291" t="str">
        <f t="shared" si="207"/>
        <v/>
      </c>
      <c r="S291" t="str">
        <f t="shared" si="208"/>
        <v/>
      </c>
      <c r="T291" s="2" t="str">
        <f t="shared" si="209"/>
        <v/>
      </c>
      <c r="U291" s="2" t="str">
        <f t="shared" si="210"/>
        <v/>
      </c>
      <c r="V291" t="str">
        <f t="shared" si="186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12"/>
        <v>_x001C_</v>
      </c>
      <c r="M292">
        <v>3</v>
      </c>
      <c r="N292" s="3" t="str">
        <f t="shared" si="203"/>
        <v>#</v>
      </c>
      <c r="O292" s="4" t="str">
        <f t="shared" si="204"/>
        <v>#</v>
      </c>
      <c r="P292" s="4" t="str">
        <f t="shared" si="205"/>
        <v>#</v>
      </c>
      <c r="Q292" s="4" t="str">
        <f t="shared" si="206"/>
        <v>#</v>
      </c>
      <c r="R292" s="4" t="str">
        <f t="shared" si="207"/>
        <v/>
      </c>
      <c r="S292" s="5" t="str">
        <f t="shared" si="208"/>
        <v/>
      </c>
      <c r="T292" s="2" t="str">
        <f t="shared" si="209"/>
        <v/>
      </c>
      <c r="U292" s="2" t="str">
        <f t="shared" si="210"/>
        <v/>
      </c>
      <c r="V292" t="str">
        <f t="shared" si="186"/>
        <v/>
      </c>
      <c r="X292">
        <f t="shared" ref="X292:X305" si="213">MAX(B292-B291,0)</f>
        <v>1</v>
      </c>
      <c r="Y292">
        <f t="shared" ref="Y292:Y305" si="214">MAX(C292-C291,0)</f>
        <v>1</v>
      </c>
      <c r="Z292">
        <f t="shared" ref="Z292:Z305" si="215">MAX(D292-D291,0)</f>
        <v>1</v>
      </c>
      <c r="AA292">
        <f t="shared" ref="AA292:AA305" si="216">MAX(E292-E291,0)</f>
        <v>1</v>
      </c>
      <c r="AB292">
        <f t="shared" ref="AB292:AB305" si="217">MAX(F292-F291,0)</f>
        <v>0</v>
      </c>
      <c r="AC292">
        <f t="shared" ref="AC292:AC305" si="218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12"/>
        <v>_x001C_</v>
      </c>
      <c r="M293">
        <v>4</v>
      </c>
      <c r="N293" s="6" t="str">
        <f t="shared" si="203"/>
        <v>#</v>
      </c>
      <c r="O293" s="7" t="str">
        <f t="shared" si="204"/>
        <v>#</v>
      </c>
      <c r="P293" s="7" t="str">
        <f t="shared" si="205"/>
        <v>#</v>
      </c>
      <c r="Q293" s="7" t="str">
        <f t="shared" si="206"/>
        <v>#</v>
      </c>
      <c r="R293" s="7" t="str">
        <f t="shared" si="207"/>
        <v/>
      </c>
      <c r="S293" s="8" t="str">
        <f t="shared" si="208"/>
        <v/>
      </c>
      <c r="T293" s="2" t="str">
        <f t="shared" si="209"/>
        <v/>
      </c>
      <c r="U293" s="2" t="str">
        <f t="shared" si="210"/>
        <v/>
      </c>
      <c r="V293" t="str">
        <f t="shared" si="186"/>
        <v/>
      </c>
      <c r="X293">
        <f t="shared" si="213"/>
        <v>0</v>
      </c>
      <c r="Y293">
        <f t="shared" si="214"/>
        <v>0</v>
      </c>
      <c r="Z293">
        <f t="shared" si="215"/>
        <v>0</v>
      </c>
      <c r="AA293">
        <f t="shared" si="216"/>
        <v>0</v>
      </c>
      <c r="AB293">
        <f t="shared" si="217"/>
        <v>0</v>
      </c>
      <c r="AC293">
        <f t="shared" si="218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12"/>
        <v>_x001C_</v>
      </c>
      <c r="M294">
        <v>5</v>
      </c>
      <c r="N294" s="22" t="str">
        <f t="shared" si="203"/>
        <v>#</v>
      </c>
      <c r="O294" s="15" t="str">
        <f t="shared" si="204"/>
        <v>#</v>
      </c>
      <c r="P294" s="15" t="str">
        <f t="shared" si="205"/>
        <v>#</v>
      </c>
      <c r="Q294" s="15" t="str">
        <f t="shared" si="206"/>
        <v>#</v>
      </c>
      <c r="R294" s="16" t="str">
        <f t="shared" si="207"/>
        <v/>
      </c>
      <c r="S294" s="8" t="str">
        <f t="shared" si="208"/>
        <v/>
      </c>
      <c r="T294" s="2" t="str">
        <f t="shared" si="209"/>
        <v/>
      </c>
      <c r="U294" s="2" t="str">
        <f t="shared" si="210"/>
        <v/>
      </c>
      <c r="V294" t="str">
        <f t="shared" si="186"/>
        <v/>
      </c>
      <c r="X294">
        <f t="shared" si="213"/>
        <v>0</v>
      </c>
      <c r="Y294">
        <f t="shared" si="214"/>
        <v>0</v>
      </c>
      <c r="Z294">
        <f t="shared" si="215"/>
        <v>0</v>
      </c>
      <c r="AA294">
        <f t="shared" si="216"/>
        <v>0</v>
      </c>
      <c r="AB294">
        <f t="shared" si="217"/>
        <v>0</v>
      </c>
      <c r="AC294">
        <f t="shared" si="218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12"/>
        <v>_x001C_</v>
      </c>
      <c r="M295">
        <v>6</v>
      </c>
      <c r="N295" s="23" t="str">
        <f t="shared" si="203"/>
        <v>#</v>
      </c>
      <c r="O295" s="7" t="str">
        <f t="shared" si="204"/>
        <v>#</v>
      </c>
      <c r="P295" s="7" t="str">
        <f t="shared" si="205"/>
        <v>#</v>
      </c>
      <c r="Q295" s="7" t="str">
        <f t="shared" si="206"/>
        <v>#</v>
      </c>
      <c r="R295" s="17" t="str">
        <f t="shared" si="207"/>
        <v/>
      </c>
      <c r="S295" s="8" t="str">
        <f t="shared" si="208"/>
        <v/>
      </c>
      <c r="T295" s="2" t="str">
        <f t="shared" si="209"/>
        <v/>
      </c>
      <c r="U295" s="2" t="str">
        <f t="shared" si="210"/>
        <v/>
      </c>
      <c r="V295" t="str">
        <f t="shared" si="186"/>
        <v/>
      </c>
      <c r="X295">
        <f t="shared" si="213"/>
        <v>0</v>
      </c>
      <c r="Y295">
        <f t="shared" si="214"/>
        <v>0</v>
      </c>
      <c r="Z295">
        <f t="shared" si="215"/>
        <v>0</v>
      </c>
      <c r="AA295">
        <f t="shared" si="216"/>
        <v>0</v>
      </c>
      <c r="AB295">
        <f t="shared" si="217"/>
        <v>0</v>
      </c>
      <c r="AC295">
        <f t="shared" si="218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12"/>
        <v>_x001C_</v>
      </c>
      <c r="M296">
        <v>7</v>
      </c>
      <c r="N296" s="23" t="str">
        <f t="shared" si="203"/>
        <v>#</v>
      </c>
      <c r="O296" s="7" t="str">
        <f t="shared" si="204"/>
        <v>#</v>
      </c>
      <c r="P296" s="7" t="str">
        <f t="shared" si="205"/>
        <v>#</v>
      </c>
      <c r="Q296" s="7" t="str">
        <f t="shared" si="206"/>
        <v>#</v>
      </c>
      <c r="R296" s="17" t="str">
        <f t="shared" si="207"/>
        <v/>
      </c>
      <c r="S296" s="8" t="str">
        <f t="shared" si="208"/>
        <v/>
      </c>
      <c r="T296" s="2" t="str">
        <f t="shared" si="209"/>
        <v/>
      </c>
      <c r="U296" s="2" t="str">
        <f t="shared" si="210"/>
        <v/>
      </c>
      <c r="V296" t="str">
        <f t="shared" si="186"/>
        <v/>
      </c>
      <c r="X296">
        <f t="shared" si="213"/>
        <v>0</v>
      </c>
      <c r="Y296">
        <f t="shared" si="214"/>
        <v>0</v>
      </c>
      <c r="Z296">
        <f t="shared" si="215"/>
        <v>0</v>
      </c>
      <c r="AA296">
        <f t="shared" si="216"/>
        <v>0</v>
      </c>
      <c r="AB296">
        <f t="shared" si="217"/>
        <v>0</v>
      </c>
      <c r="AC296">
        <f t="shared" si="218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12"/>
        <v>_x001C_</v>
      </c>
      <c r="M297">
        <v>8</v>
      </c>
      <c r="N297" s="23" t="str">
        <f t="shared" si="203"/>
        <v>#</v>
      </c>
      <c r="O297" s="7" t="str">
        <f t="shared" si="204"/>
        <v>#</v>
      </c>
      <c r="P297" s="7" t="str">
        <f t="shared" si="205"/>
        <v>#</v>
      </c>
      <c r="Q297" s="7" t="str">
        <f t="shared" si="206"/>
        <v>#</v>
      </c>
      <c r="R297" s="17" t="str">
        <f t="shared" si="207"/>
        <v/>
      </c>
      <c r="S297" s="8" t="str">
        <f t="shared" si="208"/>
        <v/>
      </c>
      <c r="T297" s="2" t="str">
        <f t="shared" si="209"/>
        <v/>
      </c>
      <c r="U297" s="2" t="str">
        <f t="shared" si="210"/>
        <v/>
      </c>
      <c r="V297" t="str">
        <f t="shared" si="186"/>
        <v/>
      </c>
      <c r="X297">
        <f t="shared" si="213"/>
        <v>0</v>
      </c>
      <c r="Y297">
        <f t="shared" si="214"/>
        <v>0</v>
      </c>
      <c r="Z297">
        <f t="shared" si="215"/>
        <v>0</v>
      </c>
      <c r="AA297">
        <f t="shared" si="216"/>
        <v>0</v>
      </c>
      <c r="AB297">
        <f t="shared" si="217"/>
        <v>0</v>
      </c>
      <c r="AC297">
        <f t="shared" si="218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12"/>
        <v>_x001C_</v>
      </c>
      <c r="M298">
        <v>9</v>
      </c>
      <c r="N298" s="23" t="str">
        <f t="shared" si="203"/>
        <v>#</v>
      </c>
      <c r="O298" s="7" t="str">
        <f t="shared" si="204"/>
        <v>#</v>
      </c>
      <c r="P298" s="7" t="str">
        <f t="shared" si="205"/>
        <v>#</v>
      </c>
      <c r="Q298" s="7" t="str">
        <f t="shared" si="206"/>
        <v>#</v>
      </c>
      <c r="R298" s="17" t="str">
        <f t="shared" si="207"/>
        <v/>
      </c>
      <c r="S298" s="8" t="str">
        <f t="shared" si="208"/>
        <v/>
      </c>
      <c r="T298" s="2" t="str">
        <f t="shared" si="209"/>
        <v/>
      </c>
      <c r="U298" s="2" t="str">
        <f t="shared" si="210"/>
        <v/>
      </c>
      <c r="V298" t="str">
        <f t="shared" si="186"/>
        <v/>
      </c>
      <c r="X298">
        <f t="shared" si="213"/>
        <v>0</v>
      </c>
      <c r="Y298">
        <f t="shared" si="214"/>
        <v>0</v>
      </c>
      <c r="Z298">
        <f t="shared" si="215"/>
        <v>0</v>
      </c>
      <c r="AA298">
        <f t="shared" si="216"/>
        <v>0</v>
      </c>
      <c r="AB298">
        <f t="shared" si="217"/>
        <v>0</v>
      </c>
      <c r="AC298">
        <f t="shared" si="218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12"/>
        <v>_x001C_</v>
      </c>
      <c r="M299">
        <v>10</v>
      </c>
      <c r="N299" s="23" t="str">
        <f t="shared" si="203"/>
        <v>#</v>
      </c>
      <c r="O299" s="7" t="str">
        <f t="shared" si="204"/>
        <v>#</v>
      </c>
      <c r="P299" s="7" t="str">
        <f t="shared" si="205"/>
        <v>#</v>
      </c>
      <c r="Q299" s="7" t="str">
        <f t="shared" si="206"/>
        <v>#</v>
      </c>
      <c r="R299" s="17" t="str">
        <f t="shared" si="207"/>
        <v/>
      </c>
      <c r="S299" s="8" t="str">
        <f t="shared" si="208"/>
        <v/>
      </c>
      <c r="T299" s="2" t="str">
        <f t="shared" si="209"/>
        <v/>
      </c>
      <c r="U299" s="2" t="str">
        <f t="shared" si="210"/>
        <v/>
      </c>
      <c r="V299" t="str">
        <f t="shared" si="186"/>
        <v/>
      </c>
      <c r="X299">
        <f t="shared" si="213"/>
        <v>0</v>
      </c>
      <c r="Y299">
        <f t="shared" si="214"/>
        <v>0</v>
      </c>
      <c r="Z299">
        <f t="shared" si="215"/>
        <v>0</v>
      </c>
      <c r="AA299">
        <f t="shared" si="216"/>
        <v>0</v>
      </c>
      <c r="AB299">
        <f t="shared" si="217"/>
        <v>0</v>
      </c>
      <c r="AC299">
        <f t="shared" si="218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12"/>
        <v>_x001C_</v>
      </c>
      <c r="M300">
        <v>11</v>
      </c>
      <c r="N300" s="23" t="str">
        <f t="shared" si="203"/>
        <v>#</v>
      </c>
      <c r="O300" s="7" t="str">
        <f t="shared" si="204"/>
        <v>#</v>
      </c>
      <c r="P300" s="7" t="str">
        <f t="shared" si="205"/>
        <v>#</v>
      </c>
      <c r="Q300" s="7" t="str">
        <f t="shared" si="206"/>
        <v>#</v>
      </c>
      <c r="R300" s="17" t="str">
        <f t="shared" si="207"/>
        <v/>
      </c>
      <c r="S300" s="8" t="str">
        <f t="shared" si="208"/>
        <v/>
      </c>
      <c r="T300" s="2" t="str">
        <f t="shared" si="209"/>
        <v/>
      </c>
      <c r="U300" s="2" t="str">
        <f t="shared" si="210"/>
        <v/>
      </c>
      <c r="V300" t="str">
        <f t="shared" si="186"/>
        <v/>
      </c>
      <c r="X300">
        <f t="shared" si="213"/>
        <v>0</v>
      </c>
      <c r="Y300">
        <f t="shared" si="214"/>
        <v>0</v>
      </c>
      <c r="Z300">
        <f t="shared" si="215"/>
        <v>0</v>
      </c>
      <c r="AA300">
        <f t="shared" si="216"/>
        <v>0</v>
      </c>
      <c r="AB300">
        <f t="shared" si="217"/>
        <v>0</v>
      </c>
      <c r="AC300">
        <f t="shared" si="218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12"/>
        <v>_x001C_</v>
      </c>
      <c r="M301">
        <v>12</v>
      </c>
      <c r="N301" s="23" t="str">
        <f t="shared" si="203"/>
        <v>#</v>
      </c>
      <c r="O301" s="7" t="str">
        <f t="shared" si="204"/>
        <v>#</v>
      </c>
      <c r="P301" s="7" t="str">
        <f t="shared" si="205"/>
        <v>#</v>
      </c>
      <c r="Q301" s="7" t="str">
        <f t="shared" si="206"/>
        <v>#</v>
      </c>
      <c r="R301" s="17" t="str">
        <f t="shared" si="207"/>
        <v/>
      </c>
      <c r="S301" s="8" t="str">
        <f t="shared" si="208"/>
        <v/>
      </c>
      <c r="T301" s="2" t="str">
        <f t="shared" si="209"/>
        <v/>
      </c>
      <c r="U301" s="2" t="str">
        <f t="shared" si="210"/>
        <v/>
      </c>
      <c r="V301" t="str">
        <f t="shared" si="186"/>
        <v/>
      </c>
      <c r="X301">
        <f t="shared" si="213"/>
        <v>0</v>
      </c>
      <c r="Y301">
        <f t="shared" si="214"/>
        <v>0</v>
      </c>
      <c r="Z301">
        <f t="shared" si="215"/>
        <v>0</v>
      </c>
      <c r="AA301">
        <f t="shared" si="216"/>
        <v>0</v>
      </c>
      <c r="AB301">
        <f t="shared" si="217"/>
        <v>0</v>
      </c>
      <c r="AC301">
        <f t="shared" si="218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12"/>
        <v>_x001C_</v>
      </c>
      <c r="M302">
        <v>13</v>
      </c>
      <c r="N302" s="6" t="str">
        <f t="shared" si="203"/>
        <v>#</v>
      </c>
      <c r="O302" s="7" t="str">
        <f t="shared" si="204"/>
        <v>#</v>
      </c>
      <c r="P302" s="7" t="str">
        <f t="shared" si="205"/>
        <v>#</v>
      </c>
      <c r="Q302" s="7" t="str">
        <f t="shared" si="206"/>
        <v>#</v>
      </c>
      <c r="R302" s="17" t="str">
        <f t="shared" si="207"/>
        <v/>
      </c>
      <c r="S302" s="8" t="str">
        <f t="shared" si="208"/>
        <v/>
      </c>
      <c r="T302" s="2" t="str">
        <f t="shared" si="209"/>
        <v/>
      </c>
      <c r="U302" s="2" t="str">
        <f t="shared" si="210"/>
        <v/>
      </c>
      <c r="V302" t="str">
        <f t="shared" si="186"/>
        <v/>
      </c>
      <c r="X302">
        <f t="shared" si="213"/>
        <v>0</v>
      </c>
      <c r="Y302">
        <f t="shared" si="214"/>
        <v>0</v>
      </c>
      <c r="Z302">
        <f t="shared" si="215"/>
        <v>0</v>
      </c>
      <c r="AA302">
        <f t="shared" si="216"/>
        <v>0</v>
      </c>
      <c r="AB302">
        <f t="shared" si="217"/>
        <v>0</v>
      </c>
      <c r="AC302">
        <f t="shared" si="218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12"/>
        <v>_x001C_</v>
      </c>
      <c r="M303">
        <v>14</v>
      </c>
      <c r="N303" s="18" t="str">
        <f t="shared" si="203"/>
        <v>#</v>
      </c>
      <c r="O303" s="19" t="str">
        <f t="shared" si="204"/>
        <v>#</v>
      </c>
      <c r="P303" s="19" t="str">
        <f t="shared" si="205"/>
        <v>#</v>
      </c>
      <c r="Q303" s="19" t="str">
        <f t="shared" si="206"/>
        <v>#</v>
      </c>
      <c r="R303" s="20" t="str">
        <f t="shared" si="207"/>
        <v/>
      </c>
      <c r="S303" s="8" t="str">
        <f t="shared" si="208"/>
        <v/>
      </c>
      <c r="T303" s="2" t="str">
        <f t="shared" si="209"/>
        <v/>
      </c>
      <c r="U303" s="2" t="str">
        <f t="shared" si="210"/>
        <v/>
      </c>
      <c r="V303" t="str">
        <f t="shared" si="186"/>
        <v/>
      </c>
      <c r="X303">
        <f t="shared" si="213"/>
        <v>0</v>
      </c>
      <c r="Y303">
        <f t="shared" si="214"/>
        <v>0</v>
      </c>
      <c r="Z303">
        <f t="shared" si="215"/>
        <v>0</v>
      </c>
      <c r="AA303">
        <f t="shared" si="216"/>
        <v>0</v>
      </c>
      <c r="AB303">
        <f t="shared" si="217"/>
        <v>0</v>
      </c>
      <c r="AC303">
        <f t="shared" si="218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12"/>
        <v>_x001C_</v>
      </c>
      <c r="M304">
        <v>15</v>
      </c>
      <c r="N304" s="9" t="str">
        <f t="shared" si="203"/>
        <v>#</v>
      </c>
      <c r="O304" s="10" t="str">
        <f t="shared" si="204"/>
        <v>#</v>
      </c>
      <c r="P304" s="10" t="str">
        <f t="shared" si="205"/>
        <v>#</v>
      </c>
      <c r="Q304" s="10" t="str">
        <f t="shared" si="206"/>
        <v>#</v>
      </c>
      <c r="R304" s="10" t="str">
        <f t="shared" si="207"/>
        <v/>
      </c>
      <c r="S304" s="11" t="str">
        <f t="shared" si="208"/>
        <v/>
      </c>
      <c r="T304" s="2" t="str">
        <f t="shared" si="209"/>
        <v/>
      </c>
      <c r="U304" s="2" t="str">
        <f t="shared" si="210"/>
        <v/>
      </c>
      <c r="V304" t="str">
        <f t="shared" si="186"/>
        <v/>
      </c>
      <c r="X304">
        <f t="shared" si="213"/>
        <v>0</v>
      </c>
      <c r="Y304">
        <f t="shared" si="214"/>
        <v>0</v>
      </c>
      <c r="Z304">
        <f t="shared" si="215"/>
        <v>0</v>
      </c>
      <c r="AA304">
        <f t="shared" si="216"/>
        <v>0</v>
      </c>
      <c r="AB304">
        <f t="shared" si="217"/>
        <v>0</v>
      </c>
      <c r="AC304">
        <f t="shared" si="218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12"/>
        <v>_x001C_</v>
      </c>
      <c r="M305">
        <v>16</v>
      </c>
      <c r="N305" s="12" t="str">
        <f t="shared" si="203"/>
        <v>#</v>
      </c>
      <c r="O305" s="13" t="str">
        <f t="shared" si="204"/>
        <v>#</v>
      </c>
      <c r="P305" s="13" t="str">
        <f t="shared" si="205"/>
        <v>#</v>
      </c>
      <c r="Q305" s="13" t="str">
        <f t="shared" si="206"/>
        <v>#</v>
      </c>
      <c r="R305" s="13" t="str">
        <f t="shared" si="207"/>
        <v/>
      </c>
      <c r="S305" s="14" t="str">
        <f t="shared" si="208"/>
        <v/>
      </c>
      <c r="T305" s="2" t="str">
        <f t="shared" si="209"/>
        <v/>
      </c>
      <c r="U305" s="2" t="str">
        <f t="shared" si="210"/>
        <v/>
      </c>
      <c r="V305" t="str">
        <f t="shared" si="186"/>
        <v/>
      </c>
      <c r="X305">
        <f t="shared" si="213"/>
        <v>0</v>
      </c>
      <c r="Y305">
        <f t="shared" si="214"/>
        <v>0</v>
      </c>
      <c r="Z305">
        <f t="shared" si="215"/>
        <v>0</v>
      </c>
      <c r="AA305">
        <f t="shared" si="216"/>
        <v>0</v>
      </c>
      <c r="AB305">
        <f t="shared" si="217"/>
        <v>0</v>
      </c>
      <c r="AC305">
        <f t="shared" si="218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203"/>
        <v/>
      </c>
      <c r="O306" t="str">
        <f t="shared" si="204"/>
        <v/>
      </c>
      <c r="P306" t="str">
        <f t="shared" si="205"/>
        <v/>
      </c>
      <c r="Q306" t="str">
        <f t="shared" si="206"/>
        <v/>
      </c>
      <c r="R306" t="str">
        <f t="shared" si="207"/>
        <v/>
      </c>
      <c r="S306" t="str">
        <f t="shared" si="208"/>
        <v/>
      </c>
      <c r="T306" s="2" t="str">
        <f t="shared" si="209"/>
        <v/>
      </c>
      <c r="U306" s="2" t="str">
        <f t="shared" si="210"/>
        <v/>
      </c>
      <c r="V306" t="str">
        <f t="shared" si="186"/>
        <v/>
      </c>
      <c r="W306">
        <f>SUM(B308:G321)</f>
        <v>42</v>
      </c>
      <c r="AD306">
        <f t="shared" ref="AD306" si="219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20">L306</f>
        <v>_x001D_</v>
      </c>
      <c r="M307">
        <v>2</v>
      </c>
      <c r="N307" t="str">
        <f t="shared" si="203"/>
        <v/>
      </c>
      <c r="O307" t="str">
        <f t="shared" si="204"/>
        <v/>
      </c>
      <c r="P307" t="str">
        <f t="shared" si="205"/>
        <v/>
      </c>
      <c r="Q307" t="str">
        <f t="shared" si="206"/>
        <v/>
      </c>
      <c r="R307" t="str">
        <f t="shared" si="207"/>
        <v/>
      </c>
      <c r="S307" t="str">
        <f t="shared" si="208"/>
        <v/>
      </c>
      <c r="T307" s="2" t="str">
        <f t="shared" si="209"/>
        <v/>
      </c>
      <c r="U307" s="2" t="str">
        <f t="shared" si="210"/>
        <v/>
      </c>
      <c r="V307" t="str">
        <f t="shared" si="186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20"/>
        <v>_x001D_</v>
      </c>
      <c r="M308">
        <v>3</v>
      </c>
      <c r="N308" s="3" t="str">
        <f t="shared" si="203"/>
        <v>#</v>
      </c>
      <c r="O308" s="4" t="str">
        <f t="shared" si="204"/>
        <v>#</v>
      </c>
      <c r="P308" s="4" t="str">
        <f t="shared" si="205"/>
        <v>#</v>
      </c>
      <c r="Q308" s="4" t="str">
        <f t="shared" si="206"/>
        <v/>
      </c>
      <c r="R308" s="4" t="str">
        <f t="shared" si="207"/>
        <v/>
      </c>
      <c r="S308" s="5" t="str">
        <f t="shared" si="208"/>
        <v/>
      </c>
      <c r="T308" s="2" t="str">
        <f t="shared" si="209"/>
        <v/>
      </c>
      <c r="U308" s="2" t="str">
        <f t="shared" si="210"/>
        <v/>
      </c>
      <c r="V308" t="str">
        <f t="shared" si="186"/>
        <v/>
      </c>
      <c r="X308">
        <f t="shared" ref="X308:X321" si="221">MAX(B308-B307,0)</f>
        <v>1</v>
      </c>
      <c r="Y308">
        <f t="shared" ref="Y308:Y321" si="222">MAX(C308-C307,0)</f>
        <v>1</v>
      </c>
      <c r="Z308">
        <f t="shared" ref="Z308:Z321" si="223">MAX(D308-D307,0)</f>
        <v>1</v>
      </c>
      <c r="AA308">
        <f t="shared" ref="AA308:AA321" si="224">MAX(E308-E307,0)</f>
        <v>0</v>
      </c>
      <c r="AB308">
        <f t="shared" ref="AB308:AB321" si="225">MAX(F308-F307,0)</f>
        <v>0</v>
      </c>
      <c r="AC308">
        <f t="shared" ref="AC308:AC321" si="226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20"/>
        <v>_x001D_</v>
      </c>
      <c r="M309">
        <v>4</v>
      </c>
      <c r="N309" s="6" t="str">
        <f t="shared" si="203"/>
        <v>#</v>
      </c>
      <c r="O309" s="7" t="str">
        <f t="shared" si="204"/>
        <v>#</v>
      </c>
      <c r="P309" s="7" t="str">
        <f t="shared" si="205"/>
        <v>#</v>
      </c>
      <c r="Q309" s="7" t="str">
        <f t="shared" si="206"/>
        <v/>
      </c>
      <c r="R309" s="7" t="str">
        <f t="shared" si="207"/>
        <v/>
      </c>
      <c r="S309" s="8" t="str">
        <f t="shared" si="208"/>
        <v/>
      </c>
      <c r="T309" s="2" t="str">
        <f t="shared" si="209"/>
        <v/>
      </c>
      <c r="U309" s="2" t="str">
        <f t="shared" si="210"/>
        <v/>
      </c>
      <c r="V309" t="str">
        <f t="shared" si="186"/>
        <v/>
      </c>
      <c r="X309">
        <f t="shared" si="221"/>
        <v>0</v>
      </c>
      <c r="Y309">
        <f t="shared" si="222"/>
        <v>0</v>
      </c>
      <c r="Z309">
        <f t="shared" si="223"/>
        <v>0</v>
      </c>
      <c r="AA309">
        <f t="shared" si="224"/>
        <v>0</v>
      </c>
      <c r="AB309">
        <f t="shared" si="225"/>
        <v>0</v>
      </c>
      <c r="AC309">
        <f t="shared" si="226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20"/>
        <v>_x001D_</v>
      </c>
      <c r="M310">
        <v>5</v>
      </c>
      <c r="N310" s="22" t="str">
        <f t="shared" si="203"/>
        <v>#</v>
      </c>
      <c r="O310" s="15" t="str">
        <f t="shared" si="204"/>
        <v>#</v>
      </c>
      <c r="P310" s="15" t="str">
        <f t="shared" si="205"/>
        <v>#</v>
      </c>
      <c r="Q310" s="15" t="str">
        <f t="shared" si="206"/>
        <v/>
      </c>
      <c r="R310" s="16" t="str">
        <f t="shared" si="207"/>
        <v/>
      </c>
      <c r="S310" s="8" t="str">
        <f t="shared" si="208"/>
        <v/>
      </c>
      <c r="T310" s="2" t="str">
        <f t="shared" si="209"/>
        <v/>
      </c>
      <c r="U310" s="2" t="str">
        <f t="shared" si="210"/>
        <v/>
      </c>
      <c r="V310" t="str">
        <f t="shared" si="186"/>
        <v/>
      </c>
      <c r="X310">
        <f t="shared" si="221"/>
        <v>0</v>
      </c>
      <c r="Y310">
        <f t="shared" si="222"/>
        <v>0</v>
      </c>
      <c r="Z310">
        <f t="shared" si="223"/>
        <v>0</v>
      </c>
      <c r="AA310">
        <f t="shared" si="224"/>
        <v>0</v>
      </c>
      <c r="AB310">
        <f t="shared" si="225"/>
        <v>0</v>
      </c>
      <c r="AC310">
        <f t="shared" si="226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20"/>
        <v>_x001D_</v>
      </c>
      <c r="M311">
        <v>6</v>
      </c>
      <c r="N311" s="23" t="str">
        <f t="shared" si="203"/>
        <v>#</v>
      </c>
      <c r="O311" s="7" t="str">
        <f t="shared" si="204"/>
        <v>#</v>
      </c>
      <c r="P311" s="7" t="str">
        <f t="shared" si="205"/>
        <v>#</v>
      </c>
      <c r="Q311" s="7" t="str">
        <f t="shared" si="206"/>
        <v/>
      </c>
      <c r="R311" s="17" t="str">
        <f t="shared" si="207"/>
        <v/>
      </c>
      <c r="S311" s="8" t="str">
        <f t="shared" si="208"/>
        <v/>
      </c>
      <c r="T311" s="2" t="str">
        <f t="shared" si="209"/>
        <v/>
      </c>
      <c r="U311" s="2" t="str">
        <f t="shared" si="210"/>
        <v/>
      </c>
      <c r="V311" t="str">
        <f t="shared" si="186"/>
        <v/>
      </c>
      <c r="X311">
        <f t="shared" si="221"/>
        <v>0</v>
      </c>
      <c r="Y311">
        <f t="shared" si="222"/>
        <v>0</v>
      </c>
      <c r="Z311">
        <f t="shared" si="223"/>
        <v>0</v>
      </c>
      <c r="AA311">
        <f t="shared" si="224"/>
        <v>0</v>
      </c>
      <c r="AB311">
        <f t="shared" si="225"/>
        <v>0</v>
      </c>
      <c r="AC311">
        <f t="shared" si="226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20"/>
        <v>_x001D_</v>
      </c>
      <c r="M312">
        <v>7</v>
      </c>
      <c r="N312" s="23" t="str">
        <f t="shared" si="203"/>
        <v>#</v>
      </c>
      <c r="O312" s="7" t="str">
        <f t="shared" si="204"/>
        <v>#</v>
      </c>
      <c r="P312" s="7" t="str">
        <f t="shared" si="205"/>
        <v>#</v>
      </c>
      <c r="Q312" s="7" t="str">
        <f t="shared" si="206"/>
        <v/>
      </c>
      <c r="R312" s="17" t="str">
        <f t="shared" si="207"/>
        <v/>
      </c>
      <c r="S312" s="8" t="str">
        <f t="shared" si="208"/>
        <v/>
      </c>
      <c r="T312" s="2" t="str">
        <f t="shared" si="209"/>
        <v/>
      </c>
      <c r="U312" s="2" t="str">
        <f t="shared" si="210"/>
        <v/>
      </c>
      <c r="V312" t="str">
        <f t="shared" si="186"/>
        <v/>
      </c>
      <c r="X312">
        <f t="shared" si="221"/>
        <v>0</v>
      </c>
      <c r="Y312">
        <f t="shared" si="222"/>
        <v>0</v>
      </c>
      <c r="Z312">
        <f t="shared" si="223"/>
        <v>0</v>
      </c>
      <c r="AA312">
        <f t="shared" si="224"/>
        <v>0</v>
      </c>
      <c r="AB312">
        <f t="shared" si="225"/>
        <v>0</v>
      </c>
      <c r="AC312">
        <f t="shared" si="226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20"/>
        <v>_x001D_</v>
      </c>
      <c r="M313">
        <v>8</v>
      </c>
      <c r="N313" s="23" t="str">
        <f t="shared" si="203"/>
        <v>#</v>
      </c>
      <c r="O313" s="7" t="str">
        <f t="shared" si="204"/>
        <v>#</v>
      </c>
      <c r="P313" s="7" t="str">
        <f t="shared" si="205"/>
        <v>#</v>
      </c>
      <c r="Q313" s="7" t="str">
        <f t="shared" si="206"/>
        <v/>
      </c>
      <c r="R313" s="17" t="str">
        <f t="shared" si="207"/>
        <v/>
      </c>
      <c r="S313" s="8" t="str">
        <f t="shared" si="208"/>
        <v/>
      </c>
      <c r="T313" s="2" t="str">
        <f t="shared" si="209"/>
        <v/>
      </c>
      <c r="U313" s="2" t="str">
        <f t="shared" si="210"/>
        <v/>
      </c>
      <c r="V313" t="str">
        <f t="shared" si="186"/>
        <v/>
      </c>
      <c r="X313">
        <f t="shared" si="221"/>
        <v>0</v>
      </c>
      <c r="Y313">
        <f t="shared" si="222"/>
        <v>0</v>
      </c>
      <c r="Z313">
        <f t="shared" si="223"/>
        <v>0</v>
      </c>
      <c r="AA313">
        <f t="shared" si="224"/>
        <v>0</v>
      </c>
      <c r="AB313">
        <f t="shared" si="225"/>
        <v>0</v>
      </c>
      <c r="AC313">
        <f t="shared" si="226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20"/>
        <v>_x001D_</v>
      </c>
      <c r="M314">
        <v>9</v>
      </c>
      <c r="N314" s="23" t="str">
        <f t="shared" si="203"/>
        <v>#</v>
      </c>
      <c r="O314" s="7" t="str">
        <f t="shared" si="204"/>
        <v>#</v>
      </c>
      <c r="P314" s="7" t="str">
        <f t="shared" si="205"/>
        <v>#</v>
      </c>
      <c r="Q314" s="7" t="str">
        <f t="shared" si="206"/>
        <v/>
      </c>
      <c r="R314" s="17" t="str">
        <f t="shared" si="207"/>
        <v/>
      </c>
      <c r="S314" s="8" t="str">
        <f t="shared" si="208"/>
        <v/>
      </c>
      <c r="T314" s="2" t="str">
        <f t="shared" si="209"/>
        <v/>
      </c>
      <c r="U314" s="2" t="str">
        <f t="shared" si="210"/>
        <v/>
      </c>
      <c r="V314" t="str">
        <f t="shared" si="186"/>
        <v/>
      </c>
      <c r="X314">
        <f t="shared" si="221"/>
        <v>0</v>
      </c>
      <c r="Y314">
        <f t="shared" si="222"/>
        <v>0</v>
      </c>
      <c r="Z314">
        <f t="shared" si="223"/>
        <v>0</v>
      </c>
      <c r="AA314">
        <f t="shared" si="224"/>
        <v>0</v>
      </c>
      <c r="AB314">
        <f t="shared" si="225"/>
        <v>0</v>
      </c>
      <c r="AC314">
        <f t="shared" si="226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20"/>
        <v>_x001D_</v>
      </c>
      <c r="M315">
        <v>10</v>
      </c>
      <c r="N315" s="23" t="str">
        <f t="shared" si="203"/>
        <v>#</v>
      </c>
      <c r="O315" s="7" t="str">
        <f t="shared" si="204"/>
        <v>#</v>
      </c>
      <c r="P315" s="7" t="str">
        <f t="shared" si="205"/>
        <v>#</v>
      </c>
      <c r="Q315" s="7" t="str">
        <f t="shared" si="206"/>
        <v/>
      </c>
      <c r="R315" s="17" t="str">
        <f t="shared" si="207"/>
        <v/>
      </c>
      <c r="S315" s="8" t="str">
        <f t="shared" si="208"/>
        <v/>
      </c>
      <c r="T315" s="2" t="str">
        <f t="shared" si="209"/>
        <v/>
      </c>
      <c r="U315" s="2" t="str">
        <f t="shared" si="210"/>
        <v/>
      </c>
      <c r="V315" t="str">
        <f t="shared" si="186"/>
        <v/>
      </c>
      <c r="X315">
        <f t="shared" si="221"/>
        <v>0</v>
      </c>
      <c r="Y315">
        <f t="shared" si="222"/>
        <v>0</v>
      </c>
      <c r="Z315">
        <f t="shared" si="223"/>
        <v>0</v>
      </c>
      <c r="AA315">
        <f t="shared" si="224"/>
        <v>0</v>
      </c>
      <c r="AB315">
        <f t="shared" si="225"/>
        <v>0</v>
      </c>
      <c r="AC315">
        <f t="shared" si="226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20"/>
        <v>_x001D_</v>
      </c>
      <c r="M316">
        <v>11</v>
      </c>
      <c r="N316" s="23" t="str">
        <f t="shared" si="203"/>
        <v>#</v>
      </c>
      <c r="O316" s="7" t="str">
        <f t="shared" si="204"/>
        <v>#</v>
      </c>
      <c r="P316" s="7" t="str">
        <f t="shared" si="205"/>
        <v>#</v>
      </c>
      <c r="Q316" s="7" t="str">
        <f t="shared" si="206"/>
        <v/>
      </c>
      <c r="R316" s="17" t="str">
        <f t="shared" si="207"/>
        <v/>
      </c>
      <c r="S316" s="8" t="str">
        <f t="shared" si="208"/>
        <v/>
      </c>
      <c r="T316" s="2" t="str">
        <f t="shared" si="209"/>
        <v/>
      </c>
      <c r="U316" s="2" t="str">
        <f t="shared" si="210"/>
        <v/>
      </c>
      <c r="V316" t="str">
        <f t="shared" si="186"/>
        <v/>
      </c>
      <c r="X316">
        <f t="shared" si="221"/>
        <v>0</v>
      </c>
      <c r="Y316">
        <f t="shared" si="222"/>
        <v>0</v>
      </c>
      <c r="Z316">
        <f t="shared" si="223"/>
        <v>0</v>
      </c>
      <c r="AA316">
        <f t="shared" si="224"/>
        <v>0</v>
      </c>
      <c r="AB316">
        <f t="shared" si="225"/>
        <v>0</v>
      </c>
      <c r="AC316">
        <f t="shared" si="226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20"/>
        <v>_x001D_</v>
      </c>
      <c r="M317">
        <v>12</v>
      </c>
      <c r="N317" s="23" t="str">
        <f t="shared" si="203"/>
        <v>#</v>
      </c>
      <c r="O317" s="7" t="str">
        <f t="shared" si="204"/>
        <v>#</v>
      </c>
      <c r="P317" s="7" t="str">
        <f t="shared" si="205"/>
        <v>#</v>
      </c>
      <c r="Q317" s="7" t="str">
        <f t="shared" si="206"/>
        <v/>
      </c>
      <c r="R317" s="17" t="str">
        <f t="shared" si="207"/>
        <v/>
      </c>
      <c r="S317" s="8" t="str">
        <f t="shared" si="208"/>
        <v/>
      </c>
      <c r="T317" s="2" t="str">
        <f t="shared" si="209"/>
        <v/>
      </c>
      <c r="U317" s="2" t="str">
        <f t="shared" si="210"/>
        <v/>
      </c>
      <c r="V317" t="str">
        <f t="shared" si="186"/>
        <v/>
      </c>
      <c r="X317">
        <f t="shared" si="221"/>
        <v>0</v>
      </c>
      <c r="Y317">
        <f t="shared" si="222"/>
        <v>0</v>
      </c>
      <c r="Z317">
        <f t="shared" si="223"/>
        <v>0</v>
      </c>
      <c r="AA317">
        <f t="shared" si="224"/>
        <v>0</v>
      </c>
      <c r="AB317">
        <f t="shared" si="225"/>
        <v>0</v>
      </c>
      <c r="AC317">
        <f t="shared" si="226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20"/>
        <v>_x001D_</v>
      </c>
      <c r="M318">
        <v>13</v>
      </c>
      <c r="N318" s="6" t="str">
        <f t="shared" si="203"/>
        <v>#</v>
      </c>
      <c r="O318" s="7" t="str">
        <f t="shared" si="204"/>
        <v>#</v>
      </c>
      <c r="P318" s="7" t="str">
        <f t="shared" si="205"/>
        <v>#</v>
      </c>
      <c r="Q318" s="7" t="str">
        <f t="shared" si="206"/>
        <v/>
      </c>
      <c r="R318" s="17" t="str">
        <f t="shared" si="207"/>
        <v/>
      </c>
      <c r="S318" s="8" t="str">
        <f t="shared" si="208"/>
        <v/>
      </c>
      <c r="T318" s="2" t="str">
        <f t="shared" si="209"/>
        <v/>
      </c>
      <c r="U318" s="2" t="str">
        <f t="shared" si="210"/>
        <v/>
      </c>
      <c r="V318" t="str">
        <f t="shared" si="186"/>
        <v/>
      </c>
      <c r="X318">
        <f t="shared" si="221"/>
        <v>0</v>
      </c>
      <c r="Y318">
        <f t="shared" si="222"/>
        <v>0</v>
      </c>
      <c r="Z318">
        <f t="shared" si="223"/>
        <v>0</v>
      </c>
      <c r="AA318">
        <f t="shared" si="224"/>
        <v>0</v>
      </c>
      <c r="AB318">
        <f t="shared" si="225"/>
        <v>0</v>
      </c>
      <c r="AC318">
        <f t="shared" si="226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20"/>
        <v>_x001D_</v>
      </c>
      <c r="M319">
        <v>14</v>
      </c>
      <c r="N319" s="18" t="str">
        <f t="shared" si="203"/>
        <v>#</v>
      </c>
      <c r="O319" s="19" t="str">
        <f t="shared" si="204"/>
        <v>#</v>
      </c>
      <c r="P319" s="19" t="str">
        <f t="shared" si="205"/>
        <v>#</v>
      </c>
      <c r="Q319" s="19" t="str">
        <f t="shared" si="206"/>
        <v/>
      </c>
      <c r="R319" s="20" t="str">
        <f t="shared" si="207"/>
        <v/>
      </c>
      <c r="S319" s="8" t="str">
        <f t="shared" si="208"/>
        <v/>
      </c>
      <c r="T319" s="2" t="str">
        <f t="shared" si="209"/>
        <v/>
      </c>
      <c r="U319" s="2" t="str">
        <f t="shared" si="210"/>
        <v/>
      </c>
      <c r="V319" t="str">
        <f t="shared" si="186"/>
        <v/>
      </c>
      <c r="X319">
        <f t="shared" si="221"/>
        <v>0</v>
      </c>
      <c r="Y319">
        <f t="shared" si="222"/>
        <v>0</v>
      </c>
      <c r="Z319">
        <f t="shared" si="223"/>
        <v>0</v>
      </c>
      <c r="AA319">
        <f t="shared" si="224"/>
        <v>0</v>
      </c>
      <c r="AB319">
        <f t="shared" si="225"/>
        <v>0</v>
      </c>
      <c r="AC319">
        <f t="shared" si="226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20"/>
        <v>_x001D_</v>
      </c>
      <c r="M320">
        <v>15</v>
      </c>
      <c r="N320" s="9" t="str">
        <f t="shared" si="203"/>
        <v>#</v>
      </c>
      <c r="O320" s="10" t="str">
        <f t="shared" si="204"/>
        <v>#</v>
      </c>
      <c r="P320" s="10" t="str">
        <f t="shared" si="205"/>
        <v>#</v>
      </c>
      <c r="Q320" s="10" t="str">
        <f t="shared" si="206"/>
        <v/>
      </c>
      <c r="R320" s="10" t="str">
        <f t="shared" si="207"/>
        <v/>
      </c>
      <c r="S320" s="11" t="str">
        <f t="shared" si="208"/>
        <v/>
      </c>
      <c r="T320" s="2" t="str">
        <f t="shared" si="209"/>
        <v/>
      </c>
      <c r="U320" s="2" t="str">
        <f t="shared" si="210"/>
        <v/>
      </c>
      <c r="V320" t="str">
        <f t="shared" si="186"/>
        <v/>
      </c>
      <c r="X320">
        <f t="shared" si="221"/>
        <v>0</v>
      </c>
      <c r="Y320">
        <f t="shared" si="222"/>
        <v>0</v>
      </c>
      <c r="Z320">
        <f t="shared" si="223"/>
        <v>0</v>
      </c>
      <c r="AA320">
        <f t="shared" si="224"/>
        <v>0</v>
      </c>
      <c r="AB320">
        <f t="shared" si="225"/>
        <v>0</v>
      </c>
      <c r="AC320">
        <f t="shared" si="226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20"/>
        <v>_x001D_</v>
      </c>
      <c r="M321">
        <v>16</v>
      </c>
      <c r="N321" s="12" t="str">
        <f t="shared" si="203"/>
        <v>#</v>
      </c>
      <c r="O321" s="13" t="str">
        <f t="shared" si="204"/>
        <v>#</v>
      </c>
      <c r="P321" s="13" t="str">
        <f t="shared" si="205"/>
        <v>#</v>
      </c>
      <c r="Q321" s="13" t="str">
        <f t="shared" si="206"/>
        <v/>
      </c>
      <c r="R321" s="13" t="str">
        <f t="shared" si="207"/>
        <v/>
      </c>
      <c r="S321" s="14" t="str">
        <f t="shared" si="208"/>
        <v/>
      </c>
      <c r="T321" s="2" t="str">
        <f t="shared" si="209"/>
        <v/>
      </c>
      <c r="U321" s="2" t="str">
        <f t="shared" si="210"/>
        <v/>
      </c>
      <c r="V321" t="str">
        <f t="shared" si="186"/>
        <v/>
      </c>
      <c r="X321">
        <f t="shared" si="221"/>
        <v>0</v>
      </c>
      <c r="Y321">
        <f t="shared" si="222"/>
        <v>0</v>
      </c>
      <c r="Z321">
        <f t="shared" si="223"/>
        <v>0</v>
      </c>
      <c r="AA321">
        <f t="shared" si="224"/>
        <v>0</v>
      </c>
      <c r="AB321">
        <f t="shared" si="225"/>
        <v>0</v>
      </c>
      <c r="AC321">
        <f t="shared" si="226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203"/>
        <v/>
      </c>
      <c r="O322" t="str">
        <f t="shared" si="204"/>
        <v/>
      </c>
      <c r="P322" t="str">
        <f t="shared" si="205"/>
        <v/>
      </c>
      <c r="Q322" t="str">
        <f t="shared" si="206"/>
        <v/>
      </c>
      <c r="R322" t="str">
        <f t="shared" si="207"/>
        <v/>
      </c>
      <c r="S322" t="str">
        <f t="shared" si="208"/>
        <v/>
      </c>
      <c r="T322" s="2" t="str">
        <f t="shared" si="209"/>
        <v/>
      </c>
      <c r="U322" s="2" t="str">
        <f t="shared" si="210"/>
        <v/>
      </c>
      <c r="V322" t="str">
        <f t="shared" ref="V322:V385" si="227">IF(A322=0,"",M322)</f>
        <v/>
      </c>
      <c r="W322">
        <f>SUM(B324:G337)</f>
        <v>28</v>
      </c>
      <c r="AD322">
        <f t="shared" ref="AD322" si="228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9">L322</f>
        <v>_x001E_</v>
      </c>
      <c r="M323">
        <v>2</v>
      </c>
      <c r="N323" t="str">
        <f t="shared" si="203"/>
        <v/>
      </c>
      <c r="O323" t="str">
        <f t="shared" si="204"/>
        <v/>
      </c>
      <c r="P323" t="str">
        <f t="shared" si="205"/>
        <v/>
      </c>
      <c r="Q323" t="str">
        <f t="shared" si="206"/>
        <v/>
      </c>
      <c r="R323" t="str">
        <f t="shared" si="207"/>
        <v/>
      </c>
      <c r="S323" t="str">
        <f t="shared" si="208"/>
        <v/>
      </c>
      <c r="T323" s="2" t="str">
        <f t="shared" si="209"/>
        <v/>
      </c>
      <c r="U323" s="2" t="str">
        <f t="shared" si="210"/>
        <v/>
      </c>
      <c r="V323" t="str">
        <f t="shared" si="227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9"/>
        <v>_x001E_</v>
      </c>
      <c r="M324">
        <v>3</v>
      </c>
      <c r="N324" s="3" t="str">
        <f t="shared" si="203"/>
        <v>#</v>
      </c>
      <c r="O324" s="4" t="str">
        <f t="shared" si="204"/>
        <v>#</v>
      </c>
      <c r="P324" s="4" t="str">
        <f t="shared" si="205"/>
        <v/>
      </c>
      <c r="Q324" s="4" t="str">
        <f t="shared" si="206"/>
        <v/>
      </c>
      <c r="R324" s="4" t="str">
        <f t="shared" si="207"/>
        <v/>
      </c>
      <c r="S324" s="5" t="str">
        <f t="shared" si="208"/>
        <v/>
      </c>
      <c r="T324" s="2" t="str">
        <f t="shared" si="209"/>
        <v/>
      </c>
      <c r="U324" s="2" t="str">
        <f t="shared" si="210"/>
        <v/>
      </c>
      <c r="V324" t="str">
        <f t="shared" si="227"/>
        <v/>
      </c>
      <c r="X324">
        <f t="shared" ref="X324:X337" si="230">MAX(B324-B323,0)</f>
        <v>1</v>
      </c>
      <c r="Y324">
        <f t="shared" ref="Y324:Y337" si="231">MAX(C324-C323,0)</f>
        <v>1</v>
      </c>
      <c r="Z324">
        <f t="shared" ref="Z324:Z337" si="232">MAX(D324-D323,0)</f>
        <v>0</v>
      </c>
      <c r="AA324">
        <f t="shared" ref="AA324:AA337" si="233">MAX(E324-E323,0)</f>
        <v>0</v>
      </c>
      <c r="AB324">
        <f t="shared" ref="AB324:AB337" si="234">MAX(F324-F323,0)</f>
        <v>0</v>
      </c>
      <c r="AC324">
        <f t="shared" ref="AC324:AC337" si="235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9"/>
        <v>_x001E_</v>
      </c>
      <c r="M325">
        <v>4</v>
      </c>
      <c r="N325" s="6" t="str">
        <f t="shared" si="203"/>
        <v>#</v>
      </c>
      <c r="O325" s="7" t="str">
        <f t="shared" si="204"/>
        <v>#</v>
      </c>
      <c r="P325" s="7" t="str">
        <f t="shared" si="205"/>
        <v/>
      </c>
      <c r="Q325" s="7" t="str">
        <f t="shared" si="206"/>
        <v/>
      </c>
      <c r="R325" s="7" t="str">
        <f t="shared" si="207"/>
        <v/>
      </c>
      <c r="S325" s="8" t="str">
        <f t="shared" si="208"/>
        <v/>
      </c>
      <c r="T325" s="2" t="str">
        <f t="shared" si="209"/>
        <v/>
      </c>
      <c r="U325" s="2" t="str">
        <f t="shared" si="210"/>
        <v/>
      </c>
      <c r="V325" t="str">
        <f t="shared" si="227"/>
        <v/>
      </c>
      <c r="X325">
        <f t="shared" si="230"/>
        <v>0</v>
      </c>
      <c r="Y325">
        <f t="shared" si="231"/>
        <v>0</v>
      </c>
      <c r="Z325">
        <f t="shared" si="232"/>
        <v>0</v>
      </c>
      <c r="AA325">
        <f t="shared" si="233"/>
        <v>0</v>
      </c>
      <c r="AB325">
        <f t="shared" si="234"/>
        <v>0</v>
      </c>
      <c r="AC325">
        <f t="shared" si="235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9"/>
        <v>_x001E_</v>
      </c>
      <c r="M326">
        <v>5</v>
      </c>
      <c r="N326" s="22" t="str">
        <f t="shared" si="203"/>
        <v>#</v>
      </c>
      <c r="O326" s="15" t="str">
        <f t="shared" si="204"/>
        <v>#</v>
      </c>
      <c r="P326" s="15" t="str">
        <f t="shared" si="205"/>
        <v/>
      </c>
      <c r="Q326" s="15" t="str">
        <f t="shared" si="206"/>
        <v/>
      </c>
      <c r="R326" s="16" t="str">
        <f t="shared" si="207"/>
        <v/>
      </c>
      <c r="S326" s="8" t="str">
        <f t="shared" si="208"/>
        <v/>
      </c>
      <c r="T326" s="2" t="str">
        <f t="shared" si="209"/>
        <v/>
      </c>
      <c r="U326" s="2" t="str">
        <f t="shared" si="210"/>
        <v/>
      </c>
      <c r="V326" t="str">
        <f t="shared" si="227"/>
        <v/>
      </c>
      <c r="X326">
        <f t="shared" si="230"/>
        <v>0</v>
      </c>
      <c r="Y326">
        <f t="shared" si="231"/>
        <v>0</v>
      </c>
      <c r="Z326">
        <f t="shared" si="232"/>
        <v>0</v>
      </c>
      <c r="AA326">
        <f t="shared" si="233"/>
        <v>0</v>
      </c>
      <c r="AB326">
        <f t="shared" si="234"/>
        <v>0</v>
      </c>
      <c r="AC326">
        <f t="shared" si="235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9"/>
        <v>_x001E_</v>
      </c>
      <c r="M327">
        <v>6</v>
      </c>
      <c r="N327" s="23" t="str">
        <f t="shared" si="203"/>
        <v>#</v>
      </c>
      <c r="O327" s="7" t="str">
        <f t="shared" si="204"/>
        <v>#</v>
      </c>
      <c r="P327" s="7" t="str">
        <f t="shared" si="205"/>
        <v/>
      </c>
      <c r="Q327" s="7" t="str">
        <f t="shared" si="206"/>
        <v/>
      </c>
      <c r="R327" s="17" t="str">
        <f t="shared" si="207"/>
        <v/>
      </c>
      <c r="S327" s="8" t="str">
        <f t="shared" si="208"/>
        <v/>
      </c>
      <c r="T327" s="2" t="str">
        <f t="shared" si="209"/>
        <v/>
      </c>
      <c r="U327" s="2" t="str">
        <f t="shared" si="210"/>
        <v/>
      </c>
      <c r="V327" t="str">
        <f t="shared" si="227"/>
        <v/>
      </c>
      <c r="X327">
        <f t="shared" si="230"/>
        <v>0</v>
      </c>
      <c r="Y327">
        <f t="shared" si="231"/>
        <v>0</v>
      </c>
      <c r="Z327">
        <f t="shared" si="232"/>
        <v>0</v>
      </c>
      <c r="AA327">
        <f t="shared" si="233"/>
        <v>0</v>
      </c>
      <c r="AB327">
        <f t="shared" si="234"/>
        <v>0</v>
      </c>
      <c r="AC327">
        <f t="shared" si="235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9"/>
        <v>_x001E_</v>
      </c>
      <c r="M328">
        <v>7</v>
      </c>
      <c r="N328" s="23" t="str">
        <f t="shared" si="203"/>
        <v>#</v>
      </c>
      <c r="O328" s="7" t="str">
        <f t="shared" si="204"/>
        <v>#</v>
      </c>
      <c r="P328" s="7" t="str">
        <f t="shared" si="205"/>
        <v/>
      </c>
      <c r="Q328" s="7" t="str">
        <f t="shared" si="206"/>
        <v/>
      </c>
      <c r="R328" s="17" t="str">
        <f t="shared" si="207"/>
        <v/>
      </c>
      <c r="S328" s="8" t="str">
        <f t="shared" si="208"/>
        <v/>
      </c>
      <c r="T328" s="2" t="str">
        <f t="shared" si="209"/>
        <v/>
      </c>
      <c r="U328" s="2" t="str">
        <f t="shared" si="210"/>
        <v/>
      </c>
      <c r="V328" t="str">
        <f t="shared" si="227"/>
        <v/>
      </c>
      <c r="X328">
        <f t="shared" si="230"/>
        <v>0</v>
      </c>
      <c r="Y328">
        <f t="shared" si="231"/>
        <v>0</v>
      </c>
      <c r="Z328">
        <f t="shared" si="232"/>
        <v>0</v>
      </c>
      <c r="AA328">
        <f t="shared" si="233"/>
        <v>0</v>
      </c>
      <c r="AB328">
        <f t="shared" si="234"/>
        <v>0</v>
      </c>
      <c r="AC328">
        <f t="shared" si="235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9"/>
        <v>_x001E_</v>
      </c>
      <c r="M329">
        <v>8</v>
      </c>
      <c r="N329" s="23" t="str">
        <f t="shared" si="203"/>
        <v>#</v>
      </c>
      <c r="O329" s="7" t="str">
        <f t="shared" si="204"/>
        <v>#</v>
      </c>
      <c r="P329" s="7" t="str">
        <f t="shared" si="205"/>
        <v/>
      </c>
      <c r="Q329" s="7" t="str">
        <f t="shared" si="206"/>
        <v/>
      </c>
      <c r="R329" s="17" t="str">
        <f t="shared" si="207"/>
        <v/>
      </c>
      <c r="S329" s="8" t="str">
        <f t="shared" si="208"/>
        <v/>
      </c>
      <c r="T329" s="2" t="str">
        <f t="shared" si="209"/>
        <v/>
      </c>
      <c r="U329" s="2" t="str">
        <f t="shared" si="210"/>
        <v/>
      </c>
      <c r="V329" t="str">
        <f t="shared" si="227"/>
        <v/>
      </c>
      <c r="X329">
        <f t="shared" si="230"/>
        <v>0</v>
      </c>
      <c r="Y329">
        <f t="shared" si="231"/>
        <v>0</v>
      </c>
      <c r="Z329">
        <f t="shared" si="232"/>
        <v>0</v>
      </c>
      <c r="AA329">
        <f t="shared" si="233"/>
        <v>0</v>
      </c>
      <c r="AB329">
        <f t="shared" si="234"/>
        <v>0</v>
      </c>
      <c r="AC329">
        <f t="shared" si="235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9"/>
        <v>_x001E_</v>
      </c>
      <c r="M330">
        <v>9</v>
      </c>
      <c r="N330" s="23" t="str">
        <f t="shared" si="203"/>
        <v>#</v>
      </c>
      <c r="O330" s="7" t="str">
        <f t="shared" si="204"/>
        <v>#</v>
      </c>
      <c r="P330" s="7" t="str">
        <f t="shared" si="205"/>
        <v/>
      </c>
      <c r="Q330" s="7" t="str">
        <f t="shared" si="206"/>
        <v/>
      </c>
      <c r="R330" s="17" t="str">
        <f t="shared" si="207"/>
        <v/>
      </c>
      <c r="S330" s="8" t="str">
        <f t="shared" si="208"/>
        <v/>
      </c>
      <c r="T330" s="2" t="str">
        <f t="shared" si="209"/>
        <v/>
      </c>
      <c r="U330" s="2" t="str">
        <f t="shared" si="210"/>
        <v/>
      </c>
      <c r="V330" t="str">
        <f t="shared" si="227"/>
        <v/>
      </c>
      <c r="X330">
        <f t="shared" si="230"/>
        <v>0</v>
      </c>
      <c r="Y330">
        <f t="shared" si="231"/>
        <v>0</v>
      </c>
      <c r="Z330">
        <f t="shared" si="232"/>
        <v>0</v>
      </c>
      <c r="AA330">
        <f t="shared" si="233"/>
        <v>0</v>
      </c>
      <c r="AB330">
        <f t="shared" si="234"/>
        <v>0</v>
      </c>
      <c r="AC330">
        <f t="shared" si="235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9"/>
        <v>_x001E_</v>
      </c>
      <c r="M331">
        <v>10</v>
      </c>
      <c r="N331" s="23" t="str">
        <f t="shared" si="203"/>
        <v>#</v>
      </c>
      <c r="O331" s="7" t="str">
        <f t="shared" si="204"/>
        <v>#</v>
      </c>
      <c r="P331" s="7" t="str">
        <f t="shared" si="205"/>
        <v/>
      </c>
      <c r="Q331" s="7" t="str">
        <f t="shared" si="206"/>
        <v/>
      </c>
      <c r="R331" s="17" t="str">
        <f t="shared" si="207"/>
        <v/>
      </c>
      <c r="S331" s="8" t="str">
        <f t="shared" si="208"/>
        <v/>
      </c>
      <c r="T331" s="2" t="str">
        <f t="shared" si="209"/>
        <v/>
      </c>
      <c r="U331" s="2" t="str">
        <f t="shared" si="210"/>
        <v/>
      </c>
      <c r="V331" t="str">
        <f t="shared" si="227"/>
        <v/>
      </c>
      <c r="X331">
        <f t="shared" si="230"/>
        <v>0</v>
      </c>
      <c r="Y331">
        <f t="shared" si="231"/>
        <v>0</v>
      </c>
      <c r="Z331">
        <f t="shared" si="232"/>
        <v>0</v>
      </c>
      <c r="AA331">
        <f t="shared" si="233"/>
        <v>0</v>
      </c>
      <c r="AB331">
        <f t="shared" si="234"/>
        <v>0</v>
      </c>
      <c r="AC331">
        <f t="shared" si="235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9"/>
        <v>_x001E_</v>
      </c>
      <c r="M332">
        <v>11</v>
      </c>
      <c r="N332" s="23" t="str">
        <f t="shared" si="203"/>
        <v>#</v>
      </c>
      <c r="O332" s="7" t="str">
        <f t="shared" si="204"/>
        <v>#</v>
      </c>
      <c r="P332" s="7" t="str">
        <f t="shared" si="205"/>
        <v/>
      </c>
      <c r="Q332" s="7" t="str">
        <f t="shared" si="206"/>
        <v/>
      </c>
      <c r="R332" s="17" t="str">
        <f t="shared" si="207"/>
        <v/>
      </c>
      <c r="S332" s="8" t="str">
        <f t="shared" si="208"/>
        <v/>
      </c>
      <c r="T332" s="2" t="str">
        <f t="shared" si="209"/>
        <v/>
      </c>
      <c r="U332" s="2" t="str">
        <f t="shared" si="210"/>
        <v/>
      </c>
      <c r="V332" t="str">
        <f t="shared" si="227"/>
        <v/>
      </c>
      <c r="X332">
        <f t="shared" si="230"/>
        <v>0</v>
      </c>
      <c r="Y332">
        <f t="shared" si="231"/>
        <v>0</v>
      </c>
      <c r="Z332">
        <f t="shared" si="232"/>
        <v>0</v>
      </c>
      <c r="AA332">
        <f t="shared" si="233"/>
        <v>0</v>
      </c>
      <c r="AB332">
        <f t="shared" si="234"/>
        <v>0</v>
      </c>
      <c r="AC332">
        <f t="shared" si="235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9"/>
        <v>_x001E_</v>
      </c>
      <c r="M333">
        <v>12</v>
      </c>
      <c r="N333" s="23" t="str">
        <f t="shared" si="203"/>
        <v>#</v>
      </c>
      <c r="O333" s="7" t="str">
        <f t="shared" si="204"/>
        <v>#</v>
      </c>
      <c r="P333" s="7" t="str">
        <f t="shared" si="205"/>
        <v/>
      </c>
      <c r="Q333" s="7" t="str">
        <f t="shared" si="206"/>
        <v/>
      </c>
      <c r="R333" s="17" t="str">
        <f t="shared" si="207"/>
        <v/>
      </c>
      <c r="S333" s="8" t="str">
        <f t="shared" si="208"/>
        <v/>
      </c>
      <c r="T333" s="2" t="str">
        <f t="shared" si="209"/>
        <v/>
      </c>
      <c r="U333" s="2" t="str">
        <f t="shared" si="210"/>
        <v/>
      </c>
      <c r="V333" t="str">
        <f t="shared" si="227"/>
        <v/>
      </c>
      <c r="X333">
        <f t="shared" si="230"/>
        <v>0</v>
      </c>
      <c r="Y333">
        <f t="shared" si="231"/>
        <v>0</v>
      </c>
      <c r="Z333">
        <f t="shared" si="232"/>
        <v>0</v>
      </c>
      <c r="AA333">
        <f t="shared" si="233"/>
        <v>0</v>
      </c>
      <c r="AB333">
        <f t="shared" si="234"/>
        <v>0</v>
      </c>
      <c r="AC333">
        <f t="shared" si="235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9"/>
        <v>_x001E_</v>
      </c>
      <c r="M334">
        <v>13</v>
      </c>
      <c r="N334" s="6" t="str">
        <f t="shared" si="203"/>
        <v>#</v>
      </c>
      <c r="O334" s="7" t="str">
        <f t="shared" si="204"/>
        <v>#</v>
      </c>
      <c r="P334" s="7" t="str">
        <f t="shared" si="205"/>
        <v/>
      </c>
      <c r="Q334" s="7" t="str">
        <f t="shared" si="206"/>
        <v/>
      </c>
      <c r="R334" s="17" t="str">
        <f t="shared" si="207"/>
        <v/>
      </c>
      <c r="S334" s="8" t="str">
        <f t="shared" si="208"/>
        <v/>
      </c>
      <c r="T334" s="2" t="str">
        <f t="shared" si="209"/>
        <v/>
      </c>
      <c r="U334" s="2" t="str">
        <f t="shared" si="210"/>
        <v/>
      </c>
      <c r="V334" t="str">
        <f t="shared" si="227"/>
        <v/>
      </c>
      <c r="X334">
        <f t="shared" si="230"/>
        <v>0</v>
      </c>
      <c r="Y334">
        <f t="shared" si="231"/>
        <v>0</v>
      </c>
      <c r="Z334">
        <f t="shared" si="232"/>
        <v>0</v>
      </c>
      <c r="AA334">
        <f t="shared" si="233"/>
        <v>0</v>
      </c>
      <c r="AB334">
        <f t="shared" si="234"/>
        <v>0</v>
      </c>
      <c r="AC334">
        <f t="shared" si="235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9"/>
        <v>_x001E_</v>
      </c>
      <c r="M335">
        <v>14</v>
      </c>
      <c r="N335" s="18" t="str">
        <f t="shared" si="203"/>
        <v>#</v>
      </c>
      <c r="O335" s="19" t="str">
        <f t="shared" si="204"/>
        <v>#</v>
      </c>
      <c r="P335" s="19" t="str">
        <f t="shared" si="205"/>
        <v/>
      </c>
      <c r="Q335" s="19" t="str">
        <f t="shared" si="206"/>
        <v/>
      </c>
      <c r="R335" s="20" t="str">
        <f t="shared" si="207"/>
        <v/>
      </c>
      <c r="S335" s="8" t="str">
        <f t="shared" si="208"/>
        <v/>
      </c>
      <c r="T335" s="2" t="str">
        <f t="shared" si="209"/>
        <v/>
      </c>
      <c r="U335" s="2" t="str">
        <f t="shared" si="210"/>
        <v/>
      </c>
      <c r="V335" t="str">
        <f t="shared" si="227"/>
        <v/>
      </c>
      <c r="X335">
        <f t="shared" si="230"/>
        <v>0</v>
      </c>
      <c r="Y335">
        <f t="shared" si="231"/>
        <v>0</v>
      </c>
      <c r="Z335">
        <f t="shared" si="232"/>
        <v>0</v>
      </c>
      <c r="AA335">
        <f t="shared" si="233"/>
        <v>0</v>
      </c>
      <c r="AB335">
        <f t="shared" si="234"/>
        <v>0</v>
      </c>
      <c r="AC335">
        <f t="shared" si="235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9"/>
        <v>_x001E_</v>
      </c>
      <c r="M336">
        <v>15</v>
      </c>
      <c r="N336" s="9" t="str">
        <f t="shared" si="203"/>
        <v>#</v>
      </c>
      <c r="O336" s="10" t="str">
        <f t="shared" si="204"/>
        <v>#</v>
      </c>
      <c r="P336" s="10" t="str">
        <f t="shared" si="205"/>
        <v/>
      </c>
      <c r="Q336" s="10" t="str">
        <f t="shared" si="206"/>
        <v/>
      </c>
      <c r="R336" s="10" t="str">
        <f t="shared" si="207"/>
        <v/>
      </c>
      <c r="S336" s="11" t="str">
        <f t="shared" si="208"/>
        <v/>
      </c>
      <c r="T336" s="2" t="str">
        <f t="shared" si="209"/>
        <v/>
      </c>
      <c r="U336" s="2" t="str">
        <f t="shared" si="210"/>
        <v/>
      </c>
      <c r="V336" t="str">
        <f t="shared" si="227"/>
        <v/>
      </c>
      <c r="X336">
        <f t="shared" si="230"/>
        <v>0</v>
      </c>
      <c r="Y336">
        <f t="shared" si="231"/>
        <v>0</v>
      </c>
      <c r="Z336">
        <f t="shared" si="232"/>
        <v>0</v>
      </c>
      <c r="AA336">
        <f t="shared" si="233"/>
        <v>0</v>
      </c>
      <c r="AB336">
        <f t="shared" si="234"/>
        <v>0</v>
      </c>
      <c r="AC336">
        <f t="shared" si="235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9"/>
        <v>_x001E_</v>
      </c>
      <c r="M337">
        <v>16</v>
      </c>
      <c r="N337" s="12" t="str">
        <f t="shared" si="203"/>
        <v>#</v>
      </c>
      <c r="O337" s="13" t="str">
        <f t="shared" si="204"/>
        <v>#</v>
      </c>
      <c r="P337" s="13" t="str">
        <f t="shared" si="205"/>
        <v/>
      </c>
      <c r="Q337" s="13" t="str">
        <f t="shared" si="206"/>
        <v/>
      </c>
      <c r="R337" s="13" t="str">
        <f t="shared" si="207"/>
        <v/>
      </c>
      <c r="S337" s="14" t="str">
        <f t="shared" si="208"/>
        <v/>
      </c>
      <c r="T337" s="2" t="str">
        <f t="shared" si="209"/>
        <v/>
      </c>
      <c r="U337" s="2" t="str">
        <f t="shared" si="210"/>
        <v/>
      </c>
      <c r="V337" t="str">
        <f t="shared" si="227"/>
        <v/>
      </c>
      <c r="X337">
        <f t="shared" si="230"/>
        <v>0</v>
      </c>
      <c r="Y337">
        <f t="shared" si="231"/>
        <v>0</v>
      </c>
      <c r="Z337">
        <f t="shared" si="232"/>
        <v>0</v>
      </c>
      <c r="AA337">
        <f t="shared" si="233"/>
        <v>0</v>
      </c>
      <c r="AB337">
        <f t="shared" si="234"/>
        <v>0</v>
      </c>
      <c r="AC337">
        <f t="shared" si="235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203"/>
        <v/>
      </c>
      <c r="O338" t="str">
        <f t="shared" si="204"/>
        <v/>
      </c>
      <c r="P338" t="str">
        <f t="shared" si="205"/>
        <v/>
      </c>
      <c r="Q338" t="str">
        <f t="shared" si="206"/>
        <v/>
      </c>
      <c r="R338" t="str">
        <f t="shared" si="207"/>
        <v/>
      </c>
      <c r="S338" t="str">
        <f t="shared" si="208"/>
        <v/>
      </c>
      <c r="T338" s="2" t="str">
        <f t="shared" si="209"/>
        <v/>
      </c>
      <c r="U338" s="2" t="str">
        <f t="shared" si="210"/>
        <v/>
      </c>
      <c r="V338" t="str">
        <f t="shared" si="227"/>
        <v/>
      </c>
      <c r="W338">
        <f>SUM(B340:G353)</f>
        <v>14</v>
      </c>
      <c r="AD338">
        <f t="shared" ref="AD338" si="236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7">L338</f>
        <v>_x001F_</v>
      </c>
      <c r="M339">
        <v>2</v>
      </c>
      <c r="N339" t="str">
        <f t="shared" si="203"/>
        <v/>
      </c>
      <c r="O339" t="str">
        <f t="shared" si="204"/>
        <v/>
      </c>
      <c r="P339" t="str">
        <f t="shared" si="205"/>
        <v/>
      </c>
      <c r="Q339" t="str">
        <f t="shared" si="206"/>
        <v/>
      </c>
      <c r="R339" t="str">
        <f t="shared" si="207"/>
        <v/>
      </c>
      <c r="S339" t="str">
        <f t="shared" si="208"/>
        <v/>
      </c>
      <c r="T339" s="2" t="str">
        <f t="shared" si="209"/>
        <v/>
      </c>
      <c r="U339" s="2" t="str">
        <f t="shared" si="210"/>
        <v/>
      </c>
      <c r="V339" t="str">
        <f t="shared" si="227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7"/>
        <v>_x001F_</v>
      </c>
      <c r="M340">
        <v>3</v>
      </c>
      <c r="N340" s="3" t="str">
        <f t="shared" si="203"/>
        <v>#</v>
      </c>
      <c r="O340" s="4" t="str">
        <f t="shared" si="204"/>
        <v/>
      </c>
      <c r="P340" s="4" t="str">
        <f t="shared" si="205"/>
        <v/>
      </c>
      <c r="Q340" s="4" t="str">
        <f t="shared" si="206"/>
        <v/>
      </c>
      <c r="R340" s="4" t="str">
        <f t="shared" si="207"/>
        <v/>
      </c>
      <c r="S340" s="5" t="str">
        <f t="shared" si="208"/>
        <v/>
      </c>
      <c r="T340" s="2" t="str">
        <f t="shared" si="209"/>
        <v/>
      </c>
      <c r="U340" s="2" t="str">
        <f t="shared" si="210"/>
        <v/>
      </c>
      <c r="V340" t="str">
        <f t="shared" si="227"/>
        <v/>
      </c>
      <c r="X340">
        <f t="shared" ref="X340:X353" si="238">MAX(B340-B339,0)</f>
        <v>1</v>
      </c>
      <c r="Y340">
        <f t="shared" ref="Y340:Y353" si="239">MAX(C340-C339,0)</f>
        <v>0</v>
      </c>
      <c r="Z340">
        <f t="shared" ref="Z340:Z353" si="240">MAX(D340-D339,0)</f>
        <v>0</v>
      </c>
      <c r="AA340">
        <f t="shared" ref="AA340:AA353" si="241">MAX(E340-E339,0)</f>
        <v>0</v>
      </c>
      <c r="AB340">
        <f t="shared" ref="AB340:AB353" si="242">MAX(F340-F339,0)</f>
        <v>0</v>
      </c>
      <c r="AC340">
        <f t="shared" ref="AC340:AC353" si="243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7"/>
        <v>_x001F_</v>
      </c>
      <c r="M341">
        <v>4</v>
      </c>
      <c r="N341" s="6" t="str">
        <f t="shared" si="203"/>
        <v>#</v>
      </c>
      <c r="O341" s="7" t="str">
        <f t="shared" si="204"/>
        <v/>
      </c>
      <c r="P341" s="7" t="str">
        <f t="shared" si="205"/>
        <v/>
      </c>
      <c r="Q341" s="7" t="str">
        <f t="shared" si="206"/>
        <v/>
      </c>
      <c r="R341" s="7" t="str">
        <f t="shared" si="207"/>
        <v/>
      </c>
      <c r="S341" s="8" t="str">
        <f t="shared" si="208"/>
        <v/>
      </c>
      <c r="T341" s="2" t="str">
        <f t="shared" si="209"/>
        <v/>
      </c>
      <c r="U341" s="2" t="str">
        <f t="shared" si="210"/>
        <v/>
      </c>
      <c r="V341" t="str">
        <f t="shared" si="227"/>
        <v/>
      </c>
      <c r="X341">
        <f t="shared" si="238"/>
        <v>0</v>
      </c>
      <c r="Y341">
        <f t="shared" si="239"/>
        <v>0</v>
      </c>
      <c r="Z341">
        <f t="shared" si="240"/>
        <v>0</v>
      </c>
      <c r="AA341">
        <f t="shared" si="241"/>
        <v>0</v>
      </c>
      <c r="AB341">
        <f t="shared" si="242"/>
        <v>0</v>
      </c>
      <c r="AC341">
        <f t="shared" si="243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7"/>
        <v>_x001F_</v>
      </c>
      <c r="M342">
        <v>5</v>
      </c>
      <c r="N342" s="22" t="str">
        <f t="shared" si="203"/>
        <v>#</v>
      </c>
      <c r="O342" s="15" t="str">
        <f t="shared" si="204"/>
        <v/>
      </c>
      <c r="P342" s="15" t="str">
        <f t="shared" si="205"/>
        <v/>
      </c>
      <c r="Q342" s="15" t="str">
        <f t="shared" si="206"/>
        <v/>
      </c>
      <c r="R342" s="16" t="str">
        <f t="shared" si="207"/>
        <v/>
      </c>
      <c r="S342" s="8" t="str">
        <f t="shared" si="208"/>
        <v/>
      </c>
      <c r="T342" s="2" t="str">
        <f t="shared" si="209"/>
        <v/>
      </c>
      <c r="U342" s="2" t="str">
        <f t="shared" si="210"/>
        <v/>
      </c>
      <c r="V342" t="str">
        <f t="shared" si="227"/>
        <v/>
      </c>
      <c r="X342">
        <f t="shared" si="238"/>
        <v>0</v>
      </c>
      <c r="Y342">
        <f t="shared" si="239"/>
        <v>0</v>
      </c>
      <c r="Z342">
        <f t="shared" si="240"/>
        <v>0</v>
      </c>
      <c r="AA342">
        <f t="shared" si="241"/>
        <v>0</v>
      </c>
      <c r="AB342">
        <f t="shared" si="242"/>
        <v>0</v>
      </c>
      <c r="AC342">
        <f t="shared" si="243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7"/>
        <v>_x001F_</v>
      </c>
      <c r="M343">
        <v>6</v>
      </c>
      <c r="N343" s="23" t="str">
        <f t="shared" si="203"/>
        <v>#</v>
      </c>
      <c r="O343" s="7" t="str">
        <f t="shared" si="204"/>
        <v/>
      </c>
      <c r="P343" s="7" t="str">
        <f t="shared" si="205"/>
        <v/>
      </c>
      <c r="Q343" s="7" t="str">
        <f t="shared" si="206"/>
        <v/>
      </c>
      <c r="R343" s="17" t="str">
        <f t="shared" si="207"/>
        <v/>
      </c>
      <c r="S343" s="8" t="str">
        <f t="shared" si="208"/>
        <v/>
      </c>
      <c r="T343" s="2" t="str">
        <f t="shared" si="209"/>
        <v/>
      </c>
      <c r="U343" s="2" t="str">
        <f t="shared" si="210"/>
        <v/>
      </c>
      <c r="V343" t="str">
        <f t="shared" si="227"/>
        <v/>
      </c>
      <c r="X343">
        <f t="shared" si="238"/>
        <v>0</v>
      </c>
      <c r="Y343">
        <f t="shared" si="239"/>
        <v>0</v>
      </c>
      <c r="Z343">
        <f t="shared" si="240"/>
        <v>0</v>
      </c>
      <c r="AA343">
        <f t="shared" si="241"/>
        <v>0</v>
      </c>
      <c r="AB343">
        <f t="shared" si="242"/>
        <v>0</v>
      </c>
      <c r="AC343">
        <f t="shared" si="243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7"/>
        <v>_x001F_</v>
      </c>
      <c r="M344">
        <v>7</v>
      </c>
      <c r="N344" s="23" t="str">
        <f t="shared" si="203"/>
        <v>#</v>
      </c>
      <c r="O344" s="7" t="str">
        <f t="shared" si="204"/>
        <v/>
      </c>
      <c r="P344" s="7" t="str">
        <f t="shared" si="205"/>
        <v/>
      </c>
      <c r="Q344" s="7" t="str">
        <f t="shared" si="206"/>
        <v/>
      </c>
      <c r="R344" s="17" t="str">
        <f t="shared" si="207"/>
        <v/>
      </c>
      <c r="S344" s="8" t="str">
        <f t="shared" si="208"/>
        <v/>
      </c>
      <c r="T344" s="2" t="str">
        <f t="shared" si="209"/>
        <v/>
      </c>
      <c r="U344" s="2" t="str">
        <f t="shared" si="210"/>
        <v/>
      </c>
      <c r="V344" t="str">
        <f t="shared" si="227"/>
        <v/>
      </c>
      <c r="X344">
        <f t="shared" si="238"/>
        <v>0</v>
      </c>
      <c r="Y344">
        <f t="shared" si="239"/>
        <v>0</v>
      </c>
      <c r="Z344">
        <f t="shared" si="240"/>
        <v>0</v>
      </c>
      <c r="AA344">
        <f t="shared" si="241"/>
        <v>0</v>
      </c>
      <c r="AB344">
        <f t="shared" si="242"/>
        <v>0</v>
      </c>
      <c r="AC344">
        <f t="shared" si="243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7"/>
        <v>_x001F_</v>
      </c>
      <c r="M345">
        <v>8</v>
      </c>
      <c r="N345" s="23" t="str">
        <f t="shared" si="203"/>
        <v>#</v>
      </c>
      <c r="O345" s="7" t="str">
        <f t="shared" si="204"/>
        <v/>
      </c>
      <c r="P345" s="7" t="str">
        <f t="shared" si="205"/>
        <v/>
      </c>
      <c r="Q345" s="7" t="str">
        <f t="shared" si="206"/>
        <v/>
      </c>
      <c r="R345" s="17" t="str">
        <f t="shared" si="207"/>
        <v/>
      </c>
      <c r="S345" s="8" t="str">
        <f t="shared" si="208"/>
        <v/>
      </c>
      <c r="T345" s="2" t="str">
        <f t="shared" si="209"/>
        <v/>
      </c>
      <c r="U345" s="2" t="str">
        <f t="shared" si="210"/>
        <v/>
      </c>
      <c r="V345" t="str">
        <f t="shared" si="227"/>
        <v/>
      </c>
      <c r="X345">
        <f t="shared" si="238"/>
        <v>0</v>
      </c>
      <c r="Y345">
        <f t="shared" si="239"/>
        <v>0</v>
      </c>
      <c r="Z345">
        <f t="shared" si="240"/>
        <v>0</v>
      </c>
      <c r="AA345">
        <f t="shared" si="241"/>
        <v>0</v>
      </c>
      <c r="AB345">
        <f t="shared" si="242"/>
        <v>0</v>
      </c>
      <c r="AC345">
        <f t="shared" si="243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7"/>
        <v>_x001F_</v>
      </c>
      <c r="M346">
        <v>9</v>
      </c>
      <c r="N346" s="23" t="str">
        <f t="shared" si="203"/>
        <v>#</v>
      </c>
      <c r="O346" s="7" t="str">
        <f t="shared" si="204"/>
        <v/>
      </c>
      <c r="P346" s="7" t="str">
        <f t="shared" si="205"/>
        <v/>
      </c>
      <c r="Q346" s="7" t="str">
        <f t="shared" si="206"/>
        <v/>
      </c>
      <c r="R346" s="17" t="str">
        <f t="shared" si="207"/>
        <v/>
      </c>
      <c r="S346" s="8" t="str">
        <f t="shared" si="208"/>
        <v/>
      </c>
      <c r="T346" s="2" t="str">
        <f t="shared" si="209"/>
        <v/>
      </c>
      <c r="U346" s="2" t="str">
        <f t="shared" si="210"/>
        <v/>
      </c>
      <c r="V346" t="str">
        <f t="shared" si="227"/>
        <v/>
      </c>
      <c r="X346">
        <f t="shared" si="238"/>
        <v>0</v>
      </c>
      <c r="Y346">
        <f t="shared" si="239"/>
        <v>0</v>
      </c>
      <c r="Z346">
        <f t="shared" si="240"/>
        <v>0</v>
      </c>
      <c r="AA346">
        <f t="shared" si="241"/>
        <v>0</v>
      </c>
      <c r="AB346">
        <f t="shared" si="242"/>
        <v>0</v>
      </c>
      <c r="AC346">
        <f t="shared" si="243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7"/>
        <v>_x001F_</v>
      </c>
      <c r="M347">
        <v>10</v>
      </c>
      <c r="N347" s="23" t="str">
        <f t="shared" si="203"/>
        <v>#</v>
      </c>
      <c r="O347" s="7" t="str">
        <f t="shared" si="204"/>
        <v/>
      </c>
      <c r="P347" s="7" t="str">
        <f t="shared" si="205"/>
        <v/>
      </c>
      <c r="Q347" s="7" t="str">
        <f t="shared" si="206"/>
        <v/>
      </c>
      <c r="R347" s="17" t="str">
        <f t="shared" si="207"/>
        <v/>
      </c>
      <c r="S347" s="8" t="str">
        <f t="shared" si="208"/>
        <v/>
      </c>
      <c r="T347" s="2" t="str">
        <f t="shared" si="209"/>
        <v/>
      </c>
      <c r="U347" s="2" t="str">
        <f t="shared" si="210"/>
        <v/>
      </c>
      <c r="V347" t="str">
        <f t="shared" si="227"/>
        <v/>
      </c>
      <c r="X347">
        <f t="shared" si="238"/>
        <v>0</v>
      </c>
      <c r="Y347">
        <f t="shared" si="239"/>
        <v>0</v>
      </c>
      <c r="Z347">
        <f t="shared" si="240"/>
        <v>0</v>
      </c>
      <c r="AA347">
        <f t="shared" si="241"/>
        <v>0</v>
      </c>
      <c r="AB347">
        <f t="shared" si="242"/>
        <v>0</v>
      </c>
      <c r="AC347">
        <f t="shared" si="243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7"/>
        <v>_x001F_</v>
      </c>
      <c r="M348">
        <v>11</v>
      </c>
      <c r="N348" s="23" t="str">
        <f t="shared" si="203"/>
        <v>#</v>
      </c>
      <c r="O348" s="7" t="str">
        <f t="shared" si="204"/>
        <v/>
      </c>
      <c r="P348" s="7" t="str">
        <f t="shared" si="205"/>
        <v/>
      </c>
      <c r="Q348" s="7" t="str">
        <f t="shared" si="206"/>
        <v/>
      </c>
      <c r="R348" s="17" t="str">
        <f t="shared" si="207"/>
        <v/>
      </c>
      <c r="S348" s="8" t="str">
        <f t="shared" si="208"/>
        <v/>
      </c>
      <c r="T348" s="2" t="str">
        <f t="shared" si="209"/>
        <v/>
      </c>
      <c r="U348" s="2" t="str">
        <f t="shared" si="210"/>
        <v/>
      </c>
      <c r="V348" t="str">
        <f t="shared" si="227"/>
        <v/>
      </c>
      <c r="X348">
        <f t="shared" si="238"/>
        <v>0</v>
      </c>
      <c r="Y348">
        <f t="shared" si="239"/>
        <v>0</v>
      </c>
      <c r="Z348">
        <f t="shared" si="240"/>
        <v>0</v>
      </c>
      <c r="AA348">
        <f t="shared" si="241"/>
        <v>0</v>
      </c>
      <c r="AB348">
        <f t="shared" si="242"/>
        <v>0</v>
      </c>
      <c r="AC348">
        <f t="shared" si="243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7"/>
        <v>_x001F_</v>
      </c>
      <c r="M349">
        <v>12</v>
      </c>
      <c r="N349" s="23" t="str">
        <f t="shared" si="203"/>
        <v>#</v>
      </c>
      <c r="O349" s="7" t="str">
        <f t="shared" si="204"/>
        <v/>
      </c>
      <c r="P349" s="7" t="str">
        <f t="shared" si="205"/>
        <v/>
      </c>
      <c r="Q349" s="7" t="str">
        <f t="shared" si="206"/>
        <v/>
      </c>
      <c r="R349" s="17" t="str">
        <f t="shared" si="207"/>
        <v/>
      </c>
      <c r="S349" s="8" t="str">
        <f t="shared" si="208"/>
        <v/>
      </c>
      <c r="T349" s="2" t="str">
        <f t="shared" si="209"/>
        <v/>
      </c>
      <c r="U349" s="2" t="str">
        <f t="shared" si="210"/>
        <v/>
      </c>
      <c r="V349" t="str">
        <f t="shared" si="227"/>
        <v/>
      </c>
      <c r="X349">
        <f t="shared" si="238"/>
        <v>0</v>
      </c>
      <c r="Y349">
        <f t="shared" si="239"/>
        <v>0</v>
      </c>
      <c r="Z349">
        <f t="shared" si="240"/>
        <v>0</v>
      </c>
      <c r="AA349">
        <f t="shared" si="241"/>
        <v>0</v>
      </c>
      <c r="AB349">
        <f t="shared" si="242"/>
        <v>0</v>
      </c>
      <c r="AC349">
        <f t="shared" si="243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7"/>
        <v>_x001F_</v>
      </c>
      <c r="M350">
        <v>13</v>
      </c>
      <c r="N350" s="6" t="str">
        <f t="shared" si="203"/>
        <v>#</v>
      </c>
      <c r="O350" s="7" t="str">
        <f t="shared" si="204"/>
        <v/>
      </c>
      <c r="P350" s="7" t="str">
        <f t="shared" si="205"/>
        <v/>
      </c>
      <c r="Q350" s="7" t="str">
        <f t="shared" si="206"/>
        <v/>
      </c>
      <c r="R350" s="17" t="str">
        <f t="shared" si="207"/>
        <v/>
      </c>
      <c r="S350" s="8" t="str">
        <f t="shared" si="208"/>
        <v/>
      </c>
      <c r="T350" s="2" t="str">
        <f t="shared" si="209"/>
        <v/>
      </c>
      <c r="U350" s="2" t="str">
        <f t="shared" si="210"/>
        <v/>
      </c>
      <c r="V350" t="str">
        <f t="shared" si="227"/>
        <v/>
      </c>
      <c r="X350">
        <f t="shared" si="238"/>
        <v>0</v>
      </c>
      <c r="Y350">
        <f t="shared" si="239"/>
        <v>0</v>
      </c>
      <c r="Z350">
        <f t="shared" si="240"/>
        <v>0</v>
      </c>
      <c r="AA350">
        <f t="shared" si="241"/>
        <v>0</v>
      </c>
      <c r="AB350">
        <f t="shared" si="242"/>
        <v>0</v>
      </c>
      <c r="AC350">
        <f t="shared" si="243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7"/>
        <v>_x001F_</v>
      </c>
      <c r="M351">
        <v>14</v>
      </c>
      <c r="N351" s="18" t="str">
        <f t="shared" si="203"/>
        <v>#</v>
      </c>
      <c r="O351" s="19" t="str">
        <f t="shared" si="204"/>
        <v/>
      </c>
      <c r="P351" s="19" t="str">
        <f t="shared" si="205"/>
        <v/>
      </c>
      <c r="Q351" s="19" t="str">
        <f t="shared" si="206"/>
        <v/>
      </c>
      <c r="R351" s="20" t="str">
        <f t="shared" si="207"/>
        <v/>
      </c>
      <c r="S351" s="8" t="str">
        <f t="shared" si="208"/>
        <v/>
      </c>
      <c r="T351" s="2" t="str">
        <f t="shared" si="209"/>
        <v/>
      </c>
      <c r="U351" s="2" t="str">
        <f t="shared" si="210"/>
        <v/>
      </c>
      <c r="V351" t="str">
        <f t="shared" si="227"/>
        <v/>
      </c>
      <c r="X351">
        <f t="shared" si="238"/>
        <v>0</v>
      </c>
      <c r="Y351">
        <f t="shared" si="239"/>
        <v>0</v>
      </c>
      <c r="Z351">
        <f t="shared" si="240"/>
        <v>0</v>
      </c>
      <c r="AA351">
        <f t="shared" si="241"/>
        <v>0</v>
      </c>
      <c r="AB351">
        <f t="shared" si="242"/>
        <v>0</v>
      </c>
      <c r="AC351">
        <f t="shared" si="243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7"/>
        <v>_x001F_</v>
      </c>
      <c r="M352">
        <v>15</v>
      </c>
      <c r="N352" s="9" t="str">
        <f t="shared" si="203"/>
        <v>#</v>
      </c>
      <c r="O352" s="10" t="str">
        <f t="shared" si="204"/>
        <v/>
      </c>
      <c r="P352" s="10" t="str">
        <f t="shared" si="205"/>
        <v/>
      </c>
      <c r="Q352" s="10" t="str">
        <f t="shared" si="206"/>
        <v/>
      </c>
      <c r="R352" s="10" t="str">
        <f t="shared" si="207"/>
        <v/>
      </c>
      <c r="S352" s="11" t="str">
        <f t="shared" si="208"/>
        <v/>
      </c>
      <c r="T352" s="2" t="str">
        <f t="shared" si="209"/>
        <v/>
      </c>
      <c r="U352" s="2" t="str">
        <f t="shared" si="210"/>
        <v/>
      </c>
      <c r="V352" t="str">
        <f t="shared" si="227"/>
        <v/>
      </c>
      <c r="X352">
        <f t="shared" si="238"/>
        <v>0</v>
      </c>
      <c r="Y352">
        <f t="shared" si="239"/>
        <v>0</v>
      </c>
      <c r="Z352">
        <f t="shared" si="240"/>
        <v>0</v>
      </c>
      <c r="AA352">
        <f t="shared" si="241"/>
        <v>0</v>
      </c>
      <c r="AB352">
        <f t="shared" si="242"/>
        <v>0</v>
      </c>
      <c r="AC352">
        <f t="shared" si="243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7"/>
        <v>_x001F_</v>
      </c>
      <c r="M353">
        <v>16</v>
      </c>
      <c r="N353" s="12" t="str">
        <f t="shared" si="203"/>
        <v>#</v>
      </c>
      <c r="O353" s="13" t="str">
        <f t="shared" si="204"/>
        <v/>
      </c>
      <c r="P353" s="13" t="str">
        <f t="shared" si="205"/>
        <v/>
      </c>
      <c r="Q353" s="13" t="str">
        <f t="shared" si="206"/>
        <v/>
      </c>
      <c r="R353" s="13" t="str">
        <f t="shared" si="207"/>
        <v/>
      </c>
      <c r="S353" s="14" t="str">
        <f t="shared" si="208"/>
        <v/>
      </c>
      <c r="T353" s="2" t="str">
        <f t="shared" si="209"/>
        <v/>
      </c>
      <c r="U353" s="2" t="str">
        <f t="shared" si="210"/>
        <v/>
      </c>
      <c r="V353" t="str">
        <f t="shared" si="227"/>
        <v/>
      </c>
      <c r="X353">
        <f t="shared" si="238"/>
        <v>0</v>
      </c>
      <c r="Y353">
        <f t="shared" si="239"/>
        <v>0</v>
      </c>
      <c r="Z353">
        <f t="shared" si="240"/>
        <v>0</v>
      </c>
      <c r="AA353">
        <f t="shared" si="241"/>
        <v>0</v>
      </c>
      <c r="AB353">
        <f t="shared" si="242"/>
        <v>0</v>
      </c>
      <c r="AC353">
        <f t="shared" si="243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44">IF(B354&gt;0,"#","")</f>
        <v/>
      </c>
      <c r="O354" t="str">
        <f t="shared" ref="O354:O417" si="245">IF(C354&gt;0,"#","")</f>
        <v/>
      </c>
      <c r="P354" t="str">
        <f t="shared" ref="P354:P417" si="246">IF(D354&gt;0,"#","")</f>
        <v/>
      </c>
      <c r="Q354" t="str">
        <f t="shared" ref="Q354:Q417" si="247">IF(E354&gt;0,"#","")</f>
        <v/>
      </c>
      <c r="R354" t="str">
        <f t="shared" ref="R354:R417" si="248">IF(F354&gt;0,"#","")</f>
        <v/>
      </c>
      <c r="S354" t="str">
        <f t="shared" ref="S354:S417" si="249">IF(G354&gt;0,"#","")</f>
        <v/>
      </c>
      <c r="T354" s="2" t="str">
        <f t="shared" ref="T354:T417" si="250">IF(H354&gt;0,"#","")</f>
        <v/>
      </c>
      <c r="U354" s="2" t="str">
        <f t="shared" ref="U354:U417" si="251">IF(I354&gt;0,"#","")</f>
        <v/>
      </c>
      <c r="V354" t="str">
        <f t="shared" si="227"/>
        <v/>
      </c>
      <c r="W354">
        <f>SUM(B356:G369)</f>
        <v>0</v>
      </c>
      <c r="AD354">
        <f t="shared" ref="AD354" si="252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53">L354</f>
        <v xml:space="preserve"> </v>
      </c>
      <c r="M355">
        <v>2</v>
      </c>
      <c r="N355" t="str">
        <f t="shared" si="244"/>
        <v/>
      </c>
      <c r="O355" t="str">
        <f t="shared" si="245"/>
        <v/>
      </c>
      <c r="P355" t="str">
        <f t="shared" si="246"/>
        <v/>
      </c>
      <c r="Q355" t="str">
        <f t="shared" si="247"/>
        <v/>
      </c>
      <c r="R355" t="str">
        <f t="shared" si="248"/>
        <v/>
      </c>
      <c r="S355" t="str">
        <f t="shared" si="249"/>
        <v/>
      </c>
      <c r="T355" s="2" t="str">
        <f t="shared" si="250"/>
        <v/>
      </c>
      <c r="U355" s="2" t="str">
        <f t="shared" si="251"/>
        <v/>
      </c>
      <c r="V355" t="str">
        <f t="shared" si="227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53"/>
        <v xml:space="preserve"> </v>
      </c>
      <c r="M356">
        <v>3</v>
      </c>
      <c r="N356" s="3" t="str">
        <f t="shared" si="244"/>
        <v/>
      </c>
      <c r="O356" s="4" t="str">
        <f t="shared" si="245"/>
        <v/>
      </c>
      <c r="P356" s="4" t="str">
        <f t="shared" si="246"/>
        <v/>
      </c>
      <c r="Q356" s="4" t="str">
        <f t="shared" si="247"/>
        <v/>
      </c>
      <c r="R356" s="4" t="str">
        <f t="shared" si="248"/>
        <v/>
      </c>
      <c r="S356" s="5" t="str">
        <f t="shared" si="249"/>
        <v/>
      </c>
      <c r="T356" s="2" t="str">
        <f t="shared" si="250"/>
        <v/>
      </c>
      <c r="U356" s="2" t="str">
        <f t="shared" si="251"/>
        <v/>
      </c>
      <c r="V356" t="str">
        <f t="shared" si="227"/>
        <v/>
      </c>
      <c r="X356">
        <f t="shared" ref="X356:X369" si="254">MAX(B356-B355,0)</f>
        <v>0</v>
      </c>
      <c r="Y356">
        <f t="shared" ref="Y356:Y369" si="255">MAX(C356-C355,0)</f>
        <v>0</v>
      </c>
      <c r="Z356">
        <f t="shared" ref="Z356:Z369" si="256">MAX(D356-D355,0)</f>
        <v>0</v>
      </c>
      <c r="AA356">
        <f t="shared" ref="AA356:AA369" si="257">MAX(E356-E355,0)</f>
        <v>0</v>
      </c>
      <c r="AB356">
        <f t="shared" ref="AB356:AB369" si="258">MAX(F356-F355,0)</f>
        <v>0</v>
      </c>
      <c r="AC356">
        <f t="shared" ref="AC356:AC369" si="259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53"/>
        <v xml:space="preserve"> </v>
      </c>
      <c r="M357">
        <v>4</v>
      </c>
      <c r="N357" s="6" t="str">
        <f t="shared" si="244"/>
        <v/>
      </c>
      <c r="O357" s="7" t="str">
        <f t="shared" si="245"/>
        <v/>
      </c>
      <c r="P357" s="7" t="str">
        <f t="shared" si="246"/>
        <v/>
      </c>
      <c r="Q357" s="7" t="str">
        <f t="shared" si="247"/>
        <v/>
      </c>
      <c r="R357" s="7" t="str">
        <f t="shared" si="248"/>
        <v/>
      </c>
      <c r="S357" s="8" t="str">
        <f t="shared" si="249"/>
        <v/>
      </c>
      <c r="T357" s="2" t="str">
        <f t="shared" si="250"/>
        <v/>
      </c>
      <c r="U357" s="2" t="str">
        <f t="shared" si="251"/>
        <v/>
      </c>
      <c r="V357" t="str">
        <f t="shared" si="227"/>
        <v/>
      </c>
      <c r="X357">
        <f t="shared" si="254"/>
        <v>0</v>
      </c>
      <c r="Y357">
        <f t="shared" si="255"/>
        <v>0</v>
      </c>
      <c r="Z357">
        <f t="shared" si="256"/>
        <v>0</v>
      </c>
      <c r="AA357">
        <f t="shared" si="257"/>
        <v>0</v>
      </c>
      <c r="AB357">
        <f t="shared" si="258"/>
        <v>0</v>
      </c>
      <c r="AC357">
        <f t="shared" si="259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53"/>
        <v xml:space="preserve"> </v>
      </c>
      <c r="M358">
        <v>5</v>
      </c>
      <c r="N358" s="22" t="str">
        <f t="shared" si="244"/>
        <v/>
      </c>
      <c r="O358" s="15" t="str">
        <f t="shared" si="245"/>
        <v/>
      </c>
      <c r="P358" s="15" t="str">
        <f t="shared" si="246"/>
        <v/>
      </c>
      <c r="Q358" s="15" t="str">
        <f t="shared" si="247"/>
        <v/>
      </c>
      <c r="R358" s="16" t="str">
        <f t="shared" si="248"/>
        <v/>
      </c>
      <c r="S358" s="8" t="str">
        <f t="shared" si="249"/>
        <v/>
      </c>
      <c r="T358" s="2" t="str">
        <f t="shared" si="250"/>
        <v/>
      </c>
      <c r="U358" s="2" t="str">
        <f t="shared" si="251"/>
        <v/>
      </c>
      <c r="V358" t="str">
        <f t="shared" si="227"/>
        <v/>
      </c>
      <c r="X358">
        <f t="shared" si="254"/>
        <v>0</v>
      </c>
      <c r="Y358">
        <f t="shared" si="255"/>
        <v>0</v>
      </c>
      <c r="Z358">
        <f t="shared" si="256"/>
        <v>0</v>
      </c>
      <c r="AA358">
        <f t="shared" si="257"/>
        <v>0</v>
      </c>
      <c r="AB358">
        <f t="shared" si="258"/>
        <v>0</v>
      </c>
      <c r="AC358">
        <f t="shared" si="259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53"/>
        <v xml:space="preserve"> </v>
      </c>
      <c r="M359">
        <v>6</v>
      </c>
      <c r="N359" s="23" t="str">
        <f t="shared" si="244"/>
        <v/>
      </c>
      <c r="O359" s="7" t="str">
        <f t="shared" si="245"/>
        <v/>
      </c>
      <c r="P359" s="7" t="str">
        <f t="shared" si="246"/>
        <v/>
      </c>
      <c r="Q359" s="7" t="str">
        <f t="shared" si="247"/>
        <v/>
      </c>
      <c r="R359" s="17" t="str">
        <f t="shared" si="248"/>
        <v/>
      </c>
      <c r="S359" s="8" t="str">
        <f t="shared" si="249"/>
        <v/>
      </c>
      <c r="T359" s="2" t="str">
        <f t="shared" si="250"/>
        <v/>
      </c>
      <c r="U359" s="2" t="str">
        <f t="shared" si="251"/>
        <v/>
      </c>
      <c r="V359" t="str">
        <f t="shared" si="227"/>
        <v/>
      </c>
      <c r="X359">
        <f t="shared" si="254"/>
        <v>0</v>
      </c>
      <c r="Y359">
        <f t="shared" si="255"/>
        <v>0</v>
      </c>
      <c r="Z359">
        <f t="shared" si="256"/>
        <v>0</v>
      </c>
      <c r="AA359">
        <f t="shared" si="257"/>
        <v>0</v>
      </c>
      <c r="AB359">
        <f t="shared" si="258"/>
        <v>0</v>
      </c>
      <c r="AC359">
        <f t="shared" si="259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53"/>
        <v xml:space="preserve"> </v>
      </c>
      <c r="M360">
        <v>7</v>
      </c>
      <c r="N360" s="23" t="str">
        <f t="shared" si="244"/>
        <v/>
      </c>
      <c r="O360" s="7" t="str">
        <f t="shared" si="245"/>
        <v/>
      </c>
      <c r="P360" s="7" t="str">
        <f t="shared" si="246"/>
        <v/>
      </c>
      <c r="Q360" s="7" t="str">
        <f t="shared" si="247"/>
        <v/>
      </c>
      <c r="R360" s="17" t="str">
        <f t="shared" si="248"/>
        <v/>
      </c>
      <c r="S360" s="8" t="str">
        <f t="shared" si="249"/>
        <v/>
      </c>
      <c r="T360" s="2" t="str">
        <f t="shared" si="250"/>
        <v/>
      </c>
      <c r="U360" s="2" t="str">
        <f t="shared" si="251"/>
        <v/>
      </c>
      <c r="V360" t="str">
        <f t="shared" si="227"/>
        <v/>
      </c>
      <c r="X360">
        <f t="shared" si="254"/>
        <v>0</v>
      </c>
      <c r="Y360">
        <f t="shared" si="255"/>
        <v>0</v>
      </c>
      <c r="Z360">
        <f t="shared" si="256"/>
        <v>0</v>
      </c>
      <c r="AA360">
        <f t="shared" si="257"/>
        <v>0</v>
      </c>
      <c r="AB360">
        <f t="shared" si="258"/>
        <v>0</v>
      </c>
      <c r="AC360">
        <f t="shared" si="259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53"/>
        <v xml:space="preserve"> </v>
      </c>
      <c r="M361">
        <v>8</v>
      </c>
      <c r="N361" s="23" t="str">
        <f t="shared" si="244"/>
        <v/>
      </c>
      <c r="O361" s="7" t="str">
        <f t="shared" si="245"/>
        <v/>
      </c>
      <c r="P361" s="7" t="str">
        <f t="shared" si="246"/>
        <v/>
      </c>
      <c r="Q361" s="7" t="str">
        <f t="shared" si="247"/>
        <v/>
      </c>
      <c r="R361" s="17" t="str">
        <f t="shared" si="248"/>
        <v/>
      </c>
      <c r="S361" s="8" t="str">
        <f t="shared" si="249"/>
        <v/>
      </c>
      <c r="T361" s="2" t="str">
        <f t="shared" si="250"/>
        <v/>
      </c>
      <c r="U361" s="2" t="str">
        <f t="shared" si="251"/>
        <v/>
      </c>
      <c r="V361" t="str">
        <f t="shared" si="227"/>
        <v/>
      </c>
      <c r="X361">
        <f t="shared" si="254"/>
        <v>0</v>
      </c>
      <c r="Y361">
        <f t="shared" si="255"/>
        <v>0</v>
      </c>
      <c r="Z361">
        <f t="shared" si="256"/>
        <v>0</v>
      </c>
      <c r="AA361">
        <f t="shared" si="257"/>
        <v>0</v>
      </c>
      <c r="AB361">
        <f t="shared" si="258"/>
        <v>0</v>
      </c>
      <c r="AC361">
        <f t="shared" si="259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53"/>
        <v xml:space="preserve"> </v>
      </c>
      <c r="M362">
        <v>9</v>
      </c>
      <c r="N362" s="23" t="str">
        <f t="shared" si="244"/>
        <v/>
      </c>
      <c r="O362" s="7" t="str">
        <f t="shared" si="245"/>
        <v/>
      </c>
      <c r="P362" s="7" t="str">
        <f t="shared" si="246"/>
        <v/>
      </c>
      <c r="Q362" s="7" t="str">
        <f t="shared" si="247"/>
        <v/>
      </c>
      <c r="R362" s="17" t="str">
        <f t="shared" si="248"/>
        <v/>
      </c>
      <c r="S362" s="8" t="str">
        <f t="shared" si="249"/>
        <v/>
      </c>
      <c r="T362" s="2" t="str">
        <f t="shared" si="250"/>
        <v/>
      </c>
      <c r="U362" s="2" t="str">
        <f t="shared" si="251"/>
        <v/>
      </c>
      <c r="V362" t="str">
        <f t="shared" si="227"/>
        <v/>
      </c>
      <c r="X362">
        <f t="shared" si="254"/>
        <v>0</v>
      </c>
      <c r="Y362">
        <f t="shared" si="255"/>
        <v>0</v>
      </c>
      <c r="Z362">
        <f t="shared" si="256"/>
        <v>0</v>
      </c>
      <c r="AA362">
        <f t="shared" si="257"/>
        <v>0</v>
      </c>
      <c r="AB362">
        <f t="shared" si="258"/>
        <v>0</v>
      </c>
      <c r="AC362">
        <f t="shared" si="259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53"/>
        <v xml:space="preserve"> </v>
      </c>
      <c r="M363">
        <v>10</v>
      </c>
      <c r="N363" s="23" t="str">
        <f t="shared" si="244"/>
        <v/>
      </c>
      <c r="O363" s="7" t="str">
        <f t="shared" si="245"/>
        <v/>
      </c>
      <c r="P363" s="7" t="str">
        <f t="shared" si="246"/>
        <v/>
      </c>
      <c r="Q363" s="7" t="str">
        <f t="shared" si="247"/>
        <v/>
      </c>
      <c r="R363" s="17" t="str">
        <f t="shared" si="248"/>
        <v/>
      </c>
      <c r="S363" s="8" t="str">
        <f t="shared" si="249"/>
        <v/>
      </c>
      <c r="T363" s="2" t="str">
        <f t="shared" si="250"/>
        <v/>
      </c>
      <c r="U363" s="2" t="str">
        <f t="shared" si="251"/>
        <v/>
      </c>
      <c r="V363" t="str">
        <f t="shared" si="227"/>
        <v/>
      </c>
      <c r="X363">
        <f t="shared" si="254"/>
        <v>0</v>
      </c>
      <c r="Y363">
        <f t="shared" si="255"/>
        <v>0</v>
      </c>
      <c r="Z363">
        <f t="shared" si="256"/>
        <v>0</v>
      </c>
      <c r="AA363">
        <f t="shared" si="257"/>
        <v>0</v>
      </c>
      <c r="AB363">
        <f t="shared" si="258"/>
        <v>0</v>
      </c>
      <c r="AC363">
        <f t="shared" si="259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53"/>
        <v xml:space="preserve"> </v>
      </c>
      <c r="M364">
        <v>11</v>
      </c>
      <c r="N364" s="23" t="str">
        <f t="shared" si="244"/>
        <v/>
      </c>
      <c r="O364" s="7" t="str">
        <f t="shared" si="245"/>
        <v/>
      </c>
      <c r="P364" s="7" t="str">
        <f t="shared" si="246"/>
        <v/>
      </c>
      <c r="Q364" s="7" t="str">
        <f t="shared" si="247"/>
        <v/>
      </c>
      <c r="R364" s="17" t="str">
        <f t="shared" si="248"/>
        <v/>
      </c>
      <c r="S364" s="8" t="str">
        <f t="shared" si="249"/>
        <v/>
      </c>
      <c r="T364" s="2" t="str">
        <f t="shared" si="250"/>
        <v/>
      </c>
      <c r="U364" s="2" t="str">
        <f t="shared" si="251"/>
        <v/>
      </c>
      <c r="V364" t="str">
        <f t="shared" si="227"/>
        <v/>
      </c>
      <c r="X364">
        <f t="shared" si="254"/>
        <v>0</v>
      </c>
      <c r="Y364">
        <f t="shared" si="255"/>
        <v>0</v>
      </c>
      <c r="Z364">
        <f t="shared" si="256"/>
        <v>0</v>
      </c>
      <c r="AA364">
        <f t="shared" si="257"/>
        <v>0</v>
      </c>
      <c r="AB364">
        <f t="shared" si="258"/>
        <v>0</v>
      </c>
      <c r="AC364">
        <f t="shared" si="259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53"/>
        <v xml:space="preserve"> </v>
      </c>
      <c r="M365">
        <v>12</v>
      </c>
      <c r="N365" s="23" t="str">
        <f t="shared" si="244"/>
        <v/>
      </c>
      <c r="O365" s="7" t="str">
        <f t="shared" si="245"/>
        <v/>
      </c>
      <c r="P365" s="7" t="str">
        <f t="shared" si="246"/>
        <v/>
      </c>
      <c r="Q365" s="7" t="str">
        <f t="shared" si="247"/>
        <v/>
      </c>
      <c r="R365" s="17" t="str">
        <f t="shared" si="248"/>
        <v/>
      </c>
      <c r="S365" s="8" t="str">
        <f t="shared" si="249"/>
        <v/>
      </c>
      <c r="T365" s="2" t="str">
        <f t="shared" si="250"/>
        <v/>
      </c>
      <c r="U365" s="2" t="str">
        <f t="shared" si="251"/>
        <v/>
      </c>
      <c r="V365" t="str">
        <f t="shared" si="227"/>
        <v/>
      </c>
      <c r="X365">
        <f t="shared" si="254"/>
        <v>0</v>
      </c>
      <c r="Y365">
        <f t="shared" si="255"/>
        <v>0</v>
      </c>
      <c r="Z365">
        <f t="shared" si="256"/>
        <v>0</v>
      </c>
      <c r="AA365">
        <f t="shared" si="257"/>
        <v>0</v>
      </c>
      <c r="AB365">
        <f t="shared" si="258"/>
        <v>0</v>
      </c>
      <c r="AC365">
        <f t="shared" si="259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53"/>
        <v xml:space="preserve"> </v>
      </c>
      <c r="M366">
        <v>13</v>
      </c>
      <c r="N366" s="6" t="str">
        <f t="shared" si="244"/>
        <v/>
      </c>
      <c r="O366" s="7" t="str">
        <f t="shared" si="245"/>
        <v/>
      </c>
      <c r="P366" s="7" t="str">
        <f t="shared" si="246"/>
        <v/>
      </c>
      <c r="Q366" s="7" t="str">
        <f t="shared" si="247"/>
        <v/>
      </c>
      <c r="R366" s="17" t="str">
        <f t="shared" si="248"/>
        <v/>
      </c>
      <c r="S366" s="8" t="str">
        <f t="shared" si="249"/>
        <v/>
      </c>
      <c r="T366" s="2" t="str">
        <f t="shared" si="250"/>
        <v/>
      </c>
      <c r="U366" s="2" t="str">
        <f t="shared" si="251"/>
        <v/>
      </c>
      <c r="V366" t="str">
        <f t="shared" si="227"/>
        <v/>
      </c>
      <c r="X366">
        <f t="shared" si="254"/>
        <v>0</v>
      </c>
      <c r="Y366">
        <f t="shared" si="255"/>
        <v>0</v>
      </c>
      <c r="Z366">
        <f t="shared" si="256"/>
        <v>0</v>
      </c>
      <c r="AA366">
        <f t="shared" si="257"/>
        <v>0</v>
      </c>
      <c r="AB366">
        <f t="shared" si="258"/>
        <v>0</v>
      </c>
      <c r="AC366">
        <f t="shared" si="259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53"/>
        <v xml:space="preserve"> </v>
      </c>
      <c r="M367">
        <v>14</v>
      </c>
      <c r="N367" s="18" t="str">
        <f t="shared" si="244"/>
        <v/>
      </c>
      <c r="O367" s="19" t="str">
        <f t="shared" si="245"/>
        <v/>
      </c>
      <c r="P367" s="19" t="str">
        <f t="shared" si="246"/>
        <v/>
      </c>
      <c r="Q367" s="19" t="str">
        <f t="shared" si="247"/>
        <v/>
      </c>
      <c r="R367" s="20" t="str">
        <f t="shared" si="248"/>
        <v/>
      </c>
      <c r="S367" s="8" t="str">
        <f t="shared" si="249"/>
        <v/>
      </c>
      <c r="T367" s="2" t="str">
        <f t="shared" si="250"/>
        <v/>
      </c>
      <c r="U367" s="2" t="str">
        <f t="shared" si="251"/>
        <v/>
      </c>
      <c r="V367" t="str">
        <f t="shared" si="227"/>
        <v/>
      </c>
      <c r="X367">
        <f t="shared" si="254"/>
        <v>0</v>
      </c>
      <c r="Y367">
        <f t="shared" si="255"/>
        <v>0</v>
      </c>
      <c r="Z367">
        <f t="shared" si="256"/>
        <v>0</v>
      </c>
      <c r="AA367">
        <f t="shared" si="257"/>
        <v>0</v>
      </c>
      <c r="AB367">
        <f t="shared" si="258"/>
        <v>0</v>
      </c>
      <c r="AC367">
        <f t="shared" si="259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53"/>
        <v xml:space="preserve"> </v>
      </c>
      <c r="M368">
        <v>15</v>
      </c>
      <c r="N368" s="9" t="str">
        <f t="shared" si="244"/>
        <v/>
      </c>
      <c r="O368" s="10" t="str">
        <f t="shared" si="245"/>
        <v/>
      </c>
      <c r="P368" s="10" t="str">
        <f t="shared" si="246"/>
        <v/>
      </c>
      <c r="Q368" s="10" t="str">
        <f t="shared" si="247"/>
        <v/>
      </c>
      <c r="R368" s="10" t="str">
        <f t="shared" si="248"/>
        <v/>
      </c>
      <c r="S368" s="11" t="str">
        <f t="shared" si="249"/>
        <v/>
      </c>
      <c r="T368" s="2" t="str">
        <f t="shared" si="250"/>
        <v/>
      </c>
      <c r="U368" s="2" t="str">
        <f t="shared" si="251"/>
        <v/>
      </c>
      <c r="V368" t="str">
        <f t="shared" si="227"/>
        <v/>
      </c>
      <c r="X368">
        <f t="shared" si="254"/>
        <v>0</v>
      </c>
      <c r="Y368">
        <f t="shared" si="255"/>
        <v>0</v>
      </c>
      <c r="Z368">
        <f t="shared" si="256"/>
        <v>0</v>
      </c>
      <c r="AA368">
        <f t="shared" si="257"/>
        <v>0</v>
      </c>
      <c r="AB368">
        <f t="shared" si="258"/>
        <v>0</v>
      </c>
      <c r="AC368">
        <f t="shared" si="259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53"/>
        <v xml:space="preserve"> </v>
      </c>
      <c r="M369">
        <v>16</v>
      </c>
      <c r="N369" s="12" t="str">
        <f t="shared" si="244"/>
        <v/>
      </c>
      <c r="O369" s="13" t="str">
        <f t="shared" si="245"/>
        <v/>
      </c>
      <c r="P369" s="13" t="str">
        <f t="shared" si="246"/>
        <v/>
      </c>
      <c r="Q369" s="13" t="str">
        <f t="shared" si="247"/>
        <v/>
      </c>
      <c r="R369" s="13" t="str">
        <f t="shared" si="248"/>
        <v/>
      </c>
      <c r="S369" s="14" t="str">
        <f t="shared" si="249"/>
        <v/>
      </c>
      <c r="T369" s="2" t="str">
        <f t="shared" si="250"/>
        <v/>
      </c>
      <c r="U369" s="2" t="str">
        <f t="shared" si="251"/>
        <v/>
      </c>
      <c r="V369" t="str">
        <f t="shared" si="227"/>
        <v/>
      </c>
      <c r="X369">
        <f t="shared" si="254"/>
        <v>0</v>
      </c>
      <c r="Y369">
        <f t="shared" si="255"/>
        <v>0</v>
      </c>
      <c r="Z369">
        <f t="shared" si="256"/>
        <v>0</v>
      </c>
      <c r="AA369">
        <f t="shared" si="257"/>
        <v>0</v>
      </c>
      <c r="AB369">
        <f t="shared" si="258"/>
        <v>0</v>
      </c>
      <c r="AC369">
        <f t="shared" si="259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44"/>
        <v/>
      </c>
      <c r="O370" t="str">
        <f t="shared" si="245"/>
        <v/>
      </c>
      <c r="P370" t="str">
        <f t="shared" si="246"/>
        <v/>
      </c>
      <c r="Q370" t="str">
        <f t="shared" si="247"/>
        <v/>
      </c>
      <c r="R370" t="str">
        <f t="shared" si="248"/>
        <v/>
      </c>
      <c r="S370" t="str">
        <f t="shared" si="249"/>
        <v/>
      </c>
      <c r="T370" s="2" t="str">
        <f t="shared" si="250"/>
        <v/>
      </c>
      <c r="U370" s="2" t="str">
        <f t="shared" si="251"/>
        <v/>
      </c>
      <c r="V370" t="str">
        <f t="shared" si="227"/>
        <v/>
      </c>
      <c r="W370">
        <f>SUM(B372:G385)</f>
        <v>20</v>
      </c>
      <c r="AD370">
        <f t="shared" ref="AD370" si="260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61">L370</f>
        <v>!</v>
      </c>
      <c r="M371">
        <v>2</v>
      </c>
      <c r="N371" t="str">
        <f t="shared" si="244"/>
        <v/>
      </c>
      <c r="O371" t="str">
        <f t="shared" si="245"/>
        <v/>
      </c>
      <c r="P371" t="str">
        <f t="shared" si="246"/>
        <v/>
      </c>
      <c r="Q371" t="str">
        <f t="shared" si="247"/>
        <v/>
      </c>
      <c r="R371" t="str">
        <f t="shared" si="248"/>
        <v/>
      </c>
      <c r="S371" t="str">
        <f t="shared" si="249"/>
        <v/>
      </c>
      <c r="T371" s="2" t="str">
        <f t="shared" si="250"/>
        <v/>
      </c>
      <c r="U371" s="2" t="str">
        <f t="shared" si="251"/>
        <v/>
      </c>
      <c r="V371" t="str">
        <f t="shared" si="227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61"/>
        <v>!</v>
      </c>
      <c r="M372">
        <v>3</v>
      </c>
      <c r="N372" s="3" t="str">
        <f t="shared" si="244"/>
        <v>#</v>
      </c>
      <c r="O372" s="4" t="str">
        <f t="shared" si="245"/>
        <v>#</v>
      </c>
      <c r="P372" s="4" t="str">
        <f t="shared" si="246"/>
        <v/>
      </c>
      <c r="Q372" s="4" t="str">
        <f t="shared" si="247"/>
        <v/>
      </c>
      <c r="R372" s="4" t="str">
        <f t="shared" si="248"/>
        <v/>
      </c>
      <c r="S372" s="5" t="str">
        <f t="shared" si="249"/>
        <v/>
      </c>
      <c r="T372" s="2" t="str">
        <f t="shared" si="250"/>
        <v/>
      </c>
      <c r="U372" s="2" t="str">
        <f t="shared" si="251"/>
        <v/>
      </c>
      <c r="V372" t="str">
        <f t="shared" si="227"/>
        <v/>
      </c>
      <c r="X372">
        <f t="shared" ref="X372:X385" si="262">MAX(B372-B371,0)</f>
        <v>1</v>
      </c>
      <c r="Y372">
        <f t="shared" ref="Y372:Y385" si="263">MAX(C372-C371,0)</f>
        <v>1</v>
      </c>
      <c r="Z372">
        <f t="shared" ref="Z372:Z385" si="264">MAX(D372-D371,0)</f>
        <v>0</v>
      </c>
      <c r="AA372">
        <f t="shared" ref="AA372:AA385" si="265">MAX(E372-E371,0)</f>
        <v>0</v>
      </c>
      <c r="AB372">
        <f t="shared" ref="AB372:AB385" si="266">MAX(F372-F371,0)</f>
        <v>0</v>
      </c>
      <c r="AC372">
        <f t="shared" ref="AC372:AC385" si="267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61"/>
        <v>!</v>
      </c>
      <c r="M373">
        <v>4</v>
      </c>
      <c r="N373" s="6" t="str">
        <f t="shared" si="244"/>
        <v>#</v>
      </c>
      <c r="O373" s="7" t="str">
        <f t="shared" si="245"/>
        <v>#</v>
      </c>
      <c r="P373" s="7" t="str">
        <f t="shared" si="246"/>
        <v/>
      </c>
      <c r="Q373" s="7" t="str">
        <f t="shared" si="247"/>
        <v/>
      </c>
      <c r="R373" s="7" t="str">
        <f t="shared" si="248"/>
        <v/>
      </c>
      <c r="S373" s="8" t="str">
        <f t="shared" si="249"/>
        <v/>
      </c>
      <c r="T373" s="2" t="str">
        <f t="shared" si="250"/>
        <v/>
      </c>
      <c r="U373" s="2" t="str">
        <f t="shared" si="251"/>
        <v/>
      </c>
      <c r="V373" t="str">
        <f t="shared" si="227"/>
        <v/>
      </c>
      <c r="X373">
        <f t="shared" si="262"/>
        <v>0</v>
      </c>
      <c r="Y373">
        <f t="shared" si="263"/>
        <v>0</v>
      </c>
      <c r="Z373">
        <f t="shared" si="264"/>
        <v>0</v>
      </c>
      <c r="AA373">
        <f t="shared" si="265"/>
        <v>0</v>
      </c>
      <c r="AB373">
        <f t="shared" si="266"/>
        <v>0</v>
      </c>
      <c r="AC373">
        <f t="shared" si="267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61"/>
        <v>!</v>
      </c>
      <c r="M374">
        <v>5</v>
      </c>
      <c r="N374" s="22" t="str">
        <f t="shared" si="244"/>
        <v>#</v>
      </c>
      <c r="O374" s="15" t="str">
        <f t="shared" si="245"/>
        <v>#</v>
      </c>
      <c r="P374" s="15" t="str">
        <f t="shared" si="246"/>
        <v/>
      </c>
      <c r="Q374" s="15" t="str">
        <f t="shared" si="247"/>
        <v/>
      </c>
      <c r="R374" s="16" t="str">
        <f t="shared" si="248"/>
        <v/>
      </c>
      <c r="S374" s="8" t="str">
        <f t="shared" si="249"/>
        <v/>
      </c>
      <c r="T374" s="2" t="str">
        <f t="shared" si="250"/>
        <v/>
      </c>
      <c r="U374" s="2" t="str">
        <f t="shared" si="251"/>
        <v/>
      </c>
      <c r="V374" t="str">
        <f t="shared" si="227"/>
        <v/>
      </c>
      <c r="X374">
        <f t="shared" si="262"/>
        <v>0</v>
      </c>
      <c r="Y374">
        <f t="shared" si="263"/>
        <v>0</v>
      </c>
      <c r="Z374">
        <f t="shared" si="264"/>
        <v>0</v>
      </c>
      <c r="AA374">
        <f t="shared" si="265"/>
        <v>0</v>
      </c>
      <c r="AB374">
        <f t="shared" si="266"/>
        <v>0</v>
      </c>
      <c r="AC374">
        <f t="shared" si="267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61"/>
        <v>!</v>
      </c>
      <c r="M375">
        <v>6</v>
      </c>
      <c r="N375" s="23" t="str">
        <f t="shared" si="244"/>
        <v>#</v>
      </c>
      <c r="O375" s="7" t="str">
        <f t="shared" si="245"/>
        <v>#</v>
      </c>
      <c r="P375" s="7" t="str">
        <f t="shared" si="246"/>
        <v/>
      </c>
      <c r="Q375" s="7" t="str">
        <f t="shared" si="247"/>
        <v/>
      </c>
      <c r="R375" s="17" t="str">
        <f t="shared" si="248"/>
        <v/>
      </c>
      <c r="S375" s="8" t="str">
        <f t="shared" si="249"/>
        <v/>
      </c>
      <c r="T375" s="2" t="str">
        <f t="shared" si="250"/>
        <v/>
      </c>
      <c r="U375" s="2" t="str">
        <f t="shared" si="251"/>
        <v/>
      </c>
      <c r="V375" t="str">
        <f t="shared" si="227"/>
        <v/>
      </c>
      <c r="X375">
        <f t="shared" si="262"/>
        <v>0</v>
      </c>
      <c r="Y375">
        <f t="shared" si="263"/>
        <v>0</v>
      </c>
      <c r="Z375">
        <f t="shared" si="264"/>
        <v>0</v>
      </c>
      <c r="AA375">
        <f t="shared" si="265"/>
        <v>0</v>
      </c>
      <c r="AB375">
        <f t="shared" si="266"/>
        <v>0</v>
      </c>
      <c r="AC375">
        <f t="shared" si="267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61"/>
        <v>!</v>
      </c>
      <c r="M376">
        <v>7</v>
      </c>
      <c r="N376" s="23" t="str">
        <f t="shared" si="244"/>
        <v>#</v>
      </c>
      <c r="O376" s="7" t="str">
        <f t="shared" si="245"/>
        <v>#</v>
      </c>
      <c r="P376" s="7" t="str">
        <f t="shared" si="246"/>
        <v/>
      </c>
      <c r="Q376" s="7" t="str">
        <f t="shared" si="247"/>
        <v/>
      </c>
      <c r="R376" s="17" t="str">
        <f t="shared" si="248"/>
        <v/>
      </c>
      <c r="S376" s="8" t="str">
        <f t="shared" si="249"/>
        <v/>
      </c>
      <c r="T376" s="2" t="str">
        <f t="shared" si="250"/>
        <v/>
      </c>
      <c r="U376" s="2" t="str">
        <f t="shared" si="251"/>
        <v/>
      </c>
      <c r="V376" t="str">
        <f t="shared" si="227"/>
        <v/>
      </c>
      <c r="X376">
        <f t="shared" si="262"/>
        <v>0</v>
      </c>
      <c r="Y376">
        <f t="shared" si="263"/>
        <v>0</v>
      </c>
      <c r="Z376">
        <f t="shared" si="264"/>
        <v>0</v>
      </c>
      <c r="AA376">
        <f t="shared" si="265"/>
        <v>0</v>
      </c>
      <c r="AB376">
        <f t="shared" si="266"/>
        <v>0</v>
      </c>
      <c r="AC376">
        <f t="shared" si="267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61"/>
        <v>!</v>
      </c>
      <c r="M377">
        <v>8</v>
      </c>
      <c r="N377" s="23" t="str">
        <f t="shared" si="244"/>
        <v>#</v>
      </c>
      <c r="O377" s="7" t="str">
        <f t="shared" si="245"/>
        <v>#</v>
      </c>
      <c r="P377" s="7" t="str">
        <f t="shared" si="246"/>
        <v/>
      </c>
      <c r="Q377" s="7" t="str">
        <f t="shared" si="247"/>
        <v/>
      </c>
      <c r="R377" s="17" t="str">
        <f t="shared" si="248"/>
        <v/>
      </c>
      <c r="S377" s="8" t="str">
        <f t="shared" si="249"/>
        <v/>
      </c>
      <c r="T377" s="2" t="str">
        <f t="shared" si="250"/>
        <v/>
      </c>
      <c r="U377" s="2" t="str">
        <f t="shared" si="251"/>
        <v/>
      </c>
      <c r="V377" t="str">
        <f t="shared" si="227"/>
        <v/>
      </c>
      <c r="X377">
        <f t="shared" si="262"/>
        <v>0</v>
      </c>
      <c r="Y377">
        <f t="shared" si="263"/>
        <v>0</v>
      </c>
      <c r="Z377">
        <f t="shared" si="264"/>
        <v>0</v>
      </c>
      <c r="AA377">
        <f t="shared" si="265"/>
        <v>0</v>
      </c>
      <c r="AB377">
        <f t="shared" si="266"/>
        <v>0</v>
      </c>
      <c r="AC377">
        <f t="shared" si="267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61"/>
        <v>!</v>
      </c>
      <c r="M378">
        <v>9</v>
      </c>
      <c r="N378" s="23" t="str">
        <f t="shared" si="244"/>
        <v>#</v>
      </c>
      <c r="O378" s="7" t="str">
        <f t="shared" si="245"/>
        <v>#</v>
      </c>
      <c r="P378" s="7" t="str">
        <f t="shared" si="246"/>
        <v/>
      </c>
      <c r="Q378" s="7" t="str">
        <f t="shared" si="247"/>
        <v/>
      </c>
      <c r="R378" s="17" t="str">
        <f t="shared" si="248"/>
        <v/>
      </c>
      <c r="S378" s="8" t="str">
        <f t="shared" si="249"/>
        <v/>
      </c>
      <c r="T378" s="2" t="str">
        <f t="shared" si="250"/>
        <v/>
      </c>
      <c r="U378" s="2" t="str">
        <f t="shared" si="251"/>
        <v/>
      </c>
      <c r="V378" t="str">
        <f t="shared" si="227"/>
        <v/>
      </c>
      <c r="X378">
        <f t="shared" si="262"/>
        <v>0</v>
      </c>
      <c r="Y378">
        <f t="shared" si="263"/>
        <v>0</v>
      </c>
      <c r="Z378">
        <f t="shared" si="264"/>
        <v>0</v>
      </c>
      <c r="AA378">
        <f t="shared" si="265"/>
        <v>0</v>
      </c>
      <c r="AB378">
        <f t="shared" si="266"/>
        <v>0</v>
      </c>
      <c r="AC378">
        <f t="shared" si="267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61"/>
        <v>!</v>
      </c>
      <c r="M379">
        <v>10</v>
      </c>
      <c r="N379" s="23" t="str">
        <f t="shared" si="244"/>
        <v>#</v>
      </c>
      <c r="O379" s="7" t="str">
        <f t="shared" si="245"/>
        <v>#</v>
      </c>
      <c r="P379" s="7" t="str">
        <f t="shared" si="246"/>
        <v/>
      </c>
      <c r="Q379" s="7" t="str">
        <f t="shared" si="247"/>
        <v/>
      </c>
      <c r="R379" s="17" t="str">
        <f t="shared" si="248"/>
        <v/>
      </c>
      <c r="S379" s="8" t="str">
        <f t="shared" si="249"/>
        <v/>
      </c>
      <c r="T379" s="2" t="str">
        <f t="shared" si="250"/>
        <v/>
      </c>
      <c r="U379" s="2" t="str">
        <f t="shared" si="251"/>
        <v/>
      </c>
      <c r="V379" t="str">
        <f t="shared" si="227"/>
        <v/>
      </c>
      <c r="X379">
        <f t="shared" si="262"/>
        <v>0</v>
      </c>
      <c r="Y379">
        <f t="shared" si="263"/>
        <v>0</v>
      </c>
      <c r="Z379">
        <f t="shared" si="264"/>
        <v>0</v>
      </c>
      <c r="AA379">
        <f t="shared" si="265"/>
        <v>0</v>
      </c>
      <c r="AB379">
        <f t="shared" si="266"/>
        <v>0</v>
      </c>
      <c r="AC379">
        <f t="shared" si="267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61"/>
        <v>!</v>
      </c>
      <c r="M380">
        <v>11</v>
      </c>
      <c r="N380" s="23" t="str">
        <f t="shared" si="244"/>
        <v/>
      </c>
      <c r="O380" s="7" t="str">
        <f t="shared" si="245"/>
        <v/>
      </c>
      <c r="P380" s="7" t="str">
        <f t="shared" si="246"/>
        <v/>
      </c>
      <c r="Q380" s="7" t="str">
        <f t="shared" si="247"/>
        <v/>
      </c>
      <c r="R380" s="17" t="str">
        <f t="shared" si="248"/>
        <v/>
      </c>
      <c r="S380" s="8" t="str">
        <f t="shared" si="249"/>
        <v/>
      </c>
      <c r="T380" s="2" t="str">
        <f t="shared" si="250"/>
        <v/>
      </c>
      <c r="U380" s="2" t="str">
        <f t="shared" si="251"/>
        <v/>
      </c>
      <c r="V380" t="str">
        <f t="shared" si="227"/>
        <v/>
      </c>
      <c r="X380">
        <f t="shared" si="262"/>
        <v>0</v>
      </c>
      <c r="Y380">
        <f t="shared" si="263"/>
        <v>0</v>
      </c>
      <c r="Z380">
        <f t="shared" si="264"/>
        <v>0</v>
      </c>
      <c r="AA380">
        <f t="shared" si="265"/>
        <v>0</v>
      </c>
      <c r="AB380">
        <f t="shared" si="266"/>
        <v>0</v>
      </c>
      <c r="AC380">
        <f t="shared" si="267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61"/>
        <v>!</v>
      </c>
      <c r="M381">
        <v>12</v>
      </c>
      <c r="N381" s="23" t="str">
        <f t="shared" si="244"/>
        <v/>
      </c>
      <c r="O381" s="7" t="str">
        <f t="shared" si="245"/>
        <v/>
      </c>
      <c r="P381" s="7" t="str">
        <f t="shared" si="246"/>
        <v/>
      </c>
      <c r="Q381" s="7" t="str">
        <f t="shared" si="247"/>
        <v/>
      </c>
      <c r="R381" s="17" t="str">
        <f t="shared" si="248"/>
        <v/>
      </c>
      <c r="S381" s="8" t="str">
        <f t="shared" si="249"/>
        <v/>
      </c>
      <c r="T381" s="2" t="str">
        <f t="shared" si="250"/>
        <v/>
      </c>
      <c r="U381" s="2" t="str">
        <f t="shared" si="251"/>
        <v/>
      </c>
      <c r="V381" t="str">
        <f t="shared" si="227"/>
        <v/>
      </c>
      <c r="X381">
        <f t="shared" si="262"/>
        <v>0</v>
      </c>
      <c r="Y381">
        <f t="shared" si="263"/>
        <v>0</v>
      </c>
      <c r="Z381">
        <f t="shared" si="264"/>
        <v>0</v>
      </c>
      <c r="AA381">
        <f t="shared" si="265"/>
        <v>0</v>
      </c>
      <c r="AB381">
        <f t="shared" si="266"/>
        <v>0</v>
      </c>
      <c r="AC381">
        <f t="shared" si="267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61"/>
        <v>!</v>
      </c>
      <c r="M382">
        <v>13</v>
      </c>
      <c r="N382" s="6" t="str">
        <f t="shared" si="244"/>
        <v>#</v>
      </c>
      <c r="O382" s="7" t="str">
        <f t="shared" si="245"/>
        <v>#</v>
      </c>
      <c r="P382" s="7" t="str">
        <f t="shared" si="246"/>
        <v/>
      </c>
      <c r="Q382" s="7" t="str">
        <f t="shared" si="247"/>
        <v/>
      </c>
      <c r="R382" s="17" t="str">
        <f t="shared" si="248"/>
        <v/>
      </c>
      <c r="S382" s="8" t="str">
        <f t="shared" si="249"/>
        <v/>
      </c>
      <c r="T382" s="2" t="str">
        <f t="shared" si="250"/>
        <v/>
      </c>
      <c r="U382" s="2" t="str">
        <f t="shared" si="251"/>
        <v/>
      </c>
      <c r="V382" t="str">
        <f t="shared" si="227"/>
        <v/>
      </c>
      <c r="X382">
        <f t="shared" si="262"/>
        <v>1</v>
      </c>
      <c r="Y382">
        <f t="shared" si="263"/>
        <v>1</v>
      </c>
      <c r="Z382">
        <f t="shared" si="264"/>
        <v>0</v>
      </c>
      <c r="AA382">
        <f t="shared" si="265"/>
        <v>0</v>
      </c>
      <c r="AB382">
        <f t="shared" si="266"/>
        <v>0</v>
      </c>
      <c r="AC382">
        <f t="shared" si="267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61"/>
        <v>!</v>
      </c>
      <c r="M383">
        <v>14</v>
      </c>
      <c r="N383" s="18" t="str">
        <f t="shared" si="244"/>
        <v>#</v>
      </c>
      <c r="O383" s="19" t="str">
        <f t="shared" si="245"/>
        <v>#</v>
      </c>
      <c r="P383" s="19" t="str">
        <f t="shared" si="246"/>
        <v/>
      </c>
      <c r="Q383" s="19" t="str">
        <f t="shared" si="247"/>
        <v/>
      </c>
      <c r="R383" s="20" t="str">
        <f t="shared" si="248"/>
        <v/>
      </c>
      <c r="S383" s="8" t="str">
        <f t="shared" si="249"/>
        <v/>
      </c>
      <c r="T383" s="2" t="str">
        <f t="shared" si="250"/>
        <v/>
      </c>
      <c r="U383" s="2" t="str">
        <f t="shared" si="251"/>
        <v/>
      </c>
      <c r="V383" t="str">
        <f t="shared" si="227"/>
        <v/>
      </c>
      <c r="X383">
        <f t="shared" si="262"/>
        <v>0</v>
      </c>
      <c r="Y383">
        <f t="shared" si="263"/>
        <v>0</v>
      </c>
      <c r="Z383">
        <f t="shared" si="264"/>
        <v>0</v>
      </c>
      <c r="AA383">
        <f t="shared" si="265"/>
        <v>0</v>
      </c>
      <c r="AB383">
        <f t="shared" si="266"/>
        <v>0</v>
      </c>
      <c r="AC383">
        <f t="shared" si="267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61"/>
        <v>!</v>
      </c>
      <c r="M384">
        <v>15</v>
      </c>
      <c r="N384" s="9" t="str">
        <f t="shared" si="244"/>
        <v/>
      </c>
      <c r="O384" s="10" t="str">
        <f t="shared" si="245"/>
        <v/>
      </c>
      <c r="P384" s="10" t="str">
        <f t="shared" si="246"/>
        <v/>
      </c>
      <c r="Q384" s="10" t="str">
        <f t="shared" si="247"/>
        <v/>
      </c>
      <c r="R384" s="10" t="str">
        <f t="shared" si="248"/>
        <v/>
      </c>
      <c r="S384" s="11" t="str">
        <f t="shared" si="249"/>
        <v/>
      </c>
      <c r="T384" s="2" t="str">
        <f t="shared" si="250"/>
        <v/>
      </c>
      <c r="U384" s="2" t="str">
        <f t="shared" si="251"/>
        <v/>
      </c>
      <c r="V384" t="str">
        <f t="shared" si="227"/>
        <v/>
      </c>
      <c r="X384">
        <f t="shared" si="262"/>
        <v>0</v>
      </c>
      <c r="Y384">
        <f t="shared" si="263"/>
        <v>0</v>
      </c>
      <c r="Z384">
        <f t="shared" si="264"/>
        <v>0</v>
      </c>
      <c r="AA384">
        <f t="shared" si="265"/>
        <v>0</v>
      </c>
      <c r="AB384">
        <f t="shared" si="266"/>
        <v>0</v>
      </c>
      <c r="AC384">
        <f t="shared" si="267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61"/>
        <v>!</v>
      </c>
      <c r="M385">
        <v>16</v>
      </c>
      <c r="N385" s="12" t="str">
        <f t="shared" si="244"/>
        <v/>
      </c>
      <c r="O385" s="13" t="str">
        <f t="shared" si="245"/>
        <v/>
      </c>
      <c r="P385" s="13" t="str">
        <f t="shared" si="246"/>
        <v/>
      </c>
      <c r="Q385" s="13" t="str">
        <f t="shared" si="247"/>
        <v/>
      </c>
      <c r="R385" s="13" t="str">
        <f t="shared" si="248"/>
        <v/>
      </c>
      <c r="S385" s="14" t="str">
        <f t="shared" si="249"/>
        <v/>
      </c>
      <c r="T385" s="2" t="str">
        <f t="shared" si="250"/>
        <v/>
      </c>
      <c r="U385" s="2" t="str">
        <f t="shared" si="251"/>
        <v/>
      </c>
      <c r="V385" t="str">
        <f t="shared" si="227"/>
        <v/>
      </c>
      <c r="X385">
        <f t="shared" si="262"/>
        <v>0</v>
      </c>
      <c r="Y385">
        <f t="shared" si="263"/>
        <v>0</v>
      </c>
      <c r="Z385">
        <f t="shared" si="264"/>
        <v>0</v>
      </c>
      <c r="AA385">
        <f t="shared" si="265"/>
        <v>0</v>
      </c>
      <c r="AB385">
        <f t="shared" si="266"/>
        <v>0</v>
      </c>
      <c r="AC385">
        <f t="shared" si="267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44"/>
        <v/>
      </c>
      <c r="O386" t="str">
        <f t="shared" si="245"/>
        <v/>
      </c>
      <c r="P386" t="str">
        <f t="shared" si="246"/>
        <v/>
      </c>
      <c r="Q386" t="str">
        <f t="shared" si="247"/>
        <v/>
      </c>
      <c r="R386" t="str">
        <f t="shared" si="248"/>
        <v/>
      </c>
      <c r="S386" t="str">
        <f t="shared" si="249"/>
        <v/>
      </c>
      <c r="T386" s="2" t="str">
        <f t="shared" si="250"/>
        <v/>
      </c>
      <c r="U386" s="2" t="str">
        <f t="shared" si="251"/>
        <v/>
      </c>
      <c r="V386" t="str">
        <f t="shared" ref="V386:V449" si="268">IF(A386=0,"",M386)</f>
        <v/>
      </c>
      <c r="W386">
        <f>SUM(B388:G401)</f>
        <v>6</v>
      </c>
      <c r="AD386">
        <f t="shared" ref="AD386" si="269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70">L386</f>
        <v>"</v>
      </c>
      <c r="M387">
        <v>2</v>
      </c>
      <c r="N387" t="str">
        <f t="shared" si="244"/>
        <v/>
      </c>
      <c r="O387" t="str">
        <f t="shared" si="245"/>
        <v/>
      </c>
      <c r="P387" t="str">
        <f t="shared" si="246"/>
        <v/>
      </c>
      <c r="Q387" t="str">
        <f t="shared" si="247"/>
        <v/>
      </c>
      <c r="R387" t="str">
        <f t="shared" si="248"/>
        <v/>
      </c>
      <c r="S387" t="str">
        <f t="shared" si="249"/>
        <v/>
      </c>
      <c r="T387" s="2" t="str">
        <f t="shared" si="250"/>
        <v/>
      </c>
      <c r="U387" s="2" t="str">
        <f t="shared" si="251"/>
        <v/>
      </c>
      <c r="V387" t="str">
        <f t="shared" si="268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70"/>
        <v>"</v>
      </c>
      <c r="M388">
        <v>3</v>
      </c>
      <c r="N388" s="3" t="str">
        <f t="shared" si="244"/>
        <v/>
      </c>
      <c r="O388" s="4" t="str">
        <f t="shared" si="245"/>
        <v/>
      </c>
      <c r="P388" s="4" t="str">
        <f t="shared" si="246"/>
        <v/>
      </c>
      <c r="Q388" s="4" t="str">
        <f t="shared" si="247"/>
        <v/>
      </c>
      <c r="R388" s="4" t="str">
        <f t="shared" si="248"/>
        <v/>
      </c>
      <c r="S388" s="5" t="str">
        <f t="shared" si="249"/>
        <v/>
      </c>
      <c r="T388" s="2" t="str">
        <f t="shared" si="250"/>
        <v/>
      </c>
      <c r="U388" s="2" t="str">
        <f t="shared" si="251"/>
        <v/>
      </c>
      <c r="V388" t="str">
        <f t="shared" si="268"/>
        <v/>
      </c>
      <c r="X388">
        <f t="shared" ref="X388:X401" si="271">MAX(B388-B387,0)</f>
        <v>0</v>
      </c>
      <c r="Y388">
        <f t="shared" ref="Y388:Y401" si="272">MAX(C388-C387,0)</f>
        <v>0</v>
      </c>
      <c r="Z388">
        <f t="shared" ref="Z388:Z401" si="273">MAX(D388-D387,0)</f>
        <v>0</v>
      </c>
      <c r="AA388">
        <f t="shared" ref="AA388:AA401" si="274">MAX(E388-E387,0)</f>
        <v>0</v>
      </c>
      <c r="AB388">
        <f t="shared" ref="AB388:AB401" si="275">MAX(F388-F387,0)</f>
        <v>0</v>
      </c>
      <c r="AC388">
        <f t="shared" ref="AC388:AC401" si="276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70"/>
        <v>"</v>
      </c>
      <c r="M389">
        <v>4</v>
      </c>
      <c r="N389" s="6" t="str">
        <f t="shared" si="244"/>
        <v/>
      </c>
      <c r="O389" s="7" t="str">
        <f t="shared" si="245"/>
        <v/>
      </c>
      <c r="P389" s="7" t="str">
        <f t="shared" si="246"/>
        <v/>
      </c>
      <c r="Q389" s="7" t="str">
        <f t="shared" si="247"/>
        <v/>
      </c>
      <c r="R389" s="7" t="str">
        <f t="shared" si="248"/>
        <v/>
      </c>
      <c r="S389" s="8" t="str">
        <f t="shared" si="249"/>
        <v/>
      </c>
      <c r="T389" s="2" t="str">
        <f t="shared" si="250"/>
        <v/>
      </c>
      <c r="U389" s="2" t="str">
        <f t="shared" si="251"/>
        <v/>
      </c>
      <c r="V389" t="str">
        <f t="shared" si="268"/>
        <v/>
      </c>
      <c r="X389">
        <f t="shared" si="271"/>
        <v>0</v>
      </c>
      <c r="Y389">
        <f t="shared" si="272"/>
        <v>0</v>
      </c>
      <c r="Z389">
        <f t="shared" si="273"/>
        <v>0</v>
      </c>
      <c r="AA389">
        <f t="shared" si="274"/>
        <v>0</v>
      </c>
      <c r="AB389">
        <f t="shared" si="275"/>
        <v>0</v>
      </c>
      <c r="AC389">
        <f t="shared" si="276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70"/>
        <v>"</v>
      </c>
      <c r="M390">
        <v>5</v>
      </c>
      <c r="N390" s="22" t="str">
        <f t="shared" si="244"/>
        <v>#</v>
      </c>
      <c r="O390" s="15" t="str">
        <f t="shared" si="245"/>
        <v/>
      </c>
      <c r="P390" s="15" t="str">
        <f t="shared" si="246"/>
        <v>#</v>
      </c>
      <c r="Q390" s="15" t="str">
        <f t="shared" si="247"/>
        <v/>
      </c>
      <c r="R390" s="16" t="str">
        <f t="shared" si="248"/>
        <v/>
      </c>
      <c r="S390" s="8" t="str">
        <f t="shared" si="249"/>
        <v/>
      </c>
      <c r="T390" s="2" t="str">
        <f t="shared" si="250"/>
        <v/>
      </c>
      <c r="U390" s="2" t="str">
        <f t="shared" si="251"/>
        <v/>
      </c>
      <c r="V390" t="str">
        <f t="shared" si="268"/>
        <v/>
      </c>
      <c r="X390">
        <f t="shared" si="271"/>
        <v>1</v>
      </c>
      <c r="Y390">
        <f t="shared" si="272"/>
        <v>0</v>
      </c>
      <c r="Z390">
        <f t="shared" si="273"/>
        <v>1</v>
      </c>
      <c r="AA390">
        <f t="shared" si="274"/>
        <v>0</v>
      </c>
      <c r="AB390">
        <f t="shared" si="275"/>
        <v>0</v>
      </c>
      <c r="AC390">
        <f t="shared" si="276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70"/>
        <v>"</v>
      </c>
      <c r="M391">
        <v>6</v>
      </c>
      <c r="N391" s="23" t="str">
        <f t="shared" si="244"/>
        <v>#</v>
      </c>
      <c r="O391" s="7" t="str">
        <f t="shared" si="245"/>
        <v/>
      </c>
      <c r="P391" s="7" t="str">
        <f t="shared" si="246"/>
        <v>#</v>
      </c>
      <c r="Q391" s="7" t="str">
        <f t="shared" si="247"/>
        <v/>
      </c>
      <c r="R391" s="17" t="str">
        <f t="shared" si="248"/>
        <v/>
      </c>
      <c r="S391" s="8" t="str">
        <f t="shared" si="249"/>
        <v/>
      </c>
      <c r="T391" s="2" t="str">
        <f t="shared" si="250"/>
        <v/>
      </c>
      <c r="U391" s="2" t="str">
        <f t="shared" si="251"/>
        <v/>
      </c>
      <c r="V391" t="str">
        <f t="shared" si="268"/>
        <v/>
      </c>
      <c r="X391">
        <f t="shared" si="271"/>
        <v>0</v>
      </c>
      <c r="Y391">
        <f t="shared" si="272"/>
        <v>0</v>
      </c>
      <c r="Z391">
        <f t="shared" si="273"/>
        <v>0</v>
      </c>
      <c r="AA391">
        <f t="shared" si="274"/>
        <v>0</v>
      </c>
      <c r="AB391">
        <f t="shared" si="275"/>
        <v>0</v>
      </c>
      <c r="AC391">
        <f t="shared" si="276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70"/>
        <v>"</v>
      </c>
      <c r="M392">
        <v>7</v>
      </c>
      <c r="N392" s="23" t="str">
        <f t="shared" si="244"/>
        <v>#</v>
      </c>
      <c r="O392" s="7" t="str">
        <f t="shared" si="245"/>
        <v/>
      </c>
      <c r="P392" s="7" t="str">
        <f t="shared" si="246"/>
        <v>#</v>
      </c>
      <c r="Q392" s="7" t="str">
        <f t="shared" si="247"/>
        <v/>
      </c>
      <c r="R392" s="17" t="str">
        <f t="shared" si="248"/>
        <v/>
      </c>
      <c r="S392" s="8" t="str">
        <f t="shared" si="249"/>
        <v/>
      </c>
      <c r="T392" s="2" t="str">
        <f t="shared" si="250"/>
        <v/>
      </c>
      <c r="U392" s="2" t="str">
        <f t="shared" si="251"/>
        <v/>
      </c>
      <c r="V392" t="str">
        <f t="shared" si="268"/>
        <v/>
      </c>
      <c r="X392">
        <f t="shared" si="271"/>
        <v>0</v>
      </c>
      <c r="Y392">
        <f t="shared" si="272"/>
        <v>0</v>
      </c>
      <c r="Z392">
        <f t="shared" si="273"/>
        <v>0</v>
      </c>
      <c r="AA392">
        <f t="shared" si="274"/>
        <v>0</v>
      </c>
      <c r="AB392">
        <f t="shared" si="275"/>
        <v>0</v>
      </c>
      <c r="AC392">
        <f t="shared" si="276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70"/>
        <v>"</v>
      </c>
      <c r="M393">
        <v>8</v>
      </c>
      <c r="N393" s="23" t="str">
        <f t="shared" si="244"/>
        <v/>
      </c>
      <c r="O393" s="7" t="str">
        <f t="shared" si="245"/>
        <v/>
      </c>
      <c r="P393" s="7" t="str">
        <f t="shared" si="246"/>
        <v/>
      </c>
      <c r="Q393" s="7" t="str">
        <f t="shared" si="247"/>
        <v/>
      </c>
      <c r="R393" s="17" t="str">
        <f t="shared" si="248"/>
        <v/>
      </c>
      <c r="S393" s="8" t="str">
        <f t="shared" si="249"/>
        <v/>
      </c>
      <c r="T393" s="2" t="str">
        <f t="shared" si="250"/>
        <v/>
      </c>
      <c r="U393" s="2" t="str">
        <f t="shared" si="251"/>
        <v/>
      </c>
      <c r="V393" t="str">
        <f t="shared" si="268"/>
        <v/>
      </c>
      <c r="X393">
        <f t="shared" si="271"/>
        <v>0</v>
      </c>
      <c r="Y393">
        <f t="shared" si="272"/>
        <v>0</v>
      </c>
      <c r="Z393">
        <f t="shared" si="273"/>
        <v>0</v>
      </c>
      <c r="AA393">
        <f t="shared" si="274"/>
        <v>0</v>
      </c>
      <c r="AB393">
        <f t="shared" si="275"/>
        <v>0</v>
      </c>
      <c r="AC393">
        <f t="shared" si="276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70"/>
        <v>"</v>
      </c>
      <c r="M394">
        <v>9</v>
      </c>
      <c r="N394" s="23" t="str">
        <f t="shared" si="244"/>
        <v/>
      </c>
      <c r="O394" s="7" t="str">
        <f t="shared" si="245"/>
        <v/>
      </c>
      <c r="P394" s="7" t="str">
        <f t="shared" si="246"/>
        <v/>
      </c>
      <c r="Q394" s="7" t="str">
        <f t="shared" si="247"/>
        <v/>
      </c>
      <c r="R394" s="17" t="str">
        <f t="shared" si="248"/>
        <v/>
      </c>
      <c r="S394" s="8" t="str">
        <f t="shared" si="249"/>
        <v/>
      </c>
      <c r="T394" s="2" t="str">
        <f t="shared" si="250"/>
        <v/>
      </c>
      <c r="U394" s="2" t="str">
        <f t="shared" si="251"/>
        <v/>
      </c>
      <c r="V394" t="str">
        <f t="shared" si="268"/>
        <v/>
      </c>
      <c r="X394">
        <f t="shared" si="271"/>
        <v>0</v>
      </c>
      <c r="Y394">
        <f t="shared" si="272"/>
        <v>0</v>
      </c>
      <c r="Z394">
        <f t="shared" si="273"/>
        <v>0</v>
      </c>
      <c r="AA394">
        <f t="shared" si="274"/>
        <v>0</v>
      </c>
      <c r="AB394">
        <f t="shared" si="275"/>
        <v>0</v>
      </c>
      <c r="AC394">
        <f t="shared" si="276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70"/>
        <v>"</v>
      </c>
      <c r="M395">
        <v>10</v>
      </c>
      <c r="N395" s="23" t="str">
        <f t="shared" si="244"/>
        <v/>
      </c>
      <c r="O395" s="7" t="str">
        <f t="shared" si="245"/>
        <v/>
      </c>
      <c r="P395" s="7" t="str">
        <f t="shared" si="246"/>
        <v/>
      </c>
      <c r="Q395" s="7" t="str">
        <f t="shared" si="247"/>
        <v/>
      </c>
      <c r="R395" s="17" t="str">
        <f t="shared" si="248"/>
        <v/>
      </c>
      <c r="S395" s="8" t="str">
        <f t="shared" si="249"/>
        <v/>
      </c>
      <c r="T395" s="2" t="str">
        <f t="shared" si="250"/>
        <v/>
      </c>
      <c r="U395" s="2" t="str">
        <f t="shared" si="251"/>
        <v/>
      </c>
      <c r="V395" t="str">
        <f t="shared" si="268"/>
        <v/>
      </c>
      <c r="X395">
        <f t="shared" si="271"/>
        <v>0</v>
      </c>
      <c r="Y395">
        <f t="shared" si="272"/>
        <v>0</v>
      </c>
      <c r="Z395">
        <f t="shared" si="273"/>
        <v>0</v>
      </c>
      <c r="AA395">
        <f t="shared" si="274"/>
        <v>0</v>
      </c>
      <c r="AB395">
        <f t="shared" si="275"/>
        <v>0</v>
      </c>
      <c r="AC395">
        <f t="shared" si="276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70"/>
        <v>"</v>
      </c>
      <c r="M396">
        <v>11</v>
      </c>
      <c r="N396" s="23" t="str">
        <f t="shared" si="244"/>
        <v/>
      </c>
      <c r="O396" s="7" t="str">
        <f t="shared" si="245"/>
        <v/>
      </c>
      <c r="P396" s="7" t="str">
        <f t="shared" si="246"/>
        <v/>
      </c>
      <c r="Q396" s="7" t="str">
        <f t="shared" si="247"/>
        <v/>
      </c>
      <c r="R396" s="17" t="str">
        <f t="shared" si="248"/>
        <v/>
      </c>
      <c r="S396" s="8" t="str">
        <f t="shared" si="249"/>
        <v/>
      </c>
      <c r="T396" s="2" t="str">
        <f t="shared" si="250"/>
        <v/>
      </c>
      <c r="U396" s="2" t="str">
        <f t="shared" si="251"/>
        <v/>
      </c>
      <c r="V396" t="str">
        <f t="shared" si="268"/>
        <v/>
      </c>
      <c r="X396">
        <f t="shared" si="271"/>
        <v>0</v>
      </c>
      <c r="Y396">
        <f t="shared" si="272"/>
        <v>0</v>
      </c>
      <c r="Z396">
        <f t="shared" si="273"/>
        <v>0</v>
      </c>
      <c r="AA396">
        <f t="shared" si="274"/>
        <v>0</v>
      </c>
      <c r="AB396">
        <f t="shared" si="275"/>
        <v>0</v>
      </c>
      <c r="AC396">
        <f t="shared" si="276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70"/>
        <v>"</v>
      </c>
      <c r="M397">
        <v>12</v>
      </c>
      <c r="N397" s="23" t="str">
        <f t="shared" si="244"/>
        <v/>
      </c>
      <c r="O397" s="7" t="str">
        <f t="shared" si="245"/>
        <v/>
      </c>
      <c r="P397" s="7" t="str">
        <f t="shared" si="246"/>
        <v/>
      </c>
      <c r="Q397" s="7" t="str">
        <f t="shared" si="247"/>
        <v/>
      </c>
      <c r="R397" s="17" t="str">
        <f t="shared" si="248"/>
        <v/>
      </c>
      <c r="S397" s="8" t="str">
        <f t="shared" si="249"/>
        <v/>
      </c>
      <c r="T397" s="2" t="str">
        <f t="shared" si="250"/>
        <v/>
      </c>
      <c r="U397" s="2" t="str">
        <f t="shared" si="251"/>
        <v/>
      </c>
      <c r="V397" t="str">
        <f t="shared" si="268"/>
        <v/>
      </c>
      <c r="X397">
        <f t="shared" si="271"/>
        <v>0</v>
      </c>
      <c r="Y397">
        <f t="shared" si="272"/>
        <v>0</v>
      </c>
      <c r="Z397">
        <f t="shared" si="273"/>
        <v>0</v>
      </c>
      <c r="AA397">
        <f t="shared" si="274"/>
        <v>0</v>
      </c>
      <c r="AB397">
        <f t="shared" si="275"/>
        <v>0</v>
      </c>
      <c r="AC397">
        <f t="shared" si="276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70"/>
        <v>"</v>
      </c>
      <c r="M398">
        <v>13</v>
      </c>
      <c r="N398" s="6" t="str">
        <f t="shared" si="244"/>
        <v/>
      </c>
      <c r="O398" s="7" t="str">
        <f t="shared" si="245"/>
        <v/>
      </c>
      <c r="P398" s="7" t="str">
        <f t="shared" si="246"/>
        <v/>
      </c>
      <c r="Q398" s="7" t="str">
        <f t="shared" si="247"/>
        <v/>
      </c>
      <c r="R398" s="17" t="str">
        <f t="shared" si="248"/>
        <v/>
      </c>
      <c r="S398" s="8" t="str">
        <f t="shared" si="249"/>
        <v/>
      </c>
      <c r="T398" s="2" t="str">
        <f t="shared" si="250"/>
        <v/>
      </c>
      <c r="U398" s="2" t="str">
        <f t="shared" si="251"/>
        <v/>
      </c>
      <c r="V398" t="str">
        <f t="shared" si="268"/>
        <v/>
      </c>
      <c r="X398">
        <f t="shared" si="271"/>
        <v>0</v>
      </c>
      <c r="Y398">
        <f t="shared" si="272"/>
        <v>0</v>
      </c>
      <c r="Z398">
        <f t="shared" si="273"/>
        <v>0</v>
      </c>
      <c r="AA398">
        <f t="shared" si="274"/>
        <v>0</v>
      </c>
      <c r="AB398">
        <f t="shared" si="275"/>
        <v>0</v>
      </c>
      <c r="AC398">
        <f t="shared" si="276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70"/>
        <v>"</v>
      </c>
      <c r="M399">
        <v>14</v>
      </c>
      <c r="N399" s="18" t="str">
        <f t="shared" si="244"/>
        <v/>
      </c>
      <c r="O399" s="19" t="str">
        <f t="shared" si="245"/>
        <v/>
      </c>
      <c r="P399" s="19" t="str">
        <f t="shared" si="246"/>
        <v/>
      </c>
      <c r="Q399" s="19" t="str">
        <f t="shared" si="247"/>
        <v/>
      </c>
      <c r="R399" s="20" t="str">
        <f t="shared" si="248"/>
        <v/>
      </c>
      <c r="S399" s="8" t="str">
        <f t="shared" si="249"/>
        <v/>
      </c>
      <c r="T399" s="2" t="str">
        <f t="shared" si="250"/>
        <v/>
      </c>
      <c r="U399" s="2" t="str">
        <f t="shared" si="251"/>
        <v/>
      </c>
      <c r="V399" t="str">
        <f t="shared" si="268"/>
        <v/>
      </c>
      <c r="X399">
        <f t="shared" si="271"/>
        <v>0</v>
      </c>
      <c r="Y399">
        <f t="shared" si="272"/>
        <v>0</v>
      </c>
      <c r="Z399">
        <f t="shared" si="273"/>
        <v>0</v>
      </c>
      <c r="AA399">
        <f t="shared" si="274"/>
        <v>0</v>
      </c>
      <c r="AB399">
        <f t="shared" si="275"/>
        <v>0</v>
      </c>
      <c r="AC399">
        <f t="shared" si="276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70"/>
        <v>"</v>
      </c>
      <c r="M400">
        <v>15</v>
      </c>
      <c r="N400" s="9" t="str">
        <f t="shared" si="244"/>
        <v/>
      </c>
      <c r="O400" s="10" t="str">
        <f t="shared" si="245"/>
        <v/>
      </c>
      <c r="P400" s="10" t="str">
        <f t="shared" si="246"/>
        <v/>
      </c>
      <c r="Q400" s="10" t="str">
        <f t="shared" si="247"/>
        <v/>
      </c>
      <c r="R400" s="10" t="str">
        <f t="shared" si="248"/>
        <v/>
      </c>
      <c r="S400" s="11" t="str">
        <f t="shared" si="249"/>
        <v/>
      </c>
      <c r="T400" s="2" t="str">
        <f t="shared" si="250"/>
        <v/>
      </c>
      <c r="U400" s="2" t="str">
        <f t="shared" si="251"/>
        <v/>
      </c>
      <c r="V400" t="str">
        <f t="shared" si="268"/>
        <v/>
      </c>
      <c r="X400">
        <f t="shared" si="271"/>
        <v>0</v>
      </c>
      <c r="Y400">
        <f t="shared" si="272"/>
        <v>0</v>
      </c>
      <c r="Z400">
        <f t="shared" si="273"/>
        <v>0</v>
      </c>
      <c r="AA400">
        <f t="shared" si="274"/>
        <v>0</v>
      </c>
      <c r="AB400">
        <f t="shared" si="275"/>
        <v>0</v>
      </c>
      <c r="AC400">
        <f t="shared" si="276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70"/>
        <v>"</v>
      </c>
      <c r="M401">
        <v>16</v>
      </c>
      <c r="N401" s="12" t="str">
        <f t="shared" si="244"/>
        <v/>
      </c>
      <c r="O401" s="13" t="str">
        <f t="shared" si="245"/>
        <v/>
      </c>
      <c r="P401" s="13" t="str">
        <f t="shared" si="246"/>
        <v/>
      </c>
      <c r="Q401" s="13" t="str">
        <f t="shared" si="247"/>
        <v/>
      </c>
      <c r="R401" s="13" t="str">
        <f t="shared" si="248"/>
        <v/>
      </c>
      <c r="S401" s="14" t="str">
        <f t="shared" si="249"/>
        <v/>
      </c>
      <c r="T401" s="2" t="str">
        <f t="shared" si="250"/>
        <v/>
      </c>
      <c r="U401" s="2" t="str">
        <f t="shared" si="251"/>
        <v/>
      </c>
      <c r="V401" t="str">
        <f t="shared" si="268"/>
        <v/>
      </c>
      <c r="X401">
        <f t="shared" si="271"/>
        <v>0</v>
      </c>
      <c r="Y401">
        <f t="shared" si="272"/>
        <v>0</v>
      </c>
      <c r="Z401">
        <f t="shared" si="273"/>
        <v>0</v>
      </c>
      <c r="AA401">
        <f t="shared" si="274"/>
        <v>0</v>
      </c>
      <c r="AB401">
        <f t="shared" si="275"/>
        <v>0</v>
      </c>
      <c r="AC401">
        <f t="shared" si="276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44"/>
        <v/>
      </c>
      <c r="O402" t="str">
        <f t="shared" si="245"/>
        <v/>
      </c>
      <c r="P402" t="str">
        <f t="shared" si="246"/>
        <v/>
      </c>
      <c r="Q402" t="str">
        <f t="shared" si="247"/>
        <v/>
      </c>
      <c r="R402" t="str">
        <f t="shared" si="248"/>
        <v/>
      </c>
      <c r="S402" t="str">
        <f t="shared" si="249"/>
        <v/>
      </c>
      <c r="T402" s="2" t="str">
        <f t="shared" si="250"/>
        <v/>
      </c>
      <c r="U402" s="2" t="str">
        <f t="shared" si="251"/>
        <v/>
      </c>
      <c r="V402" t="str">
        <f t="shared" si="268"/>
        <v/>
      </c>
      <c r="W402">
        <f>SUM(B404:G417)</f>
        <v>32</v>
      </c>
      <c r="AD402">
        <f t="shared" ref="AD402" si="277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8">L402</f>
        <v>#</v>
      </c>
      <c r="M403">
        <v>2</v>
      </c>
      <c r="N403" t="str">
        <f t="shared" si="244"/>
        <v/>
      </c>
      <c r="O403" t="str">
        <f t="shared" si="245"/>
        <v/>
      </c>
      <c r="P403" t="str">
        <f t="shared" si="246"/>
        <v/>
      </c>
      <c r="Q403" t="str">
        <f t="shared" si="247"/>
        <v/>
      </c>
      <c r="R403" t="str">
        <f t="shared" si="248"/>
        <v/>
      </c>
      <c r="S403" t="str">
        <f t="shared" si="249"/>
        <v/>
      </c>
      <c r="T403" s="2" t="str">
        <f t="shared" si="250"/>
        <v/>
      </c>
      <c r="U403" s="2" t="str">
        <f t="shared" si="251"/>
        <v/>
      </c>
      <c r="V403" t="str">
        <f t="shared" si="268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8"/>
        <v>#</v>
      </c>
      <c r="M404">
        <v>3</v>
      </c>
      <c r="N404" s="3" t="str">
        <f t="shared" si="244"/>
        <v/>
      </c>
      <c r="O404" s="4" t="str">
        <f t="shared" si="245"/>
        <v/>
      </c>
      <c r="P404" s="4" t="str">
        <f t="shared" si="246"/>
        <v/>
      </c>
      <c r="Q404" s="4" t="str">
        <f t="shared" si="247"/>
        <v/>
      </c>
      <c r="R404" s="4" t="str">
        <f t="shared" si="248"/>
        <v/>
      </c>
      <c r="S404" s="5" t="str">
        <f t="shared" si="249"/>
        <v/>
      </c>
      <c r="T404" s="2" t="str">
        <f t="shared" si="250"/>
        <v/>
      </c>
      <c r="U404" s="2" t="str">
        <f t="shared" si="251"/>
        <v/>
      </c>
      <c r="V404" t="str">
        <f t="shared" si="268"/>
        <v/>
      </c>
      <c r="X404">
        <f t="shared" ref="X404:X417" si="279">MAX(B404-B403,0)</f>
        <v>0</v>
      </c>
      <c r="Y404">
        <f t="shared" ref="Y404:Y417" si="280">MAX(C404-C403,0)</f>
        <v>0</v>
      </c>
      <c r="Z404">
        <f t="shared" ref="Z404:Z417" si="281">MAX(D404-D403,0)</f>
        <v>0</v>
      </c>
      <c r="AA404">
        <f t="shared" ref="AA404:AA417" si="282">MAX(E404-E403,0)</f>
        <v>0</v>
      </c>
      <c r="AB404">
        <f t="shared" ref="AB404:AB417" si="283">MAX(F404-F403,0)</f>
        <v>0</v>
      </c>
      <c r="AC404">
        <f t="shared" ref="AC404:AC417" si="284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8"/>
        <v>#</v>
      </c>
      <c r="M405">
        <v>4</v>
      </c>
      <c r="N405" s="6" t="str">
        <f t="shared" si="244"/>
        <v/>
      </c>
      <c r="O405" s="7" t="str">
        <f t="shared" si="245"/>
        <v/>
      </c>
      <c r="P405" s="7" t="str">
        <f t="shared" si="246"/>
        <v/>
      </c>
      <c r="Q405" s="7" t="str">
        <f t="shared" si="247"/>
        <v/>
      </c>
      <c r="R405" s="7" t="str">
        <f t="shared" si="248"/>
        <v/>
      </c>
      <c r="S405" s="8" t="str">
        <f t="shared" si="249"/>
        <v/>
      </c>
      <c r="T405" s="2" t="str">
        <f t="shared" si="250"/>
        <v/>
      </c>
      <c r="U405" s="2" t="str">
        <f t="shared" si="251"/>
        <v/>
      </c>
      <c r="V405" t="str">
        <f t="shared" si="268"/>
        <v/>
      </c>
      <c r="X405">
        <f t="shared" si="279"/>
        <v>0</v>
      </c>
      <c r="Y405">
        <f t="shared" si="280"/>
        <v>0</v>
      </c>
      <c r="Z405">
        <f t="shared" si="281"/>
        <v>0</v>
      </c>
      <c r="AA405">
        <f t="shared" si="282"/>
        <v>0</v>
      </c>
      <c r="AB405">
        <f t="shared" si="283"/>
        <v>0</v>
      </c>
      <c r="AC405">
        <f t="shared" si="284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8"/>
        <v>#</v>
      </c>
      <c r="M406">
        <v>5</v>
      </c>
      <c r="N406" s="22" t="str">
        <f t="shared" si="244"/>
        <v/>
      </c>
      <c r="O406" s="15" t="str">
        <f t="shared" si="245"/>
        <v>#</v>
      </c>
      <c r="P406" s="15" t="str">
        <f t="shared" si="246"/>
        <v/>
      </c>
      <c r="Q406" s="15" t="str">
        <f t="shared" si="247"/>
        <v>#</v>
      </c>
      <c r="R406" s="16" t="str">
        <f t="shared" si="248"/>
        <v/>
      </c>
      <c r="S406" s="8" t="str">
        <f t="shared" si="249"/>
        <v/>
      </c>
      <c r="T406" s="2" t="str">
        <f t="shared" si="250"/>
        <v/>
      </c>
      <c r="U406" s="2" t="str">
        <f t="shared" si="251"/>
        <v/>
      </c>
      <c r="V406" t="str">
        <f t="shared" si="268"/>
        <v/>
      </c>
      <c r="X406">
        <f t="shared" si="279"/>
        <v>0</v>
      </c>
      <c r="Y406">
        <f t="shared" si="280"/>
        <v>1</v>
      </c>
      <c r="Z406">
        <f t="shared" si="281"/>
        <v>0</v>
      </c>
      <c r="AA406">
        <f t="shared" si="282"/>
        <v>1</v>
      </c>
      <c r="AB406">
        <f t="shared" si="283"/>
        <v>0</v>
      </c>
      <c r="AC406">
        <f t="shared" si="284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8"/>
        <v>#</v>
      </c>
      <c r="M407">
        <v>6</v>
      </c>
      <c r="N407" s="23" t="str">
        <f t="shared" si="244"/>
        <v/>
      </c>
      <c r="O407" s="7" t="str">
        <f t="shared" si="245"/>
        <v>#</v>
      </c>
      <c r="P407" s="7" t="str">
        <f t="shared" si="246"/>
        <v/>
      </c>
      <c r="Q407" s="7" t="str">
        <f t="shared" si="247"/>
        <v>#</v>
      </c>
      <c r="R407" s="17" t="str">
        <f t="shared" si="248"/>
        <v/>
      </c>
      <c r="S407" s="8" t="str">
        <f t="shared" si="249"/>
        <v/>
      </c>
      <c r="T407" s="2" t="str">
        <f t="shared" si="250"/>
        <v/>
      </c>
      <c r="U407" s="2" t="str">
        <f t="shared" si="251"/>
        <v/>
      </c>
      <c r="V407" t="str">
        <f t="shared" si="268"/>
        <v/>
      </c>
      <c r="X407">
        <f t="shared" si="279"/>
        <v>0</v>
      </c>
      <c r="Y407">
        <f t="shared" si="280"/>
        <v>0</v>
      </c>
      <c r="Z407">
        <f t="shared" si="281"/>
        <v>0</v>
      </c>
      <c r="AA407">
        <f t="shared" si="282"/>
        <v>0</v>
      </c>
      <c r="AB407">
        <f t="shared" si="283"/>
        <v>0</v>
      </c>
      <c r="AC407">
        <f t="shared" si="284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8"/>
        <v>#</v>
      </c>
      <c r="M408">
        <v>7</v>
      </c>
      <c r="N408" s="23" t="str">
        <f t="shared" si="244"/>
        <v>#</v>
      </c>
      <c r="O408" s="7" t="str">
        <f t="shared" si="245"/>
        <v>#</v>
      </c>
      <c r="P408" s="7" t="str">
        <f t="shared" si="246"/>
        <v>#</v>
      </c>
      <c r="Q408" s="7" t="str">
        <f t="shared" si="247"/>
        <v>#</v>
      </c>
      <c r="R408" s="17" t="str">
        <f t="shared" si="248"/>
        <v>#</v>
      </c>
      <c r="S408" s="8" t="str">
        <f t="shared" si="249"/>
        <v/>
      </c>
      <c r="T408" s="2" t="str">
        <f t="shared" si="250"/>
        <v/>
      </c>
      <c r="U408" s="2" t="str">
        <f t="shared" si="251"/>
        <v/>
      </c>
      <c r="V408" t="str">
        <f t="shared" si="268"/>
        <v/>
      </c>
      <c r="X408">
        <f t="shared" si="279"/>
        <v>1</v>
      </c>
      <c r="Y408">
        <f t="shared" si="280"/>
        <v>0</v>
      </c>
      <c r="Z408">
        <f t="shared" si="281"/>
        <v>1</v>
      </c>
      <c r="AA408">
        <f t="shared" si="282"/>
        <v>0</v>
      </c>
      <c r="AB408">
        <f t="shared" si="283"/>
        <v>1</v>
      </c>
      <c r="AC408">
        <f t="shared" si="284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8"/>
        <v>#</v>
      </c>
      <c r="M409">
        <v>8</v>
      </c>
      <c r="N409" s="23" t="str">
        <f t="shared" si="244"/>
        <v>#</v>
      </c>
      <c r="O409" s="7" t="str">
        <f t="shared" si="245"/>
        <v>#</v>
      </c>
      <c r="P409" s="7" t="str">
        <f t="shared" si="246"/>
        <v>#</v>
      </c>
      <c r="Q409" s="7" t="str">
        <f t="shared" si="247"/>
        <v>#</v>
      </c>
      <c r="R409" s="17" t="str">
        <f t="shared" si="248"/>
        <v>#</v>
      </c>
      <c r="S409" s="8" t="str">
        <f t="shared" si="249"/>
        <v/>
      </c>
      <c r="T409" s="2" t="str">
        <f t="shared" si="250"/>
        <v/>
      </c>
      <c r="U409" s="2" t="str">
        <f t="shared" si="251"/>
        <v/>
      </c>
      <c r="V409" t="str">
        <f t="shared" si="268"/>
        <v/>
      </c>
      <c r="X409">
        <f t="shared" si="279"/>
        <v>0</v>
      </c>
      <c r="Y409">
        <f t="shared" si="280"/>
        <v>0</v>
      </c>
      <c r="Z409">
        <f t="shared" si="281"/>
        <v>0</v>
      </c>
      <c r="AA409">
        <f t="shared" si="282"/>
        <v>0</v>
      </c>
      <c r="AB409">
        <f t="shared" si="283"/>
        <v>0</v>
      </c>
      <c r="AC409">
        <f t="shared" si="284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8"/>
        <v>#</v>
      </c>
      <c r="M410">
        <v>9</v>
      </c>
      <c r="N410" s="23" t="str">
        <f t="shared" si="244"/>
        <v/>
      </c>
      <c r="O410" s="7" t="str">
        <f t="shared" si="245"/>
        <v>#</v>
      </c>
      <c r="P410" s="7" t="str">
        <f t="shared" si="246"/>
        <v/>
      </c>
      <c r="Q410" s="7" t="str">
        <f t="shared" si="247"/>
        <v>#</v>
      </c>
      <c r="R410" s="17" t="str">
        <f t="shared" si="248"/>
        <v/>
      </c>
      <c r="S410" s="8" t="str">
        <f t="shared" si="249"/>
        <v/>
      </c>
      <c r="T410" s="2" t="str">
        <f t="shared" si="250"/>
        <v/>
      </c>
      <c r="U410" s="2" t="str">
        <f t="shared" si="251"/>
        <v/>
      </c>
      <c r="V410" t="str">
        <f t="shared" si="268"/>
        <v/>
      </c>
      <c r="X410">
        <f t="shared" si="279"/>
        <v>0</v>
      </c>
      <c r="Y410">
        <f t="shared" si="280"/>
        <v>0</v>
      </c>
      <c r="Z410">
        <f t="shared" si="281"/>
        <v>0</v>
      </c>
      <c r="AA410">
        <f t="shared" si="282"/>
        <v>0</v>
      </c>
      <c r="AB410">
        <f t="shared" si="283"/>
        <v>0</v>
      </c>
      <c r="AC410">
        <f t="shared" si="284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8"/>
        <v>#</v>
      </c>
      <c r="M411">
        <v>10</v>
      </c>
      <c r="N411" s="23" t="str">
        <f t="shared" si="244"/>
        <v/>
      </c>
      <c r="O411" s="7" t="str">
        <f t="shared" si="245"/>
        <v>#</v>
      </c>
      <c r="P411" s="7" t="str">
        <f t="shared" si="246"/>
        <v/>
      </c>
      <c r="Q411" s="7" t="str">
        <f t="shared" si="247"/>
        <v>#</v>
      </c>
      <c r="R411" s="17" t="str">
        <f t="shared" si="248"/>
        <v/>
      </c>
      <c r="S411" s="8" t="str">
        <f t="shared" si="249"/>
        <v/>
      </c>
      <c r="T411" s="2" t="str">
        <f t="shared" si="250"/>
        <v/>
      </c>
      <c r="U411" s="2" t="str">
        <f t="shared" si="251"/>
        <v/>
      </c>
      <c r="V411" t="str">
        <f t="shared" si="268"/>
        <v/>
      </c>
      <c r="X411">
        <f t="shared" si="279"/>
        <v>0</v>
      </c>
      <c r="Y411">
        <f t="shared" si="280"/>
        <v>0</v>
      </c>
      <c r="Z411">
        <f t="shared" si="281"/>
        <v>0</v>
      </c>
      <c r="AA411">
        <f t="shared" si="282"/>
        <v>0</v>
      </c>
      <c r="AB411">
        <f t="shared" si="283"/>
        <v>0</v>
      </c>
      <c r="AC411">
        <f t="shared" si="284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8"/>
        <v>#</v>
      </c>
      <c r="M412">
        <v>11</v>
      </c>
      <c r="N412" s="23" t="str">
        <f t="shared" si="244"/>
        <v>#</v>
      </c>
      <c r="O412" s="7" t="str">
        <f t="shared" si="245"/>
        <v>#</v>
      </c>
      <c r="P412" s="7" t="str">
        <f t="shared" si="246"/>
        <v>#</v>
      </c>
      <c r="Q412" s="7" t="str">
        <f t="shared" si="247"/>
        <v>#</v>
      </c>
      <c r="R412" s="17" t="str">
        <f t="shared" si="248"/>
        <v>#</v>
      </c>
      <c r="S412" s="8" t="str">
        <f t="shared" si="249"/>
        <v/>
      </c>
      <c r="T412" s="2" t="str">
        <f t="shared" si="250"/>
        <v/>
      </c>
      <c r="U412" s="2" t="str">
        <f t="shared" si="251"/>
        <v/>
      </c>
      <c r="V412" t="str">
        <f t="shared" si="268"/>
        <v/>
      </c>
      <c r="X412">
        <f t="shared" si="279"/>
        <v>1</v>
      </c>
      <c r="Y412">
        <f t="shared" si="280"/>
        <v>0</v>
      </c>
      <c r="Z412">
        <f t="shared" si="281"/>
        <v>1</v>
      </c>
      <c r="AA412">
        <f t="shared" si="282"/>
        <v>0</v>
      </c>
      <c r="AB412">
        <f t="shared" si="283"/>
        <v>1</v>
      </c>
      <c r="AC412">
        <f t="shared" si="284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8"/>
        <v>#</v>
      </c>
      <c r="M413">
        <v>12</v>
      </c>
      <c r="N413" s="23" t="str">
        <f t="shared" si="244"/>
        <v>#</v>
      </c>
      <c r="O413" s="7" t="str">
        <f t="shared" si="245"/>
        <v>#</v>
      </c>
      <c r="P413" s="7" t="str">
        <f t="shared" si="246"/>
        <v>#</v>
      </c>
      <c r="Q413" s="7" t="str">
        <f t="shared" si="247"/>
        <v>#</v>
      </c>
      <c r="R413" s="17" t="str">
        <f t="shared" si="248"/>
        <v>#</v>
      </c>
      <c r="S413" s="8" t="str">
        <f t="shared" si="249"/>
        <v/>
      </c>
      <c r="T413" s="2" t="str">
        <f t="shared" si="250"/>
        <v/>
      </c>
      <c r="U413" s="2" t="str">
        <f t="shared" si="251"/>
        <v/>
      </c>
      <c r="V413" t="str">
        <f t="shared" si="268"/>
        <v/>
      </c>
      <c r="X413">
        <f t="shared" si="279"/>
        <v>0</v>
      </c>
      <c r="Y413">
        <f t="shared" si="280"/>
        <v>0</v>
      </c>
      <c r="Z413">
        <f t="shared" si="281"/>
        <v>0</v>
      </c>
      <c r="AA413">
        <f t="shared" si="282"/>
        <v>0</v>
      </c>
      <c r="AB413">
        <f t="shared" si="283"/>
        <v>0</v>
      </c>
      <c r="AC413">
        <f t="shared" si="284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8"/>
        <v>#</v>
      </c>
      <c r="M414">
        <v>13</v>
      </c>
      <c r="N414" s="6" t="str">
        <f t="shared" si="244"/>
        <v/>
      </c>
      <c r="O414" s="7" t="str">
        <f t="shared" si="245"/>
        <v>#</v>
      </c>
      <c r="P414" s="7" t="str">
        <f t="shared" si="246"/>
        <v/>
      </c>
      <c r="Q414" s="7" t="str">
        <f t="shared" si="247"/>
        <v>#</v>
      </c>
      <c r="R414" s="17" t="str">
        <f t="shared" si="248"/>
        <v/>
      </c>
      <c r="S414" s="8" t="str">
        <f t="shared" si="249"/>
        <v/>
      </c>
      <c r="T414" s="2" t="str">
        <f t="shared" si="250"/>
        <v/>
      </c>
      <c r="U414" s="2" t="str">
        <f t="shared" si="251"/>
        <v/>
      </c>
      <c r="V414" t="str">
        <f t="shared" si="268"/>
        <v/>
      </c>
      <c r="X414">
        <f t="shared" si="279"/>
        <v>0</v>
      </c>
      <c r="Y414">
        <f t="shared" si="280"/>
        <v>0</v>
      </c>
      <c r="Z414">
        <f t="shared" si="281"/>
        <v>0</v>
      </c>
      <c r="AA414">
        <f t="shared" si="282"/>
        <v>0</v>
      </c>
      <c r="AB414">
        <f t="shared" si="283"/>
        <v>0</v>
      </c>
      <c r="AC414">
        <f t="shared" si="284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8"/>
        <v>#</v>
      </c>
      <c r="M415">
        <v>14</v>
      </c>
      <c r="N415" s="18" t="str">
        <f t="shared" si="244"/>
        <v/>
      </c>
      <c r="O415" s="19" t="str">
        <f t="shared" si="245"/>
        <v>#</v>
      </c>
      <c r="P415" s="19" t="str">
        <f t="shared" si="246"/>
        <v/>
      </c>
      <c r="Q415" s="19" t="str">
        <f t="shared" si="247"/>
        <v>#</v>
      </c>
      <c r="R415" s="20" t="str">
        <f t="shared" si="248"/>
        <v/>
      </c>
      <c r="S415" s="8" t="str">
        <f t="shared" si="249"/>
        <v/>
      </c>
      <c r="T415" s="2" t="str">
        <f t="shared" si="250"/>
        <v/>
      </c>
      <c r="U415" s="2" t="str">
        <f t="shared" si="251"/>
        <v/>
      </c>
      <c r="V415" t="str">
        <f t="shared" si="268"/>
        <v/>
      </c>
      <c r="X415">
        <f t="shared" si="279"/>
        <v>0</v>
      </c>
      <c r="Y415">
        <f t="shared" si="280"/>
        <v>0</v>
      </c>
      <c r="Z415">
        <f t="shared" si="281"/>
        <v>0</v>
      </c>
      <c r="AA415">
        <f t="shared" si="282"/>
        <v>0</v>
      </c>
      <c r="AB415">
        <f t="shared" si="283"/>
        <v>0</v>
      </c>
      <c r="AC415">
        <f t="shared" si="284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8"/>
        <v>#</v>
      </c>
      <c r="M416">
        <v>15</v>
      </c>
      <c r="N416" s="9" t="str">
        <f t="shared" si="244"/>
        <v/>
      </c>
      <c r="O416" s="10" t="str">
        <f t="shared" si="245"/>
        <v/>
      </c>
      <c r="P416" s="10" t="str">
        <f t="shared" si="246"/>
        <v/>
      </c>
      <c r="Q416" s="10" t="str">
        <f t="shared" si="247"/>
        <v/>
      </c>
      <c r="R416" s="10" t="str">
        <f t="shared" si="248"/>
        <v/>
      </c>
      <c r="S416" s="11" t="str">
        <f t="shared" si="249"/>
        <v/>
      </c>
      <c r="T416" s="2" t="str">
        <f t="shared" si="250"/>
        <v/>
      </c>
      <c r="U416" s="2" t="str">
        <f t="shared" si="251"/>
        <v/>
      </c>
      <c r="V416" t="str">
        <f t="shared" si="268"/>
        <v/>
      </c>
      <c r="X416">
        <f t="shared" si="279"/>
        <v>0</v>
      </c>
      <c r="Y416">
        <f t="shared" si="280"/>
        <v>0</v>
      </c>
      <c r="Z416">
        <f t="shared" si="281"/>
        <v>0</v>
      </c>
      <c r="AA416">
        <f t="shared" si="282"/>
        <v>0</v>
      </c>
      <c r="AB416">
        <f t="shared" si="283"/>
        <v>0</v>
      </c>
      <c r="AC416">
        <f t="shared" si="284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8"/>
        <v>#</v>
      </c>
      <c r="M417">
        <v>16</v>
      </c>
      <c r="N417" s="12" t="str">
        <f t="shared" si="244"/>
        <v/>
      </c>
      <c r="O417" s="13" t="str">
        <f t="shared" si="245"/>
        <v/>
      </c>
      <c r="P417" s="13" t="str">
        <f t="shared" si="246"/>
        <v/>
      </c>
      <c r="Q417" s="13" t="str">
        <f t="shared" si="247"/>
        <v/>
      </c>
      <c r="R417" s="13" t="str">
        <f t="shared" si="248"/>
        <v/>
      </c>
      <c r="S417" s="14" t="str">
        <f t="shared" si="249"/>
        <v/>
      </c>
      <c r="T417" s="2" t="str">
        <f t="shared" si="250"/>
        <v/>
      </c>
      <c r="U417" s="2" t="str">
        <f t="shared" si="251"/>
        <v/>
      </c>
      <c r="V417" t="str">
        <f t="shared" si="268"/>
        <v/>
      </c>
      <c r="X417">
        <f t="shared" si="279"/>
        <v>0</v>
      </c>
      <c r="Y417">
        <f t="shared" si="280"/>
        <v>0</v>
      </c>
      <c r="Z417">
        <f t="shared" si="281"/>
        <v>0</v>
      </c>
      <c r="AA417">
        <f t="shared" si="282"/>
        <v>0</v>
      </c>
      <c r="AB417">
        <f t="shared" si="283"/>
        <v>0</v>
      </c>
      <c r="AC417">
        <f t="shared" si="284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85">IF(B418&gt;0,"#","")</f>
        <v/>
      </c>
      <c r="O418" t="str">
        <f t="shared" ref="O418:O481" si="286">IF(C418&gt;0,"#","")</f>
        <v/>
      </c>
      <c r="P418" t="str">
        <f t="shared" ref="P418:P481" si="287">IF(D418&gt;0,"#","")</f>
        <v/>
      </c>
      <c r="Q418" t="str">
        <f t="shared" ref="Q418:Q481" si="288">IF(E418&gt;0,"#","")</f>
        <v/>
      </c>
      <c r="R418" t="str">
        <f t="shared" ref="R418:R481" si="289">IF(F418&gt;0,"#","")</f>
        <v/>
      </c>
      <c r="S418" t="str">
        <f t="shared" ref="S418:S481" si="290">IF(G418&gt;0,"#","")</f>
        <v/>
      </c>
      <c r="T418" s="2" t="str">
        <f t="shared" ref="T418:T481" si="291">IF(H418&gt;0,"#","")</f>
        <v/>
      </c>
      <c r="U418" s="2" t="str">
        <f t="shared" ref="U418:U481" si="292">IF(I418&gt;0,"#","")</f>
        <v/>
      </c>
      <c r="V418" t="str">
        <f t="shared" si="268"/>
        <v/>
      </c>
      <c r="W418">
        <f>SUM(B420:G433)</f>
        <v>36</v>
      </c>
      <c r="AD418">
        <f t="shared" ref="AD418" si="293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94">L418</f>
        <v>$</v>
      </c>
      <c r="M419">
        <v>2</v>
      </c>
      <c r="N419" t="str">
        <f t="shared" si="285"/>
        <v/>
      </c>
      <c r="O419" t="str">
        <f t="shared" si="286"/>
        <v/>
      </c>
      <c r="P419" t="str">
        <f t="shared" si="287"/>
        <v/>
      </c>
      <c r="Q419" t="str">
        <f t="shared" si="288"/>
        <v/>
      </c>
      <c r="R419" t="str">
        <f t="shared" si="289"/>
        <v/>
      </c>
      <c r="S419" t="str">
        <f t="shared" si="290"/>
        <v/>
      </c>
      <c r="T419" s="2" t="str">
        <f t="shared" si="291"/>
        <v/>
      </c>
      <c r="U419" s="2" t="str">
        <f t="shared" si="292"/>
        <v/>
      </c>
      <c r="V419" t="str">
        <f t="shared" si="268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94"/>
        <v>$</v>
      </c>
      <c r="M420">
        <v>3</v>
      </c>
      <c r="N420" s="3" t="str">
        <f t="shared" si="285"/>
        <v/>
      </c>
      <c r="O420" s="4" t="str">
        <f t="shared" si="286"/>
        <v/>
      </c>
      <c r="P420" s="4" t="str">
        <f t="shared" si="287"/>
        <v/>
      </c>
      <c r="Q420" s="4" t="str">
        <f t="shared" si="288"/>
        <v/>
      </c>
      <c r="R420" s="4" t="str">
        <f t="shared" si="289"/>
        <v/>
      </c>
      <c r="S420" s="5" t="str">
        <f t="shared" si="290"/>
        <v/>
      </c>
      <c r="T420" s="2" t="str">
        <f t="shared" si="291"/>
        <v/>
      </c>
      <c r="U420" s="2" t="str">
        <f t="shared" si="292"/>
        <v/>
      </c>
      <c r="V420" t="str">
        <f t="shared" si="268"/>
        <v/>
      </c>
      <c r="X420">
        <f t="shared" ref="X420:X433" si="295">MAX(B420-B419,0)</f>
        <v>0</v>
      </c>
      <c r="Y420">
        <f t="shared" ref="Y420:Y433" si="296">MAX(C420-C419,0)</f>
        <v>0</v>
      </c>
      <c r="Z420">
        <f t="shared" ref="Z420:Z433" si="297">MAX(D420-D419,0)</f>
        <v>0</v>
      </c>
      <c r="AA420">
        <f t="shared" ref="AA420:AA433" si="298">MAX(E420-E419,0)</f>
        <v>0</v>
      </c>
      <c r="AB420">
        <f t="shared" ref="AB420:AB433" si="299">MAX(F420-F419,0)</f>
        <v>0</v>
      </c>
      <c r="AC420">
        <f t="shared" ref="AC420:AC433" si="300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94"/>
        <v>$</v>
      </c>
      <c r="M421">
        <v>4</v>
      </c>
      <c r="N421" s="6" t="str">
        <f t="shared" si="285"/>
        <v/>
      </c>
      <c r="O421" s="7" t="str">
        <f t="shared" si="286"/>
        <v/>
      </c>
      <c r="P421" s="7" t="str">
        <f t="shared" si="287"/>
        <v>#</v>
      </c>
      <c r="Q421" s="7" t="str">
        <f t="shared" si="288"/>
        <v/>
      </c>
      <c r="R421" s="7" t="str">
        <f t="shared" si="289"/>
        <v/>
      </c>
      <c r="S421" s="8" t="str">
        <f t="shared" si="290"/>
        <v/>
      </c>
      <c r="T421" s="2" t="str">
        <f t="shared" si="291"/>
        <v/>
      </c>
      <c r="U421" s="2" t="str">
        <f t="shared" si="292"/>
        <v/>
      </c>
      <c r="V421" t="str">
        <f t="shared" si="268"/>
        <v/>
      </c>
      <c r="X421">
        <f t="shared" si="295"/>
        <v>0</v>
      </c>
      <c r="Y421">
        <f t="shared" si="296"/>
        <v>0</v>
      </c>
      <c r="Z421">
        <f t="shared" si="297"/>
        <v>1</v>
      </c>
      <c r="AA421">
        <f t="shared" si="298"/>
        <v>0</v>
      </c>
      <c r="AB421">
        <f t="shared" si="299"/>
        <v>0</v>
      </c>
      <c r="AC421">
        <f t="shared" si="300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94"/>
        <v>$</v>
      </c>
      <c r="M422">
        <v>5</v>
      </c>
      <c r="N422" s="22" t="str">
        <f t="shared" si="285"/>
        <v/>
      </c>
      <c r="O422" s="15" t="str">
        <f t="shared" si="286"/>
        <v>#</v>
      </c>
      <c r="P422" s="15" t="str">
        <f t="shared" si="287"/>
        <v>#</v>
      </c>
      <c r="Q422" s="15" t="str">
        <f t="shared" si="288"/>
        <v>#</v>
      </c>
      <c r="R422" s="16" t="str">
        <f t="shared" si="289"/>
        <v/>
      </c>
      <c r="S422" s="8" t="str">
        <f t="shared" si="290"/>
        <v/>
      </c>
      <c r="T422" s="2" t="str">
        <f t="shared" si="291"/>
        <v/>
      </c>
      <c r="U422" s="2" t="str">
        <f t="shared" si="292"/>
        <v/>
      </c>
      <c r="V422" t="str">
        <f t="shared" si="268"/>
        <v/>
      </c>
      <c r="X422">
        <f t="shared" si="295"/>
        <v>0</v>
      </c>
      <c r="Y422">
        <f t="shared" si="296"/>
        <v>1</v>
      </c>
      <c r="Z422">
        <f t="shared" si="297"/>
        <v>0</v>
      </c>
      <c r="AA422">
        <f t="shared" si="298"/>
        <v>1</v>
      </c>
      <c r="AB422">
        <f t="shared" si="299"/>
        <v>0</v>
      </c>
      <c r="AC422">
        <f t="shared" si="300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94"/>
        <v>$</v>
      </c>
      <c r="M423">
        <v>6</v>
      </c>
      <c r="N423" s="23" t="str">
        <f t="shared" si="285"/>
        <v>#</v>
      </c>
      <c r="O423" s="7" t="str">
        <f t="shared" si="286"/>
        <v>#</v>
      </c>
      <c r="P423" s="7" t="str">
        <f t="shared" si="287"/>
        <v>#</v>
      </c>
      <c r="Q423" s="7" t="str">
        <f t="shared" si="288"/>
        <v>#</v>
      </c>
      <c r="R423" s="17" t="str">
        <f t="shared" si="289"/>
        <v>#</v>
      </c>
      <c r="S423" s="8" t="str">
        <f t="shared" si="290"/>
        <v/>
      </c>
      <c r="T423" s="2" t="str">
        <f t="shared" si="291"/>
        <v/>
      </c>
      <c r="U423" s="2" t="str">
        <f t="shared" si="292"/>
        <v/>
      </c>
      <c r="V423" t="str">
        <f t="shared" si="268"/>
        <v/>
      </c>
      <c r="X423">
        <f t="shared" si="295"/>
        <v>1</v>
      </c>
      <c r="Y423">
        <f t="shared" si="296"/>
        <v>0</v>
      </c>
      <c r="Z423">
        <f t="shared" si="297"/>
        <v>0</v>
      </c>
      <c r="AA423">
        <f t="shared" si="298"/>
        <v>0</v>
      </c>
      <c r="AB423">
        <f t="shared" si="299"/>
        <v>1</v>
      </c>
      <c r="AC423">
        <f t="shared" si="300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94"/>
        <v>$</v>
      </c>
      <c r="M424">
        <v>7</v>
      </c>
      <c r="N424" s="23" t="str">
        <f t="shared" si="285"/>
        <v>#</v>
      </c>
      <c r="O424" s="7" t="str">
        <f t="shared" si="286"/>
        <v/>
      </c>
      <c r="P424" s="7" t="str">
        <f t="shared" si="287"/>
        <v>#</v>
      </c>
      <c r="Q424" s="7" t="str">
        <f t="shared" si="288"/>
        <v/>
      </c>
      <c r="R424" s="17" t="str">
        <f t="shared" si="289"/>
        <v>#</v>
      </c>
      <c r="S424" s="8" t="str">
        <f t="shared" si="290"/>
        <v/>
      </c>
      <c r="T424" s="2" t="str">
        <f t="shared" si="291"/>
        <v/>
      </c>
      <c r="U424" s="2" t="str">
        <f t="shared" si="292"/>
        <v/>
      </c>
      <c r="V424" t="str">
        <f t="shared" si="268"/>
        <v/>
      </c>
      <c r="X424">
        <f t="shared" si="295"/>
        <v>0</v>
      </c>
      <c r="Y424">
        <f t="shared" si="296"/>
        <v>0</v>
      </c>
      <c r="Z424">
        <f t="shared" si="297"/>
        <v>0</v>
      </c>
      <c r="AA424">
        <f t="shared" si="298"/>
        <v>0</v>
      </c>
      <c r="AB424">
        <f t="shared" si="299"/>
        <v>0</v>
      </c>
      <c r="AC424">
        <f t="shared" si="300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94"/>
        <v>$</v>
      </c>
      <c r="M425">
        <v>8</v>
      </c>
      <c r="N425" s="23" t="str">
        <f t="shared" si="285"/>
        <v>#</v>
      </c>
      <c r="O425" s="7" t="str">
        <f t="shared" si="286"/>
        <v/>
      </c>
      <c r="P425" s="7" t="str">
        <f t="shared" si="287"/>
        <v>#</v>
      </c>
      <c r="Q425" s="7" t="str">
        <f t="shared" si="288"/>
        <v/>
      </c>
      <c r="R425" s="17" t="str">
        <f t="shared" si="289"/>
        <v/>
      </c>
      <c r="S425" s="8" t="str">
        <f t="shared" si="290"/>
        <v/>
      </c>
      <c r="T425" s="2" t="str">
        <f t="shared" si="291"/>
        <v/>
      </c>
      <c r="U425" s="2" t="str">
        <f t="shared" si="292"/>
        <v/>
      </c>
      <c r="V425" t="str">
        <f t="shared" si="268"/>
        <v/>
      </c>
      <c r="X425">
        <f t="shared" si="295"/>
        <v>0</v>
      </c>
      <c r="Y425">
        <f t="shared" si="296"/>
        <v>0</v>
      </c>
      <c r="Z425">
        <f t="shared" si="297"/>
        <v>0</v>
      </c>
      <c r="AA425">
        <f t="shared" si="298"/>
        <v>0</v>
      </c>
      <c r="AB425">
        <f t="shared" si="299"/>
        <v>0</v>
      </c>
      <c r="AC425">
        <f t="shared" si="300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94"/>
        <v>$</v>
      </c>
      <c r="M426">
        <v>9</v>
      </c>
      <c r="N426" s="23" t="str">
        <f t="shared" si="285"/>
        <v>#</v>
      </c>
      <c r="O426" s="7" t="str">
        <f t="shared" si="286"/>
        <v>#</v>
      </c>
      <c r="P426" s="7" t="str">
        <f t="shared" si="287"/>
        <v>#</v>
      </c>
      <c r="Q426" s="7" t="str">
        <f t="shared" si="288"/>
        <v>#</v>
      </c>
      <c r="R426" s="17" t="str">
        <f t="shared" si="289"/>
        <v/>
      </c>
      <c r="S426" s="8" t="str">
        <f t="shared" si="290"/>
        <v/>
      </c>
      <c r="T426" s="2" t="str">
        <f t="shared" si="291"/>
        <v/>
      </c>
      <c r="U426" s="2" t="str">
        <f t="shared" si="292"/>
        <v/>
      </c>
      <c r="V426" t="str">
        <f t="shared" si="268"/>
        <v/>
      </c>
      <c r="X426">
        <f t="shared" si="295"/>
        <v>0</v>
      </c>
      <c r="Y426">
        <f t="shared" si="296"/>
        <v>1</v>
      </c>
      <c r="Z426">
        <f t="shared" si="297"/>
        <v>0</v>
      </c>
      <c r="AA426">
        <f t="shared" si="298"/>
        <v>1</v>
      </c>
      <c r="AB426">
        <f t="shared" si="299"/>
        <v>0</v>
      </c>
      <c r="AC426">
        <f t="shared" si="300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94"/>
        <v>$</v>
      </c>
      <c r="M427">
        <v>10</v>
      </c>
      <c r="N427" s="23" t="str">
        <f t="shared" si="285"/>
        <v/>
      </c>
      <c r="O427" s="7" t="str">
        <f t="shared" si="286"/>
        <v>#</v>
      </c>
      <c r="P427" s="7" t="str">
        <f t="shared" si="287"/>
        <v>#</v>
      </c>
      <c r="Q427" s="7" t="str">
        <f t="shared" si="288"/>
        <v>#</v>
      </c>
      <c r="R427" s="17" t="str">
        <f t="shared" si="289"/>
        <v>#</v>
      </c>
      <c r="S427" s="8" t="str">
        <f t="shared" si="290"/>
        <v/>
      </c>
      <c r="T427" s="2" t="str">
        <f t="shared" si="291"/>
        <v/>
      </c>
      <c r="U427" s="2" t="str">
        <f t="shared" si="292"/>
        <v/>
      </c>
      <c r="V427" t="str">
        <f t="shared" si="268"/>
        <v/>
      </c>
      <c r="X427">
        <f t="shared" si="295"/>
        <v>0</v>
      </c>
      <c r="Y427">
        <f t="shared" si="296"/>
        <v>0</v>
      </c>
      <c r="Z427">
        <f t="shared" si="297"/>
        <v>0</v>
      </c>
      <c r="AA427">
        <f t="shared" si="298"/>
        <v>0</v>
      </c>
      <c r="AB427">
        <f t="shared" si="299"/>
        <v>1</v>
      </c>
      <c r="AC427">
        <f t="shared" si="300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94"/>
        <v>$</v>
      </c>
      <c r="M428">
        <v>11</v>
      </c>
      <c r="N428" s="23" t="str">
        <f t="shared" si="285"/>
        <v/>
      </c>
      <c r="O428" s="7" t="str">
        <f t="shared" si="286"/>
        <v/>
      </c>
      <c r="P428" s="7" t="str">
        <f t="shared" si="287"/>
        <v>#</v>
      </c>
      <c r="Q428" s="7" t="str">
        <f t="shared" si="288"/>
        <v/>
      </c>
      <c r="R428" s="17" t="str">
        <f t="shared" si="289"/>
        <v>#</v>
      </c>
      <c r="S428" s="8" t="str">
        <f t="shared" si="290"/>
        <v/>
      </c>
      <c r="T428" s="2" t="str">
        <f t="shared" si="291"/>
        <v/>
      </c>
      <c r="U428" s="2" t="str">
        <f t="shared" si="292"/>
        <v/>
      </c>
      <c r="V428" t="str">
        <f t="shared" si="268"/>
        <v/>
      </c>
      <c r="X428">
        <f t="shared" si="295"/>
        <v>0</v>
      </c>
      <c r="Y428">
        <f t="shared" si="296"/>
        <v>0</v>
      </c>
      <c r="Z428">
        <f t="shared" si="297"/>
        <v>0</v>
      </c>
      <c r="AA428">
        <f t="shared" si="298"/>
        <v>0</v>
      </c>
      <c r="AB428">
        <f t="shared" si="299"/>
        <v>0</v>
      </c>
      <c r="AC428">
        <f t="shared" si="300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94"/>
        <v>$</v>
      </c>
      <c r="M429">
        <v>12</v>
      </c>
      <c r="N429" s="23" t="str">
        <f t="shared" si="285"/>
        <v>#</v>
      </c>
      <c r="O429" s="7" t="str">
        <f t="shared" si="286"/>
        <v/>
      </c>
      <c r="P429" s="7" t="str">
        <f t="shared" si="287"/>
        <v>#</v>
      </c>
      <c r="Q429" s="7" t="str">
        <f t="shared" si="288"/>
        <v/>
      </c>
      <c r="R429" s="17" t="str">
        <f t="shared" si="289"/>
        <v>#</v>
      </c>
      <c r="S429" s="8" t="str">
        <f t="shared" si="290"/>
        <v/>
      </c>
      <c r="T429" s="2" t="str">
        <f t="shared" si="291"/>
        <v/>
      </c>
      <c r="U429" s="2" t="str">
        <f t="shared" si="292"/>
        <v/>
      </c>
      <c r="V429" t="str">
        <f t="shared" si="268"/>
        <v/>
      </c>
      <c r="X429">
        <f t="shared" si="295"/>
        <v>1</v>
      </c>
      <c r="Y429">
        <f t="shared" si="296"/>
        <v>0</v>
      </c>
      <c r="Z429">
        <f t="shared" si="297"/>
        <v>0</v>
      </c>
      <c r="AA429">
        <f t="shared" si="298"/>
        <v>0</v>
      </c>
      <c r="AB429">
        <f t="shared" si="299"/>
        <v>0</v>
      </c>
      <c r="AC429">
        <f t="shared" si="300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94"/>
        <v>$</v>
      </c>
      <c r="M430">
        <v>13</v>
      </c>
      <c r="N430" s="6" t="str">
        <f t="shared" si="285"/>
        <v>#</v>
      </c>
      <c r="O430" s="7" t="str">
        <f t="shared" si="286"/>
        <v>#</v>
      </c>
      <c r="P430" s="7" t="str">
        <f t="shared" si="287"/>
        <v>#</v>
      </c>
      <c r="Q430" s="7" t="str">
        <f t="shared" si="288"/>
        <v>#</v>
      </c>
      <c r="R430" s="17" t="str">
        <f t="shared" si="289"/>
        <v>#</v>
      </c>
      <c r="S430" s="8" t="str">
        <f t="shared" si="290"/>
        <v/>
      </c>
      <c r="T430" s="2" t="str">
        <f t="shared" si="291"/>
        <v/>
      </c>
      <c r="U430" s="2" t="str">
        <f t="shared" si="292"/>
        <v/>
      </c>
      <c r="V430" t="str">
        <f t="shared" si="268"/>
        <v/>
      </c>
      <c r="X430">
        <f t="shared" si="295"/>
        <v>0</v>
      </c>
      <c r="Y430">
        <f t="shared" si="296"/>
        <v>1</v>
      </c>
      <c r="Z430">
        <f t="shared" si="297"/>
        <v>0</v>
      </c>
      <c r="AA430">
        <f t="shared" si="298"/>
        <v>1</v>
      </c>
      <c r="AB430">
        <f t="shared" si="299"/>
        <v>0</v>
      </c>
      <c r="AC430">
        <f t="shared" si="300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94"/>
        <v>$</v>
      </c>
      <c r="M431">
        <v>14</v>
      </c>
      <c r="N431" s="18" t="str">
        <f t="shared" si="285"/>
        <v/>
      </c>
      <c r="O431" s="19" t="str">
        <f t="shared" si="286"/>
        <v>#</v>
      </c>
      <c r="P431" s="19" t="str">
        <f t="shared" si="287"/>
        <v>#</v>
      </c>
      <c r="Q431" s="19" t="str">
        <f t="shared" si="288"/>
        <v>#</v>
      </c>
      <c r="R431" s="20" t="str">
        <f t="shared" si="289"/>
        <v/>
      </c>
      <c r="S431" s="8" t="str">
        <f t="shared" si="290"/>
        <v/>
      </c>
      <c r="T431" s="2" t="str">
        <f t="shared" si="291"/>
        <v/>
      </c>
      <c r="U431" s="2" t="str">
        <f t="shared" si="292"/>
        <v/>
      </c>
      <c r="V431" t="str">
        <f t="shared" si="268"/>
        <v/>
      </c>
      <c r="X431">
        <f t="shared" si="295"/>
        <v>0</v>
      </c>
      <c r="Y431">
        <f t="shared" si="296"/>
        <v>0</v>
      </c>
      <c r="Z431">
        <f t="shared" si="297"/>
        <v>0</v>
      </c>
      <c r="AA431">
        <f t="shared" si="298"/>
        <v>0</v>
      </c>
      <c r="AB431">
        <f t="shared" si="299"/>
        <v>0</v>
      </c>
      <c r="AC431">
        <f t="shared" si="300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94"/>
        <v>$</v>
      </c>
      <c r="M432">
        <v>15</v>
      </c>
      <c r="N432" s="9" t="str">
        <f t="shared" si="285"/>
        <v/>
      </c>
      <c r="O432" s="10" t="str">
        <f t="shared" si="286"/>
        <v/>
      </c>
      <c r="P432" s="10" t="str">
        <f t="shared" si="287"/>
        <v>#</v>
      </c>
      <c r="Q432" s="10" t="str">
        <f t="shared" si="288"/>
        <v/>
      </c>
      <c r="R432" s="10" t="str">
        <f t="shared" si="289"/>
        <v/>
      </c>
      <c r="S432" s="11" t="str">
        <f t="shared" si="290"/>
        <v/>
      </c>
      <c r="T432" s="2" t="str">
        <f t="shared" si="291"/>
        <v/>
      </c>
      <c r="U432" s="2" t="str">
        <f t="shared" si="292"/>
        <v/>
      </c>
      <c r="V432" t="str">
        <f t="shared" si="268"/>
        <v/>
      </c>
      <c r="X432">
        <f t="shared" si="295"/>
        <v>0</v>
      </c>
      <c r="Y432">
        <f t="shared" si="296"/>
        <v>0</v>
      </c>
      <c r="Z432">
        <f t="shared" si="297"/>
        <v>0</v>
      </c>
      <c r="AA432">
        <f t="shared" si="298"/>
        <v>0</v>
      </c>
      <c r="AB432">
        <f t="shared" si="299"/>
        <v>0</v>
      </c>
      <c r="AC432">
        <f t="shared" si="300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94"/>
        <v>$</v>
      </c>
      <c r="M433">
        <v>16</v>
      </c>
      <c r="N433" s="12" t="str">
        <f t="shared" si="285"/>
        <v/>
      </c>
      <c r="O433" s="13" t="str">
        <f t="shared" si="286"/>
        <v/>
      </c>
      <c r="P433" s="13" t="str">
        <f t="shared" si="287"/>
        <v/>
      </c>
      <c r="Q433" s="13" t="str">
        <f t="shared" si="288"/>
        <v/>
      </c>
      <c r="R433" s="13" t="str">
        <f t="shared" si="289"/>
        <v/>
      </c>
      <c r="S433" s="14" t="str">
        <f t="shared" si="290"/>
        <v/>
      </c>
      <c r="T433" s="2" t="str">
        <f t="shared" si="291"/>
        <v/>
      </c>
      <c r="U433" s="2" t="str">
        <f t="shared" si="292"/>
        <v/>
      </c>
      <c r="V433" t="str">
        <f t="shared" si="268"/>
        <v/>
      </c>
      <c r="X433">
        <f t="shared" si="295"/>
        <v>0</v>
      </c>
      <c r="Y433">
        <f t="shared" si="296"/>
        <v>0</v>
      </c>
      <c r="Z433">
        <f t="shared" si="297"/>
        <v>0</v>
      </c>
      <c r="AA433">
        <f t="shared" si="298"/>
        <v>0</v>
      </c>
      <c r="AB433">
        <f t="shared" si="299"/>
        <v>0</v>
      </c>
      <c r="AC433">
        <f t="shared" si="300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85"/>
        <v/>
      </c>
      <c r="O434" t="str">
        <f t="shared" si="286"/>
        <v/>
      </c>
      <c r="P434" t="str">
        <f t="shared" si="287"/>
        <v/>
      </c>
      <c r="Q434" t="str">
        <f t="shared" si="288"/>
        <v/>
      </c>
      <c r="R434" t="str">
        <f t="shared" si="289"/>
        <v/>
      </c>
      <c r="S434" t="str">
        <f t="shared" si="290"/>
        <v/>
      </c>
      <c r="T434" s="2" t="str">
        <f t="shared" si="291"/>
        <v/>
      </c>
      <c r="U434" s="2" t="str">
        <f t="shared" si="292"/>
        <v/>
      </c>
      <c r="V434" t="str">
        <f t="shared" si="268"/>
        <v/>
      </c>
      <c r="W434">
        <f>SUM(B436:G449)</f>
        <v>24</v>
      </c>
      <c r="AD434">
        <f t="shared" ref="AD434" si="301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302">L434</f>
        <v>%</v>
      </c>
      <c r="M435">
        <v>2</v>
      </c>
      <c r="N435" t="str">
        <f t="shared" si="285"/>
        <v/>
      </c>
      <c r="O435" t="str">
        <f t="shared" si="286"/>
        <v/>
      </c>
      <c r="P435" t="str">
        <f t="shared" si="287"/>
        <v/>
      </c>
      <c r="Q435" t="str">
        <f t="shared" si="288"/>
        <v/>
      </c>
      <c r="R435" t="str">
        <f t="shared" si="289"/>
        <v/>
      </c>
      <c r="S435" t="str">
        <f t="shared" si="290"/>
        <v/>
      </c>
      <c r="T435" s="2" t="str">
        <f t="shared" si="291"/>
        <v/>
      </c>
      <c r="U435" s="2" t="str">
        <f t="shared" si="292"/>
        <v/>
      </c>
      <c r="V435" t="str">
        <f t="shared" si="268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302"/>
        <v>%</v>
      </c>
      <c r="M436">
        <v>3</v>
      </c>
      <c r="N436" s="3" t="str">
        <f t="shared" si="285"/>
        <v/>
      </c>
      <c r="O436" s="4" t="str">
        <f t="shared" si="286"/>
        <v/>
      </c>
      <c r="P436" s="4" t="str">
        <f t="shared" si="287"/>
        <v/>
      </c>
      <c r="Q436" s="4" t="str">
        <f t="shared" si="288"/>
        <v/>
      </c>
      <c r="R436" s="4" t="str">
        <f t="shared" si="289"/>
        <v/>
      </c>
      <c r="S436" s="5" t="str">
        <f t="shared" si="290"/>
        <v/>
      </c>
      <c r="T436" s="2" t="str">
        <f t="shared" si="291"/>
        <v/>
      </c>
      <c r="U436" s="2" t="str">
        <f t="shared" si="292"/>
        <v/>
      </c>
      <c r="V436" t="str">
        <f t="shared" si="268"/>
        <v/>
      </c>
      <c r="X436">
        <f t="shared" ref="X436:X449" si="303">MAX(B436-B435,0)</f>
        <v>0</v>
      </c>
      <c r="Y436">
        <f t="shared" ref="Y436:Y449" si="304">MAX(C436-C435,0)</f>
        <v>0</v>
      </c>
      <c r="Z436">
        <f t="shared" ref="Z436:Z449" si="305">MAX(D436-D435,0)</f>
        <v>0</v>
      </c>
      <c r="AA436">
        <f t="shared" ref="AA436:AA449" si="306">MAX(E436-E435,0)</f>
        <v>0</v>
      </c>
      <c r="AB436">
        <f t="shared" ref="AB436:AB449" si="307">MAX(F436-F435,0)</f>
        <v>0</v>
      </c>
      <c r="AC436">
        <f t="shared" ref="AC436:AC449" si="308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302"/>
        <v>%</v>
      </c>
      <c r="M437">
        <v>4</v>
      </c>
      <c r="N437" s="6" t="str">
        <f t="shared" si="285"/>
        <v>#</v>
      </c>
      <c r="O437" s="7" t="str">
        <f t="shared" si="286"/>
        <v>#</v>
      </c>
      <c r="P437" s="7" t="str">
        <f t="shared" si="287"/>
        <v/>
      </c>
      <c r="Q437" s="7" t="str">
        <f t="shared" si="288"/>
        <v/>
      </c>
      <c r="R437" s="7" t="str">
        <f t="shared" si="289"/>
        <v>#</v>
      </c>
      <c r="S437" s="8" t="str">
        <f t="shared" si="290"/>
        <v/>
      </c>
      <c r="T437" s="2" t="str">
        <f t="shared" si="291"/>
        <v/>
      </c>
      <c r="U437" s="2" t="str">
        <f t="shared" si="292"/>
        <v/>
      </c>
      <c r="V437" t="str">
        <f t="shared" si="268"/>
        <v/>
      </c>
      <c r="X437">
        <f t="shared" si="303"/>
        <v>1</v>
      </c>
      <c r="Y437">
        <f t="shared" si="304"/>
        <v>1</v>
      </c>
      <c r="Z437">
        <f t="shared" si="305"/>
        <v>0</v>
      </c>
      <c r="AA437">
        <f t="shared" si="306"/>
        <v>0</v>
      </c>
      <c r="AB437">
        <f t="shared" si="307"/>
        <v>1</v>
      </c>
      <c r="AC437">
        <f t="shared" si="308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302"/>
        <v>%</v>
      </c>
      <c r="M438">
        <v>5</v>
      </c>
      <c r="N438" s="22" t="str">
        <f t="shared" si="285"/>
        <v>#</v>
      </c>
      <c r="O438" s="15" t="str">
        <f t="shared" si="286"/>
        <v>#</v>
      </c>
      <c r="P438" s="15" t="str">
        <f t="shared" si="287"/>
        <v/>
      </c>
      <c r="Q438" s="15" t="str">
        <f t="shared" si="288"/>
        <v/>
      </c>
      <c r="R438" s="16" t="str">
        <f t="shared" si="289"/>
        <v>#</v>
      </c>
      <c r="S438" s="8" t="str">
        <f t="shared" si="290"/>
        <v/>
      </c>
      <c r="T438" s="2" t="str">
        <f t="shared" si="291"/>
        <v/>
      </c>
      <c r="U438" s="2" t="str">
        <f t="shared" si="292"/>
        <v/>
      </c>
      <c r="V438" t="str">
        <f t="shared" si="268"/>
        <v/>
      </c>
      <c r="X438">
        <f t="shared" si="303"/>
        <v>0</v>
      </c>
      <c r="Y438">
        <f t="shared" si="304"/>
        <v>0</v>
      </c>
      <c r="Z438">
        <f t="shared" si="305"/>
        <v>0</v>
      </c>
      <c r="AA438">
        <f t="shared" si="306"/>
        <v>0</v>
      </c>
      <c r="AB438">
        <f t="shared" si="307"/>
        <v>0</v>
      </c>
      <c r="AC438">
        <f t="shared" si="308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302"/>
        <v>%</v>
      </c>
      <c r="M439">
        <v>6</v>
      </c>
      <c r="N439" s="23" t="str">
        <f t="shared" si="285"/>
        <v>#</v>
      </c>
      <c r="O439" s="7" t="str">
        <f t="shared" si="286"/>
        <v>#</v>
      </c>
      <c r="P439" s="7" t="str">
        <f t="shared" si="287"/>
        <v/>
      </c>
      <c r="Q439" s="7" t="str">
        <f t="shared" si="288"/>
        <v/>
      </c>
      <c r="R439" s="17" t="str">
        <f t="shared" si="289"/>
        <v>#</v>
      </c>
      <c r="S439" s="8" t="str">
        <f t="shared" si="290"/>
        <v/>
      </c>
      <c r="T439" s="2" t="str">
        <f t="shared" si="291"/>
        <v/>
      </c>
      <c r="U439" s="2" t="str">
        <f t="shared" si="292"/>
        <v/>
      </c>
      <c r="V439" t="str">
        <f t="shared" si="268"/>
        <v/>
      </c>
      <c r="X439">
        <f t="shared" si="303"/>
        <v>0</v>
      </c>
      <c r="Y439">
        <f t="shared" si="304"/>
        <v>0</v>
      </c>
      <c r="Z439">
        <f t="shared" si="305"/>
        <v>0</v>
      </c>
      <c r="AA439">
        <f t="shared" si="306"/>
        <v>0</v>
      </c>
      <c r="AB439">
        <f t="shared" si="307"/>
        <v>0</v>
      </c>
      <c r="AC439">
        <f t="shared" si="308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302"/>
        <v>%</v>
      </c>
      <c r="M440">
        <v>7</v>
      </c>
      <c r="N440" s="23" t="str">
        <f t="shared" si="285"/>
        <v/>
      </c>
      <c r="O440" s="7" t="str">
        <f t="shared" si="286"/>
        <v/>
      </c>
      <c r="P440" s="7" t="str">
        <f t="shared" si="287"/>
        <v/>
      </c>
      <c r="Q440" s="7" t="str">
        <f t="shared" si="288"/>
        <v>#</v>
      </c>
      <c r="R440" s="17" t="str">
        <f t="shared" si="289"/>
        <v/>
      </c>
      <c r="S440" s="8" t="str">
        <f t="shared" si="290"/>
        <v/>
      </c>
      <c r="T440" s="2" t="str">
        <f t="shared" si="291"/>
        <v/>
      </c>
      <c r="U440" s="2" t="str">
        <f t="shared" si="292"/>
        <v/>
      </c>
      <c r="V440" t="str">
        <f t="shared" si="268"/>
        <v/>
      </c>
      <c r="X440">
        <f t="shared" si="303"/>
        <v>0</v>
      </c>
      <c r="Y440">
        <f t="shared" si="304"/>
        <v>0</v>
      </c>
      <c r="Z440">
        <f t="shared" si="305"/>
        <v>0</v>
      </c>
      <c r="AA440">
        <f t="shared" si="306"/>
        <v>1</v>
      </c>
      <c r="AB440">
        <f t="shared" si="307"/>
        <v>0</v>
      </c>
      <c r="AC440">
        <f t="shared" si="308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302"/>
        <v>%</v>
      </c>
      <c r="M441">
        <v>8</v>
      </c>
      <c r="N441" s="23" t="str">
        <f t="shared" si="285"/>
        <v/>
      </c>
      <c r="O441" s="7" t="str">
        <f t="shared" si="286"/>
        <v/>
      </c>
      <c r="P441" s="7" t="str">
        <f t="shared" si="287"/>
        <v/>
      </c>
      <c r="Q441" s="7" t="str">
        <f t="shared" si="288"/>
        <v>#</v>
      </c>
      <c r="R441" s="17" t="str">
        <f t="shared" si="289"/>
        <v/>
      </c>
      <c r="S441" s="8" t="str">
        <f t="shared" si="290"/>
        <v/>
      </c>
      <c r="T441" s="2" t="str">
        <f t="shared" si="291"/>
        <v/>
      </c>
      <c r="U441" s="2" t="str">
        <f t="shared" si="292"/>
        <v/>
      </c>
      <c r="V441" t="str">
        <f t="shared" si="268"/>
        <v/>
      </c>
      <c r="X441">
        <f t="shared" si="303"/>
        <v>0</v>
      </c>
      <c r="Y441">
        <f t="shared" si="304"/>
        <v>0</v>
      </c>
      <c r="Z441">
        <f t="shared" si="305"/>
        <v>0</v>
      </c>
      <c r="AA441">
        <f t="shared" si="306"/>
        <v>0</v>
      </c>
      <c r="AB441">
        <f t="shared" si="307"/>
        <v>0</v>
      </c>
      <c r="AC441">
        <f t="shared" si="308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302"/>
        <v>%</v>
      </c>
      <c r="M442">
        <v>9</v>
      </c>
      <c r="N442" s="23" t="str">
        <f t="shared" si="285"/>
        <v/>
      </c>
      <c r="O442" s="7" t="str">
        <f t="shared" si="286"/>
        <v/>
      </c>
      <c r="P442" s="7" t="str">
        <f t="shared" si="287"/>
        <v>#</v>
      </c>
      <c r="Q442" s="7" t="str">
        <f t="shared" si="288"/>
        <v/>
      </c>
      <c r="R442" s="17" t="str">
        <f t="shared" si="289"/>
        <v/>
      </c>
      <c r="S442" s="8" t="str">
        <f t="shared" si="290"/>
        <v/>
      </c>
      <c r="T442" s="2" t="str">
        <f t="shared" si="291"/>
        <v/>
      </c>
      <c r="U442" s="2" t="str">
        <f t="shared" si="292"/>
        <v/>
      </c>
      <c r="V442" t="str">
        <f t="shared" si="268"/>
        <v/>
      </c>
      <c r="X442">
        <f t="shared" si="303"/>
        <v>0</v>
      </c>
      <c r="Y442">
        <f t="shared" si="304"/>
        <v>0</v>
      </c>
      <c r="Z442">
        <f t="shared" si="305"/>
        <v>1</v>
      </c>
      <c r="AA442">
        <f t="shared" si="306"/>
        <v>0</v>
      </c>
      <c r="AB442">
        <f t="shared" si="307"/>
        <v>0</v>
      </c>
      <c r="AC442">
        <f t="shared" si="308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302"/>
        <v>%</v>
      </c>
      <c r="M443">
        <v>10</v>
      </c>
      <c r="N443" s="23" t="str">
        <f t="shared" si="285"/>
        <v/>
      </c>
      <c r="O443" s="7" t="str">
        <f t="shared" si="286"/>
        <v/>
      </c>
      <c r="P443" s="7" t="str">
        <f t="shared" si="287"/>
        <v>#</v>
      </c>
      <c r="Q443" s="7" t="str">
        <f t="shared" si="288"/>
        <v/>
      </c>
      <c r="R443" s="17" t="str">
        <f t="shared" si="289"/>
        <v/>
      </c>
      <c r="S443" s="8" t="str">
        <f t="shared" si="290"/>
        <v/>
      </c>
      <c r="T443" s="2" t="str">
        <f t="shared" si="291"/>
        <v/>
      </c>
      <c r="U443" s="2" t="str">
        <f t="shared" si="292"/>
        <v/>
      </c>
      <c r="V443" t="str">
        <f t="shared" si="268"/>
        <v/>
      </c>
      <c r="X443">
        <f t="shared" si="303"/>
        <v>0</v>
      </c>
      <c r="Y443">
        <f t="shared" si="304"/>
        <v>0</v>
      </c>
      <c r="Z443">
        <f t="shared" si="305"/>
        <v>0</v>
      </c>
      <c r="AA443">
        <f t="shared" si="306"/>
        <v>0</v>
      </c>
      <c r="AB443">
        <f t="shared" si="307"/>
        <v>0</v>
      </c>
      <c r="AC443">
        <f t="shared" si="308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302"/>
        <v>%</v>
      </c>
      <c r="M444">
        <v>11</v>
      </c>
      <c r="N444" s="23" t="str">
        <f t="shared" si="285"/>
        <v/>
      </c>
      <c r="O444" s="7" t="str">
        <f t="shared" si="286"/>
        <v>#</v>
      </c>
      <c r="P444" s="7" t="str">
        <f t="shared" si="287"/>
        <v/>
      </c>
      <c r="Q444" s="7" t="str">
        <f t="shared" si="288"/>
        <v/>
      </c>
      <c r="R444" s="17" t="str">
        <f t="shared" si="289"/>
        <v/>
      </c>
      <c r="S444" s="8" t="str">
        <f t="shared" si="290"/>
        <v/>
      </c>
      <c r="T444" s="2" t="str">
        <f t="shared" si="291"/>
        <v/>
      </c>
      <c r="U444" s="2" t="str">
        <f t="shared" si="292"/>
        <v/>
      </c>
      <c r="V444" t="str">
        <f t="shared" si="268"/>
        <v/>
      </c>
      <c r="X444">
        <f t="shared" si="303"/>
        <v>0</v>
      </c>
      <c r="Y444">
        <f t="shared" si="304"/>
        <v>1</v>
      </c>
      <c r="Z444">
        <f t="shared" si="305"/>
        <v>0</v>
      </c>
      <c r="AA444">
        <f t="shared" si="306"/>
        <v>0</v>
      </c>
      <c r="AB444">
        <f t="shared" si="307"/>
        <v>0</v>
      </c>
      <c r="AC444">
        <f t="shared" si="308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302"/>
        <v>%</v>
      </c>
      <c r="M445">
        <v>12</v>
      </c>
      <c r="N445" s="23" t="str">
        <f t="shared" si="285"/>
        <v/>
      </c>
      <c r="O445" s="7" t="str">
        <f t="shared" si="286"/>
        <v>#</v>
      </c>
      <c r="P445" s="7" t="str">
        <f t="shared" si="287"/>
        <v/>
      </c>
      <c r="Q445" s="7" t="str">
        <f t="shared" si="288"/>
        <v/>
      </c>
      <c r="R445" s="17" t="str">
        <f t="shared" si="289"/>
        <v/>
      </c>
      <c r="S445" s="8" t="str">
        <f t="shared" si="290"/>
        <v/>
      </c>
      <c r="T445" s="2" t="str">
        <f t="shared" si="291"/>
        <v/>
      </c>
      <c r="U445" s="2" t="str">
        <f t="shared" si="292"/>
        <v/>
      </c>
      <c r="V445" t="str">
        <f t="shared" si="268"/>
        <v/>
      </c>
      <c r="X445">
        <f t="shared" si="303"/>
        <v>0</v>
      </c>
      <c r="Y445">
        <f t="shared" si="304"/>
        <v>0</v>
      </c>
      <c r="Z445">
        <f t="shared" si="305"/>
        <v>0</v>
      </c>
      <c r="AA445">
        <f t="shared" si="306"/>
        <v>0</v>
      </c>
      <c r="AB445">
        <f t="shared" si="307"/>
        <v>0</v>
      </c>
      <c r="AC445">
        <f t="shared" si="308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302"/>
        <v>%</v>
      </c>
      <c r="M446">
        <v>13</v>
      </c>
      <c r="N446" s="6" t="str">
        <f t="shared" si="285"/>
        <v>#</v>
      </c>
      <c r="O446" s="7" t="str">
        <f t="shared" si="286"/>
        <v/>
      </c>
      <c r="P446" s="7" t="str">
        <f t="shared" si="287"/>
        <v/>
      </c>
      <c r="Q446" s="7" t="str">
        <f t="shared" si="288"/>
        <v>#</v>
      </c>
      <c r="R446" s="17" t="str">
        <f t="shared" si="289"/>
        <v>#</v>
      </c>
      <c r="S446" s="8" t="str">
        <f t="shared" si="290"/>
        <v/>
      </c>
      <c r="T446" s="2" t="str">
        <f t="shared" si="291"/>
        <v/>
      </c>
      <c r="U446" s="2" t="str">
        <f t="shared" si="292"/>
        <v/>
      </c>
      <c r="V446" t="str">
        <f t="shared" si="268"/>
        <v/>
      </c>
      <c r="X446">
        <f t="shared" si="303"/>
        <v>1</v>
      </c>
      <c r="Y446">
        <f t="shared" si="304"/>
        <v>0</v>
      </c>
      <c r="Z446">
        <f t="shared" si="305"/>
        <v>0</v>
      </c>
      <c r="AA446">
        <f t="shared" si="306"/>
        <v>1</v>
      </c>
      <c r="AB446">
        <f t="shared" si="307"/>
        <v>1</v>
      </c>
      <c r="AC446">
        <f t="shared" si="308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302"/>
        <v>%</v>
      </c>
      <c r="M447">
        <v>14</v>
      </c>
      <c r="N447" s="18" t="str">
        <f t="shared" si="285"/>
        <v>#</v>
      </c>
      <c r="O447" s="19" t="str">
        <f t="shared" si="286"/>
        <v/>
      </c>
      <c r="P447" s="19" t="str">
        <f t="shared" si="287"/>
        <v/>
      </c>
      <c r="Q447" s="19" t="str">
        <f t="shared" si="288"/>
        <v>#</v>
      </c>
      <c r="R447" s="20" t="str">
        <f t="shared" si="289"/>
        <v>#</v>
      </c>
      <c r="S447" s="8" t="str">
        <f t="shared" si="290"/>
        <v/>
      </c>
      <c r="T447" s="2" t="str">
        <f t="shared" si="291"/>
        <v/>
      </c>
      <c r="U447" s="2" t="str">
        <f t="shared" si="292"/>
        <v/>
      </c>
      <c r="V447" t="str">
        <f t="shared" si="268"/>
        <v/>
      </c>
      <c r="X447">
        <f t="shared" si="303"/>
        <v>0</v>
      </c>
      <c r="Y447">
        <f t="shared" si="304"/>
        <v>0</v>
      </c>
      <c r="Z447">
        <f t="shared" si="305"/>
        <v>0</v>
      </c>
      <c r="AA447">
        <f t="shared" si="306"/>
        <v>0</v>
      </c>
      <c r="AB447">
        <f t="shared" si="307"/>
        <v>0</v>
      </c>
      <c r="AC447">
        <f t="shared" si="308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302"/>
        <v>%</v>
      </c>
      <c r="M448">
        <v>15</v>
      </c>
      <c r="N448" s="9" t="str">
        <f t="shared" si="285"/>
        <v>#</v>
      </c>
      <c r="O448" s="10" t="str">
        <f t="shared" si="286"/>
        <v/>
      </c>
      <c r="P448" s="10" t="str">
        <f t="shared" si="287"/>
        <v/>
      </c>
      <c r="Q448" s="10" t="str">
        <f t="shared" si="288"/>
        <v>#</v>
      </c>
      <c r="R448" s="10" t="str">
        <f t="shared" si="289"/>
        <v>#</v>
      </c>
      <c r="S448" s="11" t="str">
        <f t="shared" si="290"/>
        <v/>
      </c>
      <c r="T448" s="2" t="str">
        <f t="shared" si="291"/>
        <v/>
      </c>
      <c r="U448" s="2" t="str">
        <f t="shared" si="292"/>
        <v/>
      </c>
      <c r="V448" t="str">
        <f t="shared" si="268"/>
        <v/>
      </c>
      <c r="X448">
        <f t="shared" si="303"/>
        <v>0</v>
      </c>
      <c r="Y448">
        <f t="shared" si="304"/>
        <v>0</v>
      </c>
      <c r="Z448">
        <f t="shared" si="305"/>
        <v>0</v>
      </c>
      <c r="AA448">
        <f t="shared" si="306"/>
        <v>0</v>
      </c>
      <c r="AB448">
        <f t="shared" si="307"/>
        <v>0</v>
      </c>
      <c r="AC448">
        <f t="shared" si="308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302"/>
        <v>%</v>
      </c>
      <c r="M449">
        <v>16</v>
      </c>
      <c r="N449" s="12" t="str">
        <f t="shared" si="285"/>
        <v/>
      </c>
      <c r="O449" s="13" t="str">
        <f t="shared" si="286"/>
        <v/>
      </c>
      <c r="P449" s="13" t="str">
        <f t="shared" si="287"/>
        <v/>
      </c>
      <c r="Q449" s="13" t="str">
        <f t="shared" si="288"/>
        <v/>
      </c>
      <c r="R449" s="13" t="str">
        <f t="shared" si="289"/>
        <v/>
      </c>
      <c r="S449" s="14" t="str">
        <f t="shared" si="290"/>
        <v/>
      </c>
      <c r="T449" s="2" t="str">
        <f t="shared" si="291"/>
        <v/>
      </c>
      <c r="U449" s="2" t="str">
        <f t="shared" si="292"/>
        <v/>
      </c>
      <c r="V449" t="str">
        <f t="shared" si="268"/>
        <v/>
      </c>
      <c r="X449">
        <f t="shared" si="303"/>
        <v>0</v>
      </c>
      <c r="Y449">
        <f t="shared" si="304"/>
        <v>0</v>
      </c>
      <c r="Z449">
        <f t="shared" si="305"/>
        <v>0</v>
      </c>
      <c r="AA449">
        <f t="shared" si="306"/>
        <v>0</v>
      </c>
      <c r="AB449">
        <f t="shared" si="307"/>
        <v>0</v>
      </c>
      <c r="AC449">
        <f t="shared" si="308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85"/>
        <v/>
      </c>
      <c r="O450" t="str">
        <f t="shared" si="286"/>
        <v/>
      </c>
      <c r="P450" t="str">
        <f t="shared" si="287"/>
        <v/>
      </c>
      <c r="Q450" t="str">
        <f t="shared" si="288"/>
        <v/>
      </c>
      <c r="R450" t="str">
        <f t="shared" si="289"/>
        <v/>
      </c>
      <c r="S450" t="str">
        <f t="shared" si="290"/>
        <v/>
      </c>
      <c r="T450" s="2" t="str">
        <f t="shared" si="291"/>
        <v/>
      </c>
      <c r="U450" s="2" t="str">
        <f t="shared" si="292"/>
        <v/>
      </c>
      <c r="V450" t="str">
        <f t="shared" ref="V450:V513" si="309">IF(A450=0,"",M450)</f>
        <v/>
      </c>
      <c r="W450">
        <f>SUM(B452:G465)</f>
        <v>27</v>
      </c>
      <c r="AD450">
        <f t="shared" ref="AD450" si="310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11">L450</f>
        <v>&amp;</v>
      </c>
      <c r="M451">
        <v>2</v>
      </c>
      <c r="N451" t="str">
        <f t="shared" si="285"/>
        <v/>
      </c>
      <c r="O451" t="str">
        <f t="shared" si="286"/>
        <v/>
      </c>
      <c r="P451" t="str">
        <f t="shared" si="287"/>
        <v/>
      </c>
      <c r="Q451" t="str">
        <f t="shared" si="288"/>
        <v/>
      </c>
      <c r="R451" t="str">
        <f t="shared" si="289"/>
        <v/>
      </c>
      <c r="S451" t="str">
        <f t="shared" si="290"/>
        <v/>
      </c>
      <c r="T451" s="2" t="str">
        <f t="shared" si="291"/>
        <v/>
      </c>
      <c r="U451" s="2" t="str">
        <f t="shared" si="292"/>
        <v/>
      </c>
      <c r="V451" t="str">
        <f t="shared" si="309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11"/>
        <v>&amp;</v>
      </c>
      <c r="M452">
        <v>3</v>
      </c>
      <c r="N452" s="3" t="str">
        <f t="shared" si="285"/>
        <v/>
      </c>
      <c r="O452" s="4" t="str">
        <f t="shared" si="286"/>
        <v>#</v>
      </c>
      <c r="P452" s="4" t="str">
        <f t="shared" si="287"/>
        <v/>
      </c>
      <c r="Q452" s="4" t="str">
        <f t="shared" si="288"/>
        <v/>
      </c>
      <c r="R452" s="4" t="str">
        <f t="shared" si="289"/>
        <v/>
      </c>
      <c r="S452" s="5" t="str">
        <f t="shared" si="290"/>
        <v/>
      </c>
      <c r="T452" s="2" t="str">
        <f t="shared" si="291"/>
        <v/>
      </c>
      <c r="U452" s="2" t="str">
        <f t="shared" si="292"/>
        <v/>
      </c>
      <c r="V452" t="str">
        <f t="shared" si="309"/>
        <v/>
      </c>
      <c r="X452">
        <f t="shared" ref="X452:X465" si="312">MAX(B452-B451,0)</f>
        <v>0</v>
      </c>
      <c r="Y452">
        <f t="shared" ref="Y452:Y465" si="313">MAX(C452-C451,0)</f>
        <v>1</v>
      </c>
      <c r="Z452">
        <f t="shared" ref="Z452:Z465" si="314">MAX(D452-D451,0)</f>
        <v>0</v>
      </c>
      <c r="AA452">
        <f t="shared" ref="AA452:AA465" si="315">MAX(E452-E451,0)</f>
        <v>0</v>
      </c>
      <c r="AB452">
        <f t="shared" ref="AB452:AB465" si="316">MAX(F452-F451,0)</f>
        <v>0</v>
      </c>
      <c r="AC452">
        <f t="shared" ref="AC452:AC465" si="317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11"/>
        <v>&amp;</v>
      </c>
      <c r="M453">
        <v>4</v>
      </c>
      <c r="N453" s="6" t="str">
        <f t="shared" si="285"/>
        <v>#</v>
      </c>
      <c r="O453" s="7" t="str">
        <f t="shared" si="286"/>
        <v>#</v>
      </c>
      <c r="P453" s="7" t="str">
        <f t="shared" si="287"/>
        <v>#</v>
      </c>
      <c r="Q453" s="7" t="str">
        <f t="shared" si="288"/>
        <v/>
      </c>
      <c r="R453" s="7" t="str">
        <f t="shared" si="289"/>
        <v/>
      </c>
      <c r="S453" s="8" t="str">
        <f t="shared" si="290"/>
        <v/>
      </c>
      <c r="T453" s="2" t="str">
        <f t="shared" si="291"/>
        <v/>
      </c>
      <c r="U453" s="2" t="str">
        <f t="shared" si="292"/>
        <v/>
      </c>
      <c r="V453" t="str">
        <f t="shared" si="309"/>
        <v/>
      </c>
      <c r="X453">
        <f t="shared" si="312"/>
        <v>1</v>
      </c>
      <c r="Y453">
        <f t="shared" si="313"/>
        <v>0</v>
      </c>
      <c r="Z453">
        <f t="shared" si="314"/>
        <v>1</v>
      </c>
      <c r="AA453">
        <f t="shared" si="315"/>
        <v>0</v>
      </c>
      <c r="AB453">
        <f t="shared" si="316"/>
        <v>0</v>
      </c>
      <c r="AC453">
        <f t="shared" si="317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11"/>
        <v>&amp;</v>
      </c>
      <c r="M454">
        <v>5</v>
      </c>
      <c r="N454" s="22" t="str">
        <f t="shared" si="285"/>
        <v>#</v>
      </c>
      <c r="O454" s="15" t="str">
        <f t="shared" si="286"/>
        <v/>
      </c>
      <c r="P454" s="15" t="str">
        <f t="shared" si="287"/>
        <v>#</v>
      </c>
      <c r="Q454" s="15" t="str">
        <f t="shared" si="288"/>
        <v/>
      </c>
      <c r="R454" s="16" t="str">
        <f t="shared" si="289"/>
        <v/>
      </c>
      <c r="S454" s="8" t="str">
        <f t="shared" si="290"/>
        <v/>
      </c>
      <c r="T454" s="2" t="str">
        <f t="shared" si="291"/>
        <v/>
      </c>
      <c r="U454" s="2" t="str">
        <f t="shared" si="292"/>
        <v/>
      </c>
      <c r="V454" t="str">
        <f t="shared" si="309"/>
        <v/>
      </c>
      <c r="X454">
        <f t="shared" si="312"/>
        <v>0</v>
      </c>
      <c r="Y454">
        <f t="shared" si="313"/>
        <v>0</v>
      </c>
      <c r="Z454">
        <f t="shared" si="314"/>
        <v>0</v>
      </c>
      <c r="AA454">
        <f t="shared" si="315"/>
        <v>0</v>
      </c>
      <c r="AB454">
        <f t="shared" si="316"/>
        <v>0</v>
      </c>
      <c r="AC454">
        <f t="shared" si="317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11"/>
        <v>&amp;</v>
      </c>
      <c r="M455">
        <v>6</v>
      </c>
      <c r="N455" s="23" t="str">
        <f t="shared" si="285"/>
        <v>#</v>
      </c>
      <c r="O455" s="7" t="str">
        <f t="shared" si="286"/>
        <v/>
      </c>
      <c r="P455" s="7" t="str">
        <f t="shared" si="287"/>
        <v>#</v>
      </c>
      <c r="Q455" s="7" t="str">
        <f t="shared" si="288"/>
        <v/>
      </c>
      <c r="R455" s="17" t="str">
        <f t="shared" si="289"/>
        <v/>
      </c>
      <c r="S455" s="8" t="str">
        <f t="shared" si="290"/>
        <v/>
      </c>
      <c r="T455" s="2" t="str">
        <f t="shared" si="291"/>
        <v/>
      </c>
      <c r="U455" s="2" t="str">
        <f t="shared" si="292"/>
        <v/>
      </c>
      <c r="V455" t="str">
        <f t="shared" si="309"/>
        <v/>
      </c>
      <c r="X455">
        <f t="shared" si="312"/>
        <v>0</v>
      </c>
      <c r="Y455">
        <f t="shared" si="313"/>
        <v>0</v>
      </c>
      <c r="Z455">
        <f t="shared" si="314"/>
        <v>0</v>
      </c>
      <c r="AA455">
        <f t="shared" si="315"/>
        <v>0</v>
      </c>
      <c r="AB455">
        <f t="shared" si="316"/>
        <v>0</v>
      </c>
      <c r="AC455">
        <f t="shared" si="317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11"/>
        <v>&amp;</v>
      </c>
      <c r="M456">
        <v>7</v>
      </c>
      <c r="N456" s="23" t="str">
        <f t="shared" si="285"/>
        <v/>
      </c>
      <c r="O456" s="7" t="str">
        <f t="shared" si="286"/>
        <v>#</v>
      </c>
      <c r="P456" s="7" t="str">
        <f t="shared" si="287"/>
        <v/>
      </c>
      <c r="Q456" s="7" t="str">
        <f t="shared" si="288"/>
        <v/>
      </c>
      <c r="R456" s="17" t="str">
        <f t="shared" si="289"/>
        <v/>
      </c>
      <c r="S456" s="8" t="str">
        <f t="shared" si="290"/>
        <v/>
      </c>
      <c r="T456" s="2" t="str">
        <f t="shared" si="291"/>
        <v/>
      </c>
      <c r="U456" s="2" t="str">
        <f t="shared" si="292"/>
        <v/>
      </c>
      <c r="V456" t="str">
        <f t="shared" si="309"/>
        <v/>
      </c>
      <c r="X456">
        <f t="shared" si="312"/>
        <v>0</v>
      </c>
      <c r="Y456">
        <f t="shared" si="313"/>
        <v>1</v>
      </c>
      <c r="Z456">
        <f t="shared" si="314"/>
        <v>0</v>
      </c>
      <c r="AA456">
        <f t="shared" si="315"/>
        <v>0</v>
      </c>
      <c r="AB456">
        <f t="shared" si="316"/>
        <v>0</v>
      </c>
      <c r="AC456">
        <f t="shared" si="317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11"/>
        <v>&amp;</v>
      </c>
      <c r="M457">
        <v>8</v>
      </c>
      <c r="N457" s="23" t="str">
        <f t="shared" si="285"/>
        <v/>
      </c>
      <c r="O457" s="7" t="str">
        <f t="shared" si="286"/>
        <v>#</v>
      </c>
      <c r="P457" s="7" t="str">
        <f t="shared" si="287"/>
        <v/>
      </c>
      <c r="Q457" s="7" t="str">
        <f t="shared" si="288"/>
        <v/>
      </c>
      <c r="R457" s="17" t="str">
        <f t="shared" si="289"/>
        <v/>
      </c>
      <c r="S457" s="8" t="str">
        <f t="shared" si="290"/>
        <v/>
      </c>
      <c r="T457" s="2" t="str">
        <f t="shared" si="291"/>
        <v/>
      </c>
      <c r="U457" s="2" t="str">
        <f t="shared" si="292"/>
        <v/>
      </c>
      <c r="V457" t="str">
        <f t="shared" si="309"/>
        <v/>
      </c>
      <c r="X457">
        <f t="shared" si="312"/>
        <v>0</v>
      </c>
      <c r="Y457">
        <f t="shared" si="313"/>
        <v>0</v>
      </c>
      <c r="Z457">
        <f t="shared" si="314"/>
        <v>0</v>
      </c>
      <c r="AA457">
        <f t="shared" si="315"/>
        <v>0</v>
      </c>
      <c r="AB457">
        <f t="shared" si="316"/>
        <v>0</v>
      </c>
      <c r="AC457">
        <f t="shared" si="317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11"/>
        <v>&amp;</v>
      </c>
      <c r="M458">
        <v>9</v>
      </c>
      <c r="N458" s="23" t="str">
        <f t="shared" si="285"/>
        <v>#</v>
      </c>
      <c r="O458" s="7" t="str">
        <f t="shared" si="286"/>
        <v/>
      </c>
      <c r="P458" s="7" t="str">
        <f t="shared" si="287"/>
        <v>#</v>
      </c>
      <c r="Q458" s="7" t="str">
        <f t="shared" si="288"/>
        <v/>
      </c>
      <c r="R458" s="17" t="str">
        <f t="shared" si="289"/>
        <v/>
      </c>
      <c r="S458" s="8" t="str">
        <f t="shared" si="290"/>
        <v/>
      </c>
      <c r="T458" s="2" t="str">
        <f t="shared" si="291"/>
        <v/>
      </c>
      <c r="U458" s="2" t="str">
        <f t="shared" si="292"/>
        <v/>
      </c>
      <c r="V458" t="str">
        <f t="shared" si="309"/>
        <v/>
      </c>
      <c r="X458">
        <f t="shared" si="312"/>
        <v>1</v>
      </c>
      <c r="Y458">
        <f t="shared" si="313"/>
        <v>0</v>
      </c>
      <c r="Z458">
        <f t="shared" si="314"/>
        <v>1</v>
      </c>
      <c r="AA458">
        <f t="shared" si="315"/>
        <v>0</v>
      </c>
      <c r="AB458">
        <f t="shared" si="316"/>
        <v>0</v>
      </c>
      <c r="AC458">
        <f t="shared" si="317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11"/>
        <v>&amp;</v>
      </c>
      <c r="M459">
        <v>10</v>
      </c>
      <c r="N459" s="23" t="str">
        <f t="shared" si="285"/>
        <v>#</v>
      </c>
      <c r="O459" s="7" t="str">
        <f t="shared" si="286"/>
        <v/>
      </c>
      <c r="P459" s="7" t="str">
        <f t="shared" si="287"/>
        <v>#</v>
      </c>
      <c r="Q459" s="7" t="str">
        <f t="shared" si="288"/>
        <v/>
      </c>
      <c r="R459" s="17" t="str">
        <f t="shared" si="289"/>
        <v/>
      </c>
      <c r="S459" s="8" t="str">
        <f t="shared" si="290"/>
        <v/>
      </c>
      <c r="T459" s="2" t="str">
        <f t="shared" si="291"/>
        <v/>
      </c>
      <c r="U459" s="2" t="str">
        <f t="shared" si="292"/>
        <v/>
      </c>
      <c r="V459" t="str">
        <f t="shared" si="309"/>
        <v/>
      </c>
      <c r="X459">
        <f t="shared" si="312"/>
        <v>0</v>
      </c>
      <c r="Y459">
        <f t="shared" si="313"/>
        <v>0</v>
      </c>
      <c r="Z459">
        <f t="shared" si="314"/>
        <v>0</v>
      </c>
      <c r="AA459">
        <f t="shared" si="315"/>
        <v>0</v>
      </c>
      <c r="AB459">
        <f t="shared" si="316"/>
        <v>0</v>
      </c>
      <c r="AC459">
        <f t="shared" si="317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11"/>
        <v>&amp;</v>
      </c>
      <c r="M460">
        <v>11</v>
      </c>
      <c r="N460" s="23" t="str">
        <f t="shared" si="285"/>
        <v>#</v>
      </c>
      <c r="O460" s="7" t="str">
        <f t="shared" si="286"/>
        <v/>
      </c>
      <c r="P460" s="7" t="str">
        <f t="shared" si="287"/>
        <v/>
      </c>
      <c r="Q460" s="7" t="str">
        <f t="shared" si="288"/>
        <v>#</v>
      </c>
      <c r="R460" s="17" t="str">
        <f t="shared" si="289"/>
        <v/>
      </c>
      <c r="S460" s="8" t="str">
        <f t="shared" si="290"/>
        <v/>
      </c>
      <c r="T460" s="2" t="str">
        <f t="shared" si="291"/>
        <v/>
      </c>
      <c r="U460" s="2" t="str">
        <f t="shared" si="292"/>
        <v/>
      </c>
      <c r="V460" t="str">
        <f t="shared" si="309"/>
        <v/>
      </c>
      <c r="X460">
        <f t="shared" si="312"/>
        <v>0</v>
      </c>
      <c r="Y460">
        <f t="shared" si="313"/>
        <v>0</v>
      </c>
      <c r="Z460">
        <f t="shared" si="314"/>
        <v>0</v>
      </c>
      <c r="AA460">
        <f t="shared" si="315"/>
        <v>1</v>
      </c>
      <c r="AB460">
        <f t="shared" si="316"/>
        <v>0</v>
      </c>
      <c r="AC460">
        <f t="shared" si="317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11"/>
        <v>&amp;</v>
      </c>
      <c r="M461">
        <v>12</v>
      </c>
      <c r="N461" s="23" t="str">
        <f t="shared" si="285"/>
        <v>#</v>
      </c>
      <c r="O461" s="7" t="str">
        <f t="shared" si="286"/>
        <v/>
      </c>
      <c r="P461" s="7" t="str">
        <f t="shared" si="287"/>
        <v/>
      </c>
      <c r="Q461" s="7" t="str">
        <f t="shared" si="288"/>
        <v>#</v>
      </c>
      <c r="R461" s="17" t="str">
        <f t="shared" si="289"/>
        <v/>
      </c>
      <c r="S461" s="8" t="str">
        <f t="shared" si="290"/>
        <v/>
      </c>
      <c r="T461" s="2" t="str">
        <f t="shared" si="291"/>
        <v/>
      </c>
      <c r="U461" s="2" t="str">
        <f t="shared" si="292"/>
        <v/>
      </c>
      <c r="V461" t="str">
        <f t="shared" si="309"/>
        <v/>
      </c>
      <c r="X461">
        <f t="shared" si="312"/>
        <v>0</v>
      </c>
      <c r="Y461">
        <f t="shared" si="313"/>
        <v>0</v>
      </c>
      <c r="Z461">
        <f t="shared" si="314"/>
        <v>0</v>
      </c>
      <c r="AA461">
        <f t="shared" si="315"/>
        <v>0</v>
      </c>
      <c r="AB461">
        <f t="shared" si="316"/>
        <v>0</v>
      </c>
      <c r="AC461">
        <f t="shared" si="317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11"/>
        <v>&amp;</v>
      </c>
      <c r="M462">
        <v>13</v>
      </c>
      <c r="N462" s="6" t="str">
        <f t="shared" si="285"/>
        <v>#</v>
      </c>
      <c r="O462" s="7" t="str">
        <f t="shared" si="286"/>
        <v>#</v>
      </c>
      <c r="P462" s="7" t="str">
        <f t="shared" si="287"/>
        <v>#</v>
      </c>
      <c r="Q462" s="7" t="str">
        <f t="shared" si="288"/>
        <v>#</v>
      </c>
      <c r="R462" s="17" t="str">
        <f t="shared" si="289"/>
        <v>#</v>
      </c>
      <c r="S462" s="8" t="str">
        <f t="shared" si="290"/>
        <v/>
      </c>
      <c r="T462" s="2" t="str">
        <f t="shared" si="291"/>
        <v/>
      </c>
      <c r="U462" s="2" t="str">
        <f t="shared" si="292"/>
        <v/>
      </c>
      <c r="V462" t="str">
        <f t="shared" si="309"/>
        <v/>
      </c>
      <c r="X462">
        <f t="shared" si="312"/>
        <v>0</v>
      </c>
      <c r="Y462">
        <f t="shared" si="313"/>
        <v>1</v>
      </c>
      <c r="Z462">
        <f t="shared" si="314"/>
        <v>1</v>
      </c>
      <c r="AA462">
        <f t="shared" si="315"/>
        <v>0</v>
      </c>
      <c r="AB462">
        <f t="shared" si="316"/>
        <v>1</v>
      </c>
      <c r="AC462">
        <f t="shared" si="317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11"/>
        <v>&amp;</v>
      </c>
      <c r="M463">
        <v>14</v>
      </c>
      <c r="N463" s="18" t="str">
        <f t="shared" si="285"/>
        <v/>
      </c>
      <c r="O463" s="19" t="str">
        <f t="shared" si="286"/>
        <v>#</v>
      </c>
      <c r="P463" s="19" t="str">
        <f t="shared" si="287"/>
        <v>#</v>
      </c>
      <c r="Q463" s="19" t="str">
        <f t="shared" si="288"/>
        <v>#</v>
      </c>
      <c r="R463" s="20" t="str">
        <f t="shared" si="289"/>
        <v>#</v>
      </c>
      <c r="S463" s="8" t="str">
        <f t="shared" si="290"/>
        <v/>
      </c>
      <c r="T463" s="2" t="str">
        <f t="shared" si="291"/>
        <v/>
      </c>
      <c r="U463" s="2" t="str">
        <f t="shared" si="292"/>
        <v/>
      </c>
      <c r="V463" t="str">
        <f t="shared" si="309"/>
        <v/>
      </c>
      <c r="X463">
        <f t="shared" si="312"/>
        <v>0</v>
      </c>
      <c r="Y463">
        <f t="shared" si="313"/>
        <v>0</v>
      </c>
      <c r="Z463">
        <f t="shared" si="314"/>
        <v>0</v>
      </c>
      <c r="AA463">
        <f t="shared" si="315"/>
        <v>0</v>
      </c>
      <c r="AB463">
        <f t="shared" si="316"/>
        <v>0</v>
      </c>
      <c r="AC463">
        <f t="shared" si="317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11"/>
        <v>&amp;</v>
      </c>
      <c r="M464">
        <v>15</v>
      </c>
      <c r="N464" s="9" t="str">
        <f t="shared" si="285"/>
        <v/>
      </c>
      <c r="O464" s="10" t="str">
        <f t="shared" si="286"/>
        <v/>
      </c>
      <c r="P464" s="10" t="str">
        <f t="shared" si="287"/>
        <v/>
      </c>
      <c r="Q464" s="10" t="str">
        <f t="shared" si="288"/>
        <v/>
      </c>
      <c r="R464" s="10" t="str">
        <f t="shared" si="289"/>
        <v/>
      </c>
      <c r="S464" s="11" t="str">
        <f t="shared" si="290"/>
        <v/>
      </c>
      <c r="T464" s="2" t="str">
        <f t="shared" si="291"/>
        <v/>
      </c>
      <c r="U464" s="2" t="str">
        <f t="shared" si="292"/>
        <v/>
      </c>
      <c r="V464" t="str">
        <f t="shared" si="309"/>
        <v/>
      </c>
      <c r="X464">
        <f t="shared" si="312"/>
        <v>0</v>
      </c>
      <c r="Y464">
        <f t="shared" si="313"/>
        <v>0</v>
      </c>
      <c r="Z464">
        <f t="shared" si="314"/>
        <v>0</v>
      </c>
      <c r="AA464">
        <f t="shared" si="315"/>
        <v>0</v>
      </c>
      <c r="AB464">
        <f t="shared" si="316"/>
        <v>0</v>
      </c>
      <c r="AC464">
        <f t="shared" si="317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11"/>
        <v>&amp;</v>
      </c>
      <c r="M465">
        <v>16</v>
      </c>
      <c r="N465" s="12" t="str">
        <f t="shared" si="285"/>
        <v/>
      </c>
      <c r="O465" s="13" t="str">
        <f t="shared" si="286"/>
        <v/>
      </c>
      <c r="P465" s="13" t="str">
        <f t="shared" si="287"/>
        <v/>
      </c>
      <c r="Q465" s="13" t="str">
        <f t="shared" si="288"/>
        <v/>
      </c>
      <c r="R465" s="13" t="str">
        <f t="shared" si="289"/>
        <v/>
      </c>
      <c r="S465" s="14" t="str">
        <f t="shared" si="290"/>
        <v/>
      </c>
      <c r="T465" s="2" t="str">
        <f t="shared" si="291"/>
        <v/>
      </c>
      <c r="U465" s="2" t="str">
        <f t="shared" si="292"/>
        <v/>
      </c>
      <c r="V465" t="str">
        <f t="shared" si="309"/>
        <v/>
      </c>
      <c r="X465">
        <f t="shared" si="312"/>
        <v>0</v>
      </c>
      <c r="Y465">
        <f t="shared" si="313"/>
        <v>0</v>
      </c>
      <c r="Z465">
        <f t="shared" si="314"/>
        <v>0</v>
      </c>
      <c r="AA465">
        <f t="shared" si="315"/>
        <v>0</v>
      </c>
      <c r="AB465">
        <f t="shared" si="316"/>
        <v>0</v>
      </c>
      <c r="AC465">
        <f t="shared" si="317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85"/>
        <v/>
      </c>
      <c r="O466" t="str">
        <f t="shared" si="286"/>
        <v/>
      </c>
      <c r="P466" t="str">
        <f t="shared" si="287"/>
        <v/>
      </c>
      <c r="Q466" t="str">
        <f t="shared" si="288"/>
        <v/>
      </c>
      <c r="R466" t="str">
        <f t="shared" si="289"/>
        <v/>
      </c>
      <c r="S466" t="str">
        <f t="shared" si="290"/>
        <v/>
      </c>
      <c r="T466" s="2" t="str">
        <f t="shared" si="291"/>
        <v/>
      </c>
      <c r="U466" s="2" t="str">
        <f t="shared" si="292"/>
        <v/>
      </c>
      <c r="V466" t="str">
        <f t="shared" si="309"/>
        <v/>
      </c>
      <c r="W466">
        <f>SUM(B468:G481)</f>
        <v>6</v>
      </c>
      <c r="AD466">
        <f t="shared" ref="AD466" si="318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9">L466</f>
        <v>'</v>
      </c>
      <c r="M467">
        <v>2</v>
      </c>
      <c r="N467" t="str">
        <f t="shared" si="285"/>
        <v/>
      </c>
      <c r="O467" t="str">
        <f t="shared" si="286"/>
        <v/>
      </c>
      <c r="P467" t="str">
        <f t="shared" si="287"/>
        <v/>
      </c>
      <c r="Q467" t="str">
        <f t="shared" si="288"/>
        <v/>
      </c>
      <c r="R467" t="str">
        <f t="shared" si="289"/>
        <v/>
      </c>
      <c r="S467" t="str">
        <f t="shared" si="290"/>
        <v/>
      </c>
      <c r="T467" s="2" t="str">
        <f t="shared" si="291"/>
        <v/>
      </c>
      <c r="U467" s="2" t="str">
        <f t="shared" si="292"/>
        <v/>
      </c>
      <c r="V467" t="str">
        <f t="shared" si="309"/>
        <v/>
      </c>
      <c r="AE467" t="str">
        <f>(B481*128+B480*64+B479*32+B478*16+B477*8+B476*4+B475*2+B474)*256+B473*128+B472*64+B471*32+B470*16+B469*8+B468*4+B467*2+B466&amp;","</f>
        <v>56,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9"/>
        <v>'</v>
      </c>
      <c r="M468">
        <v>3</v>
      </c>
      <c r="N468" s="3" t="str">
        <f t="shared" si="285"/>
        <v/>
      </c>
      <c r="O468" s="4" t="str">
        <f t="shared" si="286"/>
        <v/>
      </c>
      <c r="P468" s="4" t="str">
        <f t="shared" si="287"/>
        <v/>
      </c>
      <c r="Q468" s="4" t="str">
        <f t="shared" si="288"/>
        <v/>
      </c>
      <c r="R468" s="4" t="str">
        <f t="shared" si="289"/>
        <v/>
      </c>
      <c r="S468" s="5" t="str">
        <f t="shared" si="290"/>
        <v/>
      </c>
      <c r="T468" s="2" t="str">
        <f t="shared" si="291"/>
        <v/>
      </c>
      <c r="U468" s="2" t="str">
        <f t="shared" si="292"/>
        <v/>
      </c>
      <c r="V468" t="str">
        <f t="shared" si="309"/>
        <v/>
      </c>
      <c r="X468">
        <f t="shared" ref="X468:X481" si="320">MAX(B468-B467,0)</f>
        <v>0</v>
      </c>
      <c r="Y468">
        <f t="shared" ref="Y468:Y481" si="321">MAX(C468-C467,0)</f>
        <v>0</v>
      </c>
      <c r="Z468">
        <f t="shared" ref="Z468:Z481" si="322">MAX(D468-D467,0)</f>
        <v>0</v>
      </c>
      <c r="AA468">
        <f t="shared" ref="AA468:AA481" si="323">MAX(E468-E467,0)</f>
        <v>0</v>
      </c>
      <c r="AB468">
        <f t="shared" ref="AB468:AB481" si="324">MAX(F468-F467,0)</f>
        <v>0</v>
      </c>
      <c r="AC468">
        <f t="shared" ref="AC468:AC481" si="325">MAX(G468-G467,0)</f>
        <v>0</v>
      </c>
      <c r="AE468" t="str">
        <f>(C481*128+C480*64+C479*32+C478*16+C477*8+C476*4+C475*2+C474)*256+C473*128+C472*64+C471*32+C470*16+C469*8+C468*4+C467*2+C466&amp;","</f>
        <v>112,</v>
      </c>
    </row>
    <row r="469" spans="1:31" ht="13.5" thickBot="1" x14ac:dyDescent="0.25">
      <c r="A469" s="21"/>
      <c r="B469" s="21">
        <v>1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9"/>
        <v>'</v>
      </c>
      <c r="M469">
        <v>4</v>
      </c>
      <c r="N469" s="6" t="str">
        <f t="shared" si="285"/>
        <v>#</v>
      </c>
      <c r="O469" s="7" t="str">
        <f t="shared" si="286"/>
        <v/>
      </c>
      <c r="P469" s="7" t="str">
        <f t="shared" si="287"/>
        <v/>
      </c>
      <c r="Q469" s="7" t="str">
        <f t="shared" si="288"/>
        <v/>
      </c>
      <c r="R469" s="7" t="str">
        <f t="shared" si="289"/>
        <v/>
      </c>
      <c r="S469" s="8" t="str">
        <f t="shared" si="290"/>
        <v/>
      </c>
      <c r="T469" s="2" t="str">
        <f t="shared" si="291"/>
        <v/>
      </c>
      <c r="U469" s="2" t="str">
        <f t="shared" si="292"/>
        <v/>
      </c>
      <c r="V469" t="str">
        <f t="shared" si="309"/>
        <v/>
      </c>
      <c r="X469">
        <f t="shared" si="320"/>
        <v>1</v>
      </c>
      <c r="Y469">
        <f t="shared" si="321"/>
        <v>0</v>
      </c>
      <c r="Z469">
        <f t="shared" si="322"/>
        <v>0</v>
      </c>
      <c r="AA469">
        <f t="shared" si="323"/>
        <v>0</v>
      </c>
      <c r="AB469">
        <f t="shared" si="324"/>
        <v>0</v>
      </c>
      <c r="AC469">
        <f t="shared" si="325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9"/>
        <v>'</v>
      </c>
      <c r="M470">
        <v>5</v>
      </c>
      <c r="N470" s="22" t="str">
        <f t="shared" si="285"/>
        <v>#</v>
      </c>
      <c r="O470" s="15" t="str">
        <f t="shared" si="286"/>
        <v>#</v>
      </c>
      <c r="P470" s="15" t="str">
        <f t="shared" si="287"/>
        <v/>
      </c>
      <c r="Q470" s="15" t="str">
        <f t="shared" si="288"/>
        <v/>
      </c>
      <c r="R470" s="16" t="str">
        <f t="shared" si="289"/>
        <v/>
      </c>
      <c r="S470" s="8" t="str">
        <f t="shared" si="290"/>
        <v/>
      </c>
      <c r="T470" s="2" t="str">
        <f t="shared" si="291"/>
        <v/>
      </c>
      <c r="U470" s="2" t="str">
        <f t="shared" si="292"/>
        <v/>
      </c>
      <c r="V470" t="str">
        <f t="shared" si="309"/>
        <v/>
      </c>
      <c r="X470">
        <f t="shared" si="320"/>
        <v>0</v>
      </c>
      <c r="Y470">
        <f t="shared" si="321"/>
        <v>1</v>
      </c>
      <c r="Z470">
        <f t="shared" si="322"/>
        <v>0</v>
      </c>
      <c r="AA470">
        <f t="shared" si="323"/>
        <v>0</v>
      </c>
      <c r="AB470">
        <f t="shared" si="324"/>
        <v>0</v>
      </c>
      <c r="AC470">
        <f t="shared" si="325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9"/>
        <v>'</v>
      </c>
      <c r="M471">
        <v>6</v>
      </c>
      <c r="N471" s="23" t="str">
        <f t="shared" si="285"/>
        <v>#</v>
      </c>
      <c r="O471" s="7" t="str">
        <f t="shared" si="286"/>
        <v>#</v>
      </c>
      <c r="P471" s="7" t="str">
        <f t="shared" si="287"/>
        <v/>
      </c>
      <c r="Q471" s="7" t="str">
        <f t="shared" si="288"/>
        <v/>
      </c>
      <c r="R471" s="17" t="str">
        <f t="shared" si="289"/>
        <v/>
      </c>
      <c r="S471" s="8" t="str">
        <f t="shared" si="290"/>
        <v/>
      </c>
      <c r="T471" s="2" t="str">
        <f t="shared" si="291"/>
        <v/>
      </c>
      <c r="U471" s="2" t="str">
        <f t="shared" si="292"/>
        <v/>
      </c>
      <c r="V471" t="str">
        <f t="shared" si="309"/>
        <v/>
      </c>
      <c r="X471">
        <f t="shared" si="320"/>
        <v>0</v>
      </c>
      <c r="Y471">
        <f t="shared" si="321"/>
        <v>0</v>
      </c>
      <c r="Z471">
        <f t="shared" si="322"/>
        <v>0</v>
      </c>
      <c r="AA471">
        <f t="shared" si="323"/>
        <v>0</v>
      </c>
      <c r="AB471">
        <f t="shared" si="324"/>
        <v>0</v>
      </c>
      <c r="AC471">
        <f t="shared" si="325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0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9"/>
        <v>'</v>
      </c>
      <c r="M472">
        <v>7</v>
      </c>
      <c r="N472" s="23" t="str">
        <f t="shared" si="285"/>
        <v/>
      </c>
      <c r="O472" s="7" t="str">
        <f t="shared" si="286"/>
        <v>#</v>
      </c>
      <c r="P472" s="7" t="str">
        <f t="shared" si="287"/>
        <v/>
      </c>
      <c r="Q472" s="7" t="str">
        <f t="shared" si="288"/>
        <v/>
      </c>
      <c r="R472" s="17" t="str">
        <f t="shared" si="289"/>
        <v/>
      </c>
      <c r="S472" s="8" t="str">
        <f t="shared" si="290"/>
        <v/>
      </c>
      <c r="T472" s="2" t="str">
        <f t="shared" si="291"/>
        <v/>
      </c>
      <c r="U472" s="2" t="str">
        <f t="shared" si="292"/>
        <v/>
      </c>
      <c r="V472" t="str">
        <f t="shared" si="309"/>
        <v/>
      </c>
      <c r="X472">
        <f t="shared" si="320"/>
        <v>0</v>
      </c>
      <c r="Y472">
        <f t="shared" si="321"/>
        <v>0</v>
      </c>
      <c r="Z472">
        <f t="shared" si="322"/>
        <v>0</v>
      </c>
      <c r="AA472">
        <f t="shared" si="323"/>
        <v>0</v>
      </c>
      <c r="AB472">
        <f t="shared" si="324"/>
        <v>0</v>
      </c>
      <c r="AC472">
        <f t="shared" si="325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0</v>
      </c>
      <c r="C473" s="21">
        <v>0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9"/>
        <v>'</v>
      </c>
      <c r="M473">
        <v>8</v>
      </c>
      <c r="N473" s="23" t="str">
        <f t="shared" si="285"/>
        <v/>
      </c>
      <c r="O473" s="7" t="str">
        <f t="shared" si="286"/>
        <v/>
      </c>
      <c r="P473" s="7" t="str">
        <f t="shared" si="287"/>
        <v/>
      </c>
      <c r="Q473" s="7" t="str">
        <f t="shared" si="288"/>
        <v/>
      </c>
      <c r="R473" s="17" t="str">
        <f t="shared" si="289"/>
        <v/>
      </c>
      <c r="S473" s="8" t="str">
        <f t="shared" si="290"/>
        <v/>
      </c>
      <c r="T473" s="2" t="str">
        <f t="shared" si="291"/>
        <v/>
      </c>
      <c r="U473" s="2" t="str">
        <f t="shared" si="292"/>
        <v/>
      </c>
      <c r="V473" t="str">
        <f t="shared" si="309"/>
        <v/>
      </c>
      <c r="X473">
        <f t="shared" si="320"/>
        <v>0</v>
      </c>
      <c r="Y473">
        <f t="shared" si="321"/>
        <v>0</v>
      </c>
      <c r="Z473">
        <f t="shared" si="322"/>
        <v>0</v>
      </c>
      <c r="AA473">
        <f t="shared" si="323"/>
        <v>0</v>
      </c>
      <c r="AB473">
        <f t="shared" si="324"/>
        <v>0</v>
      </c>
      <c r="AC473">
        <f t="shared" si="325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9"/>
        <v>'</v>
      </c>
      <c r="M474">
        <v>9</v>
      </c>
      <c r="N474" s="23" t="str">
        <f t="shared" si="285"/>
        <v/>
      </c>
      <c r="O474" s="7" t="str">
        <f t="shared" si="286"/>
        <v/>
      </c>
      <c r="P474" s="7" t="str">
        <f t="shared" si="287"/>
        <v/>
      </c>
      <c r="Q474" s="7" t="str">
        <f t="shared" si="288"/>
        <v/>
      </c>
      <c r="R474" s="17" t="str">
        <f t="shared" si="289"/>
        <v/>
      </c>
      <c r="S474" s="8" t="str">
        <f t="shared" si="290"/>
        <v/>
      </c>
      <c r="T474" s="2" t="str">
        <f t="shared" si="291"/>
        <v/>
      </c>
      <c r="U474" s="2" t="str">
        <f t="shared" si="292"/>
        <v/>
      </c>
      <c r="V474" t="str">
        <f t="shared" si="309"/>
        <v/>
      </c>
      <c r="X474">
        <f t="shared" si="320"/>
        <v>0</v>
      </c>
      <c r="Y474">
        <f t="shared" si="321"/>
        <v>0</v>
      </c>
      <c r="Z474">
        <f t="shared" si="322"/>
        <v>0</v>
      </c>
      <c r="AA474">
        <f t="shared" si="323"/>
        <v>0</v>
      </c>
      <c r="AB474">
        <f t="shared" si="324"/>
        <v>0</v>
      </c>
      <c r="AC474">
        <f t="shared" si="325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9"/>
        <v>'</v>
      </c>
      <c r="M475">
        <v>10</v>
      </c>
      <c r="N475" s="23" t="str">
        <f t="shared" si="285"/>
        <v/>
      </c>
      <c r="O475" s="7" t="str">
        <f t="shared" si="286"/>
        <v/>
      </c>
      <c r="P475" s="7" t="str">
        <f t="shared" si="287"/>
        <v/>
      </c>
      <c r="Q475" s="7" t="str">
        <f t="shared" si="288"/>
        <v/>
      </c>
      <c r="R475" s="17" t="str">
        <f t="shared" si="289"/>
        <v/>
      </c>
      <c r="S475" s="8" t="str">
        <f t="shared" si="290"/>
        <v/>
      </c>
      <c r="T475" s="2" t="str">
        <f t="shared" si="291"/>
        <v/>
      </c>
      <c r="U475" s="2" t="str">
        <f t="shared" si="292"/>
        <v/>
      </c>
      <c r="V475" t="str">
        <f t="shared" si="309"/>
        <v/>
      </c>
      <c r="X475">
        <f t="shared" si="320"/>
        <v>0</v>
      </c>
      <c r="Y475">
        <f t="shared" si="321"/>
        <v>0</v>
      </c>
      <c r="Z475">
        <f t="shared" si="322"/>
        <v>0</v>
      </c>
      <c r="AA475">
        <f t="shared" si="323"/>
        <v>0</v>
      </c>
      <c r="AB475">
        <f t="shared" si="324"/>
        <v>0</v>
      </c>
      <c r="AC475">
        <f t="shared" si="325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9"/>
        <v>'</v>
      </c>
      <c r="M476">
        <v>11</v>
      </c>
      <c r="N476" s="23" t="str">
        <f t="shared" si="285"/>
        <v/>
      </c>
      <c r="O476" s="7" t="str">
        <f t="shared" si="286"/>
        <v/>
      </c>
      <c r="P476" s="7" t="str">
        <f t="shared" si="287"/>
        <v/>
      </c>
      <c r="Q476" s="7" t="str">
        <f t="shared" si="288"/>
        <v/>
      </c>
      <c r="R476" s="17" t="str">
        <f t="shared" si="289"/>
        <v/>
      </c>
      <c r="S476" s="8" t="str">
        <f t="shared" si="290"/>
        <v/>
      </c>
      <c r="T476" s="2" t="str">
        <f t="shared" si="291"/>
        <v/>
      </c>
      <c r="U476" s="2" t="str">
        <f t="shared" si="292"/>
        <v/>
      </c>
      <c r="V476" t="str">
        <f t="shared" si="309"/>
        <v/>
      </c>
      <c r="X476">
        <f t="shared" si="320"/>
        <v>0</v>
      </c>
      <c r="Y476">
        <f t="shared" si="321"/>
        <v>0</v>
      </c>
      <c r="Z476">
        <f t="shared" si="322"/>
        <v>0</v>
      </c>
      <c r="AA476">
        <f t="shared" si="323"/>
        <v>0</v>
      </c>
      <c r="AB476">
        <f t="shared" si="324"/>
        <v>0</v>
      </c>
      <c r="AC476">
        <f t="shared" si="325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9"/>
        <v>'</v>
      </c>
      <c r="M477">
        <v>12</v>
      </c>
      <c r="N477" s="23" t="str">
        <f t="shared" si="285"/>
        <v/>
      </c>
      <c r="O477" s="7" t="str">
        <f t="shared" si="286"/>
        <v/>
      </c>
      <c r="P477" s="7" t="str">
        <f t="shared" si="287"/>
        <v/>
      </c>
      <c r="Q477" s="7" t="str">
        <f t="shared" si="288"/>
        <v/>
      </c>
      <c r="R477" s="17" t="str">
        <f t="shared" si="289"/>
        <v/>
      </c>
      <c r="S477" s="8" t="str">
        <f t="shared" si="290"/>
        <v/>
      </c>
      <c r="T477" s="2" t="str">
        <f t="shared" si="291"/>
        <v/>
      </c>
      <c r="U477" s="2" t="str">
        <f t="shared" si="292"/>
        <v/>
      </c>
      <c r="V477" t="str">
        <f t="shared" si="309"/>
        <v/>
      </c>
      <c r="X477">
        <f t="shared" si="320"/>
        <v>0</v>
      </c>
      <c r="Y477">
        <f t="shared" si="321"/>
        <v>0</v>
      </c>
      <c r="Z477">
        <f t="shared" si="322"/>
        <v>0</v>
      </c>
      <c r="AA477">
        <f t="shared" si="323"/>
        <v>0</v>
      </c>
      <c r="AB477">
        <f t="shared" si="324"/>
        <v>0</v>
      </c>
      <c r="AC477">
        <f t="shared" si="325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9"/>
        <v>'</v>
      </c>
      <c r="M478">
        <v>13</v>
      </c>
      <c r="N478" s="6" t="str">
        <f t="shared" si="285"/>
        <v/>
      </c>
      <c r="O478" s="7" t="str">
        <f t="shared" si="286"/>
        <v/>
      </c>
      <c r="P478" s="7" t="str">
        <f t="shared" si="287"/>
        <v/>
      </c>
      <c r="Q478" s="7" t="str">
        <f t="shared" si="288"/>
        <v/>
      </c>
      <c r="R478" s="17" t="str">
        <f t="shared" si="289"/>
        <v/>
      </c>
      <c r="S478" s="8" t="str">
        <f t="shared" si="290"/>
        <v/>
      </c>
      <c r="T478" s="2" t="str">
        <f t="shared" si="291"/>
        <v/>
      </c>
      <c r="U478" s="2" t="str">
        <f t="shared" si="292"/>
        <v/>
      </c>
      <c r="V478" t="str">
        <f t="shared" si="309"/>
        <v/>
      </c>
      <c r="X478">
        <f t="shared" si="320"/>
        <v>0</v>
      </c>
      <c r="Y478">
        <f t="shared" si="321"/>
        <v>0</v>
      </c>
      <c r="Z478">
        <f t="shared" si="322"/>
        <v>0</v>
      </c>
      <c r="AA478">
        <f t="shared" si="323"/>
        <v>0</v>
      </c>
      <c r="AB478">
        <f t="shared" si="324"/>
        <v>0</v>
      </c>
      <c r="AC478">
        <f t="shared" si="325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9"/>
        <v>'</v>
      </c>
      <c r="M479">
        <v>14</v>
      </c>
      <c r="N479" s="18" t="str">
        <f t="shared" si="285"/>
        <v/>
      </c>
      <c r="O479" s="19" t="str">
        <f t="shared" si="286"/>
        <v/>
      </c>
      <c r="P479" s="19" t="str">
        <f t="shared" si="287"/>
        <v/>
      </c>
      <c r="Q479" s="19" t="str">
        <f t="shared" si="288"/>
        <v/>
      </c>
      <c r="R479" s="20" t="str">
        <f t="shared" si="289"/>
        <v/>
      </c>
      <c r="S479" s="8" t="str">
        <f t="shared" si="290"/>
        <v/>
      </c>
      <c r="T479" s="2" t="str">
        <f t="shared" si="291"/>
        <v/>
      </c>
      <c r="U479" s="2" t="str">
        <f t="shared" si="292"/>
        <v/>
      </c>
      <c r="V479" t="str">
        <f t="shared" si="309"/>
        <v/>
      </c>
      <c r="X479">
        <f t="shared" si="320"/>
        <v>0</v>
      </c>
      <c r="Y479">
        <f t="shared" si="321"/>
        <v>0</v>
      </c>
      <c r="Z479">
        <f t="shared" si="322"/>
        <v>0</v>
      </c>
      <c r="AA479">
        <f t="shared" si="323"/>
        <v>0</v>
      </c>
      <c r="AB479">
        <f t="shared" si="324"/>
        <v>0</v>
      </c>
      <c r="AC479">
        <f t="shared" si="325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9"/>
        <v>'</v>
      </c>
      <c r="M480">
        <v>15</v>
      </c>
      <c r="N480" s="9" t="str">
        <f t="shared" si="285"/>
        <v/>
      </c>
      <c r="O480" s="10" t="str">
        <f t="shared" si="286"/>
        <v/>
      </c>
      <c r="P480" s="10" t="str">
        <f t="shared" si="287"/>
        <v/>
      </c>
      <c r="Q480" s="10" t="str">
        <f t="shared" si="288"/>
        <v/>
      </c>
      <c r="R480" s="10" t="str">
        <f t="shared" si="289"/>
        <v/>
      </c>
      <c r="S480" s="11" t="str">
        <f t="shared" si="290"/>
        <v/>
      </c>
      <c r="T480" s="2" t="str">
        <f t="shared" si="291"/>
        <v/>
      </c>
      <c r="U480" s="2" t="str">
        <f t="shared" si="292"/>
        <v/>
      </c>
      <c r="V480" t="str">
        <f t="shared" si="309"/>
        <v/>
      </c>
      <c r="X480">
        <f t="shared" si="320"/>
        <v>0</v>
      </c>
      <c r="Y480">
        <f t="shared" si="321"/>
        <v>0</v>
      </c>
      <c r="Z480">
        <f t="shared" si="322"/>
        <v>0</v>
      </c>
      <c r="AA480">
        <f t="shared" si="323"/>
        <v>0</v>
      </c>
      <c r="AB480">
        <f t="shared" si="324"/>
        <v>0</v>
      </c>
      <c r="AC480">
        <f t="shared" si="325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9"/>
        <v>'</v>
      </c>
      <c r="M481">
        <v>16</v>
      </c>
      <c r="N481" s="12" t="str">
        <f t="shared" si="285"/>
        <v/>
      </c>
      <c r="O481" s="13" t="str">
        <f t="shared" si="286"/>
        <v/>
      </c>
      <c r="P481" s="13" t="str">
        <f t="shared" si="287"/>
        <v/>
      </c>
      <c r="Q481" s="13" t="str">
        <f t="shared" si="288"/>
        <v/>
      </c>
      <c r="R481" s="13" t="str">
        <f t="shared" si="289"/>
        <v/>
      </c>
      <c r="S481" s="14" t="str">
        <f t="shared" si="290"/>
        <v/>
      </c>
      <c r="T481" s="2" t="str">
        <f t="shared" si="291"/>
        <v/>
      </c>
      <c r="U481" s="2" t="str">
        <f t="shared" si="292"/>
        <v/>
      </c>
      <c r="V481" t="str">
        <f t="shared" si="309"/>
        <v/>
      </c>
      <c r="X481">
        <f t="shared" si="320"/>
        <v>0</v>
      </c>
      <c r="Y481">
        <f t="shared" si="321"/>
        <v>0</v>
      </c>
      <c r="Z481">
        <f t="shared" si="322"/>
        <v>0</v>
      </c>
      <c r="AA481">
        <f t="shared" si="323"/>
        <v>0</v>
      </c>
      <c r="AB481">
        <f t="shared" si="324"/>
        <v>0</v>
      </c>
      <c r="AC481">
        <f t="shared" si="325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6">IF(B482&gt;0,"#","")</f>
        <v/>
      </c>
      <c r="O482" t="str">
        <f t="shared" ref="O482:O545" si="327">IF(C482&gt;0,"#","")</f>
        <v/>
      </c>
      <c r="P482" t="str">
        <f t="shared" ref="P482:P545" si="328">IF(D482&gt;0,"#","")</f>
        <v/>
      </c>
      <c r="Q482" t="str">
        <f t="shared" ref="Q482:Q545" si="329">IF(E482&gt;0,"#","")</f>
        <v/>
      </c>
      <c r="R482" t="str">
        <f t="shared" ref="R482:R545" si="330">IF(F482&gt;0,"#","")</f>
        <v/>
      </c>
      <c r="S482" t="str">
        <f t="shared" ref="S482:S545" si="331">IF(G482&gt;0,"#","")</f>
        <v/>
      </c>
      <c r="T482" s="2" t="str">
        <f t="shared" ref="T482:T545" si="332">IF(H482&gt;0,"#","")</f>
        <v/>
      </c>
      <c r="U482" s="2" t="str">
        <f t="shared" ref="U482:U545" si="333">IF(I482&gt;0,"#","")</f>
        <v/>
      </c>
      <c r="V482" t="str">
        <f t="shared" si="309"/>
        <v/>
      </c>
      <c r="W482">
        <f>SUM(B484:G497)</f>
        <v>16</v>
      </c>
      <c r="AD482">
        <f t="shared" ref="AD482" si="334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35">L482</f>
        <v>(</v>
      </c>
      <c r="M483">
        <v>2</v>
      </c>
      <c r="N483" t="str">
        <f t="shared" si="326"/>
        <v/>
      </c>
      <c r="O483" t="str">
        <f t="shared" si="327"/>
        <v/>
      </c>
      <c r="P483" t="str">
        <f t="shared" si="328"/>
        <v/>
      </c>
      <c r="Q483" t="str">
        <f t="shared" si="329"/>
        <v/>
      </c>
      <c r="R483" t="str">
        <f t="shared" si="330"/>
        <v/>
      </c>
      <c r="S483" t="str">
        <f t="shared" si="331"/>
        <v/>
      </c>
      <c r="T483" s="2" t="str">
        <f t="shared" si="332"/>
        <v/>
      </c>
      <c r="U483" s="2" t="str">
        <f t="shared" si="333"/>
        <v/>
      </c>
      <c r="V483" t="str">
        <f t="shared" si="309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35"/>
        <v>(</v>
      </c>
      <c r="M484">
        <v>3</v>
      </c>
      <c r="N484" s="3" t="str">
        <f t="shared" si="326"/>
        <v/>
      </c>
      <c r="O484" s="4" t="str">
        <f t="shared" si="327"/>
        <v/>
      </c>
      <c r="P484" s="4" t="str">
        <f t="shared" si="328"/>
        <v/>
      </c>
      <c r="Q484" s="4" t="str">
        <f t="shared" si="329"/>
        <v/>
      </c>
      <c r="R484" s="4" t="str">
        <f t="shared" si="330"/>
        <v/>
      </c>
      <c r="S484" s="5" t="str">
        <f t="shared" si="331"/>
        <v/>
      </c>
      <c r="T484" s="2" t="str">
        <f t="shared" si="332"/>
        <v/>
      </c>
      <c r="U484" s="2" t="str">
        <f t="shared" si="333"/>
        <v/>
      </c>
      <c r="V484" t="str">
        <f t="shared" si="309"/>
        <v/>
      </c>
      <c r="X484">
        <f t="shared" ref="X484:X497" si="336">MAX(B484-B483,0)</f>
        <v>0</v>
      </c>
      <c r="Y484">
        <f t="shared" ref="Y484:Y497" si="337">MAX(C484-C483,0)</f>
        <v>0</v>
      </c>
      <c r="Z484">
        <f t="shared" ref="Z484:Z497" si="338">MAX(D484-D483,0)</f>
        <v>0</v>
      </c>
      <c r="AA484">
        <f t="shared" ref="AA484:AA497" si="339">MAX(E484-E483,0)</f>
        <v>0</v>
      </c>
      <c r="AB484">
        <f t="shared" ref="AB484:AB497" si="340">MAX(F484-F483,0)</f>
        <v>0</v>
      </c>
      <c r="AC484">
        <f t="shared" ref="AC484:AC497" si="341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35"/>
        <v>(</v>
      </c>
      <c r="M485">
        <v>4</v>
      </c>
      <c r="N485" s="6" t="str">
        <f t="shared" si="326"/>
        <v/>
      </c>
      <c r="O485" s="7" t="str">
        <f t="shared" si="327"/>
        <v/>
      </c>
      <c r="P485" s="7" t="str">
        <f t="shared" si="328"/>
        <v/>
      </c>
      <c r="Q485" s="7" t="str">
        <f t="shared" si="329"/>
        <v/>
      </c>
      <c r="R485" s="7" t="str">
        <f t="shared" si="330"/>
        <v>#</v>
      </c>
      <c r="S485" s="8" t="str">
        <f t="shared" si="331"/>
        <v/>
      </c>
      <c r="T485" s="2" t="str">
        <f t="shared" si="332"/>
        <v/>
      </c>
      <c r="U485" s="2" t="str">
        <f t="shared" si="333"/>
        <v/>
      </c>
      <c r="V485" t="str">
        <f t="shared" si="309"/>
        <v/>
      </c>
      <c r="X485">
        <f t="shared" si="336"/>
        <v>0</v>
      </c>
      <c r="Y485">
        <f t="shared" si="337"/>
        <v>0</v>
      </c>
      <c r="Z485">
        <f t="shared" si="338"/>
        <v>0</v>
      </c>
      <c r="AA485">
        <f t="shared" si="339"/>
        <v>0</v>
      </c>
      <c r="AB485">
        <f t="shared" si="340"/>
        <v>1</v>
      </c>
      <c r="AC485">
        <f t="shared" si="341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35"/>
        <v>(</v>
      </c>
      <c r="M486">
        <v>5</v>
      </c>
      <c r="N486" s="22" t="str">
        <f t="shared" si="326"/>
        <v/>
      </c>
      <c r="O486" s="15" t="str">
        <f t="shared" si="327"/>
        <v/>
      </c>
      <c r="P486" s="15" t="str">
        <f t="shared" si="328"/>
        <v/>
      </c>
      <c r="Q486" s="15" t="str">
        <f t="shared" si="329"/>
        <v/>
      </c>
      <c r="R486" s="16" t="str">
        <f t="shared" si="330"/>
        <v>#</v>
      </c>
      <c r="S486" s="8" t="str">
        <f t="shared" si="331"/>
        <v/>
      </c>
      <c r="T486" s="2" t="str">
        <f t="shared" si="332"/>
        <v/>
      </c>
      <c r="U486" s="2" t="str">
        <f t="shared" si="333"/>
        <v/>
      </c>
      <c r="V486" t="str">
        <f t="shared" si="309"/>
        <v/>
      </c>
      <c r="X486">
        <f t="shared" si="336"/>
        <v>0</v>
      </c>
      <c r="Y486">
        <f t="shared" si="337"/>
        <v>0</v>
      </c>
      <c r="Z486">
        <f t="shared" si="338"/>
        <v>0</v>
      </c>
      <c r="AA486">
        <f t="shared" si="339"/>
        <v>0</v>
      </c>
      <c r="AB486">
        <f t="shared" si="340"/>
        <v>0</v>
      </c>
      <c r="AC486">
        <f t="shared" si="341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35"/>
        <v>(</v>
      </c>
      <c r="M487">
        <v>6</v>
      </c>
      <c r="N487" s="23" t="str">
        <f t="shared" si="326"/>
        <v/>
      </c>
      <c r="O487" s="7" t="str">
        <f t="shared" si="327"/>
        <v/>
      </c>
      <c r="P487" s="7" t="str">
        <f t="shared" si="328"/>
        <v/>
      </c>
      <c r="Q487" s="7" t="str">
        <f t="shared" si="329"/>
        <v>#</v>
      </c>
      <c r="R487" s="17" t="str">
        <f t="shared" si="330"/>
        <v>#</v>
      </c>
      <c r="S487" s="8" t="str">
        <f t="shared" si="331"/>
        <v/>
      </c>
      <c r="T487" s="2" t="str">
        <f t="shared" si="332"/>
        <v/>
      </c>
      <c r="U487" s="2" t="str">
        <f t="shared" si="333"/>
        <v/>
      </c>
      <c r="V487" t="str">
        <f t="shared" si="309"/>
        <v/>
      </c>
      <c r="X487">
        <f t="shared" si="336"/>
        <v>0</v>
      </c>
      <c r="Y487">
        <f t="shared" si="337"/>
        <v>0</v>
      </c>
      <c r="Z487">
        <f t="shared" si="338"/>
        <v>0</v>
      </c>
      <c r="AA487">
        <f t="shared" si="339"/>
        <v>1</v>
      </c>
      <c r="AB487">
        <f t="shared" si="340"/>
        <v>0</v>
      </c>
      <c r="AC487">
        <f t="shared" si="341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35"/>
        <v>(</v>
      </c>
      <c r="M488">
        <v>7</v>
      </c>
      <c r="N488" s="23" t="str">
        <f t="shared" si="326"/>
        <v/>
      </c>
      <c r="O488" s="7" t="str">
        <f t="shared" si="327"/>
        <v/>
      </c>
      <c r="P488" s="7" t="str">
        <f t="shared" si="328"/>
        <v/>
      </c>
      <c r="Q488" s="7" t="str">
        <f t="shared" si="329"/>
        <v>#</v>
      </c>
      <c r="R488" s="17" t="str">
        <f t="shared" si="330"/>
        <v/>
      </c>
      <c r="S488" s="8" t="str">
        <f t="shared" si="331"/>
        <v/>
      </c>
      <c r="T488" s="2" t="str">
        <f t="shared" si="332"/>
        <v/>
      </c>
      <c r="U488" s="2" t="str">
        <f t="shared" si="333"/>
        <v/>
      </c>
      <c r="V488" t="str">
        <f t="shared" si="309"/>
        <v/>
      </c>
      <c r="X488">
        <f t="shared" si="336"/>
        <v>0</v>
      </c>
      <c r="Y488">
        <f t="shared" si="337"/>
        <v>0</v>
      </c>
      <c r="Z488">
        <f t="shared" si="338"/>
        <v>0</v>
      </c>
      <c r="AA488">
        <f t="shared" si="339"/>
        <v>0</v>
      </c>
      <c r="AB488">
        <f t="shared" si="340"/>
        <v>0</v>
      </c>
      <c r="AC488">
        <f t="shared" si="341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35"/>
        <v>(</v>
      </c>
      <c r="M489">
        <v>8</v>
      </c>
      <c r="N489" s="23" t="str">
        <f t="shared" si="326"/>
        <v/>
      </c>
      <c r="O489" s="7" t="str">
        <f t="shared" si="327"/>
        <v/>
      </c>
      <c r="P489" s="7" t="str">
        <f t="shared" si="328"/>
        <v>#</v>
      </c>
      <c r="Q489" s="7" t="str">
        <f t="shared" si="329"/>
        <v>#</v>
      </c>
      <c r="R489" s="17" t="str">
        <f t="shared" si="330"/>
        <v/>
      </c>
      <c r="S489" s="8" t="str">
        <f t="shared" si="331"/>
        <v/>
      </c>
      <c r="T489" s="2" t="str">
        <f t="shared" si="332"/>
        <v/>
      </c>
      <c r="U489" s="2" t="str">
        <f t="shared" si="333"/>
        <v/>
      </c>
      <c r="V489" t="str">
        <f t="shared" si="309"/>
        <v/>
      </c>
      <c r="X489">
        <f t="shared" si="336"/>
        <v>0</v>
      </c>
      <c r="Y489">
        <f t="shared" si="337"/>
        <v>0</v>
      </c>
      <c r="Z489">
        <f t="shared" si="338"/>
        <v>1</v>
      </c>
      <c r="AA489">
        <f t="shared" si="339"/>
        <v>0</v>
      </c>
      <c r="AB489">
        <f t="shared" si="340"/>
        <v>0</v>
      </c>
      <c r="AC489">
        <f t="shared" si="341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35"/>
        <v>(</v>
      </c>
      <c r="M490">
        <v>9</v>
      </c>
      <c r="N490" s="23" t="str">
        <f t="shared" si="326"/>
        <v/>
      </c>
      <c r="O490" s="7" t="str">
        <f t="shared" si="327"/>
        <v/>
      </c>
      <c r="P490" s="7" t="str">
        <f t="shared" si="328"/>
        <v>#</v>
      </c>
      <c r="Q490" s="7" t="str">
        <f t="shared" si="329"/>
        <v/>
      </c>
      <c r="R490" s="17" t="str">
        <f t="shared" si="330"/>
        <v/>
      </c>
      <c r="S490" s="8" t="str">
        <f t="shared" si="331"/>
        <v/>
      </c>
      <c r="T490" s="2" t="str">
        <f t="shared" si="332"/>
        <v/>
      </c>
      <c r="U490" s="2" t="str">
        <f t="shared" si="333"/>
        <v/>
      </c>
      <c r="V490" t="str">
        <f t="shared" si="309"/>
        <v/>
      </c>
      <c r="X490">
        <f t="shared" si="336"/>
        <v>0</v>
      </c>
      <c r="Y490">
        <f t="shared" si="337"/>
        <v>0</v>
      </c>
      <c r="Z490">
        <f t="shared" si="338"/>
        <v>0</v>
      </c>
      <c r="AA490">
        <f t="shared" si="339"/>
        <v>0</v>
      </c>
      <c r="AB490">
        <f t="shared" si="340"/>
        <v>0</v>
      </c>
      <c r="AC490">
        <f t="shared" si="341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35"/>
        <v>(</v>
      </c>
      <c r="M491">
        <v>10</v>
      </c>
      <c r="N491" s="23" t="str">
        <f t="shared" si="326"/>
        <v/>
      </c>
      <c r="O491" s="7" t="str">
        <f t="shared" si="327"/>
        <v/>
      </c>
      <c r="P491" s="7" t="str">
        <f t="shared" si="328"/>
        <v>#</v>
      </c>
      <c r="Q491" s="7" t="str">
        <f t="shared" si="329"/>
        <v/>
      </c>
      <c r="R491" s="17" t="str">
        <f t="shared" si="330"/>
        <v/>
      </c>
      <c r="S491" s="8" t="str">
        <f t="shared" si="331"/>
        <v/>
      </c>
      <c r="T491" s="2" t="str">
        <f t="shared" si="332"/>
        <v/>
      </c>
      <c r="U491" s="2" t="str">
        <f t="shared" si="333"/>
        <v/>
      </c>
      <c r="V491" t="str">
        <f t="shared" si="309"/>
        <v/>
      </c>
      <c r="X491">
        <f t="shared" si="336"/>
        <v>0</v>
      </c>
      <c r="Y491">
        <f t="shared" si="337"/>
        <v>0</v>
      </c>
      <c r="Z491">
        <f t="shared" si="338"/>
        <v>0</v>
      </c>
      <c r="AA491">
        <f t="shared" si="339"/>
        <v>0</v>
      </c>
      <c r="AB491">
        <f t="shared" si="340"/>
        <v>0</v>
      </c>
      <c r="AC491">
        <f t="shared" si="341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35"/>
        <v>(</v>
      </c>
      <c r="M492">
        <v>11</v>
      </c>
      <c r="N492" s="23" t="str">
        <f t="shared" si="326"/>
        <v/>
      </c>
      <c r="O492" s="7" t="str">
        <f t="shared" si="327"/>
        <v/>
      </c>
      <c r="P492" s="7" t="str">
        <f t="shared" si="328"/>
        <v>#</v>
      </c>
      <c r="Q492" s="7" t="str">
        <f t="shared" si="329"/>
        <v>#</v>
      </c>
      <c r="R492" s="17" t="str">
        <f t="shared" si="330"/>
        <v/>
      </c>
      <c r="S492" s="8" t="str">
        <f t="shared" si="331"/>
        <v/>
      </c>
      <c r="T492" s="2" t="str">
        <f t="shared" si="332"/>
        <v/>
      </c>
      <c r="U492" s="2" t="str">
        <f t="shared" si="333"/>
        <v/>
      </c>
      <c r="V492" t="str">
        <f t="shared" si="309"/>
        <v/>
      </c>
      <c r="X492">
        <f t="shared" si="336"/>
        <v>0</v>
      </c>
      <c r="Y492">
        <f t="shared" si="337"/>
        <v>0</v>
      </c>
      <c r="Z492">
        <f t="shared" si="338"/>
        <v>0</v>
      </c>
      <c r="AA492">
        <f t="shared" si="339"/>
        <v>1</v>
      </c>
      <c r="AB492">
        <f t="shared" si="340"/>
        <v>0</v>
      </c>
      <c r="AC492">
        <f t="shared" si="341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35"/>
        <v>(</v>
      </c>
      <c r="M493">
        <v>12</v>
      </c>
      <c r="N493" s="23" t="str">
        <f t="shared" si="326"/>
        <v/>
      </c>
      <c r="O493" s="7" t="str">
        <f t="shared" si="327"/>
        <v/>
      </c>
      <c r="P493" s="7" t="str">
        <f t="shared" si="328"/>
        <v/>
      </c>
      <c r="Q493" s="7" t="str">
        <f t="shared" si="329"/>
        <v>#</v>
      </c>
      <c r="R493" s="17" t="str">
        <f t="shared" si="330"/>
        <v/>
      </c>
      <c r="S493" s="8" t="str">
        <f t="shared" si="331"/>
        <v/>
      </c>
      <c r="T493" s="2" t="str">
        <f t="shared" si="332"/>
        <v/>
      </c>
      <c r="U493" s="2" t="str">
        <f t="shared" si="333"/>
        <v/>
      </c>
      <c r="V493" t="str">
        <f t="shared" si="309"/>
        <v/>
      </c>
      <c r="X493">
        <f t="shared" si="336"/>
        <v>0</v>
      </c>
      <c r="Y493">
        <f t="shared" si="337"/>
        <v>0</v>
      </c>
      <c r="Z493">
        <f t="shared" si="338"/>
        <v>0</v>
      </c>
      <c r="AA493">
        <f t="shared" si="339"/>
        <v>0</v>
      </c>
      <c r="AB493">
        <f t="shared" si="340"/>
        <v>0</v>
      </c>
      <c r="AC493">
        <f t="shared" si="341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35"/>
        <v>(</v>
      </c>
      <c r="M494">
        <v>13</v>
      </c>
      <c r="N494" s="6" t="str">
        <f t="shared" si="326"/>
        <v/>
      </c>
      <c r="O494" s="7" t="str">
        <f t="shared" si="327"/>
        <v/>
      </c>
      <c r="P494" s="7" t="str">
        <f t="shared" si="328"/>
        <v/>
      </c>
      <c r="Q494" s="7" t="str">
        <f t="shared" si="329"/>
        <v>#</v>
      </c>
      <c r="R494" s="17" t="str">
        <f t="shared" si="330"/>
        <v>#</v>
      </c>
      <c r="S494" s="8" t="str">
        <f t="shared" si="331"/>
        <v/>
      </c>
      <c r="T494" s="2" t="str">
        <f t="shared" si="332"/>
        <v/>
      </c>
      <c r="U494" s="2" t="str">
        <f t="shared" si="333"/>
        <v/>
      </c>
      <c r="V494" t="str">
        <f t="shared" si="309"/>
        <v/>
      </c>
      <c r="X494">
        <f t="shared" si="336"/>
        <v>0</v>
      </c>
      <c r="Y494">
        <f t="shared" si="337"/>
        <v>0</v>
      </c>
      <c r="Z494">
        <f t="shared" si="338"/>
        <v>0</v>
      </c>
      <c r="AA494">
        <f t="shared" si="339"/>
        <v>0</v>
      </c>
      <c r="AB494">
        <f t="shared" si="340"/>
        <v>1</v>
      </c>
      <c r="AC494">
        <f t="shared" si="341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35"/>
        <v>(</v>
      </c>
      <c r="M495">
        <v>14</v>
      </c>
      <c r="N495" s="18" t="str">
        <f t="shared" si="326"/>
        <v/>
      </c>
      <c r="O495" s="19" t="str">
        <f t="shared" si="327"/>
        <v/>
      </c>
      <c r="P495" s="19" t="str">
        <f t="shared" si="328"/>
        <v/>
      </c>
      <c r="Q495" s="19" t="str">
        <f t="shared" si="329"/>
        <v/>
      </c>
      <c r="R495" s="20" t="str">
        <f t="shared" si="330"/>
        <v>#</v>
      </c>
      <c r="S495" s="8" t="str">
        <f t="shared" si="331"/>
        <v/>
      </c>
      <c r="T495" s="2" t="str">
        <f t="shared" si="332"/>
        <v/>
      </c>
      <c r="U495" s="2" t="str">
        <f t="shared" si="333"/>
        <v/>
      </c>
      <c r="V495" t="str">
        <f t="shared" si="309"/>
        <v/>
      </c>
      <c r="X495">
        <f t="shared" si="336"/>
        <v>0</v>
      </c>
      <c r="Y495">
        <f t="shared" si="337"/>
        <v>0</v>
      </c>
      <c r="Z495">
        <f t="shared" si="338"/>
        <v>0</v>
      </c>
      <c r="AA495">
        <f t="shared" si="339"/>
        <v>0</v>
      </c>
      <c r="AB495">
        <f t="shared" si="340"/>
        <v>0</v>
      </c>
      <c r="AC495">
        <f t="shared" si="341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35"/>
        <v>(</v>
      </c>
      <c r="M496">
        <v>15</v>
      </c>
      <c r="N496" s="9" t="str">
        <f t="shared" si="326"/>
        <v/>
      </c>
      <c r="O496" s="10" t="str">
        <f t="shared" si="327"/>
        <v/>
      </c>
      <c r="P496" s="10" t="str">
        <f t="shared" si="328"/>
        <v/>
      </c>
      <c r="Q496" s="10" t="str">
        <f t="shared" si="329"/>
        <v/>
      </c>
      <c r="R496" s="10" t="str">
        <f t="shared" si="330"/>
        <v>#</v>
      </c>
      <c r="S496" s="11" t="str">
        <f t="shared" si="331"/>
        <v/>
      </c>
      <c r="T496" s="2" t="str">
        <f t="shared" si="332"/>
        <v/>
      </c>
      <c r="U496" s="2" t="str">
        <f t="shared" si="333"/>
        <v/>
      </c>
      <c r="V496" t="str">
        <f t="shared" si="309"/>
        <v/>
      </c>
      <c r="X496">
        <f t="shared" si="336"/>
        <v>0</v>
      </c>
      <c r="Y496">
        <f t="shared" si="337"/>
        <v>0</v>
      </c>
      <c r="Z496">
        <f t="shared" si="338"/>
        <v>0</v>
      </c>
      <c r="AA496">
        <f t="shared" si="339"/>
        <v>0</v>
      </c>
      <c r="AB496">
        <f t="shared" si="340"/>
        <v>0</v>
      </c>
      <c r="AC496">
        <f t="shared" si="341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35"/>
        <v>(</v>
      </c>
      <c r="M497">
        <v>16</v>
      </c>
      <c r="N497" s="12" t="str">
        <f t="shared" si="326"/>
        <v/>
      </c>
      <c r="O497" s="13" t="str">
        <f t="shared" si="327"/>
        <v/>
      </c>
      <c r="P497" s="13" t="str">
        <f t="shared" si="328"/>
        <v/>
      </c>
      <c r="Q497" s="13" t="str">
        <f t="shared" si="329"/>
        <v/>
      </c>
      <c r="R497" s="13" t="str">
        <f t="shared" si="330"/>
        <v/>
      </c>
      <c r="S497" s="14" t="str">
        <f t="shared" si="331"/>
        <v/>
      </c>
      <c r="T497" s="2" t="str">
        <f t="shared" si="332"/>
        <v/>
      </c>
      <c r="U497" s="2" t="str">
        <f t="shared" si="333"/>
        <v/>
      </c>
      <c r="V497" t="str">
        <f t="shared" si="309"/>
        <v/>
      </c>
      <c r="X497">
        <f t="shared" si="336"/>
        <v>0</v>
      </c>
      <c r="Y497">
        <f t="shared" si="337"/>
        <v>0</v>
      </c>
      <c r="Z497">
        <f t="shared" si="338"/>
        <v>0</v>
      </c>
      <c r="AA497">
        <f t="shared" si="339"/>
        <v>0</v>
      </c>
      <c r="AB497">
        <f t="shared" si="340"/>
        <v>0</v>
      </c>
      <c r="AC497">
        <f t="shared" si="341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6"/>
        <v/>
      </c>
      <c r="O498" t="str">
        <f t="shared" si="327"/>
        <v/>
      </c>
      <c r="P498" t="str">
        <f t="shared" si="328"/>
        <v/>
      </c>
      <c r="Q498" t="str">
        <f t="shared" si="329"/>
        <v/>
      </c>
      <c r="R498" t="str">
        <f t="shared" si="330"/>
        <v/>
      </c>
      <c r="S498" t="str">
        <f t="shared" si="331"/>
        <v/>
      </c>
      <c r="T498" s="2" t="str">
        <f t="shared" si="332"/>
        <v/>
      </c>
      <c r="U498" s="2" t="str">
        <f t="shared" si="333"/>
        <v/>
      </c>
      <c r="V498" t="str">
        <f t="shared" si="309"/>
        <v/>
      </c>
      <c r="W498">
        <f>SUM(B500:G513)</f>
        <v>16</v>
      </c>
      <c r="AD498">
        <f t="shared" ref="AD498" si="342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43">L498</f>
        <v>)</v>
      </c>
      <c r="M499">
        <v>2</v>
      </c>
      <c r="N499" t="str">
        <f t="shared" si="326"/>
        <v/>
      </c>
      <c r="O499" t="str">
        <f t="shared" si="327"/>
        <v/>
      </c>
      <c r="P499" t="str">
        <f t="shared" si="328"/>
        <v/>
      </c>
      <c r="Q499" t="str">
        <f t="shared" si="329"/>
        <v/>
      </c>
      <c r="R499" t="str">
        <f t="shared" si="330"/>
        <v/>
      </c>
      <c r="S499" t="str">
        <f t="shared" si="331"/>
        <v/>
      </c>
      <c r="T499" s="2" t="str">
        <f t="shared" si="332"/>
        <v/>
      </c>
      <c r="U499" s="2" t="str">
        <f t="shared" si="333"/>
        <v/>
      </c>
      <c r="V499" t="str">
        <f t="shared" si="309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43"/>
        <v>)</v>
      </c>
      <c r="M500">
        <v>3</v>
      </c>
      <c r="N500" s="3" t="str">
        <f t="shared" si="326"/>
        <v/>
      </c>
      <c r="O500" s="4" t="str">
        <f t="shared" si="327"/>
        <v/>
      </c>
      <c r="P500" s="4" t="str">
        <f t="shared" si="328"/>
        <v/>
      </c>
      <c r="Q500" s="4" t="str">
        <f t="shared" si="329"/>
        <v/>
      </c>
      <c r="R500" s="4" t="str">
        <f t="shared" si="330"/>
        <v/>
      </c>
      <c r="S500" s="5" t="str">
        <f t="shared" si="331"/>
        <v/>
      </c>
      <c r="T500" s="2" t="str">
        <f t="shared" si="332"/>
        <v/>
      </c>
      <c r="U500" s="2" t="str">
        <f t="shared" si="333"/>
        <v/>
      </c>
      <c r="V500" t="str">
        <f t="shared" si="309"/>
        <v/>
      </c>
      <c r="X500">
        <f t="shared" ref="X500:X513" si="344">MAX(B500-B499,0)</f>
        <v>0</v>
      </c>
      <c r="Y500">
        <f t="shared" ref="Y500:Y513" si="345">MAX(C500-C499,0)</f>
        <v>0</v>
      </c>
      <c r="Z500">
        <f t="shared" ref="Z500:Z513" si="346">MAX(D500-D499,0)</f>
        <v>0</v>
      </c>
      <c r="AA500">
        <f t="shared" ref="AA500:AA513" si="347">MAX(E500-E499,0)</f>
        <v>0</v>
      </c>
      <c r="AB500">
        <f t="shared" ref="AB500:AB513" si="348">MAX(F500-F499,0)</f>
        <v>0</v>
      </c>
      <c r="AC500">
        <f t="shared" ref="AC500:AC513" si="349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43"/>
        <v>)</v>
      </c>
      <c r="M501">
        <v>4</v>
      </c>
      <c r="N501" s="6" t="str">
        <f t="shared" si="326"/>
        <v>#</v>
      </c>
      <c r="O501" s="7" t="str">
        <f t="shared" si="327"/>
        <v/>
      </c>
      <c r="P501" s="7" t="str">
        <f t="shared" si="328"/>
        <v/>
      </c>
      <c r="Q501" s="7" t="str">
        <f t="shared" si="329"/>
        <v/>
      </c>
      <c r="R501" s="7" t="str">
        <f t="shared" si="330"/>
        <v/>
      </c>
      <c r="S501" s="8" t="str">
        <f t="shared" si="331"/>
        <v/>
      </c>
      <c r="T501" s="2" t="str">
        <f t="shared" si="332"/>
        <v/>
      </c>
      <c r="U501" s="2" t="str">
        <f t="shared" si="333"/>
        <v/>
      </c>
      <c r="V501" t="str">
        <f t="shared" si="309"/>
        <v/>
      </c>
      <c r="X501">
        <f t="shared" si="344"/>
        <v>1</v>
      </c>
      <c r="Y501">
        <f t="shared" si="345"/>
        <v>0</v>
      </c>
      <c r="Z501">
        <f t="shared" si="346"/>
        <v>0</v>
      </c>
      <c r="AA501">
        <f t="shared" si="347"/>
        <v>0</v>
      </c>
      <c r="AB501">
        <f t="shared" si="348"/>
        <v>0</v>
      </c>
      <c r="AC501">
        <f t="shared" si="349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43"/>
        <v>)</v>
      </c>
      <c r="M502">
        <v>5</v>
      </c>
      <c r="N502" s="22" t="str">
        <f t="shared" si="326"/>
        <v>#</v>
      </c>
      <c r="O502" s="15" t="str">
        <f t="shared" si="327"/>
        <v/>
      </c>
      <c r="P502" s="15" t="str">
        <f t="shared" si="328"/>
        <v/>
      </c>
      <c r="Q502" s="15" t="str">
        <f t="shared" si="329"/>
        <v/>
      </c>
      <c r="R502" s="16" t="str">
        <f t="shared" si="330"/>
        <v/>
      </c>
      <c r="S502" s="8" t="str">
        <f t="shared" si="331"/>
        <v/>
      </c>
      <c r="T502" s="2" t="str">
        <f t="shared" si="332"/>
        <v/>
      </c>
      <c r="U502" s="2" t="str">
        <f t="shared" si="333"/>
        <v/>
      </c>
      <c r="V502" t="str">
        <f t="shared" si="309"/>
        <v/>
      </c>
      <c r="X502">
        <f t="shared" si="344"/>
        <v>0</v>
      </c>
      <c r="Y502">
        <f t="shared" si="345"/>
        <v>0</v>
      </c>
      <c r="Z502">
        <f t="shared" si="346"/>
        <v>0</v>
      </c>
      <c r="AA502">
        <f t="shared" si="347"/>
        <v>0</v>
      </c>
      <c r="AB502">
        <f t="shared" si="348"/>
        <v>0</v>
      </c>
      <c r="AC502">
        <f t="shared" si="349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43"/>
        <v>)</v>
      </c>
      <c r="M503">
        <v>6</v>
      </c>
      <c r="N503" s="23" t="str">
        <f t="shared" si="326"/>
        <v>#</v>
      </c>
      <c r="O503" s="7" t="str">
        <f t="shared" si="327"/>
        <v>#</v>
      </c>
      <c r="P503" s="7" t="str">
        <f t="shared" si="328"/>
        <v/>
      </c>
      <c r="Q503" s="7" t="str">
        <f t="shared" si="329"/>
        <v/>
      </c>
      <c r="R503" s="17" t="str">
        <f t="shared" si="330"/>
        <v/>
      </c>
      <c r="S503" s="8" t="str">
        <f t="shared" si="331"/>
        <v/>
      </c>
      <c r="T503" s="2" t="str">
        <f t="shared" si="332"/>
        <v/>
      </c>
      <c r="U503" s="2" t="str">
        <f t="shared" si="333"/>
        <v/>
      </c>
      <c r="V503" t="str">
        <f t="shared" si="309"/>
        <v/>
      </c>
      <c r="X503">
        <f t="shared" si="344"/>
        <v>0</v>
      </c>
      <c r="Y503">
        <f t="shared" si="345"/>
        <v>1</v>
      </c>
      <c r="Z503">
        <f t="shared" si="346"/>
        <v>0</v>
      </c>
      <c r="AA503">
        <f t="shared" si="347"/>
        <v>0</v>
      </c>
      <c r="AB503">
        <f t="shared" si="348"/>
        <v>0</v>
      </c>
      <c r="AC503">
        <f t="shared" si="349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43"/>
        <v>)</v>
      </c>
      <c r="M504">
        <v>7</v>
      </c>
      <c r="N504" s="23" t="str">
        <f t="shared" si="326"/>
        <v/>
      </c>
      <c r="O504" s="7" t="str">
        <f t="shared" si="327"/>
        <v>#</v>
      </c>
      <c r="P504" s="7" t="str">
        <f t="shared" si="328"/>
        <v/>
      </c>
      <c r="Q504" s="7" t="str">
        <f t="shared" si="329"/>
        <v/>
      </c>
      <c r="R504" s="17" t="str">
        <f t="shared" si="330"/>
        <v/>
      </c>
      <c r="S504" s="8" t="str">
        <f t="shared" si="331"/>
        <v/>
      </c>
      <c r="T504" s="2" t="str">
        <f t="shared" si="332"/>
        <v/>
      </c>
      <c r="U504" s="2" t="str">
        <f t="shared" si="333"/>
        <v/>
      </c>
      <c r="V504" t="str">
        <f t="shared" si="309"/>
        <v/>
      </c>
      <c r="X504">
        <f t="shared" si="344"/>
        <v>0</v>
      </c>
      <c r="Y504">
        <f t="shared" si="345"/>
        <v>0</v>
      </c>
      <c r="Z504">
        <f t="shared" si="346"/>
        <v>0</v>
      </c>
      <c r="AA504">
        <f t="shared" si="347"/>
        <v>0</v>
      </c>
      <c r="AB504">
        <f t="shared" si="348"/>
        <v>0</v>
      </c>
      <c r="AC504">
        <f t="shared" si="349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43"/>
        <v>)</v>
      </c>
      <c r="M505">
        <v>8</v>
      </c>
      <c r="N505" s="23" t="str">
        <f t="shared" si="326"/>
        <v/>
      </c>
      <c r="O505" s="7" t="str">
        <f t="shared" si="327"/>
        <v>#</v>
      </c>
      <c r="P505" s="7" t="str">
        <f t="shared" si="328"/>
        <v>#</v>
      </c>
      <c r="Q505" s="7" t="str">
        <f t="shared" si="329"/>
        <v/>
      </c>
      <c r="R505" s="17" t="str">
        <f t="shared" si="330"/>
        <v/>
      </c>
      <c r="S505" s="8" t="str">
        <f t="shared" si="331"/>
        <v/>
      </c>
      <c r="T505" s="2" t="str">
        <f t="shared" si="332"/>
        <v/>
      </c>
      <c r="U505" s="2" t="str">
        <f t="shared" si="333"/>
        <v/>
      </c>
      <c r="V505" t="str">
        <f t="shared" si="309"/>
        <v/>
      </c>
      <c r="X505">
        <f t="shared" si="344"/>
        <v>0</v>
      </c>
      <c r="Y505">
        <f t="shared" si="345"/>
        <v>0</v>
      </c>
      <c r="Z505">
        <f t="shared" si="346"/>
        <v>1</v>
      </c>
      <c r="AA505">
        <f t="shared" si="347"/>
        <v>0</v>
      </c>
      <c r="AB505">
        <f t="shared" si="348"/>
        <v>0</v>
      </c>
      <c r="AC505">
        <f t="shared" si="349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43"/>
        <v>)</v>
      </c>
      <c r="M506">
        <v>9</v>
      </c>
      <c r="N506" s="23" t="str">
        <f t="shared" si="326"/>
        <v/>
      </c>
      <c r="O506" s="7" t="str">
        <f t="shared" si="327"/>
        <v/>
      </c>
      <c r="P506" s="7" t="str">
        <f t="shared" si="328"/>
        <v>#</v>
      </c>
      <c r="Q506" s="7" t="str">
        <f t="shared" si="329"/>
        <v/>
      </c>
      <c r="R506" s="17" t="str">
        <f t="shared" si="330"/>
        <v/>
      </c>
      <c r="S506" s="8" t="str">
        <f t="shared" si="331"/>
        <v/>
      </c>
      <c r="T506" s="2" t="str">
        <f t="shared" si="332"/>
        <v/>
      </c>
      <c r="U506" s="2" t="str">
        <f t="shared" si="333"/>
        <v/>
      </c>
      <c r="V506" t="str">
        <f t="shared" si="309"/>
        <v/>
      </c>
      <c r="X506">
        <f t="shared" si="344"/>
        <v>0</v>
      </c>
      <c r="Y506">
        <f t="shared" si="345"/>
        <v>0</v>
      </c>
      <c r="Z506">
        <f t="shared" si="346"/>
        <v>0</v>
      </c>
      <c r="AA506">
        <f t="shared" si="347"/>
        <v>0</v>
      </c>
      <c r="AB506">
        <f t="shared" si="348"/>
        <v>0</v>
      </c>
      <c r="AC506">
        <f t="shared" si="349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43"/>
        <v>)</v>
      </c>
      <c r="M507">
        <v>10</v>
      </c>
      <c r="N507" s="23" t="str">
        <f t="shared" si="326"/>
        <v/>
      </c>
      <c r="O507" s="7" t="str">
        <f t="shared" si="327"/>
        <v/>
      </c>
      <c r="P507" s="7" t="str">
        <f t="shared" si="328"/>
        <v>#</v>
      </c>
      <c r="Q507" s="7" t="str">
        <f t="shared" si="329"/>
        <v/>
      </c>
      <c r="R507" s="17" t="str">
        <f t="shared" si="330"/>
        <v/>
      </c>
      <c r="S507" s="8" t="str">
        <f t="shared" si="331"/>
        <v/>
      </c>
      <c r="T507" s="2" t="str">
        <f t="shared" si="332"/>
        <v/>
      </c>
      <c r="U507" s="2" t="str">
        <f t="shared" si="333"/>
        <v/>
      </c>
      <c r="V507" t="str">
        <f t="shared" si="309"/>
        <v/>
      </c>
      <c r="X507">
        <f t="shared" si="344"/>
        <v>0</v>
      </c>
      <c r="Y507">
        <f t="shared" si="345"/>
        <v>0</v>
      </c>
      <c r="Z507">
        <f t="shared" si="346"/>
        <v>0</v>
      </c>
      <c r="AA507">
        <f t="shared" si="347"/>
        <v>0</v>
      </c>
      <c r="AB507">
        <f t="shared" si="348"/>
        <v>0</v>
      </c>
      <c r="AC507">
        <f t="shared" si="349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43"/>
        <v>)</v>
      </c>
      <c r="M508">
        <v>11</v>
      </c>
      <c r="N508" s="23" t="str">
        <f t="shared" si="326"/>
        <v/>
      </c>
      <c r="O508" s="7" t="str">
        <f t="shared" si="327"/>
        <v>#</v>
      </c>
      <c r="P508" s="7" t="str">
        <f t="shared" si="328"/>
        <v>#</v>
      </c>
      <c r="Q508" s="7" t="str">
        <f t="shared" si="329"/>
        <v/>
      </c>
      <c r="R508" s="17" t="str">
        <f t="shared" si="330"/>
        <v/>
      </c>
      <c r="S508" s="8" t="str">
        <f t="shared" si="331"/>
        <v/>
      </c>
      <c r="T508" s="2" t="str">
        <f t="shared" si="332"/>
        <v/>
      </c>
      <c r="U508" s="2" t="str">
        <f t="shared" si="333"/>
        <v/>
      </c>
      <c r="V508" t="str">
        <f t="shared" si="309"/>
        <v/>
      </c>
      <c r="X508">
        <f t="shared" si="344"/>
        <v>0</v>
      </c>
      <c r="Y508">
        <f t="shared" si="345"/>
        <v>1</v>
      </c>
      <c r="Z508">
        <f t="shared" si="346"/>
        <v>0</v>
      </c>
      <c r="AA508">
        <f t="shared" si="347"/>
        <v>0</v>
      </c>
      <c r="AB508">
        <f t="shared" si="348"/>
        <v>0</v>
      </c>
      <c r="AC508">
        <f t="shared" si="349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43"/>
        <v>)</v>
      </c>
      <c r="M509">
        <v>12</v>
      </c>
      <c r="N509" s="23" t="str">
        <f t="shared" si="326"/>
        <v/>
      </c>
      <c r="O509" s="7" t="str">
        <f t="shared" si="327"/>
        <v>#</v>
      </c>
      <c r="P509" s="7" t="str">
        <f t="shared" si="328"/>
        <v/>
      </c>
      <c r="Q509" s="7" t="str">
        <f t="shared" si="329"/>
        <v/>
      </c>
      <c r="R509" s="17" t="str">
        <f t="shared" si="330"/>
        <v/>
      </c>
      <c r="S509" s="8" t="str">
        <f t="shared" si="331"/>
        <v/>
      </c>
      <c r="T509" s="2" t="str">
        <f t="shared" si="332"/>
        <v/>
      </c>
      <c r="U509" s="2" t="str">
        <f t="shared" si="333"/>
        <v/>
      </c>
      <c r="V509" t="str">
        <f t="shared" si="309"/>
        <v/>
      </c>
      <c r="X509">
        <f t="shared" si="344"/>
        <v>0</v>
      </c>
      <c r="Y509">
        <f t="shared" si="345"/>
        <v>0</v>
      </c>
      <c r="Z509">
        <f t="shared" si="346"/>
        <v>0</v>
      </c>
      <c r="AA509">
        <f t="shared" si="347"/>
        <v>0</v>
      </c>
      <c r="AB509">
        <f t="shared" si="348"/>
        <v>0</v>
      </c>
      <c r="AC509">
        <f t="shared" si="349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43"/>
        <v>)</v>
      </c>
      <c r="M510">
        <v>13</v>
      </c>
      <c r="N510" s="6" t="str">
        <f t="shared" si="326"/>
        <v>#</v>
      </c>
      <c r="O510" s="7" t="str">
        <f t="shared" si="327"/>
        <v>#</v>
      </c>
      <c r="P510" s="7" t="str">
        <f t="shared" si="328"/>
        <v/>
      </c>
      <c r="Q510" s="7" t="str">
        <f t="shared" si="329"/>
        <v/>
      </c>
      <c r="R510" s="17" t="str">
        <f t="shared" si="330"/>
        <v/>
      </c>
      <c r="S510" s="8" t="str">
        <f t="shared" si="331"/>
        <v/>
      </c>
      <c r="T510" s="2" t="str">
        <f t="shared" si="332"/>
        <v/>
      </c>
      <c r="U510" s="2" t="str">
        <f t="shared" si="333"/>
        <v/>
      </c>
      <c r="V510" t="str">
        <f t="shared" si="309"/>
        <v/>
      </c>
      <c r="X510">
        <f t="shared" si="344"/>
        <v>1</v>
      </c>
      <c r="Y510">
        <f t="shared" si="345"/>
        <v>0</v>
      </c>
      <c r="Z510">
        <f t="shared" si="346"/>
        <v>0</v>
      </c>
      <c r="AA510">
        <f t="shared" si="347"/>
        <v>0</v>
      </c>
      <c r="AB510">
        <f t="shared" si="348"/>
        <v>0</v>
      </c>
      <c r="AC510">
        <f t="shared" si="349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43"/>
        <v>)</v>
      </c>
      <c r="M511">
        <v>14</v>
      </c>
      <c r="N511" s="18" t="str">
        <f t="shared" si="326"/>
        <v>#</v>
      </c>
      <c r="O511" s="19" t="str">
        <f t="shared" si="327"/>
        <v/>
      </c>
      <c r="P511" s="19" t="str">
        <f t="shared" si="328"/>
        <v/>
      </c>
      <c r="Q511" s="19" t="str">
        <f t="shared" si="329"/>
        <v/>
      </c>
      <c r="R511" s="20" t="str">
        <f t="shared" si="330"/>
        <v/>
      </c>
      <c r="S511" s="8" t="str">
        <f t="shared" si="331"/>
        <v/>
      </c>
      <c r="T511" s="2" t="str">
        <f t="shared" si="332"/>
        <v/>
      </c>
      <c r="U511" s="2" t="str">
        <f t="shared" si="333"/>
        <v/>
      </c>
      <c r="V511" t="str">
        <f t="shared" si="309"/>
        <v/>
      </c>
      <c r="X511">
        <f t="shared" si="344"/>
        <v>0</v>
      </c>
      <c r="Y511">
        <f t="shared" si="345"/>
        <v>0</v>
      </c>
      <c r="Z511">
        <f t="shared" si="346"/>
        <v>0</v>
      </c>
      <c r="AA511">
        <f t="shared" si="347"/>
        <v>0</v>
      </c>
      <c r="AB511">
        <f t="shared" si="348"/>
        <v>0</v>
      </c>
      <c r="AC511">
        <f t="shared" si="349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43"/>
        <v>)</v>
      </c>
      <c r="M512">
        <v>15</v>
      </c>
      <c r="N512" s="9" t="str">
        <f t="shared" si="326"/>
        <v>#</v>
      </c>
      <c r="O512" s="10" t="str">
        <f t="shared" si="327"/>
        <v/>
      </c>
      <c r="P512" s="10" t="str">
        <f t="shared" si="328"/>
        <v/>
      </c>
      <c r="Q512" s="10" t="str">
        <f t="shared" si="329"/>
        <v/>
      </c>
      <c r="R512" s="10" t="str">
        <f t="shared" si="330"/>
        <v/>
      </c>
      <c r="S512" s="11" t="str">
        <f t="shared" si="331"/>
        <v/>
      </c>
      <c r="T512" s="2" t="str">
        <f t="shared" si="332"/>
        <v/>
      </c>
      <c r="U512" s="2" t="str">
        <f t="shared" si="333"/>
        <v/>
      </c>
      <c r="V512" t="str">
        <f t="shared" si="309"/>
        <v/>
      </c>
      <c r="X512">
        <f t="shared" si="344"/>
        <v>0</v>
      </c>
      <c r="Y512">
        <f t="shared" si="345"/>
        <v>0</v>
      </c>
      <c r="Z512">
        <f t="shared" si="346"/>
        <v>0</v>
      </c>
      <c r="AA512">
        <f t="shared" si="347"/>
        <v>0</v>
      </c>
      <c r="AB512">
        <f t="shared" si="348"/>
        <v>0</v>
      </c>
      <c r="AC512">
        <f t="shared" si="349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43"/>
        <v>)</v>
      </c>
      <c r="M513">
        <v>16</v>
      </c>
      <c r="N513" s="12" t="str">
        <f t="shared" si="326"/>
        <v/>
      </c>
      <c r="O513" s="13" t="str">
        <f t="shared" si="327"/>
        <v/>
      </c>
      <c r="P513" s="13" t="str">
        <f t="shared" si="328"/>
        <v/>
      </c>
      <c r="Q513" s="13" t="str">
        <f t="shared" si="329"/>
        <v/>
      </c>
      <c r="R513" s="13" t="str">
        <f t="shared" si="330"/>
        <v/>
      </c>
      <c r="S513" s="14" t="str">
        <f t="shared" si="331"/>
        <v/>
      </c>
      <c r="T513" s="2" t="str">
        <f t="shared" si="332"/>
        <v/>
      </c>
      <c r="U513" s="2" t="str">
        <f t="shared" si="333"/>
        <v/>
      </c>
      <c r="V513" t="str">
        <f t="shared" si="309"/>
        <v/>
      </c>
      <c r="X513">
        <f t="shared" si="344"/>
        <v>0</v>
      </c>
      <c r="Y513">
        <f t="shared" si="345"/>
        <v>0</v>
      </c>
      <c r="Z513">
        <f t="shared" si="346"/>
        <v>0</v>
      </c>
      <c r="AA513">
        <f t="shared" si="347"/>
        <v>0</v>
      </c>
      <c r="AB513">
        <f t="shared" si="348"/>
        <v>0</v>
      </c>
      <c r="AC513">
        <f t="shared" si="349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6"/>
        <v/>
      </c>
      <c r="O514" t="str">
        <f t="shared" si="327"/>
        <v/>
      </c>
      <c r="P514" t="str">
        <f t="shared" si="328"/>
        <v/>
      </c>
      <c r="Q514" t="str">
        <f t="shared" si="329"/>
        <v/>
      </c>
      <c r="R514" t="str">
        <f t="shared" si="330"/>
        <v/>
      </c>
      <c r="S514" t="str">
        <f t="shared" si="331"/>
        <v/>
      </c>
      <c r="T514" s="2" t="str">
        <f t="shared" si="332"/>
        <v/>
      </c>
      <c r="U514" s="2" t="str">
        <f t="shared" si="333"/>
        <v/>
      </c>
      <c r="V514" t="str">
        <f t="shared" ref="V514:V577" si="350">IF(A514=0,"",M514)</f>
        <v/>
      </c>
      <c r="W514">
        <f>SUM(B516:G529)</f>
        <v>28</v>
      </c>
      <c r="AD514">
        <f t="shared" ref="AD514" si="351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52">L514</f>
        <v>*</v>
      </c>
      <c r="M515">
        <v>2</v>
      </c>
      <c r="N515" t="str">
        <f t="shared" si="326"/>
        <v/>
      </c>
      <c r="O515" t="str">
        <f t="shared" si="327"/>
        <v/>
      </c>
      <c r="P515" t="str">
        <f t="shared" si="328"/>
        <v/>
      </c>
      <c r="Q515" t="str">
        <f t="shared" si="329"/>
        <v/>
      </c>
      <c r="R515" t="str">
        <f t="shared" si="330"/>
        <v/>
      </c>
      <c r="S515" t="str">
        <f t="shared" si="331"/>
        <v/>
      </c>
      <c r="T515" s="2" t="str">
        <f t="shared" si="332"/>
        <v/>
      </c>
      <c r="U515" s="2" t="str">
        <f t="shared" si="333"/>
        <v/>
      </c>
      <c r="V515" t="str">
        <f t="shared" si="350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52"/>
        <v>*</v>
      </c>
      <c r="M516">
        <v>3</v>
      </c>
      <c r="N516" s="3" t="str">
        <f t="shared" si="326"/>
        <v/>
      </c>
      <c r="O516" s="4" t="str">
        <f t="shared" si="327"/>
        <v/>
      </c>
      <c r="P516" s="4" t="str">
        <f t="shared" si="328"/>
        <v/>
      </c>
      <c r="Q516" s="4" t="str">
        <f t="shared" si="329"/>
        <v/>
      </c>
      <c r="R516" s="4" t="str">
        <f t="shared" si="330"/>
        <v/>
      </c>
      <c r="S516" s="5" t="str">
        <f t="shared" si="331"/>
        <v/>
      </c>
      <c r="T516" s="2" t="str">
        <f t="shared" si="332"/>
        <v/>
      </c>
      <c r="U516" s="2" t="str">
        <f t="shared" si="333"/>
        <v/>
      </c>
      <c r="V516" t="str">
        <f t="shared" si="350"/>
        <v/>
      </c>
      <c r="X516">
        <f t="shared" ref="X516:X529" si="353">MAX(B516-B515,0)</f>
        <v>0</v>
      </c>
      <c r="Y516">
        <f t="shared" ref="Y516:Y529" si="354">MAX(C516-C515,0)</f>
        <v>0</v>
      </c>
      <c r="Z516">
        <f t="shared" ref="Z516:Z529" si="355">MAX(D516-D515,0)</f>
        <v>0</v>
      </c>
      <c r="AA516">
        <f t="shared" ref="AA516:AA529" si="356">MAX(E516-E515,0)</f>
        <v>0</v>
      </c>
      <c r="AB516">
        <f t="shared" ref="AB516:AB529" si="357">MAX(F516-F515,0)</f>
        <v>0</v>
      </c>
      <c r="AC516">
        <f t="shared" ref="AC516:AC529" si="358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52"/>
        <v>*</v>
      </c>
      <c r="M517">
        <v>4</v>
      </c>
      <c r="N517" s="6" t="str">
        <f t="shared" si="326"/>
        <v/>
      </c>
      <c r="O517" s="7" t="str">
        <f t="shared" si="327"/>
        <v/>
      </c>
      <c r="P517" s="7" t="str">
        <f t="shared" si="328"/>
        <v/>
      </c>
      <c r="Q517" s="7" t="str">
        <f t="shared" si="329"/>
        <v/>
      </c>
      <c r="R517" s="7" t="str">
        <f t="shared" si="330"/>
        <v/>
      </c>
      <c r="S517" s="8" t="str">
        <f t="shared" si="331"/>
        <v/>
      </c>
      <c r="T517" s="2" t="str">
        <f t="shared" si="332"/>
        <v/>
      </c>
      <c r="U517" s="2" t="str">
        <f t="shared" si="333"/>
        <v/>
      </c>
      <c r="V517" t="str">
        <f t="shared" si="350"/>
        <v/>
      </c>
      <c r="X517">
        <f t="shared" si="353"/>
        <v>0</v>
      </c>
      <c r="Y517">
        <f t="shared" si="354"/>
        <v>0</v>
      </c>
      <c r="Z517">
        <f t="shared" si="355"/>
        <v>0</v>
      </c>
      <c r="AA517">
        <f t="shared" si="356"/>
        <v>0</v>
      </c>
      <c r="AB517">
        <f t="shared" si="357"/>
        <v>0</v>
      </c>
      <c r="AC517">
        <f t="shared" si="358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52"/>
        <v>*</v>
      </c>
      <c r="M518">
        <v>5</v>
      </c>
      <c r="N518" s="22" t="str">
        <f t="shared" si="326"/>
        <v>#</v>
      </c>
      <c r="O518" s="15" t="str">
        <f t="shared" si="327"/>
        <v/>
      </c>
      <c r="P518" s="15" t="str">
        <f t="shared" si="328"/>
        <v/>
      </c>
      <c r="Q518" s="15" t="str">
        <f t="shared" si="329"/>
        <v/>
      </c>
      <c r="R518" s="16" t="str">
        <f t="shared" si="330"/>
        <v>#</v>
      </c>
      <c r="S518" s="8" t="str">
        <f t="shared" si="331"/>
        <v/>
      </c>
      <c r="T518" s="2" t="str">
        <f t="shared" si="332"/>
        <v/>
      </c>
      <c r="U518" s="2" t="str">
        <f t="shared" si="333"/>
        <v/>
      </c>
      <c r="V518" t="str">
        <f t="shared" si="350"/>
        <v/>
      </c>
      <c r="X518">
        <f t="shared" si="353"/>
        <v>1</v>
      </c>
      <c r="Y518">
        <f t="shared" si="354"/>
        <v>0</v>
      </c>
      <c r="Z518">
        <f t="shared" si="355"/>
        <v>0</v>
      </c>
      <c r="AA518">
        <f t="shared" si="356"/>
        <v>0</v>
      </c>
      <c r="AB518">
        <f t="shared" si="357"/>
        <v>1</v>
      </c>
      <c r="AC518">
        <f t="shared" si="358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52"/>
        <v>*</v>
      </c>
      <c r="M519">
        <v>6</v>
      </c>
      <c r="N519" s="23" t="str">
        <f t="shared" si="326"/>
        <v>#</v>
      </c>
      <c r="O519" s="7" t="str">
        <f t="shared" si="327"/>
        <v/>
      </c>
      <c r="P519" s="7" t="str">
        <f t="shared" si="328"/>
        <v/>
      </c>
      <c r="Q519" s="7" t="str">
        <f t="shared" si="329"/>
        <v/>
      </c>
      <c r="R519" s="17" t="str">
        <f t="shared" si="330"/>
        <v>#</v>
      </c>
      <c r="S519" s="8" t="str">
        <f t="shared" si="331"/>
        <v/>
      </c>
      <c r="T519" s="2" t="str">
        <f t="shared" si="332"/>
        <v/>
      </c>
      <c r="U519" s="2" t="str">
        <f t="shared" si="333"/>
        <v/>
      </c>
      <c r="V519" t="str">
        <f t="shared" si="350"/>
        <v/>
      </c>
      <c r="X519">
        <f t="shared" si="353"/>
        <v>0</v>
      </c>
      <c r="Y519">
        <f t="shared" si="354"/>
        <v>0</v>
      </c>
      <c r="Z519">
        <f t="shared" si="355"/>
        <v>0</v>
      </c>
      <c r="AA519">
        <f t="shared" si="356"/>
        <v>0</v>
      </c>
      <c r="AB519">
        <f t="shared" si="357"/>
        <v>0</v>
      </c>
      <c r="AC519">
        <f t="shared" si="358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52"/>
        <v>*</v>
      </c>
      <c r="M520">
        <v>7</v>
      </c>
      <c r="N520" s="23" t="str">
        <f t="shared" si="326"/>
        <v/>
      </c>
      <c r="O520" s="7" t="str">
        <f t="shared" si="327"/>
        <v>#</v>
      </c>
      <c r="P520" s="7" t="str">
        <f t="shared" si="328"/>
        <v/>
      </c>
      <c r="Q520" s="7" t="str">
        <f t="shared" si="329"/>
        <v>#</v>
      </c>
      <c r="R520" s="17" t="str">
        <f t="shared" si="330"/>
        <v/>
      </c>
      <c r="S520" s="8" t="str">
        <f t="shared" si="331"/>
        <v/>
      </c>
      <c r="T520" s="2" t="str">
        <f t="shared" si="332"/>
        <v/>
      </c>
      <c r="U520" s="2" t="str">
        <f t="shared" si="333"/>
        <v/>
      </c>
      <c r="V520" t="str">
        <f t="shared" si="350"/>
        <v/>
      </c>
      <c r="X520">
        <f t="shared" si="353"/>
        <v>0</v>
      </c>
      <c r="Y520">
        <f t="shared" si="354"/>
        <v>1</v>
      </c>
      <c r="Z520">
        <f t="shared" si="355"/>
        <v>0</v>
      </c>
      <c r="AA520">
        <f t="shared" si="356"/>
        <v>1</v>
      </c>
      <c r="AB520">
        <f t="shared" si="357"/>
        <v>0</v>
      </c>
      <c r="AC520">
        <f t="shared" si="358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52"/>
        <v>*</v>
      </c>
      <c r="M521">
        <v>8</v>
      </c>
      <c r="N521" s="23" t="str">
        <f t="shared" si="326"/>
        <v/>
      </c>
      <c r="O521" s="7" t="str">
        <f t="shared" si="327"/>
        <v>#</v>
      </c>
      <c r="P521" s="7" t="str">
        <f t="shared" si="328"/>
        <v>#</v>
      </c>
      <c r="Q521" s="7" t="str">
        <f t="shared" si="329"/>
        <v>#</v>
      </c>
      <c r="R521" s="17" t="str">
        <f t="shared" si="330"/>
        <v/>
      </c>
      <c r="S521" s="8" t="str">
        <f t="shared" si="331"/>
        <v/>
      </c>
      <c r="T521" s="2" t="str">
        <f t="shared" si="332"/>
        <v/>
      </c>
      <c r="U521" s="2" t="str">
        <f t="shared" si="333"/>
        <v/>
      </c>
      <c r="V521" t="str">
        <f t="shared" si="350"/>
        <v/>
      </c>
      <c r="X521">
        <f t="shared" si="353"/>
        <v>0</v>
      </c>
      <c r="Y521">
        <f t="shared" si="354"/>
        <v>0</v>
      </c>
      <c r="Z521">
        <f t="shared" si="355"/>
        <v>1</v>
      </c>
      <c r="AA521">
        <f t="shared" si="356"/>
        <v>0</v>
      </c>
      <c r="AB521">
        <f t="shared" si="357"/>
        <v>0</v>
      </c>
      <c r="AC521">
        <f t="shared" si="358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52"/>
        <v>*</v>
      </c>
      <c r="M522">
        <v>9</v>
      </c>
      <c r="N522" s="23" t="str">
        <f t="shared" si="326"/>
        <v>#</v>
      </c>
      <c r="O522" s="7" t="str">
        <f t="shared" si="327"/>
        <v>#</v>
      </c>
      <c r="P522" s="7" t="str">
        <f t="shared" si="328"/>
        <v>#</v>
      </c>
      <c r="Q522" s="7" t="str">
        <f t="shared" si="329"/>
        <v>#</v>
      </c>
      <c r="R522" s="17" t="str">
        <f t="shared" si="330"/>
        <v>#</v>
      </c>
      <c r="S522" s="8" t="str">
        <f t="shared" si="331"/>
        <v/>
      </c>
      <c r="T522" s="2" t="str">
        <f t="shared" si="332"/>
        <v/>
      </c>
      <c r="U522" s="2" t="str">
        <f t="shared" si="333"/>
        <v/>
      </c>
      <c r="V522" t="str">
        <f t="shared" si="350"/>
        <v/>
      </c>
      <c r="X522">
        <f t="shared" si="353"/>
        <v>1</v>
      </c>
      <c r="Y522">
        <f t="shared" si="354"/>
        <v>0</v>
      </c>
      <c r="Z522">
        <f t="shared" si="355"/>
        <v>0</v>
      </c>
      <c r="AA522">
        <f t="shared" si="356"/>
        <v>0</v>
      </c>
      <c r="AB522">
        <f t="shared" si="357"/>
        <v>1</v>
      </c>
      <c r="AC522">
        <f t="shared" si="358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52"/>
        <v>*</v>
      </c>
      <c r="M523">
        <v>10</v>
      </c>
      <c r="N523" s="23" t="str">
        <f t="shared" si="326"/>
        <v>#</v>
      </c>
      <c r="O523" s="7" t="str">
        <f t="shared" si="327"/>
        <v>#</v>
      </c>
      <c r="P523" s="7" t="str">
        <f t="shared" si="328"/>
        <v>#</v>
      </c>
      <c r="Q523" s="7" t="str">
        <f t="shared" si="329"/>
        <v>#</v>
      </c>
      <c r="R523" s="17" t="str">
        <f t="shared" si="330"/>
        <v>#</v>
      </c>
      <c r="S523" s="8" t="str">
        <f t="shared" si="331"/>
        <v/>
      </c>
      <c r="T523" s="2" t="str">
        <f t="shared" si="332"/>
        <v/>
      </c>
      <c r="U523" s="2" t="str">
        <f t="shared" si="333"/>
        <v/>
      </c>
      <c r="V523" t="str">
        <f t="shared" si="350"/>
        <v/>
      </c>
      <c r="X523">
        <f t="shared" si="353"/>
        <v>0</v>
      </c>
      <c r="Y523">
        <f t="shared" si="354"/>
        <v>0</v>
      </c>
      <c r="Z523">
        <f t="shared" si="355"/>
        <v>0</v>
      </c>
      <c r="AA523">
        <f t="shared" si="356"/>
        <v>0</v>
      </c>
      <c r="AB523">
        <f t="shared" si="357"/>
        <v>0</v>
      </c>
      <c r="AC523">
        <f t="shared" si="358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52"/>
        <v>*</v>
      </c>
      <c r="M524">
        <v>11</v>
      </c>
      <c r="N524" s="23" t="str">
        <f t="shared" si="326"/>
        <v/>
      </c>
      <c r="O524" s="7" t="str">
        <f t="shared" si="327"/>
        <v>#</v>
      </c>
      <c r="P524" s="7" t="str">
        <f t="shared" si="328"/>
        <v>#</v>
      </c>
      <c r="Q524" s="7" t="str">
        <f t="shared" si="329"/>
        <v>#</v>
      </c>
      <c r="R524" s="17" t="str">
        <f t="shared" si="330"/>
        <v/>
      </c>
      <c r="S524" s="8" t="str">
        <f t="shared" si="331"/>
        <v/>
      </c>
      <c r="T524" s="2" t="str">
        <f t="shared" si="332"/>
        <v/>
      </c>
      <c r="U524" s="2" t="str">
        <f t="shared" si="333"/>
        <v/>
      </c>
      <c r="V524" t="str">
        <f t="shared" si="350"/>
        <v/>
      </c>
      <c r="X524">
        <f t="shared" si="353"/>
        <v>0</v>
      </c>
      <c r="Y524">
        <f t="shared" si="354"/>
        <v>0</v>
      </c>
      <c r="Z524">
        <f t="shared" si="355"/>
        <v>0</v>
      </c>
      <c r="AA524">
        <f t="shared" si="356"/>
        <v>0</v>
      </c>
      <c r="AB524">
        <f t="shared" si="357"/>
        <v>0</v>
      </c>
      <c r="AC524">
        <f t="shared" si="358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52"/>
        <v>*</v>
      </c>
      <c r="M525">
        <v>12</v>
      </c>
      <c r="N525" s="23" t="str">
        <f t="shared" si="326"/>
        <v/>
      </c>
      <c r="O525" s="7" t="str">
        <f t="shared" si="327"/>
        <v>#</v>
      </c>
      <c r="P525" s="7" t="str">
        <f t="shared" si="328"/>
        <v/>
      </c>
      <c r="Q525" s="7" t="str">
        <f t="shared" si="329"/>
        <v>#</v>
      </c>
      <c r="R525" s="17" t="str">
        <f t="shared" si="330"/>
        <v/>
      </c>
      <c r="S525" s="8" t="str">
        <f t="shared" si="331"/>
        <v/>
      </c>
      <c r="T525" s="2" t="str">
        <f t="shared" si="332"/>
        <v/>
      </c>
      <c r="U525" s="2" t="str">
        <f t="shared" si="333"/>
        <v/>
      </c>
      <c r="V525" t="str">
        <f t="shared" si="350"/>
        <v/>
      </c>
      <c r="X525">
        <f t="shared" si="353"/>
        <v>0</v>
      </c>
      <c r="Y525">
        <f t="shared" si="354"/>
        <v>0</v>
      </c>
      <c r="Z525">
        <f t="shared" si="355"/>
        <v>0</v>
      </c>
      <c r="AA525">
        <f t="shared" si="356"/>
        <v>0</v>
      </c>
      <c r="AB525">
        <f t="shared" si="357"/>
        <v>0</v>
      </c>
      <c r="AC525">
        <f t="shared" si="358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52"/>
        <v>*</v>
      </c>
      <c r="M526">
        <v>13</v>
      </c>
      <c r="N526" s="6" t="str">
        <f t="shared" si="326"/>
        <v>#</v>
      </c>
      <c r="O526" s="7" t="str">
        <f t="shared" si="327"/>
        <v/>
      </c>
      <c r="P526" s="7" t="str">
        <f t="shared" si="328"/>
        <v/>
      </c>
      <c r="Q526" s="7" t="str">
        <f t="shared" si="329"/>
        <v/>
      </c>
      <c r="R526" s="17" t="str">
        <f t="shared" si="330"/>
        <v>#</v>
      </c>
      <c r="S526" s="8" t="str">
        <f t="shared" si="331"/>
        <v/>
      </c>
      <c r="T526" s="2" t="str">
        <f t="shared" si="332"/>
        <v/>
      </c>
      <c r="U526" s="2" t="str">
        <f t="shared" si="333"/>
        <v/>
      </c>
      <c r="V526" t="str">
        <f t="shared" si="350"/>
        <v/>
      </c>
      <c r="X526">
        <f t="shared" si="353"/>
        <v>1</v>
      </c>
      <c r="Y526">
        <f t="shared" si="354"/>
        <v>0</v>
      </c>
      <c r="Z526">
        <f t="shared" si="355"/>
        <v>0</v>
      </c>
      <c r="AA526">
        <f t="shared" si="356"/>
        <v>0</v>
      </c>
      <c r="AB526">
        <f t="shared" si="357"/>
        <v>1</v>
      </c>
      <c r="AC526">
        <f t="shared" si="358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52"/>
        <v>*</v>
      </c>
      <c r="M527">
        <v>14</v>
      </c>
      <c r="N527" s="18" t="str">
        <f t="shared" si="326"/>
        <v>#</v>
      </c>
      <c r="O527" s="19" t="str">
        <f t="shared" si="327"/>
        <v/>
      </c>
      <c r="P527" s="19" t="str">
        <f t="shared" si="328"/>
        <v/>
      </c>
      <c r="Q527" s="19" t="str">
        <f t="shared" si="329"/>
        <v/>
      </c>
      <c r="R527" s="20" t="str">
        <f t="shared" si="330"/>
        <v>#</v>
      </c>
      <c r="S527" s="8" t="str">
        <f t="shared" si="331"/>
        <v/>
      </c>
      <c r="T527" s="2" t="str">
        <f t="shared" si="332"/>
        <v/>
      </c>
      <c r="U527" s="2" t="str">
        <f t="shared" si="333"/>
        <v/>
      </c>
      <c r="V527" t="str">
        <f t="shared" si="350"/>
        <v/>
      </c>
      <c r="X527">
        <f t="shared" si="353"/>
        <v>0</v>
      </c>
      <c r="Y527">
        <f t="shared" si="354"/>
        <v>0</v>
      </c>
      <c r="Z527">
        <f t="shared" si="355"/>
        <v>0</v>
      </c>
      <c r="AA527">
        <f t="shared" si="356"/>
        <v>0</v>
      </c>
      <c r="AB527">
        <f t="shared" si="357"/>
        <v>0</v>
      </c>
      <c r="AC527">
        <f t="shared" si="358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52"/>
        <v>*</v>
      </c>
      <c r="M528">
        <v>15</v>
      </c>
      <c r="N528" s="9" t="str">
        <f t="shared" si="326"/>
        <v/>
      </c>
      <c r="O528" s="10" t="str">
        <f t="shared" si="327"/>
        <v/>
      </c>
      <c r="P528" s="10" t="str">
        <f t="shared" si="328"/>
        <v/>
      </c>
      <c r="Q528" s="10" t="str">
        <f t="shared" si="329"/>
        <v/>
      </c>
      <c r="R528" s="10" t="str">
        <f t="shared" si="330"/>
        <v/>
      </c>
      <c r="S528" s="11" t="str">
        <f t="shared" si="331"/>
        <v/>
      </c>
      <c r="T528" s="2" t="str">
        <f t="shared" si="332"/>
        <v/>
      </c>
      <c r="U528" s="2" t="str">
        <f t="shared" si="333"/>
        <v/>
      </c>
      <c r="V528" t="str">
        <f t="shared" si="350"/>
        <v/>
      </c>
      <c r="X528">
        <f t="shared" si="353"/>
        <v>0</v>
      </c>
      <c r="Y528">
        <f t="shared" si="354"/>
        <v>0</v>
      </c>
      <c r="Z528">
        <f t="shared" si="355"/>
        <v>0</v>
      </c>
      <c r="AA528">
        <f t="shared" si="356"/>
        <v>0</v>
      </c>
      <c r="AB528">
        <f t="shared" si="357"/>
        <v>0</v>
      </c>
      <c r="AC528">
        <f t="shared" si="358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52"/>
        <v>*</v>
      </c>
      <c r="M529">
        <v>16</v>
      </c>
      <c r="N529" s="12" t="str">
        <f t="shared" si="326"/>
        <v/>
      </c>
      <c r="O529" s="13" t="str">
        <f t="shared" si="327"/>
        <v/>
      </c>
      <c r="P529" s="13" t="str">
        <f t="shared" si="328"/>
        <v/>
      </c>
      <c r="Q529" s="13" t="str">
        <f t="shared" si="329"/>
        <v/>
      </c>
      <c r="R529" s="13" t="str">
        <f t="shared" si="330"/>
        <v/>
      </c>
      <c r="S529" s="14" t="str">
        <f t="shared" si="331"/>
        <v/>
      </c>
      <c r="T529" s="2" t="str">
        <f t="shared" si="332"/>
        <v/>
      </c>
      <c r="U529" s="2" t="str">
        <f t="shared" si="333"/>
        <v/>
      </c>
      <c r="V529" t="str">
        <f t="shared" si="350"/>
        <v/>
      </c>
      <c r="X529">
        <f t="shared" si="353"/>
        <v>0</v>
      </c>
      <c r="Y529">
        <f t="shared" si="354"/>
        <v>0</v>
      </c>
      <c r="Z529">
        <f t="shared" si="355"/>
        <v>0</v>
      </c>
      <c r="AA529">
        <f t="shared" si="356"/>
        <v>0</v>
      </c>
      <c r="AB529">
        <f t="shared" si="357"/>
        <v>0</v>
      </c>
      <c r="AC529">
        <f t="shared" si="358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6"/>
        <v/>
      </c>
      <c r="O530" t="str">
        <f t="shared" si="327"/>
        <v/>
      </c>
      <c r="P530" t="str">
        <f t="shared" si="328"/>
        <v/>
      </c>
      <c r="Q530" t="str">
        <f t="shared" si="329"/>
        <v/>
      </c>
      <c r="R530" t="str">
        <f t="shared" si="330"/>
        <v/>
      </c>
      <c r="S530" t="str">
        <f t="shared" si="331"/>
        <v/>
      </c>
      <c r="T530" s="2" t="str">
        <f t="shared" si="332"/>
        <v/>
      </c>
      <c r="U530" s="2" t="str">
        <f t="shared" si="333"/>
        <v/>
      </c>
      <c r="V530" t="str">
        <f t="shared" si="350"/>
        <v/>
      </c>
      <c r="W530">
        <f>SUM(B532:G545)</f>
        <v>16</v>
      </c>
      <c r="AD530">
        <f t="shared" ref="AD530" si="359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60">L530</f>
        <v>+</v>
      </c>
      <c r="M531">
        <v>2</v>
      </c>
      <c r="N531" t="str">
        <f t="shared" si="326"/>
        <v/>
      </c>
      <c r="O531" t="str">
        <f t="shared" si="327"/>
        <v/>
      </c>
      <c r="P531" t="str">
        <f t="shared" si="328"/>
        <v/>
      </c>
      <c r="Q531" t="str">
        <f t="shared" si="329"/>
        <v/>
      </c>
      <c r="R531" t="str">
        <f t="shared" si="330"/>
        <v/>
      </c>
      <c r="S531" t="str">
        <f t="shared" si="331"/>
        <v/>
      </c>
      <c r="T531" s="2" t="str">
        <f t="shared" si="332"/>
        <v/>
      </c>
      <c r="U531" s="2" t="str">
        <f t="shared" si="333"/>
        <v/>
      </c>
      <c r="V531" t="str">
        <f t="shared" si="350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60"/>
        <v>+</v>
      </c>
      <c r="M532">
        <v>3</v>
      </c>
      <c r="N532" s="3" t="str">
        <f t="shared" si="326"/>
        <v/>
      </c>
      <c r="O532" s="4" t="str">
        <f t="shared" si="327"/>
        <v/>
      </c>
      <c r="P532" s="4" t="str">
        <f t="shared" si="328"/>
        <v/>
      </c>
      <c r="Q532" s="4" t="str">
        <f t="shared" si="329"/>
        <v/>
      </c>
      <c r="R532" s="4" t="str">
        <f t="shared" si="330"/>
        <v/>
      </c>
      <c r="S532" s="5" t="str">
        <f t="shared" si="331"/>
        <v/>
      </c>
      <c r="T532" s="2" t="str">
        <f t="shared" si="332"/>
        <v/>
      </c>
      <c r="U532" s="2" t="str">
        <f t="shared" si="333"/>
        <v/>
      </c>
      <c r="V532" t="str">
        <f t="shared" si="350"/>
        <v/>
      </c>
      <c r="X532">
        <f t="shared" ref="X532:X545" si="361">MAX(B532-B531,0)</f>
        <v>0</v>
      </c>
      <c r="Y532">
        <f t="shared" ref="Y532:Y545" si="362">MAX(C532-C531,0)</f>
        <v>0</v>
      </c>
      <c r="Z532">
        <f t="shared" ref="Z532:Z545" si="363">MAX(D532-D531,0)</f>
        <v>0</v>
      </c>
      <c r="AA532">
        <f t="shared" ref="AA532:AA545" si="364">MAX(E532-E531,0)</f>
        <v>0</v>
      </c>
      <c r="AB532">
        <f t="shared" ref="AB532:AB545" si="365">MAX(F532-F531,0)</f>
        <v>0</v>
      </c>
      <c r="AC532">
        <f t="shared" ref="AC532:AC545" si="366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60"/>
        <v>+</v>
      </c>
      <c r="M533">
        <v>4</v>
      </c>
      <c r="N533" s="6" t="str">
        <f t="shared" si="326"/>
        <v/>
      </c>
      <c r="O533" s="7" t="str">
        <f t="shared" si="327"/>
        <v/>
      </c>
      <c r="P533" s="7" t="str">
        <f t="shared" si="328"/>
        <v/>
      </c>
      <c r="Q533" s="7" t="str">
        <f t="shared" si="329"/>
        <v/>
      </c>
      <c r="R533" s="7" t="str">
        <f t="shared" si="330"/>
        <v/>
      </c>
      <c r="S533" s="8" t="str">
        <f t="shared" si="331"/>
        <v/>
      </c>
      <c r="T533" s="2" t="str">
        <f t="shared" si="332"/>
        <v/>
      </c>
      <c r="U533" s="2" t="str">
        <f t="shared" si="333"/>
        <v/>
      </c>
      <c r="V533" t="str">
        <f t="shared" si="350"/>
        <v/>
      </c>
      <c r="X533">
        <f t="shared" si="361"/>
        <v>0</v>
      </c>
      <c r="Y533">
        <f t="shared" si="362"/>
        <v>0</v>
      </c>
      <c r="Z533">
        <f t="shared" si="363"/>
        <v>0</v>
      </c>
      <c r="AA533">
        <f t="shared" si="364"/>
        <v>0</v>
      </c>
      <c r="AB533">
        <f t="shared" si="365"/>
        <v>0</v>
      </c>
      <c r="AC533">
        <f t="shared" si="366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60"/>
        <v>+</v>
      </c>
      <c r="M534">
        <v>5</v>
      </c>
      <c r="N534" s="22" t="str">
        <f t="shared" si="326"/>
        <v/>
      </c>
      <c r="O534" s="15" t="str">
        <f t="shared" si="327"/>
        <v/>
      </c>
      <c r="P534" s="15" t="str">
        <f t="shared" si="328"/>
        <v/>
      </c>
      <c r="Q534" s="15" t="str">
        <f t="shared" si="329"/>
        <v/>
      </c>
      <c r="R534" s="16" t="str">
        <f t="shared" si="330"/>
        <v/>
      </c>
      <c r="S534" s="8" t="str">
        <f t="shared" si="331"/>
        <v/>
      </c>
      <c r="T534" s="2" t="str">
        <f t="shared" si="332"/>
        <v/>
      </c>
      <c r="U534" s="2" t="str">
        <f t="shared" si="333"/>
        <v/>
      </c>
      <c r="V534" t="str">
        <f t="shared" si="350"/>
        <v/>
      </c>
      <c r="X534">
        <f t="shared" si="361"/>
        <v>0</v>
      </c>
      <c r="Y534">
        <f t="shared" si="362"/>
        <v>0</v>
      </c>
      <c r="Z534">
        <f t="shared" si="363"/>
        <v>0</v>
      </c>
      <c r="AA534">
        <f t="shared" si="364"/>
        <v>0</v>
      </c>
      <c r="AB534">
        <f t="shared" si="365"/>
        <v>0</v>
      </c>
      <c r="AC534">
        <f t="shared" si="366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60"/>
        <v>+</v>
      </c>
      <c r="M535">
        <v>6</v>
      </c>
      <c r="N535" s="23" t="str">
        <f t="shared" si="326"/>
        <v/>
      </c>
      <c r="O535" s="7" t="str">
        <f t="shared" si="327"/>
        <v/>
      </c>
      <c r="P535" s="7" t="str">
        <f t="shared" si="328"/>
        <v>#</v>
      </c>
      <c r="Q535" s="7" t="str">
        <f t="shared" si="329"/>
        <v/>
      </c>
      <c r="R535" s="17" t="str">
        <f t="shared" si="330"/>
        <v/>
      </c>
      <c r="S535" s="8" t="str">
        <f t="shared" si="331"/>
        <v/>
      </c>
      <c r="T535" s="2" t="str">
        <f t="shared" si="332"/>
        <v/>
      </c>
      <c r="U535" s="2" t="str">
        <f t="shared" si="333"/>
        <v/>
      </c>
      <c r="V535" t="str">
        <f t="shared" si="350"/>
        <v/>
      </c>
      <c r="X535">
        <f t="shared" si="361"/>
        <v>0</v>
      </c>
      <c r="Y535">
        <f t="shared" si="362"/>
        <v>0</v>
      </c>
      <c r="Z535">
        <f t="shared" si="363"/>
        <v>1</v>
      </c>
      <c r="AA535">
        <f t="shared" si="364"/>
        <v>0</v>
      </c>
      <c r="AB535">
        <f t="shared" si="365"/>
        <v>0</v>
      </c>
      <c r="AC535">
        <f t="shared" si="366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60"/>
        <v>+</v>
      </c>
      <c r="M536">
        <v>7</v>
      </c>
      <c r="N536" s="23" t="str">
        <f t="shared" si="326"/>
        <v/>
      </c>
      <c r="O536" s="7" t="str">
        <f t="shared" si="327"/>
        <v/>
      </c>
      <c r="P536" s="7" t="str">
        <f t="shared" si="328"/>
        <v>#</v>
      </c>
      <c r="Q536" s="7" t="str">
        <f t="shared" si="329"/>
        <v/>
      </c>
      <c r="R536" s="17" t="str">
        <f t="shared" si="330"/>
        <v/>
      </c>
      <c r="S536" s="8" t="str">
        <f t="shared" si="331"/>
        <v/>
      </c>
      <c r="T536" s="2" t="str">
        <f t="shared" si="332"/>
        <v/>
      </c>
      <c r="U536" s="2" t="str">
        <f t="shared" si="333"/>
        <v/>
      </c>
      <c r="V536" t="str">
        <f t="shared" si="350"/>
        <v/>
      </c>
      <c r="X536">
        <f t="shared" si="361"/>
        <v>0</v>
      </c>
      <c r="Y536">
        <f t="shared" si="362"/>
        <v>0</v>
      </c>
      <c r="Z536">
        <f t="shared" si="363"/>
        <v>0</v>
      </c>
      <c r="AA536">
        <f t="shared" si="364"/>
        <v>0</v>
      </c>
      <c r="AB536">
        <f t="shared" si="365"/>
        <v>0</v>
      </c>
      <c r="AC536">
        <f t="shared" si="366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60"/>
        <v>+</v>
      </c>
      <c r="M537">
        <v>8</v>
      </c>
      <c r="N537" s="23" t="str">
        <f t="shared" si="326"/>
        <v/>
      </c>
      <c r="O537" s="7" t="str">
        <f t="shared" si="327"/>
        <v/>
      </c>
      <c r="P537" s="7" t="str">
        <f t="shared" si="328"/>
        <v>#</v>
      </c>
      <c r="Q537" s="7" t="str">
        <f t="shared" si="329"/>
        <v/>
      </c>
      <c r="R537" s="17" t="str">
        <f t="shared" si="330"/>
        <v/>
      </c>
      <c r="S537" s="8" t="str">
        <f t="shared" si="331"/>
        <v/>
      </c>
      <c r="T537" s="2" t="str">
        <f t="shared" si="332"/>
        <v/>
      </c>
      <c r="U537" s="2" t="str">
        <f t="shared" si="333"/>
        <v/>
      </c>
      <c r="V537" t="str">
        <f t="shared" si="350"/>
        <v/>
      </c>
      <c r="X537">
        <f t="shared" si="361"/>
        <v>0</v>
      </c>
      <c r="Y537">
        <f t="shared" si="362"/>
        <v>0</v>
      </c>
      <c r="Z537">
        <f t="shared" si="363"/>
        <v>0</v>
      </c>
      <c r="AA537">
        <f t="shared" si="364"/>
        <v>0</v>
      </c>
      <c r="AB537">
        <f t="shared" si="365"/>
        <v>0</v>
      </c>
      <c r="AC537">
        <f t="shared" si="366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60"/>
        <v>+</v>
      </c>
      <c r="M538">
        <v>9</v>
      </c>
      <c r="N538" s="23" t="str">
        <f t="shared" si="326"/>
        <v>#</v>
      </c>
      <c r="O538" s="7" t="str">
        <f t="shared" si="327"/>
        <v>#</v>
      </c>
      <c r="P538" s="7" t="str">
        <f t="shared" si="328"/>
        <v>#</v>
      </c>
      <c r="Q538" s="7" t="str">
        <f t="shared" si="329"/>
        <v>#</v>
      </c>
      <c r="R538" s="17" t="str">
        <f t="shared" si="330"/>
        <v>#</v>
      </c>
      <c r="S538" s="8" t="str">
        <f t="shared" si="331"/>
        <v/>
      </c>
      <c r="T538" s="2" t="str">
        <f t="shared" si="332"/>
        <v/>
      </c>
      <c r="U538" s="2" t="str">
        <f t="shared" si="333"/>
        <v/>
      </c>
      <c r="V538" t="str">
        <f t="shared" si="350"/>
        <v/>
      </c>
      <c r="X538">
        <f t="shared" si="361"/>
        <v>1</v>
      </c>
      <c r="Y538">
        <f t="shared" si="362"/>
        <v>1</v>
      </c>
      <c r="Z538">
        <f t="shared" si="363"/>
        <v>0</v>
      </c>
      <c r="AA538">
        <f t="shared" si="364"/>
        <v>1</v>
      </c>
      <c r="AB538">
        <f t="shared" si="365"/>
        <v>1</v>
      </c>
      <c r="AC538">
        <f t="shared" si="366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60"/>
        <v>+</v>
      </c>
      <c r="M539">
        <v>10</v>
      </c>
      <c r="N539" s="23" t="str">
        <f t="shared" si="326"/>
        <v>#</v>
      </c>
      <c r="O539" s="7" t="str">
        <f t="shared" si="327"/>
        <v>#</v>
      </c>
      <c r="P539" s="7" t="str">
        <f t="shared" si="328"/>
        <v>#</v>
      </c>
      <c r="Q539" s="7" t="str">
        <f t="shared" si="329"/>
        <v>#</v>
      </c>
      <c r="R539" s="17" t="str">
        <f t="shared" si="330"/>
        <v>#</v>
      </c>
      <c r="S539" s="8" t="str">
        <f t="shared" si="331"/>
        <v/>
      </c>
      <c r="T539" s="2" t="str">
        <f t="shared" si="332"/>
        <v/>
      </c>
      <c r="U539" s="2" t="str">
        <f t="shared" si="333"/>
        <v/>
      </c>
      <c r="V539" t="str">
        <f t="shared" si="350"/>
        <v/>
      </c>
      <c r="X539">
        <f t="shared" si="361"/>
        <v>0</v>
      </c>
      <c r="Y539">
        <f t="shared" si="362"/>
        <v>0</v>
      </c>
      <c r="Z539">
        <f t="shared" si="363"/>
        <v>0</v>
      </c>
      <c r="AA539">
        <f t="shared" si="364"/>
        <v>0</v>
      </c>
      <c r="AB539">
        <f t="shared" si="365"/>
        <v>0</v>
      </c>
      <c r="AC539">
        <f t="shared" si="366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60"/>
        <v>+</v>
      </c>
      <c r="M540">
        <v>11</v>
      </c>
      <c r="N540" s="23" t="str">
        <f t="shared" si="326"/>
        <v/>
      </c>
      <c r="O540" s="7" t="str">
        <f t="shared" si="327"/>
        <v/>
      </c>
      <c r="P540" s="7" t="str">
        <f t="shared" si="328"/>
        <v>#</v>
      </c>
      <c r="Q540" s="7" t="str">
        <f t="shared" si="329"/>
        <v/>
      </c>
      <c r="R540" s="17" t="str">
        <f t="shared" si="330"/>
        <v/>
      </c>
      <c r="S540" s="8" t="str">
        <f t="shared" si="331"/>
        <v/>
      </c>
      <c r="T540" s="2" t="str">
        <f t="shared" si="332"/>
        <v/>
      </c>
      <c r="U540" s="2" t="str">
        <f t="shared" si="333"/>
        <v/>
      </c>
      <c r="V540" t="str">
        <f t="shared" si="350"/>
        <v/>
      </c>
      <c r="X540">
        <f t="shared" si="361"/>
        <v>0</v>
      </c>
      <c r="Y540">
        <f t="shared" si="362"/>
        <v>0</v>
      </c>
      <c r="Z540">
        <f t="shared" si="363"/>
        <v>0</v>
      </c>
      <c r="AA540">
        <f t="shared" si="364"/>
        <v>0</v>
      </c>
      <c r="AB540">
        <f t="shared" si="365"/>
        <v>0</v>
      </c>
      <c r="AC540">
        <f t="shared" si="366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60"/>
        <v>+</v>
      </c>
      <c r="M541">
        <v>12</v>
      </c>
      <c r="N541" s="23" t="str">
        <f t="shared" si="326"/>
        <v/>
      </c>
      <c r="O541" s="7" t="str">
        <f t="shared" si="327"/>
        <v/>
      </c>
      <c r="P541" s="7" t="str">
        <f t="shared" si="328"/>
        <v>#</v>
      </c>
      <c r="Q541" s="7" t="str">
        <f t="shared" si="329"/>
        <v/>
      </c>
      <c r="R541" s="17" t="str">
        <f t="shared" si="330"/>
        <v/>
      </c>
      <c r="S541" s="8" t="str">
        <f t="shared" si="331"/>
        <v/>
      </c>
      <c r="T541" s="2" t="str">
        <f t="shared" si="332"/>
        <v/>
      </c>
      <c r="U541" s="2" t="str">
        <f t="shared" si="333"/>
        <v/>
      </c>
      <c r="V541" t="str">
        <f t="shared" si="350"/>
        <v/>
      </c>
      <c r="X541">
        <f t="shared" si="361"/>
        <v>0</v>
      </c>
      <c r="Y541">
        <f t="shared" si="362"/>
        <v>0</v>
      </c>
      <c r="Z541">
        <f t="shared" si="363"/>
        <v>0</v>
      </c>
      <c r="AA541">
        <f t="shared" si="364"/>
        <v>0</v>
      </c>
      <c r="AB541">
        <f t="shared" si="365"/>
        <v>0</v>
      </c>
      <c r="AC541">
        <f t="shared" si="366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60"/>
        <v>+</v>
      </c>
      <c r="M542">
        <v>13</v>
      </c>
      <c r="N542" s="6" t="str">
        <f t="shared" si="326"/>
        <v/>
      </c>
      <c r="O542" s="7" t="str">
        <f t="shared" si="327"/>
        <v/>
      </c>
      <c r="P542" s="7" t="str">
        <f t="shared" si="328"/>
        <v>#</v>
      </c>
      <c r="Q542" s="7" t="str">
        <f t="shared" si="329"/>
        <v/>
      </c>
      <c r="R542" s="17" t="str">
        <f t="shared" si="330"/>
        <v/>
      </c>
      <c r="S542" s="8" t="str">
        <f t="shared" si="331"/>
        <v/>
      </c>
      <c r="T542" s="2" t="str">
        <f t="shared" si="332"/>
        <v/>
      </c>
      <c r="U542" s="2" t="str">
        <f t="shared" si="333"/>
        <v/>
      </c>
      <c r="V542" t="str">
        <f t="shared" si="350"/>
        <v/>
      </c>
      <c r="X542">
        <f t="shared" si="361"/>
        <v>0</v>
      </c>
      <c r="Y542">
        <f t="shared" si="362"/>
        <v>0</v>
      </c>
      <c r="Z542">
        <f t="shared" si="363"/>
        <v>0</v>
      </c>
      <c r="AA542">
        <f t="shared" si="364"/>
        <v>0</v>
      </c>
      <c r="AB542">
        <f t="shared" si="365"/>
        <v>0</v>
      </c>
      <c r="AC542">
        <f t="shared" si="366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60"/>
        <v>+</v>
      </c>
      <c r="M543">
        <v>14</v>
      </c>
      <c r="N543" s="18" t="str">
        <f t="shared" si="326"/>
        <v/>
      </c>
      <c r="O543" s="19" t="str">
        <f t="shared" si="327"/>
        <v/>
      </c>
      <c r="P543" s="19" t="str">
        <f t="shared" si="328"/>
        <v/>
      </c>
      <c r="Q543" s="19" t="str">
        <f t="shared" si="329"/>
        <v/>
      </c>
      <c r="R543" s="20" t="str">
        <f t="shared" si="330"/>
        <v/>
      </c>
      <c r="S543" s="8" t="str">
        <f t="shared" si="331"/>
        <v/>
      </c>
      <c r="T543" s="2" t="str">
        <f t="shared" si="332"/>
        <v/>
      </c>
      <c r="U543" s="2" t="str">
        <f t="shared" si="333"/>
        <v/>
      </c>
      <c r="V543" t="str">
        <f t="shared" si="350"/>
        <v/>
      </c>
      <c r="X543">
        <f t="shared" si="361"/>
        <v>0</v>
      </c>
      <c r="Y543">
        <f t="shared" si="362"/>
        <v>0</v>
      </c>
      <c r="Z543">
        <f t="shared" si="363"/>
        <v>0</v>
      </c>
      <c r="AA543">
        <f t="shared" si="364"/>
        <v>0</v>
      </c>
      <c r="AB543">
        <f t="shared" si="365"/>
        <v>0</v>
      </c>
      <c r="AC543">
        <f t="shared" si="366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60"/>
        <v>+</v>
      </c>
      <c r="M544">
        <v>15</v>
      </c>
      <c r="N544" s="9" t="str">
        <f t="shared" si="326"/>
        <v/>
      </c>
      <c r="O544" s="10" t="str">
        <f t="shared" si="327"/>
        <v/>
      </c>
      <c r="P544" s="10" t="str">
        <f t="shared" si="328"/>
        <v/>
      </c>
      <c r="Q544" s="10" t="str">
        <f t="shared" si="329"/>
        <v/>
      </c>
      <c r="R544" s="10" t="str">
        <f t="shared" si="330"/>
        <v/>
      </c>
      <c r="S544" s="11" t="str">
        <f t="shared" si="331"/>
        <v/>
      </c>
      <c r="T544" s="2" t="str">
        <f t="shared" si="332"/>
        <v/>
      </c>
      <c r="U544" s="2" t="str">
        <f t="shared" si="333"/>
        <v/>
      </c>
      <c r="V544" t="str">
        <f t="shared" si="350"/>
        <v/>
      </c>
      <c r="X544">
        <f t="shared" si="361"/>
        <v>0</v>
      </c>
      <c r="Y544">
        <f t="shared" si="362"/>
        <v>0</v>
      </c>
      <c r="Z544">
        <f t="shared" si="363"/>
        <v>0</v>
      </c>
      <c r="AA544">
        <f t="shared" si="364"/>
        <v>0</v>
      </c>
      <c r="AB544">
        <f t="shared" si="365"/>
        <v>0</v>
      </c>
      <c r="AC544">
        <f t="shared" si="366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60"/>
        <v>+</v>
      </c>
      <c r="M545">
        <v>16</v>
      </c>
      <c r="N545" s="12" t="str">
        <f t="shared" si="326"/>
        <v/>
      </c>
      <c r="O545" s="13" t="str">
        <f t="shared" si="327"/>
        <v/>
      </c>
      <c r="P545" s="13" t="str">
        <f t="shared" si="328"/>
        <v/>
      </c>
      <c r="Q545" s="13" t="str">
        <f t="shared" si="329"/>
        <v/>
      </c>
      <c r="R545" s="13" t="str">
        <f t="shared" si="330"/>
        <v/>
      </c>
      <c r="S545" s="14" t="str">
        <f t="shared" si="331"/>
        <v/>
      </c>
      <c r="T545" s="2" t="str">
        <f t="shared" si="332"/>
        <v/>
      </c>
      <c r="U545" s="2" t="str">
        <f t="shared" si="333"/>
        <v/>
      </c>
      <c r="V545" t="str">
        <f t="shared" si="350"/>
        <v/>
      </c>
      <c r="X545">
        <f t="shared" si="361"/>
        <v>0</v>
      </c>
      <c r="Y545">
        <f t="shared" si="362"/>
        <v>0</v>
      </c>
      <c r="Z545">
        <f t="shared" si="363"/>
        <v>0</v>
      </c>
      <c r="AA545">
        <f t="shared" si="364"/>
        <v>0</v>
      </c>
      <c r="AB545">
        <f t="shared" si="365"/>
        <v>0</v>
      </c>
      <c r="AC545">
        <f t="shared" si="366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7">IF(B546&gt;0,"#","")</f>
        <v/>
      </c>
      <c r="O546" t="str">
        <f t="shared" ref="O546:O609" si="368">IF(C546&gt;0,"#","")</f>
        <v/>
      </c>
      <c r="P546" t="str">
        <f t="shared" ref="P546:P609" si="369">IF(D546&gt;0,"#","")</f>
        <v/>
      </c>
      <c r="Q546" t="str">
        <f t="shared" ref="Q546:Q609" si="370">IF(E546&gt;0,"#","")</f>
        <v/>
      </c>
      <c r="R546" t="str">
        <f t="shared" ref="R546:R609" si="371">IF(F546&gt;0,"#","")</f>
        <v/>
      </c>
      <c r="S546" t="str">
        <f t="shared" ref="S546:S609" si="372">IF(G546&gt;0,"#","")</f>
        <v/>
      </c>
      <c r="T546" s="2" t="str">
        <f t="shared" ref="T546:T609" si="373">IF(H546&gt;0,"#","")</f>
        <v/>
      </c>
      <c r="U546" s="2" t="str">
        <f t="shared" ref="U546:U609" si="374">IF(I546&gt;0,"#","")</f>
        <v/>
      </c>
      <c r="V546" t="str">
        <f t="shared" si="350"/>
        <v/>
      </c>
      <c r="W546">
        <f>SUM(B548:G561)</f>
        <v>7</v>
      </c>
      <c r="AD546">
        <f t="shared" ref="AD546" si="375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6">L546</f>
        <v>,</v>
      </c>
      <c r="M547">
        <v>2</v>
      </c>
      <c r="N547" t="str">
        <f t="shared" si="367"/>
        <v/>
      </c>
      <c r="O547" t="str">
        <f t="shared" si="368"/>
        <v/>
      </c>
      <c r="P547" t="str">
        <f t="shared" si="369"/>
        <v/>
      </c>
      <c r="Q547" t="str">
        <f t="shared" si="370"/>
        <v/>
      </c>
      <c r="R547" t="str">
        <f t="shared" si="371"/>
        <v/>
      </c>
      <c r="S547" t="str">
        <f t="shared" si="372"/>
        <v/>
      </c>
      <c r="T547" s="2" t="str">
        <f t="shared" si="373"/>
        <v/>
      </c>
      <c r="U547" s="2" t="str">
        <f t="shared" si="374"/>
        <v/>
      </c>
      <c r="V547" t="str">
        <f t="shared" si="350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6"/>
        <v>,</v>
      </c>
      <c r="M548">
        <v>3</v>
      </c>
      <c r="N548" s="3" t="str">
        <f t="shared" si="367"/>
        <v/>
      </c>
      <c r="O548" s="4" t="str">
        <f t="shared" si="368"/>
        <v/>
      </c>
      <c r="P548" s="4" t="str">
        <f t="shared" si="369"/>
        <v/>
      </c>
      <c r="Q548" s="4" t="str">
        <f t="shared" si="370"/>
        <v/>
      </c>
      <c r="R548" s="4" t="str">
        <f t="shared" si="371"/>
        <v/>
      </c>
      <c r="S548" s="5" t="str">
        <f t="shared" si="372"/>
        <v/>
      </c>
      <c r="T548" s="2" t="str">
        <f t="shared" si="373"/>
        <v/>
      </c>
      <c r="U548" s="2" t="str">
        <f t="shared" si="374"/>
        <v/>
      </c>
      <c r="V548" t="str">
        <f t="shared" si="350"/>
        <v/>
      </c>
      <c r="X548">
        <f t="shared" ref="X548:X561" si="377">MAX(B548-B547,0)</f>
        <v>0</v>
      </c>
      <c r="Y548">
        <f t="shared" ref="Y548:Y561" si="378">MAX(C548-C547,0)</f>
        <v>0</v>
      </c>
      <c r="Z548">
        <f t="shared" ref="Z548:Z561" si="379">MAX(D548-D547,0)</f>
        <v>0</v>
      </c>
      <c r="AA548">
        <f t="shared" ref="AA548:AA561" si="380">MAX(E548-E547,0)</f>
        <v>0</v>
      </c>
      <c r="AB548">
        <f t="shared" ref="AB548:AB561" si="381">MAX(F548-F547,0)</f>
        <v>0</v>
      </c>
      <c r="AC548">
        <f t="shared" ref="AC548:AC561" si="382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6"/>
        <v>,</v>
      </c>
      <c r="M549">
        <v>4</v>
      </c>
      <c r="N549" s="6" t="str">
        <f t="shared" si="367"/>
        <v/>
      </c>
      <c r="O549" s="7" t="str">
        <f t="shared" si="368"/>
        <v/>
      </c>
      <c r="P549" s="7" t="str">
        <f t="shared" si="369"/>
        <v/>
      </c>
      <c r="Q549" s="7" t="str">
        <f t="shared" si="370"/>
        <v/>
      </c>
      <c r="R549" s="7" t="str">
        <f t="shared" si="371"/>
        <v/>
      </c>
      <c r="S549" s="8" t="str">
        <f t="shared" si="372"/>
        <v/>
      </c>
      <c r="T549" s="2" t="str">
        <f t="shared" si="373"/>
        <v/>
      </c>
      <c r="U549" s="2" t="str">
        <f t="shared" si="374"/>
        <v/>
      </c>
      <c r="V549" t="str">
        <f t="shared" si="350"/>
        <v/>
      </c>
      <c r="X549">
        <f t="shared" si="377"/>
        <v>0</v>
      </c>
      <c r="Y549">
        <f t="shared" si="378"/>
        <v>0</v>
      </c>
      <c r="Z549">
        <f t="shared" si="379"/>
        <v>0</v>
      </c>
      <c r="AA549">
        <f t="shared" si="380"/>
        <v>0</v>
      </c>
      <c r="AB549">
        <f t="shared" si="381"/>
        <v>0</v>
      </c>
      <c r="AC549">
        <f t="shared" si="382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6"/>
        <v>,</v>
      </c>
      <c r="M550">
        <v>5</v>
      </c>
      <c r="N550" s="22" t="str">
        <f t="shared" si="367"/>
        <v/>
      </c>
      <c r="O550" s="15" t="str">
        <f t="shared" si="368"/>
        <v/>
      </c>
      <c r="P550" s="15" t="str">
        <f t="shared" si="369"/>
        <v/>
      </c>
      <c r="Q550" s="15" t="str">
        <f t="shared" si="370"/>
        <v/>
      </c>
      <c r="R550" s="16" t="str">
        <f t="shared" si="371"/>
        <v/>
      </c>
      <c r="S550" s="8" t="str">
        <f t="shared" si="372"/>
        <v/>
      </c>
      <c r="T550" s="2" t="str">
        <f t="shared" si="373"/>
        <v/>
      </c>
      <c r="U550" s="2" t="str">
        <f t="shared" si="374"/>
        <v/>
      </c>
      <c r="V550" t="str">
        <f t="shared" si="350"/>
        <v/>
      </c>
      <c r="X550">
        <f t="shared" si="377"/>
        <v>0</v>
      </c>
      <c r="Y550">
        <f t="shared" si="378"/>
        <v>0</v>
      </c>
      <c r="Z550">
        <f t="shared" si="379"/>
        <v>0</v>
      </c>
      <c r="AA550">
        <f t="shared" si="380"/>
        <v>0</v>
      </c>
      <c r="AB550">
        <f t="shared" si="381"/>
        <v>0</v>
      </c>
      <c r="AC550">
        <f t="shared" si="382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6"/>
        <v>,</v>
      </c>
      <c r="M551">
        <v>6</v>
      </c>
      <c r="N551" s="23" t="str">
        <f t="shared" si="367"/>
        <v/>
      </c>
      <c r="O551" s="7" t="str">
        <f t="shared" si="368"/>
        <v/>
      </c>
      <c r="P551" s="7" t="str">
        <f t="shared" si="369"/>
        <v/>
      </c>
      <c r="Q551" s="7" t="str">
        <f t="shared" si="370"/>
        <v/>
      </c>
      <c r="R551" s="17" t="str">
        <f t="shared" si="371"/>
        <v/>
      </c>
      <c r="S551" s="8" t="str">
        <f t="shared" si="372"/>
        <v/>
      </c>
      <c r="T551" s="2" t="str">
        <f t="shared" si="373"/>
        <v/>
      </c>
      <c r="U551" s="2" t="str">
        <f t="shared" si="374"/>
        <v/>
      </c>
      <c r="V551" t="str">
        <f t="shared" si="350"/>
        <v/>
      </c>
      <c r="X551">
        <f t="shared" si="377"/>
        <v>0</v>
      </c>
      <c r="Y551">
        <f t="shared" si="378"/>
        <v>0</v>
      </c>
      <c r="Z551">
        <f t="shared" si="379"/>
        <v>0</v>
      </c>
      <c r="AA551">
        <f t="shared" si="380"/>
        <v>0</v>
      </c>
      <c r="AB551">
        <f t="shared" si="381"/>
        <v>0</v>
      </c>
      <c r="AC551">
        <f t="shared" si="382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6"/>
        <v>,</v>
      </c>
      <c r="M552">
        <v>7</v>
      </c>
      <c r="N552" s="23" t="str">
        <f t="shared" si="367"/>
        <v/>
      </c>
      <c r="O552" s="7" t="str">
        <f t="shared" si="368"/>
        <v/>
      </c>
      <c r="P552" s="7" t="str">
        <f t="shared" si="369"/>
        <v/>
      </c>
      <c r="Q552" s="7" t="str">
        <f t="shared" si="370"/>
        <v/>
      </c>
      <c r="R552" s="17" t="str">
        <f t="shared" si="371"/>
        <v/>
      </c>
      <c r="S552" s="8" t="str">
        <f t="shared" si="372"/>
        <v/>
      </c>
      <c r="T552" s="2" t="str">
        <f t="shared" si="373"/>
        <v/>
      </c>
      <c r="U552" s="2" t="str">
        <f t="shared" si="374"/>
        <v/>
      </c>
      <c r="V552" t="str">
        <f t="shared" si="350"/>
        <v/>
      </c>
      <c r="X552">
        <f t="shared" si="377"/>
        <v>0</v>
      </c>
      <c r="Y552">
        <f t="shared" si="378"/>
        <v>0</v>
      </c>
      <c r="Z552">
        <f t="shared" si="379"/>
        <v>0</v>
      </c>
      <c r="AA552">
        <f t="shared" si="380"/>
        <v>0</v>
      </c>
      <c r="AB552">
        <f t="shared" si="381"/>
        <v>0</v>
      </c>
      <c r="AC552">
        <f t="shared" si="382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6"/>
        <v>,</v>
      </c>
      <c r="M553">
        <v>8</v>
      </c>
      <c r="N553" s="23" t="str">
        <f t="shared" si="367"/>
        <v/>
      </c>
      <c r="O553" s="7" t="str">
        <f t="shared" si="368"/>
        <v/>
      </c>
      <c r="P553" s="7" t="str">
        <f t="shared" si="369"/>
        <v/>
      </c>
      <c r="Q553" s="7" t="str">
        <f t="shared" si="370"/>
        <v/>
      </c>
      <c r="R553" s="17" t="str">
        <f t="shared" si="371"/>
        <v/>
      </c>
      <c r="S553" s="8" t="str">
        <f t="shared" si="372"/>
        <v/>
      </c>
      <c r="T553" s="2" t="str">
        <f t="shared" si="373"/>
        <v/>
      </c>
      <c r="U553" s="2" t="str">
        <f t="shared" si="374"/>
        <v/>
      </c>
      <c r="V553" t="str">
        <f t="shared" si="350"/>
        <v/>
      </c>
      <c r="X553">
        <f t="shared" si="377"/>
        <v>0</v>
      </c>
      <c r="Y553">
        <f t="shared" si="378"/>
        <v>0</v>
      </c>
      <c r="Z553">
        <f t="shared" si="379"/>
        <v>0</v>
      </c>
      <c r="AA553">
        <f t="shared" si="380"/>
        <v>0</v>
      </c>
      <c r="AB553">
        <f t="shared" si="381"/>
        <v>0</v>
      </c>
      <c r="AC553">
        <f t="shared" si="382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6"/>
        <v>,</v>
      </c>
      <c r="M554">
        <v>9</v>
      </c>
      <c r="N554" s="23" t="str">
        <f t="shared" si="367"/>
        <v/>
      </c>
      <c r="O554" s="7" t="str">
        <f t="shared" si="368"/>
        <v/>
      </c>
      <c r="P554" s="7" t="str">
        <f t="shared" si="369"/>
        <v/>
      </c>
      <c r="Q554" s="7" t="str">
        <f t="shared" si="370"/>
        <v/>
      </c>
      <c r="R554" s="17" t="str">
        <f t="shared" si="371"/>
        <v/>
      </c>
      <c r="S554" s="8" t="str">
        <f t="shared" si="372"/>
        <v/>
      </c>
      <c r="T554" s="2" t="str">
        <f t="shared" si="373"/>
        <v/>
      </c>
      <c r="U554" s="2" t="str">
        <f t="shared" si="374"/>
        <v/>
      </c>
      <c r="V554" t="str">
        <f t="shared" si="350"/>
        <v/>
      </c>
      <c r="X554">
        <f t="shared" si="377"/>
        <v>0</v>
      </c>
      <c r="Y554">
        <f t="shared" si="378"/>
        <v>0</v>
      </c>
      <c r="Z554">
        <f t="shared" si="379"/>
        <v>0</v>
      </c>
      <c r="AA554">
        <f t="shared" si="380"/>
        <v>0</v>
      </c>
      <c r="AB554">
        <f t="shared" si="381"/>
        <v>0</v>
      </c>
      <c r="AC554">
        <f t="shared" si="382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6"/>
        <v>,</v>
      </c>
      <c r="M555">
        <v>10</v>
      </c>
      <c r="N555" s="23" t="str">
        <f t="shared" si="367"/>
        <v/>
      </c>
      <c r="O555" s="7" t="str">
        <f t="shared" si="368"/>
        <v/>
      </c>
      <c r="P555" s="7" t="str">
        <f t="shared" si="369"/>
        <v/>
      </c>
      <c r="Q555" s="7" t="str">
        <f t="shared" si="370"/>
        <v/>
      </c>
      <c r="R555" s="17" t="str">
        <f t="shared" si="371"/>
        <v/>
      </c>
      <c r="S555" s="8" t="str">
        <f t="shared" si="372"/>
        <v/>
      </c>
      <c r="T555" s="2" t="str">
        <f t="shared" si="373"/>
        <v/>
      </c>
      <c r="U555" s="2" t="str">
        <f t="shared" si="374"/>
        <v/>
      </c>
      <c r="V555" t="str">
        <f t="shared" si="350"/>
        <v/>
      </c>
      <c r="X555">
        <f t="shared" si="377"/>
        <v>0</v>
      </c>
      <c r="Y555">
        <f t="shared" si="378"/>
        <v>0</v>
      </c>
      <c r="Z555">
        <f t="shared" si="379"/>
        <v>0</v>
      </c>
      <c r="AA555">
        <f t="shared" si="380"/>
        <v>0</v>
      </c>
      <c r="AB555">
        <f t="shared" si="381"/>
        <v>0</v>
      </c>
      <c r="AC555">
        <f t="shared" si="382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6"/>
        <v>,</v>
      </c>
      <c r="M556">
        <v>11</v>
      </c>
      <c r="N556" s="23" t="str">
        <f t="shared" si="367"/>
        <v>#</v>
      </c>
      <c r="O556" s="7" t="str">
        <f t="shared" si="368"/>
        <v>#</v>
      </c>
      <c r="P556" s="7" t="str">
        <f t="shared" si="369"/>
        <v/>
      </c>
      <c r="Q556" s="7" t="str">
        <f t="shared" si="370"/>
        <v/>
      </c>
      <c r="R556" s="17" t="str">
        <f t="shared" si="371"/>
        <v/>
      </c>
      <c r="S556" s="8" t="str">
        <f t="shared" si="372"/>
        <v/>
      </c>
      <c r="T556" s="2" t="str">
        <f t="shared" si="373"/>
        <v/>
      </c>
      <c r="U556" s="2" t="str">
        <f t="shared" si="374"/>
        <v/>
      </c>
      <c r="V556" t="str">
        <f t="shared" si="350"/>
        <v/>
      </c>
      <c r="X556">
        <f t="shared" si="377"/>
        <v>1</v>
      </c>
      <c r="Y556">
        <f t="shared" si="378"/>
        <v>1</v>
      </c>
      <c r="Z556">
        <f t="shared" si="379"/>
        <v>0</v>
      </c>
      <c r="AA556">
        <f t="shared" si="380"/>
        <v>0</v>
      </c>
      <c r="AB556">
        <f t="shared" si="381"/>
        <v>0</v>
      </c>
      <c r="AC556">
        <f t="shared" si="382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6"/>
        <v>,</v>
      </c>
      <c r="M557">
        <v>12</v>
      </c>
      <c r="N557" s="23" t="str">
        <f t="shared" si="367"/>
        <v>#</v>
      </c>
      <c r="O557" s="7" t="str">
        <f t="shared" si="368"/>
        <v>#</v>
      </c>
      <c r="P557" s="7" t="str">
        <f t="shared" si="369"/>
        <v/>
      </c>
      <c r="Q557" s="7" t="str">
        <f t="shared" si="370"/>
        <v/>
      </c>
      <c r="R557" s="17" t="str">
        <f t="shared" si="371"/>
        <v/>
      </c>
      <c r="S557" s="8" t="str">
        <f t="shared" si="372"/>
        <v/>
      </c>
      <c r="T557" s="2" t="str">
        <f t="shared" si="373"/>
        <v/>
      </c>
      <c r="U557" s="2" t="str">
        <f t="shared" si="374"/>
        <v/>
      </c>
      <c r="V557" t="str">
        <f t="shared" si="350"/>
        <v/>
      </c>
      <c r="X557">
        <f t="shared" si="377"/>
        <v>0</v>
      </c>
      <c r="Y557">
        <f t="shared" si="378"/>
        <v>0</v>
      </c>
      <c r="Z557">
        <f t="shared" si="379"/>
        <v>0</v>
      </c>
      <c r="AA557">
        <f t="shared" si="380"/>
        <v>0</v>
      </c>
      <c r="AB557">
        <f t="shared" si="381"/>
        <v>0</v>
      </c>
      <c r="AC557">
        <f t="shared" si="382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6"/>
        <v>,</v>
      </c>
      <c r="M558">
        <v>13</v>
      </c>
      <c r="N558" s="6" t="str">
        <f t="shared" si="367"/>
        <v/>
      </c>
      <c r="O558" s="7" t="str">
        <f t="shared" si="368"/>
        <v>#</v>
      </c>
      <c r="P558" s="7" t="str">
        <f t="shared" si="369"/>
        <v/>
      </c>
      <c r="Q558" s="7" t="str">
        <f t="shared" si="370"/>
        <v/>
      </c>
      <c r="R558" s="17" t="str">
        <f t="shared" si="371"/>
        <v/>
      </c>
      <c r="S558" s="8" t="str">
        <f t="shared" si="372"/>
        <v/>
      </c>
      <c r="T558" s="2" t="str">
        <f t="shared" si="373"/>
        <v/>
      </c>
      <c r="U558" s="2" t="str">
        <f t="shared" si="374"/>
        <v/>
      </c>
      <c r="V558" t="str">
        <f t="shared" si="350"/>
        <v/>
      </c>
      <c r="X558">
        <f t="shared" si="377"/>
        <v>0</v>
      </c>
      <c r="Y558">
        <f t="shared" si="378"/>
        <v>0</v>
      </c>
      <c r="Z558">
        <f t="shared" si="379"/>
        <v>0</v>
      </c>
      <c r="AA558">
        <f t="shared" si="380"/>
        <v>0</v>
      </c>
      <c r="AB558">
        <f t="shared" si="381"/>
        <v>0</v>
      </c>
      <c r="AC558">
        <f t="shared" si="382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6"/>
        <v>,</v>
      </c>
      <c r="M559">
        <v>14</v>
      </c>
      <c r="N559" s="18" t="str">
        <f t="shared" si="367"/>
        <v/>
      </c>
      <c r="O559" s="19" t="str">
        <f t="shared" si="368"/>
        <v>#</v>
      </c>
      <c r="P559" s="19" t="str">
        <f t="shared" si="369"/>
        <v/>
      </c>
      <c r="Q559" s="19" t="str">
        <f t="shared" si="370"/>
        <v/>
      </c>
      <c r="R559" s="20" t="str">
        <f t="shared" si="371"/>
        <v/>
      </c>
      <c r="S559" s="8" t="str">
        <f t="shared" si="372"/>
        <v/>
      </c>
      <c r="T559" s="2" t="str">
        <f t="shared" si="373"/>
        <v/>
      </c>
      <c r="U559" s="2" t="str">
        <f t="shared" si="374"/>
        <v/>
      </c>
      <c r="V559" t="str">
        <f t="shared" si="350"/>
        <v/>
      </c>
      <c r="X559">
        <f t="shared" si="377"/>
        <v>0</v>
      </c>
      <c r="Y559">
        <f t="shared" si="378"/>
        <v>0</v>
      </c>
      <c r="Z559">
        <f t="shared" si="379"/>
        <v>0</v>
      </c>
      <c r="AA559">
        <f t="shared" si="380"/>
        <v>0</v>
      </c>
      <c r="AB559">
        <f t="shared" si="381"/>
        <v>0</v>
      </c>
      <c r="AC559">
        <f t="shared" si="382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6"/>
        <v>,</v>
      </c>
      <c r="M560">
        <v>15</v>
      </c>
      <c r="N560" s="9" t="str">
        <f t="shared" si="367"/>
        <v/>
      </c>
      <c r="O560" s="10" t="str">
        <f t="shared" si="368"/>
        <v>#</v>
      </c>
      <c r="P560" s="10" t="str">
        <f t="shared" si="369"/>
        <v/>
      </c>
      <c r="Q560" s="10" t="str">
        <f t="shared" si="370"/>
        <v/>
      </c>
      <c r="R560" s="10" t="str">
        <f t="shared" si="371"/>
        <v/>
      </c>
      <c r="S560" s="11" t="str">
        <f t="shared" si="372"/>
        <v/>
      </c>
      <c r="T560" s="2" t="str">
        <f t="shared" si="373"/>
        <v/>
      </c>
      <c r="U560" s="2" t="str">
        <f t="shared" si="374"/>
        <v/>
      </c>
      <c r="V560" t="str">
        <f t="shared" si="350"/>
        <v/>
      </c>
      <c r="X560">
        <f t="shared" si="377"/>
        <v>0</v>
      </c>
      <c r="Y560">
        <f t="shared" si="378"/>
        <v>0</v>
      </c>
      <c r="Z560">
        <f t="shared" si="379"/>
        <v>0</v>
      </c>
      <c r="AA560">
        <f t="shared" si="380"/>
        <v>0</v>
      </c>
      <c r="AB560">
        <f t="shared" si="381"/>
        <v>0</v>
      </c>
      <c r="AC560">
        <f t="shared" si="382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6"/>
        <v>,</v>
      </c>
      <c r="M561">
        <v>16</v>
      </c>
      <c r="N561" s="12" t="str">
        <f t="shared" si="367"/>
        <v/>
      </c>
      <c r="O561" s="13" t="str">
        <f t="shared" si="368"/>
        <v/>
      </c>
      <c r="P561" s="13" t="str">
        <f t="shared" si="369"/>
        <v/>
      </c>
      <c r="Q561" s="13" t="str">
        <f t="shared" si="370"/>
        <v/>
      </c>
      <c r="R561" s="13" t="str">
        <f t="shared" si="371"/>
        <v/>
      </c>
      <c r="S561" s="14" t="str">
        <f t="shared" si="372"/>
        <v/>
      </c>
      <c r="T561" s="2" t="str">
        <f t="shared" si="373"/>
        <v/>
      </c>
      <c r="U561" s="2" t="str">
        <f t="shared" si="374"/>
        <v/>
      </c>
      <c r="V561" t="str">
        <f t="shared" si="350"/>
        <v/>
      </c>
      <c r="X561">
        <f t="shared" si="377"/>
        <v>0</v>
      </c>
      <c r="Y561">
        <f t="shared" si="378"/>
        <v>0</v>
      </c>
      <c r="Z561">
        <f t="shared" si="379"/>
        <v>0</v>
      </c>
      <c r="AA561">
        <f t="shared" si="380"/>
        <v>0</v>
      </c>
      <c r="AB561">
        <f t="shared" si="381"/>
        <v>0</v>
      </c>
      <c r="AC561">
        <f t="shared" si="382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7"/>
        <v/>
      </c>
      <c r="O562" t="str">
        <f t="shared" si="368"/>
        <v/>
      </c>
      <c r="P562" t="str">
        <f t="shared" si="369"/>
        <v/>
      </c>
      <c r="Q562" t="str">
        <f t="shared" si="370"/>
        <v/>
      </c>
      <c r="R562" t="str">
        <f t="shared" si="371"/>
        <v/>
      </c>
      <c r="S562" t="str">
        <f t="shared" si="372"/>
        <v/>
      </c>
      <c r="T562" s="2" t="str">
        <f t="shared" si="373"/>
        <v/>
      </c>
      <c r="U562" s="2" t="str">
        <f t="shared" si="374"/>
        <v/>
      </c>
      <c r="V562" t="str">
        <f t="shared" si="350"/>
        <v/>
      </c>
      <c r="W562">
        <f>SUM(B564:G577)</f>
        <v>10</v>
      </c>
      <c r="AD562">
        <f t="shared" ref="AD562" si="383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84">L562</f>
        <v>-</v>
      </c>
      <c r="M563">
        <v>2</v>
      </c>
      <c r="N563" t="str">
        <f t="shared" si="367"/>
        <v/>
      </c>
      <c r="O563" t="str">
        <f t="shared" si="368"/>
        <v/>
      </c>
      <c r="P563" t="str">
        <f t="shared" si="369"/>
        <v/>
      </c>
      <c r="Q563" t="str">
        <f t="shared" si="370"/>
        <v/>
      </c>
      <c r="R563" t="str">
        <f t="shared" si="371"/>
        <v/>
      </c>
      <c r="S563" t="str">
        <f t="shared" si="372"/>
        <v/>
      </c>
      <c r="T563" s="2" t="str">
        <f t="shared" si="373"/>
        <v/>
      </c>
      <c r="U563" s="2" t="str">
        <f t="shared" si="374"/>
        <v/>
      </c>
      <c r="V563" t="str">
        <f t="shared" si="350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84"/>
        <v>-</v>
      </c>
      <c r="M564">
        <v>3</v>
      </c>
      <c r="N564" s="3" t="str">
        <f t="shared" si="367"/>
        <v/>
      </c>
      <c r="O564" s="4" t="str">
        <f t="shared" si="368"/>
        <v/>
      </c>
      <c r="P564" s="4" t="str">
        <f t="shared" si="369"/>
        <v/>
      </c>
      <c r="Q564" s="4" t="str">
        <f t="shared" si="370"/>
        <v/>
      </c>
      <c r="R564" s="4" t="str">
        <f t="shared" si="371"/>
        <v/>
      </c>
      <c r="S564" s="5" t="str">
        <f t="shared" si="372"/>
        <v/>
      </c>
      <c r="T564" s="2" t="str">
        <f t="shared" si="373"/>
        <v/>
      </c>
      <c r="U564" s="2" t="str">
        <f t="shared" si="374"/>
        <v/>
      </c>
      <c r="V564" t="str">
        <f t="shared" si="350"/>
        <v/>
      </c>
      <c r="X564">
        <f t="shared" ref="X564:X577" si="385">MAX(B564-B563,0)</f>
        <v>0</v>
      </c>
      <c r="Y564">
        <f t="shared" ref="Y564:Y577" si="386">MAX(C564-C563,0)</f>
        <v>0</v>
      </c>
      <c r="Z564">
        <f t="shared" ref="Z564:Z577" si="387">MAX(D564-D563,0)</f>
        <v>0</v>
      </c>
      <c r="AA564">
        <f t="shared" ref="AA564:AA577" si="388">MAX(E564-E563,0)</f>
        <v>0</v>
      </c>
      <c r="AB564">
        <f t="shared" ref="AB564:AB577" si="389">MAX(F564-F563,0)</f>
        <v>0</v>
      </c>
      <c r="AC564">
        <f t="shared" ref="AC564:AC577" si="390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84"/>
        <v>-</v>
      </c>
      <c r="M565">
        <v>4</v>
      </c>
      <c r="N565" s="6" t="str">
        <f t="shared" si="367"/>
        <v/>
      </c>
      <c r="O565" s="7" t="str">
        <f t="shared" si="368"/>
        <v/>
      </c>
      <c r="P565" s="7" t="str">
        <f t="shared" si="369"/>
        <v/>
      </c>
      <c r="Q565" s="7" t="str">
        <f t="shared" si="370"/>
        <v/>
      </c>
      <c r="R565" s="7" t="str">
        <f t="shared" si="371"/>
        <v/>
      </c>
      <c r="S565" s="8" t="str">
        <f t="shared" si="372"/>
        <v/>
      </c>
      <c r="T565" s="2" t="str">
        <f t="shared" si="373"/>
        <v/>
      </c>
      <c r="U565" s="2" t="str">
        <f t="shared" si="374"/>
        <v/>
      </c>
      <c r="V565" t="str">
        <f t="shared" si="350"/>
        <v/>
      </c>
      <c r="X565">
        <f t="shared" si="385"/>
        <v>0</v>
      </c>
      <c r="Y565">
        <f t="shared" si="386"/>
        <v>0</v>
      </c>
      <c r="Z565">
        <f t="shared" si="387"/>
        <v>0</v>
      </c>
      <c r="AA565">
        <f t="shared" si="388"/>
        <v>0</v>
      </c>
      <c r="AB565">
        <f t="shared" si="389"/>
        <v>0</v>
      </c>
      <c r="AC565">
        <f t="shared" si="390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84"/>
        <v>-</v>
      </c>
      <c r="M566">
        <v>5</v>
      </c>
      <c r="N566" s="22" t="str">
        <f t="shared" si="367"/>
        <v/>
      </c>
      <c r="O566" s="15" t="str">
        <f t="shared" si="368"/>
        <v/>
      </c>
      <c r="P566" s="15" t="str">
        <f t="shared" si="369"/>
        <v/>
      </c>
      <c r="Q566" s="15" t="str">
        <f t="shared" si="370"/>
        <v/>
      </c>
      <c r="R566" s="16" t="str">
        <f t="shared" si="371"/>
        <v/>
      </c>
      <c r="S566" s="8" t="str">
        <f t="shared" si="372"/>
        <v/>
      </c>
      <c r="T566" s="2" t="str">
        <f t="shared" si="373"/>
        <v/>
      </c>
      <c r="U566" s="2" t="str">
        <f t="shared" si="374"/>
        <v/>
      </c>
      <c r="V566" t="str">
        <f t="shared" si="350"/>
        <v/>
      </c>
      <c r="X566">
        <f t="shared" si="385"/>
        <v>0</v>
      </c>
      <c r="Y566">
        <f t="shared" si="386"/>
        <v>0</v>
      </c>
      <c r="Z566">
        <f t="shared" si="387"/>
        <v>0</v>
      </c>
      <c r="AA566">
        <f t="shared" si="388"/>
        <v>0</v>
      </c>
      <c r="AB566">
        <f t="shared" si="389"/>
        <v>0</v>
      </c>
      <c r="AC566">
        <f t="shared" si="390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84"/>
        <v>-</v>
      </c>
      <c r="M567">
        <v>6</v>
      </c>
      <c r="N567" s="23" t="str">
        <f t="shared" si="367"/>
        <v/>
      </c>
      <c r="O567" s="7" t="str">
        <f t="shared" si="368"/>
        <v/>
      </c>
      <c r="P567" s="7" t="str">
        <f t="shared" si="369"/>
        <v/>
      </c>
      <c r="Q567" s="7" t="str">
        <f t="shared" si="370"/>
        <v/>
      </c>
      <c r="R567" s="17" t="str">
        <f t="shared" si="371"/>
        <v/>
      </c>
      <c r="S567" s="8" t="str">
        <f t="shared" si="372"/>
        <v/>
      </c>
      <c r="T567" s="2" t="str">
        <f t="shared" si="373"/>
        <v/>
      </c>
      <c r="U567" s="2" t="str">
        <f t="shared" si="374"/>
        <v/>
      </c>
      <c r="V567" t="str">
        <f t="shared" si="350"/>
        <v/>
      </c>
      <c r="X567">
        <f t="shared" si="385"/>
        <v>0</v>
      </c>
      <c r="Y567">
        <f t="shared" si="386"/>
        <v>0</v>
      </c>
      <c r="Z567">
        <f t="shared" si="387"/>
        <v>0</v>
      </c>
      <c r="AA567">
        <f t="shared" si="388"/>
        <v>0</v>
      </c>
      <c r="AB567">
        <f t="shared" si="389"/>
        <v>0</v>
      </c>
      <c r="AC567">
        <f t="shared" si="390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84"/>
        <v>-</v>
      </c>
      <c r="M568">
        <v>7</v>
      </c>
      <c r="N568" s="23" t="str">
        <f t="shared" si="367"/>
        <v/>
      </c>
      <c r="O568" s="7" t="str">
        <f t="shared" si="368"/>
        <v/>
      </c>
      <c r="P568" s="7" t="str">
        <f t="shared" si="369"/>
        <v/>
      </c>
      <c r="Q568" s="7" t="str">
        <f t="shared" si="370"/>
        <v/>
      </c>
      <c r="R568" s="17" t="str">
        <f t="shared" si="371"/>
        <v/>
      </c>
      <c r="S568" s="8" t="str">
        <f t="shared" si="372"/>
        <v/>
      </c>
      <c r="T568" s="2" t="str">
        <f t="shared" si="373"/>
        <v/>
      </c>
      <c r="U568" s="2" t="str">
        <f t="shared" si="374"/>
        <v/>
      </c>
      <c r="V568" t="str">
        <f t="shared" si="350"/>
        <v/>
      </c>
      <c r="X568">
        <f t="shared" si="385"/>
        <v>0</v>
      </c>
      <c r="Y568">
        <f t="shared" si="386"/>
        <v>0</v>
      </c>
      <c r="Z568">
        <f t="shared" si="387"/>
        <v>0</v>
      </c>
      <c r="AA568">
        <f t="shared" si="388"/>
        <v>0</v>
      </c>
      <c r="AB568">
        <f t="shared" si="389"/>
        <v>0</v>
      </c>
      <c r="AC568">
        <f t="shared" si="390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84"/>
        <v>-</v>
      </c>
      <c r="M569">
        <v>8</v>
      </c>
      <c r="N569" s="23" t="str">
        <f t="shared" si="367"/>
        <v/>
      </c>
      <c r="O569" s="7" t="str">
        <f t="shared" si="368"/>
        <v/>
      </c>
      <c r="P569" s="7" t="str">
        <f t="shared" si="369"/>
        <v/>
      </c>
      <c r="Q569" s="7" t="str">
        <f t="shared" si="370"/>
        <v/>
      </c>
      <c r="R569" s="17" t="str">
        <f t="shared" si="371"/>
        <v/>
      </c>
      <c r="S569" s="8" t="str">
        <f t="shared" si="372"/>
        <v/>
      </c>
      <c r="T569" s="2" t="str">
        <f t="shared" si="373"/>
        <v/>
      </c>
      <c r="U569" s="2" t="str">
        <f t="shared" si="374"/>
        <v/>
      </c>
      <c r="V569" t="str">
        <f t="shared" si="350"/>
        <v/>
      </c>
      <c r="X569">
        <f t="shared" si="385"/>
        <v>0</v>
      </c>
      <c r="Y569">
        <f t="shared" si="386"/>
        <v>0</v>
      </c>
      <c r="Z569">
        <f t="shared" si="387"/>
        <v>0</v>
      </c>
      <c r="AA569">
        <f t="shared" si="388"/>
        <v>0</v>
      </c>
      <c r="AB569">
        <f t="shared" si="389"/>
        <v>0</v>
      </c>
      <c r="AC569">
        <f t="shared" si="390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84"/>
        <v>-</v>
      </c>
      <c r="M570">
        <v>9</v>
      </c>
      <c r="N570" s="23" t="str">
        <f t="shared" si="367"/>
        <v>#</v>
      </c>
      <c r="O570" s="7" t="str">
        <f t="shared" si="368"/>
        <v>#</v>
      </c>
      <c r="P570" s="7" t="str">
        <f t="shared" si="369"/>
        <v>#</v>
      </c>
      <c r="Q570" s="7" t="str">
        <f t="shared" si="370"/>
        <v>#</v>
      </c>
      <c r="R570" s="17" t="str">
        <f t="shared" si="371"/>
        <v>#</v>
      </c>
      <c r="S570" s="8" t="str">
        <f t="shared" si="372"/>
        <v/>
      </c>
      <c r="T570" s="2" t="str">
        <f t="shared" si="373"/>
        <v/>
      </c>
      <c r="U570" s="2" t="str">
        <f t="shared" si="374"/>
        <v/>
      </c>
      <c r="V570" t="str">
        <f t="shared" si="350"/>
        <v/>
      </c>
      <c r="X570">
        <f t="shared" si="385"/>
        <v>1</v>
      </c>
      <c r="Y570">
        <f t="shared" si="386"/>
        <v>1</v>
      </c>
      <c r="Z570">
        <f t="shared" si="387"/>
        <v>1</v>
      </c>
      <c r="AA570">
        <f t="shared" si="388"/>
        <v>1</v>
      </c>
      <c r="AB570">
        <f t="shared" si="389"/>
        <v>1</v>
      </c>
      <c r="AC570">
        <f t="shared" si="390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84"/>
        <v>-</v>
      </c>
      <c r="M571">
        <v>10</v>
      </c>
      <c r="N571" s="23" t="str">
        <f t="shared" si="367"/>
        <v>#</v>
      </c>
      <c r="O571" s="7" t="str">
        <f t="shared" si="368"/>
        <v>#</v>
      </c>
      <c r="P571" s="7" t="str">
        <f t="shared" si="369"/>
        <v>#</v>
      </c>
      <c r="Q571" s="7" t="str">
        <f t="shared" si="370"/>
        <v>#</v>
      </c>
      <c r="R571" s="17" t="str">
        <f t="shared" si="371"/>
        <v>#</v>
      </c>
      <c r="S571" s="8" t="str">
        <f t="shared" si="372"/>
        <v/>
      </c>
      <c r="T571" s="2" t="str">
        <f t="shared" si="373"/>
        <v/>
      </c>
      <c r="U571" s="2" t="str">
        <f t="shared" si="374"/>
        <v/>
      </c>
      <c r="V571" t="str">
        <f t="shared" si="350"/>
        <v/>
      </c>
      <c r="X571">
        <f t="shared" si="385"/>
        <v>0</v>
      </c>
      <c r="Y571">
        <f t="shared" si="386"/>
        <v>0</v>
      </c>
      <c r="Z571">
        <f t="shared" si="387"/>
        <v>0</v>
      </c>
      <c r="AA571">
        <f t="shared" si="388"/>
        <v>0</v>
      </c>
      <c r="AB571">
        <f t="shared" si="389"/>
        <v>0</v>
      </c>
      <c r="AC571">
        <f t="shared" si="390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84"/>
        <v>-</v>
      </c>
      <c r="M572">
        <v>11</v>
      </c>
      <c r="N572" s="23" t="str">
        <f t="shared" si="367"/>
        <v/>
      </c>
      <c r="O572" s="7" t="str">
        <f t="shared" si="368"/>
        <v/>
      </c>
      <c r="P572" s="7" t="str">
        <f t="shared" si="369"/>
        <v/>
      </c>
      <c r="Q572" s="7" t="str">
        <f t="shared" si="370"/>
        <v/>
      </c>
      <c r="R572" s="17" t="str">
        <f t="shared" si="371"/>
        <v/>
      </c>
      <c r="S572" s="8" t="str">
        <f t="shared" si="372"/>
        <v/>
      </c>
      <c r="T572" s="2" t="str">
        <f t="shared" si="373"/>
        <v/>
      </c>
      <c r="U572" s="2" t="str">
        <f t="shared" si="374"/>
        <v/>
      </c>
      <c r="V572" t="str">
        <f t="shared" si="350"/>
        <v/>
      </c>
      <c r="X572">
        <f t="shared" si="385"/>
        <v>0</v>
      </c>
      <c r="Y572">
        <f t="shared" si="386"/>
        <v>0</v>
      </c>
      <c r="Z572">
        <f t="shared" si="387"/>
        <v>0</v>
      </c>
      <c r="AA572">
        <f t="shared" si="388"/>
        <v>0</v>
      </c>
      <c r="AB572">
        <f t="shared" si="389"/>
        <v>0</v>
      </c>
      <c r="AC572">
        <f t="shared" si="390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84"/>
        <v>-</v>
      </c>
      <c r="M573">
        <v>12</v>
      </c>
      <c r="N573" s="23" t="str">
        <f t="shared" si="367"/>
        <v/>
      </c>
      <c r="O573" s="7" t="str">
        <f t="shared" si="368"/>
        <v/>
      </c>
      <c r="P573" s="7" t="str">
        <f t="shared" si="369"/>
        <v/>
      </c>
      <c r="Q573" s="7" t="str">
        <f t="shared" si="370"/>
        <v/>
      </c>
      <c r="R573" s="17" t="str">
        <f t="shared" si="371"/>
        <v/>
      </c>
      <c r="S573" s="8" t="str">
        <f t="shared" si="372"/>
        <v/>
      </c>
      <c r="T573" s="2" t="str">
        <f t="shared" si="373"/>
        <v/>
      </c>
      <c r="U573" s="2" t="str">
        <f t="shared" si="374"/>
        <v/>
      </c>
      <c r="V573" t="str">
        <f t="shared" si="350"/>
        <v/>
      </c>
      <c r="X573">
        <f t="shared" si="385"/>
        <v>0</v>
      </c>
      <c r="Y573">
        <f t="shared" si="386"/>
        <v>0</v>
      </c>
      <c r="Z573">
        <f t="shared" si="387"/>
        <v>0</v>
      </c>
      <c r="AA573">
        <f t="shared" si="388"/>
        <v>0</v>
      </c>
      <c r="AB573">
        <f t="shared" si="389"/>
        <v>0</v>
      </c>
      <c r="AC573">
        <f t="shared" si="390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84"/>
        <v>-</v>
      </c>
      <c r="M574">
        <v>13</v>
      </c>
      <c r="N574" s="6" t="str">
        <f t="shared" si="367"/>
        <v/>
      </c>
      <c r="O574" s="7" t="str">
        <f t="shared" si="368"/>
        <v/>
      </c>
      <c r="P574" s="7" t="str">
        <f t="shared" si="369"/>
        <v/>
      </c>
      <c r="Q574" s="7" t="str">
        <f t="shared" si="370"/>
        <v/>
      </c>
      <c r="R574" s="17" t="str">
        <f t="shared" si="371"/>
        <v/>
      </c>
      <c r="S574" s="8" t="str">
        <f t="shared" si="372"/>
        <v/>
      </c>
      <c r="T574" s="2" t="str">
        <f t="shared" si="373"/>
        <v/>
      </c>
      <c r="U574" s="2" t="str">
        <f t="shared" si="374"/>
        <v/>
      </c>
      <c r="V574" t="str">
        <f t="shared" si="350"/>
        <v/>
      </c>
      <c r="X574">
        <f t="shared" si="385"/>
        <v>0</v>
      </c>
      <c r="Y574">
        <f t="shared" si="386"/>
        <v>0</v>
      </c>
      <c r="Z574">
        <f t="shared" si="387"/>
        <v>0</v>
      </c>
      <c r="AA574">
        <f t="shared" si="388"/>
        <v>0</v>
      </c>
      <c r="AB574">
        <f t="shared" si="389"/>
        <v>0</v>
      </c>
      <c r="AC574">
        <f t="shared" si="390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84"/>
        <v>-</v>
      </c>
      <c r="M575">
        <v>14</v>
      </c>
      <c r="N575" s="18" t="str">
        <f t="shared" si="367"/>
        <v/>
      </c>
      <c r="O575" s="19" t="str">
        <f t="shared" si="368"/>
        <v/>
      </c>
      <c r="P575" s="19" t="str">
        <f t="shared" si="369"/>
        <v/>
      </c>
      <c r="Q575" s="19" t="str">
        <f t="shared" si="370"/>
        <v/>
      </c>
      <c r="R575" s="20" t="str">
        <f t="shared" si="371"/>
        <v/>
      </c>
      <c r="S575" s="8" t="str">
        <f t="shared" si="372"/>
        <v/>
      </c>
      <c r="T575" s="2" t="str">
        <f t="shared" si="373"/>
        <v/>
      </c>
      <c r="U575" s="2" t="str">
        <f t="shared" si="374"/>
        <v/>
      </c>
      <c r="V575" t="str">
        <f t="shared" si="350"/>
        <v/>
      </c>
      <c r="X575">
        <f t="shared" si="385"/>
        <v>0</v>
      </c>
      <c r="Y575">
        <f t="shared" si="386"/>
        <v>0</v>
      </c>
      <c r="Z575">
        <f t="shared" si="387"/>
        <v>0</v>
      </c>
      <c r="AA575">
        <f t="shared" si="388"/>
        <v>0</v>
      </c>
      <c r="AB575">
        <f t="shared" si="389"/>
        <v>0</v>
      </c>
      <c r="AC575">
        <f t="shared" si="390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84"/>
        <v>-</v>
      </c>
      <c r="M576">
        <v>15</v>
      </c>
      <c r="N576" s="9" t="str">
        <f t="shared" si="367"/>
        <v/>
      </c>
      <c r="O576" s="10" t="str">
        <f t="shared" si="368"/>
        <v/>
      </c>
      <c r="P576" s="10" t="str">
        <f t="shared" si="369"/>
        <v/>
      </c>
      <c r="Q576" s="10" t="str">
        <f t="shared" si="370"/>
        <v/>
      </c>
      <c r="R576" s="10" t="str">
        <f t="shared" si="371"/>
        <v/>
      </c>
      <c r="S576" s="11" t="str">
        <f t="shared" si="372"/>
        <v/>
      </c>
      <c r="T576" s="2" t="str">
        <f t="shared" si="373"/>
        <v/>
      </c>
      <c r="U576" s="2" t="str">
        <f t="shared" si="374"/>
        <v/>
      </c>
      <c r="V576" t="str">
        <f t="shared" si="350"/>
        <v/>
      </c>
      <c r="X576">
        <f t="shared" si="385"/>
        <v>0</v>
      </c>
      <c r="Y576">
        <f t="shared" si="386"/>
        <v>0</v>
      </c>
      <c r="Z576">
        <f t="shared" si="387"/>
        <v>0</v>
      </c>
      <c r="AA576">
        <f t="shared" si="388"/>
        <v>0</v>
      </c>
      <c r="AB576">
        <f t="shared" si="389"/>
        <v>0</v>
      </c>
      <c r="AC576">
        <f t="shared" si="390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84"/>
        <v>-</v>
      </c>
      <c r="M577">
        <v>16</v>
      </c>
      <c r="N577" s="12" t="str">
        <f t="shared" si="367"/>
        <v/>
      </c>
      <c r="O577" s="13" t="str">
        <f t="shared" si="368"/>
        <v/>
      </c>
      <c r="P577" s="13" t="str">
        <f t="shared" si="369"/>
        <v/>
      </c>
      <c r="Q577" s="13" t="str">
        <f t="shared" si="370"/>
        <v/>
      </c>
      <c r="R577" s="13" t="str">
        <f t="shared" si="371"/>
        <v/>
      </c>
      <c r="S577" s="14" t="str">
        <f t="shared" si="372"/>
        <v/>
      </c>
      <c r="T577" s="2" t="str">
        <f t="shared" si="373"/>
        <v/>
      </c>
      <c r="U577" s="2" t="str">
        <f t="shared" si="374"/>
        <v/>
      </c>
      <c r="V577" t="str">
        <f t="shared" si="350"/>
        <v/>
      </c>
      <c r="X577">
        <f t="shared" si="385"/>
        <v>0</v>
      </c>
      <c r="Y577">
        <f t="shared" si="386"/>
        <v>0</v>
      </c>
      <c r="Z577">
        <f t="shared" si="387"/>
        <v>0</v>
      </c>
      <c r="AA577">
        <f t="shared" si="388"/>
        <v>0</v>
      </c>
      <c r="AB577">
        <f t="shared" si="389"/>
        <v>0</v>
      </c>
      <c r="AC577">
        <f t="shared" si="390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7"/>
        <v/>
      </c>
      <c r="O578" t="str">
        <f t="shared" si="368"/>
        <v/>
      </c>
      <c r="P578" t="str">
        <f t="shared" si="369"/>
        <v/>
      </c>
      <c r="Q578" t="str">
        <f t="shared" si="370"/>
        <v/>
      </c>
      <c r="R578" t="str">
        <f t="shared" si="371"/>
        <v/>
      </c>
      <c r="S578" t="str">
        <f t="shared" si="372"/>
        <v/>
      </c>
      <c r="T578" s="2" t="str">
        <f t="shared" si="373"/>
        <v/>
      </c>
      <c r="U578" s="2" t="str">
        <f t="shared" si="374"/>
        <v/>
      </c>
      <c r="V578" t="str">
        <f t="shared" ref="V578:V641" si="391">IF(A578=0,"",M578)</f>
        <v/>
      </c>
      <c r="W578">
        <f>SUM(B580:G593)</f>
        <v>6</v>
      </c>
      <c r="AD578">
        <f t="shared" ref="AD578" si="392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93">L578</f>
        <v>.</v>
      </c>
      <c r="M579">
        <v>2</v>
      </c>
      <c r="N579" t="str">
        <f t="shared" si="367"/>
        <v/>
      </c>
      <c r="O579" t="str">
        <f t="shared" si="368"/>
        <v/>
      </c>
      <c r="P579" t="str">
        <f t="shared" si="369"/>
        <v/>
      </c>
      <c r="Q579" t="str">
        <f t="shared" si="370"/>
        <v/>
      </c>
      <c r="R579" t="str">
        <f t="shared" si="371"/>
        <v/>
      </c>
      <c r="S579" t="str">
        <f t="shared" si="372"/>
        <v/>
      </c>
      <c r="T579" s="2" t="str">
        <f t="shared" si="373"/>
        <v/>
      </c>
      <c r="U579" s="2" t="str">
        <f t="shared" si="374"/>
        <v/>
      </c>
      <c r="V579" t="str">
        <f t="shared" si="391"/>
        <v/>
      </c>
      <c r="AE579" t="str">
        <f>(B593*128+B592*64+B591*32+B590*16+B589*8+B588*4+B587*2+B586)*256+B585*128+B584*64+B583*32+B582*16+B581*8+B580*4+B579*2+B578&amp;","</f>
        <v>0,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93"/>
        <v>.</v>
      </c>
      <c r="M580">
        <v>3</v>
      </c>
      <c r="N580" s="3" t="str">
        <f t="shared" si="367"/>
        <v/>
      </c>
      <c r="O580" s="4" t="str">
        <f t="shared" si="368"/>
        <v/>
      </c>
      <c r="P580" s="4" t="str">
        <f t="shared" si="369"/>
        <v/>
      </c>
      <c r="Q580" s="4" t="str">
        <f t="shared" si="370"/>
        <v/>
      </c>
      <c r="R580" s="4" t="str">
        <f t="shared" si="371"/>
        <v/>
      </c>
      <c r="S580" s="5" t="str">
        <f t="shared" si="372"/>
        <v/>
      </c>
      <c r="T580" s="2" t="str">
        <f t="shared" si="373"/>
        <v/>
      </c>
      <c r="U580" s="2" t="str">
        <f t="shared" si="374"/>
        <v/>
      </c>
      <c r="V580" t="str">
        <f t="shared" si="391"/>
        <v/>
      </c>
      <c r="X580">
        <f t="shared" ref="X580:X593" si="394">MAX(B580-B579,0)</f>
        <v>0</v>
      </c>
      <c r="Y580">
        <f t="shared" ref="Y580:Y593" si="395">MAX(C580-C579,0)</f>
        <v>0</v>
      </c>
      <c r="Z580">
        <f t="shared" ref="Z580:Z593" si="396">MAX(D580-D579,0)</f>
        <v>0</v>
      </c>
      <c r="AA580">
        <f t="shared" ref="AA580:AA593" si="397">MAX(E580-E579,0)</f>
        <v>0</v>
      </c>
      <c r="AB580">
        <f t="shared" ref="AB580:AB593" si="398">MAX(F580-F579,0)</f>
        <v>0</v>
      </c>
      <c r="AC580">
        <f t="shared" ref="AC580:AC593" si="399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93"/>
        <v>.</v>
      </c>
      <c r="M581">
        <v>4</v>
      </c>
      <c r="N581" s="6" t="str">
        <f t="shared" si="367"/>
        <v/>
      </c>
      <c r="O581" s="7" t="str">
        <f t="shared" si="368"/>
        <v/>
      </c>
      <c r="P581" s="7" t="str">
        <f t="shared" si="369"/>
        <v/>
      </c>
      <c r="Q581" s="7" t="str">
        <f t="shared" si="370"/>
        <v/>
      </c>
      <c r="R581" s="7" t="str">
        <f t="shared" si="371"/>
        <v/>
      </c>
      <c r="S581" s="8" t="str">
        <f t="shared" si="372"/>
        <v/>
      </c>
      <c r="T581" s="2" t="str">
        <f t="shared" si="373"/>
        <v/>
      </c>
      <c r="U581" s="2" t="str">
        <f t="shared" si="374"/>
        <v/>
      </c>
      <c r="V581" t="str">
        <f t="shared" si="391"/>
        <v/>
      </c>
      <c r="X581">
        <f t="shared" si="394"/>
        <v>0</v>
      </c>
      <c r="Y581">
        <f t="shared" si="395"/>
        <v>0</v>
      </c>
      <c r="Z581">
        <f t="shared" si="396"/>
        <v>0</v>
      </c>
      <c r="AA581">
        <f t="shared" si="397"/>
        <v>0</v>
      </c>
      <c r="AB581">
        <f t="shared" si="398"/>
        <v>0</v>
      </c>
      <c r="AC581">
        <f t="shared" si="399"/>
        <v>0</v>
      </c>
      <c r="AE581" t="str">
        <f>(D593*128+D592*64+D591*32+D590*16+D589*8+D588*4+D587*2+D586)*256+D585*128+D584*64+D583*32+D582*16+D581*8+D580*4+D579*2+D578&amp;","</f>
        <v>14336,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93"/>
        <v>.</v>
      </c>
      <c r="M582">
        <v>5</v>
      </c>
      <c r="N582" s="22" t="str">
        <f t="shared" si="367"/>
        <v/>
      </c>
      <c r="O582" s="15" t="str">
        <f t="shared" si="368"/>
        <v/>
      </c>
      <c r="P582" s="15" t="str">
        <f t="shared" si="369"/>
        <v/>
      </c>
      <c r="Q582" s="15" t="str">
        <f t="shared" si="370"/>
        <v/>
      </c>
      <c r="R582" s="16" t="str">
        <f t="shared" si="371"/>
        <v/>
      </c>
      <c r="S582" s="8" t="str">
        <f t="shared" si="372"/>
        <v/>
      </c>
      <c r="T582" s="2" t="str">
        <f t="shared" si="373"/>
        <v/>
      </c>
      <c r="U582" s="2" t="str">
        <f t="shared" si="374"/>
        <v/>
      </c>
      <c r="V582" t="str">
        <f t="shared" si="391"/>
        <v/>
      </c>
      <c r="X582">
        <f t="shared" si="394"/>
        <v>0</v>
      </c>
      <c r="Y582">
        <f t="shared" si="395"/>
        <v>0</v>
      </c>
      <c r="Z582">
        <f t="shared" si="396"/>
        <v>0</v>
      </c>
      <c r="AA582">
        <f t="shared" si="397"/>
        <v>0</v>
      </c>
      <c r="AB582">
        <f t="shared" si="398"/>
        <v>0</v>
      </c>
      <c r="AC582">
        <f t="shared" si="399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93"/>
        <v>.</v>
      </c>
      <c r="M583">
        <v>6</v>
      </c>
      <c r="N583" s="23" t="str">
        <f t="shared" si="367"/>
        <v/>
      </c>
      <c r="O583" s="7" t="str">
        <f t="shared" si="368"/>
        <v/>
      </c>
      <c r="P583" s="7" t="str">
        <f t="shared" si="369"/>
        <v/>
      </c>
      <c r="Q583" s="7" t="str">
        <f t="shared" si="370"/>
        <v/>
      </c>
      <c r="R583" s="17" t="str">
        <f t="shared" si="371"/>
        <v/>
      </c>
      <c r="S583" s="8" t="str">
        <f t="shared" si="372"/>
        <v/>
      </c>
      <c r="T583" s="2" t="str">
        <f t="shared" si="373"/>
        <v/>
      </c>
      <c r="U583" s="2" t="str">
        <f t="shared" si="374"/>
        <v/>
      </c>
      <c r="V583" t="str">
        <f t="shared" si="391"/>
        <v/>
      </c>
      <c r="X583">
        <f t="shared" si="394"/>
        <v>0</v>
      </c>
      <c r="Y583">
        <f t="shared" si="395"/>
        <v>0</v>
      </c>
      <c r="Z583">
        <f t="shared" si="396"/>
        <v>0</v>
      </c>
      <c r="AA583">
        <f t="shared" si="397"/>
        <v>0</v>
      </c>
      <c r="AB583">
        <f t="shared" si="398"/>
        <v>0</v>
      </c>
      <c r="AC583">
        <f t="shared" si="399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93"/>
        <v>.</v>
      </c>
      <c r="M584">
        <v>7</v>
      </c>
      <c r="N584" s="23" t="str">
        <f t="shared" si="367"/>
        <v/>
      </c>
      <c r="O584" s="7" t="str">
        <f t="shared" si="368"/>
        <v/>
      </c>
      <c r="P584" s="7" t="str">
        <f t="shared" si="369"/>
        <v/>
      </c>
      <c r="Q584" s="7" t="str">
        <f t="shared" si="370"/>
        <v/>
      </c>
      <c r="R584" s="17" t="str">
        <f t="shared" si="371"/>
        <v/>
      </c>
      <c r="S584" s="8" t="str">
        <f t="shared" si="372"/>
        <v/>
      </c>
      <c r="T584" s="2" t="str">
        <f t="shared" si="373"/>
        <v/>
      </c>
      <c r="U584" s="2" t="str">
        <f t="shared" si="374"/>
        <v/>
      </c>
      <c r="V584" t="str">
        <f t="shared" si="391"/>
        <v/>
      </c>
      <c r="X584">
        <f t="shared" si="394"/>
        <v>0</v>
      </c>
      <c r="Y584">
        <f t="shared" si="395"/>
        <v>0</v>
      </c>
      <c r="Z584">
        <f t="shared" si="396"/>
        <v>0</v>
      </c>
      <c r="AA584">
        <f t="shared" si="397"/>
        <v>0</v>
      </c>
      <c r="AB584">
        <f t="shared" si="398"/>
        <v>0</v>
      </c>
      <c r="AC584">
        <f t="shared" si="399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93"/>
        <v>.</v>
      </c>
      <c r="M585">
        <v>8</v>
      </c>
      <c r="N585" s="23" t="str">
        <f t="shared" si="367"/>
        <v/>
      </c>
      <c r="O585" s="7" t="str">
        <f t="shared" si="368"/>
        <v/>
      </c>
      <c r="P585" s="7" t="str">
        <f t="shared" si="369"/>
        <v/>
      </c>
      <c r="Q585" s="7" t="str">
        <f t="shared" si="370"/>
        <v/>
      </c>
      <c r="R585" s="17" t="str">
        <f t="shared" si="371"/>
        <v/>
      </c>
      <c r="S585" s="8" t="str">
        <f t="shared" si="372"/>
        <v/>
      </c>
      <c r="T585" s="2" t="str">
        <f t="shared" si="373"/>
        <v/>
      </c>
      <c r="U585" s="2" t="str">
        <f t="shared" si="374"/>
        <v/>
      </c>
      <c r="V585" t="str">
        <f t="shared" si="391"/>
        <v/>
      </c>
      <c r="X585">
        <f t="shared" si="394"/>
        <v>0</v>
      </c>
      <c r="Y585">
        <f t="shared" si="395"/>
        <v>0</v>
      </c>
      <c r="Z585">
        <f t="shared" si="396"/>
        <v>0</v>
      </c>
      <c r="AA585">
        <f t="shared" si="397"/>
        <v>0</v>
      </c>
      <c r="AB585">
        <f t="shared" si="398"/>
        <v>0</v>
      </c>
      <c r="AC585">
        <f t="shared" si="399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93"/>
        <v>.</v>
      </c>
      <c r="M586">
        <v>9</v>
      </c>
      <c r="N586" s="23" t="str">
        <f t="shared" si="367"/>
        <v/>
      </c>
      <c r="O586" s="7" t="str">
        <f t="shared" si="368"/>
        <v/>
      </c>
      <c r="P586" s="7" t="str">
        <f t="shared" si="369"/>
        <v/>
      </c>
      <c r="Q586" s="7" t="str">
        <f t="shared" si="370"/>
        <v/>
      </c>
      <c r="R586" s="17" t="str">
        <f t="shared" si="371"/>
        <v/>
      </c>
      <c r="S586" s="8" t="str">
        <f t="shared" si="372"/>
        <v/>
      </c>
      <c r="T586" s="2" t="str">
        <f t="shared" si="373"/>
        <v/>
      </c>
      <c r="U586" s="2" t="str">
        <f t="shared" si="374"/>
        <v/>
      </c>
      <c r="V586" t="str">
        <f t="shared" si="391"/>
        <v/>
      </c>
      <c r="X586">
        <f t="shared" si="394"/>
        <v>0</v>
      </c>
      <c r="Y586">
        <f t="shared" si="395"/>
        <v>0</v>
      </c>
      <c r="Z586">
        <f t="shared" si="396"/>
        <v>0</v>
      </c>
      <c r="AA586">
        <f t="shared" si="397"/>
        <v>0</v>
      </c>
      <c r="AB586">
        <f t="shared" si="398"/>
        <v>0</v>
      </c>
      <c r="AC586">
        <f t="shared" si="399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93"/>
        <v>.</v>
      </c>
      <c r="M587">
        <v>10</v>
      </c>
      <c r="N587" s="23" t="str">
        <f t="shared" si="367"/>
        <v/>
      </c>
      <c r="O587" s="7" t="str">
        <f t="shared" si="368"/>
        <v/>
      </c>
      <c r="P587" s="7" t="str">
        <f t="shared" si="369"/>
        <v/>
      </c>
      <c r="Q587" s="7" t="str">
        <f t="shared" si="370"/>
        <v/>
      </c>
      <c r="R587" s="17" t="str">
        <f t="shared" si="371"/>
        <v/>
      </c>
      <c r="S587" s="8" t="str">
        <f t="shared" si="372"/>
        <v/>
      </c>
      <c r="T587" s="2" t="str">
        <f t="shared" si="373"/>
        <v/>
      </c>
      <c r="U587" s="2" t="str">
        <f t="shared" si="374"/>
        <v/>
      </c>
      <c r="V587" t="str">
        <f t="shared" si="391"/>
        <v/>
      </c>
      <c r="X587">
        <f t="shared" si="394"/>
        <v>0</v>
      </c>
      <c r="Y587">
        <f t="shared" si="395"/>
        <v>0</v>
      </c>
      <c r="Z587">
        <f t="shared" si="396"/>
        <v>0</v>
      </c>
      <c r="AA587">
        <f t="shared" si="397"/>
        <v>0</v>
      </c>
      <c r="AB587">
        <f t="shared" si="398"/>
        <v>0</v>
      </c>
      <c r="AC587">
        <f t="shared" si="399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93"/>
        <v>.</v>
      </c>
      <c r="M588">
        <v>11</v>
      </c>
      <c r="N588" s="23" t="str">
        <f t="shared" si="367"/>
        <v/>
      </c>
      <c r="O588" s="7" t="str">
        <f t="shared" si="368"/>
        <v/>
      </c>
      <c r="P588" s="7" t="str">
        <f t="shared" si="369"/>
        <v/>
      </c>
      <c r="Q588" s="7" t="str">
        <f t="shared" si="370"/>
        <v/>
      </c>
      <c r="R588" s="17" t="str">
        <f t="shared" si="371"/>
        <v/>
      </c>
      <c r="S588" s="8" t="str">
        <f t="shared" si="372"/>
        <v/>
      </c>
      <c r="T588" s="2" t="str">
        <f t="shared" si="373"/>
        <v/>
      </c>
      <c r="U588" s="2" t="str">
        <f t="shared" si="374"/>
        <v/>
      </c>
      <c r="V588" t="str">
        <f t="shared" si="391"/>
        <v/>
      </c>
      <c r="X588">
        <f t="shared" si="394"/>
        <v>0</v>
      </c>
      <c r="Y588">
        <f t="shared" si="395"/>
        <v>0</v>
      </c>
      <c r="Z588">
        <f t="shared" si="396"/>
        <v>0</v>
      </c>
      <c r="AA588">
        <f t="shared" si="397"/>
        <v>0</v>
      </c>
      <c r="AB588">
        <f t="shared" si="398"/>
        <v>0</v>
      </c>
      <c r="AC588">
        <f t="shared" si="399"/>
        <v>0</v>
      </c>
    </row>
    <row r="589" spans="1:31" x14ac:dyDescent="0.2">
      <c r="A589" s="21"/>
      <c r="B589" s="21">
        <v>0</v>
      </c>
      <c r="C589" s="21">
        <v>1</v>
      </c>
      <c r="D589" s="21">
        <v>1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93"/>
        <v>.</v>
      </c>
      <c r="M589">
        <v>12</v>
      </c>
      <c r="N589" s="23" t="str">
        <f t="shared" si="367"/>
        <v/>
      </c>
      <c r="O589" s="7" t="str">
        <f t="shared" si="368"/>
        <v>#</v>
      </c>
      <c r="P589" s="7" t="str">
        <f t="shared" si="369"/>
        <v>#</v>
      </c>
      <c r="Q589" s="7" t="str">
        <f t="shared" si="370"/>
        <v/>
      </c>
      <c r="R589" s="17" t="str">
        <f t="shared" si="371"/>
        <v/>
      </c>
      <c r="S589" s="8" t="str">
        <f t="shared" si="372"/>
        <v/>
      </c>
      <c r="T589" s="2" t="str">
        <f t="shared" si="373"/>
        <v/>
      </c>
      <c r="U589" s="2" t="str">
        <f t="shared" si="374"/>
        <v/>
      </c>
      <c r="V589" t="str">
        <f t="shared" si="391"/>
        <v/>
      </c>
      <c r="X589">
        <f t="shared" si="394"/>
        <v>0</v>
      </c>
      <c r="Y589">
        <f t="shared" si="395"/>
        <v>1</v>
      </c>
      <c r="Z589">
        <f t="shared" si="396"/>
        <v>1</v>
      </c>
      <c r="AA589">
        <f t="shared" si="397"/>
        <v>0</v>
      </c>
      <c r="AB589">
        <f t="shared" si="398"/>
        <v>0</v>
      </c>
      <c r="AC589">
        <f t="shared" si="399"/>
        <v>0</v>
      </c>
    </row>
    <row r="590" spans="1:31" x14ac:dyDescent="0.2">
      <c r="A590" s="21"/>
      <c r="B590" s="21">
        <v>0</v>
      </c>
      <c r="C590" s="21">
        <v>1</v>
      </c>
      <c r="D590" s="21">
        <v>1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93"/>
        <v>.</v>
      </c>
      <c r="M590">
        <v>13</v>
      </c>
      <c r="N590" s="6" t="str">
        <f t="shared" si="367"/>
        <v/>
      </c>
      <c r="O590" s="7" t="str">
        <f t="shared" si="368"/>
        <v>#</v>
      </c>
      <c r="P590" s="7" t="str">
        <f t="shared" si="369"/>
        <v>#</v>
      </c>
      <c r="Q590" s="7" t="str">
        <f t="shared" si="370"/>
        <v/>
      </c>
      <c r="R590" s="17" t="str">
        <f t="shared" si="371"/>
        <v/>
      </c>
      <c r="S590" s="8" t="str">
        <f t="shared" si="372"/>
        <v/>
      </c>
      <c r="T590" s="2" t="str">
        <f t="shared" si="373"/>
        <v/>
      </c>
      <c r="U590" s="2" t="str">
        <f t="shared" si="374"/>
        <v/>
      </c>
      <c r="V590" t="str">
        <f t="shared" si="391"/>
        <v/>
      </c>
      <c r="X590">
        <f t="shared" si="394"/>
        <v>0</v>
      </c>
      <c r="Y590">
        <f t="shared" si="395"/>
        <v>0</v>
      </c>
      <c r="Z590">
        <f t="shared" si="396"/>
        <v>0</v>
      </c>
      <c r="AA590">
        <f t="shared" si="397"/>
        <v>0</v>
      </c>
      <c r="AB590">
        <f t="shared" si="398"/>
        <v>0</v>
      </c>
      <c r="AC590">
        <f t="shared" si="399"/>
        <v>0</v>
      </c>
    </row>
    <row r="591" spans="1:31" ht="13.5" thickBot="1" x14ac:dyDescent="0.25">
      <c r="A591" s="21"/>
      <c r="B591" s="21">
        <v>0</v>
      </c>
      <c r="C591" s="21">
        <v>1</v>
      </c>
      <c r="D591" s="21">
        <v>1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93"/>
        <v>.</v>
      </c>
      <c r="M591">
        <v>14</v>
      </c>
      <c r="N591" s="18" t="str">
        <f t="shared" si="367"/>
        <v/>
      </c>
      <c r="O591" s="19" t="str">
        <f t="shared" si="368"/>
        <v>#</v>
      </c>
      <c r="P591" s="19" t="str">
        <f t="shared" si="369"/>
        <v>#</v>
      </c>
      <c r="Q591" s="19" t="str">
        <f t="shared" si="370"/>
        <v/>
      </c>
      <c r="R591" s="20" t="str">
        <f t="shared" si="371"/>
        <v/>
      </c>
      <c r="S591" s="8" t="str">
        <f t="shared" si="372"/>
        <v/>
      </c>
      <c r="T591" s="2" t="str">
        <f t="shared" si="373"/>
        <v/>
      </c>
      <c r="U591" s="2" t="str">
        <f t="shared" si="374"/>
        <v/>
      </c>
      <c r="V591" t="str">
        <f t="shared" si="391"/>
        <v/>
      </c>
      <c r="X591">
        <f t="shared" si="394"/>
        <v>0</v>
      </c>
      <c r="Y591">
        <f t="shared" si="395"/>
        <v>0</v>
      </c>
      <c r="Z591">
        <f t="shared" si="396"/>
        <v>0</v>
      </c>
      <c r="AA591">
        <f t="shared" si="397"/>
        <v>0</v>
      </c>
      <c r="AB591">
        <f t="shared" si="398"/>
        <v>0</v>
      </c>
      <c r="AC591">
        <f t="shared" si="399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93"/>
        <v>.</v>
      </c>
      <c r="M592">
        <v>15</v>
      </c>
      <c r="N592" s="9" t="str">
        <f t="shared" si="367"/>
        <v/>
      </c>
      <c r="O592" s="10" t="str">
        <f t="shared" si="368"/>
        <v/>
      </c>
      <c r="P592" s="10" t="str">
        <f t="shared" si="369"/>
        <v/>
      </c>
      <c r="Q592" s="10" t="str">
        <f t="shared" si="370"/>
        <v/>
      </c>
      <c r="R592" s="10" t="str">
        <f t="shared" si="371"/>
        <v/>
      </c>
      <c r="S592" s="11" t="str">
        <f t="shared" si="372"/>
        <v/>
      </c>
      <c r="T592" s="2" t="str">
        <f t="shared" si="373"/>
        <v/>
      </c>
      <c r="U592" s="2" t="str">
        <f t="shared" si="374"/>
        <v/>
      </c>
      <c r="V592" t="str">
        <f t="shared" si="391"/>
        <v/>
      </c>
      <c r="X592">
        <f t="shared" si="394"/>
        <v>0</v>
      </c>
      <c r="Y592">
        <f t="shared" si="395"/>
        <v>0</v>
      </c>
      <c r="Z592">
        <f t="shared" si="396"/>
        <v>0</v>
      </c>
      <c r="AA592">
        <f t="shared" si="397"/>
        <v>0</v>
      </c>
      <c r="AB592">
        <f t="shared" si="398"/>
        <v>0</v>
      </c>
      <c r="AC592">
        <f t="shared" si="399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93"/>
        <v>.</v>
      </c>
      <c r="M593">
        <v>16</v>
      </c>
      <c r="N593" s="12" t="str">
        <f t="shared" si="367"/>
        <v/>
      </c>
      <c r="O593" s="13" t="str">
        <f t="shared" si="368"/>
        <v/>
      </c>
      <c r="P593" s="13" t="str">
        <f t="shared" si="369"/>
        <v/>
      </c>
      <c r="Q593" s="13" t="str">
        <f t="shared" si="370"/>
        <v/>
      </c>
      <c r="R593" s="13" t="str">
        <f t="shared" si="371"/>
        <v/>
      </c>
      <c r="S593" s="14" t="str">
        <f t="shared" si="372"/>
        <v/>
      </c>
      <c r="T593" s="2" t="str">
        <f t="shared" si="373"/>
        <v/>
      </c>
      <c r="U593" s="2" t="str">
        <f t="shared" si="374"/>
        <v/>
      </c>
      <c r="V593" t="str">
        <f t="shared" si="391"/>
        <v/>
      </c>
      <c r="X593">
        <f t="shared" si="394"/>
        <v>0</v>
      </c>
      <c r="Y593">
        <f t="shared" si="395"/>
        <v>0</v>
      </c>
      <c r="Z593">
        <f t="shared" si="396"/>
        <v>0</v>
      </c>
      <c r="AA593">
        <f t="shared" si="397"/>
        <v>0</v>
      </c>
      <c r="AB593">
        <f t="shared" si="398"/>
        <v>0</v>
      </c>
      <c r="AC593">
        <f t="shared" si="399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7"/>
        <v/>
      </c>
      <c r="O594" t="str">
        <f t="shared" si="368"/>
        <v/>
      </c>
      <c r="P594" t="str">
        <f t="shared" si="369"/>
        <v/>
      </c>
      <c r="Q594" t="str">
        <f t="shared" si="370"/>
        <v/>
      </c>
      <c r="R594" t="str">
        <f t="shared" si="371"/>
        <v/>
      </c>
      <c r="S594" t="str">
        <f t="shared" si="372"/>
        <v/>
      </c>
      <c r="T594" s="2" t="str">
        <f t="shared" si="373"/>
        <v/>
      </c>
      <c r="U594" s="2" t="str">
        <f t="shared" si="374"/>
        <v/>
      </c>
      <c r="V594" t="str">
        <f t="shared" si="391"/>
        <v/>
      </c>
      <c r="W594">
        <f>SUM(B596:G609)</f>
        <v>15</v>
      </c>
      <c r="AD594">
        <f t="shared" ref="AD594" si="400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401">L594</f>
        <v>/</v>
      </c>
      <c r="M595">
        <v>2</v>
      </c>
      <c r="N595" t="str">
        <f t="shared" si="367"/>
        <v/>
      </c>
      <c r="O595" t="str">
        <f t="shared" si="368"/>
        <v/>
      </c>
      <c r="P595" t="str">
        <f t="shared" si="369"/>
        <v/>
      </c>
      <c r="Q595" t="str">
        <f t="shared" si="370"/>
        <v/>
      </c>
      <c r="R595" t="str">
        <f t="shared" si="371"/>
        <v/>
      </c>
      <c r="S595" t="str">
        <f t="shared" si="372"/>
        <v/>
      </c>
      <c r="T595" s="2" t="str">
        <f t="shared" si="373"/>
        <v/>
      </c>
      <c r="U595" s="2" t="str">
        <f t="shared" si="374"/>
        <v/>
      </c>
      <c r="V595" t="str">
        <f t="shared" si="391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401"/>
        <v>/</v>
      </c>
      <c r="M596">
        <v>3</v>
      </c>
      <c r="N596" s="3" t="str">
        <f t="shared" si="367"/>
        <v/>
      </c>
      <c r="O596" s="4" t="str">
        <f t="shared" si="368"/>
        <v/>
      </c>
      <c r="P596" s="4" t="str">
        <f t="shared" si="369"/>
        <v/>
      </c>
      <c r="Q596" s="4" t="str">
        <f t="shared" si="370"/>
        <v/>
      </c>
      <c r="R596" s="4" t="str">
        <f t="shared" si="371"/>
        <v/>
      </c>
      <c r="S596" s="5" t="str">
        <f t="shared" si="372"/>
        <v/>
      </c>
      <c r="T596" s="2" t="str">
        <f t="shared" si="373"/>
        <v/>
      </c>
      <c r="U596" s="2" t="str">
        <f t="shared" si="374"/>
        <v/>
      </c>
      <c r="V596" t="str">
        <f t="shared" si="391"/>
        <v/>
      </c>
      <c r="X596">
        <f t="shared" ref="X596:X609" si="402">MAX(B596-B595,0)</f>
        <v>0</v>
      </c>
      <c r="Y596">
        <f t="shared" ref="Y596:Y609" si="403">MAX(C596-C595,0)</f>
        <v>0</v>
      </c>
      <c r="Z596">
        <f t="shared" ref="Z596:Z609" si="404">MAX(D596-D595,0)</f>
        <v>0</v>
      </c>
      <c r="AA596">
        <f t="shared" ref="AA596:AA609" si="405">MAX(E596-E595,0)</f>
        <v>0</v>
      </c>
      <c r="AB596">
        <f t="shared" ref="AB596:AB609" si="406">MAX(F596-F595,0)</f>
        <v>0</v>
      </c>
      <c r="AC596">
        <f t="shared" ref="AC596:AC609" si="407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401"/>
        <v>/</v>
      </c>
      <c r="M597">
        <v>4</v>
      </c>
      <c r="N597" s="6" t="str">
        <f t="shared" si="367"/>
        <v/>
      </c>
      <c r="O597" s="7" t="str">
        <f t="shared" si="368"/>
        <v/>
      </c>
      <c r="P597" s="7" t="str">
        <f t="shared" si="369"/>
        <v/>
      </c>
      <c r="Q597" s="7" t="str">
        <f t="shared" si="370"/>
        <v/>
      </c>
      <c r="R597" s="7" t="str">
        <f t="shared" si="371"/>
        <v/>
      </c>
      <c r="S597" s="8" t="str">
        <f t="shared" si="372"/>
        <v/>
      </c>
      <c r="T597" s="2" t="str">
        <f t="shared" si="373"/>
        <v/>
      </c>
      <c r="U597" s="2" t="str">
        <f t="shared" si="374"/>
        <v/>
      </c>
      <c r="V597" t="str">
        <f t="shared" si="391"/>
        <v/>
      </c>
      <c r="X597">
        <f t="shared" si="402"/>
        <v>0</v>
      </c>
      <c r="Y597">
        <f t="shared" si="403"/>
        <v>0</v>
      </c>
      <c r="Z597">
        <f t="shared" si="404"/>
        <v>0</v>
      </c>
      <c r="AA597">
        <f t="shared" si="405"/>
        <v>0</v>
      </c>
      <c r="AB597">
        <f t="shared" si="406"/>
        <v>0</v>
      </c>
      <c r="AC597">
        <f t="shared" si="407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401"/>
        <v>/</v>
      </c>
      <c r="M598">
        <v>5</v>
      </c>
      <c r="N598" s="22" t="str">
        <f t="shared" si="367"/>
        <v/>
      </c>
      <c r="O598" s="15" t="str">
        <f t="shared" si="368"/>
        <v/>
      </c>
      <c r="P598" s="15" t="str">
        <f t="shared" si="369"/>
        <v/>
      </c>
      <c r="Q598" s="15" t="str">
        <f t="shared" si="370"/>
        <v/>
      </c>
      <c r="R598" s="16" t="str">
        <f t="shared" si="371"/>
        <v>#</v>
      </c>
      <c r="S598" s="8" t="str">
        <f t="shared" si="372"/>
        <v/>
      </c>
      <c r="T598" s="2" t="str">
        <f t="shared" si="373"/>
        <v/>
      </c>
      <c r="U598" s="2" t="str">
        <f t="shared" si="374"/>
        <v/>
      </c>
      <c r="V598" t="str">
        <f t="shared" si="391"/>
        <v/>
      </c>
      <c r="X598">
        <f t="shared" si="402"/>
        <v>0</v>
      </c>
      <c r="Y598">
        <f t="shared" si="403"/>
        <v>0</v>
      </c>
      <c r="Z598">
        <f t="shared" si="404"/>
        <v>0</v>
      </c>
      <c r="AA598">
        <f t="shared" si="405"/>
        <v>0</v>
      </c>
      <c r="AB598">
        <f t="shared" si="406"/>
        <v>1</v>
      </c>
      <c r="AC598">
        <f t="shared" si="407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401"/>
        <v>/</v>
      </c>
      <c r="M599">
        <v>6</v>
      </c>
      <c r="N599" s="23" t="str">
        <f t="shared" si="367"/>
        <v/>
      </c>
      <c r="O599" s="7" t="str">
        <f t="shared" si="368"/>
        <v/>
      </c>
      <c r="P599" s="7" t="str">
        <f t="shared" si="369"/>
        <v/>
      </c>
      <c r="Q599" s="7" t="str">
        <f t="shared" si="370"/>
        <v/>
      </c>
      <c r="R599" s="17" t="str">
        <f t="shared" si="371"/>
        <v>#</v>
      </c>
      <c r="S599" s="8" t="str">
        <f t="shared" si="372"/>
        <v/>
      </c>
      <c r="T599" s="2" t="str">
        <f t="shared" si="373"/>
        <v/>
      </c>
      <c r="U599" s="2" t="str">
        <f t="shared" si="374"/>
        <v/>
      </c>
      <c r="V599" t="str">
        <f t="shared" si="391"/>
        <v/>
      </c>
      <c r="X599">
        <f t="shared" si="402"/>
        <v>0</v>
      </c>
      <c r="Y599">
        <f t="shared" si="403"/>
        <v>0</v>
      </c>
      <c r="Z599">
        <f t="shared" si="404"/>
        <v>0</v>
      </c>
      <c r="AA599">
        <f t="shared" si="405"/>
        <v>0</v>
      </c>
      <c r="AB599">
        <f t="shared" si="406"/>
        <v>0</v>
      </c>
      <c r="AC599">
        <f t="shared" si="407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401"/>
        <v>/</v>
      </c>
      <c r="M600">
        <v>7</v>
      </c>
      <c r="N600" s="23" t="str">
        <f t="shared" si="367"/>
        <v/>
      </c>
      <c r="O600" s="7" t="str">
        <f t="shared" si="368"/>
        <v/>
      </c>
      <c r="P600" s="7" t="str">
        <f t="shared" si="369"/>
        <v/>
      </c>
      <c r="Q600" s="7" t="str">
        <f t="shared" si="370"/>
        <v>#</v>
      </c>
      <c r="R600" s="17" t="str">
        <f t="shared" si="371"/>
        <v>#</v>
      </c>
      <c r="S600" s="8" t="str">
        <f t="shared" si="372"/>
        <v/>
      </c>
      <c r="T600" s="2" t="str">
        <f t="shared" si="373"/>
        <v/>
      </c>
      <c r="U600" s="2" t="str">
        <f t="shared" si="374"/>
        <v/>
      </c>
      <c r="V600" t="str">
        <f t="shared" si="391"/>
        <v/>
      </c>
      <c r="X600">
        <f t="shared" si="402"/>
        <v>0</v>
      </c>
      <c r="Y600">
        <f t="shared" si="403"/>
        <v>0</v>
      </c>
      <c r="Z600">
        <f t="shared" si="404"/>
        <v>0</v>
      </c>
      <c r="AA600">
        <f t="shared" si="405"/>
        <v>1</v>
      </c>
      <c r="AB600">
        <f t="shared" si="406"/>
        <v>0</v>
      </c>
      <c r="AC600">
        <f t="shared" si="407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401"/>
        <v>/</v>
      </c>
      <c r="M601">
        <v>8</v>
      </c>
      <c r="N601" s="23" t="str">
        <f t="shared" si="367"/>
        <v/>
      </c>
      <c r="O601" s="7" t="str">
        <f t="shared" si="368"/>
        <v/>
      </c>
      <c r="P601" s="7" t="str">
        <f t="shared" si="369"/>
        <v/>
      </c>
      <c r="Q601" s="7" t="str">
        <f t="shared" si="370"/>
        <v>#</v>
      </c>
      <c r="R601" s="17" t="str">
        <f t="shared" si="371"/>
        <v/>
      </c>
      <c r="S601" s="8" t="str">
        <f t="shared" si="372"/>
        <v/>
      </c>
      <c r="T601" s="2" t="str">
        <f t="shared" si="373"/>
        <v/>
      </c>
      <c r="U601" s="2" t="str">
        <f t="shared" si="374"/>
        <v/>
      </c>
      <c r="V601" t="str">
        <f t="shared" si="391"/>
        <v/>
      </c>
      <c r="X601">
        <f t="shared" si="402"/>
        <v>0</v>
      </c>
      <c r="Y601">
        <f t="shared" si="403"/>
        <v>0</v>
      </c>
      <c r="Z601">
        <f t="shared" si="404"/>
        <v>0</v>
      </c>
      <c r="AA601">
        <f t="shared" si="405"/>
        <v>0</v>
      </c>
      <c r="AB601">
        <f t="shared" si="406"/>
        <v>0</v>
      </c>
      <c r="AC601">
        <f t="shared" si="407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401"/>
        <v>/</v>
      </c>
      <c r="M602">
        <v>9</v>
      </c>
      <c r="N602" s="23" t="str">
        <f t="shared" si="367"/>
        <v/>
      </c>
      <c r="O602" s="7" t="str">
        <f t="shared" si="368"/>
        <v/>
      </c>
      <c r="P602" s="7" t="str">
        <f t="shared" si="369"/>
        <v>#</v>
      </c>
      <c r="Q602" s="7" t="str">
        <f t="shared" si="370"/>
        <v>#</v>
      </c>
      <c r="R602" s="17" t="str">
        <f t="shared" si="371"/>
        <v/>
      </c>
      <c r="S602" s="8" t="str">
        <f t="shared" si="372"/>
        <v/>
      </c>
      <c r="T602" s="2" t="str">
        <f t="shared" si="373"/>
        <v/>
      </c>
      <c r="U602" s="2" t="str">
        <f t="shared" si="374"/>
        <v/>
      </c>
      <c r="V602" t="str">
        <f t="shared" si="391"/>
        <v/>
      </c>
      <c r="X602">
        <f t="shared" si="402"/>
        <v>0</v>
      </c>
      <c r="Y602">
        <f t="shared" si="403"/>
        <v>0</v>
      </c>
      <c r="Z602">
        <f t="shared" si="404"/>
        <v>1</v>
      </c>
      <c r="AA602">
        <f t="shared" si="405"/>
        <v>0</v>
      </c>
      <c r="AB602">
        <f t="shared" si="406"/>
        <v>0</v>
      </c>
      <c r="AC602">
        <f t="shared" si="407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401"/>
        <v>/</v>
      </c>
      <c r="M603">
        <v>10</v>
      </c>
      <c r="N603" s="23" t="str">
        <f t="shared" si="367"/>
        <v/>
      </c>
      <c r="O603" s="7" t="str">
        <f t="shared" si="368"/>
        <v/>
      </c>
      <c r="P603" s="7" t="str">
        <f t="shared" si="369"/>
        <v>#</v>
      </c>
      <c r="Q603" s="7" t="str">
        <f t="shared" si="370"/>
        <v/>
      </c>
      <c r="R603" s="17" t="str">
        <f t="shared" si="371"/>
        <v/>
      </c>
      <c r="S603" s="8" t="str">
        <f t="shared" si="372"/>
        <v/>
      </c>
      <c r="T603" s="2" t="str">
        <f t="shared" si="373"/>
        <v/>
      </c>
      <c r="U603" s="2" t="str">
        <f t="shared" si="374"/>
        <v/>
      </c>
      <c r="V603" t="str">
        <f t="shared" si="391"/>
        <v/>
      </c>
      <c r="X603">
        <f t="shared" si="402"/>
        <v>0</v>
      </c>
      <c r="Y603">
        <f t="shared" si="403"/>
        <v>0</v>
      </c>
      <c r="Z603">
        <f t="shared" si="404"/>
        <v>0</v>
      </c>
      <c r="AA603">
        <f t="shared" si="405"/>
        <v>0</v>
      </c>
      <c r="AB603">
        <f t="shared" si="406"/>
        <v>0</v>
      </c>
      <c r="AC603">
        <f t="shared" si="407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401"/>
        <v>/</v>
      </c>
      <c r="M604">
        <v>11</v>
      </c>
      <c r="N604" s="23" t="str">
        <f t="shared" si="367"/>
        <v/>
      </c>
      <c r="O604" s="7" t="str">
        <f t="shared" si="368"/>
        <v>#</v>
      </c>
      <c r="P604" s="7" t="str">
        <f t="shared" si="369"/>
        <v>#</v>
      </c>
      <c r="Q604" s="7" t="str">
        <f t="shared" si="370"/>
        <v/>
      </c>
      <c r="R604" s="17" t="str">
        <f t="shared" si="371"/>
        <v/>
      </c>
      <c r="S604" s="8" t="str">
        <f t="shared" si="372"/>
        <v/>
      </c>
      <c r="T604" s="2" t="str">
        <f t="shared" si="373"/>
        <v/>
      </c>
      <c r="U604" s="2" t="str">
        <f t="shared" si="374"/>
        <v/>
      </c>
      <c r="V604" t="str">
        <f t="shared" si="391"/>
        <v/>
      </c>
      <c r="X604">
        <f t="shared" si="402"/>
        <v>0</v>
      </c>
      <c r="Y604">
        <f t="shared" si="403"/>
        <v>1</v>
      </c>
      <c r="Z604">
        <f t="shared" si="404"/>
        <v>0</v>
      </c>
      <c r="AA604">
        <f t="shared" si="405"/>
        <v>0</v>
      </c>
      <c r="AB604">
        <f t="shared" si="406"/>
        <v>0</v>
      </c>
      <c r="AC604">
        <f t="shared" si="407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401"/>
        <v>/</v>
      </c>
      <c r="M605">
        <v>12</v>
      </c>
      <c r="N605" s="23" t="str">
        <f t="shared" si="367"/>
        <v/>
      </c>
      <c r="O605" s="7" t="str">
        <f t="shared" si="368"/>
        <v>#</v>
      </c>
      <c r="P605" s="7" t="str">
        <f t="shared" si="369"/>
        <v/>
      </c>
      <c r="Q605" s="7" t="str">
        <f t="shared" si="370"/>
        <v/>
      </c>
      <c r="R605" s="17" t="str">
        <f t="shared" si="371"/>
        <v/>
      </c>
      <c r="S605" s="8" t="str">
        <f t="shared" si="372"/>
        <v/>
      </c>
      <c r="T605" s="2" t="str">
        <f t="shared" si="373"/>
        <v/>
      </c>
      <c r="U605" s="2" t="str">
        <f t="shared" si="374"/>
        <v/>
      </c>
      <c r="V605" t="str">
        <f t="shared" si="391"/>
        <v/>
      </c>
      <c r="X605">
        <f t="shared" si="402"/>
        <v>0</v>
      </c>
      <c r="Y605">
        <f t="shared" si="403"/>
        <v>0</v>
      </c>
      <c r="Z605">
        <f t="shared" si="404"/>
        <v>0</v>
      </c>
      <c r="AA605">
        <f t="shared" si="405"/>
        <v>0</v>
      </c>
      <c r="AB605">
        <f t="shared" si="406"/>
        <v>0</v>
      </c>
      <c r="AC605">
        <f t="shared" si="407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401"/>
        <v>/</v>
      </c>
      <c r="M606">
        <v>13</v>
      </c>
      <c r="N606" s="6" t="str">
        <f t="shared" si="367"/>
        <v>#</v>
      </c>
      <c r="O606" s="7" t="str">
        <f t="shared" si="368"/>
        <v>#</v>
      </c>
      <c r="P606" s="7" t="str">
        <f t="shared" si="369"/>
        <v/>
      </c>
      <c r="Q606" s="7" t="str">
        <f t="shared" si="370"/>
        <v/>
      </c>
      <c r="R606" s="17" t="str">
        <f t="shared" si="371"/>
        <v/>
      </c>
      <c r="S606" s="8" t="str">
        <f t="shared" si="372"/>
        <v/>
      </c>
      <c r="T606" s="2" t="str">
        <f t="shared" si="373"/>
        <v/>
      </c>
      <c r="U606" s="2" t="str">
        <f t="shared" si="374"/>
        <v/>
      </c>
      <c r="V606" t="str">
        <f t="shared" si="391"/>
        <v/>
      </c>
      <c r="X606">
        <f t="shared" si="402"/>
        <v>1</v>
      </c>
      <c r="Y606">
        <f t="shared" si="403"/>
        <v>0</v>
      </c>
      <c r="Z606">
        <f t="shared" si="404"/>
        <v>0</v>
      </c>
      <c r="AA606">
        <f t="shared" si="405"/>
        <v>0</v>
      </c>
      <c r="AB606">
        <f t="shared" si="406"/>
        <v>0</v>
      </c>
      <c r="AC606">
        <f t="shared" si="407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401"/>
        <v>/</v>
      </c>
      <c r="M607">
        <v>14</v>
      </c>
      <c r="N607" s="18" t="str">
        <f t="shared" si="367"/>
        <v>#</v>
      </c>
      <c r="O607" s="19" t="str">
        <f t="shared" si="368"/>
        <v/>
      </c>
      <c r="P607" s="19" t="str">
        <f t="shared" si="369"/>
        <v/>
      </c>
      <c r="Q607" s="19" t="str">
        <f t="shared" si="370"/>
        <v/>
      </c>
      <c r="R607" s="20" t="str">
        <f t="shared" si="371"/>
        <v/>
      </c>
      <c r="S607" s="8" t="str">
        <f t="shared" si="372"/>
        <v/>
      </c>
      <c r="T607" s="2" t="str">
        <f t="shared" si="373"/>
        <v/>
      </c>
      <c r="U607" s="2" t="str">
        <f t="shared" si="374"/>
        <v/>
      </c>
      <c r="V607" t="str">
        <f t="shared" si="391"/>
        <v/>
      </c>
      <c r="X607">
        <f t="shared" si="402"/>
        <v>0</v>
      </c>
      <c r="Y607">
        <f t="shared" si="403"/>
        <v>0</v>
      </c>
      <c r="Z607">
        <f t="shared" si="404"/>
        <v>0</v>
      </c>
      <c r="AA607">
        <f t="shared" si="405"/>
        <v>0</v>
      </c>
      <c r="AB607">
        <f t="shared" si="406"/>
        <v>0</v>
      </c>
      <c r="AC607">
        <f t="shared" si="407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401"/>
        <v>/</v>
      </c>
      <c r="M608">
        <v>15</v>
      </c>
      <c r="N608" s="9" t="str">
        <f t="shared" si="367"/>
        <v>#</v>
      </c>
      <c r="O608" s="10" t="str">
        <f t="shared" si="368"/>
        <v/>
      </c>
      <c r="P608" s="10" t="str">
        <f t="shared" si="369"/>
        <v/>
      </c>
      <c r="Q608" s="10" t="str">
        <f t="shared" si="370"/>
        <v/>
      </c>
      <c r="R608" s="10" t="str">
        <f t="shared" si="371"/>
        <v/>
      </c>
      <c r="S608" s="11" t="str">
        <f t="shared" si="372"/>
        <v/>
      </c>
      <c r="T608" s="2" t="str">
        <f t="shared" si="373"/>
        <v/>
      </c>
      <c r="U608" s="2" t="str">
        <f t="shared" si="374"/>
        <v/>
      </c>
      <c r="V608" t="str">
        <f t="shared" si="391"/>
        <v/>
      </c>
      <c r="X608">
        <f t="shared" si="402"/>
        <v>0</v>
      </c>
      <c r="Y608">
        <f t="shared" si="403"/>
        <v>0</v>
      </c>
      <c r="Z608">
        <f t="shared" si="404"/>
        <v>0</v>
      </c>
      <c r="AA608">
        <f t="shared" si="405"/>
        <v>0</v>
      </c>
      <c r="AB608">
        <f t="shared" si="406"/>
        <v>0</v>
      </c>
      <c r="AC608">
        <f t="shared" si="407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401"/>
        <v>/</v>
      </c>
      <c r="M609">
        <v>16</v>
      </c>
      <c r="N609" s="12" t="str">
        <f t="shared" si="367"/>
        <v/>
      </c>
      <c r="O609" s="13" t="str">
        <f t="shared" si="368"/>
        <v/>
      </c>
      <c r="P609" s="13" t="str">
        <f t="shared" si="369"/>
        <v/>
      </c>
      <c r="Q609" s="13" t="str">
        <f t="shared" si="370"/>
        <v/>
      </c>
      <c r="R609" s="13" t="str">
        <f t="shared" si="371"/>
        <v/>
      </c>
      <c r="S609" s="14" t="str">
        <f t="shared" si="372"/>
        <v/>
      </c>
      <c r="T609" s="2" t="str">
        <f t="shared" si="373"/>
        <v/>
      </c>
      <c r="U609" s="2" t="str">
        <f t="shared" si="374"/>
        <v/>
      </c>
      <c r="V609" t="str">
        <f t="shared" si="391"/>
        <v/>
      </c>
      <c r="X609">
        <f t="shared" si="402"/>
        <v>0</v>
      </c>
      <c r="Y609">
        <f t="shared" si="403"/>
        <v>0</v>
      </c>
      <c r="Z609">
        <f t="shared" si="404"/>
        <v>0</v>
      </c>
      <c r="AA609">
        <f t="shared" si="405"/>
        <v>0</v>
      </c>
      <c r="AB609">
        <f t="shared" si="406"/>
        <v>0</v>
      </c>
      <c r="AC609">
        <f t="shared" si="407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8">IF(B610&gt;0,"#","")</f>
        <v/>
      </c>
      <c r="O610" t="str">
        <f t="shared" ref="O610:O673" si="409">IF(C610&gt;0,"#","")</f>
        <v/>
      </c>
      <c r="P610" t="str">
        <f t="shared" ref="P610:P673" si="410">IF(D610&gt;0,"#","")</f>
        <v/>
      </c>
      <c r="Q610" t="str">
        <f t="shared" ref="Q610:Q673" si="411">IF(E610&gt;0,"#","")</f>
        <v/>
      </c>
      <c r="R610" t="str">
        <f t="shared" ref="R610:R673" si="412">IF(F610&gt;0,"#","")</f>
        <v/>
      </c>
      <c r="S610" t="str">
        <f t="shared" ref="S610:S673" si="413">IF(G610&gt;0,"#","")</f>
        <v/>
      </c>
      <c r="T610" s="2" t="str">
        <f t="shared" ref="T610:T673" si="414">IF(H610&gt;0,"#","")</f>
        <v/>
      </c>
      <c r="U610" s="2" t="str">
        <f t="shared" ref="U610:U673" si="415">IF(I610&gt;0,"#","")</f>
        <v/>
      </c>
      <c r="V610" t="str">
        <f t="shared" si="391"/>
        <v/>
      </c>
      <c r="W610">
        <f>SUM(B612:G625)</f>
        <v>28</v>
      </c>
      <c r="AD610">
        <f t="shared" ref="AD610" si="416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7">L610</f>
        <v>0</v>
      </c>
      <c r="M611">
        <v>2</v>
      </c>
      <c r="N611" t="str">
        <f t="shared" si="408"/>
        <v/>
      </c>
      <c r="O611" t="str">
        <f t="shared" si="409"/>
        <v/>
      </c>
      <c r="P611" t="str">
        <f t="shared" si="410"/>
        <v/>
      </c>
      <c r="Q611" t="str">
        <f t="shared" si="411"/>
        <v/>
      </c>
      <c r="R611" t="str">
        <f t="shared" si="412"/>
        <v/>
      </c>
      <c r="S611" t="str">
        <f t="shared" si="413"/>
        <v/>
      </c>
      <c r="T611" s="2" t="str">
        <f t="shared" si="414"/>
        <v/>
      </c>
      <c r="U611" s="2" t="str">
        <f t="shared" si="415"/>
        <v/>
      </c>
      <c r="V611" t="str">
        <f t="shared" si="391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7"/>
        <v>0</v>
      </c>
      <c r="M612">
        <v>3</v>
      </c>
      <c r="N612" s="3" t="str">
        <f t="shared" si="408"/>
        <v/>
      </c>
      <c r="O612" s="4" t="str">
        <f t="shared" si="409"/>
        <v/>
      </c>
      <c r="P612" s="4" t="str">
        <f t="shared" si="410"/>
        <v/>
      </c>
      <c r="Q612" s="4" t="str">
        <f t="shared" si="411"/>
        <v/>
      </c>
      <c r="R612" s="4" t="str">
        <f t="shared" si="412"/>
        <v/>
      </c>
      <c r="S612" s="5" t="str">
        <f t="shared" si="413"/>
        <v/>
      </c>
      <c r="T612" s="2" t="str">
        <f t="shared" si="414"/>
        <v/>
      </c>
      <c r="U612" s="2" t="str">
        <f t="shared" si="415"/>
        <v/>
      </c>
      <c r="V612" t="str">
        <f t="shared" si="391"/>
        <v/>
      </c>
      <c r="X612">
        <f t="shared" ref="X612:X625" si="418">MAX(B612-B611,0)</f>
        <v>0</v>
      </c>
      <c r="Y612">
        <f t="shared" ref="Y612:Y625" si="419">MAX(C612-C611,0)</f>
        <v>0</v>
      </c>
      <c r="Z612">
        <f t="shared" ref="Z612:Z625" si="420">MAX(D612-D611,0)</f>
        <v>0</v>
      </c>
      <c r="AA612">
        <f t="shared" ref="AA612:AA625" si="421">MAX(E612-E611,0)</f>
        <v>0</v>
      </c>
      <c r="AB612">
        <f t="shared" ref="AB612:AB625" si="422">MAX(F612-F611,0)</f>
        <v>0</v>
      </c>
      <c r="AC612">
        <f t="shared" ref="AC612:AC625" si="423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7"/>
        <v>0</v>
      </c>
      <c r="M613">
        <v>4</v>
      </c>
      <c r="N613" s="6" t="str">
        <f t="shared" si="408"/>
        <v/>
      </c>
      <c r="O613" s="7" t="str">
        <f t="shared" si="409"/>
        <v/>
      </c>
      <c r="P613" s="7" t="str">
        <f t="shared" si="410"/>
        <v/>
      </c>
      <c r="Q613" s="7" t="str">
        <f t="shared" si="411"/>
        <v/>
      </c>
      <c r="R613" s="7" t="str">
        <f t="shared" si="412"/>
        <v/>
      </c>
      <c r="S613" s="8" t="str">
        <f t="shared" si="413"/>
        <v/>
      </c>
      <c r="T613" s="2" t="str">
        <f t="shared" si="414"/>
        <v/>
      </c>
      <c r="U613" s="2" t="str">
        <f t="shared" si="415"/>
        <v/>
      </c>
      <c r="V613" t="str">
        <f t="shared" si="391"/>
        <v/>
      </c>
      <c r="X613">
        <f t="shared" si="418"/>
        <v>0</v>
      </c>
      <c r="Y613">
        <f t="shared" si="419"/>
        <v>0</v>
      </c>
      <c r="Z613">
        <f t="shared" si="420"/>
        <v>0</v>
      </c>
      <c r="AA613">
        <f t="shared" si="421"/>
        <v>0</v>
      </c>
      <c r="AB613">
        <f t="shared" si="422"/>
        <v>0</v>
      </c>
      <c r="AC613">
        <f t="shared" si="423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7"/>
        <v>0</v>
      </c>
      <c r="M614">
        <v>5</v>
      </c>
      <c r="N614" s="22" t="str">
        <f t="shared" si="408"/>
        <v/>
      </c>
      <c r="O614" s="15" t="str">
        <f t="shared" si="409"/>
        <v>#</v>
      </c>
      <c r="P614" s="15" t="str">
        <f t="shared" si="410"/>
        <v>#</v>
      </c>
      <c r="Q614" s="15" t="str">
        <f t="shared" si="411"/>
        <v>#</v>
      </c>
      <c r="R614" s="16" t="str">
        <f t="shared" si="412"/>
        <v/>
      </c>
      <c r="S614" s="8" t="str">
        <f t="shared" si="413"/>
        <v/>
      </c>
      <c r="T614" s="2" t="str">
        <f t="shared" si="414"/>
        <v/>
      </c>
      <c r="U614" s="2" t="str">
        <f t="shared" si="415"/>
        <v/>
      </c>
      <c r="V614" t="str">
        <f t="shared" si="391"/>
        <v/>
      </c>
      <c r="X614">
        <f t="shared" si="418"/>
        <v>0</v>
      </c>
      <c r="Y614">
        <f t="shared" si="419"/>
        <v>1</v>
      </c>
      <c r="Z614">
        <f t="shared" si="420"/>
        <v>1</v>
      </c>
      <c r="AA614">
        <f t="shared" si="421"/>
        <v>1</v>
      </c>
      <c r="AB614">
        <f t="shared" si="422"/>
        <v>0</v>
      </c>
      <c r="AC614">
        <f t="shared" si="423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7"/>
        <v>0</v>
      </c>
      <c r="M615">
        <v>6</v>
      </c>
      <c r="N615" s="23" t="str">
        <f t="shared" si="408"/>
        <v>#</v>
      </c>
      <c r="O615" s="7" t="str">
        <f t="shared" si="409"/>
        <v>#</v>
      </c>
      <c r="P615" s="7" t="str">
        <f t="shared" si="410"/>
        <v>#</v>
      </c>
      <c r="Q615" s="7" t="str">
        <f t="shared" si="411"/>
        <v>#</v>
      </c>
      <c r="R615" s="17" t="str">
        <f t="shared" si="412"/>
        <v>#</v>
      </c>
      <c r="S615" s="8" t="str">
        <f t="shared" si="413"/>
        <v/>
      </c>
      <c r="T615" s="2" t="str">
        <f t="shared" si="414"/>
        <v/>
      </c>
      <c r="U615" s="2" t="str">
        <f t="shared" si="415"/>
        <v/>
      </c>
      <c r="V615" t="str">
        <f t="shared" si="391"/>
        <v/>
      </c>
      <c r="X615">
        <f t="shared" si="418"/>
        <v>1</v>
      </c>
      <c r="Y615">
        <f t="shared" si="419"/>
        <v>0</v>
      </c>
      <c r="Z615">
        <f t="shared" si="420"/>
        <v>0</v>
      </c>
      <c r="AA615">
        <f t="shared" si="421"/>
        <v>0</v>
      </c>
      <c r="AB615">
        <f t="shared" si="422"/>
        <v>1</v>
      </c>
      <c r="AC615">
        <f t="shared" si="423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7"/>
        <v>0</v>
      </c>
      <c r="M616">
        <v>7</v>
      </c>
      <c r="N616" s="23" t="str">
        <f t="shared" si="408"/>
        <v>#</v>
      </c>
      <c r="O616" s="7" t="str">
        <f t="shared" si="409"/>
        <v/>
      </c>
      <c r="P616" s="7" t="str">
        <f t="shared" si="410"/>
        <v/>
      </c>
      <c r="Q616" s="7" t="str">
        <f t="shared" si="411"/>
        <v/>
      </c>
      <c r="R616" s="17" t="str">
        <f t="shared" si="412"/>
        <v>#</v>
      </c>
      <c r="S616" s="8" t="str">
        <f t="shared" si="413"/>
        <v/>
      </c>
      <c r="T616" s="2" t="str">
        <f t="shared" si="414"/>
        <v/>
      </c>
      <c r="U616" s="2" t="str">
        <f t="shared" si="415"/>
        <v/>
      </c>
      <c r="V616" t="str">
        <f t="shared" si="391"/>
        <v/>
      </c>
      <c r="X616">
        <f t="shared" si="418"/>
        <v>0</v>
      </c>
      <c r="Y616">
        <f t="shared" si="419"/>
        <v>0</v>
      </c>
      <c r="Z616">
        <f t="shared" si="420"/>
        <v>0</v>
      </c>
      <c r="AA616">
        <f t="shared" si="421"/>
        <v>0</v>
      </c>
      <c r="AB616">
        <f t="shared" si="422"/>
        <v>0</v>
      </c>
      <c r="AC616">
        <f t="shared" si="423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7"/>
        <v>0</v>
      </c>
      <c r="M617">
        <v>8</v>
      </c>
      <c r="N617" s="23" t="str">
        <f t="shared" si="408"/>
        <v>#</v>
      </c>
      <c r="O617" s="7" t="str">
        <f t="shared" si="409"/>
        <v/>
      </c>
      <c r="P617" s="7" t="str">
        <f t="shared" si="410"/>
        <v/>
      </c>
      <c r="Q617" s="7" t="str">
        <f t="shared" si="411"/>
        <v/>
      </c>
      <c r="R617" s="17" t="str">
        <f t="shared" si="412"/>
        <v>#</v>
      </c>
      <c r="S617" s="8" t="str">
        <f t="shared" si="413"/>
        <v/>
      </c>
      <c r="T617" s="2" t="str">
        <f t="shared" si="414"/>
        <v/>
      </c>
      <c r="U617" s="2" t="str">
        <f t="shared" si="415"/>
        <v/>
      </c>
      <c r="V617" t="str">
        <f t="shared" si="391"/>
        <v/>
      </c>
      <c r="X617">
        <f t="shared" si="418"/>
        <v>0</v>
      </c>
      <c r="Y617">
        <f t="shared" si="419"/>
        <v>0</v>
      </c>
      <c r="Z617">
        <f t="shared" si="420"/>
        <v>0</v>
      </c>
      <c r="AA617">
        <f t="shared" si="421"/>
        <v>0</v>
      </c>
      <c r="AB617">
        <f t="shared" si="422"/>
        <v>0</v>
      </c>
      <c r="AC617">
        <f t="shared" si="423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7"/>
        <v>0</v>
      </c>
      <c r="M618">
        <v>9</v>
      </c>
      <c r="N618" s="23" t="str">
        <f t="shared" si="408"/>
        <v>#</v>
      </c>
      <c r="O618" s="7" t="str">
        <f t="shared" si="409"/>
        <v/>
      </c>
      <c r="P618" s="7" t="str">
        <f t="shared" si="410"/>
        <v/>
      </c>
      <c r="Q618" s="7" t="str">
        <f t="shared" si="411"/>
        <v/>
      </c>
      <c r="R618" s="17" t="str">
        <f t="shared" si="412"/>
        <v>#</v>
      </c>
      <c r="S618" s="8" t="str">
        <f t="shared" si="413"/>
        <v/>
      </c>
      <c r="T618" s="2" t="str">
        <f t="shared" si="414"/>
        <v/>
      </c>
      <c r="U618" s="2" t="str">
        <f t="shared" si="415"/>
        <v/>
      </c>
      <c r="V618" t="str">
        <f t="shared" si="391"/>
        <v/>
      </c>
      <c r="X618">
        <f t="shared" si="418"/>
        <v>0</v>
      </c>
      <c r="Y618">
        <f t="shared" si="419"/>
        <v>0</v>
      </c>
      <c r="Z618">
        <f t="shared" si="420"/>
        <v>0</v>
      </c>
      <c r="AA618">
        <f t="shared" si="421"/>
        <v>0</v>
      </c>
      <c r="AB618">
        <f t="shared" si="422"/>
        <v>0</v>
      </c>
      <c r="AC618">
        <f t="shared" si="423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7"/>
        <v>0</v>
      </c>
      <c r="M619">
        <v>10</v>
      </c>
      <c r="N619" s="23" t="str">
        <f t="shared" si="408"/>
        <v>#</v>
      </c>
      <c r="O619" s="7" t="str">
        <f t="shared" si="409"/>
        <v/>
      </c>
      <c r="P619" s="7" t="str">
        <f t="shared" si="410"/>
        <v/>
      </c>
      <c r="Q619" s="7" t="str">
        <f t="shared" si="411"/>
        <v/>
      </c>
      <c r="R619" s="17" t="str">
        <f t="shared" si="412"/>
        <v>#</v>
      </c>
      <c r="S619" s="8" t="str">
        <f t="shared" si="413"/>
        <v/>
      </c>
      <c r="T619" s="2" t="str">
        <f t="shared" si="414"/>
        <v/>
      </c>
      <c r="U619" s="2" t="str">
        <f t="shared" si="415"/>
        <v/>
      </c>
      <c r="V619" t="str">
        <f t="shared" si="391"/>
        <v/>
      </c>
      <c r="X619">
        <f t="shared" si="418"/>
        <v>0</v>
      </c>
      <c r="Y619">
        <f t="shared" si="419"/>
        <v>0</v>
      </c>
      <c r="Z619">
        <f t="shared" si="420"/>
        <v>0</v>
      </c>
      <c r="AA619">
        <f t="shared" si="421"/>
        <v>0</v>
      </c>
      <c r="AB619">
        <f t="shared" si="422"/>
        <v>0</v>
      </c>
      <c r="AC619">
        <f t="shared" si="423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7"/>
        <v>0</v>
      </c>
      <c r="M620">
        <v>11</v>
      </c>
      <c r="N620" s="23" t="str">
        <f t="shared" si="408"/>
        <v>#</v>
      </c>
      <c r="O620" s="7" t="str">
        <f t="shared" si="409"/>
        <v/>
      </c>
      <c r="P620" s="7" t="str">
        <f t="shared" si="410"/>
        <v/>
      </c>
      <c r="Q620" s="7" t="str">
        <f t="shared" si="411"/>
        <v/>
      </c>
      <c r="R620" s="17" t="str">
        <f t="shared" si="412"/>
        <v>#</v>
      </c>
      <c r="S620" s="8" t="str">
        <f t="shared" si="413"/>
        <v/>
      </c>
      <c r="T620" s="2" t="str">
        <f t="shared" si="414"/>
        <v/>
      </c>
      <c r="U620" s="2" t="str">
        <f t="shared" si="415"/>
        <v/>
      </c>
      <c r="V620" t="str">
        <f t="shared" si="391"/>
        <v/>
      </c>
      <c r="X620">
        <f t="shared" si="418"/>
        <v>0</v>
      </c>
      <c r="Y620">
        <f t="shared" si="419"/>
        <v>0</v>
      </c>
      <c r="Z620">
        <f t="shared" si="420"/>
        <v>0</v>
      </c>
      <c r="AA620">
        <f t="shared" si="421"/>
        <v>0</v>
      </c>
      <c r="AB620">
        <f t="shared" si="422"/>
        <v>0</v>
      </c>
      <c r="AC620">
        <f t="shared" si="423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7"/>
        <v>0</v>
      </c>
      <c r="M621">
        <v>12</v>
      </c>
      <c r="N621" s="23" t="str">
        <f t="shared" si="408"/>
        <v>#</v>
      </c>
      <c r="O621" s="7" t="str">
        <f t="shared" si="409"/>
        <v/>
      </c>
      <c r="P621" s="7" t="str">
        <f t="shared" si="410"/>
        <v/>
      </c>
      <c r="Q621" s="7" t="str">
        <f t="shared" si="411"/>
        <v/>
      </c>
      <c r="R621" s="17" t="str">
        <f t="shared" si="412"/>
        <v>#</v>
      </c>
      <c r="S621" s="8" t="str">
        <f t="shared" si="413"/>
        <v/>
      </c>
      <c r="T621" s="2" t="str">
        <f t="shared" si="414"/>
        <v/>
      </c>
      <c r="U621" s="2" t="str">
        <f t="shared" si="415"/>
        <v/>
      </c>
      <c r="V621" t="str">
        <f t="shared" si="391"/>
        <v/>
      </c>
      <c r="X621">
        <f t="shared" si="418"/>
        <v>0</v>
      </c>
      <c r="Y621">
        <f t="shared" si="419"/>
        <v>0</v>
      </c>
      <c r="Z621">
        <f t="shared" si="420"/>
        <v>0</v>
      </c>
      <c r="AA621">
        <f t="shared" si="421"/>
        <v>0</v>
      </c>
      <c r="AB621">
        <f t="shared" si="422"/>
        <v>0</v>
      </c>
      <c r="AC621">
        <f t="shared" si="423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7"/>
        <v>0</v>
      </c>
      <c r="M622">
        <v>13</v>
      </c>
      <c r="N622" s="6" t="str">
        <f t="shared" si="408"/>
        <v>#</v>
      </c>
      <c r="O622" s="7" t="str">
        <f t="shared" si="409"/>
        <v>#</v>
      </c>
      <c r="P622" s="7" t="str">
        <f t="shared" si="410"/>
        <v>#</v>
      </c>
      <c r="Q622" s="7" t="str">
        <f t="shared" si="411"/>
        <v>#</v>
      </c>
      <c r="R622" s="17" t="str">
        <f t="shared" si="412"/>
        <v>#</v>
      </c>
      <c r="S622" s="8" t="str">
        <f t="shared" si="413"/>
        <v/>
      </c>
      <c r="T622" s="2" t="str">
        <f t="shared" si="414"/>
        <v/>
      </c>
      <c r="U622" s="2" t="str">
        <f t="shared" si="415"/>
        <v/>
      </c>
      <c r="V622" t="str">
        <f t="shared" si="391"/>
        <v/>
      </c>
      <c r="X622">
        <f t="shared" si="418"/>
        <v>0</v>
      </c>
      <c r="Y622">
        <f t="shared" si="419"/>
        <v>1</v>
      </c>
      <c r="Z622">
        <f t="shared" si="420"/>
        <v>1</v>
      </c>
      <c r="AA622">
        <f t="shared" si="421"/>
        <v>1</v>
      </c>
      <c r="AB622">
        <f t="shared" si="422"/>
        <v>0</v>
      </c>
      <c r="AC622">
        <f t="shared" si="423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7"/>
        <v>0</v>
      </c>
      <c r="M623">
        <v>14</v>
      </c>
      <c r="N623" s="18" t="str">
        <f t="shared" si="408"/>
        <v/>
      </c>
      <c r="O623" s="19" t="str">
        <f t="shared" si="409"/>
        <v>#</v>
      </c>
      <c r="P623" s="19" t="str">
        <f t="shared" si="410"/>
        <v>#</v>
      </c>
      <c r="Q623" s="19" t="str">
        <f t="shared" si="411"/>
        <v>#</v>
      </c>
      <c r="R623" s="20" t="str">
        <f t="shared" si="412"/>
        <v/>
      </c>
      <c r="S623" s="8" t="str">
        <f t="shared" si="413"/>
        <v/>
      </c>
      <c r="T623" s="2" t="str">
        <f t="shared" si="414"/>
        <v/>
      </c>
      <c r="U623" s="2" t="str">
        <f t="shared" si="415"/>
        <v/>
      </c>
      <c r="V623" t="str">
        <f t="shared" si="391"/>
        <v/>
      </c>
      <c r="X623">
        <f t="shared" si="418"/>
        <v>0</v>
      </c>
      <c r="Y623">
        <f t="shared" si="419"/>
        <v>0</v>
      </c>
      <c r="Z623">
        <f t="shared" si="420"/>
        <v>0</v>
      </c>
      <c r="AA623">
        <f t="shared" si="421"/>
        <v>0</v>
      </c>
      <c r="AB623">
        <f t="shared" si="422"/>
        <v>0</v>
      </c>
      <c r="AC623">
        <f t="shared" si="423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7"/>
        <v>0</v>
      </c>
      <c r="M624">
        <v>15</v>
      </c>
      <c r="N624" s="9" t="str">
        <f t="shared" si="408"/>
        <v/>
      </c>
      <c r="O624" s="10" t="str">
        <f t="shared" si="409"/>
        <v/>
      </c>
      <c r="P624" s="10" t="str">
        <f t="shared" si="410"/>
        <v/>
      </c>
      <c r="Q624" s="10" t="str">
        <f t="shared" si="411"/>
        <v/>
      </c>
      <c r="R624" s="10" t="str">
        <f t="shared" si="412"/>
        <v/>
      </c>
      <c r="S624" s="11" t="str">
        <f t="shared" si="413"/>
        <v/>
      </c>
      <c r="T624" s="2" t="str">
        <f t="shared" si="414"/>
        <v/>
      </c>
      <c r="U624" s="2" t="str">
        <f t="shared" si="415"/>
        <v/>
      </c>
      <c r="V624" t="str">
        <f t="shared" si="391"/>
        <v/>
      </c>
      <c r="X624">
        <f t="shared" si="418"/>
        <v>0</v>
      </c>
      <c r="Y624">
        <f t="shared" si="419"/>
        <v>0</v>
      </c>
      <c r="Z624">
        <f t="shared" si="420"/>
        <v>0</v>
      </c>
      <c r="AA624">
        <f t="shared" si="421"/>
        <v>0</v>
      </c>
      <c r="AB624">
        <f t="shared" si="422"/>
        <v>0</v>
      </c>
      <c r="AC624">
        <f t="shared" si="423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7"/>
        <v>0</v>
      </c>
      <c r="M625">
        <v>16</v>
      </c>
      <c r="N625" s="12" t="str">
        <f t="shared" si="408"/>
        <v/>
      </c>
      <c r="O625" s="13" t="str">
        <f t="shared" si="409"/>
        <v/>
      </c>
      <c r="P625" s="13" t="str">
        <f t="shared" si="410"/>
        <v/>
      </c>
      <c r="Q625" s="13" t="str">
        <f t="shared" si="411"/>
        <v/>
      </c>
      <c r="R625" s="13" t="str">
        <f t="shared" si="412"/>
        <v/>
      </c>
      <c r="S625" s="14" t="str">
        <f t="shared" si="413"/>
        <v/>
      </c>
      <c r="T625" s="2" t="str">
        <f t="shared" si="414"/>
        <v/>
      </c>
      <c r="U625" s="2" t="str">
        <f t="shared" si="415"/>
        <v/>
      </c>
      <c r="V625" t="str">
        <f t="shared" si="391"/>
        <v/>
      </c>
      <c r="X625">
        <f t="shared" si="418"/>
        <v>0</v>
      </c>
      <c r="Y625">
        <f t="shared" si="419"/>
        <v>0</v>
      </c>
      <c r="Z625">
        <f t="shared" si="420"/>
        <v>0</v>
      </c>
      <c r="AA625">
        <f t="shared" si="421"/>
        <v>0</v>
      </c>
      <c r="AB625">
        <f t="shared" si="422"/>
        <v>0</v>
      </c>
      <c r="AC625">
        <f t="shared" si="423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8"/>
        <v/>
      </c>
      <c r="O626" t="str">
        <f t="shared" si="409"/>
        <v/>
      </c>
      <c r="P626" t="str">
        <f t="shared" si="410"/>
        <v/>
      </c>
      <c r="Q626" t="str">
        <f t="shared" si="411"/>
        <v/>
      </c>
      <c r="R626" t="str">
        <f t="shared" si="412"/>
        <v/>
      </c>
      <c r="S626" t="str">
        <f t="shared" si="413"/>
        <v/>
      </c>
      <c r="T626" s="2" t="str">
        <f t="shared" si="414"/>
        <v/>
      </c>
      <c r="U626" s="2" t="str">
        <f t="shared" si="415"/>
        <v/>
      </c>
      <c r="V626" t="str">
        <f t="shared" si="391"/>
        <v/>
      </c>
      <c r="W626">
        <f>SUM(B628:G641)</f>
        <v>14</v>
      </c>
      <c r="AD626">
        <f t="shared" ref="AD626" si="424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25">L626</f>
        <v>1</v>
      </c>
      <c r="M627">
        <v>2</v>
      </c>
      <c r="N627" t="str">
        <f t="shared" si="408"/>
        <v/>
      </c>
      <c r="O627" t="str">
        <f t="shared" si="409"/>
        <v/>
      </c>
      <c r="P627" t="str">
        <f t="shared" si="410"/>
        <v/>
      </c>
      <c r="Q627" t="str">
        <f t="shared" si="411"/>
        <v/>
      </c>
      <c r="R627" t="str">
        <f t="shared" si="412"/>
        <v/>
      </c>
      <c r="S627" t="str">
        <f t="shared" si="413"/>
        <v/>
      </c>
      <c r="T627" s="2" t="str">
        <f t="shared" si="414"/>
        <v/>
      </c>
      <c r="U627" s="2" t="str">
        <f t="shared" si="415"/>
        <v/>
      </c>
      <c r="V627" t="str">
        <f t="shared" si="391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25"/>
        <v>1</v>
      </c>
      <c r="M628">
        <v>3</v>
      </c>
      <c r="N628" s="3" t="str">
        <f t="shared" si="408"/>
        <v/>
      </c>
      <c r="O628" s="4" t="str">
        <f t="shared" si="409"/>
        <v/>
      </c>
      <c r="P628" s="4" t="str">
        <f t="shared" si="410"/>
        <v/>
      </c>
      <c r="Q628" s="4" t="str">
        <f t="shared" si="411"/>
        <v/>
      </c>
      <c r="R628" s="4" t="str">
        <f t="shared" si="412"/>
        <v/>
      </c>
      <c r="S628" s="5" t="str">
        <f t="shared" si="413"/>
        <v/>
      </c>
      <c r="T628" s="2" t="str">
        <f t="shared" si="414"/>
        <v/>
      </c>
      <c r="U628" s="2" t="str">
        <f t="shared" si="415"/>
        <v/>
      </c>
      <c r="V628" t="str">
        <f t="shared" si="391"/>
        <v/>
      </c>
      <c r="X628">
        <f t="shared" ref="X628:X641" si="426">MAX(B628-B627,0)</f>
        <v>0</v>
      </c>
      <c r="Y628">
        <f t="shared" ref="Y628:Y641" si="427">MAX(C628-C627,0)</f>
        <v>0</v>
      </c>
      <c r="Z628">
        <f t="shared" ref="Z628:Z641" si="428">MAX(D628-D627,0)</f>
        <v>0</v>
      </c>
      <c r="AA628">
        <f t="shared" ref="AA628:AA641" si="429">MAX(E628-E627,0)</f>
        <v>0</v>
      </c>
      <c r="AB628">
        <f t="shared" ref="AB628:AB641" si="430">MAX(F628-F627,0)</f>
        <v>0</v>
      </c>
      <c r="AC628">
        <f t="shared" ref="AC628:AC641" si="431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25"/>
        <v>1</v>
      </c>
      <c r="M629">
        <v>4</v>
      </c>
      <c r="N629" s="6" t="str">
        <f t="shared" si="408"/>
        <v/>
      </c>
      <c r="O629" s="7" t="str">
        <f t="shared" si="409"/>
        <v/>
      </c>
      <c r="P629" s="7" t="str">
        <f t="shared" si="410"/>
        <v/>
      </c>
      <c r="Q629" s="7" t="str">
        <f t="shared" si="411"/>
        <v/>
      </c>
      <c r="R629" s="7" t="str">
        <f t="shared" si="412"/>
        <v/>
      </c>
      <c r="S629" s="8" t="str">
        <f t="shared" si="413"/>
        <v/>
      </c>
      <c r="T629" s="2" t="str">
        <f t="shared" si="414"/>
        <v/>
      </c>
      <c r="U629" s="2" t="str">
        <f t="shared" si="415"/>
        <v/>
      </c>
      <c r="V629" t="str">
        <f t="shared" si="391"/>
        <v/>
      </c>
      <c r="X629">
        <f t="shared" si="426"/>
        <v>0</v>
      </c>
      <c r="Y629">
        <f t="shared" si="427"/>
        <v>0</v>
      </c>
      <c r="Z629">
        <f t="shared" si="428"/>
        <v>0</v>
      </c>
      <c r="AA629">
        <f t="shared" si="429"/>
        <v>0</v>
      </c>
      <c r="AB629">
        <f t="shared" si="430"/>
        <v>0</v>
      </c>
      <c r="AC629">
        <f t="shared" si="431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25"/>
        <v>1</v>
      </c>
      <c r="M630">
        <v>5</v>
      </c>
      <c r="N630" s="22" t="str">
        <f t="shared" si="408"/>
        <v/>
      </c>
      <c r="O630" s="15" t="str">
        <f t="shared" si="409"/>
        <v/>
      </c>
      <c r="P630" s="15" t="str">
        <f t="shared" si="410"/>
        <v/>
      </c>
      <c r="Q630" s="15" t="str">
        <f t="shared" si="411"/>
        <v>#</v>
      </c>
      <c r="R630" s="16" t="str">
        <f t="shared" si="412"/>
        <v/>
      </c>
      <c r="S630" s="8" t="str">
        <f t="shared" si="413"/>
        <v/>
      </c>
      <c r="T630" s="2" t="str">
        <f t="shared" si="414"/>
        <v/>
      </c>
      <c r="U630" s="2" t="str">
        <f t="shared" si="415"/>
        <v/>
      </c>
      <c r="V630" t="str">
        <f t="shared" si="391"/>
        <v/>
      </c>
      <c r="X630">
        <f t="shared" si="426"/>
        <v>0</v>
      </c>
      <c r="Y630">
        <f t="shared" si="427"/>
        <v>0</v>
      </c>
      <c r="Z630">
        <f t="shared" si="428"/>
        <v>0</v>
      </c>
      <c r="AA630">
        <f t="shared" si="429"/>
        <v>1</v>
      </c>
      <c r="AB630">
        <f t="shared" si="430"/>
        <v>0</v>
      </c>
      <c r="AC630">
        <f t="shared" si="431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25"/>
        <v>1</v>
      </c>
      <c r="M631">
        <v>6</v>
      </c>
      <c r="N631" s="23" t="str">
        <f t="shared" si="408"/>
        <v/>
      </c>
      <c r="O631" s="7" t="str">
        <f t="shared" si="409"/>
        <v/>
      </c>
      <c r="P631" s="7" t="str">
        <f t="shared" si="410"/>
        <v>#</v>
      </c>
      <c r="Q631" s="7" t="str">
        <f t="shared" si="411"/>
        <v>#</v>
      </c>
      <c r="R631" s="17" t="str">
        <f t="shared" si="412"/>
        <v/>
      </c>
      <c r="S631" s="8" t="str">
        <f t="shared" si="413"/>
        <v/>
      </c>
      <c r="T631" s="2" t="str">
        <f t="shared" si="414"/>
        <v/>
      </c>
      <c r="U631" s="2" t="str">
        <f t="shared" si="415"/>
        <v/>
      </c>
      <c r="V631" t="str">
        <f t="shared" si="391"/>
        <v/>
      </c>
      <c r="X631">
        <f t="shared" si="426"/>
        <v>0</v>
      </c>
      <c r="Y631">
        <f t="shared" si="427"/>
        <v>0</v>
      </c>
      <c r="Z631">
        <f t="shared" si="428"/>
        <v>1</v>
      </c>
      <c r="AA631">
        <f t="shared" si="429"/>
        <v>0</v>
      </c>
      <c r="AB631">
        <f t="shared" si="430"/>
        <v>0</v>
      </c>
      <c r="AC631">
        <f t="shared" si="431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25"/>
        <v>1</v>
      </c>
      <c r="M632">
        <v>7</v>
      </c>
      <c r="N632" s="23" t="str">
        <f t="shared" si="408"/>
        <v/>
      </c>
      <c r="O632" s="7" t="str">
        <f t="shared" si="409"/>
        <v>#</v>
      </c>
      <c r="P632" s="7" t="str">
        <f t="shared" si="410"/>
        <v>#</v>
      </c>
      <c r="Q632" s="7" t="str">
        <f t="shared" si="411"/>
        <v>#</v>
      </c>
      <c r="R632" s="17" t="str">
        <f t="shared" si="412"/>
        <v/>
      </c>
      <c r="S632" s="8" t="str">
        <f t="shared" si="413"/>
        <v/>
      </c>
      <c r="T632" s="2" t="str">
        <f t="shared" si="414"/>
        <v/>
      </c>
      <c r="U632" s="2" t="str">
        <f t="shared" si="415"/>
        <v/>
      </c>
      <c r="V632" t="str">
        <f t="shared" si="391"/>
        <v/>
      </c>
      <c r="X632">
        <f t="shared" si="426"/>
        <v>0</v>
      </c>
      <c r="Y632">
        <f t="shared" si="427"/>
        <v>1</v>
      </c>
      <c r="Z632">
        <f t="shared" si="428"/>
        <v>0</v>
      </c>
      <c r="AA632">
        <f t="shared" si="429"/>
        <v>0</v>
      </c>
      <c r="AB632">
        <f t="shared" si="430"/>
        <v>0</v>
      </c>
      <c r="AC632">
        <f t="shared" si="431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25"/>
        <v>1</v>
      </c>
      <c r="M633">
        <v>8</v>
      </c>
      <c r="N633" s="23" t="str">
        <f t="shared" si="408"/>
        <v/>
      </c>
      <c r="O633" s="7" t="str">
        <f t="shared" si="409"/>
        <v>#</v>
      </c>
      <c r="P633" s="7" t="str">
        <f t="shared" si="410"/>
        <v/>
      </c>
      <c r="Q633" s="7" t="str">
        <f t="shared" si="411"/>
        <v>#</v>
      </c>
      <c r="R633" s="17" t="str">
        <f t="shared" si="412"/>
        <v/>
      </c>
      <c r="S633" s="8" t="str">
        <f t="shared" si="413"/>
        <v/>
      </c>
      <c r="T633" s="2" t="str">
        <f t="shared" si="414"/>
        <v/>
      </c>
      <c r="U633" s="2" t="str">
        <f t="shared" si="415"/>
        <v/>
      </c>
      <c r="V633" t="str">
        <f t="shared" si="391"/>
        <v/>
      </c>
      <c r="X633">
        <f t="shared" si="426"/>
        <v>0</v>
      </c>
      <c r="Y633">
        <f t="shared" si="427"/>
        <v>0</v>
      </c>
      <c r="Z633">
        <f t="shared" si="428"/>
        <v>0</v>
      </c>
      <c r="AA633">
        <f t="shared" si="429"/>
        <v>0</v>
      </c>
      <c r="AB633">
        <f t="shared" si="430"/>
        <v>0</v>
      </c>
      <c r="AC633">
        <f t="shared" si="431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25"/>
        <v>1</v>
      </c>
      <c r="M634">
        <v>9</v>
      </c>
      <c r="N634" s="23" t="str">
        <f t="shared" si="408"/>
        <v/>
      </c>
      <c r="O634" s="7" t="str">
        <f t="shared" si="409"/>
        <v/>
      </c>
      <c r="P634" s="7" t="str">
        <f t="shared" si="410"/>
        <v/>
      </c>
      <c r="Q634" s="7" t="str">
        <f t="shared" si="411"/>
        <v>#</v>
      </c>
      <c r="R634" s="17" t="str">
        <f t="shared" si="412"/>
        <v/>
      </c>
      <c r="S634" s="8" t="str">
        <f t="shared" si="413"/>
        <v/>
      </c>
      <c r="T634" s="2" t="str">
        <f t="shared" si="414"/>
        <v/>
      </c>
      <c r="U634" s="2" t="str">
        <f t="shared" si="415"/>
        <v/>
      </c>
      <c r="V634" t="str">
        <f t="shared" si="391"/>
        <v/>
      </c>
      <c r="X634">
        <f t="shared" si="426"/>
        <v>0</v>
      </c>
      <c r="Y634">
        <f t="shared" si="427"/>
        <v>0</v>
      </c>
      <c r="Z634">
        <f t="shared" si="428"/>
        <v>0</v>
      </c>
      <c r="AA634">
        <f t="shared" si="429"/>
        <v>0</v>
      </c>
      <c r="AB634">
        <f t="shared" si="430"/>
        <v>0</v>
      </c>
      <c r="AC634">
        <f t="shared" si="431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25"/>
        <v>1</v>
      </c>
      <c r="M635">
        <v>10</v>
      </c>
      <c r="N635" s="23" t="str">
        <f t="shared" si="408"/>
        <v/>
      </c>
      <c r="O635" s="7" t="str">
        <f t="shared" si="409"/>
        <v/>
      </c>
      <c r="P635" s="7" t="str">
        <f t="shared" si="410"/>
        <v/>
      </c>
      <c r="Q635" s="7" t="str">
        <f t="shared" si="411"/>
        <v>#</v>
      </c>
      <c r="R635" s="17" t="str">
        <f t="shared" si="412"/>
        <v/>
      </c>
      <c r="S635" s="8" t="str">
        <f t="shared" si="413"/>
        <v/>
      </c>
      <c r="T635" s="2" t="str">
        <f t="shared" si="414"/>
        <v/>
      </c>
      <c r="U635" s="2" t="str">
        <f t="shared" si="415"/>
        <v/>
      </c>
      <c r="V635" t="str">
        <f t="shared" si="391"/>
        <v/>
      </c>
      <c r="X635">
        <f t="shared" si="426"/>
        <v>0</v>
      </c>
      <c r="Y635">
        <f t="shared" si="427"/>
        <v>0</v>
      </c>
      <c r="Z635">
        <f t="shared" si="428"/>
        <v>0</v>
      </c>
      <c r="AA635">
        <f t="shared" si="429"/>
        <v>0</v>
      </c>
      <c r="AB635">
        <f t="shared" si="430"/>
        <v>0</v>
      </c>
      <c r="AC635">
        <f t="shared" si="431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25"/>
        <v>1</v>
      </c>
      <c r="M636">
        <v>11</v>
      </c>
      <c r="N636" s="23" t="str">
        <f t="shared" si="408"/>
        <v/>
      </c>
      <c r="O636" s="7" t="str">
        <f t="shared" si="409"/>
        <v/>
      </c>
      <c r="P636" s="7" t="str">
        <f t="shared" si="410"/>
        <v/>
      </c>
      <c r="Q636" s="7" t="str">
        <f t="shared" si="411"/>
        <v>#</v>
      </c>
      <c r="R636" s="17" t="str">
        <f t="shared" si="412"/>
        <v/>
      </c>
      <c r="S636" s="8" t="str">
        <f t="shared" si="413"/>
        <v/>
      </c>
      <c r="T636" s="2" t="str">
        <f t="shared" si="414"/>
        <v/>
      </c>
      <c r="U636" s="2" t="str">
        <f t="shared" si="415"/>
        <v/>
      </c>
      <c r="V636" t="str">
        <f t="shared" si="391"/>
        <v/>
      </c>
      <c r="X636">
        <f t="shared" si="426"/>
        <v>0</v>
      </c>
      <c r="Y636">
        <f t="shared" si="427"/>
        <v>0</v>
      </c>
      <c r="Z636">
        <f t="shared" si="428"/>
        <v>0</v>
      </c>
      <c r="AA636">
        <f t="shared" si="429"/>
        <v>0</v>
      </c>
      <c r="AB636">
        <f t="shared" si="430"/>
        <v>0</v>
      </c>
      <c r="AC636">
        <f t="shared" si="431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25"/>
        <v>1</v>
      </c>
      <c r="M637">
        <v>12</v>
      </c>
      <c r="N637" s="23" t="str">
        <f t="shared" si="408"/>
        <v/>
      </c>
      <c r="O637" s="7" t="str">
        <f t="shared" si="409"/>
        <v/>
      </c>
      <c r="P637" s="7" t="str">
        <f t="shared" si="410"/>
        <v/>
      </c>
      <c r="Q637" s="7" t="str">
        <f t="shared" si="411"/>
        <v>#</v>
      </c>
      <c r="R637" s="17" t="str">
        <f t="shared" si="412"/>
        <v/>
      </c>
      <c r="S637" s="8" t="str">
        <f t="shared" si="413"/>
        <v/>
      </c>
      <c r="T637" s="2" t="str">
        <f t="shared" si="414"/>
        <v/>
      </c>
      <c r="U637" s="2" t="str">
        <f t="shared" si="415"/>
        <v/>
      </c>
      <c r="V637" t="str">
        <f t="shared" si="391"/>
        <v/>
      </c>
      <c r="X637">
        <f t="shared" si="426"/>
        <v>0</v>
      </c>
      <c r="Y637">
        <f t="shared" si="427"/>
        <v>0</v>
      </c>
      <c r="Z637">
        <f t="shared" si="428"/>
        <v>0</v>
      </c>
      <c r="AA637">
        <f t="shared" si="429"/>
        <v>0</v>
      </c>
      <c r="AB637">
        <f t="shared" si="430"/>
        <v>0</v>
      </c>
      <c r="AC637">
        <f t="shared" si="431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25"/>
        <v>1</v>
      </c>
      <c r="M638">
        <v>13</v>
      </c>
      <c r="N638" s="6" t="str">
        <f t="shared" si="408"/>
        <v/>
      </c>
      <c r="O638" s="7" t="str">
        <f t="shared" si="409"/>
        <v/>
      </c>
      <c r="P638" s="7" t="str">
        <f t="shared" si="410"/>
        <v/>
      </c>
      <c r="Q638" s="7" t="str">
        <f t="shared" si="411"/>
        <v>#</v>
      </c>
      <c r="R638" s="17" t="str">
        <f t="shared" si="412"/>
        <v/>
      </c>
      <c r="S638" s="8" t="str">
        <f t="shared" si="413"/>
        <v/>
      </c>
      <c r="T638" s="2" t="str">
        <f t="shared" si="414"/>
        <v/>
      </c>
      <c r="U638" s="2" t="str">
        <f t="shared" si="415"/>
        <v/>
      </c>
      <c r="V638" t="str">
        <f t="shared" si="391"/>
        <v/>
      </c>
      <c r="X638">
        <f t="shared" si="426"/>
        <v>0</v>
      </c>
      <c r="Y638">
        <f t="shared" si="427"/>
        <v>0</v>
      </c>
      <c r="Z638">
        <f t="shared" si="428"/>
        <v>0</v>
      </c>
      <c r="AA638">
        <f t="shared" si="429"/>
        <v>0</v>
      </c>
      <c r="AB638">
        <f t="shared" si="430"/>
        <v>0</v>
      </c>
      <c r="AC638">
        <f t="shared" si="431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25"/>
        <v>1</v>
      </c>
      <c r="M639">
        <v>14</v>
      </c>
      <c r="N639" s="18" t="str">
        <f t="shared" si="408"/>
        <v/>
      </c>
      <c r="O639" s="19" t="str">
        <f t="shared" si="409"/>
        <v/>
      </c>
      <c r="P639" s="19" t="str">
        <f t="shared" si="410"/>
        <v/>
      </c>
      <c r="Q639" s="19" t="str">
        <f t="shared" si="411"/>
        <v>#</v>
      </c>
      <c r="R639" s="20" t="str">
        <f t="shared" si="412"/>
        <v/>
      </c>
      <c r="S639" s="8" t="str">
        <f t="shared" si="413"/>
        <v/>
      </c>
      <c r="T639" s="2" t="str">
        <f t="shared" si="414"/>
        <v/>
      </c>
      <c r="U639" s="2" t="str">
        <f t="shared" si="415"/>
        <v/>
      </c>
      <c r="V639" t="str">
        <f t="shared" si="391"/>
        <v/>
      </c>
      <c r="X639">
        <f t="shared" si="426"/>
        <v>0</v>
      </c>
      <c r="Y639">
        <f t="shared" si="427"/>
        <v>0</v>
      </c>
      <c r="Z639">
        <f t="shared" si="428"/>
        <v>0</v>
      </c>
      <c r="AA639">
        <f t="shared" si="429"/>
        <v>0</v>
      </c>
      <c r="AB639">
        <f t="shared" si="430"/>
        <v>0</v>
      </c>
      <c r="AC639">
        <f t="shared" si="431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25"/>
        <v>1</v>
      </c>
      <c r="M640">
        <v>15</v>
      </c>
      <c r="N640" s="9" t="str">
        <f t="shared" si="408"/>
        <v/>
      </c>
      <c r="O640" s="10" t="str">
        <f t="shared" si="409"/>
        <v/>
      </c>
      <c r="P640" s="10" t="str">
        <f t="shared" si="410"/>
        <v/>
      </c>
      <c r="Q640" s="10" t="str">
        <f t="shared" si="411"/>
        <v/>
      </c>
      <c r="R640" s="10" t="str">
        <f t="shared" si="412"/>
        <v/>
      </c>
      <c r="S640" s="11" t="str">
        <f t="shared" si="413"/>
        <v/>
      </c>
      <c r="T640" s="2" t="str">
        <f t="shared" si="414"/>
        <v/>
      </c>
      <c r="U640" s="2" t="str">
        <f t="shared" si="415"/>
        <v/>
      </c>
      <c r="V640" t="str">
        <f t="shared" si="391"/>
        <v/>
      </c>
      <c r="X640">
        <f t="shared" si="426"/>
        <v>0</v>
      </c>
      <c r="Y640">
        <f t="shared" si="427"/>
        <v>0</v>
      </c>
      <c r="Z640">
        <f t="shared" si="428"/>
        <v>0</v>
      </c>
      <c r="AA640">
        <f t="shared" si="429"/>
        <v>0</v>
      </c>
      <c r="AB640">
        <f t="shared" si="430"/>
        <v>0</v>
      </c>
      <c r="AC640">
        <f t="shared" si="431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25"/>
        <v>1</v>
      </c>
      <c r="M641">
        <v>16</v>
      </c>
      <c r="N641" s="12" t="str">
        <f t="shared" si="408"/>
        <v/>
      </c>
      <c r="O641" s="13" t="str">
        <f t="shared" si="409"/>
        <v/>
      </c>
      <c r="P641" s="13" t="str">
        <f t="shared" si="410"/>
        <v/>
      </c>
      <c r="Q641" s="13" t="str">
        <f t="shared" si="411"/>
        <v/>
      </c>
      <c r="R641" s="13" t="str">
        <f t="shared" si="412"/>
        <v/>
      </c>
      <c r="S641" s="14" t="str">
        <f t="shared" si="413"/>
        <v/>
      </c>
      <c r="T641" s="2" t="str">
        <f t="shared" si="414"/>
        <v/>
      </c>
      <c r="U641" s="2" t="str">
        <f t="shared" si="415"/>
        <v/>
      </c>
      <c r="V641" t="str">
        <f t="shared" si="391"/>
        <v/>
      </c>
      <c r="X641">
        <f t="shared" si="426"/>
        <v>0</v>
      </c>
      <c r="Y641">
        <f t="shared" si="427"/>
        <v>0</v>
      </c>
      <c r="Z641">
        <f t="shared" si="428"/>
        <v>0</v>
      </c>
      <c r="AA641">
        <f t="shared" si="429"/>
        <v>0</v>
      </c>
      <c r="AB641">
        <f t="shared" si="430"/>
        <v>0</v>
      </c>
      <c r="AC641">
        <f t="shared" si="431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8"/>
        <v/>
      </c>
      <c r="O642" t="str">
        <f t="shared" si="409"/>
        <v/>
      </c>
      <c r="P642" t="str">
        <f t="shared" si="410"/>
        <v/>
      </c>
      <c r="Q642" t="str">
        <f t="shared" si="411"/>
        <v/>
      </c>
      <c r="R642" t="str">
        <f t="shared" si="412"/>
        <v/>
      </c>
      <c r="S642" t="str">
        <f t="shared" si="413"/>
        <v/>
      </c>
      <c r="T642" s="2" t="str">
        <f t="shared" si="414"/>
        <v/>
      </c>
      <c r="U642" s="2" t="str">
        <f t="shared" si="415"/>
        <v/>
      </c>
      <c r="V642" t="str">
        <f t="shared" ref="V642:V705" si="432">IF(A642=0,"",M642)</f>
        <v/>
      </c>
      <c r="W642">
        <f>SUM(B644:G657)</f>
        <v>25</v>
      </c>
      <c r="AD642">
        <f t="shared" ref="AD642" si="433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34">L642</f>
        <v>2</v>
      </c>
      <c r="M643">
        <v>2</v>
      </c>
      <c r="N643" t="str">
        <f t="shared" si="408"/>
        <v/>
      </c>
      <c r="O643" t="str">
        <f t="shared" si="409"/>
        <v/>
      </c>
      <c r="P643" t="str">
        <f t="shared" si="410"/>
        <v/>
      </c>
      <c r="Q643" t="str">
        <f t="shared" si="411"/>
        <v/>
      </c>
      <c r="R643" t="str">
        <f t="shared" si="412"/>
        <v/>
      </c>
      <c r="S643" t="str">
        <f t="shared" si="413"/>
        <v/>
      </c>
      <c r="T643" s="2" t="str">
        <f t="shared" si="414"/>
        <v/>
      </c>
      <c r="U643" s="2" t="str">
        <f t="shared" si="415"/>
        <v/>
      </c>
      <c r="V643" t="str">
        <f t="shared" si="432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34"/>
        <v>2</v>
      </c>
      <c r="M644">
        <v>3</v>
      </c>
      <c r="N644" s="3" t="str">
        <f t="shared" si="408"/>
        <v/>
      </c>
      <c r="O644" s="4" t="str">
        <f t="shared" si="409"/>
        <v/>
      </c>
      <c r="P644" s="4" t="str">
        <f t="shared" si="410"/>
        <v/>
      </c>
      <c r="Q644" s="4" t="str">
        <f t="shared" si="411"/>
        <v/>
      </c>
      <c r="R644" s="4" t="str">
        <f t="shared" si="412"/>
        <v/>
      </c>
      <c r="S644" s="5" t="str">
        <f t="shared" si="413"/>
        <v/>
      </c>
      <c r="T644" s="2" t="str">
        <f t="shared" si="414"/>
        <v/>
      </c>
      <c r="U644" s="2" t="str">
        <f t="shared" si="415"/>
        <v/>
      </c>
      <c r="V644" t="str">
        <f t="shared" si="432"/>
        <v/>
      </c>
      <c r="X644">
        <f t="shared" ref="X644:X657" si="435">MAX(B644-B643,0)</f>
        <v>0</v>
      </c>
      <c r="Y644">
        <f t="shared" ref="Y644:Y657" si="436">MAX(C644-C643,0)</f>
        <v>0</v>
      </c>
      <c r="Z644">
        <f t="shared" ref="Z644:Z657" si="437">MAX(D644-D643,0)</f>
        <v>0</v>
      </c>
      <c r="AA644">
        <f t="shared" ref="AA644:AA657" si="438">MAX(E644-E643,0)</f>
        <v>0</v>
      </c>
      <c r="AB644">
        <f t="shared" ref="AB644:AB657" si="439">MAX(F644-F643,0)</f>
        <v>0</v>
      </c>
      <c r="AC644">
        <f t="shared" ref="AC644:AC657" si="440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34"/>
        <v>2</v>
      </c>
      <c r="M645">
        <v>4</v>
      </c>
      <c r="N645" s="6" t="str">
        <f t="shared" si="408"/>
        <v/>
      </c>
      <c r="O645" s="7" t="str">
        <f t="shared" si="409"/>
        <v/>
      </c>
      <c r="P645" s="7" t="str">
        <f t="shared" si="410"/>
        <v/>
      </c>
      <c r="Q645" s="7" t="str">
        <f t="shared" si="411"/>
        <v/>
      </c>
      <c r="R645" s="7" t="str">
        <f t="shared" si="412"/>
        <v/>
      </c>
      <c r="S645" s="8" t="str">
        <f t="shared" si="413"/>
        <v/>
      </c>
      <c r="T645" s="2" t="str">
        <f t="shared" si="414"/>
        <v/>
      </c>
      <c r="U645" s="2" t="str">
        <f t="shared" si="415"/>
        <v/>
      </c>
      <c r="V645" t="str">
        <f t="shared" si="432"/>
        <v/>
      </c>
      <c r="X645">
        <f t="shared" si="435"/>
        <v>0</v>
      </c>
      <c r="Y645">
        <f t="shared" si="436"/>
        <v>0</v>
      </c>
      <c r="Z645">
        <f t="shared" si="437"/>
        <v>0</v>
      </c>
      <c r="AA645">
        <f t="shared" si="438"/>
        <v>0</v>
      </c>
      <c r="AB645">
        <f t="shared" si="439"/>
        <v>0</v>
      </c>
      <c r="AC645">
        <f t="shared" si="440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34"/>
        <v>2</v>
      </c>
      <c r="M646">
        <v>5</v>
      </c>
      <c r="N646" s="22" t="str">
        <f t="shared" si="408"/>
        <v/>
      </c>
      <c r="O646" s="15" t="str">
        <f t="shared" si="409"/>
        <v>#</v>
      </c>
      <c r="P646" s="15" t="str">
        <f t="shared" si="410"/>
        <v>#</v>
      </c>
      <c r="Q646" s="15" t="str">
        <f t="shared" si="411"/>
        <v/>
      </c>
      <c r="R646" s="16" t="str">
        <f t="shared" si="412"/>
        <v/>
      </c>
      <c r="S646" s="8" t="str">
        <f t="shared" si="413"/>
        <v/>
      </c>
      <c r="T646" s="2" t="str">
        <f t="shared" si="414"/>
        <v/>
      </c>
      <c r="U646" s="2" t="str">
        <f t="shared" si="415"/>
        <v/>
      </c>
      <c r="V646" t="str">
        <f t="shared" si="432"/>
        <v/>
      </c>
      <c r="X646">
        <f t="shared" si="435"/>
        <v>0</v>
      </c>
      <c r="Y646">
        <f t="shared" si="436"/>
        <v>1</v>
      </c>
      <c r="Z646">
        <f t="shared" si="437"/>
        <v>1</v>
      </c>
      <c r="AA646">
        <f t="shared" si="438"/>
        <v>0</v>
      </c>
      <c r="AB646">
        <f t="shared" si="439"/>
        <v>0</v>
      </c>
      <c r="AC646">
        <f t="shared" si="440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34"/>
        <v>2</v>
      </c>
      <c r="M647">
        <v>6</v>
      </c>
      <c r="N647" s="23" t="str">
        <f t="shared" si="408"/>
        <v>#</v>
      </c>
      <c r="O647" s="7" t="str">
        <f t="shared" si="409"/>
        <v>#</v>
      </c>
      <c r="P647" s="7" t="str">
        <f t="shared" si="410"/>
        <v>#</v>
      </c>
      <c r="Q647" s="7" t="str">
        <f t="shared" si="411"/>
        <v>#</v>
      </c>
      <c r="R647" s="17" t="str">
        <f t="shared" si="412"/>
        <v/>
      </c>
      <c r="S647" s="8" t="str">
        <f t="shared" si="413"/>
        <v/>
      </c>
      <c r="T647" s="2" t="str">
        <f t="shared" si="414"/>
        <v/>
      </c>
      <c r="U647" s="2" t="str">
        <f t="shared" si="415"/>
        <v/>
      </c>
      <c r="V647" t="str">
        <f t="shared" si="432"/>
        <v/>
      </c>
      <c r="X647">
        <f t="shared" si="435"/>
        <v>1</v>
      </c>
      <c r="Y647">
        <f t="shared" si="436"/>
        <v>0</v>
      </c>
      <c r="Z647">
        <f t="shared" si="437"/>
        <v>0</v>
      </c>
      <c r="AA647">
        <f t="shared" si="438"/>
        <v>1</v>
      </c>
      <c r="AB647">
        <f t="shared" si="439"/>
        <v>0</v>
      </c>
      <c r="AC647">
        <f t="shared" si="440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34"/>
        <v>2</v>
      </c>
      <c r="M648">
        <v>7</v>
      </c>
      <c r="N648" s="23" t="str">
        <f t="shared" si="408"/>
        <v>#</v>
      </c>
      <c r="O648" s="7" t="str">
        <f t="shared" si="409"/>
        <v/>
      </c>
      <c r="P648" s="7" t="str">
        <f t="shared" si="410"/>
        <v/>
      </c>
      <c r="Q648" s="7" t="str">
        <f t="shared" si="411"/>
        <v>#</v>
      </c>
      <c r="R648" s="17" t="str">
        <f t="shared" si="412"/>
        <v/>
      </c>
      <c r="S648" s="8" t="str">
        <f t="shared" si="413"/>
        <v/>
      </c>
      <c r="T648" s="2" t="str">
        <f t="shared" si="414"/>
        <v/>
      </c>
      <c r="U648" s="2" t="str">
        <f t="shared" si="415"/>
        <v/>
      </c>
      <c r="V648" t="str">
        <f t="shared" si="432"/>
        <v/>
      </c>
      <c r="X648">
        <f t="shared" si="435"/>
        <v>0</v>
      </c>
      <c r="Y648">
        <f t="shared" si="436"/>
        <v>0</v>
      </c>
      <c r="Z648">
        <f t="shared" si="437"/>
        <v>0</v>
      </c>
      <c r="AA648">
        <f t="shared" si="438"/>
        <v>0</v>
      </c>
      <c r="AB648">
        <f t="shared" si="439"/>
        <v>0</v>
      </c>
      <c r="AC648">
        <f t="shared" si="440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34"/>
        <v>2</v>
      </c>
      <c r="M649">
        <v>8</v>
      </c>
      <c r="N649" s="23" t="str">
        <f t="shared" si="408"/>
        <v/>
      </c>
      <c r="O649" s="7" t="str">
        <f t="shared" si="409"/>
        <v/>
      </c>
      <c r="P649" s="7" t="str">
        <f t="shared" si="410"/>
        <v/>
      </c>
      <c r="Q649" s="7" t="str">
        <f t="shared" si="411"/>
        <v>#</v>
      </c>
      <c r="R649" s="17" t="str">
        <f t="shared" si="412"/>
        <v/>
      </c>
      <c r="S649" s="8" t="str">
        <f t="shared" si="413"/>
        <v/>
      </c>
      <c r="T649" s="2" t="str">
        <f t="shared" si="414"/>
        <v/>
      </c>
      <c r="U649" s="2" t="str">
        <f t="shared" si="415"/>
        <v/>
      </c>
      <c r="V649" t="str">
        <f t="shared" si="432"/>
        <v/>
      </c>
      <c r="X649">
        <f t="shared" si="435"/>
        <v>0</v>
      </c>
      <c r="Y649">
        <f t="shared" si="436"/>
        <v>0</v>
      </c>
      <c r="Z649">
        <f t="shared" si="437"/>
        <v>0</v>
      </c>
      <c r="AA649">
        <f t="shared" si="438"/>
        <v>0</v>
      </c>
      <c r="AB649">
        <f t="shared" si="439"/>
        <v>0</v>
      </c>
      <c r="AC649">
        <f t="shared" si="440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34"/>
        <v>2</v>
      </c>
      <c r="M650">
        <v>9</v>
      </c>
      <c r="N650" s="23" t="str">
        <f t="shared" si="408"/>
        <v/>
      </c>
      <c r="O650" s="7" t="str">
        <f t="shared" si="409"/>
        <v/>
      </c>
      <c r="P650" s="7" t="str">
        <f t="shared" si="410"/>
        <v>#</v>
      </c>
      <c r="Q650" s="7" t="str">
        <f t="shared" si="411"/>
        <v>#</v>
      </c>
      <c r="R650" s="17" t="str">
        <f t="shared" si="412"/>
        <v/>
      </c>
      <c r="S650" s="8" t="str">
        <f t="shared" si="413"/>
        <v/>
      </c>
      <c r="T650" s="2" t="str">
        <f t="shared" si="414"/>
        <v/>
      </c>
      <c r="U650" s="2" t="str">
        <f t="shared" si="415"/>
        <v/>
      </c>
      <c r="V650" t="str">
        <f t="shared" si="432"/>
        <v/>
      </c>
      <c r="X650">
        <f t="shared" si="435"/>
        <v>0</v>
      </c>
      <c r="Y650">
        <f t="shared" si="436"/>
        <v>0</v>
      </c>
      <c r="Z650">
        <f t="shared" si="437"/>
        <v>1</v>
      </c>
      <c r="AA650">
        <f t="shared" si="438"/>
        <v>0</v>
      </c>
      <c r="AB650">
        <f t="shared" si="439"/>
        <v>0</v>
      </c>
      <c r="AC650">
        <f t="shared" si="440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34"/>
        <v>2</v>
      </c>
      <c r="M651">
        <v>10</v>
      </c>
      <c r="N651" s="23" t="str">
        <f t="shared" si="408"/>
        <v/>
      </c>
      <c r="O651" s="7" t="str">
        <f t="shared" si="409"/>
        <v/>
      </c>
      <c r="P651" s="7" t="str">
        <f t="shared" si="410"/>
        <v>#</v>
      </c>
      <c r="Q651" s="7" t="str">
        <f t="shared" si="411"/>
        <v/>
      </c>
      <c r="R651" s="17" t="str">
        <f t="shared" si="412"/>
        <v/>
      </c>
      <c r="S651" s="8" t="str">
        <f t="shared" si="413"/>
        <v/>
      </c>
      <c r="T651" s="2" t="str">
        <f t="shared" si="414"/>
        <v/>
      </c>
      <c r="U651" s="2" t="str">
        <f t="shared" si="415"/>
        <v/>
      </c>
      <c r="V651" t="str">
        <f t="shared" si="432"/>
        <v/>
      </c>
      <c r="X651">
        <f t="shared" si="435"/>
        <v>0</v>
      </c>
      <c r="Y651">
        <f t="shared" si="436"/>
        <v>0</v>
      </c>
      <c r="Z651">
        <f t="shared" si="437"/>
        <v>0</v>
      </c>
      <c r="AA651">
        <f t="shared" si="438"/>
        <v>0</v>
      </c>
      <c r="AB651">
        <f t="shared" si="439"/>
        <v>0</v>
      </c>
      <c r="AC651">
        <f t="shared" si="440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34"/>
        <v>2</v>
      </c>
      <c r="M652">
        <v>11</v>
      </c>
      <c r="N652" s="23" t="str">
        <f t="shared" si="408"/>
        <v/>
      </c>
      <c r="O652" s="7" t="str">
        <f t="shared" si="409"/>
        <v>#</v>
      </c>
      <c r="P652" s="7" t="str">
        <f t="shared" si="410"/>
        <v/>
      </c>
      <c r="Q652" s="7" t="str">
        <f t="shared" si="411"/>
        <v/>
      </c>
      <c r="R652" s="17" t="str">
        <f t="shared" si="412"/>
        <v/>
      </c>
      <c r="S652" s="8" t="str">
        <f t="shared" si="413"/>
        <v/>
      </c>
      <c r="T652" s="2" t="str">
        <f t="shared" si="414"/>
        <v/>
      </c>
      <c r="U652" s="2" t="str">
        <f t="shared" si="415"/>
        <v/>
      </c>
      <c r="V652" t="str">
        <f t="shared" si="432"/>
        <v/>
      </c>
      <c r="X652">
        <f t="shared" si="435"/>
        <v>0</v>
      </c>
      <c r="Y652">
        <f t="shared" si="436"/>
        <v>1</v>
      </c>
      <c r="Z652">
        <f t="shared" si="437"/>
        <v>0</v>
      </c>
      <c r="AA652">
        <f t="shared" si="438"/>
        <v>0</v>
      </c>
      <c r="AB652">
        <f t="shared" si="439"/>
        <v>0</v>
      </c>
      <c r="AC652">
        <f t="shared" si="440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34"/>
        <v>2</v>
      </c>
      <c r="M653">
        <v>12</v>
      </c>
      <c r="N653" s="23" t="str">
        <f t="shared" si="408"/>
        <v>#</v>
      </c>
      <c r="O653" s="7" t="str">
        <f t="shared" si="409"/>
        <v>#</v>
      </c>
      <c r="P653" s="7" t="str">
        <f t="shared" si="410"/>
        <v/>
      </c>
      <c r="Q653" s="7" t="str">
        <f t="shared" si="411"/>
        <v/>
      </c>
      <c r="R653" s="17" t="str">
        <f t="shared" si="412"/>
        <v/>
      </c>
      <c r="S653" s="8" t="str">
        <f t="shared" si="413"/>
        <v/>
      </c>
      <c r="T653" s="2" t="str">
        <f t="shared" si="414"/>
        <v/>
      </c>
      <c r="U653" s="2" t="str">
        <f t="shared" si="415"/>
        <v/>
      </c>
      <c r="V653" t="str">
        <f t="shared" si="432"/>
        <v/>
      </c>
      <c r="X653">
        <f t="shared" si="435"/>
        <v>1</v>
      </c>
      <c r="Y653">
        <f t="shared" si="436"/>
        <v>0</v>
      </c>
      <c r="Z653">
        <f t="shared" si="437"/>
        <v>0</v>
      </c>
      <c r="AA653">
        <f t="shared" si="438"/>
        <v>0</v>
      </c>
      <c r="AB653">
        <f t="shared" si="439"/>
        <v>0</v>
      </c>
      <c r="AC653">
        <f t="shared" si="440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34"/>
        <v>2</v>
      </c>
      <c r="M654">
        <v>13</v>
      </c>
      <c r="N654" s="6" t="str">
        <f t="shared" si="408"/>
        <v>#</v>
      </c>
      <c r="O654" s="7" t="str">
        <f t="shared" si="409"/>
        <v>#</v>
      </c>
      <c r="P654" s="7" t="str">
        <f t="shared" si="410"/>
        <v>#</v>
      </c>
      <c r="Q654" s="7" t="str">
        <f t="shared" si="411"/>
        <v>#</v>
      </c>
      <c r="R654" s="17" t="str">
        <f t="shared" si="412"/>
        <v>#</v>
      </c>
      <c r="S654" s="8" t="str">
        <f t="shared" si="413"/>
        <v/>
      </c>
      <c r="T654" s="2" t="str">
        <f t="shared" si="414"/>
        <v/>
      </c>
      <c r="U654" s="2" t="str">
        <f t="shared" si="415"/>
        <v/>
      </c>
      <c r="V654" t="str">
        <f t="shared" si="432"/>
        <v/>
      </c>
      <c r="X654">
        <f t="shared" si="435"/>
        <v>0</v>
      </c>
      <c r="Y654">
        <f t="shared" si="436"/>
        <v>0</v>
      </c>
      <c r="Z654">
        <f t="shared" si="437"/>
        <v>1</v>
      </c>
      <c r="AA654">
        <f t="shared" si="438"/>
        <v>1</v>
      </c>
      <c r="AB654">
        <f t="shared" si="439"/>
        <v>1</v>
      </c>
      <c r="AC654">
        <f t="shared" si="440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34"/>
        <v>2</v>
      </c>
      <c r="M655">
        <v>14</v>
      </c>
      <c r="N655" s="18" t="str">
        <f t="shared" si="408"/>
        <v>#</v>
      </c>
      <c r="O655" s="19" t="str">
        <f t="shared" si="409"/>
        <v>#</v>
      </c>
      <c r="P655" s="19" t="str">
        <f t="shared" si="410"/>
        <v>#</v>
      </c>
      <c r="Q655" s="19" t="str">
        <f t="shared" si="411"/>
        <v>#</v>
      </c>
      <c r="R655" s="20" t="str">
        <f t="shared" si="412"/>
        <v>#</v>
      </c>
      <c r="S655" s="8" t="str">
        <f t="shared" si="413"/>
        <v/>
      </c>
      <c r="T655" s="2" t="str">
        <f t="shared" si="414"/>
        <v/>
      </c>
      <c r="U655" s="2" t="str">
        <f t="shared" si="415"/>
        <v/>
      </c>
      <c r="V655" t="str">
        <f t="shared" si="432"/>
        <v/>
      </c>
      <c r="X655">
        <f t="shared" si="435"/>
        <v>0</v>
      </c>
      <c r="Y655">
        <f t="shared" si="436"/>
        <v>0</v>
      </c>
      <c r="Z655">
        <f t="shared" si="437"/>
        <v>0</v>
      </c>
      <c r="AA655">
        <f t="shared" si="438"/>
        <v>0</v>
      </c>
      <c r="AB655">
        <f t="shared" si="439"/>
        <v>0</v>
      </c>
      <c r="AC655">
        <f t="shared" si="440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34"/>
        <v>2</v>
      </c>
      <c r="M656">
        <v>15</v>
      </c>
      <c r="N656" s="9" t="str">
        <f t="shared" si="408"/>
        <v/>
      </c>
      <c r="O656" s="10" t="str">
        <f t="shared" si="409"/>
        <v/>
      </c>
      <c r="P656" s="10" t="str">
        <f t="shared" si="410"/>
        <v/>
      </c>
      <c r="Q656" s="10" t="str">
        <f t="shared" si="411"/>
        <v/>
      </c>
      <c r="R656" s="10" t="str">
        <f t="shared" si="412"/>
        <v/>
      </c>
      <c r="S656" s="11" t="str">
        <f t="shared" si="413"/>
        <v/>
      </c>
      <c r="T656" s="2" t="str">
        <f t="shared" si="414"/>
        <v/>
      </c>
      <c r="U656" s="2" t="str">
        <f t="shared" si="415"/>
        <v/>
      </c>
      <c r="V656" t="str">
        <f t="shared" si="432"/>
        <v/>
      </c>
      <c r="X656">
        <f t="shared" si="435"/>
        <v>0</v>
      </c>
      <c r="Y656">
        <f t="shared" si="436"/>
        <v>0</v>
      </c>
      <c r="Z656">
        <f t="shared" si="437"/>
        <v>0</v>
      </c>
      <c r="AA656">
        <f t="shared" si="438"/>
        <v>0</v>
      </c>
      <c r="AB656">
        <f t="shared" si="439"/>
        <v>0</v>
      </c>
      <c r="AC656">
        <f t="shared" si="440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34"/>
        <v>2</v>
      </c>
      <c r="M657">
        <v>16</v>
      </c>
      <c r="N657" s="12" t="str">
        <f t="shared" si="408"/>
        <v/>
      </c>
      <c r="O657" s="13" t="str">
        <f t="shared" si="409"/>
        <v/>
      </c>
      <c r="P657" s="13" t="str">
        <f t="shared" si="410"/>
        <v/>
      </c>
      <c r="Q657" s="13" t="str">
        <f t="shared" si="411"/>
        <v/>
      </c>
      <c r="R657" s="13" t="str">
        <f t="shared" si="412"/>
        <v/>
      </c>
      <c r="S657" s="14" t="str">
        <f t="shared" si="413"/>
        <v/>
      </c>
      <c r="T657" s="2" t="str">
        <f t="shared" si="414"/>
        <v/>
      </c>
      <c r="U657" s="2" t="str">
        <f t="shared" si="415"/>
        <v/>
      </c>
      <c r="V657" t="str">
        <f t="shared" si="432"/>
        <v/>
      </c>
      <c r="X657">
        <f t="shared" si="435"/>
        <v>0</v>
      </c>
      <c r="Y657">
        <f t="shared" si="436"/>
        <v>0</v>
      </c>
      <c r="Z657">
        <f t="shared" si="437"/>
        <v>0</v>
      </c>
      <c r="AA657">
        <f t="shared" si="438"/>
        <v>0</v>
      </c>
      <c r="AB657">
        <f t="shared" si="439"/>
        <v>0</v>
      </c>
      <c r="AC657">
        <f t="shared" si="440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8"/>
        <v/>
      </c>
      <c r="O658" t="str">
        <f t="shared" si="409"/>
        <v/>
      </c>
      <c r="P658" t="str">
        <f t="shared" si="410"/>
        <v/>
      </c>
      <c r="Q658" t="str">
        <f t="shared" si="411"/>
        <v/>
      </c>
      <c r="R658" t="str">
        <f t="shared" si="412"/>
        <v/>
      </c>
      <c r="S658" t="str">
        <f t="shared" si="413"/>
        <v/>
      </c>
      <c r="T658" s="2" t="str">
        <f t="shared" si="414"/>
        <v/>
      </c>
      <c r="U658" s="2" t="str">
        <f t="shared" si="415"/>
        <v/>
      </c>
      <c r="V658" t="str">
        <f t="shared" si="432"/>
        <v/>
      </c>
      <c r="W658">
        <f>SUM(B660:G673)</f>
        <v>24</v>
      </c>
      <c r="AD658">
        <f t="shared" ref="AD658" si="441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42">L658</f>
        <v>3</v>
      </c>
      <c r="M659">
        <v>2</v>
      </c>
      <c r="N659" t="str">
        <f t="shared" si="408"/>
        <v/>
      </c>
      <c r="O659" t="str">
        <f t="shared" si="409"/>
        <v/>
      </c>
      <c r="P659" t="str">
        <f t="shared" si="410"/>
        <v/>
      </c>
      <c r="Q659" t="str">
        <f t="shared" si="411"/>
        <v/>
      </c>
      <c r="R659" t="str">
        <f t="shared" si="412"/>
        <v/>
      </c>
      <c r="S659" t="str">
        <f t="shared" si="413"/>
        <v/>
      </c>
      <c r="T659" s="2" t="str">
        <f t="shared" si="414"/>
        <v/>
      </c>
      <c r="U659" s="2" t="str">
        <f t="shared" si="415"/>
        <v/>
      </c>
      <c r="V659" t="str">
        <f t="shared" si="432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42"/>
        <v>3</v>
      </c>
      <c r="M660">
        <v>3</v>
      </c>
      <c r="N660" s="3" t="str">
        <f t="shared" si="408"/>
        <v/>
      </c>
      <c r="O660" s="4" t="str">
        <f t="shared" si="409"/>
        <v/>
      </c>
      <c r="P660" s="4" t="str">
        <f t="shared" si="410"/>
        <v/>
      </c>
      <c r="Q660" s="4" t="str">
        <f t="shared" si="411"/>
        <v/>
      </c>
      <c r="R660" s="4" t="str">
        <f t="shared" si="412"/>
        <v/>
      </c>
      <c r="S660" s="5" t="str">
        <f t="shared" si="413"/>
        <v/>
      </c>
      <c r="T660" s="2" t="str">
        <f t="shared" si="414"/>
        <v/>
      </c>
      <c r="U660" s="2" t="str">
        <f t="shared" si="415"/>
        <v/>
      </c>
      <c r="V660" t="str">
        <f t="shared" si="432"/>
        <v/>
      </c>
      <c r="X660">
        <f t="shared" ref="X660:X673" si="443">MAX(B660-B659,0)</f>
        <v>0</v>
      </c>
      <c r="Y660">
        <f t="shared" ref="Y660:Y673" si="444">MAX(C660-C659,0)</f>
        <v>0</v>
      </c>
      <c r="Z660">
        <f t="shared" ref="Z660:Z673" si="445">MAX(D660-D659,0)</f>
        <v>0</v>
      </c>
      <c r="AA660">
        <f t="shared" ref="AA660:AA673" si="446">MAX(E660-E659,0)</f>
        <v>0</v>
      </c>
      <c r="AB660">
        <f t="shared" ref="AB660:AB673" si="447">MAX(F660-F659,0)</f>
        <v>0</v>
      </c>
      <c r="AC660">
        <f t="shared" ref="AC660:AC673" si="448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42"/>
        <v>3</v>
      </c>
      <c r="M661">
        <v>4</v>
      </c>
      <c r="N661" s="6" t="str">
        <f t="shared" si="408"/>
        <v/>
      </c>
      <c r="O661" s="7" t="str">
        <f t="shared" si="409"/>
        <v/>
      </c>
      <c r="P661" s="7" t="str">
        <f t="shared" si="410"/>
        <v/>
      </c>
      <c r="Q661" s="7" t="str">
        <f t="shared" si="411"/>
        <v/>
      </c>
      <c r="R661" s="7" t="str">
        <f t="shared" si="412"/>
        <v/>
      </c>
      <c r="S661" s="8" t="str">
        <f t="shared" si="413"/>
        <v/>
      </c>
      <c r="T661" s="2" t="str">
        <f t="shared" si="414"/>
        <v/>
      </c>
      <c r="U661" s="2" t="str">
        <f t="shared" si="415"/>
        <v/>
      </c>
      <c r="V661" t="str">
        <f t="shared" si="432"/>
        <v/>
      </c>
      <c r="X661">
        <f t="shared" si="443"/>
        <v>0</v>
      </c>
      <c r="Y661">
        <f t="shared" si="444"/>
        <v>0</v>
      </c>
      <c r="Z661">
        <f t="shared" si="445"/>
        <v>0</v>
      </c>
      <c r="AA661">
        <f t="shared" si="446"/>
        <v>0</v>
      </c>
      <c r="AB661">
        <f t="shared" si="447"/>
        <v>0</v>
      </c>
      <c r="AC661">
        <f t="shared" si="448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42"/>
        <v>3</v>
      </c>
      <c r="M662">
        <v>5</v>
      </c>
      <c r="N662" s="22" t="str">
        <f t="shared" si="408"/>
        <v/>
      </c>
      <c r="O662" s="15" t="str">
        <f t="shared" si="409"/>
        <v>#</v>
      </c>
      <c r="P662" s="15" t="str">
        <f t="shared" si="410"/>
        <v>#</v>
      </c>
      <c r="Q662" s="15" t="str">
        <f t="shared" si="411"/>
        <v>#</v>
      </c>
      <c r="R662" s="16" t="str">
        <f t="shared" si="412"/>
        <v/>
      </c>
      <c r="S662" s="8" t="str">
        <f t="shared" si="413"/>
        <v/>
      </c>
      <c r="T662" s="2" t="str">
        <f t="shared" si="414"/>
        <v/>
      </c>
      <c r="U662" s="2" t="str">
        <f t="shared" si="415"/>
        <v/>
      </c>
      <c r="V662" t="str">
        <f t="shared" si="432"/>
        <v/>
      </c>
      <c r="X662">
        <f t="shared" si="443"/>
        <v>0</v>
      </c>
      <c r="Y662">
        <f t="shared" si="444"/>
        <v>1</v>
      </c>
      <c r="Z662">
        <f t="shared" si="445"/>
        <v>1</v>
      </c>
      <c r="AA662">
        <f t="shared" si="446"/>
        <v>1</v>
      </c>
      <c r="AB662">
        <f t="shared" si="447"/>
        <v>0</v>
      </c>
      <c r="AC662">
        <f t="shared" si="448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42"/>
        <v>3</v>
      </c>
      <c r="M663">
        <v>6</v>
      </c>
      <c r="N663" s="23" t="str">
        <f t="shared" si="408"/>
        <v/>
      </c>
      <c r="O663" s="7" t="str">
        <f t="shared" si="409"/>
        <v>#</v>
      </c>
      <c r="P663" s="7" t="str">
        <f t="shared" si="410"/>
        <v>#</v>
      </c>
      <c r="Q663" s="7" t="str">
        <f t="shared" si="411"/>
        <v>#</v>
      </c>
      <c r="R663" s="17" t="str">
        <f t="shared" si="412"/>
        <v/>
      </c>
      <c r="S663" s="8" t="str">
        <f t="shared" si="413"/>
        <v/>
      </c>
      <c r="T663" s="2" t="str">
        <f t="shared" si="414"/>
        <v/>
      </c>
      <c r="U663" s="2" t="str">
        <f t="shared" si="415"/>
        <v/>
      </c>
      <c r="V663" t="str">
        <f t="shared" si="432"/>
        <v/>
      </c>
      <c r="X663">
        <f t="shared" si="443"/>
        <v>0</v>
      </c>
      <c r="Y663">
        <f t="shared" si="444"/>
        <v>0</v>
      </c>
      <c r="Z663">
        <f t="shared" si="445"/>
        <v>0</v>
      </c>
      <c r="AA663">
        <f t="shared" si="446"/>
        <v>0</v>
      </c>
      <c r="AB663">
        <f t="shared" si="447"/>
        <v>0</v>
      </c>
      <c r="AC663">
        <f t="shared" si="448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42"/>
        <v>3</v>
      </c>
      <c r="M664">
        <v>7</v>
      </c>
      <c r="N664" s="23" t="str">
        <f t="shared" si="408"/>
        <v/>
      </c>
      <c r="O664" s="7" t="str">
        <f t="shared" si="409"/>
        <v/>
      </c>
      <c r="P664" s="7" t="str">
        <f t="shared" si="410"/>
        <v/>
      </c>
      <c r="Q664" s="7" t="str">
        <f t="shared" si="411"/>
        <v>#</v>
      </c>
      <c r="R664" s="17" t="str">
        <f t="shared" si="412"/>
        <v/>
      </c>
      <c r="S664" s="8" t="str">
        <f t="shared" si="413"/>
        <v/>
      </c>
      <c r="T664" s="2" t="str">
        <f t="shared" si="414"/>
        <v/>
      </c>
      <c r="U664" s="2" t="str">
        <f t="shared" si="415"/>
        <v/>
      </c>
      <c r="V664" t="str">
        <f t="shared" si="432"/>
        <v/>
      </c>
      <c r="X664">
        <f t="shared" si="443"/>
        <v>0</v>
      </c>
      <c r="Y664">
        <f t="shared" si="444"/>
        <v>0</v>
      </c>
      <c r="Z664">
        <f t="shared" si="445"/>
        <v>0</v>
      </c>
      <c r="AA664">
        <f t="shared" si="446"/>
        <v>0</v>
      </c>
      <c r="AB664">
        <f t="shared" si="447"/>
        <v>0</v>
      </c>
      <c r="AC664">
        <f t="shared" si="448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42"/>
        <v>3</v>
      </c>
      <c r="M665">
        <v>8</v>
      </c>
      <c r="N665" s="23" t="str">
        <f t="shared" si="408"/>
        <v/>
      </c>
      <c r="O665" s="7" t="str">
        <f t="shared" si="409"/>
        <v/>
      </c>
      <c r="P665" s="7" t="str">
        <f t="shared" si="410"/>
        <v/>
      </c>
      <c r="Q665" s="7" t="str">
        <f t="shared" si="411"/>
        <v>#</v>
      </c>
      <c r="R665" s="17" t="str">
        <f t="shared" si="412"/>
        <v/>
      </c>
      <c r="S665" s="8" t="str">
        <f t="shared" si="413"/>
        <v/>
      </c>
      <c r="T665" s="2" t="str">
        <f t="shared" si="414"/>
        <v/>
      </c>
      <c r="U665" s="2" t="str">
        <f t="shared" si="415"/>
        <v/>
      </c>
      <c r="V665" t="str">
        <f t="shared" si="432"/>
        <v/>
      </c>
      <c r="X665">
        <f t="shared" si="443"/>
        <v>0</v>
      </c>
      <c r="Y665">
        <f t="shared" si="444"/>
        <v>0</v>
      </c>
      <c r="Z665">
        <f t="shared" si="445"/>
        <v>0</v>
      </c>
      <c r="AA665">
        <f t="shared" si="446"/>
        <v>0</v>
      </c>
      <c r="AB665">
        <f t="shared" si="447"/>
        <v>0</v>
      </c>
      <c r="AC665">
        <f t="shared" si="448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42"/>
        <v>3</v>
      </c>
      <c r="M666">
        <v>9</v>
      </c>
      <c r="N666" s="23" t="str">
        <f t="shared" si="408"/>
        <v/>
      </c>
      <c r="O666" s="7" t="str">
        <f t="shared" si="409"/>
        <v/>
      </c>
      <c r="P666" s="7" t="str">
        <f t="shared" si="410"/>
        <v>#</v>
      </c>
      <c r="Q666" s="7" t="str">
        <f t="shared" si="411"/>
        <v>#</v>
      </c>
      <c r="R666" s="17" t="str">
        <f t="shared" si="412"/>
        <v/>
      </c>
      <c r="S666" s="8" t="str">
        <f t="shared" si="413"/>
        <v/>
      </c>
      <c r="T666" s="2" t="str">
        <f t="shared" si="414"/>
        <v/>
      </c>
      <c r="U666" s="2" t="str">
        <f t="shared" si="415"/>
        <v/>
      </c>
      <c r="V666" t="str">
        <f t="shared" si="432"/>
        <v/>
      </c>
      <c r="X666">
        <f t="shared" si="443"/>
        <v>0</v>
      </c>
      <c r="Y666">
        <f t="shared" si="444"/>
        <v>0</v>
      </c>
      <c r="Z666">
        <f t="shared" si="445"/>
        <v>1</v>
      </c>
      <c r="AA666">
        <f t="shared" si="446"/>
        <v>0</v>
      </c>
      <c r="AB666">
        <f t="shared" si="447"/>
        <v>0</v>
      </c>
      <c r="AC666">
        <f t="shared" si="448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42"/>
        <v>3</v>
      </c>
      <c r="M667">
        <v>10</v>
      </c>
      <c r="N667" s="23" t="str">
        <f t="shared" si="408"/>
        <v/>
      </c>
      <c r="O667" s="7" t="str">
        <f t="shared" si="409"/>
        <v/>
      </c>
      <c r="P667" s="7" t="str">
        <f t="shared" si="410"/>
        <v>#</v>
      </c>
      <c r="Q667" s="7" t="str">
        <f t="shared" si="411"/>
        <v>#</v>
      </c>
      <c r="R667" s="17" t="str">
        <f t="shared" si="412"/>
        <v>#</v>
      </c>
      <c r="S667" s="8" t="str">
        <f t="shared" si="413"/>
        <v/>
      </c>
      <c r="T667" s="2" t="str">
        <f t="shared" si="414"/>
        <v/>
      </c>
      <c r="U667" s="2" t="str">
        <f t="shared" si="415"/>
        <v/>
      </c>
      <c r="V667" t="str">
        <f t="shared" si="432"/>
        <v/>
      </c>
      <c r="X667">
        <f t="shared" si="443"/>
        <v>0</v>
      </c>
      <c r="Y667">
        <f t="shared" si="444"/>
        <v>0</v>
      </c>
      <c r="Z667">
        <f t="shared" si="445"/>
        <v>0</v>
      </c>
      <c r="AA667">
        <f t="shared" si="446"/>
        <v>0</v>
      </c>
      <c r="AB667">
        <f t="shared" si="447"/>
        <v>1</v>
      </c>
      <c r="AC667">
        <f t="shared" si="448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42"/>
        <v>3</v>
      </c>
      <c r="M668">
        <v>11</v>
      </c>
      <c r="N668" s="23" t="str">
        <f t="shared" si="408"/>
        <v/>
      </c>
      <c r="O668" s="7" t="str">
        <f t="shared" si="409"/>
        <v/>
      </c>
      <c r="P668" s="7" t="str">
        <f t="shared" si="410"/>
        <v/>
      </c>
      <c r="Q668" s="7" t="str">
        <f t="shared" si="411"/>
        <v/>
      </c>
      <c r="R668" s="17" t="str">
        <f t="shared" si="412"/>
        <v>#</v>
      </c>
      <c r="S668" s="8" t="str">
        <f t="shared" si="413"/>
        <v/>
      </c>
      <c r="T668" s="2" t="str">
        <f t="shared" si="414"/>
        <v/>
      </c>
      <c r="U668" s="2" t="str">
        <f t="shared" si="415"/>
        <v/>
      </c>
      <c r="V668" t="str">
        <f t="shared" si="432"/>
        <v/>
      </c>
      <c r="X668">
        <f t="shared" si="443"/>
        <v>0</v>
      </c>
      <c r="Y668">
        <f t="shared" si="444"/>
        <v>0</v>
      </c>
      <c r="Z668">
        <f t="shared" si="445"/>
        <v>0</v>
      </c>
      <c r="AA668">
        <f t="shared" si="446"/>
        <v>0</v>
      </c>
      <c r="AB668">
        <f t="shared" si="447"/>
        <v>0</v>
      </c>
      <c r="AC668">
        <f t="shared" si="448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42"/>
        <v>3</v>
      </c>
      <c r="M669">
        <v>12</v>
      </c>
      <c r="N669" s="23" t="str">
        <f t="shared" si="408"/>
        <v/>
      </c>
      <c r="O669" s="7" t="str">
        <f t="shared" si="409"/>
        <v/>
      </c>
      <c r="P669" s="7" t="str">
        <f t="shared" si="410"/>
        <v/>
      </c>
      <c r="Q669" s="7" t="str">
        <f t="shared" si="411"/>
        <v/>
      </c>
      <c r="R669" s="17" t="str">
        <f t="shared" si="412"/>
        <v>#</v>
      </c>
      <c r="S669" s="8" t="str">
        <f t="shared" si="413"/>
        <v/>
      </c>
      <c r="T669" s="2" t="str">
        <f t="shared" si="414"/>
        <v/>
      </c>
      <c r="U669" s="2" t="str">
        <f t="shared" si="415"/>
        <v/>
      </c>
      <c r="V669" t="str">
        <f t="shared" si="432"/>
        <v/>
      </c>
      <c r="X669">
        <f t="shared" si="443"/>
        <v>0</v>
      </c>
      <c r="Y669">
        <f t="shared" si="444"/>
        <v>0</v>
      </c>
      <c r="Z669">
        <f t="shared" si="445"/>
        <v>0</v>
      </c>
      <c r="AA669">
        <f t="shared" si="446"/>
        <v>0</v>
      </c>
      <c r="AB669">
        <f t="shared" si="447"/>
        <v>0</v>
      </c>
      <c r="AC669">
        <f t="shared" si="448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42"/>
        <v>3</v>
      </c>
      <c r="M670">
        <v>13</v>
      </c>
      <c r="N670" s="6" t="str">
        <f t="shared" si="408"/>
        <v/>
      </c>
      <c r="O670" s="7" t="str">
        <f t="shared" si="409"/>
        <v/>
      </c>
      <c r="P670" s="7" t="str">
        <f t="shared" si="410"/>
        <v/>
      </c>
      <c r="Q670" s="7" t="str">
        <f t="shared" si="411"/>
        <v>#</v>
      </c>
      <c r="R670" s="17" t="str">
        <f t="shared" si="412"/>
        <v>#</v>
      </c>
      <c r="S670" s="8" t="str">
        <f t="shared" si="413"/>
        <v/>
      </c>
      <c r="T670" s="2" t="str">
        <f t="shared" si="414"/>
        <v/>
      </c>
      <c r="U670" s="2" t="str">
        <f t="shared" si="415"/>
        <v/>
      </c>
      <c r="V670" t="str">
        <f t="shared" si="432"/>
        <v/>
      </c>
      <c r="X670">
        <f t="shared" si="443"/>
        <v>0</v>
      </c>
      <c r="Y670">
        <f t="shared" si="444"/>
        <v>0</v>
      </c>
      <c r="Z670">
        <f t="shared" si="445"/>
        <v>0</v>
      </c>
      <c r="AA670">
        <f t="shared" si="446"/>
        <v>1</v>
      </c>
      <c r="AB670">
        <f t="shared" si="447"/>
        <v>0</v>
      </c>
      <c r="AC670">
        <f t="shared" si="448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42"/>
        <v>3</v>
      </c>
      <c r="M671">
        <v>14</v>
      </c>
      <c r="N671" s="18" t="str">
        <f t="shared" si="408"/>
        <v/>
      </c>
      <c r="O671" s="19" t="str">
        <f t="shared" si="409"/>
        <v/>
      </c>
      <c r="P671" s="19" t="str">
        <f t="shared" si="410"/>
        <v>#</v>
      </c>
      <c r="Q671" s="19" t="str">
        <f t="shared" si="411"/>
        <v>#</v>
      </c>
      <c r="R671" s="20" t="str">
        <f t="shared" si="412"/>
        <v/>
      </c>
      <c r="S671" s="8" t="str">
        <f t="shared" si="413"/>
        <v/>
      </c>
      <c r="T671" s="2" t="str">
        <f t="shared" si="414"/>
        <v/>
      </c>
      <c r="U671" s="2" t="str">
        <f t="shared" si="415"/>
        <v/>
      </c>
      <c r="V671" t="str">
        <f t="shared" si="432"/>
        <v/>
      </c>
      <c r="X671">
        <f t="shared" si="443"/>
        <v>0</v>
      </c>
      <c r="Y671">
        <f t="shared" si="444"/>
        <v>0</v>
      </c>
      <c r="Z671">
        <f t="shared" si="445"/>
        <v>1</v>
      </c>
      <c r="AA671">
        <f t="shared" si="446"/>
        <v>0</v>
      </c>
      <c r="AB671">
        <f t="shared" si="447"/>
        <v>0</v>
      </c>
      <c r="AC671">
        <f t="shared" si="448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42"/>
        <v>3</v>
      </c>
      <c r="M672">
        <v>15</v>
      </c>
      <c r="N672" s="9" t="str">
        <f t="shared" si="408"/>
        <v>#</v>
      </c>
      <c r="O672" s="10" t="str">
        <f t="shared" si="409"/>
        <v>#</v>
      </c>
      <c r="P672" s="10" t="str">
        <f t="shared" si="410"/>
        <v>#</v>
      </c>
      <c r="Q672" s="10" t="str">
        <f t="shared" si="411"/>
        <v/>
      </c>
      <c r="R672" s="10" t="str">
        <f t="shared" si="412"/>
        <v/>
      </c>
      <c r="S672" s="11" t="str">
        <f t="shared" si="413"/>
        <v/>
      </c>
      <c r="T672" s="2" t="str">
        <f t="shared" si="414"/>
        <v/>
      </c>
      <c r="U672" s="2" t="str">
        <f t="shared" si="415"/>
        <v/>
      </c>
      <c r="V672" t="str">
        <f t="shared" si="432"/>
        <v/>
      </c>
      <c r="X672">
        <f t="shared" si="443"/>
        <v>1</v>
      </c>
      <c r="Y672">
        <f t="shared" si="444"/>
        <v>1</v>
      </c>
      <c r="Z672">
        <f t="shared" si="445"/>
        <v>0</v>
      </c>
      <c r="AA672">
        <f t="shared" si="446"/>
        <v>0</v>
      </c>
      <c r="AB672">
        <f t="shared" si="447"/>
        <v>0</v>
      </c>
      <c r="AC672">
        <f t="shared" si="448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42"/>
        <v>3</v>
      </c>
      <c r="M673">
        <v>16</v>
      </c>
      <c r="N673" s="12" t="str">
        <f t="shared" si="408"/>
        <v>#</v>
      </c>
      <c r="O673" s="13" t="str">
        <f t="shared" si="409"/>
        <v>#</v>
      </c>
      <c r="P673" s="13" t="str">
        <f t="shared" si="410"/>
        <v/>
      </c>
      <c r="Q673" s="13" t="str">
        <f t="shared" si="411"/>
        <v/>
      </c>
      <c r="R673" s="13" t="str">
        <f t="shared" si="412"/>
        <v/>
      </c>
      <c r="S673" s="14" t="str">
        <f t="shared" si="413"/>
        <v/>
      </c>
      <c r="T673" s="2" t="str">
        <f t="shared" si="414"/>
        <v/>
      </c>
      <c r="U673" s="2" t="str">
        <f t="shared" si="415"/>
        <v/>
      </c>
      <c r="V673" t="str">
        <f t="shared" si="432"/>
        <v/>
      </c>
      <c r="X673">
        <f t="shared" si="443"/>
        <v>0</v>
      </c>
      <c r="Y673">
        <f t="shared" si="444"/>
        <v>0</v>
      </c>
      <c r="Z673">
        <f t="shared" si="445"/>
        <v>0</v>
      </c>
      <c r="AA673">
        <f t="shared" si="446"/>
        <v>0</v>
      </c>
      <c r="AB673">
        <f t="shared" si="447"/>
        <v>0</v>
      </c>
      <c r="AC673">
        <f t="shared" si="448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9">IF(B674&gt;0,"#","")</f>
        <v/>
      </c>
      <c r="O674" t="str">
        <f t="shared" ref="O674:O737" si="450">IF(C674&gt;0,"#","")</f>
        <v/>
      </c>
      <c r="P674" t="str">
        <f t="shared" ref="P674:P737" si="451">IF(D674&gt;0,"#","")</f>
        <v/>
      </c>
      <c r="Q674" t="str">
        <f t="shared" ref="Q674:Q737" si="452">IF(E674&gt;0,"#","")</f>
        <v/>
      </c>
      <c r="R674" t="str">
        <f t="shared" ref="R674:R737" si="453">IF(F674&gt;0,"#","")</f>
        <v/>
      </c>
      <c r="S674" t="str">
        <f t="shared" ref="S674:S737" si="454">IF(G674&gt;0,"#","")</f>
        <v/>
      </c>
      <c r="T674" s="2" t="str">
        <f t="shared" ref="T674:T737" si="455">IF(H674&gt;0,"#","")</f>
        <v/>
      </c>
      <c r="U674" s="2" t="str">
        <f t="shared" ref="U674:U737" si="456">IF(I674&gt;0,"#","")</f>
        <v/>
      </c>
      <c r="V674" t="str">
        <f t="shared" si="432"/>
        <v/>
      </c>
      <c r="W674">
        <f>SUM(B676:G689)</f>
        <v>24</v>
      </c>
      <c r="AD674">
        <f t="shared" ref="AD674" si="457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8">L674</f>
        <v>4</v>
      </c>
      <c r="M675">
        <v>2</v>
      </c>
      <c r="N675" t="str">
        <f t="shared" si="449"/>
        <v/>
      </c>
      <c r="O675" t="str">
        <f t="shared" si="450"/>
        <v/>
      </c>
      <c r="P675" t="str">
        <f t="shared" si="451"/>
        <v/>
      </c>
      <c r="Q675" t="str">
        <f t="shared" si="452"/>
        <v/>
      </c>
      <c r="R675" t="str">
        <f t="shared" si="453"/>
        <v/>
      </c>
      <c r="S675" t="str">
        <f t="shared" si="454"/>
        <v/>
      </c>
      <c r="T675" s="2" t="str">
        <f t="shared" si="455"/>
        <v/>
      </c>
      <c r="U675" s="2" t="str">
        <f t="shared" si="456"/>
        <v/>
      </c>
      <c r="V675" t="str">
        <f t="shared" si="432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8"/>
        <v>4</v>
      </c>
      <c r="M676">
        <v>3</v>
      </c>
      <c r="N676" s="3" t="str">
        <f t="shared" si="449"/>
        <v/>
      </c>
      <c r="O676" s="4" t="str">
        <f t="shared" si="450"/>
        <v/>
      </c>
      <c r="P676" s="4" t="str">
        <f t="shared" si="451"/>
        <v/>
      </c>
      <c r="Q676" s="4" t="str">
        <f t="shared" si="452"/>
        <v/>
      </c>
      <c r="R676" s="4" t="str">
        <f t="shared" si="453"/>
        <v/>
      </c>
      <c r="S676" s="5" t="str">
        <f t="shared" si="454"/>
        <v/>
      </c>
      <c r="T676" s="2" t="str">
        <f t="shared" si="455"/>
        <v/>
      </c>
      <c r="U676" s="2" t="str">
        <f t="shared" si="456"/>
        <v/>
      </c>
      <c r="V676" t="str">
        <f t="shared" si="432"/>
        <v/>
      </c>
      <c r="X676">
        <f t="shared" ref="X676:X689" si="459">MAX(B676-B675,0)</f>
        <v>0</v>
      </c>
      <c r="Y676">
        <f t="shared" ref="Y676:Y689" si="460">MAX(C676-C675,0)</f>
        <v>0</v>
      </c>
      <c r="Z676">
        <f t="shared" ref="Z676:Z689" si="461">MAX(D676-D675,0)</f>
        <v>0</v>
      </c>
      <c r="AA676">
        <f t="shared" ref="AA676:AA689" si="462">MAX(E676-E675,0)</f>
        <v>0</v>
      </c>
      <c r="AB676">
        <f t="shared" ref="AB676:AB689" si="463">MAX(F676-F675,0)</f>
        <v>0</v>
      </c>
      <c r="AC676">
        <f t="shared" ref="AC676:AC689" si="464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8"/>
        <v>4</v>
      </c>
      <c r="M677">
        <v>4</v>
      </c>
      <c r="N677" s="6" t="str">
        <f t="shared" si="449"/>
        <v>#</v>
      </c>
      <c r="O677" s="7" t="str">
        <f t="shared" si="450"/>
        <v/>
      </c>
      <c r="P677" s="7" t="str">
        <f t="shared" si="451"/>
        <v/>
      </c>
      <c r="Q677" s="7" t="str">
        <f t="shared" si="452"/>
        <v/>
      </c>
      <c r="R677" s="7" t="str">
        <f t="shared" si="453"/>
        <v/>
      </c>
      <c r="S677" s="8" t="str">
        <f t="shared" si="454"/>
        <v/>
      </c>
      <c r="T677" s="2" t="str">
        <f t="shared" si="455"/>
        <v/>
      </c>
      <c r="U677" s="2" t="str">
        <f t="shared" si="456"/>
        <v/>
      </c>
      <c r="V677" t="str">
        <f t="shared" si="432"/>
        <v/>
      </c>
      <c r="X677">
        <f t="shared" si="459"/>
        <v>1</v>
      </c>
      <c r="Y677">
        <f t="shared" si="460"/>
        <v>0</v>
      </c>
      <c r="Z677">
        <f t="shared" si="461"/>
        <v>0</v>
      </c>
      <c r="AA677">
        <f t="shared" si="462"/>
        <v>0</v>
      </c>
      <c r="AB677">
        <f t="shared" si="463"/>
        <v>0</v>
      </c>
      <c r="AC677">
        <f t="shared" si="464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8"/>
        <v>4</v>
      </c>
      <c r="M678">
        <v>5</v>
      </c>
      <c r="N678" s="22" t="str">
        <f t="shared" si="449"/>
        <v>#</v>
      </c>
      <c r="O678" s="15" t="str">
        <f t="shared" si="450"/>
        <v/>
      </c>
      <c r="P678" s="15" t="str">
        <f t="shared" si="451"/>
        <v/>
      </c>
      <c r="Q678" s="15" t="str">
        <f t="shared" si="452"/>
        <v>#</v>
      </c>
      <c r="R678" s="16" t="str">
        <f t="shared" si="453"/>
        <v/>
      </c>
      <c r="S678" s="8" t="str">
        <f t="shared" si="454"/>
        <v/>
      </c>
      <c r="T678" s="2" t="str">
        <f t="shared" si="455"/>
        <v/>
      </c>
      <c r="U678" s="2" t="str">
        <f t="shared" si="456"/>
        <v/>
      </c>
      <c r="V678" t="str">
        <f t="shared" si="432"/>
        <v/>
      </c>
      <c r="X678">
        <f t="shared" si="459"/>
        <v>0</v>
      </c>
      <c r="Y678">
        <f t="shared" si="460"/>
        <v>0</v>
      </c>
      <c r="Z678">
        <f t="shared" si="461"/>
        <v>0</v>
      </c>
      <c r="AA678">
        <f t="shared" si="462"/>
        <v>1</v>
      </c>
      <c r="AB678">
        <f t="shared" si="463"/>
        <v>0</v>
      </c>
      <c r="AC678">
        <f t="shared" si="464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8"/>
        <v>4</v>
      </c>
      <c r="M679">
        <v>6</v>
      </c>
      <c r="N679" s="23" t="str">
        <f t="shared" si="449"/>
        <v>#</v>
      </c>
      <c r="O679" s="7" t="str">
        <f t="shared" si="450"/>
        <v/>
      </c>
      <c r="P679" s="7" t="str">
        <f t="shared" si="451"/>
        <v/>
      </c>
      <c r="Q679" s="7" t="str">
        <f t="shared" si="452"/>
        <v>#</v>
      </c>
      <c r="R679" s="17" t="str">
        <f t="shared" si="453"/>
        <v/>
      </c>
      <c r="S679" s="8" t="str">
        <f t="shared" si="454"/>
        <v/>
      </c>
      <c r="T679" s="2" t="str">
        <f t="shared" si="455"/>
        <v/>
      </c>
      <c r="U679" s="2" t="str">
        <f t="shared" si="456"/>
        <v/>
      </c>
      <c r="V679" t="str">
        <f t="shared" si="432"/>
        <v/>
      </c>
      <c r="X679">
        <f t="shared" si="459"/>
        <v>0</v>
      </c>
      <c r="Y679">
        <f t="shared" si="460"/>
        <v>0</v>
      </c>
      <c r="Z679">
        <f t="shared" si="461"/>
        <v>0</v>
      </c>
      <c r="AA679">
        <f t="shared" si="462"/>
        <v>0</v>
      </c>
      <c r="AB679">
        <f t="shared" si="463"/>
        <v>0</v>
      </c>
      <c r="AC679">
        <f t="shared" si="464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8"/>
        <v>4</v>
      </c>
      <c r="M680">
        <v>7</v>
      </c>
      <c r="N680" s="23" t="str">
        <f t="shared" si="449"/>
        <v>#</v>
      </c>
      <c r="O680" s="7" t="str">
        <f t="shared" si="450"/>
        <v/>
      </c>
      <c r="P680" s="7" t="str">
        <f t="shared" si="451"/>
        <v/>
      </c>
      <c r="Q680" s="7" t="str">
        <f t="shared" si="452"/>
        <v>#</v>
      </c>
      <c r="R680" s="17" t="str">
        <f t="shared" si="453"/>
        <v/>
      </c>
      <c r="S680" s="8" t="str">
        <f t="shared" si="454"/>
        <v/>
      </c>
      <c r="T680" s="2" t="str">
        <f t="shared" si="455"/>
        <v/>
      </c>
      <c r="U680" s="2" t="str">
        <f t="shared" si="456"/>
        <v/>
      </c>
      <c r="V680" t="str">
        <f t="shared" si="432"/>
        <v/>
      </c>
      <c r="X680">
        <f t="shared" si="459"/>
        <v>0</v>
      </c>
      <c r="Y680">
        <f t="shared" si="460"/>
        <v>0</v>
      </c>
      <c r="Z680">
        <f t="shared" si="461"/>
        <v>0</v>
      </c>
      <c r="AA680">
        <f t="shared" si="462"/>
        <v>0</v>
      </c>
      <c r="AB680">
        <f t="shared" si="463"/>
        <v>0</v>
      </c>
      <c r="AC680">
        <f t="shared" si="464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8"/>
        <v>4</v>
      </c>
      <c r="M681">
        <v>8</v>
      </c>
      <c r="N681" s="23" t="str">
        <f t="shared" si="449"/>
        <v>#</v>
      </c>
      <c r="O681" s="7" t="str">
        <f t="shared" si="450"/>
        <v/>
      </c>
      <c r="P681" s="7" t="str">
        <f t="shared" si="451"/>
        <v/>
      </c>
      <c r="Q681" s="7" t="str">
        <f t="shared" si="452"/>
        <v>#</v>
      </c>
      <c r="R681" s="17" t="str">
        <f t="shared" si="453"/>
        <v/>
      </c>
      <c r="S681" s="8" t="str">
        <f t="shared" si="454"/>
        <v/>
      </c>
      <c r="T681" s="2" t="str">
        <f t="shared" si="455"/>
        <v/>
      </c>
      <c r="U681" s="2" t="str">
        <f t="shared" si="456"/>
        <v/>
      </c>
      <c r="V681" t="str">
        <f t="shared" si="432"/>
        <v/>
      </c>
      <c r="X681">
        <f t="shared" si="459"/>
        <v>0</v>
      </c>
      <c r="Y681">
        <f t="shared" si="460"/>
        <v>0</v>
      </c>
      <c r="Z681">
        <f t="shared" si="461"/>
        <v>0</v>
      </c>
      <c r="AA681">
        <f t="shared" si="462"/>
        <v>0</v>
      </c>
      <c r="AB681">
        <f t="shared" si="463"/>
        <v>0</v>
      </c>
      <c r="AC681">
        <f t="shared" si="464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8"/>
        <v>4</v>
      </c>
      <c r="M682">
        <v>9</v>
      </c>
      <c r="N682" s="23" t="str">
        <f t="shared" si="449"/>
        <v>#</v>
      </c>
      <c r="O682" s="7" t="str">
        <f t="shared" si="450"/>
        <v/>
      </c>
      <c r="P682" s="7" t="str">
        <f t="shared" si="451"/>
        <v/>
      </c>
      <c r="Q682" s="7" t="str">
        <f t="shared" si="452"/>
        <v>#</v>
      </c>
      <c r="R682" s="17" t="str">
        <f t="shared" si="453"/>
        <v/>
      </c>
      <c r="S682" s="8" t="str">
        <f t="shared" si="454"/>
        <v/>
      </c>
      <c r="T682" s="2" t="str">
        <f t="shared" si="455"/>
        <v/>
      </c>
      <c r="U682" s="2" t="str">
        <f t="shared" si="456"/>
        <v/>
      </c>
      <c r="V682" t="str">
        <f t="shared" si="432"/>
        <v/>
      </c>
      <c r="X682">
        <f t="shared" si="459"/>
        <v>0</v>
      </c>
      <c r="Y682">
        <f t="shared" si="460"/>
        <v>0</v>
      </c>
      <c r="Z682">
        <f t="shared" si="461"/>
        <v>0</v>
      </c>
      <c r="AA682">
        <f t="shared" si="462"/>
        <v>0</v>
      </c>
      <c r="AB682">
        <f t="shared" si="463"/>
        <v>0</v>
      </c>
      <c r="AC682">
        <f t="shared" si="464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8"/>
        <v>4</v>
      </c>
      <c r="M683">
        <v>10</v>
      </c>
      <c r="N683" s="23" t="str">
        <f t="shared" si="449"/>
        <v>#</v>
      </c>
      <c r="O683" s="7" t="str">
        <f t="shared" si="450"/>
        <v>#</v>
      </c>
      <c r="P683" s="7" t="str">
        <f t="shared" si="451"/>
        <v>#</v>
      </c>
      <c r="Q683" s="7" t="str">
        <f t="shared" si="452"/>
        <v>#</v>
      </c>
      <c r="R683" s="17" t="str">
        <f t="shared" si="453"/>
        <v>#</v>
      </c>
      <c r="S683" s="8" t="str">
        <f t="shared" si="454"/>
        <v/>
      </c>
      <c r="T683" s="2" t="str">
        <f t="shared" si="455"/>
        <v/>
      </c>
      <c r="U683" s="2" t="str">
        <f t="shared" si="456"/>
        <v/>
      </c>
      <c r="V683" t="str">
        <f t="shared" si="432"/>
        <v/>
      </c>
      <c r="X683">
        <f t="shared" si="459"/>
        <v>0</v>
      </c>
      <c r="Y683">
        <f t="shared" si="460"/>
        <v>1</v>
      </c>
      <c r="Z683">
        <f t="shared" si="461"/>
        <v>1</v>
      </c>
      <c r="AA683">
        <f t="shared" si="462"/>
        <v>0</v>
      </c>
      <c r="AB683">
        <f t="shared" si="463"/>
        <v>1</v>
      </c>
      <c r="AC683">
        <f t="shared" si="464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8"/>
        <v>4</v>
      </c>
      <c r="M684">
        <v>11</v>
      </c>
      <c r="N684" s="23" t="str">
        <f t="shared" si="449"/>
        <v>#</v>
      </c>
      <c r="O684" s="7" t="str">
        <f t="shared" si="450"/>
        <v>#</v>
      </c>
      <c r="P684" s="7" t="str">
        <f t="shared" si="451"/>
        <v>#</v>
      </c>
      <c r="Q684" s="7" t="str">
        <f t="shared" si="452"/>
        <v>#</v>
      </c>
      <c r="R684" s="17" t="str">
        <f t="shared" si="453"/>
        <v>#</v>
      </c>
      <c r="S684" s="8" t="str">
        <f t="shared" si="454"/>
        <v/>
      </c>
      <c r="T684" s="2" t="str">
        <f t="shared" si="455"/>
        <v/>
      </c>
      <c r="U684" s="2" t="str">
        <f t="shared" si="456"/>
        <v/>
      </c>
      <c r="V684" t="str">
        <f t="shared" si="432"/>
        <v/>
      </c>
      <c r="X684">
        <f t="shared" si="459"/>
        <v>0</v>
      </c>
      <c r="Y684">
        <f t="shared" si="460"/>
        <v>0</v>
      </c>
      <c r="Z684">
        <f t="shared" si="461"/>
        <v>0</v>
      </c>
      <c r="AA684">
        <f t="shared" si="462"/>
        <v>0</v>
      </c>
      <c r="AB684">
        <f t="shared" si="463"/>
        <v>0</v>
      </c>
      <c r="AC684">
        <f t="shared" si="464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8"/>
        <v>4</v>
      </c>
      <c r="M685">
        <v>12</v>
      </c>
      <c r="N685" s="23" t="str">
        <f t="shared" si="449"/>
        <v/>
      </c>
      <c r="O685" s="7" t="str">
        <f t="shared" si="450"/>
        <v/>
      </c>
      <c r="P685" s="7" t="str">
        <f t="shared" si="451"/>
        <v/>
      </c>
      <c r="Q685" s="7" t="str">
        <f t="shared" si="452"/>
        <v>#</v>
      </c>
      <c r="R685" s="17" t="str">
        <f t="shared" si="453"/>
        <v/>
      </c>
      <c r="S685" s="8" t="str">
        <f t="shared" si="454"/>
        <v/>
      </c>
      <c r="T685" s="2" t="str">
        <f t="shared" si="455"/>
        <v/>
      </c>
      <c r="U685" s="2" t="str">
        <f t="shared" si="456"/>
        <v/>
      </c>
      <c r="V685" t="str">
        <f t="shared" si="432"/>
        <v/>
      </c>
      <c r="X685">
        <f t="shared" si="459"/>
        <v>0</v>
      </c>
      <c r="Y685">
        <f t="shared" si="460"/>
        <v>0</v>
      </c>
      <c r="Z685">
        <f t="shared" si="461"/>
        <v>0</v>
      </c>
      <c r="AA685">
        <f t="shared" si="462"/>
        <v>0</v>
      </c>
      <c r="AB685">
        <f t="shared" si="463"/>
        <v>0</v>
      </c>
      <c r="AC685">
        <f t="shared" si="464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8"/>
        <v>4</v>
      </c>
      <c r="M686">
        <v>13</v>
      </c>
      <c r="N686" s="6" t="str">
        <f t="shared" si="449"/>
        <v/>
      </c>
      <c r="O686" s="7" t="str">
        <f t="shared" si="450"/>
        <v/>
      </c>
      <c r="P686" s="7" t="str">
        <f t="shared" si="451"/>
        <v/>
      </c>
      <c r="Q686" s="7" t="str">
        <f t="shared" si="452"/>
        <v>#</v>
      </c>
      <c r="R686" s="17" t="str">
        <f t="shared" si="453"/>
        <v/>
      </c>
      <c r="S686" s="8" t="str">
        <f t="shared" si="454"/>
        <v/>
      </c>
      <c r="T686" s="2" t="str">
        <f t="shared" si="455"/>
        <v/>
      </c>
      <c r="U686" s="2" t="str">
        <f t="shared" si="456"/>
        <v/>
      </c>
      <c r="V686" t="str">
        <f t="shared" si="432"/>
        <v/>
      </c>
      <c r="X686">
        <f t="shared" si="459"/>
        <v>0</v>
      </c>
      <c r="Y686">
        <f t="shared" si="460"/>
        <v>0</v>
      </c>
      <c r="Z686">
        <f t="shared" si="461"/>
        <v>0</v>
      </c>
      <c r="AA686">
        <f t="shared" si="462"/>
        <v>0</v>
      </c>
      <c r="AB686">
        <f t="shared" si="463"/>
        <v>0</v>
      </c>
      <c r="AC686">
        <f t="shared" si="464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8"/>
        <v>4</v>
      </c>
      <c r="M687">
        <v>14</v>
      </c>
      <c r="N687" s="18" t="str">
        <f t="shared" si="449"/>
        <v/>
      </c>
      <c r="O687" s="19" t="str">
        <f t="shared" si="450"/>
        <v/>
      </c>
      <c r="P687" s="19" t="str">
        <f t="shared" si="451"/>
        <v/>
      </c>
      <c r="Q687" s="19" t="str">
        <f t="shared" si="452"/>
        <v>#</v>
      </c>
      <c r="R687" s="20" t="str">
        <f t="shared" si="453"/>
        <v/>
      </c>
      <c r="S687" s="8" t="str">
        <f t="shared" si="454"/>
        <v/>
      </c>
      <c r="T687" s="2" t="str">
        <f t="shared" si="455"/>
        <v/>
      </c>
      <c r="U687" s="2" t="str">
        <f t="shared" si="456"/>
        <v/>
      </c>
      <c r="V687" t="str">
        <f t="shared" si="432"/>
        <v/>
      </c>
      <c r="X687">
        <f t="shared" si="459"/>
        <v>0</v>
      </c>
      <c r="Y687">
        <f t="shared" si="460"/>
        <v>0</v>
      </c>
      <c r="Z687">
        <f t="shared" si="461"/>
        <v>0</v>
      </c>
      <c r="AA687">
        <f t="shared" si="462"/>
        <v>0</v>
      </c>
      <c r="AB687">
        <f t="shared" si="463"/>
        <v>0</v>
      </c>
      <c r="AC687">
        <f t="shared" si="464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8"/>
        <v>4</v>
      </c>
      <c r="M688">
        <v>15</v>
      </c>
      <c r="N688" s="9" t="str">
        <f t="shared" si="449"/>
        <v/>
      </c>
      <c r="O688" s="10" t="str">
        <f t="shared" si="450"/>
        <v/>
      </c>
      <c r="P688" s="10" t="str">
        <f t="shared" si="451"/>
        <v/>
      </c>
      <c r="Q688" s="10" t="str">
        <f t="shared" si="452"/>
        <v/>
      </c>
      <c r="R688" s="10" t="str">
        <f t="shared" si="453"/>
        <v/>
      </c>
      <c r="S688" s="11" t="str">
        <f t="shared" si="454"/>
        <v/>
      </c>
      <c r="T688" s="2" t="str">
        <f t="shared" si="455"/>
        <v/>
      </c>
      <c r="U688" s="2" t="str">
        <f t="shared" si="456"/>
        <v/>
      </c>
      <c r="V688" t="str">
        <f t="shared" si="432"/>
        <v/>
      </c>
      <c r="X688">
        <f t="shared" si="459"/>
        <v>0</v>
      </c>
      <c r="Y688">
        <f t="shared" si="460"/>
        <v>0</v>
      </c>
      <c r="Z688">
        <f t="shared" si="461"/>
        <v>0</v>
      </c>
      <c r="AA688">
        <f t="shared" si="462"/>
        <v>0</v>
      </c>
      <c r="AB688">
        <f t="shared" si="463"/>
        <v>0</v>
      </c>
      <c r="AC688">
        <f t="shared" si="464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8"/>
        <v>4</v>
      </c>
      <c r="M689">
        <v>16</v>
      </c>
      <c r="N689" s="12" t="str">
        <f t="shared" si="449"/>
        <v/>
      </c>
      <c r="O689" s="13" t="str">
        <f t="shared" si="450"/>
        <v/>
      </c>
      <c r="P689" s="13" t="str">
        <f t="shared" si="451"/>
        <v/>
      </c>
      <c r="Q689" s="13" t="str">
        <f t="shared" si="452"/>
        <v/>
      </c>
      <c r="R689" s="13" t="str">
        <f t="shared" si="453"/>
        <v/>
      </c>
      <c r="S689" s="14" t="str">
        <f t="shared" si="454"/>
        <v/>
      </c>
      <c r="T689" s="2" t="str">
        <f t="shared" si="455"/>
        <v/>
      </c>
      <c r="U689" s="2" t="str">
        <f t="shared" si="456"/>
        <v/>
      </c>
      <c r="V689" t="str">
        <f t="shared" si="432"/>
        <v/>
      </c>
      <c r="X689">
        <f t="shared" si="459"/>
        <v>0</v>
      </c>
      <c r="Y689">
        <f t="shared" si="460"/>
        <v>0</v>
      </c>
      <c r="Z689">
        <f t="shared" si="461"/>
        <v>0</v>
      </c>
      <c r="AA689">
        <f t="shared" si="462"/>
        <v>0</v>
      </c>
      <c r="AB689">
        <f t="shared" si="463"/>
        <v>0</v>
      </c>
      <c r="AC689">
        <f t="shared" si="464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9"/>
        <v/>
      </c>
      <c r="O690" t="str">
        <f t="shared" si="450"/>
        <v/>
      </c>
      <c r="P690" t="str">
        <f t="shared" si="451"/>
        <v/>
      </c>
      <c r="Q690" t="str">
        <f t="shared" si="452"/>
        <v/>
      </c>
      <c r="R690" t="str">
        <f t="shared" si="453"/>
        <v/>
      </c>
      <c r="S690" t="str">
        <f t="shared" si="454"/>
        <v/>
      </c>
      <c r="T690" s="2" t="str">
        <f t="shared" si="455"/>
        <v/>
      </c>
      <c r="U690" s="2" t="str">
        <f t="shared" si="456"/>
        <v/>
      </c>
      <c r="V690" t="str">
        <f t="shared" si="432"/>
        <v/>
      </c>
      <c r="W690">
        <f>SUM(B692:G705)</f>
        <v>24</v>
      </c>
      <c r="AD690">
        <f t="shared" ref="AD690" si="465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6">L690</f>
        <v>5</v>
      </c>
      <c r="M691">
        <v>2</v>
      </c>
      <c r="N691" t="str">
        <f t="shared" si="449"/>
        <v/>
      </c>
      <c r="O691" t="str">
        <f t="shared" si="450"/>
        <v/>
      </c>
      <c r="P691" t="str">
        <f t="shared" si="451"/>
        <v/>
      </c>
      <c r="Q691" t="str">
        <f t="shared" si="452"/>
        <v/>
      </c>
      <c r="R691" t="str">
        <f t="shared" si="453"/>
        <v/>
      </c>
      <c r="S691" t="str">
        <f t="shared" si="454"/>
        <v/>
      </c>
      <c r="T691" s="2" t="str">
        <f t="shared" si="455"/>
        <v/>
      </c>
      <c r="U691" s="2" t="str">
        <f t="shared" si="456"/>
        <v/>
      </c>
      <c r="V691" t="str">
        <f t="shared" si="432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6"/>
        <v>5</v>
      </c>
      <c r="M692">
        <v>3</v>
      </c>
      <c r="N692" s="3" t="str">
        <f t="shared" si="449"/>
        <v/>
      </c>
      <c r="O692" s="4" t="str">
        <f t="shared" si="450"/>
        <v/>
      </c>
      <c r="P692" s="4" t="str">
        <f t="shared" si="451"/>
        <v/>
      </c>
      <c r="Q692" s="4" t="str">
        <f t="shared" si="452"/>
        <v/>
      </c>
      <c r="R692" s="4" t="str">
        <f t="shared" si="453"/>
        <v/>
      </c>
      <c r="S692" s="5" t="str">
        <f t="shared" si="454"/>
        <v/>
      </c>
      <c r="T692" s="2" t="str">
        <f t="shared" si="455"/>
        <v/>
      </c>
      <c r="U692" s="2" t="str">
        <f t="shared" si="456"/>
        <v/>
      </c>
      <c r="V692" t="str">
        <f t="shared" si="432"/>
        <v/>
      </c>
      <c r="X692">
        <f t="shared" ref="X692:X705" si="467">MAX(B692-B691,0)</f>
        <v>0</v>
      </c>
      <c r="Y692">
        <f t="shared" ref="Y692:Y705" si="468">MAX(C692-C691,0)</f>
        <v>0</v>
      </c>
      <c r="Z692">
        <f t="shared" ref="Z692:Z705" si="469">MAX(D692-D691,0)</f>
        <v>0</v>
      </c>
      <c r="AA692">
        <f t="shared" ref="AA692:AA705" si="470">MAX(E692-E691,0)</f>
        <v>0</v>
      </c>
      <c r="AB692">
        <f t="shared" ref="AB692:AB705" si="471">MAX(F692-F691,0)</f>
        <v>0</v>
      </c>
      <c r="AC692">
        <f t="shared" ref="AC692:AC705" si="472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6"/>
        <v>5</v>
      </c>
      <c r="M693">
        <v>4</v>
      </c>
      <c r="N693" s="6" t="str">
        <f t="shared" si="449"/>
        <v/>
      </c>
      <c r="O693" s="7" t="str">
        <f t="shared" si="450"/>
        <v/>
      </c>
      <c r="P693" s="7" t="str">
        <f t="shared" si="451"/>
        <v>#</v>
      </c>
      <c r="Q693" s="7" t="str">
        <f t="shared" si="452"/>
        <v>#</v>
      </c>
      <c r="R693" s="7" t="str">
        <f t="shared" si="453"/>
        <v>#</v>
      </c>
      <c r="S693" s="8" t="str">
        <f t="shared" si="454"/>
        <v/>
      </c>
      <c r="T693" s="2" t="str">
        <f t="shared" si="455"/>
        <v/>
      </c>
      <c r="U693" s="2" t="str">
        <f t="shared" si="456"/>
        <v/>
      </c>
      <c r="V693" t="str">
        <f t="shared" si="432"/>
        <v/>
      </c>
      <c r="X693">
        <f t="shared" si="467"/>
        <v>0</v>
      </c>
      <c r="Y693">
        <f t="shared" si="468"/>
        <v>0</v>
      </c>
      <c r="Z693">
        <f t="shared" si="469"/>
        <v>1</v>
      </c>
      <c r="AA693">
        <f t="shared" si="470"/>
        <v>1</v>
      </c>
      <c r="AB693">
        <f t="shared" si="471"/>
        <v>1</v>
      </c>
      <c r="AC693">
        <f t="shared" si="472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6"/>
        <v>5</v>
      </c>
      <c r="M694">
        <v>5</v>
      </c>
      <c r="N694" s="22" t="str">
        <f t="shared" si="449"/>
        <v/>
      </c>
      <c r="O694" s="15" t="str">
        <f t="shared" si="450"/>
        <v/>
      </c>
      <c r="P694" s="15" t="str">
        <f t="shared" si="451"/>
        <v>#</v>
      </c>
      <c r="Q694" s="15" t="str">
        <f t="shared" si="452"/>
        <v>#</v>
      </c>
      <c r="R694" s="16" t="str">
        <f t="shared" si="453"/>
        <v>#</v>
      </c>
      <c r="S694" s="8" t="str">
        <f t="shared" si="454"/>
        <v/>
      </c>
      <c r="T694" s="2" t="str">
        <f t="shared" si="455"/>
        <v/>
      </c>
      <c r="U694" s="2" t="str">
        <f t="shared" si="456"/>
        <v/>
      </c>
      <c r="V694" t="str">
        <f t="shared" si="432"/>
        <v/>
      </c>
      <c r="X694">
        <f t="shared" si="467"/>
        <v>0</v>
      </c>
      <c r="Y694">
        <f t="shared" si="468"/>
        <v>0</v>
      </c>
      <c r="Z694">
        <f t="shared" si="469"/>
        <v>0</v>
      </c>
      <c r="AA694">
        <f t="shared" si="470"/>
        <v>0</v>
      </c>
      <c r="AB694">
        <f t="shared" si="471"/>
        <v>0</v>
      </c>
      <c r="AC694">
        <f t="shared" si="472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6"/>
        <v>5</v>
      </c>
      <c r="M695">
        <v>6</v>
      </c>
      <c r="N695" s="23" t="str">
        <f t="shared" si="449"/>
        <v/>
      </c>
      <c r="O695" s="7" t="str">
        <f t="shared" si="450"/>
        <v/>
      </c>
      <c r="P695" s="7" t="str">
        <f t="shared" si="451"/>
        <v>#</v>
      </c>
      <c r="Q695" s="7" t="str">
        <f t="shared" si="452"/>
        <v/>
      </c>
      <c r="R695" s="17" t="str">
        <f t="shared" si="453"/>
        <v/>
      </c>
      <c r="S695" s="8" t="str">
        <f t="shared" si="454"/>
        <v/>
      </c>
      <c r="T695" s="2" t="str">
        <f t="shared" si="455"/>
        <v/>
      </c>
      <c r="U695" s="2" t="str">
        <f t="shared" si="456"/>
        <v/>
      </c>
      <c r="V695" t="str">
        <f t="shared" si="432"/>
        <v/>
      </c>
      <c r="X695">
        <f t="shared" si="467"/>
        <v>0</v>
      </c>
      <c r="Y695">
        <f t="shared" si="468"/>
        <v>0</v>
      </c>
      <c r="Z695">
        <f t="shared" si="469"/>
        <v>0</v>
      </c>
      <c r="AA695">
        <f t="shared" si="470"/>
        <v>0</v>
      </c>
      <c r="AB695">
        <f t="shared" si="471"/>
        <v>0</v>
      </c>
      <c r="AC695">
        <f t="shared" si="472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6"/>
        <v>5</v>
      </c>
      <c r="M696">
        <v>7</v>
      </c>
      <c r="N696" s="23" t="str">
        <f t="shared" si="449"/>
        <v/>
      </c>
      <c r="O696" s="7" t="str">
        <f t="shared" si="450"/>
        <v/>
      </c>
      <c r="P696" s="7" t="str">
        <f t="shared" si="451"/>
        <v>#</v>
      </c>
      <c r="Q696" s="7" t="str">
        <f t="shared" si="452"/>
        <v/>
      </c>
      <c r="R696" s="17" t="str">
        <f t="shared" si="453"/>
        <v/>
      </c>
      <c r="S696" s="8" t="str">
        <f t="shared" si="454"/>
        <v/>
      </c>
      <c r="T696" s="2" t="str">
        <f t="shared" si="455"/>
        <v/>
      </c>
      <c r="U696" s="2" t="str">
        <f t="shared" si="456"/>
        <v/>
      </c>
      <c r="V696" t="str">
        <f t="shared" si="432"/>
        <v/>
      </c>
      <c r="X696">
        <f t="shared" si="467"/>
        <v>0</v>
      </c>
      <c r="Y696">
        <f t="shared" si="468"/>
        <v>0</v>
      </c>
      <c r="Z696">
        <f t="shared" si="469"/>
        <v>0</v>
      </c>
      <c r="AA696">
        <f t="shared" si="470"/>
        <v>0</v>
      </c>
      <c r="AB696">
        <f t="shared" si="471"/>
        <v>0</v>
      </c>
      <c r="AC696">
        <f t="shared" si="472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6"/>
        <v>5</v>
      </c>
      <c r="M697">
        <v>8</v>
      </c>
      <c r="N697" s="23" t="str">
        <f t="shared" si="449"/>
        <v/>
      </c>
      <c r="O697" s="7" t="str">
        <f t="shared" si="450"/>
        <v/>
      </c>
      <c r="P697" s="7" t="str">
        <f t="shared" si="451"/>
        <v>#</v>
      </c>
      <c r="Q697" s="7" t="str">
        <f t="shared" si="452"/>
        <v>#</v>
      </c>
      <c r="R697" s="17" t="str">
        <f t="shared" si="453"/>
        <v/>
      </c>
      <c r="S697" s="8" t="str">
        <f t="shared" si="454"/>
        <v/>
      </c>
      <c r="T697" s="2" t="str">
        <f t="shared" si="455"/>
        <v/>
      </c>
      <c r="U697" s="2" t="str">
        <f t="shared" si="456"/>
        <v/>
      </c>
      <c r="V697" t="str">
        <f t="shared" si="432"/>
        <v/>
      </c>
      <c r="X697">
        <f t="shared" si="467"/>
        <v>0</v>
      </c>
      <c r="Y697">
        <f t="shared" si="468"/>
        <v>0</v>
      </c>
      <c r="Z697">
        <f t="shared" si="469"/>
        <v>0</v>
      </c>
      <c r="AA697">
        <f t="shared" si="470"/>
        <v>1</v>
      </c>
      <c r="AB697">
        <f t="shared" si="471"/>
        <v>0</v>
      </c>
      <c r="AC697">
        <f t="shared" si="472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6"/>
        <v>5</v>
      </c>
      <c r="M698">
        <v>9</v>
      </c>
      <c r="N698" s="23" t="str">
        <f t="shared" si="449"/>
        <v/>
      </c>
      <c r="O698" s="7" t="str">
        <f t="shared" si="450"/>
        <v/>
      </c>
      <c r="P698" s="7" t="str">
        <f t="shared" si="451"/>
        <v>#</v>
      </c>
      <c r="Q698" s="7" t="str">
        <f t="shared" si="452"/>
        <v>#</v>
      </c>
      <c r="R698" s="17" t="str">
        <f t="shared" si="453"/>
        <v>#</v>
      </c>
      <c r="S698" s="8" t="str">
        <f t="shared" si="454"/>
        <v/>
      </c>
      <c r="T698" s="2" t="str">
        <f t="shared" si="455"/>
        <v/>
      </c>
      <c r="U698" s="2" t="str">
        <f t="shared" si="456"/>
        <v/>
      </c>
      <c r="V698" t="str">
        <f t="shared" si="432"/>
        <v/>
      </c>
      <c r="X698">
        <f t="shared" si="467"/>
        <v>0</v>
      </c>
      <c r="Y698">
        <f t="shared" si="468"/>
        <v>0</v>
      </c>
      <c r="Z698">
        <f t="shared" si="469"/>
        <v>0</v>
      </c>
      <c r="AA698">
        <f t="shared" si="470"/>
        <v>0</v>
      </c>
      <c r="AB698">
        <f t="shared" si="471"/>
        <v>1</v>
      </c>
      <c r="AC698">
        <f t="shared" si="472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6"/>
        <v>5</v>
      </c>
      <c r="M699">
        <v>10</v>
      </c>
      <c r="N699" s="23" t="str">
        <f t="shared" si="449"/>
        <v/>
      </c>
      <c r="O699" s="7" t="str">
        <f t="shared" si="450"/>
        <v/>
      </c>
      <c r="P699" s="7" t="str">
        <f t="shared" si="451"/>
        <v/>
      </c>
      <c r="Q699" s="7" t="str">
        <f t="shared" si="452"/>
        <v/>
      </c>
      <c r="R699" s="17" t="str">
        <f t="shared" si="453"/>
        <v>#</v>
      </c>
      <c r="S699" s="8" t="str">
        <f t="shared" si="454"/>
        <v/>
      </c>
      <c r="T699" s="2" t="str">
        <f t="shared" si="455"/>
        <v/>
      </c>
      <c r="U699" s="2" t="str">
        <f t="shared" si="456"/>
        <v/>
      </c>
      <c r="V699" t="str">
        <f t="shared" si="432"/>
        <v/>
      </c>
      <c r="X699">
        <f t="shared" si="467"/>
        <v>0</v>
      </c>
      <c r="Y699">
        <f t="shared" si="468"/>
        <v>0</v>
      </c>
      <c r="Z699">
        <f t="shared" si="469"/>
        <v>0</v>
      </c>
      <c r="AA699">
        <f t="shared" si="470"/>
        <v>0</v>
      </c>
      <c r="AB699">
        <f t="shared" si="471"/>
        <v>0</v>
      </c>
      <c r="AC699">
        <f t="shared" si="472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6"/>
        <v>5</v>
      </c>
      <c r="M700">
        <v>11</v>
      </c>
      <c r="N700" s="23" t="str">
        <f t="shared" si="449"/>
        <v/>
      </c>
      <c r="O700" s="7" t="str">
        <f t="shared" si="450"/>
        <v/>
      </c>
      <c r="P700" s="7" t="str">
        <f t="shared" si="451"/>
        <v/>
      </c>
      <c r="Q700" s="7" t="str">
        <f t="shared" si="452"/>
        <v/>
      </c>
      <c r="R700" s="17" t="str">
        <f t="shared" si="453"/>
        <v>#</v>
      </c>
      <c r="S700" s="8" t="str">
        <f t="shared" si="454"/>
        <v/>
      </c>
      <c r="T700" s="2" t="str">
        <f t="shared" si="455"/>
        <v/>
      </c>
      <c r="U700" s="2" t="str">
        <f t="shared" si="456"/>
        <v/>
      </c>
      <c r="V700" t="str">
        <f t="shared" si="432"/>
        <v/>
      </c>
      <c r="X700">
        <f t="shared" si="467"/>
        <v>0</v>
      </c>
      <c r="Y700">
        <f t="shared" si="468"/>
        <v>0</v>
      </c>
      <c r="Z700">
        <f t="shared" si="469"/>
        <v>0</v>
      </c>
      <c r="AA700">
        <f t="shared" si="470"/>
        <v>0</v>
      </c>
      <c r="AB700">
        <f t="shared" si="471"/>
        <v>0</v>
      </c>
      <c r="AC700">
        <f t="shared" si="472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6"/>
        <v>5</v>
      </c>
      <c r="M701">
        <v>12</v>
      </c>
      <c r="N701" s="23" t="str">
        <f t="shared" si="449"/>
        <v/>
      </c>
      <c r="O701" s="7" t="str">
        <f t="shared" si="450"/>
        <v/>
      </c>
      <c r="P701" s="7" t="str">
        <f t="shared" si="451"/>
        <v/>
      </c>
      <c r="Q701" s="7" t="str">
        <f t="shared" si="452"/>
        <v>#</v>
      </c>
      <c r="R701" s="17" t="str">
        <f t="shared" si="453"/>
        <v>#</v>
      </c>
      <c r="S701" s="8" t="str">
        <f t="shared" si="454"/>
        <v/>
      </c>
      <c r="T701" s="2" t="str">
        <f t="shared" si="455"/>
        <v/>
      </c>
      <c r="U701" s="2" t="str">
        <f t="shared" si="456"/>
        <v/>
      </c>
      <c r="V701" t="str">
        <f t="shared" si="432"/>
        <v/>
      </c>
      <c r="X701">
        <f t="shared" si="467"/>
        <v>0</v>
      </c>
      <c r="Y701">
        <f t="shared" si="468"/>
        <v>0</v>
      </c>
      <c r="Z701">
        <f t="shared" si="469"/>
        <v>0</v>
      </c>
      <c r="AA701">
        <f t="shared" si="470"/>
        <v>1</v>
      </c>
      <c r="AB701">
        <f t="shared" si="471"/>
        <v>0</v>
      </c>
      <c r="AC701">
        <f t="shared" si="472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6"/>
        <v>5</v>
      </c>
      <c r="M702">
        <v>13</v>
      </c>
      <c r="N702" s="6" t="str">
        <f t="shared" si="449"/>
        <v>#</v>
      </c>
      <c r="O702" s="7" t="str">
        <f t="shared" si="450"/>
        <v>#</v>
      </c>
      <c r="P702" s="7" t="str">
        <f t="shared" si="451"/>
        <v>#</v>
      </c>
      <c r="Q702" s="7" t="str">
        <f t="shared" si="452"/>
        <v>#</v>
      </c>
      <c r="R702" s="17" t="str">
        <f t="shared" si="453"/>
        <v/>
      </c>
      <c r="S702" s="8" t="str">
        <f t="shared" si="454"/>
        <v/>
      </c>
      <c r="T702" s="2" t="str">
        <f t="shared" si="455"/>
        <v/>
      </c>
      <c r="U702" s="2" t="str">
        <f t="shared" si="456"/>
        <v/>
      </c>
      <c r="V702" t="str">
        <f t="shared" si="432"/>
        <v/>
      </c>
      <c r="X702">
        <f t="shared" si="467"/>
        <v>1</v>
      </c>
      <c r="Y702">
        <f t="shared" si="468"/>
        <v>1</v>
      </c>
      <c r="Z702">
        <f t="shared" si="469"/>
        <v>1</v>
      </c>
      <c r="AA702">
        <f t="shared" si="470"/>
        <v>0</v>
      </c>
      <c r="AB702">
        <f t="shared" si="471"/>
        <v>0</v>
      </c>
      <c r="AC702">
        <f t="shared" si="472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6"/>
        <v>5</v>
      </c>
      <c r="M703">
        <v>14</v>
      </c>
      <c r="N703" s="18" t="str">
        <f t="shared" si="449"/>
        <v>#</v>
      </c>
      <c r="O703" s="19" t="str">
        <f t="shared" si="450"/>
        <v>#</v>
      </c>
      <c r="P703" s="19" t="str">
        <f t="shared" si="451"/>
        <v>#</v>
      </c>
      <c r="Q703" s="19" t="str">
        <f t="shared" si="452"/>
        <v/>
      </c>
      <c r="R703" s="20" t="str">
        <f t="shared" si="453"/>
        <v/>
      </c>
      <c r="S703" s="8" t="str">
        <f t="shared" si="454"/>
        <v/>
      </c>
      <c r="T703" s="2" t="str">
        <f t="shared" si="455"/>
        <v/>
      </c>
      <c r="U703" s="2" t="str">
        <f t="shared" si="456"/>
        <v/>
      </c>
      <c r="V703" t="str">
        <f t="shared" si="432"/>
        <v/>
      </c>
      <c r="X703">
        <f t="shared" si="467"/>
        <v>0</v>
      </c>
      <c r="Y703">
        <f t="shared" si="468"/>
        <v>0</v>
      </c>
      <c r="Z703">
        <f t="shared" si="469"/>
        <v>0</v>
      </c>
      <c r="AA703">
        <f t="shared" si="470"/>
        <v>0</v>
      </c>
      <c r="AB703">
        <f t="shared" si="471"/>
        <v>0</v>
      </c>
      <c r="AC703">
        <f t="shared" si="472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6"/>
        <v>5</v>
      </c>
      <c r="M704">
        <v>15</v>
      </c>
      <c r="N704" s="9" t="str">
        <f t="shared" si="449"/>
        <v/>
      </c>
      <c r="O704" s="10" t="str">
        <f t="shared" si="450"/>
        <v/>
      </c>
      <c r="P704" s="10" t="str">
        <f t="shared" si="451"/>
        <v/>
      </c>
      <c r="Q704" s="10" t="str">
        <f t="shared" si="452"/>
        <v/>
      </c>
      <c r="R704" s="10" t="str">
        <f t="shared" si="453"/>
        <v/>
      </c>
      <c r="S704" s="11" t="str">
        <f t="shared" si="454"/>
        <v/>
      </c>
      <c r="T704" s="2" t="str">
        <f t="shared" si="455"/>
        <v/>
      </c>
      <c r="U704" s="2" t="str">
        <f t="shared" si="456"/>
        <v/>
      </c>
      <c r="V704" t="str">
        <f t="shared" si="432"/>
        <v/>
      </c>
      <c r="X704">
        <f t="shared" si="467"/>
        <v>0</v>
      </c>
      <c r="Y704">
        <f t="shared" si="468"/>
        <v>0</v>
      </c>
      <c r="Z704">
        <f t="shared" si="469"/>
        <v>0</v>
      </c>
      <c r="AA704">
        <f t="shared" si="470"/>
        <v>0</v>
      </c>
      <c r="AB704">
        <f t="shared" si="471"/>
        <v>0</v>
      </c>
      <c r="AC704">
        <f t="shared" si="472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6"/>
        <v>5</v>
      </c>
      <c r="M705">
        <v>16</v>
      </c>
      <c r="N705" s="12" t="str">
        <f t="shared" si="449"/>
        <v/>
      </c>
      <c r="O705" s="13" t="str">
        <f t="shared" si="450"/>
        <v/>
      </c>
      <c r="P705" s="13" t="str">
        <f t="shared" si="451"/>
        <v/>
      </c>
      <c r="Q705" s="13" t="str">
        <f t="shared" si="452"/>
        <v/>
      </c>
      <c r="R705" s="13" t="str">
        <f t="shared" si="453"/>
        <v/>
      </c>
      <c r="S705" s="14" t="str">
        <f t="shared" si="454"/>
        <v/>
      </c>
      <c r="T705" s="2" t="str">
        <f t="shared" si="455"/>
        <v/>
      </c>
      <c r="U705" s="2" t="str">
        <f t="shared" si="456"/>
        <v/>
      </c>
      <c r="V705" t="str">
        <f t="shared" si="432"/>
        <v/>
      </c>
      <c r="X705">
        <f t="shared" si="467"/>
        <v>0</v>
      </c>
      <c r="Y705">
        <f t="shared" si="468"/>
        <v>0</v>
      </c>
      <c r="Z705">
        <f t="shared" si="469"/>
        <v>0</v>
      </c>
      <c r="AA705">
        <f t="shared" si="470"/>
        <v>0</v>
      </c>
      <c r="AB705">
        <f t="shared" si="471"/>
        <v>0</v>
      </c>
      <c r="AC705">
        <f t="shared" si="472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9"/>
        <v/>
      </c>
      <c r="O706" t="str">
        <f t="shared" si="450"/>
        <v/>
      </c>
      <c r="P706" t="str">
        <f t="shared" si="451"/>
        <v/>
      </c>
      <c r="Q706" t="str">
        <f t="shared" si="452"/>
        <v/>
      </c>
      <c r="R706" t="str">
        <f t="shared" si="453"/>
        <v/>
      </c>
      <c r="S706" t="str">
        <f t="shared" si="454"/>
        <v/>
      </c>
      <c r="T706" s="2" t="str">
        <f t="shared" si="455"/>
        <v/>
      </c>
      <c r="U706" s="2" t="str">
        <f t="shared" si="456"/>
        <v/>
      </c>
      <c r="V706" t="str">
        <f t="shared" ref="V706:V769" si="473">IF(A706=0,"",M706)</f>
        <v/>
      </c>
      <c r="W706">
        <f>SUM(B708:G721)</f>
        <v>30</v>
      </c>
      <c r="AD706">
        <f t="shared" ref="AD706" si="474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75">L706</f>
        <v>6</v>
      </c>
      <c r="M707">
        <v>2</v>
      </c>
      <c r="N707" t="str">
        <f t="shared" si="449"/>
        <v/>
      </c>
      <c r="O707" t="str">
        <f t="shared" si="450"/>
        <v/>
      </c>
      <c r="P707" t="str">
        <f t="shared" si="451"/>
        <v/>
      </c>
      <c r="Q707" t="str">
        <f t="shared" si="452"/>
        <v/>
      </c>
      <c r="R707" t="str">
        <f t="shared" si="453"/>
        <v/>
      </c>
      <c r="S707" t="str">
        <f t="shared" si="454"/>
        <v/>
      </c>
      <c r="T707" s="2" t="str">
        <f t="shared" si="455"/>
        <v/>
      </c>
      <c r="U707" s="2" t="str">
        <f t="shared" si="456"/>
        <v/>
      </c>
      <c r="V707" t="str">
        <f t="shared" si="473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75"/>
        <v>6</v>
      </c>
      <c r="M708">
        <v>3</v>
      </c>
      <c r="N708" s="3" t="str">
        <f t="shared" si="449"/>
        <v/>
      </c>
      <c r="O708" s="4" t="str">
        <f t="shared" si="450"/>
        <v/>
      </c>
      <c r="P708" s="4" t="str">
        <f t="shared" si="451"/>
        <v>#</v>
      </c>
      <c r="Q708" s="4" t="str">
        <f t="shared" si="452"/>
        <v/>
      </c>
      <c r="R708" s="4" t="str">
        <f t="shared" si="453"/>
        <v/>
      </c>
      <c r="S708" s="5" t="str">
        <f t="shared" si="454"/>
        <v/>
      </c>
      <c r="T708" s="2" t="str">
        <f t="shared" si="455"/>
        <v/>
      </c>
      <c r="U708" s="2" t="str">
        <f t="shared" si="456"/>
        <v/>
      </c>
      <c r="V708" t="str">
        <f t="shared" si="473"/>
        <v/>
      </c>
      <c r="X708">
        <f t="shared" ref="X708:X721" si="476">MAX(B708-B707,0)</f>
        <v>0</v>
      </c>
      <c r="Y708">
        <f t="shared" ref="Y708:Y721" si="477">MAX(C708-C707,0)</f>
        <v>0</v>
      </c>
      <c r="Z708">
        <f t="shared" ref="Z708:Z721" si="478">MAX(D708-D707,0)</f>
        <v>1</v>
      </c>
      <c r="AA708">
        <f t="shared" ref="AA708:AA721" si="479">MAX(E708-E707,0)</f>
        <v>0</v>
      </c>
      <c r="AB708">
        <f t="shared" ref="AB708:AB721" si="480">MAX(F708-F707,0)</f>
        <v>0</v>
      </c>
      <c r="AC708">
        <f t="shared" ref="AC708:AC721" si="481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75"/>
        <v>6</v>
      </c>
      <c r="M709">
        <v>4</v>
      </c>
      <c r="N709" s="6" t="str">
        <f t="shared" si="449"/>
        <v/>
      </c>
      <c r="O709" s="7" t="str">
        <f t="shared" si="450"/>
        <v>#</v>
      </c>
      <c r="P709" s="7" t="str">
        <f t="shared" si="451"/>
        <v>#</v>
      </c>
      <c r="Q709" s="7" t="str">
        <f t="shared" si="452"/>
        <v/>
      </c>
      <c r="R709" s="7" t="str">
        <f t="shared" si="453"/>
        <v/>
      </c>
      <c r="S709" s="8" t="str">
        <f t="shared" si="454"/>
        <v/>
      </c>
      <c r="T709" s="2" t="str">
        <f t="shared" si="455"/>
        <v/>
      </c>
      <c r="U709" s="2" t="str">
        <f t="shared" si="456"/>
        <v/>
      </c>
      <c r="V709" t="str">
        <f t="shared" si="473"/>
        <v/>
      </c>
      <c r="X709">
        <f t="shared" si="476"/>
        <v>0</v>
      </c>
      <c r="Y709">
        <f t="shared" si="477"/>
        <v>1</v>
      </c>
      <c r="Z709">
        <f t="shared" si="478"/>
        <v>0</v>
      </c>
      <c r="AA709">
        <f t="shared" si="479"/>
        <v>0</v>
      </c>
      <c r="AB709">
        <f t="shared" si="480"/>
        <v>0</v>
      </c>
      <c r="AC709">
        <f t="shared" si="481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75"/>
        <v>6</v>
      </c>
      <c r="M710">
        <v>5</v>
      </c>
      <c r="N710" s="22" t="str">
        <f t="shared" si="449"/>
        <v>#</v>
      </c>
      <c r="O710" s="15" t="str">
        <f t="shared" si="450"/>
        <v>#</v>
      </c>
      <c r="P710" s="15" t="str">
        <f t="shared" si="451"/>
        <v/>
      </c>
      <c r="Q710" s="15" t="str">
        <f t="shared" si="452"/>
        <v/>
      </c>
      <c r="R710" s="16" t="str">
        <f t="shared" si="453"/>
        <v/>
      </c>
      <c r="S710" s="8" t="str">
        <f t="shared" si="454"/>
        <v/>
      </c>
      <c r="T710" s="2" t="str">
        <f t="shared" si="455"/>
        <v/>
      </c>
      <c r="U710" s="2" t="str">
        <f t="shared" si="456"/>
        <v/>
      </c>
      <c r="V710" t="str">
        <f t="shared" si="473"/>
        <v/>
      </c>
      <c r="X710">
        <f t="shared" si="476"/>
        <v>1</v>
      </c>
      <c r="Y710">
        <f t="shared" si="477"/>
        <v>0</v>
      </c>
      <c r="Z710">
        <f t="shared" si="478"/>
        <v>0</v>
      </c>
      <c r="AA710">
        <f t="shared" si="479"/>
        <v>0</v>
      </c>
      <c r="AB710">
        <f t="shared" si="480"/>
        <v>0</v>
      </c>
      <c r="AC710">
        <f t="shared" si="481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75"/>
        <v>6</v>
      </c>
      <c r="M711">
        <v>6</v>
      </c>
      <c r="N711" s="23" t="str">
        <f t="shared" si="449"/>
        <v>#</v>
      </c>
      <c r="O711" s="7" t="str">
        <f t="shared" si="450"/>
        <v/>
      </c>
      <c r="P711" s="7" t="str">
        <f t="shared" si="451"/>
        <v/>
      </c>
      <c r="Q711" s="7" t="str">
        <f t="shared" si="452"/>
        <v/>
      </c>
      <c r="R711" s="17" t="str">
        <f t="shared" si="453"/>
        <v/>
      </c>
      <c r="S711" s="8" t="str">
        <f t="shared" si="454"/>
        <v/>
      </c>
      <c r="T711" s="2" t="str">
        <f t="shared" si="455"/>
        <v/>
      </c>
      <c r="U711" s="2" t="str">
        <f t="shared" si="456"/>
        <v/>
      </c>
      <c r="V711" t="str">
        <f t="shared" si="473"/>
        <v/>
      </c>
      <c r="X711">
        <f t="shared" si="476"/>
        <v>0</v>
      </c>
      <c r="Y711">
        <f t="shared" si="477"/>
        <v>0</v>
      </c>
      <c r="Z711">
        <f t="shared" si="478"/>
        <v>0</v>
      </c>
      <c r="AA711">
        <f t="shared" si="479"/>
        <v>0</v>
      </c>
      <c r="AB711">
        <f t="shared" si="480"/>
        <v>0</v>
      </c>
      <c r="AC711">
        <f t="shared" si="481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75"/>
        <v>6</v>
      </c>
      <c r="M712">
        <v>7</v>
      </c>
      <c r="N712" s="23" t="str">
        <f t="shared" si="449"/>
        <v>#</v>
      </c>
      <c r="O712" s="7" t="str">
        <f t="shared" si="450"/>
        <v/>
      </c>
      <c r="P712" s="7" t="str">
        <f t="shared" si="451"/>
        <v/>
      </c>
      <c r="Q712" s="7" t="str">
        <f t="shared" si="452"/>
        <v/>
      </c>
      <c r="R712" s="17" t="str">
        <f t="shared" si="453"/>
        <v/>
      </c>
      <c r="S712" s="8" t="str">
        <f t="shared" si="454"/>
        <v/>
      </c>
      <c r="T712" s="2" t="str">
        <f t="shared" si="455"/>
        <v/>
      </c>
      <c r="U712" s="2" t="str">
        <f t="shared" si="456"/>
        <v/>
      </c>
      <c r="V712" t="str">
        <f t="shared" si="473"/>
        <v/>
      </c>
      <c r="X712">
        <f t="shared" si="476"/>
        <v>0</v>
      </c>
      <c r="Y712">
        <f t="shared" si="477"/>
        <v>0</v>
      </c>
      <c r="Z712">
        <f t="shared" si="478"/>
        <v>0</v>
      </c>
      <c r="AA712">
        <f t="shared" si="479"/>
        <v>0</v>
      </c>
      <c r="AB712">
        <f t="shared" si="480"/>
        <v>0</v>
      </c>
      <c r="AC712">
        <f t="shared" si="481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75"/>
        <v>6</v>
      </c>
      <c r="M713">
        <v>8</v>
      </c>
      <c r="N713" s="23" t="str">
        <f t="shared" si="449"/>
        <v>#</v>
      </c>
      <c r="O713" s="7" t="str">
        <f t="shared" si="450"/>
        <v/>
      </c>
      <c r="P713" s="7" t="str">
        <f t="shared" si="451"/>
        <v>#</v>
      </c>
      <c r="Q713" s="7" t="str">
        <f t="shared" si="452"/>
        <v>#</v>
      </c>
      <c r="R713" s="17" t="str">
        <f t="shared" si="453"/>
        <v/>
      </c>
      <c r="S713" s="8" t="str">
        <f t="shared" si="454"/>
        <v/>
      </c>
      <c r="T713" s="2" t="str">
        <f t="shared" si="455"/>
        <v/>
      </c>
      <c r="U713" s="2" t="str">
        <f t="shared" si="456"/>
        <v/>
      </c>
      <c r="V713" t="str">
        <f t="shared" si="473"/>
        <v/>
      </c>
      <c r="X713">
        <f t="shared" si="476"/>
        <v>0</v>
      </c>
      <c r="Y713">
        <f t="shared" si="477"/>
        <v>0</v>
      </c>
      <c r="Z713">
        <f t="shared" si="478"/>
        <v>1</v>
      </c>
      <c r="AA713">
        <f t="shared" si="479"/>
        <v>1</v>
      </c>
      <c r="AB713">
        <f t="shared" si="480"/>
        <v>0</v>
      </c>
      <c r="AC713">
        <f t="shared" si="481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75"/>
        <v>6</v>
      </c>
      <c r="M714">
        <v>9</v>
      </c>
      <c r="N714" s="23" t="str">
        <f t="shared" si="449"/>
        <v>#</v>
      </c>
      <c r="O714" s="7" t="str">
        <f t="shared" si="450"/>
        <v>#</v>
      </c>
      <c r="P714" s="7" t="str">
        <f t="shared" si="451"/>
        <v>#</v>
      </c>
      <c r="Q714" s="7" t="str">
        <f t="shared" si="452"/>
        <v>#</v>
      </c>
      <c r="R714" s="17" t="str">
        <f t="shared" si="453"/>
        <v>#</v>
      </c>
      <c r="S714" s="8" t="str">
        <f t="shared" si="454"/>
        <v/>
      </c>
      <c r="T714" s="2" t="str">
        <f t="shared" si="455"/>
        <v/>
      </c>
      <c r="U714" s="2" t="str">
        <f t="shared" si="456"/>
        <v/>
      </c>
      <c r="V714" t="str">
        <f t="shared" si="473"/>
        <v/>
      </c>
      <c r="X714">
        <f t="shared" si="476"/>
        <v>0</v>
      </c>
      <c r="Y714">
        <f t="shared" si="477"/>
        <v>1</v>
      </c>
      <c r="Z714">
        <f t="shared" si="478"/>
        <v>0</v>
      </c>
      <c r="AA714">
        <f t="shared" si="479"/>
        <v>0</v>
      </c>
      <c r="AB714">
        <f t="shared" si="480"/>
        <v>1</v>
      </c>
      <c r="AC714">
        <f t="shared" si="481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75"/>
        <v>6</v>
      </c>
      <c r="M715">
        <v>10</v>
      </c>
      <c r="N715" s="23" t="str">
        <f t="shared" si="449"/>
        <v>#</v>
      </c>
      <c r="O715" s="7" t="str">
        <f t="shared" si="450"/>
        <v>#</v>
      </c>
      <c r="P715" s="7" t="str">
        <f t="shared" si="451"/>
        <v/>
      </c>
      <c r="Q715" s="7" t="str">
        <f t="shared" si="452"/>
        <v/>
      </c>
      <c r="R715" s="17" t="str">
        <f t="shared" si="453"/>
        <v>#</v>
      </c>
      <c r="S715" s="8" t="str">
        <f t="shared" si="454"/>
        <v/>
      </c>
      <c r="T715" s="2" t="str">
        <f t="shared" si="455"/>
        <v/>
      </c>
      <c r="U715" s="2" t="str">
        <f t="shared" si="456"/>
        <v/>
      </c>
      <c r="V715" t="str">
        <f t="shared" si="473"/>
        <v/>
      </c>
      <c r="X715">
        <f t="shared" si="476"/>
        <v>0</v>
      </c>
      <c r="Y715">
        <f t="shared" si="477"/>
        <v>0</v>
      </c>
      <c r="Z715">
        <f t="shared" si="478"/>
        <v>0</v>
      </c>
      <c r="AA715">
        <f t="shared" si="479"/>
        <v>0</v>
      </c>
      <c r="AB715">
        <f t="shared" si="480"/>
        <v>0</v>
      </c>
      <c r="AC715">
        <f t="shared" si="481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75"/>
        <v>6</v>
      </c>
      <c r="M716">
        <v>11</v>
      </c>
      <c r="N716" s="23" t="str">
        <f t="shared" si="449"/>
        <v>#</v>
      </c>
      <c r="O716" s="7" t="str">
        <f t="shared" si="450"/>
        <v/>
      </c>
      <c r="P716" s="7" t="str">
        <f t="shared" si="451"/>
        <v/>
      </c>
      <c r="Q716" s="7" t="str">
        <f t="shared" si="452"/>
        <v/>
      </c>
      <c r="R716" s="17" t="str">
        <f t="shared" si="453"/>
        <v>#</v>
      </c>
      <c r="S716" s="8" t="str">
        <f t="shared" si="454"/>
        <v/>
      </c>
      <c r="T716" s="2" t="str">
        <f t="shared" si="455"/>
        <v/>
      </c>
      <c r="U716" s="2" t="str">
        <f t="shared" si="456"/>
        <v/>
      </c>
      <c r="V716" t="str">
        <f t="shared" si="473"/>
        <v/>
      </c>
      <c r="X716">
        <f t="shared" si="476"/>
        <v>0</v>
      </c>
      <c r="Y716">
        <f t="shared" si="477"/>
        <v>0</v>
      </c>
      <c r="Z716">
        <f t="shared" si="478"/>
        <v>0</v>
      </c>
      <c r="AA716">
        <f t="shared" si="479"/>
        <v>0</v>
      </c>
      <c r="AB716">
        <f t="shared" si="480"/>
        <v>0</v>
      </c>
      <c r="AC716">
        <f t="shared" si="481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75"/>
        <v>6</v>
      </c>
      <c r="M717">
        <v>12</v>
      </c>
      <c r="N717" s="23" t="str">
        <f t="shared" si="449"/>
        <v>#</v>
      </c>
      <c r="O717" s="7" t="str">
        <f t="shared" si="450"/>
        <v/>
      </c>
      <c r="P717" s="7" t="str">
        <f t="shared" si="451"/>
        <v/>
      </c>
      <c r="Q717" s="7" t="str">
        <f t="shared" si="452"/>
        <v/>
      </c>
      <c r="R717" s="17" t="str">
        <f t="shared" si="453"/>
        <v>#</v>
      </c>
      <c r="S717" s="8" t="str">
        <f t="shared" si="454"/>
        <v/>
      </c>
      <c r="T717" s="2" t="str">
        <f t="shared" si="455"/>
        <v/>
      </c>
      <c r="U717" s="2" t="str">
        <f t="shared" si="456"/>
        <v/>
      </c>
      <c r="V717" t="str">
        <f t="shared" si="473"/>
        <v/>
      </c>
      <c r="X717">
        <f t="shared" si="476"/>
        <v>0</v>
      </c>
      <c r="Y717">
        <f t="shared" si="477"/>
        <v>0</v>
      </c>
      <c r="Z717">
        <f t="shared" si="478"/>
        <v>0</v>
      </c>
      <c r="AA717">
        <f t="shared" si="479"/>
        <v>0</v>
      </c>
      <c r="AB717">
        <f t="shared" si="480"/>
        <v>0</v>
      </c>
      <c r="AC717">
        <f t="shared" si="481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75"/>
        <v>6</v>
      </c>
      <c r="M718">
        <v>13</v>
      </c>
      <c r="N718" s="6" t="str">
        <f t="shared" si="449"/>
        <v>#</v>
      </c>
      <c r="O718" s="7" t="str">
        <f t="shared" si="450"/>
        <v>#</v>
      </c>
      <c r="P718" s="7" t="str">
        <f t="shared" si="451"/>
        <v>#</v>
      </c>
      <c r="Q718" s="7" t="str">
        <f t="shared" si="452"/>
        <v>#</v>
      </c>
      <c r="R718" s="17" t="str">
        <f t="shared" si="453"/>
        <v>#</v>
      </c>
      <c r="S718" s="8" t="str">
        <f t="shared" si="454"/>
        <v/>
      </c>
      <c r="T718" s="2" t="str">
        <f t="shared" si="455"/>
        <v/>
      </c>
      <c r="U718" s="2" t="str">
        <f t="shared" si="456"/>
        <v/>
      </c>
      <c r="V718" t="str">
        <f t="shared" si="473"/>
        <v/>
      </c>
      <c r="X718">
        <f t="shared" si="476"/>
        <v>0</v>
      </c>
      <c r="Y718">
        <f t="shared" si="477"/>
        <v>1</v>
      </c>
      <c r="Z718">
        <f t="shared" si="478"/>
        <v>1</v>
      </c>
      <c r="AA718">
        <f t="shared" si="479"/>
        <v>1</v>
      </c>
      <c r="AB718">
        <f t="shared" si="480"/>
        <v>0</v>
      </c>
      <c r="AC718">
        <f t="shared" si="481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75"/>
        <v>6</v>
      </c>
      <c r="M719">
        <v>14</v>
      </c>
      <c r="N719" s="18" t="str">
        <f t="shared" si="449"/>
        <v/>
      </c>
      <c r="O719" s="19" t="str">
        <f t="shared" si="450"/>
        <v>#</v>
      </c>
      <c r="P719" s="19" t="str">
        <f t="shared" si="451"/>
        <v>#</v>
      </c>
      <c r="Q719" s="19" t="str">
        <f t="shared" si="452"/>
        <v>#</v>
      </c>
      <c r="R719" s="20" t="str">
        <f t="shared" si="453"/>
        <v/>
      </c>
      <c r="S719" s="8" t="str">
        <f t="shared" si="454"/>
        <v/>
      </c>
      <c r="T719" s="2" t="str">
        <f t="shared" si="455"/>
        <v/>
      </c>
      <c r="U719" s="2" t="str">
        <f t="shared" si="456"/>
        <v/>
      </c>
      <c r="V719" t="str">
        <f t="shared" si="473"/>
        <v/>
      </c>
      <c r="X719">
        <f t="shared" si="476"/>
        <v>0</v>
      </c>
      <c r="Y719">
        <f t="shared" si="477"/>
        <v>0</v>
      </c>
      <c r="Z719">
        <f t="shared" si="478"/>
        <v>0</v>
      </c>
      <c r="AA719">
        <f t="shared" si="479"/>
        <v>0</v>
      </c>
      <c r="AB719">
        <f t="shared" si="480"/>
        <v>0</v>
      </c>
      <c r="AC719">
        <f t="shared" si="481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75"/>
        <v>6</v>
      </c>
      <c r="M720">
        <v>15</v>
      </c>
      <c r="N720" s="9" t="str">
        <f t="shared" si="449"/>
        <v/>
      </c>
      <c r="O720" s="10" t="str">
        <f t="shared" si="450"/>
        <v/>
      </c>
      <c r="P720" s="10" t="str">
        <f t="shared" si="451"/>
        <v/>
      </c>
      <c r="Q720" s="10" t="str">
        <f t="shared" si="452"/>
        <v/>
      </c>
      <c r="R720" s="10" t="str">
        <f t="shared" si="453"/>
        <v/>
      </c>
      <c r="S720" s="11" t="str">
        <f t="shared" si="454"/>
        <v/>
      </c>
      <c r="T720" s="2" t="str">
        <f t="shared" si="455"/>
        <v/>
      </c>
      <c r="U720" s="2" t="str">
        <f t="shared" si="456"/>
        <v/>
      </c>
      <c r="V720" t="str">
        <f t="shared" si="473"/>
        <v/>
      </c>
      <c r="X720">
        <f t="shared" si="476"/>
        <v>0</v>
      </c>
      <c r="Y720">
        <f t="shared" si="477"/>
        <v>0</v>
      </c>
      <c r="Z720">
        <f t="shared" si="478"/>
        <v>0</v>
      </c>
      <c r="AA720">
        <f t="shared" si="479"/>
        <v>0</v>
      </c>
      <c r="AB720">
        <f t="shared" si="480"/>
        <v>0</v>
      </c>
      <c r="AC720">
        <f t="shared" si="481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75"/>
        <v>6</v>
      </c>
      <c r="M721">
        <v>16</v>
      </c>
      <c r="N721" s="12" t="str">
        <f t="shared" si="449"/>
        <v/>
      </c>
      <c r="O721" s="13" t="str">
        <f t="shared" si="450"/>
        <v/>
      </c>
      <c r="P721" s="13" t="str">
        <f t="shared" si="451"/>
        <v/>
      </c>
      <c r="Q721" s="13" t="str">
        <f t="shared" si="452"/>
        <v/>
      </c>
      <c r="R721" s="13" t="str">
        <f t="shared" si="453"/>
        <v/>
      </c>
      <c r="S721" s="14" t="str">
        <f t="shared" si="454"/>
        <v/>
      </c>
      <c r="T721" s="2" t="str">
        <f t="shared" si="455"/>
        <v/>
      </c>
      <c r="U721" s="2" t="str">
        <f t="shared" si="456"/>
        <v/>
      </c>
      <c r="V721" t="str">
        <f t="shared" si="473"/>
        <v/>
      </c>
      <c r="X721">
        <f t="shared" si="476"/>
        <v>0</v>
      </c>
      <c r="Y721">
        <f t="shared" si="477"/>
        <v>0</v>
      </c>
      <c r="Z721">
        <f t="shared" si="478"/>
        <v>0</v>
      </c>
      <c r="AA721">
        <f t="shared" si="479"/>
        <v>0</v>
      </c>
      <c r="AB721">
        <f t="shared" si="480"/>
        <v>0</v>
      </c>
      <c r="AC721">
        <f t="shared" si="481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9"/>
        <v/>
      </c>
      <c r="O722" t="str">
        <f t="shared" si="450"/>
        <v/>
      </c>
      <c r="P722" t="str">
        <f t="shared" si="451"/>
        <v/>
      </c>
      <c r="Q722" t="str">
        <f t="shared" si="452"/>
        <v/>
      </c>
      <c r="R722" t="str">
        <f t="shared" si="453"/>
        <v/>
      </c>
      <c r="S722" t="str">
        <f t="shared" si="454"/>
        <v/>
      </c>
      <c r="T722" s="2" t="str">
        <f t="shared" si="455"/>
        <v/>
      </c>
      <c r="U722" s="2" t="str">
        <f t="shared" si="456"/>
        <v/>
      </c>
      <c r="V722" t="str">
        <f t="shared" si="473"/>
        <v/>
      </c>
      <c r="W722">
        <f>SUM(B724:G737)</f>
        <v>23</v>
      </c>
      <c r="AD722">
        <f t="shared" ref="AD722" si="482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83">L722</f>
        <v>7</v>
      </c>
      <c r="M723">
        <v>2</v>
      </c>
      <c r="N723" t="str">
        <f t="shared" si="449"/>
        <v/>
      </c>
      <c r="O723" t="str">
        <f t="shared" si="450"/>
        <v/>
      </c>
      <c r="P723" t="str">
        <f t="shared" si="451"/>
        <v/>
      </c>
      <c r="Q723" t="str">
        <f t="shared" si="452"/>
        <v/>
      </c>
      <c r="R723" t="str">
        <f t="shared" si="453"/>
        <v/>
      </c>
      <c r="S723" t="str">
        <f t="shared" si="454"/>
        <v/>
      </c>
      <c r="T723" s="2" t="str">
        <f t="shared" si="455"/>
        <v/>
      </c>
      <c r="U723" s="2" t="str">
        <f t="shared" si="456"/>
        <v/>
      </c>
      <c r="V723" t="str">
        <f t="shared" si="473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83"/>
        <v>7</v>
      </c>
      <c r="M724">
        <v>3</v>
      </c>
      <c r="N724" s="3" t="str">
        <f t="shared" si="449"/>
        <v/>
      </c>
      <c r="O724" s="4" t="str">
        <f t="shared" si="450"/>
        <v/>
      </c>
      <c r="P724" s="4" t="str">
        <f t="shared" si="451"/>
        <v/>
      </c>
      <c r="Q724" s="4" t="str">
        <f t="shared" si="452"/>
        <v/>
      </c>
      <c r="R724" s="4" t="str">
        <f t="shared" si="453"/>
        <v/>
      </c>
      <c r="S724" s="5" t="str">
        <f t="shared" si="454"/>
        <v/>
      </c>
      <c r="T724" s="2" t="str">
        <f t="shared" si="455"/>
        <v/>
      </c>
      <c r="U724" s="2" t="str">
        <f t="shared" si="456"/>
        <v/>
      </c>
      <c r="V724" t="str">
        <f t="shared" si="473"/>
        <v/>
      </c>
      <c r="X724">
        <f t="shared" ref="X724:X737" si="484">MAX(B724-B723,0)</f>
        <v>0</v>
      </c>
      <c r="Y724">
        <f t="shared" ref="Y724:Y737" si="485">MAX(C724-C723,0)</f>
        <v>0</v>
      </c>
      <c r="Z724">
        <f t="shared" ref="Z724:Z737" si="486">MAX(D724-D723,0)</f>
        <v>0</v>
      </c>
      <c r="AA724">
        <f t="shared" ref="AA724:AA737" si="487">MAX(E724-E723,0)</f>
        <v>0</v>
      </c>
      <c r="AB724">
        <f t="shared" ref="AB724:AB737" si="488">MAX(F724-F723,0)</f>
        <v>0</v>
      </c>
      <c r="AC724">
        <f t="shared" ref="AC724:AC737" si="489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83"/>
        <v>7</v>
      </c>
      <c r="M725">
        <v>4</v>
      </c>
      <c r="N725" s="6" t="str">
        <f t="shared" si="449"/>
        <v/>
      </c>
      <c r="O725" s="7" t="str">
        <f t="shared" si="450"/>
        <v/>
      </c>
      <c r="P725" s="7" t="str">
        <f t="shared" si="451"/>
        <v/>
      </c>
      <c r="Q725" s="7" t="str">
        <f t="shared" si="452"/>
        <v/>
      </c>
      <c r="R725" s="7" t="str">
        <f t="shared" si="453"/>
        <v/>
      </c>
      <c r="S725" s="8" t="str">
        <f t="shared" si="454"/>
        <v/>
      </c>
      <c r="T725" s="2" t="str">
        <f t="shared" si="455"/>
        <v/>
      </c>
      <c r="U725" s="2" t="str">
        <f t="shared" si="456"/>
        <v/>
      </c>
      <c r="V725" t="str">
        <f t="shared" si="473"/>
        <v/>
      </c>
      <c r="X725">
        <f t="shared" si="484"/>
        <v>0</v>
      </c>
      <c r="Y725">
        <f t="shared" si="485"/>
        <v>0</v>
      </c>
      <c r="Z725">
        <f t="shared" si="486"/>
        <v>0</v>
      </c>
      <c r="AA725">
        <f t="shared" si="487"/>
        <v>0</v>
      </c>
      <c r="AB725">
        <f t="shared" si="488"/>
        <v>0</v>
      </c>
      <c r="AC725">
        <f t="shared" si="489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83"/>
        <v>7</v>
      </c>
      <c r="M726">
        <v>5</v>
      </c>
      <c r="N726" s="22" t="str">
        <f t="shared" si="449"/>
        <v>#</v>
      </c>
      <c r="O726" s="15" t="str">
        <f t="shared" si="450"/>
        <v>#</v>
      </c>
      <c r="P726" s="15" t="str">
        <f t="shared" si="451"/>
        <v>#</v>
      </c>
      <c r="Q726" s="15" t="str">
        <f t="shared" si="452"/>
        <v>#</v>
      </c>
      <c r="R726" s="16" t="str">
        <f t="shared" si="453"/>
        <v>#</v>
      </c>
      <c r="S726" s="8" t="str">
        <f t="shared" si="454"/>
        <v/>
      </c>
      <c r="T726" s="2" t="str">
        <f t="shared" si="455"/>
        <v/>
      </c>
      <c r="U726" s="2" t="str">
        <f t="shared" si="456"/>
        <v/>
      </c>
      <c r="V726" t="str">
        <f t="shared" si="473"/>
        <v/>
      </c>
      <c r="X726">
        <f t="shared" si="484"/>
        <v>1</v>
      </c>
      <c r="Y726">
        <f t="shared" si="485"/>
        <v>1</v>
      </c>
      <c r="Z726">
        <f t="shared" si="486"/>
        <v>1</v>
      </c>
      <c r="AA726">
        <f t="shared" si="487"/>
        <v>1</v>
      </c>
      <c r="AB726">
        <f t="shared" si="488"/>
        <v>1</v>
      </c>
      <c r="AC726">
        <f t="shared" si="489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83"/>
        <v>7</v>
      </c>
      <c r="M727">
        <v>6</v>
      </c>
      <c r="N727" s="23" t="str">
        <f t="shared" si="449"/>
        <v>#</v>
      </c>
      <c r="O727" s="7" t="str">
        <f t="shared" si="450"/>
        <v>#</v>
      </c>
      <c r="P727" s="7" t="str">
        <f t="shared" si="451"/>
        <v>#</v>
      </c>
      <c r="Q727" s="7" t="str">
        <f t="shared" si="452"/>
        <v>#</v>
      </c>
      <c r="R727" s="17" t="str">
        <f t="shared" si="453"/>
        <v>#</v>
      </c>
      <c r="S727" s="8" t="str">
        <f t="shared" si="454"/>
        <v/>
      </c>
      <c r="T727" s="2" t="str">
        <f t="shared" si="455"/>
        <v/>
      </c>
      <c r="U727" s="2" t="str">
        <f t="shared" si="456"/>
        <v/>
      </c>
      <c r="V727" t="str">
        <f t="shared" si="473"/>
        <v/>
      </c>
      <c r="X727">
        <f t="shared" si="484"/>
        <v>0</v>
      </c>
      <c r="Y727">
        <f t="shared" si="485"/>
        <v>0</v>
      </c>
      <c r="Z727">
        <f t="shared" si="486"/>
        <v>0</v>
      </c>
      <c r="AA727">
        <f t="shared" si="487"/>
        <v>0</v>
      </c>
      <c r="AB727">
        <f t="shared" si="488"/>
        <v>0</v>
      </c>
      <c r="AC727">
        <f t="shared" si="489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83"/>
        <v>7</v>
      </c>
      <c r="M728">
        <v>7</v>
      </c>
      <c r="N728" s="23" t="str">
        <f t="shared" si="449"/>
        <v/>
      </c>
      <c r="O728" s="7" t="str">
        <f t="shared" si="450"/>
        <v/>
      </c>
      <c r="P728" s="7" t="str">
        <f t="shared" si="451"/>
        <v/>
      </c>
      <c r="Q728" s="7" t="str">
        <f t="shared" si="452"/>
        <v>#</v>
      </c>
      <c r="R728" s="17" t="str">
        <f t="shared" si="453"/>
        <v>#</v>
      </c>
      <c r="S728" s="8" t="str">
        <f t="shared" si="454"/>
        <v/>
      </c>
      <c r="T728" s="2" t="str">
        <f t="shared" si="455"/>
        <v/>
      </c>
      <c r="U728" s="2" t="str">
        <f t="shared" si="456"/>
        <v/>
      </c>
      <c r="V728" t="str">
        <f t="shared" si="473"/>
        <v/>
      </c>
      <c r="X728">
        <f t="shared" si="484"/>
        <v>0</v>
      </c>
      <c r="Y728">
        <f t="shared" si="485"/>
        <v>0</v>
      </c>
      <c r="Z728">
        <f t="shared" si="486"/>
        <v>0</v>
      </c>
      <c r="AA728">
        <f t="shared" si="487"/>
        <v>0</v>
      </c>
      <c r="AB728">
        <f t="shared" si="488"/>
        <v>0</v>
      </c>
      <c r="AC728">
        <f t="shared" si="489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83"/>
        <v>7</v>
      </c>
      <c r="M729">
        <v>8</v>
      </c>
      <c r="N729" s="23" t="str">
        <f t="shared" si="449"/>
        <v/>
      </c>
      <c r="O729" s="7" t="str">
        <f t="shared" si="450"/>
        <v/>
      </c>
      <c r="P729" s="7" t="str">
        <f t="shared" si="451"/>
        <v/>
      </c>
      <c r="Q729" s="7" t="str">
        <f t="shared" si="452"/>
        <v>#</v>
      </c>
      <c r="R729" s="17" t="str">
        <f t="shared" si="453"/>
        <v/>
      </c>
      <c r="S729" s="8" t="str">
        <f t="shared" si="454"/>
        <v/>
      </c>
      <c r="T729" s="2" t="str">
        <f t="shared" si="455"/>
        <v/>
      </c>
      <c r="U729" s="2" t="str">
        <f t="shared" si="456"/>
        <v/>
      </c>
      <c r="V729" t="str">
        <f t="shared" si="473"/>
        <v/>
      </c>
      <c r="X729">
        <f t="shared" si="484"/>
        <v>0</v>
      </c>
      <c r="Y729">
        <f t="shared" si="485"/>
        <v>0</v>
      </c>
      <c r="Z729">
        <f t="shared" si="486"/>
        <v>0</v>
      </c>
      <c r="AA729">
        <f t="shared" si="487"/>
        <v>0</v>
      </c>
      <c r="AB729">
        <f t="shared" si="488"/>
        <v>0</v>
      </c>
      <c r="AC729">
        <f t="shared" si="489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83"/>
        <v>7</v>
      </c>
      <c r="M730">
        <v>9</v>
      </c>
      <c r="N730" s="23" t="str">
        <f t="shared" si="449"/>
        <v/>
      </c>
      <c r="O730" s="7" t="str">
        <f t="shared" si="450"/>
        <v/>
      </c>
      <c r="P730" s="7" t="str">
        <f t="shared" si="451"/>
        <v>#</v>
      </c>
      <c r="Q730" s="7" t="str">
        <f t="shared" si="452"/>
        <v>#</v>
      </c>
      <c r="R730" s="17" t="str">
        <f t="shared" si="453"/>
        <v/>
      </c>
      <c r="S730" s="8" t="str">
        <f t="shared" si="454"/>
        <v/>
      </c>
      <c r="T730" s="2" t="str">
        <f t="shared" si="455"/>
        <v/>
      </c>
      <c r="U730" s="2" t="str">
        <f t="shared" si="456"/>
        <v/>
      </c>
      <c r="V730" t="str">
        <f t="shared" si="473"/>
        <v/>
      </c>
      <c r="X730">
        <f t="shared" si="484"/>
        <v>0</v>
      </c>
      <c r="Y730">
        <f t="shared" si="485"/>
        <v>0</v>
      </c>
      <c r="Z730">
        <f t="shared" si="486"/>
        <v>1</v>
      </c>
      <c r="AA730">
        <f t="shared" si="487"/>
        <v>0</v>
      </c>
      <c r="AB730">
        <f t="shared" si="488"/>
        <v>0</v>
      </c>
      <c r="AC730">
        <f t="shared" si="489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83"/>
        <v>7</v>
      </c>
      <c r="M731">
        <v>10</v>
      </c>
      <c r="N731" s="23" t="str">
        <f t="shared" si="449"/>
        <v/>
      </c>
      <c r="O731" s="7" t="str">
        <f t="shared" si="450"/>
        <v/>
      </c>
      <c r="P731" s="7" t="str">
        <f t="shared" si="451"/>
        <v>#</v>
      </c>
      <c r="Q731" s="7" t="str">
        <f t="shared" si="452"/>
        <v/>
      </c>
      <c r="R731" s="17" t="str">
        <f t="shared" si="453"/>
        <v/>
      </c>
      <c r="S731" s="8" t="str">
        <f t="shared" si="454"/>
        <v/>
      </c>
      <c r="T731" s="2" t="str">
        <f t="shared" si="455"/>
        <v/>
      </c>
      <c r="U731" s="2" t="str">
        <f t="shared" si="456"/>
        <v/>
      </c>
      <c r="V731" t="str">
        <f t="shared" si="473"/>
        <v/>
      </c>
      <c r="X731">
        <f t="shared" si="484"/>
        <v>0</v>
      </c>
      <c r="Y731">
        <f t="shared" si="485"/>
        <v>0</v>
      </c>
      <c r="Z731">
        <f t="shared" si="486"/>
        <v>0</v>
      </c>
      <c r="AA731">
        <f t="shared" si="487"/>
        <v>0</v>
      </c>
      <c r="AB731">
        <f t="shared" si="488"/>
        <v>0</v>
      </c>
      <c r="AC731">
        <f t="shared" si="489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83"/>
        <v>7</v>
      </c>
      <c r="M732">
        <v>11</v>
      </c>
      <c r="N732" s="23" t="str">
        <f t="shared" si="449"/>
        <v/>
      </c>
      <c r="O732" s="7" t="str">
        <f t="shared" si="450"/>
        <v>#</v>
      </c>
      <c r="P732" s="7" t="str">
        <f t="shared" si="451"/>
        <v>#</v>
      </c>
      <c r="Q732" s="7" t="str">
        <f t="shared" si="452"/>
        <v/>
      </c>
      <c r="R732" s="17" t="str">
        <f t="shared" si="453"/>
        <v/>
      </c>
      <c r="S732" s="8" t="str">
        <f t="shared" si="454"/>
        <v/>
      </c>
      <c r="T732" s="2" t="str">
        <f t="shared" si="455"/>
        <v/>
      </c>
      <c r="U732" s="2" t="str">
        <f t="shared" si="456"/>
        <v/>
      </c>
      <c r="V732" t="str">
        <f t="shared" si="473"/>
        <v/>
      </c>
      <c r="X732">
        <f t="shared" si="484"/>
        <v>0</v>
      </c>
      <c r="Y732">
        <f t="shared" si="485"/>
        <v>1</v>
      </c>
      <c r="Z732">
        <f t="shared" si="486"/>
        <v>0</v>
      </c>
      <c r="AA732">
        <f t="shared" si="487"/>
        <v>0</v>
      </c>
      <c r="AB732">
        <f t="shared" si="488"/>
        <v>0</v>
      </c>
      <c r="AC732">
        <f t="shared" si="489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83"/>
        <v>7</v>
      </c>
      <c r="M733">
        <v>12</v>
      </c>
      <c r="N733" s="23" t="str">
        <f t="shared" si="449"/>
        <v/>
      </c>
      <c r="O733" s="7" t="str">
        <f t="shared" si="450"/>
        <v>#</v>
      </c>
      <c r="P733" s="7" t="str">
        <f t="shared" si="451"/>
        <v/>
      </c>
      <c r="Q733" s="7" t="str">
        <f t="shared" si="452"/>
        <v/>
      </c>
      <c r="R733" s="17" t="str">
        <f t="shared" si="453"/>
        <v/>
      </c>
      <c r="S733" s="8" t="str">
        <f t="shared" si="454"/>
        <v/>
      </c>
      <c r="T733" s="2" t="str">
        <f t="shared" si="455"/>
        <v/>
      </c>
      <c r="U733" s="2" t="str">
        <f t="shared" si="456"/>
        <v/>
      </c>
      <c r="V733" t="str">
        <f t="shared" si="473"/>
        <v/>
      </c>
      <c r="X733">
        <f t="shared" si="484"/>
        <v>0</v>
      </c>
      <c r="Y733">
        <f t="shared" si="485"/>
        <v>0</v>
      </c>
      <c r="Z733">
        <f t="shared" si="486"/>
        <v>0</v>
      </c>
      <c r="AA733">
        <f t="shared" si="487"/>
        <v>0</v>
      </c>
      <c r="AB733">
        <f t="shared" si="488"/>
        <v>0</v>
      </c>
      <c r="AC733">
        <f t="shared" si="489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83"/>
        <v>7</v>
      </c>
      <c r="M734">
        <v>13</v>
      </c>
      <c r="N734" s="6" t="str">
        <f t="shared" si="449"/>
        <v>#</v>
      </c>
      <c r="O734" s="7" t="str">
        <f t="shared" si="450"/>
        <v>#</v>
      </c>
      <c r="P734" s="7" t="str">
        <f t="shared" si="451"/>
        <v/>
      </c>
      <c r="Q734" s="7" t="str">
        <f t="shared" si="452"/>
        <v/>
      </c>
      <c r="R734" s="17" t="str">
        <f t="shared" si="453"/>
        <v/>
      </c>
      <c r="S734" s="8" t="str">
        <f t="shared" si="454"/>
        <v/>
      </c>
      <c r="T734" s="2" t="str">
        <f t="shared" si="455"/>
        <v/>
      </c>
      <c r="U734" s="2" t="str">
        <f t="shared" si="456"/>
        <v/>
      </c>
      <c r="V734" t="str">
        <f t="shared" si="473"/>
        <v/>
      </c>
      <c r="X734">
        <f t="shared" si="484"/>
        <v>1</v>
      </c>
      <c r="Y734">
        <f t="shared" si="485"/>
        <v>0</v>
      </c>
      <c r="Z734">
        <f t="shared" si="486"/>
        <v>0</v>
      </c>
      <c r="AA734">
        <f t="shared" si="487"/>
        <v>0</v>
      </c>
      <c r="AB734">
        <f t="shared" si="488"/>
        <v>0</v>
      </c>
      <c r="AC734">
        <f t="shared" si="489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83"/>
        <v>7</v>
      </c>
      <c r="M735">
        <v>14</v>
      </c>
      <c r="N735" s="18" t="str">
        <f t="shared" si="449"/>
        <v>#</v>
      </c>
      <c r="O735" s="19" t="str">
        <f t="shared" si="450"/>
        <v/>
      </c>
      <c r="P735" s="19" t="str">
        <f t="shared" si="451"/>
        <v/>
      </c>
      <c r="Q735" s="19" t="str">
        <f t="shared" si="452"/>
        <v/>
      </c>
      <c r="R735" s="20" t="str">
        <f t="shared" si="453"/>
        <v/>
      </c>
      <c r="S735" s="8" t="str">
        <f t="shared" si="454"/>
        <v/>
      </c>
      <c r="T735" s="2" t="str">
        <f t="shared" si="455"/>
        <v/>
      </c>
      <c r="U735" s="2" t="str">
        <f t="shared" si="456"/>
        <v/>
      </c>
      <c r="V735" t="str">
        <f t="shared" si="473"/>
        <v/>
      </c>
      <c r="X735">
        <f t="shared" si="484"/>
        <v>0</v>
      </c>
      <c r="Y735">
        <f t="shared" si="485"/>
        <v>0</v>
      </c>
      <c r="Z735">
        <f t="shared" si="486"/>
        <v>0</v>
      </c>
      <c r="AA735">
        <f t="shared" si="487"/>
        <v>0</v>
      </c>
      <c r="AB735">
        <f t="shared" si="488"/>
        <v>0</v>
      </c>
      <c r="AC735">
        <f t="shared" si="489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83"/>
        <v>7</v>
      </c>
      <c r="M736">
        <v>15</v>
      </c>
      <c r="N736" s="9" t="str">
        <f t="shared" si="449"/>
        <v>#</v>
      </c>
      <c r="O736" s="10" t="str">
        <f t="shared" si="450"/>
        <v/>
      </c>
      <c r="P736" s="10" t="str">
        <f t="shared" si="451"/>
        <v/>
      </c>
      <c r="Q736" s="10" t="str">
        <f t="shared" si="452"/>
        <v/>
      </c>
      <c r="R736" s="10" t="str">
        <f t="shared" si="453"/>
        <v/>
      </c>
      <c r="S736" s="11" t="str">
        <f t="shared" si="454"/>
        <v/>
      </c>
      <c r="T736" s="2" t="str">
        <f t="shared" si="455"/>
        <v/>
      </c>
      <c r="U736" s="2" t="str">
        <f t="shared" si="456"/>
        <v/>
      </c>
      <c r="V736" t="str">
        <f t="shared" si="473"/>
        <v/>
      </c>
      <c r="X736">
        <f t="shared" si="484"/>
        <v>0</v>
      </c>
      <c r="Y736">
        <f t="shared" si="485"/>
        <v>0</v>
      </c>
      <c r="Z736">
        <f t="shared" si="486"/>
        <v>0</v>
      </c>
      <c r="AA736">
        <f t="shared" si="487"/>
        <v>0</v>
      </c>
      <c r="AB736">
        <f t="shared" si="488"/>
        <v>0</v>
      </c>
      <c r="AC736">
        <f t="shared" si="489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83"/>
        <v>7</v>
      </c>
      <c r="M737">
        <v>16</v>
      </c>
      <c r="N737" s="12" t="str">
        <f t="shared" si="449"/>
        <v/>
      </c>
      <c r="O737" s="13" t="str">
        <f t="shared" si="450"/>
        <v/>
      </c>
      <c r="P737" s="13" t="str">
        <f t="shared" si="451"/>
        <v/>
      </c>
      <c r="Q737" s="13" t="str">
        <f t="shared" si="452"/>
        <v/>
      </c>
      <c r="R737" s="13" t="str">
        <f t="shared" si="453"/>
        <v/>
      </c>
      <c r="S737" s="14" t="str">
        <f t="shared" si="454"/>
        <v/>
      </c>
      <c r="T737" s="2" t="str">
        <f t="shared" si="455"/>
        <v/>
      </c>
      <c r="U737" s="2" t="str">
        <f t="shared" si="456"/>
        <v/>
      </c>
      <c r="V737" t="str">
        <f t="shared" si="473"/>
        <v/>
      </c>
      <c r="X737">
        <f t="shared" si="484"/>
        <v>0</v>
      </c>
      <c r="Y737">
        <f t="shared" si="485"/>
        <v>0</v>
      </c>
      <c r="Z737">
        <f t="shared" si="486"/>
        <v>0</v>
      </c>
      <c r="AA737">
        <f t="shared" si="487"/>
        <v>0</v>
      </c>
      <c r="AB737">
        <f t="shared" si="488"/>
        <v>0</v>
      </c>
      <c r="AC737">
        <f t="shared" si="489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90">IF(B738&gt;0,"#","")</f>
        <v/>
      </c>
      <c r="O738" t="str">
        <f t="shared" ref="O738:O801" si="491">IF(C738&gt;0,"#","")</f>
        <v/>
      </c>
      <c r="P738" t="str">
        <f t="shared" ref="P738:P801" si="492">IF(D738&gt;0,"#","")</f>
        <v/>
      </c>
      <c r="Q738" t="str">
        <f t="shared" ref="Q738:Q801" si="493">IF(E738&gt;0,"#","")</f>
        <v/>
      </c>
      <c r="R738" t="str">
        <f t="shared" ref="R738:R801" si="494">IF(F738&gt;0,"#","")</f>
        <v/>
      </c>
      <c r="S738" t="str">
        <f t="shared" ref="S738:S801" si="495">IF(G738&gt;0,"#","")</f>
        <v/>
      </c>
      <c r="T738" s="2" t="str">
        <f t="shared" ref="T738:T801" si="496">IF(H738&gt;0,"#","")</f>
        <v/>
      </c>
      <c r="U738" s="2" t="str">
        <f t="shared" ref="U738:U801" si="497">IF(I738&gt;0,"#","")</f>
        <v/>
      </c>
      <c r="V738" t="str">
        <f t="shared" si="473"/>
        <v/>
      </c>
      <c r="W738">
        <f>SUM(B740:G753)</f>
        <v>38</v>
      </c>
      <c r="AD738">
        <f t="shared" ref="AD738" si="498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9">L738</f>
        <v>8</v>
      </c>
      <c r="M739">
        <v>2</v>
      </c>
      <c r="N739" t="str">
        <f t="shared" si="490"/>
        <v/>
      </c>
      <c r="O739" t="str">
        <f t="shared" si="491"/>
        <v/>
      </c>
      <c r="P739" t="str">
        <f t="shared" si="492"/>
        <v/>
      </c>
      <c r="Q739" t="str">
        <f t="shared" si="493"/>
        <v/>
      </c>
      <c r="R739" t="str">
        <f t="shared" si="494"/>
        <v/>
      </c>
      <c r="S739" t="str">
        <f t="shared" si="495"/>
        <v/>
      </c>
      <c r="T739" s="2" t="str">
        <f t="shared" si="496"/>
        <v/>
      </c>
      <c r="U739" s="2" t="str">
        <f t="shared" si="497"/>
        <v/>
      </c>
      <c r="V739" t="str">
        <f t="shared" si="473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9"/>
        <v>8</v>
      </c>
      <c r="M740">
        <v>3</v>
      </c>
      <c r="N740" s="3" t="str">
        <f t="shared" si="490"/>
        <v/>
      </c>
      <c r="O740" s="4" t="str">
        <f t="shared" si="491"/>
        <v/>
      </c>
      <c r="P740" s="4" t="str">
        <f t="shared" si="492"/>
        <v/>
      </c>
      <c r="Q740" s="4" t="str">
        <f t="shared" si="493"/>
        <v/>
      </c>
      <c r="R740" s="4" t="str">
        <f t="shared" si="494"/>
        <v/>
      </c>
      <c r="S740" s="5" t="str">
        <f t="shared" si="495"/>
        <v/>
      </c>
      <c r="T740" s="2" t="str">
        <f t="shared" si="496"/>
        <v/>
      </c>
      <c r="U740" s="2" t="str">
        <f t="shared" si="497"/>
        <v/>
      </c>
      <c r="V740" t="str">
        <f t="shared" si="473"/>
        <v/>
      </c>
      <c r="X740">
        <f t="shared" ref="X740:X753" si="500">MAX(B740-B739,0)</f>
        <v>0</v>
      </c>
      <c r="Y740">
        <f t="shared" ref="Y740:Y753" si="501">MAX(C740-C739,0)</f>
        <v>0</v>
      </c>
      <c r="Z740">
        <f t="shared" ref="Z740:Z753" si="502">MAX(D740-D739,0)</f>
        <v>0</v>
      </c>
      <c r="AA740">
        <f t="shared" ref="AA740:AA753" si="503">MAX(E740-E739,0)</f>
        <v>0</v>
      </c>
      <c r="AB740">
        <f t="shared" ref="AB740:AB753" si="504">MAX(F740-F739,0)</f>
        <v>0</v>
      </c>
      <c r="AC740">
        <f t="shared" ref="AC740:AC753" si="505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9"/>
        <v>8</v>
      </c>
      <c r="M741">
        <v>4</v>
      </c>
      <c r="N741" s="6" t="str">
        <f t="shared" si="490"/>
        <v/>
      </c>
      <c r="O741" s="7" t="str">
        <f t="shared" si="491"/>
        <v>#</v>
      </c>
      <c r="P741" s="7" t="str">
        <f t="shared" si="492"/>
        <v>#</v>
      </c>
      <c r="Q741" s="7" t="str">
        <f t="shared" si="493"/>
        <v>#</v>
      </c>
      <c r="R741" s="7" t="str">
        <f t="shared" si="494"/>
        <v/>
      </c>
      <c r="S741" s="8" t="str">
        <f t="shared" si="495"/>
        <v/>
      </c>
      <c r="T741" s="2" t="str">
        <f t="shared" si="496"/>
        <v/>
      </c>
      <c r="U741" s="2" t="str">
        <f t="shared" si="497"/>
        <v/>
      </c>
      <c r="V741" t="str">
        <f t="shared" si="473"/>
        <v/>
      </c>
      <c r="X741">
        <f t="shared" si="500"/>
        <v>0</v>
      </c>
      <c r="Y741">
        <f t="shared" si="501"/>
        <v>1</v>
      </c>
      <c r="Z741">
        <f t="shared" si="502"/>
        <v>1</v>
      </c>
      <c r="AA741">
        <f t="shared" si="503"/>
        <v>1</v>
      </c>
      <c r="AB741">
        <f t="shared" si="504"/>
        <v>0</v>
      </c>
      <c r="AC741">
        <f t="shared" si="505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9"/>
        <v>8</v>
      </c>
      <c r="M742">
        <v>5</v>
      </c>
      <c r="N742" s="22" t="str">
        <f t="shared" si="490"/>
        <v>#</v>
      </c>
      <c r="O742" s="15" t="str">
        <f t="shared" si="491"/>
        <v>#</v>
      </c>
      <c r="P742" s="15" t="str">
        <f t="shared" si="492"/>
        <v>#</v>
      </c>
      <c r="Q742" s="15" t="str">
        <f t="shared" si="493"/>
        <v>#</v>
      </c>
      <c r="R742" s="16" t="str">
        <f t="shared" si="494"/>
        <v>#</v>
      </c>
      <c r="S742" s="8" t="str">
        <f t="shared" si="495"/>
        <v/>
      </c>
      <c r="T742" s="2" t="str">
        <f t="shared" si="496"/>
        <v/>
      </c>
      <c r="U742" s="2" t="str">
        <f t="shared" si="497"/>
        <v/>
      </c>
      <c r="V742" t="str">
        <f t="shared" si="473"/>
        <v/>
      </c>
      <c r="X742">
        <f t="shared" si="500"/>
        <v>1</v>
      </c>
      <c r="Y742">
        <f t="shared" si="501"/>
        <v>0</v>
      </c>
      <c r="Z742">
        <f t="shared" si="502"/>
        <v>0</v>
      </c>
      <c r="AA742">
        <f t="shared" si="503"/>
        <v>0</v>
      </c>
      <c r="AB742">
        <f t="shared" si="504"/>
        <v>1</v>
      </c>
      <c r="AC742">
        <f t="shared" si="505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9"/>
        <v>8</v>
      </c>
      <c r="M743">
        <v>6</v>
      </c>
      <c r="N743" s="23" t="str">
        <f t="shared" si="490"/>
        <v>#</v>
      </c>
      <c r="O743" s="7" t="str">
        <f t="shared" si="491"/>
        <v/>
      </c>
      <c r="P743" s="7" t="str">
        <f t="shared" si="492"/>
        <v/>
      </c>
      <c r="Q743" s="7" t="str">
        <f t="shared" si="493"/>
        <v/>
      </c>
      <c r="R743" s="17" t="str">
        <f t="shared" si="494"/>
        <v>#</v>
      </c>
      <c r="S743" s="8" t="str">
        <f t="shared" si="495"/>
        <v/>
      </c>
      <c r="T743" s="2" t="str">
        <f t="shared" si="496"/>
        <v/>
      </c>
      <c r="U743" s="2" t="str">
        <f t="shared" si="497"/>
        <v/>
      </c>
      <c r="V743" t="str">
        <f t="shared" si="473"/>
        <v/>
      </c>
      <c r="X743">
        <f t="shared" si="500"/>
        <v>0</v>
      </c>
      <c r="Y743">
        <f t="shared" si="501"/>
        <v>0</v>
      </c>
      <c r="Z743">
        <f t="shared" si="502"/>
        <v>0</v>
      </c>
      <c r="AA743">
        <f t="shared" si="503"/>
        <v>0</v>
      </c>
      <c r="AB743">
        <f t="shared" si="504"/>
        <v>0</v>
      </c>
      <c r="AC743">
        <f t="shared" si="505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9"/>
        <v>8</v>
      </c>
      <c r="M744">
        <v>7</v>
      </c>
      <c r="N744" s="23" t="str">
        <f t="shared" si="490"/>
        <v>#</v>
      </c>
      <c r="O744" s="7" t="str">
        <f t="shared" si="491"/>
        <v/>
      </c>
      <c r="P744" s="7" t="str">
        <f t="shared" si="492"/>
        <v/>
      </c>
      <c r="Q744" s="7" t="str">
        <f t="shared" si="493"/>
        <v/>
      </c>
      <c r="R744" s="17" t="str">
        <f t="shared" si="494"/>
        <v>#</v>
      </c>
      <c r="S744" s="8" t="str">
        <f t="shared" si="495"/>
        <v/>
      </c>
      <c r="T744" s="2" t="str">
        <f t="shared" si="496"/>
        <v/>
      </c>
      <c r="U744" s="2" t="str">
        <f t="shared" si="497"/>
        <v/>
      </c>
      <c r="V744" t="str">
        <f t="shared" si="473"/>
        <v/>
      </c>
      <c r="X744">
        <f t="shared" si="500"/>
        <v>0</v>
      </c>
      <c r="Y744">
        <f t="shared" si="501"/>
        <v>0</v>
      </c>
      <c r="Z744">
        <f t="shared" si="502"/>
        <v>0</v>
      </c>
      <c r="AA744">
        <f t="shared" si="503"/>
        <v>0</v>
      </c>
      <c r="AB744">
        <f t="shared" si="504"/>
        <v>0</v>
      </c>
      <c r="AC744">
        <f t="shared" si="505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9"/>
        <v>8</v>
      </c>
      <c r="M745">
        <v>8</v>
      </c>
      <c r="N745" s="23" t="str">
        <f t="shared" si="490"/>
        <v>#</v>
      </c>
      <c r="O745" s="7" t="str">
        <f t="shared" si="491"/>
        <v>#</v>
      </c>
      <c r="P745" s="7" t="str">
        <f t="shared" si="492"/>
        <v/>
      </c>
      <c r="Q745" s="7" t="str">
        <f t="shared" si="493"/>
        <v>#</v>
      </c>
      <c r="R745" s="17" t="str">
        <f t="shared" si="494"/>
        <v>#</v>
      </c>
      <c r="S745" s="8" t="str">
        <f t="shared" si="495"/>
        <v/>
      </c>
      <c r="T745" s="2" t="str">
        <f t="shared" si="496"/>
        <v/>
      </c>
      <c r="U745" s="2" t="str">
        <f t="shared" si="497"/>
        <v/>
      </c>
      <c r="V745" t="str">
        <f t="shared" si="473"/>
        <v/>
      </c>
      <c r="X745">
        <f t="shared" si="500"/>
        <v>0</v>
      </c>
      <c r="Y745">
        <f t="shared" si="501"/>
        <v>1</v>
      </c>
      <c r="Z745">
        <f t="shared" si="502"/>
        <v>0</v>
      </c>
      <c r="AA745">
        <f t="shared" si="503"/>
        <v>1</v>
      </c>
      <c r="AB745">
        <f t="shared" si="504"/>
        <v>0</v>
      </c>
      <c r="AC745">
        <f t="shared" si="505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9"/>
        <v>8</v>
      </c>
      <c r="M746">
        <v>9</v>
      </c>
      <c r="N746" s="23" t="str">
        <f t="shared" si="490"/>
        <v/>
      </c>
      <c r="O746" s="7" t="str">
        <f t="shared" si="491"/>
        <v>#</v>
      </c>
      <c r="P746" s="7" t="str">
        <f t="shared" si="492"/>
        <v>#</v>
      </c>
      <c r="Q746" s="7" t="str">
        <f t="shared" si="493"/>
        <v>#</v>
      </c>
      <c r="R746" s="17" t="str">
        <f t="shared" si="494"/>
        <v/>
      </c>
      <c r="S746" s="8" t="str">
        <f t="shared" si="495"/>
        <v/>
      </c>
      <c r="T746" s="2" t="str">
        <f t="shared" si="496"/>
        <v/>
      </c>
      <c r="U746" s="2" t="str">
        <f t="shared" si="497"/>
        <v/>
      </c>
      <c r="V746" t="str">
        <f t="shared" si="473"/>
        <v/>
      </c>
      <c r="X746">
        <f t="shared" si="500"/>
        <v>0</v>
      </c>
      <c r="Y746">
        <f t="shared" si="501"/>
        <v>0</v>
      </c>
      <c r="Z746">
        <f t="shared" si="502"/>
        <v>1</v>
      </c>
      <c r="AA746">
        <f t="shared" si="503"/>
        <v>0</v>
      </c>
      <c r="AB746">
        <f t="shared" si="504"/>
        <v>0</v>
      </c>
      <c r="AC746">
        <f t="shared" si="505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9"/>
        <v>8</v>
      </c>
      <c r="M747">
        <v>10</v>
      </c>
      <c r="N747" s="23" t="str">
        <f t="shared" si="490"/>
        <v/>
      </c>
      <c r="O747" s="7" t="str">
        <f t="shared" si="491"/>
        <v>#</v>
      </c>
      <c r="P747" s="7" t="str">
        <f t="shared" si="492"/>
        <v>#</v>
      </c>
      <c r="Q747" s="7" t="str">
        <f t="shared" si="493"/>
        <v>#</v>
      </c>
      <c r="R747" s="17" t="str">
        <f t="shared" si="494"/>
        <v/>
      </c>
      <c r="S747" s="8" t="str">
        <f t="shared" si="495"/>
        <v/>
      </c>
      <c r="T747" s="2" t="str">
        <f t="shared" si="496"/>
        <v/>
      </c>
      <c r="U747" s="2" t="str">
        <f t="shared" si="497"/>
        <v/>
      </c>
      <c r="V747" t="str">
        <f t="shared" si="473"/>
        <v/>
      </c>
      <c r="X747">
        <f t="shared" si="500"/>
        <v>0</v>
      </c>
      <c r="Y747">
        <f t="shared" si="501"/>
        <v>0</v>
      </c>
      <c r="Z747">
        <f t="shared" si="502"/>
        <v>0</v>
      </c>
      <c r="AA747">
        <f t="shared" si="503"/>
        <v>0</v>
      </c>
      <c r="AB747">
        <f t="shared" si="504"/>
        <v>0</v>
      </c>
      <c r="AC747">
        <f t="shared" si="505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9"/>
        <v>8</v>
      </c>
      <c r="M748">
        <v>11</v>
      </c>
      <c r="N748" s="23" t="str">
        <f t="shared" si="490"/>
        <v>#</v>
      </c>
      <c r="O748" s="7" t="str">
        <f t="shared" si="491"/>
        <v>#</v>
      </c>
      <c r="P748" s="7" t="str">
        <f t="shared" si="492"/>
        <v/>
      </c>
      <c r="Q748" s="7" t="str">
        <f t="shared" si="493"/>
        <v>#</v>
      </c>
      <c r="R748" s="17" t="str">
        <f t="shared" si="494"/>
        <v>#</v>
      </c>
      <c r="S748" s="8" t="str">
        <f t="shared" si="495"/>
        <v/>
      </c>
      <c r="T748" s="2" t="str">
        <f t="shared" si="496"/>
        <v/>
      </c>
      <c r="U748" s="2" t="str">
        <f t="shared" si="497"/>
        <v/>
      </c>
      <c r="V748" t="str">
        <f t="shared" si="473"/>
        <v/>
      </c>
      <c r="X748">
        <f t="shared" si="500"/>
        <v>1</v>
      </c>
      <c r="Y748">
        <f t="shared" si="501"/>
        <v>0</v>
      </c>
      <c r="Z748">
        <f t="shared" si="502"/>
        <v>0</v>
      </c>
      <c r="AA748">
        <f t="shared" si="503"/>
        <v>0</v>
      </c>
      <c r="AB748">
        <f t="shared" si="504"/>
        <v>1</v>
      </c>
      <c r="AC748">
        <f t="shared" si="505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9"/>
        <v>8</v>
      </c>
      <c r="M749">
        <v>12</v>
      </c>
      <c r="N749" s="23" t="str">
        <f t="shared" si="490"/>
        <v>#</v>
      </c>
      <c r="O749" s="7" t="str">
        <f t="shared" si="491"/>
        <v/>
      </c>
      <c r="P749" s="7" t="str">
        <f t="shared" si="492"/>
        <v/>
      </c>
      <c r="Q749" s="7" t="str">
        <f t="shared" si="493"/>
        <v/>
      </c>
      <c r="R749" s="17" t="str">
        <f t="shared" si="494"/>
        <v>#</v>
      </c>
      <c r="S749" s="8" t="str">
        <f t="shared" si="495"/>
        <v/>
      </c>
      <c r="T749" s="2" t="str">
        <f t="shared" si="496"/>
        <v/>
      </c>
      <c r="U749" s="2" t="str">
        <f t="shared" si="497"/>
        <v/>
      </c>
      <c r="V749" t="str">
        <f t="shared" si="473"/>
        <v/>
      </c>
      <c r="X749">
        <f t="shared" si="500"/>
        <v>0</v>
      </c>
      <c r="Y749">
        <f t="shared" si="501"/>
        <v>0</v>
      </c>
      <c r="Z749">
        <f t="shared" si="502"/>
        <v>0</v>
      </c>
      <c r="AA749">
        <f t="shared" si="503"/>
        <v>0</v>
      </c>
      <c r="AB749">
        <f t="shared" si="504"/>
        <v>0</v>
      </c>
      <c r="AC749">
        <f t="shared" si="505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9"/>
        <v>8</v>
      </c>
      <c r="M750">
        <v>13</v>
      </c>
      <c r="N750" s="6" t="str">
        <f t="shared" si="490"/>
        <v>#</v>
      </c>
      <c r="O750" s="7" t="str">
        <f t="shared" si="491"/>
        <v/>
      </c>
      <c r="P750" s="7" t="str">
        <f t="shared" si="492"/>
        <v/>
      </c>
      <c r="Q750" s="7" t="str">
        <f t="shared" si="493"/>
        <v/>
      </c>
      <c r="R750" s="17" t="str">
        <f t="shared" si="494"/>
        <v>#</v>
      </c>
      <c r="S750" s="8" t="str">
        <f t="shared" si="495"/>
        <v/>
      </c>
      <c r="T750" s="2" t="str">
        <f t="shared" si="496"/>
        <v/>
      </c>
      <c r="U750" s="2" t="str">
        <f t="shared" si="497"/>
        <v/>
      </c>
      <c r="V750" t="str">
        <f t="shared" si="473"/>
        <v/>
      </c>
      <c r="X750">
        <f t="shared" si="500"/>
        <v>0</v>
      </c>
      <c r="Y750">
        <f t="shared" si="501"/>
        <v>0</v>
      </c>
      <c r="Z750">
        <f t="shared" si="502"/>
        <v>0</v>
      </c>
      <c r="AA750">
        <f t="shared" si="503"/>
        <v>0</v>
      </c>
      <c r="AB750">
        <f t="shared" si="504"/>
        <v>0</v>
      </c>
      <c r="AC750">
        <f t="shared" si="505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9"/>
        <v>8</v>
      </c>
      <c r="M751">
        <v>14</v>
      </c>
      <c r="N751" s="18" t="str">
        <f t="shared" si="490"/>
        <v>#</v>
      </c>
      <c r="O751" s="19" t="str">
        <f t="shared" si="491"/>
        <v>#</v>
      </c>
      <c r="P751" s="19" t="str">
        <f t="shared" si="492"/>
        <v>#</v>
      </c>
      <c r="Q751" s="19" t="str">
        <f t="shared" si="493"/>
        <v>#</v>
      </c>
      <c r="R751" s="20" t="str">
        <f t="shared" si="494"/>
        <v>#</v>
      </c>
      <c r="S751" s="8" t="str">
        <f t="shared" si="495"/>
        <v/>
      </c>
      <c r="T751" s="2" t="str">
        <f t="shared" si="496"/>
        <v/>
      </c>
      <c r="U751" s="2" t="str">
        <f t="shared" si="497"/>
        <v/>
      </c>
      <c r="V751" t="str">
        <f t="shared" si="473"/>
        <v/>
      </c>
      <c r="X751">
        <f t="shared" si="500"/>
        <v>0</v>
      </c>
      <c r="Y751">
        <f t="shared" si="501"/>
        <v>1</v>
      </c>
      <c r="Z751">
        <f t="shared" si="502"/>
        <v>1</v>
      </c>
      <c r="AA751">
        <f t="shared" si="503"/>
        <v>1</v>
      </c>
      <c r="AB751">
        <f t="shared" si="504"/>
        <v>0</v>
      </c>
      <c r="AC751">
        <f t="shared" si="505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9"/>
        <v>8</v>
      </c>
      <c r="M752">
        <v>15</v>
      </c>
      <c r="N752" s="9" t="str">
        <f t="shared" si="490"/>
        <v/>
      </c>
      <c r="O752" s="10" t="str">
        <f t="shared" si="491"/>
        <v>#</v>
      </c>
      <c r="P752" s="10" t="str">
        <f t="shared" si="492"/>
        <v>#</v>
      </c>
      <c r="Q752" s="10" t="str">
        <f t="shared" si="493"/>
        <v>#</v>
      </c>
      <c r="R752" s="10" t="str">
        <f t="shared" si="494"/>
        <v/>
      </c>
      <c r="S752" s="11" t="str">
        <f t="shared" si="495"/>
        <v/>
      </c>
      <c r="T752" s="2" t="str">
        <f t="shared" si="496"/>
        <v/>
      </c>
      <c r="U752" s="2" t="str">
        <f t="shared" si="497"/>
        <v/>
      </c>
      <c r="V752" t="str">
        <f t="shared" si="473"/>
        <v/>
      </c>
      <c r="X752">
        <f t="shared" si="500"/>
        <v>0</v>
      </c>
      <c r="Y752">
        <f t="shared" si="501"/>
        <v>0</v>
      </c>
      <c r="Z752">
        <f t="shared" si="502"/>
        <v>0</v>
      </c>
      <c r="AA752">
        <f t="shared" si="503"/>
        <v>0</v>
      </c>
      <c r="AB752">
        <f t="shared" si="504"/>
        <v>0</v>
      </c>
      <c r="AC752">
        <f t="shared" si="505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9"/>
        <v>8</v>
      </c>
      <c r="M753">
        <v>16</v>
      </c>
      <c r="N753" s="12" t="str">
        <f t="shared" si="490"/>
        <v/>
      </c>
      <c r="O753" s="13" t="str">
        <f t="shared" si="491"/>
        <v/>
      </c>
      <c r="P753" s="13" t="str">
        <f t="shared" si="492"/>
        <v/>
      </c>
      <c r="Q753" s="13" t="str">
        <f t="shared" si="493"/>
        <v/>
      </c>
      <c r="R753" s="13" t="str">
        <f t="shared" si="494"/>
        <v/>
      </c>
      <c r="S753" s="14" t="str">
        <f t="shared" si="495"/>
        <v/>
      </c>
      <c r="T753" s="2" t="str">
        <f t="shared" si="496"/>
        <v/>
      </c>
      <c r="U753" s="2" t="str">
        <f t="shared" si="497"/>
        <v/>
      </c>
      <c r="V753" t="str">
        <f t="shared" si="473"/>
        <v/>
      </c>
      <c r="X753">
        <f t="shared" si="500"/>
        <v>0</v>
      </c>
      <c r="Y753">
        <f t="shared" si="501"/>
        <v>0</v>
      </c>
      <c r="Z753">
        <f t="shared" si="502"/>
        <v>0</v>
      </c>
      <c r="AA753">
        <f t="shared" si="503"/>
        <v>0</v>
      </c>
      <c r="AB753">
        <f t="shared" si="504"/>
        <v>0</v>
      </c>
      <c r="AC753">
        <f t="shared" si="505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90"/>
        <v/>
      </c>
      <c r="O754" t="str">
        <f t="shared" si="491"/>
        <v/>
      </c>
      <c r="P754" t="str">
        <f t="shared" si="492"/>
        <v/>
      </c>
      <c r="Q754" t="str">
        <f t="shared" si="493"/>
        <v/>
      </c>
      <c r="R754" t="str">
        <f t="shared" si="494"/>
        <v/>
      </c>
      <c r="S754" t="str">
        <f t="shared" si="495"/>
        <v/>
      </c>
      <c r="T754" s="2" t="str">
        <f t="shared" si="496"/>
        <v/>
      </c>
      <c r="U754" s="2" t="str">
        <f t="shared" si="497"/>
        <v/>
      </c>
      <c r="V754" t="str">
        <f t="shared" si="473"/>
        <v/>
      </c>
      <c r="W754">
        <f>SUM(B756:G769)</f>
        <v>29</v>
      </c>
      <c r="AD754">
        <f t="shared" ref="AD754" si="506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7">L754</f>
        <v>9</v>
      </c>
      <c r="M755">
        <v>2</v>
      </c>
      <c r="N755" t="str">
        <f t="shared" si="490"/>
        <v/>
      </c>
      <c r="O755" t="str">
        <f t="shared" si="491"/>
        <v/>
      </c>
      <c r="P755" t="str">
        <f t="shared" si="492"/>
        <v/>
      </c>
      <c r="Q755" t="str">
        <f t="shared" si="493"/>
        <v/>
      </c>
      <c r="R755" t="str">
        <f t="shared" si="494"/>
        <v/>
      </c>
      <c r="S755" t="str">
        <f t="shared" si="495"/>
        <v/>
      </c>
      <c r="T755" s="2" t="str">
        <f t="shared" si="496"/>
        <v/>
      </c>
      <c r="U755" s="2" t="str">
        <f t="shared" si="497"/>
        <v/>
      </c>
      <c r="V755" t="str">
        <f t="shared" si="473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7"/>
        <v>9</v>
      </c>
      <c r="M756">
        <v>3</v>
      </c>
      <c r="N756" s="3" t="str">
        <f t="shared" si="490"/>
        <v/>
      </c>
      <c r="O756" s="4" t="str">
        <f t="shared" si="491"/>
        <v/>
      </c>
      <c r="P756" s="4" t="str">
        <f t="shared" si="492"/>
        <v/>
      </c>
      <c r="Q756" s="4" t="str">
        <f t="shared" si="493"/>
        <v/>
      </c>
      <c r="R756" s="4" t="str">
        <f t="shared" si="494"/>
        <v/>
      </c>
      <c r="S756" s="5" t="str">
        <f t="shared" si="495"/>
        <v/>
      </c>
      <c r="T756" s="2" t="str">
        <f t="shared" si="496"/>
        <v/>
      </c>
      <c r="U756" s="2" t="str">
        <f t="shared" si="497"/>
        <v/>
      </c>
      <c r="V756" t="str">
        <f t="shared" si="473"/>
        <v/>
      </c>
      <c r="X756">
        <f t="shared" ref="X756:X769" si="508">MAX(B756-B755,0)</f>
        <v>0</v>
      </c>
      <c r="Y756">
        <f t="shared" ref="Y756:Y769" si="509">MAX(C756-C755,0)</f>
        <v>0</v>
      </c>
      <c r="Z756">
        <f t="shared" ref="Z756:Z769" si="510">MAX(D756-D755,0)</f>
        <v>0</v>
      </c>
      <c r="AA756">
        <f t="shared" ref="AA756:AA769" si="511">MAX(E756-E755,0)</f>
        <v>0</v>
      </c>
      <c r="AB756">
        <f t="shared" ref="AB756:AB769" si="512">MAX(F756-F755,0)</f>
        <v>0</v>
      </c>
      <c r="AC756">
        <f t="shared" ref="AC756:AC769" si="513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7"/>
        <v>9</v>
      </c>
      <c r="M757">
        <v>4</v>
      </c>
      <c r="N757" s="6" t="str">
        <f t="shared" si="490"/>
        <v/>
      </c>
      <c r="O757" s="7" t="str">
        <f t="shared" si="491"/>
        <v/>
      </c>
      <c r="P757" s="7" t="str">
        <f t="shared" si="492"/>
        <v/>
      </c>
      <c r="Q757" s="7" t="str">
        <f t="shared" si="493"/>
        <v/>
      </c>
      <c r="R757" s="7" t="str">
        <f t="shared" si="494"/>
        <v/>
      </c>
      <c r="S757" s="8" t="str">
        <f t="shared" si="495"/>
        <v/>
      </c>
      <c r="T757" s="2" t="str">
        <f t="shared" si="496"/>
        <v/>
      </c>
      <c r="U757" s="2" t="str">
        <f t="shared" si="497"/>
        <v/>
      </c>
      <c r="V757" t="str">
        <f t="shared" si="473"/>
        <v/>
      </c>
      <c r="X757">
        <f t="shared" si="508"/>
        <v>0</v>
      </c>
      <c r="Y757">
        <f t="shared" si="509"/>
        <v>0</v>
      </c>
      <c r="Z757">
        <f t="shared" si="510"/>
        <v>0</v>
      </c>
      <c r="AA757">
        <f t="shared" si="511"/>
        <v>0</v>
      </c>
      <c r="AB757">
        <f t="shared" si="512"/>
        <v>0</v>
      </c>
      <c r="AC757">
        <f t="shared" si="513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7"/>
        <v>9</v>
      </c>
      <c r="M758">
        <v>5</v>
      </c>
      <c r="N758" s="22" t="str">
        <f t="shared" si="490"/>
        <v/>
      </c>
      <c r="O758" s="15" t="str">
        <f t="shared" si="491"/>
        <v>#</v>
      </c>
      <c r="P758" s="15" t="str">
        <f t="shared" si="492"/>
        <v>#</v>
      </c>
      <c r="Q758" s="15" t="str">
        <f t="shared" si="493"/>
        <v>#</v>
      </c>
      <c r="R758" s="16" t="str">
        <f t="shared" si="494"/>
        <v/>
      </c>
      <c r="S758" s="8" t="str">
        <f t="shared" si="495"/>
        <v/>
      </c>
      <c r="T758" s="2" t="str">
        <f t="shared" si="496"/>
        <v/>
      </c>
      <c r="U758" s="2" t="str">
        <f t="shared" si="497"/>
        <v/>
      </c>
      <c r="V758" t="str">
        <f t="shared" si="473"/>
        <v/>
      </c>
      <c r="X758">
        <f t="shared" si="508"/>
        <v>0</v>
      </c>
      <c r="Y758">
        <f t="shared" si="509"/>
        <v>1</v>
      </c>
      <c r="Z758">
        <f t="shared" si="510"/>
        <v>1</v>
      </c>
      <c r="AA758">
        <f t="shared" si="511"/>
        <v>1</v>
      </c>
      <c r="AB758">
        <f t="shared" si="512"/>
        <v>0</v>
      </c>
      <c r="AC758">
        <f t="shared" si="513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7"/>
        <v>9</v>
      </c>
      <c r="M759">
        <v>6</v>
      </c>
      <c r="N759" s="23" t="str">
        <f t="shared" si="490"/>
        <v>#</v>
      </c>
      <c r="O759" s="7" t="str">
        <f t="shared" si="491"/>
        <v>#</v>
      </c>
      <c r="P759" s="7" t="str">
        <f t="shared" si="492"/>
        <v>#</v>
      </c>
      <c r="Q759" s="7" t="str">
        <f t="shared" si="493"/>
        <v>#</v>
      </c>
      <c r="R759" s="17" t="str">
        <f t="shared" si="494"/>
        <v>#</v>
      </c>
      <c r="S759" s="8" t="str">
        <f t="shared" si="495"/>
        <v/>
      </c>
      <c r="T759" s="2" t="str">
        <f t="shared" si="496"/>
        <v/>
      </c>
      <c r="U759" s="2" t="str">
        <f t="shared" si="497"/>
        <v/>
      </c>
      <c r="V759" t="str">
        <f t="shared" si="473"/>
        <v/>
      </c>
      <c r="X759">
        <f t="shared" si="508"/>
        <v>1</v>
      </c>
      <c r="Y759">
        <f t="shared" si="509"/>
        <v>0</v>
      </c>
      <c r="Z759">
        <f t="shared" si="510"/>
        <v>0</v>
      </c>
      <c r="AA759">
        <f t="shared" si="511"/>
        <v>0</v>
      </c>
      <c r="AB759">
        <f t="shared" si="512"/>
        <v>1</v>
      </c>
      <c r="AC759">
        <f t="shared" si="513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7"/>
        <v>9</v>
      </c>
      <c r="M760">
        <v>7</v>
      </c>
      <c r="N760" s="23" t="str">
        <f t="shared" si="490"/>
        <v>#</v>
      </c>
      <c r="O760" s="7" t="str">
        <f t="shared" si="491"/>
        <v/>
      </c>
      <c r="P760" s="7" t="str">
        <f t="shared" si="492"/>
        <v/>
      </c>
      <c r="Q760" s="7" t="str">
        <f t="shared" si="493"/>
        <v/>
      </c>
      <c r="R760" s="17" t="str">
        <f t="shared" si="494"/>
        <v>#</v>
      </c>
      <c r="S760" s="8" t="str">
        <f t="shared" si="495"/>
        <v/>
      </c>
      <c r="T760" s="2" t="str">
        <f t="shared" si="496"/>
        <v/>
      </c>
      <c r="U760" s="2" t="str">
        <f t="shared" si="497"/>
        <v/>
      </c>
      <c r="V760" t="str">
        <f t="shared" si="473"/>
        <v/>
      </c>
      <c r="X760">
        <f t="shared" si="508"/>
        <v>0</v>
      </c>
      <c r="Y760">
        <f t="shared" si="509"/>
        <v>0</v>
      </c>
      <c r="Z760">
        <f t="shared" si="510"/>
        <v>0</v>
      </c>
      <c r="AA760">
        <f t="shared" si="511"/>
        <v>0</v>
      </c>
      <c r="AB760">
        <f t="shared" si="512"/>
        <v>0</v>
      </c>
      <c r="AC760">
        <f t="shared" si="513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7"/>
        <v>9</v>
      </c>
      <c r="M761">
        <v>8</v>
      </c>
      <c r="N761" s="23" t="str">
        <f t="shared" si="490"/>
        <v>#</v>
      </c>
      <c r="O761" s="7" t="str">
        <f t="shared" si="491"/>
        <v/>
      </c>
      <c r="P761" s="7" t="str">
        <f t="shared" si="492"/>
        <v/>
      </c>
      <c r="Q761" s="7" t="str">
        <f t="shared" si="493"/>
        <v/>
      </c>
      <c r="R761" s="17" t="str">
        <f t="shared" si="494"/>
        <v>#</v>
      </c>
      <c r="S761" s="8" t="str">
        <f t="shared" si="495"/>
        <v/>
      </c>
      <c r="T761" s="2" t="str">
        <f t="shared" si="496"/>
        <v/>
      </c>
      <c r="U761" s="2" t="str">
        <f t="shared" si="497"/>
        <v/>
      </c>
      <c r="V761" t="str">
        <f t="shared" si="473"/>
        <v/>
      </c>
      <c r="X761">
        <f t="shared" si="508"/>
        <v>0</v>
      </c>
      <c r="Y761">
        <f t="shared" si="509"/>
        <v>0</v>
      </c>
      <c r="Z761">
        <f t="shared" si="510"/>
        <v>0</v>
      </c>
      <c r="AA761">
        <f t="shared" si="511"/>
        <v>0</v>
      </c>
      <c r="AB761">
        <f t="shared" si="512"/>
        <v>0</v>
      </c>
      <c r="AC761">
        <f t="shared" si="513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7"/>
        <v>9</v>
      </c>
      <c r="M762">
        <v>9</v>
      </c>
      <c r="N762" s="23" t="str">
        <f t="shared" si="490"/>
        <v>#</v>
      </c>
      <c r="O762" s="7" t="str">
        <f t="shared" si="491"/>
        <v/>
      </c>
      <c r="P762" s="7" t="str">
        <f t="shared" si="492"/>
        <v/>
      </c>
      <c r="Q762" s="7" t="str">
        <f t="shared" si="493"/>
        <v/>
      </c>
      <c r="R762" s="17" t="str">
        <f t="shared" si="494"/>
        <v>#</v>
      </c>
      <c r="S762" s="8" t="str">
        <f t="shared" si="495"/>
        <v/>
      </c>
      <c r="T762" s="2" t="str">
        <f t="shared" si="496"/>
        <v/>
      </c>
      <c r="U762" s="2" t="str">
        <f t="shared" si="497"/>
        <v/>
      </c>
      <c r="V762" t="str">
        <f t="shared" si="473"/>
        <v/>
      </c>
      <c r="X762">
        <f t="shared" si="508"/>
        <v>0</v>
      </c>
      <c r="Y762">
        <f t="shared" si="509"/>
        <v>0</v>
      </c>
      <c r="Z762">
        <f t="shared" si="510"/>
        <v>0</v>
      </c>
      <c r="AA762">
        <f t="shared" si="511"/>
        <v>0</v>
      </c>
      <c r="AB762">
        <f t="shared" si="512"/>
        <v>0</v>
      </c>
      <c r="AC762">
        <f t="shared" si="513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7"/>
        <v>9</v>
      </c>
      <c r="M763">
        <v>10</v>
      </c>
      <c r="N763" s="23" t="str">
        <f t="shared" si="490"/>
        <v>#</v>
      </c>
      <c r="O763" s="7" t="str">
        <f t="shared" si="491"/>
        <v>#</v>
      </c>
      <c r="P763" s="7" t="str">
        <f t="shared" si="492"/>
        <v>#</v>
      </c>
      <c r="Q763" s="7" t="str">
        <f t="shared" si="493"/>
        <v/>
      </c>
      <c r="R763" s="17" t="str">
        <f t="shared" si="494"/>
        <v>#</v>
      </c>
      <c r="S763" s="8" t="str">
        <f t="shared" si="495"/>
        <v/>
      </c>
      <c r="T763" s="2" t="str">
        <f t="shared" si="496"/>
        <v/>
      </c>
      <c r="U763" s="2" t="str">
        <f t="shared" si="497"/>
        <v/>
      </c>
      <c r="V763" t="str">
        <f t="shared" si="473"/>
        <v/>
      </c>
      <c r="X763">
        <f t="shared" si="508"/>
        <v>0</v>
      </c>
      <c r="Y763">
        <f t="shared" si="509"/>
        <v>1</v>
      </c>
      <c r="Z763">
        <f t="shared" si="510"/>
        <v>1</v>
      </c>
      <c r="AA763">
        <f t="shared" si="511"/>
        <v>0</v>
      </c>
      <c r="AB763">
        <f t="shared" si="512"/>
        <v>0</v>
      </c>
      <c r="AC763">
        <f t="shared" si="513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7"/>
        <v>9</v>
      </c>
      <c r="M764">
        <v>11</v>
      </c>
      <c r="N764" s="23" t="str">
        <f t="shared" si="490"/>
        <v/>
      </c>
      <c r="O764" s="7" t="str">
        <f t="shared" si="491"/>
        <v>#</v>
      </c>
      <c r="P764" s="7" t="str">
        <f t="shared" si="492"/>
        <v>#</v>
      </c>
      <c r="Q764" s="7" t="str">
        <f t="shared" si="493"/>
        <v/>
      </c>
      <c r="R764" s="17" t="str">
        <f t="shared" si="494"/>
        <v>#</v>
      </c>
      <c r="S764" s="8" t="str">
        <f t="shared" si="495"/>
        <v/>
      </c>
      <c r="T764" s="2" t="str">
        <f t="shared" si="496"/>
        <v/>
      </c>
      <c r="U764" s="2" t="str">
        <f t="shared" si="497"/>
        <v/>
      </c>
      <c r="V764" t="str">
        <f t="shared" si="473"/>
        <v/>
      </c>
      <c r="X764">
        <f t="shared" si="508"/>
        <v>0</v>
      </c>
      <c r="Y764">
        <f t="shared" si="509"/>
        <v>0</v>
      </c>
      <c r="Z764">
        <f t="shared" si="510"/>
        <v>0</v>
      </c>
      <c r="AA764">
        <f t="shared" si="511"/>
        <v>0</v>
      </c>
      <c r="AB764">
        <f t="shared" si="512"/>
        <v>0</v>
      </c>
      <c r="AC764">
        <f t="shared" si="513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7"/>
        <v>9</v>
      </c>
      <c r="M765">
        <v>12</v>
      </c>
      <c r="N765" s="23" t="str">
        <f t="shared" si="490"/>
        <v/>
      </c>
      <c r="O765" s="7" t="str">
        <f t="shared" si="491"/>
        <v/>
      </c>
      <c r="P765" s="7" t="str">
        <f t="shared" si="492"/>
        <v/>
      </c>
      <c r="Q765" s="7" t="str">
        <f t="shared" si="493"/>
        <v/>
      </c>
      <c r="R765" s="17" t="str">
        <f t="shared" si="494"/>
        <v>#</v>
      </c>
      <c r="S765" s="8" t="str">
        <f t="shared" si="495"/>
        <v/>
      </c>
      <c r="T765" s="2" t="str">
        <f t="shared" si="496"/>
        <v/>
      </c>
      <c r="U765" s="2" t="str">
        <f t="shared" si="497"/>
        <v/>
      </c>
      <c r="V765" t="str">
        <f t="shared" si="473"/>
        <v/>
      </c>
      <c r="X765">
        <f t="shared" si="508"/>
        <v>0</v>
      </c>
      <c r="Y765">
        <f t="shared" si="509"/>
        <v>0</v>
      </c>
      <c r="Z765">
        <f t="shared" si="510"/>
        <v>0</v>
      </c>
      <c r="AA765">
        <f t="shared" si="511"/>
        <v>0</v>
      </c>
      <c r="AB765">
        <f t="shared" si="512"/>
        <v>0</v>
      </c>
      <c r="AC765">
        <f t="shared" si="513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7"/>
        <v>9</v>
      </c>
      <c r="M766">
        <v>13</v>
      </c>
      <c r="N766" s="6" t="str">
        <f t="shared" si="490"/>
        <v/>
      </c>
      <c r="O766" s="7" t="str">
        <f t="shared" si="491"/>
        <v/>
      </c>
      <c r="P766" s="7" t="str">
        <f t="shared" si="492"/>
        <v/>
      </c>
      <c r="Q766" s="7" t="str">
        <f t="shared" si="493"/>
        <v>#</v>
      </c>
      <c r="R766" s="17" t="str">
        <f t="shared" si="494"/>
        <v>#</v>
      </c>
      <c r="S766" s="8" t="str">
        <f t="shared" si="495"/>
        <v/>
      </c>
      <c r="T766" s="2" t="str">
        <f t="shared" si="496"/>
        <v/>
      </c>
      <c r="U766" s="2" t="str">
        <f t="shared" si="497"/>
        <v/>
      </c>
      <c r="V766" t="str">
        <f t="shared" si="473"/>
        <v/>
      </c>
      <c r="X766">
        <f t="shared" si="508"/>
        <v>0</v>
      </c>
      <c r="Y766">
        <f t="shared" si="509"/>
        <v>0</v>
      </c>
      <c r="Z766">
        <f t="shared" si="510"/>
        <v>0</v>
      </c>
      <c r="AA766">
        <f t="shared" si="511"/>
        <v>1</v>
      </c>
      <c r="AB766">
        <f t="shared" si="512"/>
        <v>0</v>
      </c>
      <c r="AC766">
        <f t="shared" si="513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7"/>
        <v>9</v>
      </c>
      <c r="M767">
        <v>14</v>
      </c>
      <c r="N767" s="18" t="str">
        <f t="shared" si="490"/>
        <v/>
      </c>
      <c r="O767" s="19" t="str">
        <f t="shared" si="491"/>
        <v/>
      </c>
      <c r="P767" s="19" t="str">
        <f t="shared" si="492"/>
        <v>#</v>
      </c>
      <c r="Q767" s="19" t="str">
        <f t="shared" si="493"/>
        <v>#</v>
      </c>
      <c r="R767" s="20" t="str">
        <f t="shared" si="494"/>
        <v/>
      </c>
      <c r="S767" s="8" t="str">
        <f t="shared" si="495"/>
        <v/>
      </c>
      <c r="T767" s="2" t="str">
        <f t="shared" si="496"/>
        <v/>
      </c>
      <c r="U767" s="2" t="str">
        <f t="shared" si="497"/>
        <v/>
      </c>
      <c r="V767" t="str">
        <f t="shared" si="473"/>
        <v/>
      </c>
      <c r="X767">
        <f t="shared" si="508"/>
        <v>0</v>
      </c>
      <c r="Y767">
        <f t="shared" si="509"/>
        <v>0</v>
      </c>
      <c r="Z767">
        <f t="shared" si="510"/>
        <v>1</v>
      </c>
      <c r="AA767">
        <f t="shared" si="511"/>
        <v>0</v>
      </c>
      <c r="AB767">
        <f t="shared" si="512"/>
        <v>0</v>
      </c>
      <c r="AC767">
        <f t="shared" si="513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7"/>
        <v>9</v>
      </c>
      <c r="M768">
        <v>15</v>
      </c>
      <c r="N768" s="9" t="str">
        <f t="shared" si="490"/>
        <v/>
      </c>
      <c r="O768" s="10" t="str">
        <f t="shared" si="491"/>
        <v>#</v>
      </c>
      <c r="P768" s="10" t="str">
        <f t="shared" si="492"/>
        <v>#</v>
      </c>
      <c r="Q768" s="10" t="str">
        <f t="shared" si="493"/>
        <v/>
      </c>
      <c r="R768" s="10" t="str">
        <f t="shared" si="494"/>
        <v/>
      </c>
      <c r="S768" s="11" t="str">
        <f t="shared" si="495"/>
        <v/>
      </c>
      <c r="T768" s="2" t="str">
        <f t="shared" si="496"/>
        <v/>
      </c>
      <c r="U768" s="2" t="str">
        <f t="shared" si="497"/>
        <v/>
      </c>
      <c r="V768" t="str">
        <f t="shared" si="473"/>
        <v/>
      </c>
      <c r="X768">
        <f t="shared" si="508"/>
        <v>0</v>
      </c>
      <c r="Y768">
        <f t="shared" si="509"/>
        <v>1</v>
      </c>
      <c r="Z768">
        <f t="shared" si="510"/>
        <v>0</v>
      </c>
      <c r="AA768">
        <f t="shared" si="511"/>
        <v>0</v>
      </c>
      <c r="AB768">
        <f t="shared" si="512"/>
        <v>0</v>
      </c>
      <c r="AC768">
        <f t="shared" si="513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7"/>
        <v>9</v>
      </c>
      <c r="M769">
        <v>16</v>
      </c>
      <c r="N769" s="12" t="str">
        <f t="shared" si="490"/>
        <v/>
      </c>
      <c r="O769" s="13" t="str">
        <f t="shared" si="491"/>
        <v>#</v>
      </c>
      <c r="P769" s="13" t="str">
        <f t="shared" si="492"/>
        <v/>
      </c>
      <c r="Q769" s="13" t="str">
        <f t="shared" si="493"/>
        <v/>
      </c>
      <c r="R769" s="13" t="str">
        <f t="shared" si="494"/>
        <v/>
      </c>
      <c r="S769" s="14" t="str">
        <f t="shared" si="495"/>
        <v/>
      </c>
      <c r="T769" s="2" t="str">
        <f t="shared" si="496"/>
        <v/>
      </c>
      <c r="U769" s="2" t="str">
        <f t="shared" si="497"/>
        <v/>
      </c>
      <c r="V769" t="str">
        <f t="shared" si="473"/>
        <v/>
      </c>
      <c r="X769">
        <f t="shared" si="508"/>
        <v>0</v>
      </c>
      <c r="Y769">
        <f t="shared" si="509"/>
        <v>0</v>
      </c>
      <c r="Z769">
        <f t="shared" si="510"/>
        <v>0</v>
      </c>
      <c r="AA769">
        <f t="shared" si="511"/>
        <v>0</v>
      </c>
      <c r="AB769">
        <f t="shared" si="512"/>
        <v>0</v>
      </c>
      <c r="AC769">
        <f t="shared" si="513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90"/>
        <v/>
      </c>
      <c r="O770" t="str">
        <f t="shared" si="491"/>
        <v/>
      </c>
      <c r="P770" t="str">
        <f t="shared" si="492"/>
        <v/>
      </c>
      <c r="Q770" t="str">
        <f t="shared" si="493"/>
        <v/>
      </c>
      <c r="R770" t="str">
        <f t="shared" si="494"/>
        <v/>
      </c>
      <c r="S770" t="str">
        <f t="shared" si="495"/>
        <v/>
      </c>
      <c r="T770" s="2" t="str">
        <f t="shared" si="496"/>
        <v/>
      </c>
      <c r="U770" s="2" t="str">
        <f t="shared" si="497"/>
        <v/>
      </c>
      <c r="V770" t="str">
        <f t="shared" ref="V770:V833" si="514">IF(A770=0,"",M770)</f>
        <v/>
      </c>
      <c r="W770">
        <f>SUM(B772:G785)</f>
        <v>12</v>
      </c>
      <c r="AD770">
        <f t="shared" ref="AD770" si="515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6">L770</f>
        <v>:</v>
      </c>
      <c r="M771">
        <v>2</v>
      </c>
      <c r="N771" t="str">
        <f t="shared" si="490"/>
        <v/>
      </c>
      <c r="O771" t="str">
        <f t="shared" si="491"/>
        <v/>
      </c>
      <c r="P771" t="str">
        <f t="shared" si="492"/>
        <v/>
      </c>
      <c r="Q771" t="str">
        <f t="shared" si="493"/>
        <v/>
      </c>
      <c r="R771" t="str">
        <f t="shared" si="494"/>
        <v/>
      </c>
      <c r="S771" t="str">
        <f t="shared" si="495"/>
        <v/>
      </c>
      <c r="T771" s="2" t="str">
        <f t="shared" si="496"/>
        <v/>
      </c>
      <c r="U771" s="2" t="str">
        <f t="shared" si="497"/>
        <v/>
      </c>
      <c r="V771" t="str">
        <f t="shared" si="514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6"/>
        <v>:</v>
      </c>
      <c r="M772">
        <v>3</v>
      </c>
      <c r="N772" s="3" t="str">
        <f t="shared" si="490"/>
        <v/>
      </c>
      <c r="O772" s="4" t="str">
        <f t="shared" si="491"/>
        <v/>
      </c>
      <c r="P772" s="4" t="str">
        <f t="shared" si="492"/>
        <v/>
      </c>
      <c r="Q772" s="4" t="str">
        <f t="shared" si="493"/>
        <v/>
      </c>
      <c r="R772" s="4" t="str">
        <f t="shared" si="494"/>
        <v/>
      </c>
      <c r="S772" s="5" t="str">
        <f t="shared" si="495"/>
        <v/>
      </c>
      <c r="T772" s="2" t="str">
        <f t="shared" si="496"/>
        <v/>
      </c>
      <c r="U772" s="2" t="str">
        <f t="shared" si="497"/>
        <v/>
      </c>
      <c r="V772" t="str">
        <f t="shared" si="514"/>
        <v/>
      </c>
      <c r="X772">
        <f t="shared" ref="X772:X785" si="517">MAX(B772-B771,0)</f>
        <v>0</v>
      </c>
      <c r="Y772">
        <f t="shared" ref="Y772:Y785" si="518">MAX(C772-C771,0)</f>
        <v>0</v>
      </c>
      <c r="Z772">
        <f t="shared" ref="Z772:Z785" si="519">MAX(D772-D771,0)</f>
        <v>0</v>
      </c>
      <c r="AA772">
        <f t="shared" ref="AA772:AA785" si="520">MAX(E772-E771,0)</f>
        <v>0</v>
      </c>
      <c r="AB772">
        <f t="shared" ref="AB772:AB785" si="521">MAX(F772-F771,0)</f>
        <v>0</v>
      </c>
      <c r="AC772">
        <f t="shared" ref="AC772:AC785" si="522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6"/>
        <v>:</v>
      </c>
      <c r="M773">
        <v>4</v>
      </c>
      <c r="N773" s="6" t="str">
        <f t="shared" si="490"/>
        <v/>
      </c>
      <c r="O773" s="7" t="str">
        <f t="shared" si="491"/>
        <v/>
      </c>
      <c r="P773" s="7" t="str">
        <f t="shared" si="492"/>
        <v/>
      </c>
      <c r="Q773" s="7" t="str">
        <f t="shared" si="493"/>
        <v/>
      </c>
      <c r="R773" s="7" t="str">
        <f t="shared" si="494"/>
        <v/>
      </c>
      <c r="S773" s="8" t="str">
        <f t="shared" si="495"/>
        <v/>
      </c>
      <c r="T773" s="2" t="str">
        <f t="shared" si="496"/>
        <v/>
      </c>
      <c r="U773" s="2" t="str">
        <f t="shared" si="497"/>
        <v/>
      </c>
      <c r="V773" t="str">
        <f t="shared" si="514"/>
        <v/>
      </c>
      <c r="X773">
        <f t="shared" si="517"/>
        <v>0</v>
      </c>
      <c r="Y773">
        <f t="shared" si="518"/>
        <v>0</v>
      </c>
      <c r="Z773">
        <f t="shared" si="519"/>
        <v>0</v>
      </c>
      <c r="AA773">
        <f t="shared" si="520"/>
        <v>0</v>
      </c>
      <c r="AB773">
        <f t="shared" si="521"/>
        <v>0</v>
      </c>
      <c r="AC773">
        <f t="shared" si="522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6"/>
        <v>:</v>
      </c>
      <c r="M774">
        <v>5</v>
      </c>
      <c r="N774" s="22" t="str">
        <f t="shared" si="490"/>
        <v/>
      </c>
      <c r="O774" s="15" t="str">
        <f t="shared" si="491"/>
        <v/>
      </c>
      <c r="P774" s="15" t="str">
        <f t="shared" si="492"/>
        <v/>
      </c>
      <c r="Q774" s="15" t="str">
        <f t="shared" si="493"/>
        <v/>
      </c>
      <c r="R774" s="16" t="str">
        <f t="shared" si="494"/>
        <v/>
      </c>
      <c r="S774" s="8" t="str">
        <f t="shared" si="495"/>
        <v/>
      </c>
      <c r="T774" s="2" t="str">
        <f t="shared" si="496"/>
        <v/>
      </c>
      <c r="U774" s="2" t="str">
        <f t="shared" si="497"/>
        <v/>
      </c>
      <c r="V774" t="str">
        <f t="shared" si="514"/>
        <v/>
      </c>
      <c r="X774">
        <f t="shared" si="517"/>
        <v>0</v>
      </c>
      <c r="Y774">
        <f t="shared" si="518"/>
        <v>0</v>
      </c>
      <c r="Z774">
        <f t="shared" si="519"/>
        <v>0</v>
      </c>
      <c r="AA774">
        <f t="shared" si="520"/>
        <v>0</v>
      </c>
      <c r="AB774">
        <f t="shared" si="521"/>
        <v>0</v>
      </c>
      <c r="AC774">
        <f t="shared" si="522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6"/>
        <v>:</v>
      </c>
      <c r="M775">
        <v>6</v>
      </c>
      <c r="N775" s="23" t="str">
        <f t="shared" si="490"/>
        <v/>
      </c>
      <c r="O775" s="7" t="str">
        <f t="shared" si="491"/>
        <v>#</v>
      </c>
      <c r="P775" s="7" t="str">
        <f t="shared" si="492"/>
        <v>#</v>
      </c>
      <c r="Q775" s="7" t="str">
        <f t="shared" si="493"/>
        <v/>
      </c>
      <c r="R775" s="17" t="str">
        <f t="shared" si="494"/>
        <v/>
      </c>
      <c r="S775" s="8" t="str">
        <f t="shared" si="495"/>
        <v/>
      </c>
      <c r="T775" s="2" t="str">
        <f t="shared" si="496"/>
        <v/>
      </c>
      <c r="U775" s="2" t="str">
        <f t="shared" si="497"/>
        <v/>
      </c>
      <c r="V775" t="str">
        <f t="shared" si="514"/>
        <v/>
      </c>
      <c r="X775">
        <f t="shared" si="517"/>
        <v>0</v>
      </c>
      <c r="Y775">
        <f t="shared" si="518"/>
        <v>1</v>
      </c>
      <c r="Z775">
        <f t="shared" si="519"/>
        <v>1</v>
      </c>
      <c r="AA775">
        <f t="shared" si="520"/>
        <v>0</v>
      </c>
      <c r="AB775">
        <f t="shared" si="521"/>
        <v>0</v>
      </c>
      <c r="AC775">
        <f t="shared" si="522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6"/>
        <v>:</v>
      </c>
      <c r="M776">
        <v>7</v>
      </c>
      <c r="N776" s="23" t="str">
        <f t="shared" si="490"/>
        <v/>
      </c>
      <c r="O776" s="7" t="str">
        <f t="shared" si="491"/>
        <v>#</v>
      </c>
      <c r="P776" s="7" t="str">
        <f t="shared" si="492"/>
        <v>#</v>
      </c>
      <c r="Q776" s="7" t="str">
        <f t="shared" si="493"/>
        <v/>
      </c>
      <c r="R776" s="17" t="str">
        <f t="shared" si="494"/>
        <v/>
      </c>
      <c r="S776" s="8" t="str">
        <f t="shared" si="495"/>
        <v/>
      </c>
      <c r="T776" s="2" t="str">
        <f t="shared" si="496"/>
        <v/>
      </c>
      <c r="U776" s="2" t="str">
        <f t="shared" si="497"/>
        <v/>
      </c>
      <c r="V776" t="str">
        <f t="shared" si="514"/>
        <v/>
      </c>
      <c r="X776">
        <f t="shared" si="517"/>
        <v>0</v>
      </c>
      <c r="Y776">
        <f t="shared" si="518"/>
        <v>0</v>
      </c>
      <c r="Z776">
        <f t="shared" si="519"/>
        <v>0</v>
      </c>
      <c r="AA776">
        <f t="shared" si="520"/>
        <v>0</v>
      </c>
      <c r="AB776">
        <f t="shared" si="521"/>
        <v>0</v>
      </c>
      <c r="AC776">
        <f t="shared" si="522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6"/>
        <v>:</v>
      </c>
      <c r="M777">
        <v>8</v>
      </c>
      <c r="N777" s="23" t="str">
        <f t="shared" si="490"/>
        <v/>
      </c>
      <c r="O777" s="7" t="str">
        <f t="shared" si="491"/>
        <v>#</v>
      </c>
      <c r="P777" s="7" t="str">
        <f t="shared" si="492"/>
        <v>#</v>
      </c>
      <c r="Q777" s="7" t="str">
        <f t="shared" si="493"/>
        <v/>
      </c>
      <c r="R777" s="17" t="str">
        <f t="shared" si="494"/>
        <v/>
      </c>
      <c r="S777" s="8" t="str">
        <f t="shared" si="495"/>
        <v/>
      </c>
      <c r="T777" s="2" t="str">
        <f t="shared" si="496"/>
        <v/>
      </c>
      <c r="U777" s="2" t="str">
        <f t="shared" si="497"/>
        <v/>
      </c>
      <c r="V777" t="str">
        <f t="shared" si="514"/>
        <v/>
      </c>
      <c r="X777">
        <f t="shared" si="517"/>
        <v>0</v>
      </c>
      <c r="Y777">
        <f t="shared" si="518"/>
        <v>0</v>
      </c>
      <c r="Z777">
        <f t="shared" si="519"/>
        <v>0</v>
      </c>
      <c r="AA777">
        <f t="shared" si="520"/>
        <v>0</v>
      </c>
      <c r="AB777">
        <f t="shared" si="521"/>
        <v>0</v>
      </c>
      <c r="AC777">
        <f t="shared" si="522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6"/>
        <v>:</v>
      </c>
      <c r="M778">
        <v>9</v>
      </c>
      <c r="N778" s="23" t="str">
        <f t="shared" si="490"/>
        <v/>
      </c>
      <c r="O778" s="7" t="str">
        <f t="shared" si="491"/>
        <v/>
      </c>
      <c r="P778" s="7" t="str">
        <f t="shared" si="492"/>
        <v/>
      </c>
      <c r="Q778" s="7" t="str">
        <f t="shared" si="493"/>
        <v/>
      </c>
      <c r="R778" s="17" t="str">
        <f t="shared" si="494"/>
        <v/>
      </c>
      <c r="S778" s="8" t="str">
        <f t="shared" si="495"/>
        <v/>
      </c>
      <c r="T778" s="2" t="str">
        <f t="shared" si="496"/>
        <v/>
      </c>
      <c r="U778" s="2" t="str">
        <f t="shared" si="497"/>
        <v/>
      </c>
      <c r="V778" t="str">
        <f t="shared" si="514"/>
        <v/>
      </c>
      <c r="X778">
        <f t="shared" si="517"/>
        <v>0</v>
      </c>
      <c r="Y778">
        <f t="shared" si="518"/>
        <v>0</v>
      </c>
      <c r="Z778">
        <f t="shared" si="519"/>
        <v>0</v>
      </c>
      <c r="AA778">
        <f t="shared" si="520"/>
        <v>0</v>
      </c>
      <c r="AB778">
        <f t="shared" si="521"/>
        <v>0</v>
      </c>
      <c r="AC778">
        <f t="shared" si="522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6"/>
        <v>:</v>
      </c>
      <c r="M779">
        <v>10</v>
      </c>
      <c r="N779" s="23" t="str">
        <f t="shared" si="490"/>
        <v/>
      </c>
      <c r="O779" s="7" t="str">
        <f t="shared" si="491"/>
        <v/>
      </c>
      <c r="P779" s="7" t="str">
        <f t="shared" si="492"/>
        <v/>
      </c>
      <c r="Q779" s="7" t="str">
        <f t="shared" si="493"/>
        <v/>
      </c>
      <c r="R779" s="17" t="str">
        <f t="shared" si="494"/>
        <v/>
      </c>
      <c r="S779" s="8" t="str">
        <f t="shared" si="495"/>
        <v/>
      </c>
      <c r="T779" s="2" t="str">
        <f t="shared" si="496"/>
        <v/>
      </c>
      <c r="U779" s="2" t="str">
        <f t="shared" si="497"/>
        <v/>
      </c>
      <c r="V779" t="str">
        <f t="shared" si="514"/>
        <v/>
      </c>
      <c r="X779">
        <f t="shared" si="517"/>
        <v>0</v>
      </c>
      <c r="Y779">
        <f t="shared" si="518"/>
        <v>0</v>
      </c>
      <c r="Z779">
        <f t="shared" si="519"/>
        <v>0</v>
      </c>
      <c r="AA779">
        <f t="shared" si="520"/>
        <v>0</v>
      </c>
      <c r="AB779">
        <f t="shared" si="521"/>
        <v>0</v>
      </c>
      <c r="AC779">
        <f t="shared" si="522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6"/>
        <v>:</v>
      </c>
      <c r="M780">
        <v>11</v>
      </c>
      <c r="N780" s="23" t="str">
        <f t="shared" si="490"/>
        <v/>
      </c>
      <c r="O780" s="7" t="str">
        <f t="shared" si="491"/>
        <v>#</v>
      </c>
      <c r="P780" s="7" t="str">
        <f t="shared" si="492"/>
        <v>#</v>
      </c>
      <c r="Q780" s="7" t="str">
        <f t="shared" si="493"/>
        <v/>
      </c>
      <c r="R780" s="17" t="str">
        <f t="shared" si="494"/>
        <v/>
      </c>
      <c r="S780" s="8" t="str">
        <f t="shared" si="495"/>
        <v/>
      </c>
      <c r="T780" s="2" t="str">
        <f t="shared" si="496"/>
        <v/>
      </c>
      <c r="U780" s="2" t="str">
        <f t="shared" si="497"/>
        <v/>
      </c>
      <c r="V780" t="str">
        <f t="shared" si="514"/>
        <v/>
      </c>
      <c r="X780">
        <f t="shared" si="517"/>
        <v>0</v>
      </c>
      <c r="Y780">
        <f t="shared" si="518"/>
        <v>1</v>
      </c>
      <c r="Z780">
        <f t="shared" si="519"/>
        <v>1</v>
      </c>
      <c r="AA780">
        <f t="shared" si="520"/>
        <v>0</v>
      </c>
      <c r="AB780">
        <f t="shared" si="521"/>
        <v>0</v>
      </c>
      <c r="AC780">
        <f t="shared" si="522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6"/>
        <v>:</v>
      </c>
      <c r="M781">
        <v>12</v>
      </c>
      <c r="N781" s="23" t="str">
        <f t="shared" si="490"/>
        <v/>
      </c>
      <c r="O781" s="7" t="str">
        <f t="shared" si="491"/>
        <v>#</v>
      </c>
      <c r="P781" s="7" t="str">
        <f t="shared" si="492"/>
        <v>#</v>
      </c>
      <c r="Q781" s="7" t="str">
        <f t="shared" si="493"/>
        <v/>
      </c>
      <c r="R781" s="17" t="str">
        <f t="shared" si="494"/>
        <v/>
      </c>
      <c r="S781" s="8" t="str">
        <f t="shared" si="495"/>
        <v/>
      </c>
      <c r="T781" s="2" t="str">
        <f t="shared" si="496"/>
        <v/>
      </c>
      <c r="U781" s="2" t="str">
        <f t="shared" si="497"/>
        <v/>
      </c>
      <c r="V781" t="str">
        <f t="shared" si="514"/>
        <v/>
      </c>
      <c r="X781">
        <f t="shared" si="517"/>
        <v>0</v>
      </c>
      <c r="Y781">
        <f t="shared" si="518"/>
        <v>0</v>
      </c>
      <c r="Z781">
        <f t="shared" si="519"/>
        <v>0</v>
      </c>
      <c r="AA781">
        <f t="shared" si="520"/>
        <v>0</v>
      </c>
      <c r="AB781">
        <f t="shared" si="521"/>
        <v>0</v>
      </c>
      <c r="AC781">
        <f t="shared" si="522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6"/>
        <v>:</v>
      </c>
      <c r="M782">
        <v>13</v>
      </c>
      <c r="N782" s="6" t="str">
        <f t="shared" si="490"/>
        <v/>
      </c>
      <c r="O782" s="7" t="str">
        <f t="shared" si="491"/>
        <v>#</v>
      </c>
      <c r="P782" s="7" t="str">
        <f t="shared" si="492"/>
        <v>#</v>
      </c>
      <c r="Q782" s="7" t="str">
        <f t="shared" si="493"/>
        <v/>
      </c>
      <c r="R782" s="17" t="str">
        <f t="shared" si="494"/>
        <v/>
      </c>
      <c r="S782" s="8" t="str">
        <f t="shared" si="495"/>
        <v/>
      </c>
      <c r="T782" s="2" t="str">
        <f t="shared" si="496"/>
        <v/>
      </c>
      <c r="U782" s="2" t="str">
        <f t="shared" si="497"/>
        <v/>
      </c>
      <c r="V782" t="str">
        <f t="shared" si="514"/>
        <v/>
      </c>
      <c r="X782">
        <f t="shared" si="517"/>
        <v>0</v>
      </c>
      <c r="Y782">
        <f t="shared" si="518"/>
        <v>0</v>
      </c>
      <c r="Z782">
        <f t="shared" si="519"/>
        <v>0</v>
      </c>
      <c r="AA782">
        <f t="shared" si="520"/>
        <v>0</v>
      </c>
      <c r="AB782">
        <f t="shared" si="521"/>
        <v>0</v>
      </c>
      <c r="AC782">
        <f t="shared" si="522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6"/>
        <v>:</v>
      </c>
      <c r="M783">
        <v>14</v>
      </c>
      <c r="N783" s="18" t="str">
        <f t="shared" si="490"/>
        <v/>
      </c>
      <c r="O783" s="19" t="str">
        <f t="shared" si="491"/>
        <v/>
      </c>
      <c r="P783" s="19" t="str">
        <f t="shared" si="492"/>
        <v/>
      </c>
      <c r="Q783" s="19" t="str">
        <f t="shared" si="493"/>
        <v/>
      </c>
      <c r="R783" s="20" t="str">
        <f t="shared" si="494"/>
        <v/>
      </c>
      <c r="S783" s="8" t="str">
        <f t="shared" si="495"/>
        <v/>
      </c>
      <c r="T783" s="2" t="str">
        <f t="shared" si="496"/>
        <v/>
      </c>
      <c r="U783" s="2" t="str">
        <f t="shared" si="497"/>
        <v/>
      </c>
      <c r="V783" t="str">
        <f t="shared" si="514"/>
        <v/>
      </c>
      <c r="X783">
        <f t="shared" si="517"/>
        <v>0</v>
      </c>
      <c r="Y783">
        <f t="shared" si="518"/>
        <v>0</v>
      </c>
      <c r="Z783">
        <f t="shared" si="519"/>
        <v>0</v>
      </c>
      <c r="AA783">
        <f t="shared" si="520"/>
        <v>0</v>
      </c>
      <c r="AB783">
        <f t="shared" si="521"/>
        <v>0</v>
      </c>
      <c r="AC783">
        <f t="shared" si="522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6"/>
        <v>:</v>
      </c>
      <c r="M784">
        <v>15</v>
      </c>
      <c r="N784" s="9" t="str">
        <f t="shared" si="490"/>
        <v/>
      </c>
      <c r="O784" s="10" t="str">
        <f t="shared" si="491"/>
        <v/>
      </c>
      <c r="P784" s="10" t="str">
        <f t="shared" si="492"/>
        <v/>
      </c>
      <c r="Q784" s="10" t="str">
        <f t="shared" si="493"/>
        <v/>
      </c>
      <c r="R784" s="10" t="str">
        <f t="shared" si="494"/>
        <v/>
      </c>
      <c r="S784" s="11" t="str">
        <f t="shared" si="495"/>
        <v/>
      </c>
      <c r="T784" s="2" t="str">
        <f t="shared" si="496"/>
        <v/>
      </c>
      <c r="U784" s="2" t="str">
        <f t="shared" si="497"/>
        <v/>
      </c>
      <c r="V784" t="str">
        <f t="shared" si="514"/>
        <v/>
      </c>
      <c r="X784">
        <f t="shared" si="517"/>
        <v>0</v>
      </c>
      <c r="Y784">
        <f t="shared" si="518"/>
        <v>0</v>
      </c>
      <c r="Z784">
        <f t="shared" si="519"/>
        <v>0</v>
      </c>
      <c r="AA784">
        <f t="shared" si="520"/>
        <v>0</v>
      </c>
      <c r="AB784">
        <f t="shared" si="521"/>
        <v>0</v>
      </c>
      <c r="AC784">
        <f t="shared" si="522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6"/>
        <v>:</v>
      </c>
      <c r="M785">
        <v>16</v>
      </c>
      <c r="N785" s="12" t="str">
        <f t="shared" si="490"/>
        <v/>
      </c>
      <c r="O785" s="13" t="str">
        <f t="shared" si="491"/>
        <v/>
      </c>
      <c r="P785" s="13" t="str">
        <f t="shared" si="492"/>
        <v/>
      </c>
      <c r="Q785" s="13" t="str">
        <f t="shared" si="493"/>
        <v/>
      </c>
      <c r="R785" s="13" t="str">
        <f t="shared" si="494"/>
        <v/>
      </c>
      <c r="S785" s="14" t="str">
        <f t="shared" si="495"/>
        <v/>
      </c>
      <c r="T785" s="2" t="str">
        <f t="shared" si="496"/>
        <v/>
      </c>
      <c r="U785" s="2" t="str">
        <f t="shared" si="497"/>
        <v/>
      </c>
      <c r="V785" t="str">
        <f t="shared" si="514"/>
        <v/>
      </c>
      <c r="X785">
        <f t="shared" si="517"/>
        <v>0</v>
      </c>
      <c r="Y785">
        <f t="shared" si="518"/>
        <v>0</v>
      </c>
      <c r="Z785">
        <f t="shared" si="519"/>
        <v>0</v>
      </c>
      <c r="AA785">
        <f t="shared" si="520"/>
        <v>0</v>
      </c>
      <c r="AB785">
        <f t="shared" si="521"/>
        <v>0</v>
      </c>
      <c r="AC785">
        <f t="shared" si="522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90"/>
        <v/>
      </c>
      <c r="O786" t="str">
        <f t="shared" si="491"/>
        <v/>
      </c>
      <c r="P786" t="str">
        <f t="shared" si="492"/>
        <v/>
      </c>
      <c r="Q786" t="str">
        <f t="shared" si="493"/>
        <v/>
      </c>
      <c r="R786" t="str">
        <f t="shared" si="494"/>
        <v/>
      </c>
      <c r="S786" t="str">
        <f t="shared" si="495"/>
        <v/>
      </c>
      <c r="T786" s="2" t="str">
        <f t="shared" si="496"/>
        <v/>
      </c>
      <c r="U786" s="2" t="str">
        <f t="shared" si="497"/>
        <v/>
      </c>
      <c r="V786" t="str">
        <f t="shared" si="514"/>
        <v/>
      </c>
      <c r="W786">
        <f>SUM(B788:G801)</f>
        <v>17</v>
      </c>
      <c r="AD786">
        <f t="shared" ref="AD786" si="523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24">L786</f>
        <v>;</v>
      </c>
      <c r="M787">
        <v>2</v>
      </c>
      <c r="N787" t="str">
        <f t="shared" si="490"/>
        <v/>
      </c>
      <c r="O787" t="str">
        <f t="shared" si="491"/>
        <v/>
      </c>
      <c r="P787" t="str">
        <f t="shared" si="492"/>
        <v/>
      </c>
      <c r="Q787" t="str">
        <f t="shared" si="493"/>
        <v/>
      </c>
      <c r="R787" t="str">
        <f t="shared" si="494"/>
        <v/>
      </c>
      <c r="S787" t="str">
        <f t="shared" si="495"/>
        <v/>
      </c>
      <c r="T787" s="2" t="str">
        <f t="shared" si="496"/>
        <v/>
      </c>
      <c r="U787" s="2" t="str">
        <f t="shared" si="497"/>
        <v/>
      </c>
      <c r="V787" t="str">
        <f t="shared" si="514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24"/>
        <v>;</v>
      </c>
      <c r="M788">
        <v>3</v>
      </c>
      <c r="N788" s="3" t="str">
        <f t="shared" si="490"/>
        <v/>
      </c>
      <c r="O788" s="4" t="str">
        <f t="shared" si="491"/>
        <v/>
      </c>
      <c r="P788" s="4" t="str">
        <f t="shared" si="492"/>
        <v/>
      </c>
      <c r="Q788" s="4" t="str">
        <f t="shared" si="493"/>
        <v/>
      </c>
      <c r="R788" s="4" t="str">
        <f t="shared" si="494"/>
        <v/>
      </c>
      <c r="S788" s="5" t="str">
        <f t="shared" si="495"/>
        <v/>
      </c>
      <c r="T788" s="2" t="str">
        <f t="shared" si="496"/>
        <v/>
      </c>
      <c r="U788" s="2" t="str">
        <f t="shared" si="497"/>
        <v/>
      </c>
      <c r="V788" t="str">
        <f t="shared" si="514"/>
        <v/>
      </c>
      <c r="X788">
        <f t="shared" ref="X788:X801" si="525">MAX(B788-B787,0)</f>
        <v>0</v>
      </c>
      <c r="Y788">
        <f t="shared" ref="Y788:Y801" si="526">MAX(C788-C787,0)</f>
        <v>0</v>
      </c>
      <c r="Z788">
        <f t="shared" ref="Z788:Z801" si="527">MAX(D788-D787,0)</f>
        <v>0</v>
      </c>
      <c r="AA788">
        <f t="shared" ref="AA788:AA801" si="528">MAX(E788-E787,0)</f>
        <v>0</v>
      </c>
      <c r="AB788">
        <f t="shared" ref="AB788:AB801" si="529">MAX(F788-F787,0)</f>
        <v>0</v>
      </c>
      <c r="AC788">
        <f t="shared" ref="AC788:AC801" si="530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24"/>
        <v>;</v>
      </c>
      <c r="M789">
        <v>4</v>
      </c>
      <c r="N789" s="6" t="str">
        <f t="shared" si="490"/>
        <v/>
      </c>
      <c r="O789" s="7" t="str">
        <f t="shared" si="491"/>
        <v/>
      </c>
      <c r="P789" s="7" t="str">
        <f t="shared" si="492"/>
        <v/>
      </c>
      <c r="Q789" s="7" t="str">
        <f t="shared" si="493"/>
        <v/>
      </c>
      <c r="R789" s="7" t="str">
        <f t="shared" si="494"/>
        <v/>
      </c>
      <c r="S789" s="8" t="str">
        <f t="shared" si="495"/>
        <v/>
      </c>
      <c r="T789" s="2" t="str">
        <f t="shared" si="496"/>
        <v/>
      </c>
      <c r="U789" s="2" t="str">
        <f t="shared" si="497"/>
        <v/>
      </c>
      <c r="V789" t="str">
        <f t="shared" si="514"/>
        <v/>
      </c>
      <c r="X789">
        <f t="shared" si="525"/>
        <v>0</v>
      </c>
      <c r="Y789">
        <f t="shared" si="526"/>
        <v>0</v>
      </c>
      <c r="Z789">
        <f t="shared" si="527"/>
        <v>0</v>
      </c>
      <c r="AA789">
        <f t="shared" si="528"/>
        <v>0</v>
      </c>
      <c r="AB789">
        <f t="shared" si="529"/>
        <v>0</v>
      </c>
      <c r="AC789">
        <f t="shared" si="530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24"/>
        <v>;</v>
      </c>
      <c r="M790">
        <v>5</v>
      </c>
      <c r="N790" s="22" t="str">
        <f t="shared" si="490"/>
        <v/>
      </c>
      <c r="O790" s="15" t="str">
        <f t="shared" si="491"/>
        <v/>
      </c>
      <c r="P790" s="15" t="str">
        <f t="shared" si="492"/>
        <v/>
      </c>
      <c r="Q790" s="15" t="str">
        <f t="shared" si="493"/>
        <v/>
      </c>
      <c r="R790" s="16" t="str">
        <f t="shared" si="494"/>
        <v/>
      </c>
      <c r="S790" s="8" t="str">
        <f t="shared" si="495"/>
        <v/>
      </c>
      <c r="T790" s="2" t="str">
        <f t="shared" si="496"/>
        <v/>
      </c>
      <c r="U790" s="2" t="str">
        <f t="shared" si="497"/>
        <v/>
      </c>
      <c r="V790" t="str">
        <f t="shared" si="514"/>
        <v/>
      </c>
      <c r="X790">
        <f t="shared" si="525"/>
        <v>0</v>
      </c>
      <c r="Y790">
        <f t="shared" si="526"/>
        <v>0</v>
      </c>
      <c r="Z790">
        <f t="shared" si="527"/>
        <v>0</v>
      </c>
      <c r="AA790">
        <f t="shared" si="528"/>
        <v>0</v>
      </c>
      <c r="AB790">
        <f t="shared" si="529"/>
        <v>0</v>
      </c>
      <c r="AC790">
        <f t="shared" si="530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24"/>
        <v>;</v>
      </c>
      <c r="M791">
        <v>6</v>
      </c>
      <c r="N791" s="23" t="str">
        <f t="shared" si="490"/>
        <v/>
      </c>
      <c r="O791" s="7" t="str">
        <f t="shared" si="491"/>
        <v>#</v>
      </c>
      <c r="P791" s="7" t="str">
        <f t="shared" si="492"/>
        <v>#</v>
      </c>
      <c r="Q791" s="7" t="str">
        <f t="shared" si="493"/>
        <v/>
      </c>
      <c r="R791" s="17" t="str">
        <f t="shared" si="494"/>
        <v/>
      </c>
      <c r="S791" s="8" t="str">
        <f t="shared" si="495"/>
        <v/>
      </c>
      <c r="T791" s="2" t="str">
        <f t="shared" si="496"/>
        <v/>
      </c>
      <c r="U791" s="2" t="str">
        <f t="shared" si="497"/>
        <v/>
      </c>
      <c r="V791" t="str">
        <f t="shared" si="514"/>
        <v/>
      </c>
      <c r="X791">
        <f t="shared" si="525"/>
        <v>0</v>
      </c>
      <c r="Y791">
        <f t="shared" si="526"/>
        <v>1</v>
      </c>
      <c r="Z791">
        <f t="shared" si="527"/>
        <v>1</v>
      </c>
      <c r="AA791">
        <f t="shared" si="528"/>
        <v>0</v>
      </c>
      <c r="AB791">
        <f t="shared" si="529"/>
        <v>0</v>
      </c>
      <c r="AC791">
        <f t="shared" si="530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24"/>
        <v>;</v>
      </c>
      <c r="M792">
        <v>7</v>
      </c>
      <c r="N792" s="23" t="str">
        <f t="shared" si="490"/>
        <v/>
      </c>
      <c r="O792" s="7" t="str">
        <f t="shared" si="491"/>
        <v>#</v>
      </c>
      <c r="P792" s="7" t="str">
        <f t="shared" si="492"/>
        <v>#</v>
      </c>
      <c r="Q792" s="7" t="str">
        <f t="shared" si="493"/>
        <v/>
      </c>
      <c r="R792" s="17" t="str">
        <f t="shared" si="494"/>
        <v/>
      </c>
      <c r="S792" s="8" t="str">
        <f t="shared" si="495"/>
        <v/>
      </c>
      <c r="T792" s="2" t="str">
        <f t="shared" si="496"/>
        <v/>
      </c>
      <c r="U792" s="2" t="str">
        <f t="shared" si="497"/>
        <v/>
      </c>
      <c r="V792" t="str">
        <f t="shared" si="514"/>
        <v/>
      </c>
      <c r="X792">
        <f t="shared" si="525"/>
        <v>0</v>
      </c>
      <c r="Y792">
        <f t="shared" si="526"/>
        <v>0</v>
      </c>
      <c r="Z792">
        <f t="shared" si="527"/>
        <v>0</v>
      </c>
      <c r="AA792">
        <f t="shared" si="528"/>
        <v>0</v>
      </c>
      <c r="AB792">
        <f t="shared" si="529"/>
        <v>0</v>
      </c>
      <c r="AC792">
        <f t="shared" si="530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24"/>
        <v>;</v>
      </c>
      <c r="M793">
        <v>8</v>
      </c>
      <c r="N793" s="23" t="str">
        <f t="shared" si="490"/>
        <v/>
      </c>
      <c r="O793" s="7" t="str">
        <f t="shared" si="491"/>
        <v>#</v>
      </c>
      <c r="P793" s="7" t="str">
        <f t="shared" si="492"/>
        <v>#</v>
      </c>
      <c r="Q793" s="7" t="str">
        <f t="shared" si="493"/>
        <v/>
      </c>
      <c r="R793" s="17" t="str">
        <f t="shared" si="494"/>
        <v/>
      </c>
      <c r="S793" s="8" t="str">
        <f t="shared" si="495"/>
        <v/>
      </c>
      <c r="T793" s="2" t="str">
        <f t="shared" si="496"/>
        <v/>
      </c>
      <c r="U793" s="2" t="str">
        <f t="shared" si="497"/>
        <v/>
      </c>
      <c r="V793" t="str">
        <f t="shared" si="514"/>
        <v/>
      </c>
      <c r="X793">
        <f t="shared" si="525"/>
        <v>0</v>
      </c>
      <c r="Y793">
        <f t="shared" si="526"/>
        <v>0</v>
      </c>
      <c r="Z793">
        <f t="shared" si="527"/>
        <v>0</v>
      </c>
      <c r="AA793">
        <f t="shared" si="528"/>
        <v>0</v>
      </c>
      <c r="AB793">
        <f t="shared" si="529"/>
        <v>0</v>
      </c>
      <c r="AC793">
        <f t="shared" si="530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24"/>
        <v>;</v>
      </c>
      <c r="M794">
        <v>9</v>
      </c>
      <c r="N794" s="23" t="str">
        <f t="shared" si="490"/>
        <v/>
      </c>
      <c r="O794" s="7" t="str">
        <f t="shared" si="491"/>
        <v/>
      </c>
      <c r="P794" s="7" t="str">
        <f t="shared" si="492"/>
        <v/>
      </c>
      <c r="Q794" s="7" t="str">
        <f t="shared" si="493"/>
        <v/>
      </c>
      <c r="R794" s="17" t="str">
        <f t="shared" si="494"/>
        <v/>
      </c>
      <c r="S794" s="8" t="str">
        <f t="shared" si="495"/>
        <v/>
      </c>
      <c r="T794" s="2" t="str">
        <f t="shared" si="496"/>
        <v/>
      </c>
      <c r="U794" s="2" t="str">
        <f t="shared" si="497"/>
        <v/>
      </c>
      <c r="V794" t="str">
        <f t="shared" si="514"/>
        <v/>
      </c>
      <c r="X794">
        <f t="shared" si="525"/>
        <v>0</v>
      </c>
      <c r="Y794">
        <f t="shared" si="526"/>
        <v>0</v>
      </c>
      <c r="Z794">
        <f t="shared" si="527"/>
        <v>0</v>
      </c>
      <c r="AA794">
        <f t="shared" si="528"/>
        <v>0</v>
      </c>
      <c r="AB794">
        <f t="shared" si="529"/>
        <v>0</v>
      </c>
      <c r="AC794">
        <f t="shared" si="530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24"/>
        <v>;</v>
      </c>
      <c r="M795">
        <v>10</v>
      </c>
      <c r="N795" s="23" t="str">
        <f t="shared" si="490"/>
        <v/>
      </c>
      <c r="O795" s="7" t="str">
        <f t="shared" si="491"/>
        <v/>
      </c>
      <c r="P795" s="7" t="str">
        <f t="shared" si="492"/>
        <v/>
      </c>
      <c r="Q795" s="7" t="str">
        <f t="shared" si="493"/>
        <v/>
      </c>
      <c r="R795" s="17" t="str">
        <f t="shared" si="494"/>
        <v/>
      </c>
      <c r="S795" s="8" t="str">
        <f t="shared" si="495"/>
        <v/>
      </c>
      <c r="T795" s="2" t="str">
        <f t="shared" si="496"/>
        <v/>
      </c>
      <c r="U795" s="2" t="str">
        <f t="shared" si="497"/>
        <v/>
      </c>
      <c r="V795" t="str">
        <f t="shared" si="514"/>
        <v/>
      </c>
      <c r="X795">
        <f t="shared" si="525"/>
        <v>0</v>
      </c>
      <c r="Y795">
        <f t="shared" si="526"/>
        <v>0</v>
      </c>
      <c r="Z795">
        <f t="shared" si="527"/>
        <v>0</v>
      </c>
      <c r="AA795">
        <f t="shared" si="528"/>
        <v>0</v>
      </c>
      <c r="AB795">
        <f t="shared" si="529"/>
        <v>0</v>
      </c>
      <c r="AC795">
        <f t="shared" si="530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24"/>
        <v>;</v>
      </c>
      <c r="M796">
        <v>11</v>
      </c>
      <c r="N796" s="23" t="str">
        <f t="shared" si="490"/>
        <v/>
      </c>
      <c r="O796" s="7" t="str">
        <f t="shared" si="491"/>
        <v>#</v>
      </c>
      <c r="P796" s="7" t="str">
        <f t="shared" si="492"/>
        <v>#</v>
      </c>
      <c r="Q796" s="7" t="str">
        <f t="shared" si="493"/>
        <v/>
      </c>
      <c r="R796" s="17" t="str">
        <f t="shared" si="494"/>
        <v/>
      </c>
      <c r="S796" s="8" t="str">
        <f t="shared" si="495"/>
        <v/>
      </c>
      <c r="T796" s="2" t="str">
        <f t="shared" si="496"/>
        <v/>
      </c>
      <c r="U796" s="2" t="str">
        <f t="shared" si="497"/>
        <v/>
      </c>
      <c r="V796" t="str">
        <f t="shared" si="514"/>
        <v/>
      </c>
      <c r="X796">
        <f t="shared" si="525"/>
        <v>0</v>
      </c>
      <c r="Y796">
        <f t="shared" si="526"/>
        <v>1</v>
      </c>
      <c r="Z796">
        <f t="shared" si="527"/>
        <v>1</v>
      </c>
      <c r="AA796">
        <f t="shared" si="528"/>
        <v>0</v>
      </c>
      <c r="AB796">
        <f t="shared" si="529"/>
        <v>0</v>
      </c>
      <c r="AC796">
        <f t="shared" si="530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24"/>
        <v>;</v>
      </c>
      <c r="M797">
        <v>12</v>
      </c>
      <c r="N797" s="23" t="str">
        <f t="shared" si="490"/>
        <v/>
      </c>
      <c r="O797" s="7" t="str">
        <f t="shared" si="491"/>
        <v>#</v>
      </c>
      <c r="P797" s="7" t="str">
        <f t="shared" si="492"/>
        <v>#</v>
      </c>
      <c r="Q797" s="7" t="str">
        <f t="shared" si="493"/>
        <v/>
      </c>
      <c r="R797" s="17" t="str">
        <f t="shared" si="494"/>
        <v/>
      </c>
      <c r="S797" s="8" t="str">
        <f t="shared" si="495"/>
        <v/>
      </c>
      <c r="T797" s="2" t="str">
        <f t="shared" si="496"/>
        <v/>
      </c>
      <c r="U797" s="2" t="str">
        <f t="shared" si="497"/>
        <v/>
      </c>
      <c r="V797" t="str">
        <f t="shared" si="514"/>
        <v/>
      </c>
      <c r="X797">
        <f t="shared" si="525"/>
        <v>0</v>
      </c>
      <c r="Y797">
        <f t="shared" si="526"/>
        <v>0</v>
      </c>
      <c r="Z797">
        <f t="shared" si="527"/>
        <v>0</v>
      </c>
      <c r="AA797">
        <f t="shared" si="528"/>
        <v>0</v>
      </c>
      <c r="AB797">
        <f t="shared" si="529"/>
        <v>0</v>
      </c>
      <c r="AC797">
        <f t="shared" si="530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24"/>
        <v>;</v>
      </c>
      <c r="M798">
        <v>13</v>
      </c>
      <c r="N798" s="6" t="str">
        <f t="shared" si="490"/>
        <v/>
      </c>
      <c r="O798" s="7" t="str">
        <f t="shared" si="491"/>
        <v/>
      </c>
      <c r="P798" s="7" t="str">
        <f t="shared" si="492"/>
        <v>#</v>
      </c>
      <c r="Q798" s="7" t="str">
        <f t="shared" si="493"/>
        <v/>
      </c>
      <c r="R798" s="17" t="str">
        <f t="shared" si="494"/>
        <v/>
      </c>
      <c r="S798" s="8" t="str">
        <f t="shared" si="495"/>
        <v/>
      </c>
      <c r="T798" s="2" t="str">
        <f t="shared" si="496"/>
        <v/>
      </c>
      <c r="U798" s="2" t="str">
        <f t="shared" si="497"/>
        <v/>
      </c>
      <c r="V798" t="str">
        <f t="shared" si="514"/>
        <v/>
      </c>
      <c r="X798">
        <f t="shared" si="525"/>
        <v>0</v>
      </c>
      <c r="Y798">
        <f t="shared" si="526"/>
        <v>0</v>
      </c>
      <c r="Z798">
        <f t="shared" si="527"/>
        <v>0</v>
      </c>
      <c r="AA798">
        <f t="shared" si="528"/>
        <v>0</v>
      </c>
      <c r="AB798">
        <f t="shared" si="529"/>
        <v>0</v>
      </c>
      <c r="AC798">
        <f t="shared" si="530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24"/>
        <v>;</v>
      </c>
      <c r="M799">
        <v>14</v>
      </c>
      <c r="N799" s="18" t="str">
        <f t="shared" si="490"/>
        <v/>
      </c>
      <c r="O799" s="19" t="str">
        <f t="shared" si="491"/>
        <v/>
      </c>
      <c r="P799" s="19" t="str">
        <f t="shared" si="492"/>
        <v>#</v>
      </c>
      <c r="Q799" s="19" t="str">
        <f t="shared" si="493"/>
        <v/>
      </c>
      <c r="R799" s="20" t="str">
        <f t="shared" si="494"/>
        <v/>
      </c>
      <c r="S799" s="8" t="str">
        <f t="shared" si="495"/>
        <v/>
      </c>
      <c r="T799" s="2" t="str">
        <f t="shared" si="496"/>
        <v/>
      </c>
      <c r="U799" s="2" t="str">
        <f t="shared" si="497"/>
        <v/>
      </c>
      <c r="V799" t="str">
        <f t="shared" si="514"/>
        <v/>
      </c>
      <c r="X799">
        <f t="shared" si="525"/>
        <v>0</v>
      </c>
      <c r="Y799">
        <f t="shared" si="526"/>
        <v>0</v>
      </c>
      <c r="Z799">
        <f t="shared" si="527"/>
        <v>0</v>
      </c>
      <c r="AA799">
        <f t="shared" si="528"/>
        <v>0</v>
      </c>
      <c r="AB799">
        <f t="shared" si="529"/>
        <v>0</v>
      </c>
      <c r="AC799">
        <f t="shared" si="530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24"/>
        <v>;</v>
      </c>
      <c r="M800">
        <v>15</v>
      </c>
      <c r="N800" s="9" t="str">
        <f t="shared" si="490"/>
        <v>#</v>
      </c>
      <c r="O800" s="10" t="str">
        <f t="shared" si="491"/>
        <v>#</v>
      </c>
      <c r="P800" s="10" t="str">
        <f t="shared" si="492"/>
        <v>#</v>
      </c>
      <c r="Q800" s="10" t="str">
        <f t="shared" si="493"/>
        <v/>
      </c>
      <c r="R800" s="10" t="str">
        <f t="shared" si="494"/>
        <v/>
      </c>
      <c r="S800" s="11" t="str">
        <f t="shared" si="495"/>
        <v/>
      </c>
      <c r="T800" s="2" t="str">
        <f t="shared" si="496"/>
        <v/>
      </c>
      <c r="U800" s="2" t="str">
        <f t="shared" si="497"/>
        <v/>
      </c>
      <c r="V800" t="str">
        <f t="shared" si="514"/>
        <v/>
      </c>
      <c r="X800">
        <f t="shared" si="525"/>
        <v>1</v>
      </c>
      <c r="Y800">
        <f t="shared" si="526"/>
        <v>1</v>
      </c>
      <c r="Z800">
        <f t="shared" si="527"/>
        <v>0</v>
      </c>
      <c r="AA800">
        <f t="shared" si="528"/>
        <v>0</v>
      </c>
      <c r="AB800">
        <f t="shared" si="529"/>
        <v>0</v>
      </c>
      <c r="AC800">
        <f t="shared" si="530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24"/>
        <v>;</v>
      </c>
      <c r="M801">
        <v>16</v>
      </c>
      <c r="N801" s="12" t="str">
        <f t="shared" si="490"/>
        <v>#</v>
      </c>
      <c r="O801" s="13" t="str">
        <f t="shared" si="491"/>
        <v>#</v>
      </c>
      <c r="P801" s="13" t="str">
        <f t="shared" si="492"/>
        <v/>
      </c>
      <c r="Q801" s="13" t="str">
        <f t="shared" si="493"/>
        <v/>
      </c>
      <c r="R801" s="13" t="str">
        <f t="shared" si="494"/>
        <v/>
      </c>
      <c r="S801" s="14" t="str">
        <f t="shared" si="495"/>
        <v/>
      </c>
      <c r="T801" s="2" t="str">
        <f t="shared" si="496"/>
        <v/>
      </c>
      <c r="U801" s="2" t="str">
        <f t="shared" si="497"/>
        <v/>
      </c>
      <c r="V801" t="str">
        <f t="shared" si="514"/>
        <v/>
      </c>
      <c r="X801">
        <f t="shared" si="525"/>
        <v>0</v>
      </c>
      <c r="Y801">
        <f t="shared" si="526"/>
        <v>0</v>
      </c>
      <c r="Z801">
        <f t="shared" si="527"/>
        <v>0</v>
      </c>
      <c r="AA801">
        <f t="shared" si="528"/>
        <v>0</v>
      </c>
      <c r="AB801">
        <f t="shared" si="529"/>
        <v>0</v>
      </c>
      <c r="AC801">
        <f t="shared" si="530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31">IF(B802&gt;0,"#","")</f>
        <v/>
      </c>
      <c r="O802" t="str">
        <f t="shared" ref="O802:O865" si="532">IF(C802&gt;0,"#","")</f>
        <v/>
      </c>
      <c r="P802" t="str">
        <f t="shared" ref="P802:P865" si="533">IF(D802&gt;0,"#","")</f>
        <v/>
      </c>
      <c r="Q802" t="str">
        <f t="shared" ref="Q802:Q865" si="534">IF(E802&gt;0,"#","")</f>
        <v/>
      </c>
      <c r="R802" t="str">
        <f t="shared" ref="R802:R865" si="535">IF(F802&gt;0,"#","")</f>
        <v/>
      </c>
      <c r="S802" t="str">
        <f t="shared" ref="S802:S865" si="536">IF(G802&gt;0,"#","")</f>
        <v/>
      </c>
      <c r="T802" s="2" t="str">
        <f t="shared" ref="T802:T865" si="537">IF(H802&gt;0,"#","")</f>
        <v/>
      </c>
      <c r="U802" s="2" t="str">
        <f t="shared" ref="U802:U865" si="538">IF(I802&gt;0,"#","")</f>
        <v/>
      </c>
      <c r="V802" t="str">
        <f t="shared" si="514"/>
        <v/>
      </c>
      <c r="W802">
        <f>SUM(B804:G817)</f>
        <v>18</v>
      </c>
      <c r="AD802">
        <f t="shared" ref="AD802" si="539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40">L802</f>
        <v>&lt;</v>
      </c>
      <c r="M803">
        <v>2</v>
      </c>
      <c r="N803" t="str">
        <f t="shared" si="531"/>
        <v/>
      </c>
      <c r="O803" t="str">
        <f t="shared" si="532"/>
        <v/>
      </c>
      <c r="P803" t="str">
        <f t="shared" si="533"/>
        <v/>
      </c>
      <c r="Q803" t="str">
        <f t="shared" si="534"/>
        <v/>
      </c>
      <c r="R803" t="str">
        <f t="shared" si="535"/>
        <v/>
      </c>
      <c r="S803" t="str">
        <f t="shared" si="536"/>
        <v/>
      </c>
      <c r="T803" s="2" t="str">
        <f t="shared" si="537"/>
        <v/>
      </c>
      <c r="U803" s="2" t="str">
        <f t="shared" si="538"/>
        <v/>
      </c>
      <c r="V803" t="str">
        <f t="shared" si="514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40"/>
        <v>&lt;</v>
      </c>
      <c r="M804">
        <v>3</v>
      </c>
      <c r="N804" s="3" t="str">
        <f t="shared" si="531"/>
        <v/>
      </c>
      <c r="O804" s="4" t="str">
        <f t="shared" si="532"/>
        <v/>
      </c>
      <c r="P804" s="4" t="str">
        <f t="shared" si="533"/>
        <v/>
      </c>
      <c r="Q804" s="4" t="str">
        <f t="shared" si="534"/>
        <v/>
      </c>
      <c r="R804" s="4" t="str">
        <f t="shared" si="535"/>
        <v/>
      </c>
      <c r="S804" s="5" t="str">
        <f t="shared" si="536"/>
        <v/>
      </c>
      <c r="T804" s="2" t="str">
        <f t="shared" si="537"/>
        <v/>
      </c>
      <c r="U804" s="2" t="str">
        <f t="shared" si="538"/>
        <v/>
      </c>
      <c r="V804" t="str">
        <f t="shared" si="514"/>
        <v/>
      </c>
      <c r="X804">
        <f t="shared" ref="X804:X817" si="541">MAX(B804-B803,0)</f>
        <v>0</v>
      </c>
      <c r="Y804">
        <f t="shared" ref="Y804:Y817" si="542">MAX(C804-C803,0)</f>
        <v>0</v>
      </c>
      <c r="Z804">
        <f t="shared" ref="Z804:Z817" si="543">MAX(D804-D803,0)</f>
        <v>0</v>
      </c>
      <c r="AA804">
        <f t="shared" ref="AA804:AA817" si="544">MAX(E804-E803,0)</f>
        <v>0</v>
      </c>
      <c r="AB804">
        <f t="shared" ref="AB804:AB817" si="545">MAX(F804-F803,0)</f>
        <v>0</v>
      </c>
      <c r="AC804">
        <f t="shared" ref="AC804:AC817" si="546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40"/>
        <v>&lt;</v>
      </c>
      <c r="M805">
        <v>4</v>
      </c>
      <c r="N805" s="6" t="str">
        <f t="shared" si="531"/>
        <v/>
      </c>
      <c r="O805" s="7" t="str">
        <f t="shared" si="532"/>
        <v/>
      </c>
      <c r="P805" s="7" t="str">
        <f t="shared" si="533"/>
        <v/>
      </c>
      <c r="Q805" s="7" t="str">
        <f t="shared" si="534"/>
        <v/>
      </c>
      <c r="R805" s="7" t="str">
        <f t="shared" si="535"/>
        <v/>
      </c>
      <c r="S805" s="8" t="str">
        <f t="shared" si="536"/>
        <v/>
      </c>
      <c r="T805" s="2" t="str">
        <f t="shared" si="537"/>
        <v/>
      </c>
      <c r="U805" s="2" t="str">
        <f t="shared" si="538"/>
        <v/>
      </c>
      <c r="V805" t="str">
        <f t="shared" si="514"/>
        <v/>
      </c>
      <c r="X805">
        <f t="shared" si="541"/>
        <v>0</v>
      </c>
      <c r="Y805">
        <f t="shared" si="542"/>
        <v>0</v>
      </c>
      <c r="Z805">
        <f t="shared" si="543"/>
        <v>0</v>
      </c>
      <c r="AA805">
        <f t="shared" si="544"/>
        <v>0</v>
      </c>
      <c r="AB805">
        <f t="shared" si="545"/>
        <v>0</v>
      </c>
      <c r="AC805">
        <f t="shared" si="546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40"/>
        <v>&lt;</v>
      </c>
      <c r="M806">
        <v>5</v>
      </c>
      <c r="N806" s="22" t="str">
        <f t="shared" si="531"/>
        <v/>
      </c>
      <c r="O806" s="15" t="str">
        <f t="shared" si="532"/>
        <v/>
      </c>
      <c r="P806" s="15" t="str">
        <f t="shared" si="533"/>
        <v/>
      </c>
      <c r="Q806" s="15" t="str">
        <f t="shared" si="534"/>
        <v/>
      </c>
      <c r="R806" s="16" t="str">
        <f t="shared" si="535"/>
        <v>#</v>
      </c>
      <c r="S806" s="8" t="str">
        <f t="shared" si="536"/>
        <v/>
      </c>
      <c r="T806" s="2" t="str">
        <f t="shared" si="537"/>
        <v/>
      </c>
      <c r="U806" s="2" t="str">
        <f t="shared" si="538"/>
        <v/>
      </c>
      <c r="V806" t="str">
        <f t="shared" si="514"/>
        <v/>
      </c>
      <c r="X806">
        <f t="shared" si="541"/>
        <v>0</v>
      </c>
      <c r="Y806">
        <f t="shared" si="542"/>
        <v>0</v>
      </c>
      <c r="Z806">
        <f t="shared" si="543"/>
        <v>0</v>
      </c>
      <c r="AA806">
        <f t="shared" si="544"/>
        <v>0</v>
      </c>
      <c r="AB806">
        <f t="shared" si="545"/>
        <v>1</v>
      </c>
      <c r="AC806">
        <f t="shared" si="546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40"/>
        <v>&lt;</v>
      </c>
      <c r="M807">
        <v>6</v>
      </c>
      <c r="N807" s="23" t="str">
        <f t="shared" si="531"/>
        <v/>
      </c>
      <c r="O807" s="7" t="str">
        <f t="shared" si="532"/>
        <v/>
      </c>
      <c r="P807" s="7" t="str">
        <f t="shared" si="533"/>
        <v/>
      </c>
      <c r="Q807" s="7" t="str">
        <f t="shared" si="534"/>
        <v>#</v>
      </c>
      <c r="R807" s="17" t="str">
        <f t="shared" si="535"/>
        <v>#</v>
      </c>
      <c r="S807" s="8" t="str">
        <f t="shared" si="536"/>
        <v/>
      </c>
      <c r="T807" s="2" t="str">
        <f t="shared" si="537"/>
        <v/>
      </c>
      <c r="U807" s="2" t="str">
        <f t="shared" si="538"/>
        <v/>
      </c>
      <c r="V807" t="str">
        <f t="shared" si="514"/>
        <v/>
      </c>
      <c r="X807">
        <f t="shared" si="541"/>
        <v>0</v>
      </c>
      <c r="Y807">
        <f t="shared" si="542"/>
        <v>0</v>
      </c>
      <c r="Z807">
        <f t="shared" si="543"/>
        <v>0</v>
      </c>
      <c r="AA807">
        <f t="shared" si="544"/>
        <v>1</v>
      </c>
      <c r="AB807">
        <f t="shared" si="545"/>
        <v>0</v>
      </c>
      <c r="AC807">
        <f t="shared" si="546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40"/>
        <v>&lt;</v>
      </c>
      <c r="M808">
        <v>7</v>
      </c>
      <c r="N808" s="23" t="str">
        <f t="shared" si="531"/>
        <v/>
      </c>
      <c r="O808" s="7" t="str">
        <f t="shared" si="532"/>
        <v/>
      </c>
      <c r="P808" s="7" t="str">
        <f t="shared" si="533"/>
        <v>#</v>
      </c>
      <c r="Q808" s="7" t="str">
        <f t="shared" si="534"/>
        <v>#</v>
      </c>
      <c r="R808" s="17" t="str">
        <f t="shared" si="535"/>
        <v/>
      </c>
      <c r="S808" s="8" t="str">
        <f t="shared" si="536"/>
        <v/>
      </c>
      <c r="T808" s="2" t="str">
        <f t="shared" si="537"/>
        <v/>
      </c>
      <c r="U808" s="2" t="str">
        <f t="shared" si="538"/>
        <v/>
      </c>
      <c r="V808" t="str">
        <f t="shared" si="514"/>
        <v/>
      </c>
      <c r="X808">
        <f t="shared" si="541"/>
        <v>0</v>
      </c>
      <c r="Y808">
        <f t="shared" si="542"/>
        <v>0</v>
      </c>
      <c r="Z808">
        <f t="shared" si="543"/>
        <v>1</v>
      </c>
      <c r="AA808">
        <f t="shared" si="544"/>
        <v>0</v>
      </c>
      <c r="AB808">
        <f t="shared" si="545"/>
        <v>0</v>
      </c>
      <c r="AC808">
        <f t="shared" si="546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40"/>
        <v>&lt;</v>
      </c>
      <c r="M809">
        <v>8</v>
      </c>
      <c r="N809" s="23" t="str">
        <f t="shared" si="531"/>
        <v/>
      </c>
      <c r="O809" s="7" t="str">
        <f t="shared" si="532"/>
        <v>#</v>
      </c>
      <c r="P809" s="7" t="str">
        <f t="shared" si="533"/>
        <v>#</v>
      </c>
      <c r="Q809" s="7" t="str">
        <f t="shared" si="534"/>
        <v/>
      </c>
      <c r="R809" s="17" t="str">
        <f t="shared" si="535"/>
        <v/>
      </c>
      <c r="S809" s="8" t="str">
        <f t="shared" si="536"/>
        <v/>
      </c>
      <c r="T809" s="2" t="str">
        <f t="shared" si="537"/>
        <v/>
      </c>
      <c r="U809" s="2" t="str">
        <f t="shared" si="538"/>
        <v/>
      </c>
      <c r="V809" t="str">
        <f t="shared" si="514"/>
        <v/>
      </c>
      <c r="X809">
        <f t="shared" si="541"/>
        <v>0</v>
      </c>
      <c r="Y809">
        <f t="shared" si="542"/>
        <v>1</v>
      </c>
      <c r="Z809">
        <f t="shared" si="543"/>
        <v>0</v>
      </c>
      <c r="AA809">
        <f t="shared" si="544"/>
        <v>0</v>
      </c>
      <c r="AB809">
        <f t="shared" si="545"/>
        <v>0</v>
      </c>
      <c r="AC809">
        <f t="shared" si="546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40"/>
        <v>&lt;</v>
      </c>
      <c r="M810">
        <v>9</v>
      </c>
      <c r="N810" s="23" t="str">
        <f t="shared" si="531"/>
        <v>#</v>
      </c>
      <c r="O810" s="7" t="str">
        <f t="shared" si="532"/>
        <v>#</v>
      </c>
      <c r="P810" s="7" t="str">
        <f t="shared" si="533"/>
        <v/>
      </c>
      <c r="Q810" s="7" t="str">
        <f t="shared" si="534"/>
        <v/>
      </c>
      <c r="R810" s="17" t="str">
        <f t="shared" si="535"/>
        <v/>
      </c>
      <c r="S810" s="8" t="str">
        <f t="shared" si="536"/>
        <v/>
      </c>
      <c r="T810" s="2" t="str">
        <f t="shared" si="537"/>
        <v/>
      </c>
      <c r="U810" s="2" t="str">
        <f t="shared" si="538"/>
        <v/>
      </c>
      <c r="V810" t="str">
        <f t="shared" si="514"/>
        <v/>
      </c>
      <c r="X810">
        <f t="shared" si="541"/>
        <v>1</v>
      </c>
      <c r="Y810">
        <f t="shared" si="542"/>
        <v>0</v>
      </c>
      <c r="Z810">
        <f t="shared" si="543"/>
        <v>0</v>
      </c>
      <c r="AA810">
        <f t="shared" si="544"/>
        <v>0</v>
      </c>
      <c r="AB810">
        <f t="shared" si="545"/>
        <v>0</v>
      </c>
      <c r="AC810">
        <f t="shared" si="546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40"/>
        <v>&lt;</v>
      </c>
      <c r="M811">
        <v>10</v>
      </c>
      <c r="N811" s="23" t="str">
        <f t="shared" si="531"/>
        <v>#</v>
      </c>
      <c r="O811" s="7" t="str">
        <f t="shared" si="532"/>
        <v>#</v>
      </c>
      <c r="P811" s="7" t="str">
        <f t="shared" si="533"/>
        <v/>
      </c>
      <c r="Q811" s="7" t="str">
        <f t="shared" si="534"/>
        <v/>
      </c>
      <c r="R811" s="17" t="str">
        <f t="shared" si="535"/>
        <v/>
      </c>
      <c r="S811" s="8" t="str">
        <f t="shared" si="536"/>
        <v/>
      </c>
      <c r="T811" s="2" t="str">
        <f t="shared" si="537"/>
        <v/>
      </c>
      <c r="U811" s="2" t="str">
        <f t="shared" si="538"/>
        <v/>
      </c>
      <c r="V811" t="str">
        <f t="shared" si="514"/>
        <v/>
      </c>
      <c r="X811">
        <f t="shared" si="541"/>
        <v>0</v>
      </c>
      <c r="Y811">
        <f t="shared" si="542"/>
        <v>0</v>
      </c>
      <c r="Z811">
        <f t="shared" si="543"/>
        <v>0</v>
      </c>
      <c r="AA811">
        <f t="shared" si="544"/>
        <v>0</v>
      </c>
      <c r="AB811">
        <f t="shared" si="545"/>
        <v>0</v>
      </c>
      <c r="AC811">
        <f t="shared" si="546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40"/>
        <v>&lt;</v>
      </c>
      <c r="M812">
        <v>11</v>
      </c>
      <c r="N812" s="23" t="str">
        <f t="shared" si="531"/>
        <v/>
      </c>
      <c r="O812" s="7" t="str">
        <f t="shared" si="532"/>
        <v>#</v>
      </c>
      <c r="P812" s="7" t="str">
        <f t="shared" si="533"/>
        <v>#</v>
      </c>
      <c r="Q812" s="7" t="str">
        <f t="shared" si="534"/>
        <v/>
      </c>
      <c r="R812" s="17" t="str">
        <f t="shared" si="535"/>
        <v/>
      </c>
      <c r="S812" s="8" t="str">
        <f t="shared" si="536"/>
        <v/>
      </c>
      <c r="T812" s="2" t="str">
        <f t="shared" si="537"/>
        <v/>
      </c>
      <c r="U812" s="2" t="str">
        <f t="shared" si="538"/>
        <v/>
      </c>
      <c r="V812" t="str">
        <f t="shared" si="514"/>
        <v/>
      </c>
      <c r="X812">
        <f t="shared" si="541"/>
        <v>0</v>
      </c>
      <c r="Y812">
        <f t="shared" si="542"/>
        <v>0</v>
      </c>
      <c r="Z812">
        <f t="shared" si="543"/>
        <v>1</v>
      </c>
      <c r="AA812">
        <f t="shared" si="544"/>
        <v>0</v>
      </c>
      <c r="AB812">
        <f t="shared" si="545"/>
        <v>0</v>
      </c>
      <c r="AC812">
        <f t="shared" si="546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40"/>
        <v>&lt;</v>
      </c>
      <c r="M813">
        <v>12</v>
      </c>
      <c r="N813" s="23" t="str">
        <f t="shared" si="531"/>
        <v/>
      </c>
      <c r="O813" s="7" t="str">
        <f t="shared" si="532"/>
        <v/>
      </c>
      <c r="P813" s="7" t="str">
        <f t="shared" si="533"/>
        <v>#</v>
      </c>
      <c r="Q813" s="7" t="str">
        <f t="shared" si="534"/>
        <v>#</v>
      </c>
      <c r="R813" s="17" t="str">
        <f t="shared" si="535"/>
        <v/>
      </c>
      <c r="S813" s="8" t="str">
        <f t="shared" si="536"/>
        <v/>
      </c>
      <c r="T813" s="2" t="str">
        <f t="shared" si="537"/>
        <v/>
      </c>
      <c r="U813" s="2" t="str">
        <f t="shared" si="538"/>
        <v/>
      </c>
      <c r="V813" t="str">
        <f t="shared" si="514"/>
        <v/>
      </c>
      <c r="X813">
        <f t="shared" si="541"/>
        <v>0</v>
      </c>
      <c r="Y813">
        <f t="shared" si="542"/>
        <v>0</v>
      </c>
      <c r="Z813">
        <f t="shared" si="543"/>
        <v>0</v>
      </c>
      <c r="AA813">
        <f t="shared" si="544"/>
        <v>1</v>
      </c>
      <c r="AB813">
        <f t="shared" si="545"/>
        <v>0</v>
      </c>
      <c r="AC813">
        <f t="shared" si="546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40"/>
        <v>&lt;</v>
      </c>
      <c r="M814">
        <v>13</v>
      </c>
      <c r="N814" s="6" t="str">
        <f t="shared" si="531"/>
        <v/>
      </c>
      <c r="O814" s="7" t="str">
        <f t="shared" si="532"/>
        <v/>
      </c>
      <c r="P814" s="7" t="str">
        <f t="shared" si="533"/>
        <v/>
      </c>
      <c r="Q814" s="7" t="str">
        <f t="shared" si="534"/>
        <v>#</v>
      </c>
      <c r="R814" s="17" t="str">
        <f t="shared" si="535"/>
        <v>#</v>
      </c>
      <c r="S814" s="8" t="str">
        <f t="shared" si="536"/>
        <v/>
      </c>
      <c r="T814" s="2" t="str">
        <f t="shared" si="537"/>
        <v/>
      </c>
      <c r="U814" s="2" t="str">
        <f t="shared" si="538"/>
        <v/>
      </c>
      <c r="V814" t="str">
        <f t="shared" si="514"/>
        <v/>
      </c>
      <c r="X814">
        <f t="shared" si="541"/>
        <v>0</v>
      </c>
      <c r="Y814">
        <f t="shared" si="542"/>
        <v>0</v>
      </c>
      <c r="Z814">
        <f t="shared" si="543"/>
        <v>0</v>
      </c>
      <c r="AA814">
        <f t="shared" si="544"/>
        <v>0</v>
      </c>
      <c r="AB814">
        <f t="shared" si="545"/>
        <v>1</v>
      </c>
      <c r="AC814">
        <f t="shared" si="546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40"/>
        <v>&lt;</v>
      </c>
      <c r="M815">
        <v>14</v>
      </c>
      <c r="N815" s="18" t="str">
        <f t="shared" si="531"/>
        <v/>
      </c>
      <c r="O815" s="19" t="str">
        <f t="shared" si="532"/>
        <v/>
      </c>
      <c r="P815" s="19" t="str">
        <f t="shared" si="533"/>
        <v/>
      </c>
      <c r="Q815" s="19" t="str">
        <f t="shared" si="534"/>
        <v/>
      </c>
      <c r="R815" s="20" t="str">
        <f t="shared" si="535"/>
        <v>#</v>
      </c>
      <c r="S815" s="8" t="str">
        <f t="shared" si="536"/>
        <v/>
      </c>
      <c r="T815" s="2" t="str">
        <f t="shared" si="537"/>
        <v/>
      </c>
      <c r="U815" s="2" t="str">
        <f t="shared" si="538"/>
        <v/>
      </c>
      <c r="V815" t="str">
        <f t="shared" si="514"/>
        <v/>
      </c>
      <c r="X815">
        <f t="shared" si="541"/>
        <v>0</v>
      </c>
      <c r="Y815">
        <f t="shared" si="542"/>
        <v>0</v>
      </c>
      <c r="Z815">
        <f t="shared" si="543"/>
        <v>0</v>
      </c>
      <c r="AA815">
        <f t="shared" si="544"/>
        <v>0</v>
      </c>
      <c r="AB815">
        <f t="shared" si="545"/>
        <v>0</v>
      </c>
      <c r="AC815">
        <f t="shared" si="546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40"/>
        <v>&lt;</v>
      </c>
      <c r="M816">
        <v>15</v>
      </c>
      <c r="N816" s="9" t="str">
        <f t="shared" si="531"/>
        <v/>
      </c>
      <c r="O816" s="10" t="str">
        <f t="shared" si="532"/>
        <v/>
      </c>
      <c r="P816" s="10" t="str">
        <f t="shared" si="533"/>
        <v/>
      </c>
      <c r="Q816" s="10" t="str">
        <f t="shared" si="534"/>
        <v/>
      </c>
      <c r="R816" s="10" t="str">
        <f t="shared" si="535"/>
        <v/>
      </c>
      <c r="S816" s="11" t="str">
        <f t="shared" si="536"/>
        <v/>
      </c>
      <c r="T816" s="2" t="str">
        <f t="shared" si="537"/>
        <v/>
      </c>
      <c r="U816" s="2" t="str">
        <f t="shared" si="538"/>
        <v/>
      </c>
      <c r="V816" t="str">
        <f t="shared" si="514"/>
        <v/>
      </c>
      <c r="X816">
        <f t="shared" si="541"/>
        <v>0</v>
      </c>
      <c r="Y816">
        <f t="shared" si="542"/>
        <v>0</v>
      </c>
      <c r="Z816">
        <f t="shared" si="543"/>
        <v>0</v>
      </c>
      <c r="AA816">
        <f t="shared" si="544"/>
        <v>0</v>
      </c>
      <c r="AB816">
        <f t="shared" si="545"/>
        <v>0</v>
      </c>
      <c r="AC816">
        <f t="shared" si="546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40"/>
        <v>&lt;</v>
      </c>
      <c r="M817">
        <v>16</v>
      </c>
      <c r="N817" s="12" t="str">
        <f t="shared" si="531"/>
        <v/>
      </c>
      <c r="O817" s="13" t="str">
        <f t="shared" si="532"/>
        <v/>
      </c>
      <c r="P817" s="13" t="str">
        <f t="shared" si="533"/>
        <v/>
      </c>
      <c r="Q817" s="13" t="str">
        <f t="shared" si="534"/>
        <v/>
      </c>
      <c r="R817" s="13" t="str">
        <f t="shared" si="535"/>
        <v/>
      </c>
      <c r="S817" s="14" t="str">
        <f t="shared" si="536"/>
        <v/>
      </c>
      <c r="T817" s="2" t="str">
        <f t="shared" si="537"/>
        <v/>
      </c>
      <c r="U817" s="2" t="str">
        <f t="shared" si="538"/>
        <v/>
      </c>
      <c r="V817" t="str">
        <f t="shared" si="514"/>
        <v/>
      </c>
      <c r="X817">
        <f t="shared" si="541"/>
        <v>0</v>
      </c>
      <c r="Y817">
        <f t="shared" si="542"/>
        <v>0</v>
      </c>
      <c r="Z817">
        <f t="shared" si="543"/>
        <v>0</v>
      </c>
      <c r="AA817">
        <f t="shared" si="544"/>
        <v>0</v>
      </c>
      <c r="AB817">
        <f t="shared" si="545"/>
        <v>0</v>
      </c>
      <c r="AC817">
        <f t="shared" si="546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31"/>
        <v/>
      </c>
      <c r="O818" t="str">
        <f t="shared" si="532"/>
        <v/>
      </c>
      <c r="P818" t="str">
        <f t="shared" si="533"/>
        <v/>
      </c>
      <c r="Q818" t="str">
        <f t="shared" si="534"/>
        <v/>
      </c>
      <c r="R818" t="str">
        <f t="shared" si="535"/>
        <v/>
      </c>
      <c r="S818" t="str">
        <f t="shared" si="536"/>
        <v/>
      </c>
      <c r="T818" s="2" t="str">
        <f t="shared" si="537"/>
        <v/>
      </c>
      <c r="U818" s="2" t="str">
        <f t="shared" si="538"/>
        <v/>
      </c>
      <c r="V818" t="str">
        <f t="shared" si="514"/>
        <v/>
      </c>
      <c r="W818">
        <f>SUM(B820:G833)</f>
        <v>20</v>
      </c>
      <c r="AD818">
        <f t="shared" ref="AD818" si="547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8">L818</f>
        <v>=</v>
      </c>
      <c r="M819">
        <v>2</v>
      </c>
      <c r="N819" t="str">
        <f t="shared" si="531"/>
        <v/>
      </c>
      <c r="O819" t="str">
        <f t="shared" si="532"/>
        <v/>
      </c>
      <c r="P819" t="str">
        <f t="shared" si="533"/>
        <v/>
      </c>
      <c r="Q819" t="str">
        <f t="shared" si="534"/>
        <v/>
      </c>
      <c r="R819" t="str">
        <f t="shared" si="535"/>
        <v/>
      </c>
      <c r="S819" t="str">
        <f t="shared" si="536"/>
        <v/>
      </c>
      <c r="T819" s="2" t="str">
        <f t="shared" si="537"/>
        <v/>
      </c>
      <c r="U819" s="2" t="str">
        <f t="shared" si="538"/>
        <v/>
      </c>
      <c r="V819" t="str">
        <f t="shared" si="514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8"/>
        <v>=</v>
      </c>
      <c r="M820">
        <v>3</v>
      </c>
      <c r="N820" s="3" t="str">
        <f t="shared" si="531"/>
        <v/>
      </c>
      <c r="O820" s="4" t="str">
        <f t="shared" si="532"/>
        <v/>
      </c>
      <c r="P820" s="4" t="str">
        <f t="shared" si="533"/>
        <v/>
      </c>
      <c r="Q820" s="4" t="str">
        <f t="shared" si="534"/>
        <v/>
      </c>
      <c r="R820" s="4" t="str">
        <f t="shared" si="535"/>
        <v/>
      </c>
      <c r="S820" s="5" t="str">
        <f t="shared" si="536"/>
        <v/>
      </c>
      <c r="T820" s="2" t="str">
        <f t="shared" si="537"/>
        <v/>
      </c>
      <c r="U820" s="2" t="str">
        <f t="shared" si="538"/>
        <v/>
      </c>
      <c r="V820" t="str">
        <f t="shared" si="514"/>
        <v/>
      </c>
      <c r="X820">
        <f t="shared" ref="X820:X833" si="549">MAX(B820-B819,0)</f>
        <v>0</v>
      </c>
      <c r="Y820">
        <f t="shared" ref="Y820:Y833" si="550">MAX(C820-C819,0)</f>
        <v>0</v>
      </c>
      <c r="Z820">
        <f t="shared" ref="Z820:Z833" si="551">MAX(D820-D819,0)</f>
        <v>0</v>
      </c>
      <c r="AA820">
        <f t="shared" ref="AA820:AA833" si="552">MAX(E820-E819,0)</f>
        <v>0</v>
      </c>
      <c r="AB820">
        <f t="shared" ref="AB820:AB833" si="553">MAX(F820-F819,0)</f>
        <v>0</v>
      </c>
      <c r="AC820">
        <f t="shared" ref="AC820:AC833" si="554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8"/>
        <v>=</v>
      </c>
      <c r="M821">
        <v>4</v>
      </c>
      <c r="N821" s="6" t="str">
        <f t="shared" si="531"/>
        <v/>
      </c>
      <c r="O821" s="7" t="str">
        <f t="shared" si="532"/>
        <v/>
      </c>
      <c r="P821" s="7" t="str">
        <f t="shared" si="533"/>
        <v/>
      </c>
      <c r="Q821" s="7" t="str">
        <f t="shared" si="534"/>
        <v/>
      </c>
      <c r="R821" s="7" t="str">
        <f t="shared" si="535"/>
        <v/>
      </c>
      <c r="S821" s="8" t="str">
        <f t="shared" si="536"/>
        <v/>
      </c>
      <c r="T821" s="2" t="str">
        <f t="shared" si="537"/>
        <v/>
      </c>
      <c r="U821" s="2" t="str">
        <f t="shared" si="538"/>
        <v/>
      </c>
      <c r="V821" t="str">
        <f t="shared" si="514"/>
        <v/>
      </c>
      <c r="X821">
        <f t="shared" si="549"/>
        <v>0</v>
      </c>
      <c r="Y821">
        <f t="shared" si="550"/>
        <v>0</v>
      </c>
      <c r="Z821">
        <f t="shared" si="551"/>
        <v>0</v>
      </c>
      <c r="AA821">
        <f t="shared" si="552"/>
        <v>0</v>
      </c>
      <c r="AB821">
        <f t="shared" si="553"/>
        <v>0</v>
      </c>
      <c r="AC821">
        <f t="shared" si="554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8"/>
        <v>=</v>
      </c>
      <c r="M822">
        <v>5</v>
      </c>
      <c r="N822" s="22" t="str">
        <f t="shared" si="531"/>
        <v/>
      </c>
      <c r="O822" s="15" t="str">
        <f t="shared" si="532"/>
        <v/>
      </c>
      <c r="P822" s="15" t="str">
        <f t="shared" si="533"/>
        <v/>
      </c>
      <c r="Q822" s="15" t="str">
        <f t="shared" si="534"/>
        <v/>
      </c>
      <c r="R822" s="16" t="str">
        <f t="shared" si="535"/>
        <v/>
      </c>
      <c r="S822" s="8" t="str">
        <f t="shared" si="536"/>
        <v/>
      </c>
      <c r="T822" s="2" t="str">
        <f t="shared" si="537"/>
        <v/>
      </c>
      <c r="U822" s="2" t="str">
        <f t="shared" si="538"/>
        <v/>
      </c>
      <c r="V822" t="str">
        <f t="shared" si="514"/>
        <v/>
      </c>
      <c r="X822">
        <f t="shared" si="549"/>
        <v>0</v>
      </c>
      <c r="Y822">
        <f t="shared" si="550"/>
        <v>0</v>
      </c>
      <c r="Z822">
        <f t="shared" si="551"/>
        <v>0</v>
      </c>
      <c r="AA822">
        <f t="shared" si="552"/>
        <v>0</v>
      </c>
      <c r="AB822">
        <f t="shared" si="553"/>
        <v>0</v>
      </c>
      <c r="AC822">
        <f t="shared" si="554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8"/>
        <v>=</v>
      </c>
      <c r="M823">
        <v>6</v>
      </c>
      <c r="N823" s="23" t="str">
        <f t="shared" si="531"/>
        <v/>
      </c>
      <c r="O823" s="7" t="str">
        <f t="shared" si="532"/>
        <v/>
      </c>
      <c r="P823" s="7" t="str">
        <f t="shared" si="533"/>
        <v/>
      </c>
      <c r="Q823" s="7" t="str">
        <f t="shared" si="534"/>
        <v/>
      </c>
      <c r="R823" s="17" t="str">
        <f t="shared" si="535"/>
        <v/>
      </c>
      <c r="S823" s="8" t="str">
        <f t="shared" si="536"/>
        <v/>
      </c>
      <c r="T823" s="2" t="str">
        <f t="shared" si="537"/>
        <v/>
      </c>
      <c r="U823" s="2" t="str">
        <f t="shared" si="538"/>
        <v/>
      </c>
      <c r="V823" t="str">
        <f t="shared" si="514"/>
        <v/>
      </c>
      <c r="X823">
        <f t="shared" si="549"/>
        <v>0</v>
      </c>
      <c r="Y823">
        <f t="shared" si="550"/>
        <v>0</v>
      </c>
      <c r="Z823">
        <f t="shared" si="551"/>
        <v>0</v>
      </c>
      <c r="AA823">
        <f t="shared" si="552"/>
        <v>0</v>
      </c>
      <c r="AB823">
        <f t="shared" si="553"/>
        <v>0</v>
      </c>
      <c r="AC823">
        <f t="shared" si="554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8"/>
        <v>=</v>
      </c>
      <c r="M824">
        <v>7</v>
      </c>
      <c r="N824" s="23" t="str">
        <f t="shared" si="531"/>
        <v>#</v>
      </c>
      <c r="O824" s="7" t="str">
        <f t="shared" si="532"/>
        <v>#</v>
      </c>
      <c r="P824" s="7" t="str">
        <f t="shared" si="533"/>
        <v>#</v>
      </c>
      <c r="Q824" s="7" t="str">
        <f t="shared" si="534"/>
        <v>#</v>
      </c>
      <c r="R824" s="17" t="str">
        <f t="shared" si="535"/>
        <v>#</v>
      </c>
      <c r="S824" s="8" t="str">
        <f t="shared" si="536"/>
        <v/>
      </c>
      <c r="T824" s="2" t="str">
        <f t="shared" si="537"/>
        <v/>
      </c>
      <c r="U824" s="2" t="str">
        <f t="shared" si="538"/>
        <v/>
      </c>
      <c r="V824" t="str">
        <f t="shared" si="514"/>
        <v/>
      </c>
      <c r="X824">
        <f t="shared" si="549"/>
        <v>1</v>
      </c>
      <c r="Y824">
        <f t="shared" si="550"/>
        <v>1</v>
      </c>
      <c r="Z824">
        <f t="shared" si="551"/>
        <v>1</v>
      </c>
      <c r="AA824">
        <f t="shared" si="552"/>
        <v>1</v>
      </c>
      <c r="AB824">
        <f t="shared" si="553"/>
        <v>1</v>
      </c>
      <c r="AC824">
        <f t="shared" si="554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8"/>
        <v>=</v>
      </c>
      <c r="M825">
        <v>8</v>
      </c>
      <c r="N825" s="23" t="str">
        <f t="shared" si="531"/>
        <v>#</v>
      </c>
      <c r="O825" s="7" t="str">
        <f t="shared" si="532"/>
        <v>#</v>
      </c>
      <c r="P825" s="7" t="str">
        <f t="shared" si="533"/>
        <v>#</v>
      </c>
      <c r="Q825" s="7" t="str">
        <f t="shared" si="534"/>
        <v>#</v>
      </c>
      <c r="R825" s="17" t="str">
        <f t="shared" si="535"/>
        <v>#</v>
      </c>
      <c r="S825" s="8" t="str">
        <f t="shared" si="536"/>
        <v/>
      </c>
      <c r="T825" s="2" t="str">
        <f t="shared" si="537"/>
        <v/>
      </c>
      <c r="U825" s="2" t="str">
        <f t="shared" si="538"/>
        <v/>
      </c>
      <c r="V825" t="str">
        <f t="shared" si="514"/>
        <v/>
      </c>
      <c r="X825">
        <f t="shared" si="549"/>
        <v>0</v>
      </c>
      <c r="Y825">
        <f t="shared" si="550"/>
        <v>0</v>
      </c>
      <c r="Z825">
        <f t="shared" si="551"/>
        <v>0</v>
      </c>
      <c r="AA825">
        <f t="shared" si="552"/>
        <v>0</v>
      </c>
      <c r="AB825">
        <f t="shared" si="553"/>
        <v>0</v>
      </c>
      <c r="AC825">
        <f t="shared" si="554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8"/>
        <v>=</v>
      </c>
      <c r="M826">
        <v>9</v>
      </c>
      <c r="N826" s="23" t="str">
        <f t="shared" si="531"/>
        <v/>
      </c>
      <c r="O826" s="7" t="str">
        <f t="shared" si="532"/>
        <v/>
      </c>
      <c r="P826" s="7" t="str">
        <f t="shared" si="533"/>
        <v/>
      </c>
      <c r="Q826" s="7" t="str">
        <f t="shared" si="534"/>
        <v/>
      </c>
      <c r="R826" s="17" t="str">
        <f t="shared" si="535"/>
        <v/>
      </c>
      <c r="S826" s="8" t="str">
        <f t="shared" si="536"/>
        <v/>
      </c>
      <c r="T826" s="2" t="str">
        <f t="shared" si="537"/>
        <v/>
      </c>
      <c r="U826" s="2" t="str">
        <f t="shared" si="538"/>
        <v/>
      </c>
      <c r="V826" t="str">
        <f t="shared" si="514"/>
        <v/>
      </c>
      <c r="X826">
        <f t="shared" si="549"/>
        <v>0</v>
      </c>
      <c r="Y826">
        <f t="shared" si="550"/>
        <v>0</v>
      </c>
      <c r="Z826">
        <f t="shared" si="551"/>
        <v>0</v>
      </c>
      <c r="AA826">
        <f t="shared" si="552"/>
        <v>0</v>
      </c>
      <c r="AB826">
        <f t="shared" si="553"/>
        <v>0</v>
      </c>
      <c r="AC826">
        <f t="shared" si="554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8"/>
        <v>=</v>
      </c>
      <c r="M827">
        <v>10</v>
      </c>
      <c r="N827" s="23" t="str">
        <f t="shared" si="531"/>
        <v/>
      </c>
      <c r="O827" s="7" t="str">
        <f t="shared" si="532"/>
        <v/>
      </c>
      <c r="P827" s="7" t="str">
        <f t="shared" si="533"/>
        <v/>
      </c>
      <c r="Q827" s="7" t="str">
        <f t="shared" si="534"/>
        <v/>
      </c>
      <c r="R827" s="17" t="str">
        <f t="shared" si="535"/>
        <v/>
      </c>
      <c r="S827" s="8" t="str">
        <f t="shared" si="536"/>
        <v/>
      </c>
      <c r="T827" s="2" t="str">
        <f t="shared" si="537"/>
        <v/>
      </c>
      <c r="U827" s="2" t="str">
        <f t="shared" si="538"/>
        <v/>
      </c>
      <c r="V827" t="str">
        <f t="shared" si="514"/>
        <v/>
      </c>
      <c r="X827">
        <f t="shared" si="549"/>
        <v>0</v>
      </c>
      <c r="Y827">
        <f t="shared" si="550"/>
        <v>0</v>
      </c>
      <c r="Z827">
        <f t="shared" si="551"/>
        <v>0</v>
      </c>
      <c r="AA827">
        <f t="shared" si="552"/>
        <v>0</v>
      </c>
      <c r="AB827">
        <f t="shared" si="553"/>
        <v>0</v>
      </c>
      <c r="AC827">
        <f t="shared" si="554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8"/>
        <v>=</v>
      </c>
      <c r="M828">
        <v>11</v>
      </c>
      <c r="N828" s="23" t="str">
        <f t="shared" si="531"/>
        <v>#</v>
      </c>
      <c r="O828" s="7" t="str">
        <f t="shared" si="532"/>
        <v>#</v>
      </c>
      <c r="P828" s="7" t="str">
        <f t="shared" si="533"/>
        <v>#</v>
      </c>
      <c r="Q828" s="7" t="str">
        <f t="shared" si="534"/>
        <v>#</v>
      </c>
      <c r="R828" s="17" t="str">
        <f t="shared" si="535"/>
        <v>#</v>
      </c>
      <c r="S828" s="8" t="str">
        <f t="shared" si="536"/>
        <v/>
      </c>
      <c r="T828" s="2" t="str">
        <f t="shared" si="537"/>
        <v/>
      </c>
      <c r="U828" s="2" t="str">
        <f t="shared" si="538"/>
        <v/>
      </c>
      <c r="V828" t="str">
        <f t="shared" si="514"/>
        <v/>
      </c>
      <c r="X828">
        <f t="shared" si="549"/>
        <v>1</v>
      </c>
      <c r="Y828">
        <f t="shared" si="550"/>
        <v>1</v>
      </c>
      <c r="Z828">
        <f t="shared" si="551"/>
        <v>1</v>
      </c>
      <c r="AA828">
        <f t="shared" si="552"/>
        <v>1</v>
      </c>
      <c r="AB828">
        <f t="shared" si="553"/>
        <v>1</v>
      </c>
      <c r="AC828">
        <f t="shared" si="554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8"/>
        <v>=</v>
      </c>
      <c r="M829">
        <v>12</v>
      </c>
      <c r="N829" s="23" t="str">
        <f t="shared" si="531"/>
        <v>#</v>
      </c>
      <c r="O829" s="7" t="str">
        <f t="shared" si="532"/>
        <v>#</v>
      </c>
      <c r="P829" s="7" t="str">
        <f t="shared" si="533"/>
        <v>#</v>
      </c>
      <c r="Q829" s="7" t="str">
        <f t="shared" si="534"/>
        <v>#</v>
      </c>
      <c r="R829" s="17" t="str">
        <f t="shared" si="535"/>
        <v>#</v>
      </c>
      <c r="S829" s="8" t="str">
        <f t="shared" si="536"/>
        <v/>
      </c>
      <c r="T829" s="2" t="str">
        <f t="shared" si="537"/>
        <v/>
      </c>
      <c r="U829" s="2" t="str">
        <f t="shared" si="538"/>
        <v/>
      </c>
      <c r="V829" t="str">
        <f t="shared" si="514"/>
        <v/>
      </c>
      <c r="X829">
        <f t="shared" si="549"/>
        <v>0</v>
      </c>
      <c r="Y829">
        <f t="shared" si="550"/>
        <v>0</v>
      </c>
      <c r="Z829">
        <f t="shared" si="551"/>
        <v>0</v>
      </c>
      <c r="AA829">
        <f t="shared" si="552"/>
        <v>0</v>
      </c>
      <c r="AB829">
        <f t="shared" si="553"/>
        <v>0</v>
      </c>
      <c r="AC829">
        <f t="shared" si="554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8"/>
        <v>=</v>
      </c>
      <c r="M830">
        <v>13</v>
      </c>
      <c r="N830" s="6" t="str">
        <f t="shared" si="531"/>
        <v/>
      </c>
      <c r="O830" s="7" t="str">
        <f t="shared" si="532"/>
        <v/>
      </c>
      <c r="P830" s="7" t="str">
        <f t="shared" si="533"/>
        <v/>
      </c>
      <c r="Q830" s="7" t="str">
        <f t="shared" si="534"/>
        <v/>
      </c>
      <c r="R830" s="17" t="str">
        <f t="shared" si="535"/>
        <v/>
      </c>
      <c r="S830" s="8" t="str">
        <f t="shared" si="536"/>
        <v/>
      </c>
      <c r="T830" s="2" t="str">
        <f t="shared" si="537"/>
        <v/>
      </c>
      <c r="U830" s="2" t="str">
        <f t="shared" si="538"/>
        <v/>
      </c>
      <c r="V830" t="str">
        <f t="shared" si="514"/>
        <v/>
      </c>
      <c r="X830">
        <f t="shared" si="549"/>
        <v>0</v>
      </c>
      <c r="Y830">
        <f t="shared" si="550"/>
        <v>0</v>
      </c>
      <c r="Z830">
        <f t="shared" si="551"/>
        <v>0</v>
      </c>
      <c r="AA830">
        <f t="shared" si="552"/>
        <v>0</v>
      </c>
      <c r="AB830">
        <f t="shared" si="553"/>
        <v>0</v>
      </c>
      <c r="AC830">
        <f t="shared" si="554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8"/>
        <v>=</v>
      </c>
      <c r="M831">
        <v>14</v>
      </c>
      <c r="N831" s="18" t="str">
        <f t="shared" si="531"/>
        <v/>
      </c>
      <c r="O831" s="19" t="str">
        <f t="shared" si="532"/>
        <v/>
      </c>
      <c r="P831" s="19" t="str">
        <f t="shared" si="533"/>
        <v/>
      </c>
      <c r="Q831" s="19" t="str">
        <f t="shared" si="534"/>
        <v/>
      </c>
      <c r="R831" s="20" t="str">
        <f t="shared" si="535"/>
        <v/>
      </c>
      <c r="S831" s="8" t="str">
        <f t="shared" si="536"/>
        <v/>
      </c>
      <c r="T831" s="2" t="str">
        <f t="shared" si="537"/>
        <v/>
      </c>
      <c r="U831" s="2" t="str">
        <f t="shared" si="538"/>
        <v/>
      </c>
      <c r="V831" t="str">
        <f t="shared" si="514"/>
        <v/>
      </c>
      <c r="X831">
        <f t="shared" si="549"/>
        <v>0</v>
      </c>
      <c r="Y831">
        <f t="shared" si="550"/>
        <v>0</v>
      </c>
      <c r="Z831">
        <f t="shared" si="551"/>
        <v>0</v>
      </c>
      <c r="AA831">
        <f t="shared" si="552"/>
        <v>0</v>
      </c>
      <c r="AB831">
        <f t="shared" si="553"/>
        <v>0</v>
      </c>
      <c r="AC831">
        <f t="shared" si="554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8"/>
        <v>=</v>
      </c>
      <c r="M832">
        <v>15</v>
      </c>
      <c r="N832" s="9" t="str">
        <f t="shared" si="531"/>
        <v/>
      </c>
      <c r="O832" s="10" t="str">
        <f t="shared" si="532"/>
        <v/>
      </c>
      <c r="P832" s="10" t="str">
        <f t="shared" si="533"/>
        <v/>
      </c>
      <c r="Q832" s="10" t="str">
        <f t="shared" si="534"/>
        <v/>
      </c>
      <c r="R832" s="10" t="str">
        <f t="shared" si="535"/>
        <v/>
      </c>
      <c r="S832" s="11" t="str">
        <f t="shared" si="536"/>
        <v/>
      </c>
      <c r="T832" s="2" t="str">
        <f t="shared" si="537"/>
        <v/>
      </c>
      <c r="U832" s="2" t="str">
        <f t="shared" si="538"/>
        <v/>
      </c>
      <c r="V832" t="str">
        <f t="shared" si="514"/>
        <v/>
      </c>
      <c r="X832">
        <f t="shared" si="549"/>
        <v>0</v>
      </c>
      <c r="Y832">
        <f t="shared" si="550"/>
        <v>0</v>
      </c>
      <c r="Z832">
        <f t="shared" si="551"/>
        <v>0</v>
      </c>
      <c r="AA832">
        <f t="shared" si="552"/>
        <v>0</v>
      </c>
      <c r="AB832">
        <f t="shared" si="553"/>
        <v>0</v>
      </c>
      <c r="AC832">
        <f t="shared" si="554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8"/>
        <v>=</v>
      </c>
      <c r="M833">
        <v>16</v>
      </c>
      <c r="N833" s="12" t="str">
        <f t="shared" si="531"/>
        <v/>
      </c>
      <c r="O833" s="13" t="str">
        <f t="shared" si="532"/>
        <v/>
      </c>
      <c r="P833" s="13" t="str">
        <f t="shared" si="533"/>
        <v/>
      </c>
      <c r="Q833" s="13" t="str">
        <f t="shared" si="534"/>
        <v/>
      </c>
      <c r="R833" s="13" t="str">
        <f t="shared" si="535"/>
        <v/>
      </c>
      <c r="S833" s="14" t="str">
        <f t="shared" si="536"/>
        <v/>
      </c>
      <c r="T833" s="2" t="str">
        <f t="shared" si="537"/>
        <v/>
      </c>
      <c r="U833" s="2" t="str">
        <f t="shared" si="538"/>
        <v/>
      </c>
      <c r="V833" t="str">
        <f t="shared" si="514"/>
        <v/>
      </c>
      <c r="X833">
        <f t="shared" si="549"/>
        <v>0</v>
      </c>
      <c r="Y833">
        <f t="shared" si="550"/>
        <v>0</v>
      </c>
      <c r="Z833">
        <f t="shared" si="551"/>
        <v>0</v>
      </c>
      <c r="AA833">
        <f t="shared" si="552"/>
        <v>0</v>
      </c>
      <c r="AB833">
        <f t="shared" si="553"/>
        <v>0</v>
      </c>
      <c r="AC833">
        <f t="shared" si="554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31"/>
        <v/>
      </c>
      <c r="O834" t="str">
        <f t="shared" si="532"/>
        <v/>
      </c>
      <c r="P834" t="str">
        <f t="shared" si="533"/>
        <v/>
      </c>
      <c r="Q834" t="str">
        <f t="shared" si="534"/>
        <v/>
      </c>
      <c r="R834" t="str">
        <f t="shared" si="535"/>
        <v/>
      </c>
      <c r="S834" t="str">
        <f t="shared" si="536"/>
        <v/>
      </c>
      <c r="T834" s="2" t="str">
        <f t="shared" si="537"/>
        <v/>
      </c>
      <c r="U834" s="2" t="str">
        <f t="shared" si="538"/>
        <v/>
      </c>
      <c r="V834" t="str">
        <f t="shared" ref="V834:V897" si="555">IF(A834=0,"",M834)</f>
        <v/>
      </c>
      <c r="W834">
        <f>SUM(B836:G849)</f>
        <v>18</v>
      </c>
      <c r="AD834">
        <f t="shared" ref="AD834" si="556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7">L834</f>
        <v>&gt;</v>
      </c>
      <c r="M835">
        <v>2</v>
      </c>
      <c r="N835" t="str">
        <f t="shared" si="531"/>
        <v/>
      </c>
      <c r="O835" t="str">
        <f t="shared" si="532"/>
        <v/>
      </c>
      <c r="P835" t="str">
        <f t="shared" si="533"/>
        <v/>
      </c>
      <c r="Q835" t="str">
        <f t="shared" si="534"/>
        <v/>
      </c>
      <c r="R835" t="str">
        <f t="shared" si="535"/>
        <v/>
      </c>
      <c r="S835" t="str">
        <f t="shared" si="536"/>
        <v/>
      </c>
      <c r="T835" s="2" t="str">
        <f t="shared" si="537"/>
        <v/>
      </c>
      <c r="U835" s="2" t="str">
        <f t="shared" si="538"/>
        <v/>
      </c>
      <c r="V835" t="str">
        <f t="shared" si="555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7"/>
        <v>&gt;</v>
      </c>
      <c r="M836">
        <v>3</v>
      </c>
      <c r="N836" s="3" t="str">
        <f t="shared" si="531"/>
        <v/>
      </c>
      <c r="O836" s="4" t="str">
        <f t="shared" si="532"/>
        <v/>
      </c>
      <c r="P836" s="4" t="str">
        <f t="shared" si="533"/>
        <v/>
      </c>
      <c r="Q836" s="4" t="str">
        <f t="shared" si="534"/>
        <v/>
      </c>
      <c r="R836" s="4" t="str">
        <f t="shared" si="535"/>
        <v/>
      </c>
      <c r="S836" s="5" t="str">
        <f t="shared" si="536"/>
        <v/>
      </c>
      <c r="T836" s="2" t="str">
        <f t="shared" si="537"/>
        <v/>
      </c>
      <c r="U836" s="2" t="str">
        <f t="shared" si="538"/>
        <v/>
      </c>
      <c r="V836" t="str">
        <f t="shared" si="555"/>
        <v/>
      </c>
      <c r="X836">
        <f t="shared" ref="X836:X849" si="558">MAX(B836-B835,0)</f>
        <v>0</v>
      </c>
      <c r="Y836">
        <f t="shared" ref="Y836:Y849" si="559">MAX(C836-C835,0)</f>
        <v>0</v>
      </c>
      <c r="Z836">
        <f t="shared" ref="Z836:Z849" si="560">MAX(D836-D835,0)</f>
        <v>0</v>
      </c>
      <c r="AA836">
        <f t="shared" ref="AA836:AA849" si="561">MAX(E836-E835,0)</f>
        <v>0</v>
      </c>
      <c r="AB836">
        <f t="shared" ref="AB836:AB849" si="562">MAX(F836-F835,0)</f>
        <v>0</v>
      </c>
      <c r="AC836">
        <f t="shared" ref="AC836:AC849" si="563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7"/>
        <v>&gt;</v>
      </c>
      <c r="M837">
        <v>4</v>
      </c>
      <c r="N837" s="6" t="str">
        <f t="shared" si="531"/>
        <v/>
      </c>
      <c r="O837" s="7" t="str">
        <f t="shared" si="532"/>
        <v/>
      </c>
      <c r="P837" s="7" t="str">
        <f t="shared" si="533"/>
        <v/>
      </c>
      <c r="Q837" s="7" t="str">
        <f t="shared" si="534"/>
        <v/>
      </c>
      <c r="R837" s="7" t="str">
        <f t="shared" si="535"/>
        <v/>
      </c>
      <c r="S837" s="8" t="str">
        <f t="shared" si="536"/>
        <v/>
      </c>
      <c r="T837" s="2" t="str">
        <f t="shared" si="537"/>
        <v/>
      </c>
      <c r="U837" s="2" t="str">
        <f t="shared" si="538"/>
        <v/>
      </c>
      <c r="V837" t="str">
        <f t="shared" si="555"/>
        <v/>
      </c>
      <c r="X837">
        <f t="shared" si="558"/>
        <v>0</v>
      </c>
      <c r="Y837">
        <f t="shared" si="559"/>
        <v>0</v>
      </c>
      <c r="Z837">
        <f t="shared" si="560"/>
        <v>0</v>
      </c>
      <c r="AA837">
        <f t="shared" si="561"/>
        <v>0</v>
      </c>
      <c r="AB837">
        <f t="shared" si="562"/>
        <v>0</v>
      </c>
      <c r="AC837">
        <f t="shared" si="563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7"/>
        <v>&gt;</v>
      </c>
      <c r="M838">
        <v>5</v>
      </c>
      <c r="N838" s="22" t="str">
        <f t="shared" si="531"/>
        <v>#</v>
      </c>
      <c r="O838" s="15" t="str">
        <f t="shared" si="532"/>
        <v/>
      </c>
      <c r="P838" s="15" t="str">
        <f t="shared" si="533"/>
        <v/>
      </c>
      <c r="Q838" s="15" t="str">
        <f t="shared" si="534"/>
        <v/>
      </c>
      <c r="R838" s="16" t="str">
        <f t="shared" si="535"/>
        <v/>
      </c>
      <c r="S838" s="8" t="str">
        <f t="shared" si="536"/>
        <v/>
      </c>
      <c r="T838" s="2" t="str">
        <f t="shared" si="537"/>
        <v/>
      </c>
      <c r="U838" s="2" t="str">
        <f t="shared" si="538"/>
        <v/>
      </c>
      <c r="V838" t="str">
        <f t="shared" si="555"/>
        <v/>
      </c>
      <c r="X838">
        <f t="shared" si="558"/>
        <v>1</v>
      </c>
      <c r="Y838">
        <f t="shared" si="559"/>
        <v>0</v>
      </c>
      <c r="Z838">
        <f t="shared" si="560"/>
        <v>0</v>
      </c>
      <c r="AA838">
        <f t="shared" si="561"/>
        <v>0</v>
      </c>
      <c r="AB838">
        <f t="shared" si="562"/>
        <v>0</v>
      </c>
      <c r="AC838">
        <f t="shared" si="563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7"/>
        <v>&gt;</v>
      </c>
      <c r="M839">
        <v>6</v>
      </c>
      <c r="N839" s="23" t="str">
        <f t="shared" si="531"/>
        <v>#</v>
      </c>
      <c r="O839" s="7" t="str">
        <f t="shared" si="532"/>
        <v>#</v>
      </c>
      <c r="P839" s="7" t="str">
        <f t="shared" si="533"/>
        <v/>
      </c>
      <c r="Q839" s="7" t="str">
        <f t="shared" si="534"/>
        <v/>
      </c>
      <c r="R839" s="17" t="str">
        <f t="shared" si="535"/>
        <v/>
      </c>
      <c r="S839" s="8" t="str">
        <f t="shared" si="536"/>
        <v/>
      </c>
      <c r="T839" s="2" t="str">
        <f t="shared" si="537"/>
        <v/>
      </c>
      <c r="U839" s="2" t="str">
        <f t="shared" si="538"/>
        <v/>
      </c>
      <c r="V839" t="str">
        <f t="shared" si="555"/>
        <v/>
      </c>
      <c r="X839">
        <f t="shared" si="558"/>
        <v>0</v>
      </c>
      <c r="Y839">
        <f t="shared" si="559"/>
        <v>1</v>
      </c>
      <c r="Z839">
        <f t="shared" si="560"/>
        <v>0</v>
      </c>
      <c r="AA839">
        <f t="shared" si="561"/>
        <v>0</v>
      </c>
      <c r="AB839">
        <f t="shared" si="562"/>
        <v>0</v>
      </c>
      <c r="AC839">
        <f t="shared" si="563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7"/>
        <v>&gt;</v>
      </c>
      <c r="M840">
        <v>7</v>
      </c>
      <c r="N840" s="23" t="str">
        <f t="shared" si="531"/>
        <v/>
      </c>
      <c r="O840" s="7" t="str">
        <f t="shared" si="532"/>
        <v>#</v>
      </c>
      <c r="P840" s="7" t="str">
        <f t="shared" si="533"/>
        <v>#</v>
      </c>
      <c r="Q840" s="7" t="str">
        <f t="shared" si="534"/>
        <v/>
      </c>
      <c r="R840" s="17" t="str">
        <f t="shared" si="535"/>
        <v/>
      </c>
      <c r="S840" s="8" t="str">
        <f t="shared" si="536"/>
        <v/>
      </c>
      <c r="T840" s="2" t="str">
        <f t="shared" si="537"/>
        <v/>
      </c>
      <c r="U840" s="2" t="str">
        <f t="shared" si="538"/>
        <v/>
      </c>
      <c r="V840" t="str">
        <f t="shared" si="555"/>
        <v/>
      </c>
      <c r="X840">
        <f t="shared" si="558"/>
        <v>0</v>
      </c>
      <c r="Y840">
        <f t="shared" si="559"/>
        <v>0</v>
      </c>
      <c r="Z840">
        <f t="shared" si="560"/>
        <v>1</v>
      </c>
      <c r="AA840">
        <f t="shared" si="561"/>
        <v>0</v>
      </c>
      <c r="AB840">
        <f t="shared" si="562"/>
        <v>0</v>
      </c>
      <c r="AC840">
        <f t="shared" si="563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7"/>
        <v>&gt;</v>
      </c>
      <c r="M841">
        <v>8</v>
      </c>
      <c r="N841" s="23" t="str">
        <f t="shared" si="531"/>
        <v/>
      </c>
      <c r="O841" s="7" t="str">
        <f t="shared" si="532"/>
        <v/>
      </c>
      <c r="P841" s="7" t="str">
        <f t="shared" si="533"/>
        <v>#</v>
      </c>
      <c r="Q841" s="7" t="str">
        <f t="shared" si="534"/>
        <v>#</v>
      </c>
      <c r="R841" s="17" t="str">
        <f t="shared" si="535"/>
        <v/>
      </c>
      <c r="S841" s="8" t="str">
        <f t="shared" si="536"/>
        <v/>
      </c>
      <c r="T841" s="2" t="str">
        <f t="shared" si="537"/>
        <v/>
      </c>
      <c r="U841" s="2" t="str">
        <f t="shared" si="538"/>
        <v/>
      </c>
      <c r="V841" t="str">
        <f t="shared" si="555"/>
        <v/>
      </c>
      <c r="X841">
        <f t="shared" si="558"/>
        <v>0</v>
      </c>
      <c r="Y841">
        <f t="shared" si="559"/>
        <v>0</v>
      </c>
      <c r="Z841">
        <f t="shared" si="560"/>
        <v>0</v>
      </c>
      <c r="AA841">
        <f t="shared" si="561"/>
        <v>1</v>
      </c>
      <c r="AB841">
        <f t="shared" si="562"/>
        <v>0</v>
      </c>
      <c r="AC841">
        <f t="shared" si="563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7"/>
        <v>&gt;</v>
      </c>
      <c r="M842">
        <v>9</v>
      </c>
      <c r="N842" s="23" t="str">
        <f t="shared" si="531"/>
        <v/>
      </c>
      <c r="O842" s="7" t="str">
        <f t="shared" si="532"/>
        <v/>
      </c>
      <c r="P842" s="7" t="str">
        <f t="shared" si="533"/>
        <v/>
      </c>
      <c r="Q842" s="7" t="str">
        <f t="shared" si="534"/>
        <v>#</v>
      </c>
      <c r="R842" s="17" t="str">
        <f t="shared" si="535"/>
        <v>#</v>
      </c>
      <c r="S842" s="8" t="str">
        <f t="shared" si="536"/>
        <v/>
      </c>
      <c r="T842" s="2" t="str">
        <f t="shared" si="537"/>
        <v/>
      </c>
      <c r="U842" s="2" t="str">
        <f t="shared" si="538"/>
        <v/>
      </c>
      <c r="V842" t="str">
        <f t="shared" si="555"/>
        <v/>
      </c>
      <c r="X842">
        <f t="shared" si="558"/>
        <v>0</v>
      </c>
      <c r="Y842">
        <f t="shared" si="559"/>
        <v>0</v>
      </c>
      <c r="Z842">
        <f t="shared" si="560"/>
        <v>0</v>
      </c>
      <c r="AA842">
        <f t="shared" si="561"/>
        <v>0</v>
      </c>
      <c r="AB842">
        <f t="shared" si="562"/>
        <v>1</v>
      </c>
      <c r="AC842">
        <f t="shared" si="563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7"/>
        <v>&gt;</v>
      </c>
      <c r="M843">
        <v>10</v>
      </c>
      <c r="N843" s="23" t="str">
        <f t="shared" si="531"/>
        <v/>
      </c>
      <c r="O843" s="7" t="str">
        <f t="shared" si="532"/>
        <v/>
      </c>
      <c r="P843" s="7" t="str">
        <f t="shared" si="533"/>
        <v/>
      </c>
      <c r="Q843" s="7" t="str">
        <f t="shared" si="534"/>
        <v>#</v>
      </c>
      <c r="R843" s="17" t="str">
        <f t="shared" si="535"/>
        <v>#</v>
      </c>
      <c r="S843" s="8" t="str">
        <f t="shared" si="536"/>
        <v/>
      </c>
      <c r="T843" s="2" t="str">
        <f t="shared" si="537"/>
        <v/>
      </c>
      <c r="U843" s="2" t="str">
        <f t="shared" si="538"/>
        <v/>
      </c>
      <c r="V843" t="str">
        <f t="shared" si="555"/>
        <v/>
      </c>
      <c r="X843">
        <f t="shared" si="558"/>
        <v>0</v>
      </c>
      <c r="Y843">
        <f t="shared" si="559"/>
        <v>0</v>
      </c>
      <c r="Z843">
        <f t="shared" si="560"/>
        <v>0</v>
      </c>
      <c r="AA843">
        <f t="shared" si="561"/>
        <v>0</v>
      </c>
      <c r="AB843">
        <f t="shared" si="562"/>
        <v>0</v>
      </c>
      <c r="AC843">
        <f t="shared" si="563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7"/>
        <v>&gt;</v>
      </c>
      <c r="M844">
        <v>11</v>
      </c>
      <c r="N844" s="23" t="str">
        <f t="shared" si="531"/>
        <v/>
      </c>
      <c r="O844" s="7" t="str">
        <f t="shared" si="532"/>
        <v/>
      </c>
      <c r="P844" s="7" t="str">
        <f t="shared" si="533"/>
        <v>#</v>
      </c>
      <c r="Q844" s="7" t="str">
        <f t="shared" si="534"/>
        <v>#</v>
      </c>
      <c r="R844" s="17" t="str">
        <f t="shared" si="535"/>
        <v/>
      </c>
      <c r="S844" s="8" t="str">
        <f t="shared" si="536"/>
        <v/>
      </c>
      <c r="T844" s="2" t="str">
        <f t="shared" si="537"/>
        <v/>
      </c>
      <c r="U844" s="2" t="str">
        <f t="shared" si="538"/>
        <v/>
      </c>
      <c r="V844" t="str">
        <f t="shared" si="555"/>
        <v/>
      </c>
      <c r="X844">
        <f t="shared" si="558"/>
        <v>0</v>
      </c>
      <c r="Y844">
        <f t="shared" si="559"/>
        <v>0</v>
      </c>
      <c r="Z844">
        <f t="shared" si="560"/>
        <v>1</v>
      </c>
      <c r="AA844">
        <f t="shared" si="561"/>
        <v>0</v>
      </c>
      <c r="AB844">
        <f t="shared" si="562"/>
        <v>0</v>
      </c>
      <c r="AC844">
        <f t="shared" si="563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7"/>
        <v>&gt;</v>
      </c>
      <c r="M845">
        <v>12</v>
      </c>
      <c r="N845" s="23" t="str">
        <f t="shared" si="531"/>
        <v/>
      </c>
      <c r="O845" s="7" t="str">
        <f t="shared" si="532"/>
        <v>#</v>
      </c>
      <c r="P845" s="7" t="str">
        <f t="shared" si="533"/>
        <v>#</v>
      </c>
      <c r="Q845" s="7" t="str">
        <f t="shared" si="534"/>
        <v/>
      </c>
      <c r="R845" s="17" t="str">
        <f t="shared" si="535"/>
        <v/>
      </c>
      <c r="S845" s="8" t="str">
        <f t="shared" si="536"/>
        <v/>
      </c>
      <c r="T845" s="2" t="str">
        <f t="shared" si="537"/>
        <v/>
      </c>
      <c r="U845" s="2" t="str">
        <f t="shared" si="538"/>
        <v/>
      </c>
      <c r="V845" t="str">
        <f t="shared" si="555"/>
        <v/>
      </c>
      <c r="X845">
        <f t="shared" si="558"/>
        <v>0</v>
      </c>
      <c r="Y845">
        <f t="shared" si="559"/>
        <v>1</v>
      </c>
      <c r="Z845">
        <f t="shared" si="560"/>
        <v>0</v>
      </c>
      <c r="AA845">
        <f t="shared" si="561"/>
        <v>0</v>
      </c>
      <c r="AB845">
        <f t="shared" si="562"/>
        <v>0</v>
      </c>
      <c r="AC845">
        <f t="shared" si="563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7"/>
        <v>&gt;</v>
      </c>
      <c r="M846">
        <v>13</v>
      </c>
      <c r="N846" s="6" t="str">
        <f t="shared" si="531"/>
        <v>#</v>
      </c>
      <c r="O846" s="7" t="str">
        <f t="shared" si="532"/>
        <v>#</v>
      </c>
      <c r="P846" s="7" t="str">
        <f t="shared" si="533"/>
        <v/>
      </c>
      <c r="Q846" s="7" t="str">
        <f t="shared" si="534"/>
        <v/>
      </c>
      <c r="R846" s="17" t="str">
        <f t="shared" si="535"/>
        <v/>
      </c>
      <c r="S846" s="8" t="str">
        <f t="shared" si="536"/>
        <v/>
      </c>
      <c r="T846" s="2" t="str">
        <f t="shared" si="537"/>
        <v/>
      </c>
      <c r="U846" s="2" t="str">
        <f t="shared" si="538"/>
        <v/>
      </c>
      <c r="V846" t="str">
        <f t="shared" si="555"/>
        <v/>
      </c>
      <c r="X846">
        <f t="shared" si="558"/>
        <v>1</v>
      </c>
      <c r="Y846">
        <f t="shared" si="559"/>
        <v>0</v>
      </c>
      <c r="Z846">
        <f t="shared" si="560"/>
        <v>0</v>
      </c>
      <c r="AA846">
        <f t="shared" si="561"/>
        <v>0</v>
      </c>
      <c r="AB846">
        <f t="shared" si="562"/>
        <v>0</v>
      </c>
      <c r="AC846">
        <f t="shared" si="563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7"/>
        <v>&gt;</v>
      </c>
      <c r="M847">
        <v>14</v>
      </c>
      <c r="N847" s="18" t="str">
        <f t="shared" si="531"/>
        <v>#</v>
      </c>
      <c r="O847" s="19" t="str">
        <f t="shared" si="532"/>
        <v/>
      </c>
      <c r="P847" s="19" t="str">
        <f t="shared" si="533"/>
        <v/>
      </c>
      <c r="Q847" s="19" t="str">
        <f t="shared" si="534"/>
        <v/>
      </c>
      <c r="R847" s="20" t="str">
        <f t="shared" si="535"/>
        <v/>
      </c>
      <c r="S847" s="8" t="str">
        <f t="shared" si="536"/>
        <v/>
      </c>
      <c r="T847" s="2" t="str">
        <f t="shared" si="537"/>
        <v/>
      </c>
      <c r="U847" s="2" t="str">
        <f t="shared" si="538"/>
        <v/>
      </c>
      <c r="V847" t="str">
        <f t="shared" si="555"/>
        <v/>
      </c>
      <c r="X847">
        <f t="shared" si="558"/>
        <v>0</v>
      </c>
      <c r="Y847">
        <f t="shared" si="559"/>
        <v>0</v>
      </c>
      <c r="Z847">
        <f t="shared" si="560"/>
        <v>0</v>
      </c>
      <c r="AA847">
        <f t="shared" si="561"/>
        <v>0</v>
      </c>
      <c r="AB847">
        <f t="shared" si="562"/>
        <v>0</v>
      </c>
      <c r="AC847">
        <f t="shared" si="563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7"/>
        <v>&gt;</v>
      </c>
      <c r="M848">
        <v>15</v>
      </c>
      <c r="N848" s="9" t="str">
        <f t="shared" si="531"/>
        <v/>
      </c>
      <c r="O848" s="10" t="str">
        <f t="shared" si="532"/>
        <v/>
      </c>
      <c r="P848" s="10" t="str">
        <f t="shared" si="533"/>
        <v/>
      </c>
      <c r="Q848" s="10" t="str">
        <f t="shared" si="534"/>
        <v/>
      </c>
      <c r="R848" s="10" t="str">
        <f t="shared" si="535"/>
        <v/>
      </c>
      <c r="S848" s="11" t="str">
        <f t="shared" si="536"/>
        <v/>
      </c>
      <c r="T848" s="2" t="str">
        <f t="shared" si="537"/>
        <v/>
      </c>
      <c r="U848" s="2" t="str">
        <f t="shared" si="538"/>
        <v/>
      </c>
      <c r="V848" t="str">
        <f t="shared" si="555"/>
        <v/>
      </c>
      <c r="X848">
        <f t="shared" si="558"/>
        <v>0</v>
      </c>
      <c r="Y848">
        <f t="shared" si="559"/>
        <v>0</v>
      </c>
      <c r="Z848">
        <f t="shared" si="560"/>
        <v>0</v>
      </c>
      <c r="AA848">
        <f t="shared" si="561"/>
        <v>0</v>
      </c>
      <c r="AB848">
        <f t="shared" si="562"/>
        <v>0</v>
      </c>
      <c r="AC848">
        <f t="shared" si="563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7"/>
        <v>&gt;</v>
      </c>
      <c r="M849">
        <v>16</v>
      </c>
      <c r="N849" s="12" t="str">
        <f t="shared" si="531"/>
        <v/>
      </c>
      <c r="O849" s="13" t="str">
        <f t="shared" si="532"/>
        <v/>
      </c>
      <c r="P849" s="13" t="str">
        <f t="shared" si="533"/>
        <v/>
      </c>
      <c r="Q849" s="13" t="str">
        <f t="shared" si="534"/>
        <v/>
      </c>
      <c r="R849" s="13" t="str">
        <f t="shared" si="535"/>
        <v/>
      </c>
      <c r="S849" s="14" t="str">
        <f t="shared" si="536"/>
        <v/>
      </c>
      <c r="T849" s="2" t="str">
        <f t="shared" si="537"/>
        <v/>
      </c>
      <c r="U849" s="2" t="str">
        <f t="shared" si="538"/>
        <v/>
      </c>
      <c r="V849" t="str">
        <f t="shared" si="555"/>
        <v/>
      </c>
      <c r="X849">
        <f t="shared" si="558"/>
        <v>0</v>
      </c>
      <c r="Y849">
        <f t="shared" si="559"/>
        <v>0</v>
      </c>
      <c r="Z849">
        <f t="shared" si="560"/>
        <v>0</v>
      </c>
      <c r="AA849">
        <f t="shared" si="561"/>
        <v>0</v>
      </c>
      <c r="AB849">
        <f t="shared" si="562"/>
        <v>0</v>
      </c>
      <c r="AC849">
        <f t="shared" si="563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31"/>
        <v/>
      </c>
      <c r="O850" t="str">
        <f t="shared" si="532"/>
        <v/>
      </c>
      <c r="P850" t="str">
        <f t="shared" si="533"/>
        <v/>
      </c>
      <c r="Q850" t="str">
        <f t="shared" si="534"/>
        <v/>
      </c>
      <c r="R850" t="str">
        <f t="shared" si="535"/>
        <v/>
      </c>
      <c r="S850" t="str">
        <f t="shared" si="536"/>
        <v/>
      </c>
      <c r="T850" s="2" t="str">
        <f t="shared" si="537"/>
        <v/>
      </c>
      <c r="U850" s="2" t="str">
        <f t="shared" si="538"/>
        <v/>
      </c>
      <c r="V850" t="str">
        <f t="shared" si="555"/>
        <v/>
      </c>
      <c r="W850">
        <f>SUM(B852:G865)</f>
        <v>17</v>
      </c>
      <c r="AD850">
        <f t="shared" ref="AD850" si="564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65">L850</f>
        <v>?</v>
      </c>
      <c r="M851">
        <v>2</v>
      </c>
      <c r="N851" t="str">
        <f t="shared" si="531"/>
        <v/>
      </c>
      <c r="O851" t="str">
        <f t="shared" si="532"/>
        <v/>
      </c>
      <c r="P851" t="str">
        <f t="shared" si="533"/>
        <v/>
      </c>
      <c r="Q851" t="str">
        <f t="shared" si="534"/>
        <v/>
      </c>
      <c r="R851" t="str">
        <f t="shared" si="535"/>
        <v/>
      </c>
      <c r="S851" t="str">
        <f t="shared" si="536"/>
        <v/>
      </c>
      <c r="T851" s="2" t="str">
        <f t="shared" si="537"/>
        <v/>
      </c>
      <c r="U851" s="2" t="str">
        <f t="shared" si="538"/>
        <v/>
      </c>
      <c r="V851" t="str">
        <f t="shared" si="555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65"/>
        <v>?</v>
      </c>
      <c r="M852">
        <v>3</v>
      </c>
      <c r="N852" s="3" t="str">
        <f t="shared" si="531"/>
        <v/>
      </c>
      <c r="O852" s="4" t="str">
        <f t="shared" si="532"/>
        <v/>
      </c>
      <c r="P852" s="4" t="str">
        <f t="shared" si="533"/>
        <v/>
      </c>
      <c r="Q852" s="4" t="str">
        <f t="shared" si="534"/>
        <v/>
      </c>
      <c r="R852" s="4" t="str">
        <f t="shared" si="535"/>
        <v/>
      </c>
      <c r="S852" s="5" t="str">
        <f t="shared" si="536"/>
        <v/>
      </c>
      <c r="T852" s="2" t="str">
        <f t="shared" si="537"/>
        <v/>
      </c>
      <c r="U852" s="2" t="str">
        <f t="shared" si="538"/>
        <v/>
      </c>
      <c r="V852" t="str">
        <f t="shared" si="555"/>
        <v/>
      </c>
      <c r="X852">
        <f t="shared" ref="X852:X865" si="566">MAX(B852-B851,0)</f>
        <v>0</v>
      </c>
      <c r="Y852">
        <f t="shared" ref="Y852:Y865" si="567">MAX(C852-C851,0)</f>
        <v>0</v>
      </c>
      <c r="Z852">
        <f t="shared" ref="Z852:Z865" si="568">MAX(D852-D851,0)</f>
        <v>0</v>
      </c>
      <c r="AA852">
        <f t="shared" ref="AA852:AA865" si="569">MAX(E852-E851,0)</f>
        <v>0</v>
      </c>
      <c r="AB852">
        <f t="shared" ref="AB852:AB865" si="570">MAX(F852-F851,0)</f>
        <v>0</v>
      </c>
      <c r="AC852">
        <f t="shared" ref="AC852:AC865" si="571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65"/>
        <v>?</v>
      </c>
      <c r="M853">
        <v>4</v>
      </c>
      <c r="N853" s="6" t="str">
        <f t="shared" si="531"/>
        <v/>
      </c>
      <c r="O853" s="7" t="str">
        <f t="shared" si="532"/>
        <v/>
      </c>
      <c r="P853" s="7" t="str">
        <f t="shared" si="533"/>
        <v/>
      </c>
      <c r="Q853" s="7" t="str">
        <f t="shared" si="534"/>
        <v/>
      </c>
      <c r="R853" s="7" t="str">
        <f t="shared" si="535"/>
        <v/>
      </c>
      <c r="S853" s="8" t="str">
        <f t="shared" si="536"/>
        <v/>
      </c>
      <c r="T853" s="2" t="str">
        <f t="shared" si="537"/>
        <v/>
      </c>
      <c r="U853" s="2" t="str">
        <f t="shared" si="538"/>
        <v/>
      </c>
      <c r="V853" t="str">
        <f t="shared" si="555"/>
        <v/>
      </c>
      <c r="X853">
        <f t="shared" si="566"/>
        <v>0</v>
      </c>
      <c r="Y853">
        <f t="shared" si="567"/>
        <v>0</v>
      </c>
      <c r="Z853">
        <f t="shared" si="568"/>
        <v>0</v>
      </c>
      <c r="AA853">
        <f t="shared" si="569"/>
        <v>0</v>
      </c>
      <c r="AB853">
        <f t="shared" si="570"/>
        <v>0</v>
      </c>
      <c r="AC853">
        <f t="shared" si="571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65"/>
        <v>?</v>
      </c>
      <c r="M854">
        <v>5</v>
      </c>
      <c r="N854" s="22" t="str">
        <f t="shared" si="531"/>
        <v>#</v>
      </c>
      <c r="O854" s="15" t="str">
        <f t="shared" si="532"/>
        <v>#</v>
      </c>
      <c r="P854" s="15" t="str">
        <f t="shared" si="533"/>
        <v>#</v>
      </c>
      <c r="Q854" s="15" t="str">
        <f t="shared" si="534"/>
        <v>#</v>
      </c>
      <c r="R854" s="16" t="str">
        <f t="shared" si="535"/>
        <v/>
      </c>
      <c r="S854" s="8" t="str">
        <f t="shared" si="536"/>
        <v/>
      </c>
      <c r="T854" s="2" t="str">
        <f t="shared" si="537"/>
        <v/>
      </c>
      <c r="U854" s="2" t="str">
        <f t="shared" si="538"/>
        <v/>
      </c>
      <c r="V854" t="str">
        <f t="shared" si="555"/>
        <v/>
      </c>
      <c r="X854">
        <f t="shared" si="566"/>
        <v>1</v>
      </c>
      <c r="Y854">
        <f t="shared" si="567"/>
        <v>1</v>
      </c>
      <c r="Z854">
        <f t="shared" si="568"/>
        <v>1</v>
      </c>
      <c r="AA854">
        <f t="shared" si="569"/>
        <v>1</v>
      </c>
      <c r="AB854">
        <f t="shared" si="570"/>
        <v>0</v>
      </c>
      <c r="AC854">
        <f t="shared" si="571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65"/>
        <v>?</v>
      </c>
      <c r="M855">
        <v>6</v>
      </c>
      <c r="N855" s="23" t="str">
        <f t="shared" si="531"/>
        <v>#</v>
      </c>
      <c r="O855" s="7" t="str">
        <f t="shared" si="532"/>
        <v>#</v>
      </c>
      <c r="P855" s="7" t="str">
        <f t="shared" si="533"/>
        <v>#</v>
      </c>
      <c r="Q855" s="7" t="str">
        <f t="shared" si="534"/>
        <v>#</v>
      </c>
      <c r="R855" s="17" t="str">
        <f t="shared" si="535"/>
        <v/>
      </c>
      <c r="S855" s="8" t="str">
        <f t="shared" si="536"/>
        <v/>
      </c>
      <c r="T855" s="2" t="str">
        <f t="shared" si="537"/>
        <v/>
      </c>
      <c r="U855" s="2" t="str">
        <f t="shared" si="538"/>
        <v/>
      </c>
      <c r="V855" t="str">
        <f t="shared" si="555"/>
        <v/>
      </c>
      <c r="X855">
        <f t="shared" si="566"/>
        <v>0</v>
      </c>
      <c r="Y855">
        <f t="shared" si="567"/>
        <v>0</v>
      </c>
      <c r="Z855">
        <f t="shared" si="568"/>
        <v>0</v>
      </c>
      <c r="AA855">
        <f t="shared" si="569"/>
        <v>0</v>
      </c>
      <c r="AB855">
        <f t="shared" si="570"/>
        <v>0</v>
      </c>
      <c r="AC855">
        <f t="shared" si="571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65"/>
        <v>?</v>
      </c>
      <c r="M856">
        <v>7</v>
      </c>
      <c r="N856" s="23" t="str">
        <f t="shared" si="531"/>
        <v/>
      </c>
      <c r="O856" s="7" t="str">
        <f t="shared" si="532"/>
        <v/>
      </c>
      <c r="P856" s="7" t="str">
        <f t="shared" si="533"/>
        <v/>
      </c>
      <c r="Q856" s="7" t="str">
        <f t="shared" si="534"/>
        <v>#</v>
      </c>
      <c r="R856" s="17" t="str">
        <f t="shared" si="535"/>
        <v/>
      </c>
      <c r="S856" s="8" t="str">
        <f t="shared" si="536"/>
        <v/>
      </c>
      <c r="T856" s="2" t="str">
        <f t="shared" si="537"/>
        <v/>
      </c>
      <c r="U856" s="2" t="str">
        <f t="shared" si="538"/>
        <v/>
      </c>
      <c r="V856" t="str">
        <f t="shared" si="555"/>
        <v/>
      </c>
      <c r="X856">
        <f t="shared" si="566"/>
        <v>0</v>
      </c>
      <c r="Y856">
        <f t="shared" si="567"/>
        <v>0</v>
      </c>
      <c r="Z856">
        <f t="shared" si="568"/>
        <v>0</v>
      </c>
      <c r="AA856">
        <f t="shared" si="569"/>
        <v>0</v>
      </c>
      <c r="AB856">
        <f t="shared" si="570"/>
        <v>0</v>
      </c>
      <c r="AC856">
        <f t="shared" si="571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65"/>
        <v>?</v>
      </c>
      <c r="M857">
        <v>8</v>
      </c>
      <c r="N857" s="23" t="str">
        <f t="shared" si="531"/>
        <v/>
      </c>
      <c r="O857" s="7" t="str">
        <f t="shared" si="532"/>
        <v/>
      </c>
      <c r="P857" s="7" t="str">
        <f t="shared" si="533"/>
        <v/>
      </c>
      <c r="Q857" s="7" t="str">
        <f t="shared" si="534"/>
        <v>#</v>
      </c>
      <c r="R857" s="17" t="str">
        <f t="shared" si="535"/>
        <v/>
      </c>
      <c r="S857" s="8" t="str">
        <f t="shared" si="536"/>
        <v/>
      </c>
      <c r="T857" s="2" t="str">
        <f t="shared" si="537"/>
        <v/>
      </c>
      <c r="U857" s="2" t="str">
        <f t="shared" si="538"/>
        <v/>
      </c>
      <c r="V857" t="str">
        <f t="shared" si="555"/>
        <v/>
      </c>
      <c r="X857">
        <f t="shared" si="566"/>
        <v>0</v>
      </c>
      <c r="Y857">
        <f t="shared" si="567"/>
        <v>0</v>
      </c>
      <c r="Z857">
        <f t="shared" si="568"/>
        <v>0</v>
      </c>
      <c r="AA857">
        <f t="shared" si="569"/>
        <v>0</v>
      </c>
      <c r="AB857">
        <f t="shared" si="570"/>
        <v>0</v>
      </c>
      <c r="AC857">
        <f t="shared" si="571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65"/>
        <v>?</v>
      </c>
      <c r="M858">
        <v>9</v>
      </c>
      <c r="N858" s="23" t="str">
        <f t="shared" si="531"/>
        <v/>
      </c>
      <c r="O858" s="7" t="str">
        <f t="shared" si="532"/>
        <v/>
      </c>
      <c r="P858" s="7" t="str">
        <f t="shared" si="533"/>
        <v>#</v>
      </c>
      <c r="Q858" s="7" t="str">
        <f t="shared" si="534"/>
        <v>#</v>
      </c>
      <c r="R858" s="17" t="str">
        <f t="shared" si="535"/>
        <v/>
      </c>
      <c r="S858" s="8" t="str">
        <f t="shared" si="536"/>
        <v/>
      </c>
      <c r="T858" s="2" t="str">
        <f t="shared" si="537"/>
        <v/>
      </c>
      <c r="U858" s="2" t="str">
        <f t="shared" si="538"/>
        <v/>
      </c>
      <c r="V858" t="str">
        <f t="shared" si="555"/>
        <v/>
      </c>
      <c r="X858">
        <f t="shared" si="566"/>
        <v>0</v>
      </c>
      <c r="Y858">
        <f t="shared" si="567"/>
        <v>0</v>
      </c>
      <c r="Z858">
        <f t="shared" si="568"/>
        <v>1</v>
      </c>
      <c r="AA858">
        <f t="shared" si="569"/>
        <v>0</v>
      </c>
      <c r="AB858">
        <f t="shared" si="570"/>
        <v>0</v>
      </c>
      <c r="AC858">
        <f t="shared" si="571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65"/>
        <v>?</v>
      </c>
      <c r="M859">
        <v>10</v>
      </c>
      <c r="N859" s="23" t="str">
        <f t="shared" si="531"/>
        <v/>
      </c>
      <c r="O859" s="7" t="str">
        <f t="shared" si="532"/>
        <v/>
      </c>
      <c r="P859" s="7" t="str">
        <f t="shared" si="533"/>
        <v>#</v>
      </c>
      <c r="Q859" s="7" t="str">
        <f t="shared" si="534"/>
        <v/>
      </c>
      <c r="R859" s="17" t="str">
        <f t="shared" si="535"/>
        <v/>
      </c>
      <c r="S859" s="8" t="str">
        <f t="shared" si="536"/>
        <v/>
      </c>
      <c r="T859" s="2" t="str">
        <f t="shared" si="537"/>
        <v/>
      </c>
      <c r="U859" s="2" t="str">
        <f t="shared" si="538"/>
        <v/>
      </c>
      <c r="V859" t="str">
        <f t="shared" si="555"/>
        <v/>
      </c>
      <c r="X859">
        <f t="shared" si="566"/>
        <v>0</v>
      </c>
      <c r="Y859">
        <f t="shared" si="567"/>
        <v>0</v>
      </c>
      <c r="Z859">
        <f t="shared" si="568"/>
        <v>0</v>
      </c>
      <c r="AA859">
        <f t="shared" si="569"/>
        <v>0</v>
      </c>
      <c r="AB859">
        <f t="shared" si="570"/>
        <v>0</v>
      </c>
      <c r="AC859">
        <f t="shared" si="571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65"/>
        <v>?</v>
      </c>
      <c r="M860">
        <v>11</v>
      </c>
      <c r="N860" s="23" t="str">
        <f t="shared" si="531"/>
        <v/>
      </c>
      <c r="O860" s="7" t="str">
        <f t="shared" si="532"/>
        <v/>
      </c>
      <c r="P860" s="7" t="str">
        <f t="shared" si="533"/>
        <v>#</v>
      </c>
      <c r="Q860" s="7" t="str">
        <f t="shared" si="534"/>
        <v/>
      </c>
      <c r="R860" s="17" t="str">
        <f t="shared" si="535"/>
        <v/>
      </c>
      <c r="S860" s="8" t="str">
        <f t="shared" si="536"/>
        <v/>
      </c>
      <c r="T860" s="2" t="str">
        <f t="shared" si="537"/>
        <v/>
      </c>
      <c r="U860" s="2" t="str">
        <f t="shared" si="538"/>
        <v/>
      </c>
      <c r="V860" t="str">
        <f t="shared" si="555"/>
        <v/>
      </c>
      <c r="X860">
        <f t="shared" si="566"/>
        <v>0</v>
      </c>
      <c r="Y860">
        <f t="shared" si="567"/>
        <v>0</v>
      </c>
      <c r="Z860">
        <f t="shared" si="568"/>
        <v>0</v>
      </c>
      <c r="AA860">
        <f t="shared" si="569"/>
        <v>0</v>
      </c>
      <c r="AB860">
        <f t="shared" si="570"/>
        <v>0</v>
      </c>
      <c r="AC860">
        <f t="shared" si="571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65"/>
        <v>?</v>
      </c>
      <c r="M861">
        <v>12</v>
      </c>
      <c r="N861" s="23" t="str">
        <f t="shared" si="531"/>
        <v/>
      </c>
      <c r="O861" s="7" t="str">
        <f t="shared" si="532"/>
        <v/>
      </c>
      <c r="P861" s="7" t="str">
        <f t="shared" si="533"/>
        <v/>
      </c>
      <c r="Q861" s="7" t="str">
        <f t="shared" si="534"/>
        <v/>
      </c>
      <c r="R861" s="17" t="str">
        <f t="shared" si="535"/>
        <v/>
      </c>
      <c r="S861" s="8" t="str">
        <f t="shared" si="536"/>
        <v/>
      </c>
      <c r="T861" s="2" t="str">
        <f t="shared" si="537"/>
        <v/>
      </c>
      <c r="U861" s="2" t="str">
        <f t="shared" si="538"/>
        <v/>
      </c>
      <c r="V861" t="str">
        <f t="shared" si="555"/>
        <v/>
      </c>
      <c r="X861">
        <f t="shared" si="566"/>
        <v>0</v>
      </c>
      <c r="Y861">
        <f t="shared" si="567"/>
        <v>0</v>
      </c>
      <c r="Z861">
        <f t="shared" si="568"/>
        <v>0</v>
      </c>
      <c r="AA861">
        <f t="shared" si="569"/>
        <v>0</v>
      </c>
      <c r="AB861">
        <f t="shared" si="570"/>
        <v>0</v>
      </c>
      <c r="AC861">
        <f t="shared" si="571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65"/>
        <v>?</v>
      </c>
      <c r="M862">
        <v>13</v>
      </c>
      <c r="N862" s="6" t="str">
        <f t="shared" si="531"/>
        <v/>
      </c>
      <c r="O862" s="7" t="str">
        <f t="shared" si="532"/>
        <v/>
      </c>
      <c r="P862" s="7" t="str">
        <f t="shared" si="533"/>
        <v/>
      </c>
      <c r="Q862" s="7" t="str">
        <f t="shared" si="534"/>
        <v/>
      </c>
      <c r="R862" s="17" t="str">
        <f t="shared" si="535"/>
        <v/>
      </c>
      <c r="S862" s="8" t="str">
        <f t="shared" si="536"/>
        <v/>
      </c>
      <c r="T862" s="2" t="str">
        <f t="shared" si="537"/>
        <v/>
      </c>
      <c r="U862" s="2" t="str">
        <f t="shared" si="538"/>
        <v/>
      </c>
      <c r="V862" t="str">
        <f t="shared" si="555"/>
        <v/>
      </c>
      <c r="X862">
        <f t="shared" si="566"/>
        <v>0</v>
      </c>
      <c r="Y862">
        <f t="shared" si="567"/>
        <v>0</v>
      </c>
      <c r="Z862">
        <f t="shared" si="568"/>
        <v>0</v>
      </c>
      <c r="AA862">
        <f t="shared" si="569"/>
        <v>0</v>
      </c>
      <c r="AB862">
        <f t="shared" si="570"/>
        <v>0</v>
      </c>
      <c r="AC862">
        <f t="shared" si="571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65"/>
        <v>?</v>
      </c>
      <c r="M863">
        <v>14</v>
      </c>
      <c r="N863" s="18" t="str">
        <f t="shared" si="531"/>
        <v/>
      </c>
      <c r="O863" s="19" t="str">
        <f t="shared" si="532"/>
        <v/>
      </c>
      <c r="P863" s="19" t="str">
        <f t="shared" si="533"/>
        <v>#</v>
      </c>
      <c r="Q863" s="19" t="str">
        <f t="shared" si="534"/>
        <v/>
      </c>
      <c r="R863" s="20" t="str">
        <f t="shared" si="535"/>
        <v/>
      </c>
      <c r="S863" s="8" t="str">
        <f t="shared" si="536"/>
        <v/>
      </c>
      <c r="T863" s="2" t="str">
        <f t="shared" si="537"/>
        <v/>
      </c>
      <c r="U863" s="2" t="str">
        <f t="shared" si="538"/>
        <v/>
      </c>
      <c r="V863" t="str">
        <f t="shared" si="555"/>
        <v/>
      </c>
      <c r="X863">
        <f t="shared" si="566"/>
        <v>0</v>
      </c>
      <c r="Y863">
        <f t="shared" si="567"/>
        <v>0</v>
      </c>
      <c r="Z863">
        <f t="shared" si="568"/>
        <v>1</v>
      </c>
      <c r="AA863">
        <f t="shared" si="569"/>
        <v>0</v>
      </c>
      <c r="AB863">
        <f t="shared" si="570"/>
        <v>0</v>
      </c>
      <c r="AC863">
        <f t="shared" si="571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65"/>
        <v>?</v>
      </c>
      <c r="M864">
        <v>15</v>
      </c>
      <c r="N864" s="9" t="str">
        <f t="shared" si="531"/>
        <v/>
      </c>
      <c r="O864" s="10" t="str">
        <f t="shared" si="532"/>
        <v/>
      </c>
      <c r="P864" s="10" t="str">
        <f t="shared" si="533"/>
        <v>#</v>
      </c>
      <c r="Q864" s="10" t="str">
        <f t="shared" si="534"/>
        <v/>
      </c>
      <c r="R864" s="10" t="str">
        <f t="shared" si="535"/>
        <v/>
      </c>
      <c r="S864" s="11" t="str">
        <f t="shared" si="536"/>
        <v/>
      </c>
      <c r="T864" s="2" t="str">
        <f t="shared" si="537"/>
        <v/>
      </c>
      <c r="U864" s="2" t="str">
        <f t="shared" si="538"/>
        <v/>
      </c>
      <c r="V864" t="str">
        <f t="shared" si="555"/>
        <v/>
      </c>
      <c r="X864">
        <f t="shared" si="566"/>
        <v>0</v>
      </c>
      <c r="Y864">
        <f t="shared" si="567"/>
        <v>0</v>
      </c>
      <c r="Z864">
        <f t="shared" si="568"/>
        <v>0</v>
      </c>
      <c r="AA864">
        <f t="shared" si="569"/>
        <v>0</v>
      </c>
      <c r="AB864">
        <f t="shared" si="570"/>
        <v>0</v>
      </c>
      <c r="AC864">
        <f t="shared" si="571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65"/>
        <v>?</v>
      </c>
      <c r="M865">
        <v>16</v>
      </c>
      <c r="N865" s="12" t="str">
        <f t="shared" si="531"/>
        <v/>
      </c>
      <c r="O865" s="13" t="str">
        <f t="shared" si="532"/>
        <v/>
      </c>
      <c r="P865" s="13" t="str">
        <f t="shared" si="533"/>
        <v>#</v>
      </c>
      <c r="Q865" s="13" t="str">
        <f t="shared" si="534"/>
        <v/>
      </c>
      <c r="R865" s="13" t="str">
        <f t="shared" si="535"/>
        <v/>
      </c>
      <c r="S865" s="14" t="str">
        <f t="shared" si="536"/>
        <v/>
      </c>
      <c r="T865" s="2" t="str">
        <f t="shared" si="537"/>
        <v/>
      </c>
      <c r="U865" s="2" t="str">
        <f t="shared" si="538"/>
        <v/>
      </c>
      <c r="V865" t="str">
        <f t="shared" si="555"/>
        <v/>
      </c>
      <c r="X865">
        <f t="shared" si="566"/>
        <v>0</v>
      </c>
      <c r="Y865">
        <f t="shared" si="567"/>
        <v>0</v>
      </c>
      <c r="Z865">
        <f t="shared" si="568"/>
        <v>0</v>
      </c>
      <c r="AA865">
        <f t="shared" si="569"/>
        <v>0</v>
      </c>
      <c r="AB865">
        <f t="shared" si="570"/>
        <v>0</v>
      </c>
      <c r="AC865">
        <f t="shared" si="571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72">IF(B866&gt;0,"#","")</f>
        <v/>
      </c>
      <c r="O866" t="str">
        <f t="shared" ref="O866:O929" si="573">IF(C866&gt;0,"#","")</f>
        <v/>
      </c>
      <c r="P866" t="str">
        <f t="shared" ref="P866:P929" si="574">IF(D866&gt;0,"#","")</f>
        <v/>
      </c>
      <c r="Q866" t="str">
        <f t="shared" ref="Q866:Q929" si="575">IF(E866&gt;0,"#","")</f>
        <v/>
      </c>
      <c r="R866" t="str">
        <f t="shared" ref="R866:R929" si="576">IF(F866&gt;0,"#","")</f>
        <v/>
      </c>
      <c r="S866" t="str">
        <f t="shared" ref="S866:S929" si="577">IF(G866&gt;0,"#","")</f>
        <v/>
      </c>
      <c r="T866" s="2" t="str">
        <f t="shared" ref="T866:T929" si="578">IF(H866&gt;0,"#","")</f>
        <v/>
      </c>
      <c r="U866" s="2" t="str">
        <f t="shared" ref="U866:U929" si="579">IF(I866&gt;0,"#","")</f>
        <v/>
      </c>
      <c r="V866" t="str">
        <f t="shared" si="555"/>
        <v/>
      </c>
      <c r="W866">
        <f>SUM(B868:G881)</f>
        <v>33</v>
      </c>
      <c r="AD866">
        <f t="shared" ref="AD866" si="580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81">L866</f>
        <v>@</v>
      </c>
      <c r="M867">
        <v>2</v>
      </c>
      <c r="N867" t="str">
        <f t="shared" si="572"/>
        <v/>
      </c>
      <c r="O867" t="str">
        <f t="shared" si="573"/>
        <v/>
      </c>
      <c r="P867" t="str">
        <f t="shared" si="574"/>
        <v/>
      </c>
      <c r="Q867" t="str">
        <f t="shared" si="575"/>
        <v/>
      </c>
      <c r="R867" t="str">
        <f t="shared" si="576"/>
        <v/>
      </c>
      <c r="S867" t="str">
        <f t="shared" si="577"/>
        <v/>
      </c>
      <c r="T867" s="2" t="str">
        <f t="shared" si="578"/>
        <v/>
      </c>
      <c r="U867" s="2" t="str">
        <f t="shared" si="579"/>
        <v/>
      </c>
      <c r="V867" t="str">
        <f t="shared" si="555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81"/>
        <v>@</v>
      </c>
      <c r="M868">
        <v>3</v>
      </c>
      <c r="N868" s="3" t="str">
        <f t="shared" si="572"/>
        <v/>
      </c>
      <c r="O868" s="4" t="str">
        <f t="shared" si="573"/>
        <v/>
      </c>
      <c r="P868" s="4" t="str">
        <f t="shared" si="574"/>
        <v/>
      </c>
      <c r="Q868" s="4" t="str">
        <f t="shared" si="575"/>
        <v/>
      </c>
      <c r="R868" s="4" t="str">
        <f t="shared" si="576"/>
        <v/>
      </c>
      <c r="S868" s="5" t="str">
        <f t="shared" si="577"/>
        <v/>
      </c>
      <c r="T868" s="2" t="str">
        <f t="shared" si="578"/>
        <v/>
      </c>
      <c r="U868" s="2" t="str">
        <f t="shared" si="579"/>
        <v/>
      </c>
      <c r="V868" t="str">
        <f t="shared" si="555"/>
        <v/>
      </c>
      <c r="X868">
        <f t="shared" ref="X868:X881" si="582">MAX(B868-B867,0)</f>
        <v>0</v>
      </c>
      <c r="Y868">
        <f t="shared" ref="Y868:Y881" si="583">MAX(C868-C867,0)</f>
        <v>0</v>
      </c>
      <c r="Z868">
        <f t="shared" ref="Z868:Z881" si="584">MAX(D868-D867,0)</f>
        <v>0</v>
      </c>
      <c r="AA868">
        <f t="shared" ref="AA868:AA881" si="585">MAX(E868-E867,0)</f>
        <v>0</v>
      </c>
      <c r="AB868">
        <f t="shared" ref="AB868:AB881" si="586">MAX(F868-F867,0)</f>
        <v>0</v>
      </c>
      <c r="AC868">
        <f t="shared" ref="AC868:AC881" si="587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81"/>
        <v>@</v>
      </c>
      <c r="M869">
        <v>4</v>
      </c>
      <c r="N869" s="6" t="str">
        <f t="shared" si="572"/>
        <v/>
      </c>
      <c r="O869" s="7" t="str">
        <f t="shared" si="573"/>
        <v/>
      </c>
      <c r="P869" s="7" t="str">
        <f t="shared" si="574"/>
        <v/>
      </c>
      <c r="Q869" s="7" t="str">
        <f t="shared" si="575"/>
        <v/>
      </c>
      <c r="R869" s="7" t="str">
        <f t="shared" si="576"/>
        <v/>
      </c>
      <c r="S869" s="8" t="str">
        <f t="shared" si="577"/>
        <v/>
      </c>
      <c r="T869" s="2" t="str">
        <f t="shared" si="578"/>
        <v/>
      </c>
      <c r="U869" s="2" t="str">
        <f t="shared" si="579"/>
        <v/>
      </c>
      <c r="V869" t="str">
        <f t="shared" si="555"/>
        <v/>
      </c>
      <c r="X869">
        <f t="shared" si="582"/>
        <v>0</v>
      </c>
      <c r="Y869">
        <f t="shared" si="583"/>
        <v>0</v>
      </c>
      <c r="Z869">
        <f t="shared" si="584"/>
        <v>0</v>
      </c>
      <c r="AA869">
        <f t="shared" si="585"/>
        <v>0</v>
      </c>
      <c r="AB869">
        <f t="shared" si="586"/>
        <v>0</v>
      </c>
      <c r="AC869">
        <f t="shared" si="587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81"/>
        <v>@</v>
      </c>
      <c r="M870">
        <v>5</v>
      </c>
      <c r="N870" s="22" t="str">
        <f t="shared" si="572"/>
        <v/>
      </c>
      <c r="O870" s="15" t="str">
        <f t="shared" si="573"/>
        <v>#</v>
      </c>
      <c r="P870" s="15" t="str">
        <f t="shared" si="574"/>
        <v>#</v>
      </c>
      <c r="Q870" s="15" t="str">
        <f t="shared" si="575"/>
        <v>#</v>
      </c>
      <c r="R870" s="16" t="str">
        <f t="shared" si="576"/>
        <v/>
      </c>
      <c r="S870" s="8" t="str">
        <f t="shared" si="577"/>
        <v/>
      </c>
      <c r="T870" s="2" t="str">
        <f t="shared" si="578"/>
        <v/>
      </c>
      <c r="U870" s="2" t="str">
        <f t="shared" si="579"/>
        <v/>
      </c>
      <c r="V870" t="str">
        <f t="shared" si="555"/>
        <v/>
      </c>
      <c r="X870">
        <f t="shared" si="582"/>
        <v>0</v>
      </c>
      <c r="Y870">
        <f t="shared" si="583"/>
        <v>1</v>
      </c>
      <c r="Z870">
        <f t="shared" si="584"/>
        <v>1</v>
      </c>
      <c r="AA870">
        <f t="shared" si="585"/>
        <v>1</v>
      </c>
      <c r="AB870">
        <f t="shared" si="586"/>
        <v>0</v>
      </c>
      <c r="AC870">
        <f t="shared" si="587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81"/>
        <v>@</v>
      </c>
      <c r="M871">
        <v>6</v>
      </c>
      <c r="N871" s="23" t="str">
        <f t="shared" si="572"/>
        <v>#</v>
      </c>
      <c r="O871" s="7" t="str">
        <f t="shared" si="573"/>
        <v>#</v>
      </c>
      <c r="P871" s="7" t="str">
        <f t="shared" si="574"/>
        <v>#</v>
      </c>
      <c r="Q871" s="7" t="str">
        <f t="shared" si="575"/>
        <v>#</v>
      </c>
      <c r="R871" s="17" t="str">
        <f t="shared" si="576"/>
        <v>#</v>
      </c>
      <c r="S871" s="8" t="str">
        <f t="shared" si="577"/>
        <v/>
      </c>
      <c r="T871" s="2" t="str">
        <f t="shared" si="578"/>
        <v/>
      </c>
      <c r="U871" s="2" t="str">
        <f t="shared" si="579"/>
        <v/>
      </c>
      <c r="V871" t="str">
        <f t="shared" si="555"/>
        <v/>
      </c>
      <c r="X871">
        <f t="shared" si="582"/>
        <v>1</v>
      </c>
      <c r="Y871">
        <f t="shared" si="583"/>
        <v>0</v>
      </c>
      <c r="Z871">
        <f t="shared" si="584"/>
        <v>0</v>
      </c>
      <c r="AA871">
        <f t="shared" si="585"/>
        <v>0</v>
      </c>
      <c r="AB871">
        <f t="shared" si="586"/>
        <v>1</v>
      </c>
      <c r="AC871">
        <f t="shared" si="587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81"/>
        <v>@</v>
      </c>
      <c r="M872">
        <v>7</v>
      </c>
      <c r="N872" s="23" t="str">
        <f t="shared" si="572"/>
        <v>#</v>
      </c>
      <c r="O872" s="7" t="str">
        <f t="shared" si="573"/>
        <v/>
      </c>
      <c r="P872" s="7" t="str">
        <f t="shared" si="574"/>
        <v/>
      </c>
      <c r="Q872" s="7" t="str">
        <f t="shared" si="575"/>
        <v/>
      </c>
      <c r="R872" s="17" t="str">
        <f t="shared" si="576"/>
        <v>#</v>
      </c>
      <c r="S872" s="8" t="str">
        <f t="shared" si="577"/>
        <v/>
      </c>
      <c r="T872" s="2" t="str">
        <f t="shared" si="578"/>
        <v/>
      </c>
      <c r="U872" s="2" t="str">
        <f t="shared" si="579"/>
        <v/>
      </c>
      <c r="V872" t="str">
        <f t="shared" si="555"/>
        <v/>
      </c>
      <c r="X872">
        <f t="shared" si="582"/>
        <v>0</v>
      </c>
      <c r="Y872">
        <f t="shared" si="583"/>
        <v>0</v>
      </c>
      <c r="Z872">
        <f t="shared" si="584"/>
        <v>0</v>
      </c>
      <c r="AA872">
        <f t="shared" si="585"/>
        <v>0</v>
      </c>
      <c r="AB872">
        <f t="shared" si="586"/>
        <v>0</v>
      </c>
      <c r="AC872">
        <f t="shared" si="587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81"/>
        <v>@</v>
      </c>
      <c r="M873">
        <v>8</v>
      </c>
      <c r="N873" s="23" t="str">
        <f t="shared" si="572"/>
        <v>#</v>
      </c>
      <c r="O873" s="7" t="str">
        <f t="shared" si="573"/>
        <v/>
      </c>
      <c r="P873" s="7" t="str">
        <f t="shared" si="574"/>
        <v/>
      </c>
      <c r="Q873" s="7" t="str">
        <f t="shared" si="575"/>
        <v/>
      </c>
      <c r="R873" s="17" t="str">
        <f t="shared" si="576"/>
        <v>#</v>
      </c>
      <c r="S873" s="8" t="str">
        <f t="shared" si="577"/>
        <v/>
      </c>
      <c r="T873" s="2" t="str">
        <f t="shared" si="578"/>
        <v/>
      </c>
      <c r="U873" s="2" t="str">
        <f t="shared" si="579"/>
        <v/>
      </c>
      <c r="V873" t="str">
        <f t="shared" si="555"/>
        <v/>
      </c>
      <c r="X873">
        <f t="shared" si="582"/>
        <v>0</v>
      </c>
      <c r="Y873">
        <f t="shared" si="583"/>
        <v>0</v>
      </c>
      <c r="Z873">
        <f t="shared" si="584"/>
        <v>0</v>
      </c>
      <c r="AA873">
        <f t="shared" si="585"/>
        <v>0</v>
      </c>
      <c r="AB873">
        <f t="shared" si="586"/>
        <v>0</v>
      </c>
      <c r="AC873">
        <f t="shared" si="587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81"/>
        <v>@</v>
      </c>
      <c r="M874">
        <v>9</v>
      </c>
      <c r="N874" s="23" t="str">
        <f t="shared" si="572"/>
        <v>#</v>
      </c>
      <c r="O874" s="7" t="str">
        <f t="shared" si="573"/>
        <v/>
      </c>
      <c r="P874" s="7" t="str">
        <f t="shared" si="574"/>
        <v>#</v>
      </c>
      <c r="Q874" s="7" t="str">
        <f t="shared" si="575"/>
        <v>#</v>
      </c>
      <c r="R874" s="17" t="str">
        <f t="shared" si="576"/>
        <v>#</v>
      </c>
      <c r="S874" s="8" t="str">
        <f t="shared" si="577"/>
        <v/>
      </c>
      <c r="T874" s="2" t="str">
        <f t="shared" si="578"/>
        <v/>
      </c>
      <c r="U874" s="2" t="str">
        <f t="shared" si="579"/>
        <v/>
      </c>
      <c r="V874" t="str">
        <f t="shared" si="555"/>
        <v/>
      </c>
      <c r="X874">
        <f t="shared" si="582"/>
        <v>0</v>
      </c>
      <c r="Y874">
        <f t="shared" si="583"/>
        <v>0</v>
      </c>
      <c r="Z874">
        <f t="shared" si="584"/>
        <v>1</v>
      </c>
      <c r="AA874">
        <f t="shared" si="585"/>
        <v>1</v>
      </c>
      <c r="AB874">
        <f t="shared" si="586"/>
        <v>0</v>
      </c>
      <c r="AC874">
        <f t="shared" si="587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81"/>
        <v>@</v>
      </c>
      <c r="M875">
        <v>10</v>
      </c>
      <c r="N875" s="23" t="str">
        <f t="shared" si="572"/>
        <v>#</v>
      </c>
      <c r="O875" s="7" t="str">
        <f t="shared" si="573"/>
        <v/>
      </c>
      <c r="P875" s="7" t="str">
        <f t="shared" si="574"/>
        <v>#</v>
      </c>
      <c r="Q875" s="7" t="str">
        <f t="shared" si="575"/>
        <v>#</v>
      </c>
      <c r="R875" s="17" t="str">
        <f t="shared" si="576"/>
        <v>#</v>
      </c>
      <c r="S875" s="8" t="str">
        <f t="shared" si="577"/>
        <v/>
      </c>
      <c r="T875" s="2" t="str">
        <f t="shared" si="578"/>
        <v/>
      </c>
      <c r="U875" s="2" t="str">
        <f t="shared" si="579"/>
        <v/>
      </c>
      <c r="V875" t="str">
        <f t="shared" si="555"/>
        <v/>
      </c>
      <c r="X875">
        <f t="shared" si="582"/>
        <v>0</v>
      </c>
      <c r="Y875">
        <f t="shared" si="583"/>
        <v>0</v>
      </c>
      <c r="Z875">
        <f t="shared" si="584"/>
        <v>0</v>
      </c>
      <c r="AA875">
        <f t="shared" si="585"/>
        <v>0</v>
      </c>
      <c r="AB875">
        <f t="shared" si="586"/>
        <v>0</v>
      </c>
      <c r="AC875">
        <f t="shared" si="587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81"/>
        <v>@</v>
      </c>
      <c r="M876">
        <v>11</v>
      </c>
      <c r="N876" s="23" t="str">
        <f t="shared" si="572"/>
        <v>#</v>
      </c>
      <c r="O876" s="7" t="str">
        <f t="shared" si="573"/>
        <v/>
      </c>
      <c r="P876" s="7" t="str">
        <f t="shared" si="574"/>
        <v>#</v>
      </c>
      <c r="Q876" s="7" t="str">
        <f t="shared" si="575"/>
        <v>#</v>
      </c>
      <c r="R876" s="17" t="str">
        <f t="shared" si="576"/>
        <v/>
      </c>
      <c r="S876" s="8" t="str">
        <f t="shared" si="577"/>
        <v/>
      </c>
      <c r="T876" s="2" t="str">
        <f t="shared" si="578"/>
        <v/>
      </c>
      <c r="U876" s="2" t="str">
        <f t="shared" si="579"/>
        <v/>
      </c>
      <c r="V876" t="str">
        <f t="shared" si="555"/>
        <v/>
      </c>
      <c r="X876">
        <f t="shared" si="582"/>
        <v>0</v>
      </c>
      <c r="Y876">
        <f t="shared" si="583"/>
        <v>0</v>
      </c>
      <c r="Z876">
        <f t="shared" si="584"/>
        <v>0</v>
      </c>
      <c r="AA876">
        <f t="shared" si="585"/>
        <v>0</v>
      </c>
      <c r="AB876">
        <f t="shared" si="586"/>
        <v>0</v>
      </c>
      <c r="AC876">
        <f t="shared" si="587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81"/>
        <v>@</v>
      </c>
      <c r="M877">
        <v>12</v>
      </c>
      <c r="N877" s="23" t="str">
        <f t="shared" si="572"/>
        <v>#</v>
      </c>
      <c r="O877" s="7" t="str">
        <f t="shared" si="573"/>
        <v/>
      </c>
      <c r="P877" s="7" t="str">
        <f t="shared" si="574"/>
        <v/>
      </c>
      <c r="Q877" s="7" t="str">
        <f t="shared" si="575"/>
        <v/>
      </c>
      <c r="R877" s="17" t="str">
        <f t="shared" si="576"/>
        <v/>
      </c>
      <c r="S877" s="8" t="str">
        <f t="shared" si="577"/>
        <v/>
      </c>
      <c r="T877" s="2" t="str">
        <f t="shared" si="578"/>
        <v/>
      </c>
      <c r="U877" s="2" t="str">
        <f t="shared" si="579"/>
        <v/>
      </c>
      <c r="V877" t="str">
        <f t="shared" si="555"/>
        <v/>
      </c>
      <c r="X877">
        <f t="shared" si="582"/>
        <v>0</v>
      </c>
      <c r="Y877">
        <f t="shared" si="583"/>
        <v>0</v>
      </c>
      <c r="Z877">
        <f t="shared" si="584"/>
        <v>0</v>
      </c>
      <c r="AA877">
        <f t="shared" si="585"/>
        <v>0</v>
      </c>
      <c r="AB877">
        <f t="shared" si="586"/>
        <v>0</v>
      </c>
      <c r="AC877">
        <f t="shared" si="587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81"/>
        <v>@</v>
      </c>
      <c r="M878">
        <v>13</v>
      </c>
      <c r="N878" s="6" t="str">
        <f t="shared" si="572"/>
        <v>#</v>
      </c>
      <c r="O878" s="7" t="str">
        <f t="shared" si="573"/>
        <v>#</v>
      </c>
      <c r="P878" s="7" t="str">
        <f t="shared" si="574"/>
        <v/>
      </c>
      <c r="Q878" s="7" t="str">
        <f t="shared" si="575"/>
        <v/>
      </c>
      <c r="R878" s="17" t="str">
        <f t="shared" si="576"/>
        <v/>
      </c>
      <c r="S878" s="8" t="str">
        <f t="shared" si="577"/>
        <v/>
      </c>
      <c r="T878" s="2" t="str">
        <f t="shared" si="578"/>
        <v/>
      </c>
      <c r="U878" s="2" t="str">
        <f t="shared" si="579"/>
        <v/>
      </c>
      <c r="V878" t="str">
        <f t="shared" si="555"/>
        <v/>
      </c>
      <c r="X878">
        <f t="shared" si="582"/>
        <v>0</v>
      </c>
      <c r="Y878">
        <f t="shared" si="583"/>
        <v>1</v>
      </c>
      <c r="Z878">
        <f t="shared" si="584"/>
        <v>0</v>
      </c>
      <c r="AA878">
        <f t="shared" si="585"/>
        <v>0</v>
      </c>
      <c r="AB878">
        <f t="shared" si="586"/>
        <v>0</v>
      </c>
      <c r="AC878">
        <f t="shared" si="587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81"/>
        <v>@</v>
      </c>
      <c r="M879">
        <v>14</v>
      </c>
      <c r="N879" s="18" t="str">
        <f t="shared" si="572"/>
        <v/>
      </c>
      <c r="O879" s="19" t="str">
        <f t="shared" si="573"/>
        <v>#</v>
      </c>
      <c r="P879" s="19" t="str">
        <f t="shared" si="574"/>
        <v>#</v>
      </c>
      <c r="Q879" s="19" t="str">
        <f t="shared" si="575"/>
        <v>#</v>
      </c>
      <c r="R879" s="20" t="str">
        <f t="shared" si="576"/>
        <v>#</v>
      </c>
      <c r="S879" s="8" t="str">
        <f t="shared" si="577"/>
        <v/>
      </c>
      <c r="T879" s="2" t="str">
        <f t="shared" si="578"/>
        <v/>
      </c>
      <c r="U879" s="2" t="str">
        <f t="shared" si="579"/>
        <v/>
      </c>
      <c r="V879" t="str">
        <f t="shared" si="555"/>
        <v/>
      </c>
      <c r="X879">
        <f t="shared" si="582"/>
        <v>0</v>
      </c>
      <c r="Y879">
        <f t="shared" si="583"/>
        <v>0</v>
      </c>
      <c r="Z879">
        <f t="shared" si="584"/>
        <v>1</v>
      </c>
      <c r="AA879">
        <f t="shared" si="585"/>
        <v>1</v>
      </c>
      <c r="AB879">
        <f t="shared" si="586"/>
        <v>1</v>
      </c>
      <c r="AC879">
        <f t="shared" si="587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81"/>
        <v>@</v>
      </c>
      <c r="M880">
        <v>15</v>
      </c>
      <c r="N880" s="9" t="str">
        <f t="shared" si="572"/>
        <v/>
      </c>
      <c r="O880" s="10" t="str">
        <f t="shared" si="573"/>
        <v/>
      </c>
      <c r="P880" s="10" t="str">
        <f t="shared" si="574"/>
        <v>#</v>
      </c>
      <c r="Q880" s="10" t="str">
        <f t="shared" si="575"/>
        <v>#</v>
      </c>
      <c r="R880" s="10" t="str">
        <f t="shared" si="576"/>
        <v>#</v>
      </c>
      <c r="S880" s="11" t="str">
        <f t="shared" si="577"/>
        <v/>
      </c>
      <c r="T880" s="2" t="str">
        <f t="shared" si="578"/>
        <v/>
      </c>
      <c r="U880" s="2" t="str">
        <f t="shared" si="579"/>
        <v/>
      </c>
      <c r="V880" t="str">
        <f t="shared" si="555"/>
        <v/>
      </c>
      <c r="X880">
        <f t="shared" si="582"/>
        <v>0</v>
      </c>
      <c r="Y880">
        <f t="shared" si="583"/>
        <v>0</v>
      </c>
      <c r="Z880">
        <f t="shared" si="584"/>
        <v>0</v>
      </c>
      <c r="AA880">
        <f t="shared" si="585"/>
        <v>0</v>
      </c>
      <c r="AB880">
        <f t="shared" si="586"/>
        <v>0</v>
      </c>
      <c r="AC880">
        <f t="shared" si="587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81"/>
        <v>@</v>
      </c>
      <c r="M881">
        <v>16</v>
      </c>
      <c r="N881" s="12" t="str">
        <f t="shared" si="572"/>
        <v/>
      </c>
      <c r="O881" s="13" t="str">
        <f t="shared" si="573"/>
        <v/>
      </c>
      <c r="P881" s="13" t="str">
        <f t="shared" si="574"/>
        <v/>
      </c>
      <c r="Q881" s="13" t="str">
        <f t="shared" si="575"/>
        <v/>
      </c>
      <c r="R881" s="13" t="str">
        <f t="shared" si="576"/>
        <v/>
      </c>
      <c r="S881" s="14" t="str">
        <f t="shared" si="577"/>
        <v/>
      </c>
      <c r="T881" s="2" t="str">
        <f t="shared" si="578"/>
        <v/>
      </c>
      <c r="U881" s="2" t="str">
        <f t="shared" si="579"/>
        <v/>
      </c>
      <c r="V881" t="str">
        <f t="shared" si="555"/>
        <v/>
      </c>
      <c r="X881">
        <f t="shared" si="582"/>
        <v>0</v>
      </c>
      <c r="Y881">
        <f t="shared" si="583"/>
        <v>0</v>
      </c>
      <c r="Z881">
        <f t="shared" si="584"/>
        <v>0</v>
      </c>
      <c r="AA881">
        <f t="shared" si="585"/>
        <v>0</v>
      </c>
      <c r="AB881">
        <f t="shared" si="586"/>
        <v>0</v>
      </c>
      <c r="AC881">
        <f t="shared" si="587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72"/>
        <v/>
      </c>
      <c r="O882" t="str">
        <f t="shared" si="573"/>
        <v/>
      </c>
      <c r="P882" t="str">
        <f t="shared" si="574"/>
        <v/>
      </c>
      <c r="Q882" t="str">
        <f t="shared" si="575"/>
        <v/>
      </c>
      <c r="R882" t="str">
        <f t="shared" si="576"/>
        <v/>
      </c>
      <c r="S882" t="str">
        <f t="shared" si="577"/>
        <v/>
      </c>
      <c r="T882" s="2" t="str">
        <f t="shared" si="578"/>
        <v/>
      </c>
      <c r="U882" s="2" t="str">
        <f t="shared" si="579"/>
        <v/>
      </c>
      <c r="V882" t="str">
        <f t="shared" si="555"/>
        <v/>
      </c>
      <c r="W882">
        <f>SUM(B884:G897)</f>
        <v>32</v>
      </c>
      <c r="AD882">
        <f t="shared" ref="AD882" si="588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9">L882</f>
        <v>A</v>
      </c>
      <c r="M883">
        <v>2</v>
      </c>
      <c r="N883" t="str">
        <f t="shared" si="572"/>
        <v/>
      </c>
      <c r="O883" t="str">
        <f t="shared" si="573"/>
        <v/>
      </c>
      <c r="P883" t="str">
        <f t="shared" si="574"/>
        <v/>
      </c>
      <c r="Q883" t="str">
        <f t="shared" si="575"/>
        <v/>
      </c>
      <c r="R883" t="str">
        <f t="shared" si="576"/>
        <v/>
      </c>
      <c r="S883" t="str">
        <f t="shared" si="577"/>
        <v/>
      </c>
      <c r="T883" s="2" t="str">
        <f t="shared" si="578"/>
        <v/>
      </c>
      <c r="U883" s="2" t="str">
        <f t="shared" si="579"/>
        <v/>
      </c>
      <c r="V883" t="str">
        <f t="shared" si="555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9"/>
        <v>A</v>
      </c>
      <c r="M884">
        <v>3</v>
      </c>
      <c r="N884" s="3" t="str">
        <f t="shared" si="572"/>
        <v/>
      </c>
      <c r="O884" s="4" t="str">
        <f t="shared" si="573"/>
        <v/>
      </c>
      <c r="P884" s="4" t="str">
        <f t="shared" si="574"/>
        <v/>
      </c>
      <c r="Q884" s="4" t="str">
        <f t="shared" si="575"/>
        <v/>
      </c>
      <c r="R884" s="4" t="str">
        <f t="shared" si="576"/>
        <v/>
      </c>
      <c r="S884" s="5" t="str">
        <f t="shared" si="577"/>
        <v/>
      </c>
      <c r="T884" s="2" t="str">
        <f t="shared" si="578"/>
        <v/>
      </c>
      <c r="U884" s="2" t="str">
        <f t="shared" si="579"/>
        <v/>
      </c>
      <c r="V884" t="str">
        <f t="shared" si="555"/>
        <v/>
      </c>
      <c r="X884">
        <f t="shared" ref="X884:X897" si="590">MAX(B884-B883,0)</f>
        <v>0</v>
      </c>
      <c r="Y884">
        <f t="shared" ref="Y884:Y897" si="591">MAX(C884-C883,0)</f>
        <v>0</v>
      </c>
      <c r="Z884">
        <f t="shared" ref="Z884:Z897" si="592">MAX(D884-D883,0)</f>
        <v>0</v>
      </c>
      <c r="AA884">
        <f t="shared" ref="AA884:AA897" si="593">MAX(E884-E883,0)</f>
        <v>0</v>
      </c>
      <c r="AB884">
        <f t="shared" ref="AB884:AB897" si="594">MAX(F884-F883,0)</f>
        <v>0</v>
      </c>
      <c r="AC884">
        <f t="shared" ref="AC884:AC897" si="595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9"/>
        <v>A</v>
      </c>
      <c r="M885">
        <v>4</v>
      </c>
      <c r="N885" s="6" t="str">
        <f t="shared" si="572"/>
        <v/>
      </c>
      <c r="O885" s="7" t="str">
        <f t="shared" si="573"/>
        <v/>
      </c>
      <c r="P885" s="7" t="str">
        <f t="shared" si="574"/>
        <v/>
      </c>
      <c r="Q885" s="7" t="str">
        <f t="shared" si="575"/>
        <v/>
      </c>
      <c r="R885" s="7" t="str">
        <f t="shared" si="576"/>
        <v/>
      </c>
      <c r="S885" s="8" t="str">
        <f t="shared" si="577"/>
        <v/>
      </c>
      <c r="T885" s="2" t="str">
        <f t="shared" si="578"/>
        <v/>
      </c>
      <c r="U885" s="2" t="str">
        <f t="shared" si="579"/>
        <v/>
      </c>
      <c r="V885" t="str">
        <f t="shared" si="555"/>
        <v/>
      </c>
      <c r="X885">
        <f t="shared" si="590"/>
        <v>0</v>
      </c>
      <c r="Y885">
        <f t="shared" si="591"/>
        <v>0</v>
      </c>
      <c r="Z885">
        <f t="shared" si="592"/>
        <v>0</v>
      </c>
      <c r="AA885">
        <f t="shared" si="593"/>
        <v>0</v>
      </c>
      <c r="AB885">
        <f t="shared" si="594"/>
        <v>0</v>
      </c>
      <c r="AC885">
        <f t="shared" si="595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9"/>
        <v>A</v>
      </c>
      <c r="M886">
        <v>5</v>
      </c>
      <c r="N886" s="22" t="str">
        <f t="shared" si="572"/>
        <v/>
      </c>
      <c r="O886" s="15" t="str">
        <f t="shared" si="573"/>
        <v>#</v>
      </c>
      <c r="P886" s="15" t="str">
        <f t="shared" si="574"/>
        <v>#</v>
      </c>
      <c r="Q886" s="15" t="str">
        <f t="shared" si="575"/>
        <v>#</v>
      </c>
      <c r="R886" s="16" t="str">
        <f t="shared" si="576"/>
        <v/>
      </c>
      <c r="S886" s="8" t="str">
        <f t="shared" si="577"/>
        <v/>
      </c>
      <c r="T886" s="2" t="str">
        <f t="shared" si="578"/>
        <v/>
      </c>
      <c r="U886" s="2" t="str">
        <f t="shared" si="579"/>
        <v/>
      </c>
      <c r="V886" t="str">
        <f t="shared" si="555"/>
        <v/>
      </c>
      <c r="X886">
        <f t="shared" si="590"/>
        <v>0</v>
      </c>
      <c r="Y886">
        <f t="shared" si="591"/>
        <v>1</v>
      </c>
      <c r="Z886">
        <f t="shared" si="592"/>
        <v>1</v>
      </c>
      <c r="AA886">
        <f t="shared" si="593"/>
        <v>1</v>
      </c>
      <c r="AB886">
        <f t="shared" si="594"/>
        <v>0</v>
      </c>
      <c r="AC886">
        <f t="shared" si="595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9"/>
        <v>A</v>
      </c>
      <c r="M887">
        <v>6</v>
      </c>
      <c r="N887" s="23" t="str">
        <f t="shared" si="572"/>
        <v>#</v>
      </c>
      <c r="O887" s="7" t="str">
        <f t="shared" si="573"/>
        <v>#</v>
      </c>
      <c r="P887" s="7" t="str">
        <f t="shared" si="574"/>
        <v>#</v>
      </c>
      <c r="Q887" s="7" t="str">
        <f t="shared" si="575"/>
        <v>#</v>
      </c>
      <c r="R887" s="17" t="str">
        <f t="shared" si="576"/>
        <v>#</v>
      </c>
      <c r="S887" s="8" t="str">
        <f t="shared" si="577"/>
        <v/>
      </c>
      <c r="T887" s="2" t="str">
        <f t="shared" si="578"/>
        <v/>
      </c>
      <c r="U887" s="2" t="str">
        <f t="shared" si="579"/>
        <v/>
      </c>
      <c r="V887" t="str">
        <f t="shared" si="555"/>
        <v/>
      </c>
      <c r="X887">
        <f t="shared" si="590"/>
        <v>1</v>
      </c>
      <c r="Y887">
        <f t="shared" si="591"/>
        <v>0</v>
      </c>
      <c r="Z887">
        <f t="shared" si="592"/>
        <v>0</v>
      </c>
      <c r="AA887">
        <f t="shared" si="593"/>
        <v>0</v>
      </c>
      <c r="AB887">
        <f t="shared" si="594"/>
        <v>1</v>
      </c>
      <c r="AC887">
        <f t="shared" si="595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9"/>
        <v>A</v>
      </c>
      <c r="M888">
        <v>7</v>
      </c>
      <c r="N888" s="23" t="str">
        <f t="shared" si="572"/>
        <v>#</v>
      </c>
      <c r="O888" s="7" t="str">
        <f t="shared" si="573"/>
        <v>#</v>
      </c>
      <c r="P888" s="7" t="str">
        <f t="shared" si="574"/>
        <v/>
      </c>
      <c r="Q888" s="7" t="str">
        <f t="shared" si="575"/>
        <v>#</v>
      </c>
      <c r="R888" s="17" t="str">
        <f t="shared" si="576"/>
        <v>#</v>
      </c>
      <c r="S888" s="8" t="str">
        <f t="shared" si="577"/>
        <v/>
      </c>
      <c r="T888" s="2" t="str">
        <f t="shared" si="578"/>
        <v/>
      </c>
      <c r="U888" s="2" t="str">
        <f t="shared" si="579"/>
        <v/>
      </c>
      <c r="V888" t="str">
        <f t="shared" si="555"/>
        <v/>
      </c>
      <c r="X888">
        <f t="shared" si="590"/>
        <v>0</v>
      </c>
      <c r="Y888">
        <f t="shared" si="591"/>
        <v>0</v>
      </c>
      <c r="Z888">
        <f t="shared" si="592"/>
        <v>0</v>
      </c>
      <c r="AA888">
        <f t="shared" si="593"/>
        <v>0</v>
      </c>
      <c r="AB888">
        <f t="shared" si="594"/>
        <v>0</v>
      </c>
      <c r="AC888">
        <f t="shared" si="595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9"/>
        <v>A</v>
      </c>
      <c r="M889">
        <v>8</v>
      </c>
      <c r="N889" s="23" t="str">
        <f t="shared" si="572"/>
        <v>#</v>
      </c>
      <c r="O889" s="7" t="str">
        <f t="shared" si="573"/>
        <v/>
      </c>
      <c r="P889" s="7" t="str">
        <f t="shared" si="574"/>
        <v/>
      </c>
      <c r="Q889" s="7" t="str">
        <f t="shared" si="575"/>
        <v/>
      </c>
      <c r="R889" s="17" t="str">
        <f t="shared" si="576"/>
        <v>#</v>
      </c>
      <c r="S889" s="8" t="str">
        <f t="shared" si="577"/>
        <v/>
      </c>
      <c r="T889" s="2" t="str">
        <f t="shared" si="578"/>
        <v/>
      </c>
      <c r="U889" s="2" t="str">
        <f t="shared" si="579"/>
        <v/>
      </c>
      <c r="V889" t="str">
        <f t="shared" si="555"/>
        <v/>
      </c>
      <c r="X889">
        <f t="shared" si="590"/>
        <v>0</v>
      </c>
      <c r="Y889">
        <f t="shared" si="591"/>
        <v>0</v>
      </c>
      <c r="Z889">
        <f t="shared" si="592"/>
        <v>0</v>
      </c>
      <c r="AA889">
        <f t="shared" si="593"/>
        <v>0</v>
      </c>
      <c r="AB889">
        <f t="shared" si="594"/>
        <v>0</v>
      </c>
      <c r="AC889">
        <f t="shared" si="595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9"/>
        <v>A</v>
      </c>
      <c r="M890">
        <v>9</v>
      </c>
      <c r="N890" s="23" t="str">
        <f t="shared" si="572"/>
        <v>#</v>
      </c>
      <c r="O890" s="7" t="str">
        <f t="shared" si="573"/>
        <v/>
      </c>
      <c r="P890" s="7" t="str">
        <f t="shared" si="574"/>
        <v/>
      </c>
      <c r="Q890" s="7" t="str">
        <f t="shared" si="575"/>
        <v/>
      </c>
      <c r="R890" s="17" t="str">
        <f t="shared" si="576"/>
        <v>#</v>
      </c>
      <c r="S890" s="8" t="str">
        <f t="shared" si="577"/>
        <v/>
      </c>
      <c r="T890" s="2" t="str">
        <f t="shared" si="578"/>
        <v/>
      </c>
      <c r="U890" s="2" t="str">
        <f t="shared" si="579"/>
        <v/>
      </c>
      <c r="V890" t="str">
        <f t="shared" si="555"/>
        <v/>
      </c>
      <c r="X890">
        <f t="shared" si="590"/>
        <v>0</v>
      </c>
      <c r="Y890">
        <f t="shared" si="591"/>
        <v>0</v>
      </c>
      <c r="Z890">
        <f t="shared" si="592"/>
        <v>0</v>
      </c>
      <c r="AA890">
        <f t="shared" si="593"/>
        <v>0</v>
      </c>
      <c r="AB890">
        <f t="shared" si="594"/>
        <v>0</v>
      </c>
      <c r="AC890">
        <f t="shared" si="595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9"/>
        <v>A</v>
      </c>
      <c r="M891">
        <v>10</v>
      </c>
      <c r="N891" s="23" t="str">
        <f t="shared" si="572"/>
        <v>#</v>
      </c>
      <c r="O891" s="7" t="str">
        <f t="shared" si="573"/>
        <v>#</v>
      </c>
      <c r="P891" s="7" t="str">
        <f t="shared" si="574"/>
        <v>#</v>
      </c>
      <c r="Q891" s="7" t="str">
        <f t="shared" si="575"/>
        <v>#</v>
      </c>
      <c r="R891" s="17" t="str">
        <f t="shared" si="576"/>
        <v>#</v>
      </c>
      <c r="S891" s="8" t="str">
        <f t="shared" si="577"/>
        <v/>
      </c>
      <c r="T891" s="2" t="str">
        <f t="shared" si="578"/>
        <v/>
      </c>
      <c r="U891" s="2" t="str">
        <f t="shared" si="579"/>
        <v/>
      </c>
      <c r="V891" t="str">
        <f t="shared" si="555"/>
        <v/>
      </c>
      <c r="X891">
        <f t="shared" si="590"/>
        <v>0</v>
      </c>
      <c r="Y891">
        <f t="shared" si="591"/>
        <v>1</v>
      </c>
      <c r="Z891">
        <f t="shared" si="592"/>
        <v>1</v>
      </c>
      <c r="AA891">
        <f t="shared" si="593"/>
        <v>1</v>
      </c>
      <c r="AB891">
        <f t="shared" si="594"/>
        <v>0</v>
      </c>
      <c r="AC891">
        <f t="shared" si="595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9"/>
        <v>A</v>
      </c>
      <c r="M892">
        <v>11</v>
      </c>
      <c r="N892" s="23" t="str">
        <f t="shared" si="572"/>
        <v>#</v>
      </c>
      <c r="O892" s="7" t="str">
        <f t="shared" si="573"/>
        <v>#</v>
      </c>
      <c r="P892" s="7" t="str">
        <f t="shared" si="574"/>
        <v>#</v>
      </c>
      <c r="Q892" s="7" t="str">
        <f t="shared" si="575"/>
        <v>#</v>
      </c>
      <c r="R892" s="17" t="str">
        <f t="shared" si="576"/>
        <v>#</v>
      </c>
      <c r="S892" s="8" t="str">
        <f t="shared" si="577"/>
        <v/>
      </c>
      <c r="T892" s="2" t="str">
        <f t="shared" si="578"/>
        <v/>
      </c>
      <c r="U892" s="2" t="str">
        <f t="shared" si="579"/>
        <v/>
      </c>
      <c r="V892" t="str">
        <f t="shared" si="555"/>
        <v/>
      </c>
      <c r="X892">
        <f t="shared" si="590"/>
        <v>0</v>
      </c>
      <c r="Y892">
        <f t="shared" si="591"/>
        <v>0</v>
      </c>
      <c r="Z892">
        <f t="shared" si="592"/>
        <v>0</v>
      </c>
      <c r="AA892">
        <f t="shared" si="593"/>
        <v>0</v>
      </c>
      <c r="AB892">
        <f t="shared" si="594"/>
        <v>0</v>
      </c>
      <c r="AC892">
        <f t="shared" si="595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9"/>
        <v>A</v>
      </c>
      <c r="M893">
        <v>12</v>
      </c>
      <c r="N893" s="23" t="str">
        <f t="shared" si="572"/>
        <v>#</v>
      </c>
      <c r="O893" s="7" t="str">
        <f t="shared" si="573"/>
        <v/>
      </c>
      <c r="P893" s="7" t="str">
        <f t="shared" si="574"/>
        <v/>
      </c>
      <c r="Q893" s="7" t="str">
        <f t="shared" si="575"/>
        <v/>
      </c>
      <c r="R893" s="17" t="str">
        <f t="shared" si="576"/>
        <v>#</v>
      </c>
      <c r="S893" s="8" t="str">
        <f t="shared" si="577"/>
        <v/>
      </c>
      <c r="T893" s="2" t="str">
        <f t="shared" si="578"/>
        <v/>
      </c>
      <c r="U893" s="2" t="str">
        <f t="shared" si="579"/>
        <v/>
      </c>
      <c r="V893" t="str">
        <f t="shared" si="555"/>
        <v/>
      </c>
      <c r="X893">
        <f t="shared" si="590"/>
        <v>0</v>
      </c>
      <c r="Y893">
        <f t="shared" si="591"/>
        <v>0</v>
      </c>
      <c r="Z893">
        <f t="shared" si="592"/>
        <v>0</v>
      </c>
      <c r="AA893">
        <f t="shared" si="593"/>
        <v>0</v>
      </c>
      <c r="AB893">
        <f t="shared" si="594"/>
        <v>0</v>
      </c>
      <c r="AC893">
        <f t="shared" si="595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9"/>
        <v>A</v>
      </c>
      <c r="M894">
        <v>13</v>
      </c>
      <c r="N894" s="6" t="str">
        <f t="shared" si="572"/>
        <v>#</v>
      </c>
      <c r="O894" s="7" t="str">
        <f t="shared" si="573"/>
        <v/>
      </c>
      <c r="P894" s="7" t="str">
        <f t="shared" si="574"/>
        <v/>
      </c>
      <c r="Q894" s="7" t="str">
        <f t="shared" si="575"/>
        <v/>
      </c>
      <c r="R894" s="17" t="str">
        <f t="shared" si="576"/>
        <v>#</v>
      </c>
      <c r="S894" s="8" t="str">
        <f t="shared" si="577"/>
        <v/>
      </c>
      <c r="T894" s="2" t="str">
        <f t="shared" si="578"/>
        <v/>
      </c>
      <c r="U894" s="2" t="str">
        <f t="shared" si="579"/>
        <v/>
      </c>
      <c r="V894" t="str">
        <f t="shared" si="555"/>
        <v/>
      </c>
      <c r="X894">
        <f t="shared" si="590"/>
        <v>0</v>
      </c>
      <c r="Y894">
        <f t="shared" si="591"/>
        <v>0</v>
      </c>
      <c r="Z894">
        <f t="shared" si="592"/>
        <v>0</v>
      </c>
      <c r="AA894">
        <f t="shared" si="593"/>
        <v>0</v>
      </c>
      <c r="AB894">
        <f t="shared" si="594"/>
        <v>0</v>
      </c>
      <c r="AC894">
        <f t="shared" si="595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9"/>
        <v>A</v>
      </c>
      <c r="M895">
        <v>14</v>
      </c>
      <c r="N895" s="18" t="str">
        <f t="shared" si="572"/>
        <v>#</v>
      </c>
      <c r="O895" s="19" t="str">
        <f t="shared" si="573"/>
        <v/>
      </c>
      <c r="P895" s="19" t="str">
        <f t="shared" si="574"/>
        <v/>
      </c>
      <c r="Q895" s="19" t="str">
        <f t="shared" si="575"/>
        <v/>
      </c>
      <c r="R895" s="20" t="str">
        <f t="shared" si="576"/>
        <v>#</v>
      </c>
      <c r="S895" s="8" t="str">
        <f t="shared" si="577"/>
        <v/>
      </c>
      <c r="T895" s="2" t="str">
        <f t="shared" si="578"/>
        <v/>
      </c>
      <c r="U895" s="2" t="str">
        <f t="shared" si="579"/>
        <v/>
      </c>
      <c r="V895" t="str">
        <f t="shared" si="555"/>
        <v/>
      </c>
      <c r="X895">
        <f t="shared" si="590"/>
        <v>0</v>
      </c>
      <c r="Y895">
        <f t="shared" si="591"/>
        <v>0</v>
      </c>
      <c r="Z895">
        <f t="shared" si="592"/>
        <v>0</v>
      </c>
      <c r="AA895">
        <f t="shared" si="593"/>
        <v>0</v>
      </c>
      <c r="AB895">
        <f t="shared" si="594"/>
        <v>0</v>
      </c>
      <c r="AC895">
        <f t="shared" si="595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9"/>
        <v>A</v>
      </c>
      <c r="M896">
        <v>15</v>
      </c>
      <c r="N896" s="9" t="str">
        <f t="shared" si="572"/>
        <v/>
      </c>
      <c r="O896" s="10" t="str">
        <f t="shared" si="573"/>
        <v/>
      </c>
      <c r="P896" s="10" t="str">
        <f t="shared" si="574"/>
        <v/>
      </c>
      <c r="Q896" s="10" t="str">
        <f t="shared" si="575"/>
        <v/>
      </c>
      <c r="R896" s="10" t="str">
        <f t="shared" si="576"/>
        <v/>
      </c>
      <c r="S896" s="11" t="str">
        <f t="shared" si="577"/>
        <v/>
      </c>
      <c r="T896" s="2" t="str">
        <f t="shared" si="578"/>
        <v/>
      </c>
      <c r="U896" s="2" t="str">
        <f t="shared" si="579"/>
        <v/>
      </c>
      <c r="V896" t="str">
        <f t="shared" si="555"/>
        <v/>
      </c>
      <c r="X896">
        <f t="shared" si="590"/>
        <v>0</v>
      </c>
      <c r="Y896">
        <f t="shared" si="591"/>
        <v>0</v>
      </c>
      <c r="Z896">
        <f t="shared" si="592"/>
        <v>0</v>
      </c>
      <c r="AA896">
        <f t="shared" si="593"/>
        <v>0</v>
      </c>
      <c r="AB896">
        <f t="shared" si="594"/>
        <v>0</v>
      </c>
      <c r="AC896">
        <f t="shared" si="595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9"/>
        <v>A</v>
      </c>
      <c r="M897">
        <v>16</v>
      </c>
      <c r="N897" s="12" t="str">
        <f t="shared" si="572"/>
        <v/>
      </c>
      <c r="O897" s="13" t="str">
        <f t="shared" si="573"/>
        <v/>
      </c>
      <c r="P897" s="13" t="str">
        <f t="shared" si="574"/>
        <v/>
      </c>
      <c r="Q897" s="13" t="str">
        <f t="shared" si="575"/>
        <v/>
      </c>
      <c r="R897" s="13" t="str">
        <f t="shared" si="576"/>
        <v/>
      </c>
      <c r="S897" s="14" t="str">
        <f t="shared" si="577"/>
        <v/>
      </c>
      <c r="T897" s="2" t="str">
        <f t="shared" si="578"/>
        <v/>
      </c>
      <c r="U897" s="2" t="str">
        <f t="shared" si="579"/>
        <v/>
      </c>
      <c r="V897" t="str">
        <f t="shared" si="555"/>
        <v/>
      </c>
      <c r="X897">
        <f t="shared" si="590"/>
        <v>0</v>
      </c>
      <c r="Y897">
        <f t="shared" si="591"/>
        <v>0</v>
      </c>
      <c r="Z897">
        <f t="shared" si="592"/>
        <v>0</v>
      </c>
      <c r="AA897">
        <f t="shared" si="593"/>
        <v>0</v>
      </c>
      <c r="AB897">
        <f t="shared" si="594"/>
        <v>0</v>
      </c>
      <c r="AC897">
        <f t="shared" si="595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72"/>
        <v/>
      </c>
      <c r="O898" t="str">
        <f t="shared" si="573"/>
        <v/>
      </c>
      <c r="P898" t="str">
        <f t="shared" si="574"/>
        <v/>
      </c>
      <c r="Q898" t="str">
        <f t="shared" si="575"/>
        <v/>
      </c>
      <c r="R898" t="str">
        <f t="shared" si="576"/>
        <v/>
      </c>
      <c r="S898" t="str">
        <f t="shared" si="577"/>
        <v/>
      </c>
      <c r="T898" s="2" t="str">
        <f t="shared" si="578"/>
        <v/>
      </c>
      <c r="U898" s="2" t="str">
        <f t="shared" si="579"/>
        <v/>
      </c>
      <c r="V898" t="str">
        <f t="shared" ref="V898:V961" si="596">IF(A898=0,"",M898)</f>
        <v/>
      </c>
      <c r="W898">
        <f>SUM(B900:G913)</f>
        <v>32</v>
      </c>
      <c r="AD898">
        <f t="shared" ref="AD898" si="597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8">L898</f>
        <v>B</v>
      </c>
      <c r="M899">
        <v>2</v>
      </c>
      <c r="N899" t="str">
        <f t="shared" si="572"/>
        <v/>
      </c>
      <c r="O899" t="str">
        <f t="shared" si="573"/>
        <v/>
      </c>
      <c r="P899" t="str">
        <f t="shared" si="574"/>
        <v/>
      </c>
      <c r="Q899" t="str">
        <f t="shared" si="575"/>
        <v/>
      </c>
      <c r="R899" t="str">
        <f t="shared" si="576"/>
        <v/>
      </c>
      <c r="S899" t="str">
        <f t="shared" si="577"/>
        <v/>
      </c>
      <c r="T899" s="2" t="str">
        <f t="shared" si="578"/>
        <v/>
      </c>
      <c r="U899" s="2" t="str">
        <f t="shared" si="579"/>
        <v/>
      </c>
      <c r="V899" t="str">
        <f t="shared" si="596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8"/>
        <v>B</v>
      </c>
      <c r="M900">
        <v>3</v>
      </c>
      <c r="N900" s="3" t="str">
        <f t="shared" si="572"/>
        <v/>
      </c>
      <c r="O900" s="4" t="str">
        <f t="shared" si="573"/>
        <v/>
      </c>
      <c r="P900" s="4" t="str">
        <f t="shared" si="574"/>
        <v/>
      </c>
      <c r="Q900" s="4" t="str">
        <f t="shared" si="575"/>
        <v/>
      </c>
      <c r="R900" s="4" t="str">
        <f t="shared" si="576"/>
        <v/>
      </c>
      <c r="S900" s="5" t="str">
        <f t="shared" si="577"/>
        <v/>
      </c>
      <c r="T900" s="2" t="str">
        <f t="shared" si="578"/>
        <v/>
      </c>
      <c r="U900" s="2" t="str">
        <f t="shared" si="579"/>
        <v/>
      </c>
      <c r="V900" t="str">
        <f t="shared" si="596"/>
        <v/>
      </c>
      <c r="X900">
        <f t="shared" ref="X900:X913" si="599">MAX(B900-B899,0)</f>
        <v>0</v>
      </c>
      <c r="Y900">
        <f t="shared" ref="Y900:Y913" si="600">MAX(C900-C899,0)</f>
        <v>0</v>
      </c>
      <c r="Z900">
        <f t="shared" ref="Z900:Z913" si="601">MAX(D900-D899,0)</f>
        <v>0</v>
      </c>
      <c r="AA900">
        <f t="shared" ref="AA900:AA913" si="602">MAX(E900-E899,0)</f>
        <v>0</v>
      </c>
      <c r="AB900">
        <f t="shared" ref="AB900:AB913" si="603">MAX(F900-F899,0)</f>
        <v>0</v>
      </c>
      <c r="AC900">
        <f t="shared" ref="AC900:AC913" si="604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8"/>
        <v>B</v>
      </c>
      <c r="M901">
        <v>4</v>
      </c>
      <c r="N901" s="6" t="str">
        <f t="shared" si="572"/>
        <v/>
      </c>
      <c r="O901" s="7" t="str">
        <f t="shared" si="573"/>
        <v/>
      </c>
      <c r="P901" s="7" t="str">
        <f t="shared" si="574"/>
        <v/>
      </c>
      <c r="Q901" s="7" t="str">
        <f t="shared" si="575"/>
        <v/>
      </c>
      <c r="R901" s="7" t="str">
        <f t="shared" si="576"/>
        <v/>
      </c>
      <c r="S901" s="8" t="str">
        <f t="shared" si="577"/>
        <v/>
      </c>
      <c r="T901" s="2" t="str">
        <f t="shared" si="578"/>
        <v/>
      </c>
      <c r="U901" s="2" t="str">
        <f t="shared" si="579"/>
        <v/>
      </c>
      <c r="V901" t="str">
        <f t="shared" si="596"/>
        <v/>
      </c>
      <c r="X901">
        <f t="shared" si="599"/>
        <v>0</v>
      </c>
      <c r="Y901">
        <f t="shared" si="600"/>
        <v>0</v>
      </c>
      <c r="Z901">
        <f t="shared" si="601"/>
        <v>0</v>
      </c>
      <c r="AA901">
        <f t="shared" si="602"/>
        <v>0</v>
      </c>
      <c r="AB901">
        <f t="shared" si="603"/>
        <v>0</v>
      </c>
      <c r="AC901">
        <f t="shared" si="604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8"/>
        <v>B</v>
      </c>
      <c r="M902">
        <v>5</v>
      </c>
      <c r="N902" s="22" t="str">
        <f t="shared" si="572"/>
        <v>#</v>
      </c>
      <c r="O902" s="15" t="str">
        <f t="shared" si="573"/>
        <v>#</v>
      </c>
      <c r="P902" s="15" t="str">
        <f t="shared" si="574"/>
        <v>#</v>
      </c>
      <c r="Q902" s="15" t="str">
        <f t="shared" si="575"/>
        <v>#</v>
      </c>
      <c r="R902" s="16" t="str">
        <f t="shared" si="576"/>
        <v/>
      </c>
      <c r="S902" s="8" t="str">
        <f t="shared" si="577"/>
        <v/>
      </c>
      <c r="T902" s="2" t="str">
        <f t="shared" si="578"/>
        <v/>
      </c>
      <c r="U902" s="2" t="str">
        <f t="shared" si="579"/>
        <v/>
      </c>
      <c r="V902" t="str">
        <f t="shared" si="596"/>
        <v/>
      </c>
      <c r="X902">
        <f t="shared" si="599"/>
        <v>1</v>
      </c>
      <c r="Y902">
        <f t="shared" si="600"/>
        <v>1</v>
      </c>
      <c r="Z902">
        <f t="shared" si="601"/>
        <v>1</v>
      </c>
      <c r="AA902">
        <f t="shared" si="602"/>
        <v>1</v>
      </c>
      <c r="AB902">
        <f t="shared" si="603"/>
        <v>0</v>
      </c>
      <c r="AC902">
        <f t="shared" si="604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8"/>
        <v>B</v>
      </c>
      <c r="M903">
        <v>6</v>
      </c>
      <c r="N903" s="23" t="str">
        <f t="shared" si="572"/>
        <v>#</v>
      </c>
      <c r="O903" s="7" t="str">
        <f t="shared" si="573"/>
        <v>#</v>
      </c>
      <c r="P903" s="7" t="str">
        <f t="shared" si="574"/>
        <v>#</v>
      </c>
      <c r="Q903" s="7" t="str">
        <f t="shared" si="575"/>
        <v>#</v>
      </c>
      <c r="R903" s="17" t="str">
        <f t="shared" si="576"/>
        <v>#</v>
      </c>
      <c r="S903" s="8" t="str">
        <f t="shared" si="577"/>
        <v/>
      </c>
      <c r="T903" s="2" t="str">
        <f t="shared" si="578"/>
        <v/>
      </c>
      <c r="U903" s="2" t="str">
        <f t="shared" si="579"/>
        <v/>
      </c>
      <c r="V903" t="str">
        <f t="shared" si="596"/>
        <v/>
      </c>
      <c r="X903">
        <f t="shared" si="599"/>
        <v>0</v>
      </c>
      <c r="Y903">
        <f t="shared" si="600"/>
        <v>0</v>
      </c>
      <c r="Z903">
        <f t="shared" si="601"/>
        <v>0</v>
      </c>
      <c r="AA903">
        <f t="shared" si="602"/>
        <v>0</v>
      </c>
      <c r="AB903">
        <f t="shared" si="603"/>
        <v>1</v>
      </c>
      <c r="AC903">
        <f t="shared" si="604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8"/>
        <v>B</v>
      </c>
      <c r="M904">
        <v>7</v>
      </c>
      <c r="N904" s="23" t="str">
        <f t="shared" si="572"/>
        <v/>
      </c>
      <c r="O904" s="7" t="str">
        <f t="shared" si="573"/>
        <v>#</v>
      </c>
      <c r="P904" s="7" t="str">
        <f t="shared" si="574"/>
        <v/>
      </c>
      <c r="Q904" s="7" t="str">
        <f t="shared" si="575"/>
        <v/>
      </c>
      <c r="R904" s="17" t="str">
        <f t="shared" si="576"/>
        <v>#</v>
      </c>
      <c r="S904" s="8" t="str">
        <f t="shared" si="577"/>
        <v/>
      </c>
      <c r="T904" s="2" t="str">
        <f t="shared" si="578"/>
        <v/>
      </c>
      <c r="U904" s="2" t="str">
        <f t="shared" si="579"/>
        <v/>
      </c>
      <c r="V904" t="str">
        <f t="shared" si="596"/>
        <v/>
      </c>
      <c r="X904">
        <f t="shared" si="599"/>
        <v>0</v>
      </c>
      <c r="Y904">
        <f t="shared" si="600"/>
        <v>0</v>
      </c>
      <c r="Z904">
        <f t="shared" si="601"/>
        <v>0</v>
      </c>
      <c r="AA904">
        <f t="shared" si="602"/>
        <v>0</v>
      </c>
      <c r="AB904">
        <f t="shared" si="603"/>
        <v>0</v>
      </c>
      <c r="AC904">
        <f t="shared" si="604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8"/>
        <v>B</v>
      </c>
      <c r="M905">
        <v>8</v>
      </c>
      <c r="N905" s="23" t="str">
        <f t="shared" si="572"/>
        <v/>
      </c>
      <c r="O905" s="7" t="str">
        <f t="shared" si="573"/>
        <v>#</v>
      </c>
      <c r="P905" s="7" t="str">
        <f t="shared" si="574"/>
        <v/>
      </c>
      <c r="Q905" s="7" t="str">
        <f t="shared" si="575"/>
        <v/>
      </c>
      <c r="R905" s="17" t="str">
        <f t="shared" si="576"/>
        <v>#</v>
      </c>
      <c r="S905" s="8" t="str">
        <f t="shared" si="577"/>
        <v/>
      </c>
      <c r="T905" s="2" t="str">
        <f t="shared" si="578"/>
        <v/>
      </c>
      <c r="U905" s="2" t="str">
        <f t="shared" si="579"/>
        <v/>
      </c>
      <c r="V905" t="str">
        <f t="shared" si="596"/>
        <v/>
      </c>
      <c r="X905">
        <f t="shared" si="599"/>
        <v>0</v>
      </c>
      <c r="Y905">
        <f t="shared" si="600"/>
        <v>0</v>
      </c>
      <c r="Z905">
        <f t="shared" si="601"/>
        <v>0</v>
      </c>
      <c r="AA905">
        <f t="shared" si="602"/>
        <v>0</v>
      </c>
      <c r="AB905">
        <f t="shared" si="603"/>
        <v>0</v>
      </c>
      <c r="AC905">
        <f t="shared" si="604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8"/>
        <v>B</v>
      </c>
      <c r="M906">
        <v>9</v>
      </c>
      <c r="N906" s="23" t="str">
        <f t="shared" si="572"/>
        <v/>
      </c>
      <c r="O906" s="7" t="str">
        <f t="shared" si="573"/>
        <v>#</v>
      </c>
      <c r="P906" s="7" t="str">
        <f t="shared" si="574"/>
        <v>#</v>
      </c>
      <c r="Q906" s="7" t="str">
        <f t="shared" si="575"/>
        <v>#</v>
      </c>
      <c r="R906" s="17" t="str">
        <f t="shared" si="576"/>
        <v/>
      </c>
      <c r="S906" s="8" t="str">
        <f t="shared" si="577"/>
        <v/>
      </c>
      <c r="T906" s="2" t="str">
        <f t="shared" si="578"/>
        <v/>
      </c>
      <c r="U906" s="2" t="str">
        <f t="shared" si="579"/>
        <v/>
      </c>
      <c r="V906" t="str">
        <f t="shared" si="596"/>
        <v/>
      </c>
      <c r="X906">
        <f t="shared" si="599"/>
        <v>0</v>
      </c>
      <c r="Y906">
        <f t="shared" si="600"/>
        <v>0</v>
      </c>
      <c r="Z906">
        <f t="shared" si="601"/>
        <v>1</v>
      </c>
      <c r="AA906">
        <f t="shared" si="602"/>
        <v>1</v>
      </c>
      <c r="AB906">
        <f t="shared" si="603"/>
        <v>0</v>
      </c>
      <c r="AC906">
        <f t="shared" si="604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8"/>
        <v>B</v>
      </c>
      <c r="M907">
        <v>10</v>
      </c>
      <c r="N907" s="23" t="str">
        <f t="shared" si="572"/>
        <v/>
      </c>
      <c r="O907" s="7" t="str">
        <f t="shared" si="573"/>
        <v>#</v>
      </c>
      <c r="P907" s="7" t="str">
        <f t="shared" si="574"/>
        <v>#</v>
      </c>
      <c r="Q907" s="7" t="str">
        <f t="shared" si="575"/>
        <v>#</v>
      </c>
      <c r="R907" s="17" t="str">
        <f t="shared" si="576"/>
        <v/>
      </c>
      <c r="S907" s="8" t="str">
        <f t="shared" si="577"/>
        <v/>
      </c>
      <c r="T907" s="2" t="str">
        <f t="shared" si="578"/>
        <v/>
      </c>
      <c r="U907" s="2" t="str">
        <f t="shared" si="579"/>
        <v/>
      </c>
      <c r="V907" t="str">
        <f t="shared" si="596"/>
        <v/>
      </c>
      <c r="X907">
        <f t="shared" si="599"/>
        <v>0</v>
      </c>
      <c r="Y907">
        <f t="shared" si="600"/>
        <v>0</v>
      </c>
      <c r="Z907">
        <f t="shared" si="601"/>
        <v>0</v>
      </c>
      <c r="AA907">
        <f t="shared" si="602"/>
        <v>0</v>
      </c>
      <c r="AB907">
        <f t="shared" si="603"/>
        <v>0</v>
      </c>
      <c r="AC907">
        <f t="shared" si="604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8"/>
        <v>B</v>
      </c>
      <c r="M908">
        <v>11</v>
      </c>
      <c r="N908" s="23" t="str">
        <f t="shared" si="572"/>
        <v/>
      </c>
      <c r="O908" s="7" t="str">
        <f t="shared" si="573"/>
        <v>#</v>
      </c>
      <c r="P908" s="7" t="str">
        <f t="shared" si="574"/>
        <v/>
      </c>
      <c r="Q908" s="7" t="str">
        <f t="shared" si="575"/>
        <v/>
      </c>
      <c r="R908" s="17" t="str">
        <f t="shared" si="576"/>
        <v>#</v>
      </c>
      <c r="S908" s="8" t="str">
        <f t="shared" si="577"/>
        <v/>
      </c>
      <c r="T908" s="2" t="str">
        <f t="shared" si="578"/>
        <v/>
      </c>
      <c r="U908" s="2" t="str">
        <f t="shared" si="579"/>
        <v/>
      </c>
      <c r="V908" t="str">
        <f t="shared" si="596"/>
        <v/>
      </c>
      <c r="X908">
        <f t="shared" si="599"/>
        <v>0</v>
      </c>
      <c r="Y908">
        <f t="shared" si="600"/>
        <v>0</v>
      </c>
      <c r="Z908">
        <f t="shared" si="601"/>
        <v>0</v>
      </c>
      <c r="AA908">
        <f t="shared" si="602"/>
        <v>0</v>
      </c>
      <c r="AB908">
        <f t="shared" si="603"/>
        <v>1</v>
      </c>
      <c r="AC908">
        <f t="shared" si="604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8"/>
        <v>B</v>
      </c>
      <c r="M909">
        <v>12</v>
      </c>
      <c r="N909" s="23" t="str">
        <f t="shared" si="572"/>
        <v/>
      </c>
      <c r="O909" s="7" t="str">
        <f t="shared" si="573"/>
        <v>#</v>
      </c>
      <c r="P909" s="7" t="str">
        <f t="shared" si="574"/>
        <v/>
      </c>
      <c r="Q909" s="7" t="str">
        <f t="shared" si="575"/>
        <v/>
      </c>
      <c r="R909" s="17" t="str">
        <f t="shared" si="576"/>
        <v>#</v>
      </c>
      <c r="S909" s="8" t="str">
        <f t="shared" si="577"/>
        <v/>
      </c>
      <c r="T909" s="2" t="str">
        <f t="shared" si="578"/>
        <v/>
      </c>
      <c r="U909" s="2" t="str">
        <f t="shared" si="579"/>
        <v/>
      </c>
      <c r="V909" t="str">
        <f t="shared" si="596"/>
        <v/>
      </c>
      <c r="X909">
        <f t="shared" si="599"/>
        <v>0</v>
      </c>
      <c r="Y909">
        <f t="shared" si="600"/>
        <v>0</v>
      </c>
      <c r="Z909">
        <f t="shared" si="601"/>
        <v>0</v>
      </c>
      <c r="AA909">
        <f t="shared" si="602"/>
        <v>0</v>
      </c>
      <c r="AB909">
        <f t="shared" si="603"/>
        <v>0</v>
      </c>
      <c r="AC909">
        <f t="shared" si="604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8"/>
        <v>B</v>
      </c>
      <c r="M910">
        <v>13</v>
      </c>
      <c r="N910" s="6" t="str">
        <f t="shared" si="572"/>
        <v>#</v>
      </c>
      <c r="O910" s="7" t="str">
        <f t="shared" si="573"/>
        <v>#</v>
      </c>
      <c r="P910" s="7" t="str">
        <f t="shared" si="574"/>
        <v>#</v>
      </c>
      <c r="Q910" s="7" t="str">
        <f t="shared" si="575"/>
        <v>#</v>
      </c>
      <c r="R910" s="17" t="str">
        <f t="shared" si="576"/>
        <v>#</v>
      </c>
      <c r="S910" s="8" t="str">
        <f t="shared" si="577"/>
        <v/>
      </c>
      <c r="T910" s="2" t="str">
        <f t="shared" si="578"/>
        <v/>
      </c>
      <c r="U910" s="2" t="str">
        <f t="shared" si="579"/>
        <v/>
      </c>
      <c r="V910" t="str">
        <f t="shared" si="596"/>
        <v/>
      </c>
      <c r="X910">
        <f t="shared" si="599"/>
        <v>1</v>
      </c>
      <c r="Y910">
        <f t="shared" si="600"/>
        <v>0</v>
      </c>
      <c r="Z910">
        <f t="shared" si="601"/>
        <v>1</v>
      </c>
      <c r="AA910">
        <f t="shared" si="602"/>
        <v>1</v>
      </c>
      <c r="AB910">
        <f t="shared" si="603"/>
        <v>0</v>
      </c>
      <c r="AC910">
        <f t="shared" si="604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8"/>
        <v>B</v>
      </c>
      <c r="M911">
        <v>14</v>
      </c>
      <c r="N911" s="18" t="str">
        <f t="shared" si="572"/>
        <v>#</v>
      </c>
      <c r="O911" s="19" t="str">
        <f t="shared" si="573"/>
        <v>#</v>
      </c>
      <c r="P911" s="19" t="str">
        <f t="shared" si="574"/>
        <v>#</v>
      </c>
      <c r="Q911" s="19" t="str">
        <f t="shared" si="575"/>
        <v>#</v>
      </c>
      <c r="R911" s="20" t="str">
        <f t="shared" si="576"/>
        <v/>
      </c>
      <c r="S911" s="8" t="str">
        <f t="shared" si="577"/>
        <v/>
      </c>
      <c r="T911" s="2" t="str">
        <f t="shared" si="578"/>
        <v/>
      </c>
      <c r="U911" s="2" t="str">
        <f t="shared" si="579"/>
        <v/>
      </c>
      <c r="V911" t="str">
        <f t="shared" si="596"/>
        <v/>
      </c>
      <c r="X911">
        <f t="shared" si="599"/>
        <v>0</v>
      </c>
      <c r="Y911">
        <f t="shared" si="600"/>
        <v>0</v>
      </c>
      <c r="Z911">
        <f t="shared" si="601"/>
        <v>0</v>
      </c>
      <c r="AA911">
        <f t="shared" si="602"/>
        <v>0</v>
      </c>
      <c r="AB911">
        <f t="shared" si="603"/>
        <v>0</v>
      </c>
      <c r="AC911">
        <f t="shared" si="604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8"/>
        <v>B</v>
      </c>
      <c r="M912">
        <v>15</v>
      </c>
      <c r="N912" s="9" t="str">
        <f t="shared" si="572"/>
        <v/>
      </c>
      <c r="O912" s="10" t="str">
        <f t="shared" si="573"/>
        <v/>
      </c>
      <c r="P912" s="10" t="str">
        <f t="shared" si="574"/>
        <v/>
      </c>
      <c r="Q912" s="10" t="str">
        <f t="shared" si="575"/>
        <v/>
      </c>
      <c r="R912" s="10" t="str">
        <f t="shared" si="576"/>
        <v/>
      </c>
      <c r="S912" s="11" t="str">
        <f t="shared" si="577"/>
        <v/>
      </c>
      <c r="T912" s="2" t="str">
        <f t="shared" si="578"/>
        <v/>
      </c>
      <c r="U912" s="2" t="str">
        <f t="shared" si="579"/>
        <v/>
      </c>
      <c r="V912" t="str">
        <f t="shared" si="596"/>
        <v/>
      </c>
      <c r="X912">
        <f t="shared" si="599"/>
        <v>0</v>
      </c>
      <c r="Y912">
        <f t="shared" si="600"/>
        <v>0</v>
      </c>
      <c r="Z912">
        <f t="shared" si="601"/>
        <v>0</v>
      </c>
      <c r="AA912">
        <f t="shared" si="602"/>
        <v>0</v>
      </c>
      <c r="AB912">
        <f t="shared" si="603"/>
        <v>0</v>
      </c>
      <c r="AC912">
        <f t="shared" si="604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8"/>
        <v>B</v>
      </c>
      <c r="M913">
        <v>16</v>
      </c>
      <c r="N913" s="12" t="str">
        <f t="shared" si="572"/>
        <v/>
      </c>
      <c r="O913" s="13" t="str">
        <f t="shared" si="573"/>
        <v/>
      </c>
      <c r="P913" s="13" t="str">
        <f t="shared" si="574"/>
        <v/>
      </c>
      <c r="Q913" s="13" t="str">
        <f t="shared" si="575"/>
        <v/>
      </c>
      <c r="R913" s="13" t="str">
        <f t="shared" si="576"/>
        <v/>
      </c>
      <c r="S913" s="14" t="str">
        <f t="shared" si="577"/>
        <v/>
      </c>
      <c r="T913" s="2" t="str">
        <f t="shared" si="578"/>
        <v/>
      </c>
      <c r="U913" s="2" t="str">
        <f t="shared" si="579"/>
        <v/>
      </c>
      <c r="V913" t="str">
        <f t="shared" si="596"/>
        <v/>
      </c>
      <c r="X913">
        <f t="shared" si="599"/>
        <v>0</v>
      </c>
      <c r="Y913">
        <f t="shared" si="600"/>
        <v>0</v>
      </c>
      <c r="Z913">
        <f t="shared" si="601"/>
        <v>0</v>
      </c>
      <c r="AA913">
        <f t="shared" si="602"/>
        <v>0</v>
      </c>
      <c r="AB913">
        <f t="shared" si="603"/>
        <v>0</v>
      </c>
      <c r="AC913">
        <f t="shared" si="604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72"/>
        <v/>
      </c>
      <c r="O914" t="str">
        <f t="shared" si="573"/>
        <v/>
      </c>
      <c r="P914" t="str">
        <f t="shared" si="574"/>
        <v/>
      </c>
      <c r="Q914" t="str">
        <f t="shared" si="575"/>
        <v/>
      </c>
      <c r="R914" t="str">
        <f t="shared" si="576"/>
        <v/>
      </c>
      <c r="S914" t="str">
        <f t="shared" si="577"/>
        <v/>
      </c>
      <c r="T914" s="2" t="str">
        <f t="shared" si="578"/>
        <v/>
      </c>
      <c r="U914" s="2" t="str">
        <f t="shared" si="579"/>
        <v/>
      </c>
      <c r="V914" t="str">
        <f t="shared" si="596"/>
        <v/>
      </c>
      <c r="W914">
        <f>SUM(B916:G929)</f>
        <v>26</v>
      </c>
      <c r="AD914">
        <f t="shared" ref="AD914" si="605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6">L914</f>
        <v>C</v>
      </c>
      <c r="M915">
        <v>2</v>
      </c>
      <c r="N915" t="str">
        <f t="shared" si="572"/>
        <v/>
      </c>
      <c r="O915" t="str">
        <f t="shared" si="573"/>
        <v/>
      </c>
      <c r="P915" t="str">
        <f t="shared" si="574"/>
        <v/>
      </c>
      <c r="Q915" t="str">
        <f t="shared" si="575"/>
        <v/>
      </c>
      <c r="R915" t="str">
        <f t="shared" si="576"/>
        <v/>
      </c>
      <c r="S915" t="str">
        <f t="shared" si="577"/>
        <v/>
      </c>
      <c r="T915" s="2" t="str">
        <f t="shared" si="578"/>
        <v/>
      </c>
      <c r="U915" s="2" t="str">
        <f t="shared" si="579"/>
        <v/>
      </c>
      <c r="V915" t="str">
        <f t="shared" si="596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6"/>
        <v>C</v>
      </c>
      <c r="M916">
        <v>3</v>
      </c>
      <c r="N916" s="3" t="str">
        <f t="shared" si="572"/>
        <v/>
      </c>
      <c r="O916" s="4" t="str">
        <f t="shared" si="573"/>
        <v/>
      </c>
      <c r="P916" s="4" t="str">
        <f t="shared" si="574"/>
        <v/>
      </c>
      <c r="Q916" s="4" t="str">
        <f t="shared" si="575"/>
        <v/>
      </c>
      <c r="R916" s="4" t="str">
        <f t="shared" si="576"/>
        <v/>
      </c>
      <c r="S916" s="5" t="str">
        <f t="shared" si="577"/>
        <v/>
      </c>
      <c r="T916" s="2" t="str">
        <f t="shared" si="578"/>
        <v/>
      </c>
      <c r="U916" s="2" t="str">
        <f t="shared" si="579"/>
        <v/>
      </c>
      <c r="V916" t="str">
        <f t="shared" si="596"/>
        <v/>
      </c>
      <c r="X916">
        <f t="shared" ref="X916:X929" si="607">MAX(B916-B915,0)</f>
        <v>0</v>
      </c>
      <c r="Y916">
        <f t="shared" ref="Y916:Y929" si="608">MAX(C916-C915,0)</f>
        <v>0</v>
      </c>
      <c r="Z916">
        <f t="shared" ref="Z916:Z929" si="609">MAX(D916-D915,0)</f>
        <v>0</v>
      </c>
      <c r="AA916">
        <f t="shared" ref="AA916:AA929" si="610">MAX(E916-E915,0)</f>
        <v>0</v>
      </c>
      <c r="AB916">
        <f t="shared" ref="AB916:AB929" si="611">MAX(F916-F915,0)</f>
        <v>0</v>
      </c>
      <c r="AC916">
        <f t="shared" ref="AC916:AC929" si="612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6"/>
        <v>C</v>
      </c>
      <c r="M917">
        <v>4</v>
      </c>
      <c r="N917" s="6" t="str">
        <f t="shared" si="572"/>
        <v/>
      </c>
      <c r="O917" s="7" t="str">
        <f t="shared" si="573"/>
        <v/>
      </c>
      <c r="P917" s="7" t="str">
        <f t="shared" si="574"/>
        <v/>
      </c>
      <c r="Q917" s="7" t="str">
        <f t="shared" si="575"/>
        <v/>
      </c>
      <c r="R917" s="7" t="str">
        <f t="shared" si="576"/>
        <v/>
      </c>
      <c r="S917" s="8" t="str">
        <f t="shared" si="577"/>
        <v/>
      </c>
      <c r="T917" s="2" t="str">
        <f t="shared" si="578"/>
        <v/>
      </c>
      <c r="U917" s="2" t="str">
        <f t="shared" si="579"/>
        <v/>
      </c>
      <c r="V917" t="str">
        <f t="shared" si="596"/>
        <v/>
      </c>
      <c r="X917">
        <f t="shared" si="607"/>
        <v>0</v>
      </c>
      <c r="Y917">
        <f t="shared" si="608"/>
        <v>0</v>
      </c>
      <c r="Z917">
        <f t="shared" si="609"/>
        <v>0</v>
      </c>
      <c r="AA917">
        <f t="shared" si="610"/>
        <v>0</v>
      </c>
      <c r="AB917">
        <f t="shared" si="611"/>
        <v>0</v>
      </c>
      <c r="AC917">
        <f t="shared" si="612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6"/>
        <v>C</v>
      </c>
      <c r="M918">
        <v>5</v>
      </c>
      <c r="N918" s="22" t="str">
        <f t="shared" si="572"/>
        <v>#</v>
      </c>
      <c r="O918" s="15" t="str">
        <f t="shared" si="573"/>
        <v>#</v>
      </c>
      <c r="P918" s="15" t="str">
        <f t="shared" si="574"/>
        <v>#</v>
      </c>
      <c r="Q918" s="15" t="str">
        <f t="shared" si="575"/>
        <v>#</v>
      </c>
      <c r="R918" s="16" t="str">
        <f t="shared" si="576"/>
        <v>#</v>
      </c>
      <c r="S918" s="8" t="str">
        <f t="shared" si="577"/>
        <v/>
      </c>
      <c r="T918" s="2" t="str">
        <f t="shared" si="578"/>
        <v/>
      </c>
      <c r="U918" s="2" t="str">
        <f t="shared" si="579"/>
        <v/>
      </c>
      <c r="V918" t="str">
        <f t="shared" si="596"/>
        <v/>
      </c>
      <c r="X918">
        <f t="shared" si="607"/>
        <v>1</v>
      </c>
      <c r="Y918">
        <f t="shared" si="608"/>
        <v>1</v>
      </c>
      <c r="Z918">
        <f t="shared" si="609"/>
        <v>1</v>
      </c>
      <c r="AA918">
        <f t="shared" si="610"/>
        <v>1</v>
      </c>
      <c r="AB918">
        <f t="shared" si="611"/>
        <v>1</v>
      </c>
      <c r="AC918">
        <f t="shared" si="612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6"/>
        <v>C</v>
      </c>
      <c r="M919">
        <v>6</v>
      </c>
      <c r="N919" s="23" t="str">
        <f t="shared" si="572"/>
        <v>#</v>
      </c>
      <c r="O919" s="7" t="str">
        <f t="shared" si="573"/>
        <v>#</v>
      </c>
      <c r="P919" s="7" t="str">
        <f t="shared" si="574"/>
        <v>#</v>
      </c>
      <c r="Q919" s="7" t="str">
        <f t="shared" si="575"/>
        <v>#</v>
      </c>
      <c r="R919" s="17" t="str">
        <f t="shared" si="576"/>
        <v>#</v>
      </c>
      <c r="S919" s="8" t="str">
        <f t="shared" si="577"/>
        <v/>
      </c>
      <c r="T919" s="2" t="str">
        <f t="shared" si="578"/>
        <v/>
      </c>
      <c r="U919" s="2" t="str">
        <f t="shared" si="579"/>
        <v/>
      </c>
      <c r="V919" t="str">
        <f t="shared" si="596"/>
        <v/>
      </c>
      <c r="X919">
        <f t="shared" si="607"/>
        <v>0</v>
      </c>
      <c r="Y919">
        <f t="shared" si="608"/>
        <v>0</v>
      </c>
      <c r="Z919">
        <f t="shared" si="609"/>
        <v>0</v>
      </c>
      <c r="AA919">
        <f t="shared" si="610"/>
        <v>0</v>
      </c>
      <c r="AB919">
        <f t="shared" si="611"/>
        <v>0</v>
      </c>
      <c r="AC919">
        <f t="shared" si="612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6"/>
        <v>C</v>
      </c>
      <c r="M920">
        <v>7</v>
      </c>
      <c r="N920" s="23" t="str">
        <f t="shared" si="572"/>
        <v>#</v>
      </c>
      <c r="O920" s="7" t="str">
        <f t="shared" si="573"/>
        <v/>
      </c>
      <c r="P920" s="7" t="str">
        <f t="shared" si="574"/>
        <v/>
      </c>
      <c r="Q920" s="7" t="str">
        <f t="shared" si="575"/>
        <v/>
      </c>
      <c r="R920" s="17" t="str">
        <f t="shared" si="576"/>
        <v/>
      </c>
      <c r="S920" s="8" t="str">
        <f t="shared" si="577"/>
        <v/>
      </c>
      <c r="T920" s="2" t="str">
        <f t="shared" si="578"/>
        <v/>
      </c>
      <c r="U920" s="2" t="str">
        <f t="shared" si="579"/>
        <v/>
      </c>
      <c r="V920" t="str">
        <f t="shared" si="596"/>
        <v/>
      </c>
      <c r="X920">
        <f t="shared" si="607"/>
        <v>0</v>
      </c>
      <c r="Y920">
        <f t="shared" si="608"/>
        <v>0</v>
      </c>
      <c r="Z920">
        <f t="shared" si="609"/>
        <v>0</v>
      </c>
      <c r="AA920">
        <f t="shared" si="610"/>
        <v>0</v>
      </c>
      <c r="AB920">
        <f t="shared" si="611"/>
        <v>0</v>
      </c>
      <c r="AC920">
        <f t="shared" si="612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6"/>
        <v>C</v>
      </c>
      <c r="M921">
        <v>8</v>
      </c>
      <c r="N921" s="23" t="str">
        <f t="shared" si="572"/>
        <v>#</v>
      </c>
      <c r="O921" s="7" t="str">
        <f t="shared" si="573"/>
        <v/>
      </c>
      <c r="P921" s="7" t="str">
        <f t="shared" si="574"/>
        <v/>
      </c>
      <c r="Q921" s="7" t="str">
        <f t="shared" si="575"/>
        <v/>
      </c>
      <c r="R921" s="17" t="str">
        <f t="shared" si="576"/>
        <v/>
      </c>
      <c r="S921" s="8" t="str">
        <f t="shared" si="577"/>
        <v/>
      </c>
      <c r="T921" s="2" t="str">
        <f t="shared" si="578"/>
        <v/>
      </c>
      <c r="U921" s="2" t="str">
        <f t="shared" si="579"/>
        <v/>
      </c>
      <c r="V921" t="str">
        <f t="shared" si="596"/>
        <v/>
      </c>
      <c r="X921">
        <f t="shared" si="607"/>
        <v>0</v>
      </c>
      <c r="Y921">
        <f t="shared" si="608"/>
        <v>0</v>
      </c>
      <c r="Z921">
        <f t="shared" si="609"/>
        <v>0</v>
      </c>
      <c r="AA921">
        <f t="shared" si="610"/>
        <v>0</v>
      </c>
      <c r="AB921">
        <f t="shared" si="611"/>
        <v>0</v>
      </c>
      <c r="AC921">
        <f t="shared" si="612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6"/>
        <v>C</v>
      </c>
      <c r="M922">
        <v>9</v>
      </c>
      <c r="N922" s="23" t="str">
        <f t="shared" si="572"/>
        <v>#</v>
      </c>
      <c r="O922" s="7" t="str">
        <f t="shared" si="573"/>
        <v/>
      </c>
      <c r="P922" s="7" t="str">
        <f t="shared" si="574"/>
        <v/>
      </c>
      <c r="Q922" s="7" t="str">
        <f t="shared" si="575"/>
        <v/>
      </c>
      <c r="R922" s="17" t="str">
        <f t="shared" si="576"/>
        <v/>
      </c>
      <c r="S922" s="8" t="str">
        <f t="shared" si="577"/>
        <v/>
      </c>
      <c r="T922" s="2" t="str">
        <f t="shared" si="578"/>
        <v/>
      </c>
      <c r="U922" s="2" t="str">
        <f t="shared" si="579"/>
        <v/>
      </c>
      <c r="V922" t="str">
        <f t="shared" si="596"/>
        <v/>
      </c>
      <c r="X922">
        <f t="shared" si="607"/>
        <v>0</v>
      </c>
      <c r="Y922">
        <f t="shared" si="608"/>
        <v>0</v>
      </c>
      <c r="Z922">
        <f t="shared" si="609"/>
        <v>0</v>
      </c>
      <c r="AA922">
        <f t="shared" si="610"/>
        <v>0</v>
      </c>
      <c r="AB922">
        <f t="shared" si="611"/>
        <v>0</v>
      </c>
      <c r="AC922">
        <f t="shared" si="612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6"/>
        <v>C</v>
      </c>
      <c r="M923">
        <v>10</v>
      </c>
      <c r="N923" s="23" t="str">
        <f t="shared" si="572"/>
        <v>#</v>
      </c>
      <c r="O923" s="7" t="str">
        <f t="shared" si="573"/>
        <v/>
      </c>
      <c r="P923" s="7" t="str">
        <f t="shared" si="574"/>
        <v/>
      </c>
      <c r="Q923" s="7" t="str">
        <f t="shared" si="575"/>
        <v/>
      </c>
      <c r="R923" s="17" t="str">
        <f t="shared" si="576"/>
        <v/>
      </c>
      <c r="S923" s="8" t="str">
        <f t="shared" si="577"/>
        <v/>
      </c>
      <c r="T923" s="2" t="str">
        <f t="shared" si="578"/>
        <v/>
      </c>
      <c r="U923" s="2" t="str">
        <f t="shared" si="579"/>
        <v/>
      </c>
      <c r="V923" t="str">
        <f t="shared" si="596"/>
        <v/>
      </c>
      <c r="X923">
        <f t="shared" si="607"/>
        <v>0</v>
      </c>
      <c r="Y923">
        <f t="shared" si="608"/>
        <v>0</v>
      </c>
      <c r="Z923">
        <f t="shared" si="609"/>
        <v>0</v>
      </c>
      <c r="AA923">
        <f t="shared" si="610"/>
        <v>0</v>
      </c>
      <c r="AB923">
        <f t="shared" si="611"/>
        <v>0</v>
      </c>
      <c r="AC923">
        <f t="shared" si="612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6"/>
        <v>C</v>
      </c>
      <c r="M924">
        <v>11</v>
      </c>
      <c r="N924" s="23" t="str">
        <f t="shared" si="572"/>
        <v>#</v>
      </c>
      <c r="O924" s="7" t="str">
        <f t="shared" si="573"/>
        <v/>
      </c>
      <c r="P924" s="7" t="str">
        <f t="shared" si="574"/>
        <v/>
      </c>
      <c r="Q924" s="7" t="str">
        <f t="shared" si="575"/>
        <v/>
      </c>
      <c r="R924" s="17" t="str">
        <f t="shared" si="576"/>
        <v/>
      </c>
      <c r="S924" s="8" t="str">
        <f t="shared" si="577"/>
        <v/>
      </c>
      <c r="T924" s="2" t="str">
        <f t="shared" si="578"/>
        <v/>
      </c>
      <c r="U924" s="2" t="str">
        <f t="shared" si="579"/>
        <v/>
      </c>
      <c r="V924" t="str">
        <f t="shared" si="596"/>
        <v/>
      </c>
      <c r="X924">
        <f t="shared" si="607"/>
        <v>0</v>
      </c>
      <c r="Y924">
        <f t="shared" si="608"/>
        <v>0</v>
      </c>
      <c r="Z924">
        <f t="shared" si="609"/>
        <v>0</v>
      </c>
      <c r="AA924">
        <f t="shared" si="610"/>
        <v>0</v>
      </c>
      <c r="AB924">
        <f t="shared" si="611"/>
        <v>0</v>
      </c>
      <c r="AC924">
        <f t="shared" si="612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6"/>
        <v>C</v>
      </c>
      <c r="M925">
        <v>12</v>
      </c>
      <c r="N925" s="23" t="str">
        <f t="shared" si="572"/>
        <v>#</v>
      </c>
      <c r="O925" s="7" t="str">
        <f t="shared" si="573"/>
        <v/>
      </c>
      <c r="P925" s="7" t="str">
        <f t="shared" si="574"/>
        <v/>
      </c>
      <c r="Q925" s="7" t="str">
        <f t="shared" si="575"/>
        <v/>
      </c>
      <c r="R925" s="17" t="str">
        <f t="shared" si="576"/>
        <v/>
      </c>
      <c r="S925" s="8" t="str">
        <f t="shared" si="577"/>
        <v/>
      </c>
      <c r="T925" s="2" t="str">
        <f t="shared" si="578"/>
        <v/>
      </c>
      <c r="U925" s="2" t="str">
        <f t="shared" si="579"/>
        <v/>
      </c>
      <c r="V925" t="str">
        <f t="shared" si="596"/>
        <v/>
      </c>
      <c r="X925">
        <f t="shared" si="607"/>
        <v>0</v>
      </c>
      <c r="Y925">
        <f t="shared" si="608"/>
        <v>0</v>
      </c>
      <c r="Z925">
        <f t="shared" si="609"/>
        <v>0</v>
      </c>
      <c r="AA925">
        <f t="shared" si="610"/>
        <v>0</v>
      </c>
      <c r="AB925">
        <f t="shared" si="611"/>
        <v>0</v>
      </c>
      <c r="AC925">
        <f t="shared" si="612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6"/>
        <v>C</v>
      </c>
      <c r="M926">
        <v>13</v>
      </c>
      <c r="N926" s="6" t="str">
        <f t="shared" si="572"/>
        <v>#</v>
      </c>
      <c r="O926" s="7" t="str">
        <f t="shared" si="573"/>
        <v>#</v>
      </c>
      <c r="P926" s="7" t="str">
        <f t="shared" si="574"/>
        <v>#</v>
      </c>
      <c r="Q926" s="7" t="str">
        <f t="shared" si="575"/>
        <v>#</v>
      </c>
      <c r="R926" s="17" t="str">
        <f t="shared" si="576"/>
        <v>#</v>
      </c>
      <c r="S926" s="8" t="str">
        <f t="shared" si="577"/>
        <v/>
      </c>
      <c r="T926" s="2" t="str">
        <f t="shared" si="578"/>
        <v/>
      </c>
      <c r="U926" s="2" t="str">
        <f t="shared" si="579"/>
        <v/>
      </c>
      <c r="V926" t="str">
        <f t="shared" si="596"/>
        <v/>
      </c>
      <c r="X926">
        <f t="shared" si="607"/>
        <v>0</v>
      </c>
      <c r="Y926">
        <f t="shared" si="608"/>
        <v>1</v>
      </c>
      <c r="Z926">
        <f t="shared" si="609"/>
        <v>1</v>
      </c>
      <c r="AA926">
        <f t="shared" si="610"/>
        <v>1</v>
      </c>
      <c r="AB926">
        <f t="shared" si="611"/>
        <v>1</v>
      </c>
      <c r="AC926">
        <f t="shared" si="612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6"/>
        <v>C</v>
      </c>
      <c r="M927">
        <v>14</v>
      </c>
      <c r="N927" s="18" t="str">
        <f t="shared" si="572"/>
        <v>#</v>
      </c>
      <c r="O927" s="19" t="str">
        <f t="shared" si="573"/>
        <v>#</v>
      </c>
      <c r="P927" s="19" t="str">
        <f t="shared" si="574"/>
        <v>#</v>
      </c>
      <c r="Q927" s="19" t="str">
        <f t="shared" si="575"/>
        <v>#</v>
      </c>
      <c r="R927" s="20" t="str">
        <f t="shared" si="576"/>
        <v>#</v>
      </c>
      <c r="S927" s="8" t="str">
        <f t="shared" si="577"/>
        <v/>
      </c>
      <c r="T927" s="2" t="str">
        <f t="shared" si="578"/>
        <v/>
      </c>
      <c r="U927" s="2" t="str">
        <f t="shared" si="579"/>
        <v/>
      </c>
      <c r="V927" t="str">
        <f t="shared" si="596"/>
        <v/>
      </c>
      <c r="X927">
        <f t="shared" si="607"/>
        <v>0</v>
      </c>
      <c r="Y927">
        <f t="shared" si="608"/>
        <v>0</v>
      </c>
      <c r="Z927">
        <f t="shared" si="609"/>
        <v>0</v>
      </c>
      <c r="AA927">
        <f t="shared" si="610"/>
        <v>0</v>
      </c>
      <c r="AB927">
        <f t="shared" si="611"/>
        <v>0</v>
      </c>
      <c r="AC927">
        <f t="shared" si="612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6"/>
        <v>C</v>
      </c>
      <c r="M928">
        <v>15</v>
      </c>
      <c r="N928" s="9" t="str">
        <f t="shared" si="572"/>
        <v/>
      </c>
      <c r="O928" s="10" t="str">
        <f t="shared" si="573"/>
        <v/>
      </c>
      <c r="P928" s="10" t="str">
        <f t="shared" si="574"/>
        <v/>
      </c>
      <c r="Q928" s="10" t="str">
        <f t="shared" si="575"/>
        <v/>
      </c>
      <c r="R928" s="10" t="str">
        <f t="shared" si="576"/>
        <v/>
      </c>
      <c r="S928" s="11" t="str">
        <f t="shared" si="577"/>
        <v/>
      </c>
      <c r="T928" s="2" t="str">
        <f t="shared" si="578"/>
        <v/>
      </c>
      <c r="U928" s="2" t="str">
        <f t="shared" si="579"/>
        <v/>
      </c>
      <c r="V928" t="str">
        <f t="shared" si="596"/>
        <v/>
      </c>
      <c r="X928">
        <f t="shared" si="607"/>
        <v>0</v>
      </c>
      <c r="Y928">
        <f t="shared" si="608"/>
        <v>0</v>
      </c>
      <c r="Z928">
        <f t="shared" si="609"/>
        <v>0</v>
      </c>
      <c r="AA928">
        <f t="shared" si="610"/>
        <v>0</v>
      </c>
      <c r="AB928">
        <f t="shared" si="611"/>
        <v>0</v>
      </c>
      <c r="AC928">
        <f t="shared" si="612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6"/>
        <v>C</v>
      </c>
      <c r="M929">
        <v>16</v>
      </c>
      <c r="N929" s="12" t="str">
        <f t="shared" si="572"/>
        <v/>
      </c>
      <c r="O929" s="13" t="str">
        <f t="shared" si="573"/>
        <v/>
      </c>
      <c r="P929" s="13" t="str">
        <f t="shared" si="574"/>
        <v/>
      </c>
      <c r="Q929" s="13" t="str">
        <f t="shared" si="575"/>
        <v/>
      </c>
      <c r="R929" s="13" t="str">
        <f t="shared" si="576"/>
        <v/>
      </c>
      <c r="S929" s="14" t="str">
        <f t="shared" si="577"/>
        <v/>
      </c>
      <c r="T929" s="2" t="str">
        <f t="shared" si="578"/>
        <v/>
      </c>
      <c r="U929" s="2" t="str">
        <f t="shared" si="579"/>
        <v/>
      </c>
      <c r="V929" t="str">
        <f t="shared" si="596"/>
        <v/>
      </c>
      <c r="X929">
        <f t="shared" si="607"/>
        <v>0</v>
      </c>
      <c r="Y929">
        <f t="shared" si="608"/>
        <v>0</v>
      </c>
      <c r="Z929">
        <f t="shared" si="609"/>
        <v>0</v>
      </c>
      <c r="AA929">
        <f t="shared" si="610"/>
        <v>0</v>
      </c>
      <c r="AB929">
        <f t="shared" si="611"/>
        <v>0</v>
      </c>
      <c r="AC929">
        <f t="shared" si="612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13">IF(B930&gt;0,"#","")</f>
        <v/>
      </c>
      <c r="O930" t="str">
        <f t="shared" ref="O930:O993" si="614">IF(C930&gt;0,"#","")</f>
        <v/>
      </c>
      <c r="P930" t="str">
        <f t="shared" ref="P930:P993" si="615">IF(D930&gt;0,"#","")</f>
        <v/>
      </c>
      <c r="Q930" t="str">
        <f t="shared" ref="Q930:Q993" si="616">IF(E930&gt;0,"#","")</f>
        <v/>
      </c>
      <c r="R930" t="str">
        <f t="shared" ref="R930:R993" si="617">IF(F930&gt;0,"#","")</f>
        <v/>
      </c>
      <c r="S930" t="str">
        <f t="shared" ref="S930:S993" si="618">IF(G930&gt;0,"#","")</f>
        <v/>
      </c>
      <c r="T930" s="2" t="str">
        <f t="shared" ref="T930:T993" si="619">IF(H930&gt;0,"#","")</f>
        <v/>
      </c>
      <c r="U930" s="2" t="str">
        <f t="shared" ref="U930:U993" si="620">IF(I930&gt;0,"#","")</f>
        <v/>
      </c>
      <c r="V930" t="str">
        <f t="shared" si="596"/>
        <v/>
      </c>
      <c r="W930">
        <f>SUM(B932:G945)</f>
        <v>30</v>
      </c>
      <c r="AD930">
        <f t="shared" ref="AD930" si="621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22">L930</f>
        <v>D</v>
      </c>
      <c r="M931">
        <v>2</v>
      </c>
      <c r="N931" t="str">
        <f t="shared" si="613"/>
        <v/>
      </c>
      <c r="O931" t="str">
        <f t="shared" si="614"/>
        <v/>
      </c>
      <c r="P931" t="str">
        <f t="shared" si="615"/>
        <v/>
      </c>
      <c r="Q931" t="str">
        <f t="shared" si="616"/>
        <v/>
      </c>
      <c r="R931" t="str">
        <f t="shared" si="617"/>
        <v/>
      </c>
      <c r="S931" t="str">
        <f t="shared" si="618"/>
        <v/>
      </c>
      <c r="T931" s="2" t="str">
        <f t="shared" si="619"/>
        <v/>
      </c>
      <c r="U931" s="2" t="str">
        <f t="shared" si="620"/>
        <v/>
      </c>
      <c r="V931" t="str">
        <f t="shared" si="596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22"/>
        <v>D</v>
      </c>
      <c r="M932">
        <v>3</v>
      </c>
      <c r="N932" s="3" t="str">
        <f t="shared" si="613"/>
        <v/>
      </c>
      <c r="O932" s="4" t="str">
        <f t="shared" si="614"/>
        <v/>
      </c>
      <c r="P932" s="4" t="str">
        <f t="shared" si="615"/>
        <v/>
      </c>
      <c r="Q932" s="4" t="str">
        <f t="shared" si="616"/>
        <v/>
      </c>
      <c r="R932" s="4" t="str">
        <f t="shared" si="617"/>
        <v/>
      </c>
      <c r="S932" s="5" t="str">
        <f t="shared" si="618"/>
        <v/>
      </c>
      <c r="T932" s="2" t="str">
        <f t="shared" si="619"/>
        <v/>
      </c>
      <c r="U932" s="2" t="str">
        <f t="shared" si="620"/>
        <v/>
      </c>
      <c r="V932" t="str">
        <f t="shared" si="596"/>
        <v/>
      </c>
      <c r="X932">
        <f t="shared" ref="X932:X945" si="623">MAX(B932-B931,0)</f>
        <v>0</v>
      </c>
      <c r="Y932">
        <f t="shared" ref="Y932:Y945" si="624">MAX(C932-C931,0)</f>
        <v>0</v>
      </c>
      <c r="Z932">
        <f t="shared" ref="Z932:Z945" si="625">MAX(D932-D931,0)</f>
        <v>0</v>
      </c>
      <c r="AA932">
        <f t="shared" ref="AA932:AA945" si="626">MAX(E932-E931,0)</f>
        <v>0</v>
      </c>
      <c r="AB932">
        <f t="shared" ref="AB932:AB945" si="627">MAX(F932-F931,0)</f>
        <v>0</v>
      </c>
      <c r="AC932">
        <f t="shared" ref="AC932:AC945" si="628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22"/>
        <v>D</v>
      </c>
      <c r="M933">
        <v>4</v>
      </c>
      <c r="N933" s="6" t="str">
        <f t="shared" si="613"/>
        <v/>
      </c>
      <c r="O933" s="7" t="str">
        <f t="shared" si="614"/>
        <v/>
      </c>
      <c r="P933" s="7" t="str">
        <f t="shared" si="615"/>
        <v/>
      </c>
      <c r="Q933" s="7" t="str">
        <f t="shared" si="616"/>
        <v/>
      </c>
      <c r="R933" s="7" t="str">
        <f t="shared" si="617"/>
        <v/>
      </c>
      <c r="S933" s="8" t="str">
        <f t="shared" si="618"/>
        <v/>
      </c>
      <c r="T933" s="2" t="str">
        <f t="shared" si="619"/>
        <v/>
      </c>
      <c r="U933" s="2" t="str">
        <f t="shared" si="620"/>
        <v/>
      </c>
      <c r="V933" t="str">
        <f t="shared" si="596"/>
        <v/>
      </c>
      <c r="X933">
        <f t="shared" si="623"/>
        <v>0</v>
      </c>
      <c r="Y933">
        <f t="shared" si="624"/>
        <v>0</v>
      </c>
      <c r="Z933">
        <f t="shared" si="625"/>
        <v>0</v>
      </c>
      <c r="AA933">
        <f t="shared" si="626"/>
        <v>0</v>
      </c>
      <c r="AB933">
        <f t="shared" si="627"/>
        <v>0</v>
      </c>
      <c r="AC933">
        <f t="shared" si="628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22"/>
        <v>D</v>
      </c>
      <c r="M934">
        <v>5</v>
      </c>
      <c r="N934" s="22" t="str">
        <f t="shared" si="613"/>
        <v>#</v>
      </c>
      <c r="O934" s="15" t="str">
        <f t="shared" si="614"/>
        <v>#</v>
      </c>
      <c r="P934" s="15" t="str">
        <f t="shared" si="615"/>
        <v>#</v>
      </c>
      <c r="Q934" s="15" t="str">
        <f t="shared" si="616"/>
        <v>#</v>
      </c>
      <c r="R934" s="16" t="str">
        <f t="shared" si="617"/>
        <v/>
      </c>
      <c r="S934" s="8" t="str">
        <f t="shared" si="618"/>
        <v/>
      </c>
      <c r="T934" s="2" t="str">
        <f t="shared" si="619"/>
        <v/>
      </c>
      <c r="U934" s="2" t="str">
        <f t="shared" si="620"/>
        <v/>
      </c>
      <c r="V934" t="str">
        <f t="shared" si="596"/>
        <v/>
      </c>
      <c r="X934">
        <f t="shared" si="623"/>
        <v>1</v>
      </c>
      <c r="Y934">
        <f t="shared" si="624"/>
        <v>1</v>
      </c>
      <c r="Z934">
        <f t="shared" si="625"/>
        <v>1</v>
      </c>
      <c r="AA934">
        <f t="shared" si="626"/>
        <v>1</v>
      </c>
      <c r="AB934">
        <f t="shared" si="627"/>
        <v>0</v>
      </c>
      <c r="AC934">
        <f t="shared" si="628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22"/>
        <v>D</v>
      </c>
      <c r="M935">
        <v>6</v>
      </c>
      <c r="N935" s="23" t="str">
        <f t="shared" si="613"/>
        <v>#</v>
      </c>
      <c r="O935" s="7" t="str">
        <f t="shared" si="614"/>
        <v>#</v>
      </c>
      <c r="P935" s="7" t="str">
        <f t="shared" si="615"/>
        <v>#</v>
      </c>
      <c r="Q935" s="7" t="str">
        <f t="shared" si="616"/>
        <v>#</v>
      </c>
      <c r="R935" s="17" t="str">
        <f t="shared" si="617"/>
        <v>#</v>
      </c>
      <c r="S935" s="8" t="str">
        <f t="shared" si="618"/>
        <v/>
      </c>
      <c r="T935" s="2" t="str">
        <f t="shared" si="619"/>
        <v/>
      </c>
      <c r="U935" s="2" t="str">
        <f t="shared" si="620"/>
        <v/>
      </c>
      <c r="V935" t="str">
        <f t="shared" si="596"/>
        <v/>
      </c>
      <c r="X935">
        <f t="shared" si="623"/>
        <v>0</v>
      </c>
      <c r="Y935">
        <f t="shared" si="624"/>
        <v>0</v>
      </c>
      <c r="Z935">
        <f t="shared" si="625"/>
        <v>0</v>
      </c>
      <c r="AA935">
        <f t="shared" si="626"/>
        <v>0</v>
      </c>
      <c r="AB935">
        <f t="shared" si="627"/>
        <v>1</v>
      </c>
      <c r="AC935">
        <f t="shared" si="628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22"/>
        <v>D</v>
      </c>
      <c r="M936">
        <v>7</v>
      </c>
      <c r="N936" s="23" t="str">
        <f t="shared" si="613"/>
        <v/>
      </c>
      <c r="O936" s="7" t="str">
        <f t="shared" si="614"/>
        <v>#</v>
      </c>
      <c r="P936" s="7" t="str">
        <f t="shared" si="615"/>
        <v/>
      </c>
      <c r="Q936" s="7" t="str">
        <f t="shared" si="616"/>
        <v/>
      </c>
      <c r="R936" s="17" t="str">
        <f t="shared" si="617"/>
        <v>#</v>
      </c>
      <c r="S936" s="8" t="str">
        <f t="shared" si="618"/>
        <v/>
      </c>
      <c r="T936" s="2" t="str">
        <f t="shared" si="619"/>
        <v/>
      </c>
      <c r="U936" s="2" t="str">
        <f t="shared" si="620"/>
        <v/>
      </c>
      <c r="V936" t="str">
        <f t="shared" si="596"/>
        <v/>
      </c>
      <c r="X936">
        <f t="shared" si="623"/>
        <v>0</v>
      </c>
      <c r="Y936">
        <f t="shared" si="624"/>
        <v>0</v>
      </c>
      <c r="Z936">
        <f t="shared" si="625"/>
        <v>0</v>
      </c>
      <c r="AA936">
        <f t="shared" si="626"/>
        <v>0</v>
      </c>
      <c r="AB936">
        <f t="shared" si="627"/>
        <v>0</v>
      </c>
      <c r="AC936">
        <f t="shared" si="628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22"/>
        <v>D</v>
      </c>
      <c r="M937">
        <v>8</v>
      </c>
      <c r="N937" s="23" t="str">
        <f t="shared" si="613"/>
        <v/>
      </c>
      <c r="O937" s="7" t="str">
        <f t="shared" si="614"/>
        <v>#</v>
      </c>
      <c r="P937" s="7" t="str">
        <f t="shared" si="615"/>
        <v/>
      </c>
      <c r="Q937" s="7" t="str">
        <f t="shared" si="616"/>
        <v/>
      </c>
      <c r="R937" s="17" t="str">
        <f t="shared" si="617"/>
        <v>#</v>
      </c>
      <c r="S937" s="8" t="str">
        <f t="shared" si="618"/>
        <v/>
      </c>
      <c r="T937" s="2" t="str">
        <f t="shared" si="619"/>
        <v/>
      </c>
      <c r="U937" s="2" t="str">
        <f t="shared" si="620"/>
        <v/>
      </c>
      <c r="V937" t="str">
        <f t="shared" si="596"/>
        <v/>
      </c>
      <c r="X937">
        <f t="shared" si="623"/>
        <v>0</v>
      </c>
      <c r="Y937">
        <f t="shared" si="624"/>
        <v>0</v>
      </c>
      <c r="Z937">
        <f t="shared" si="625"/>
        <v>0</v>
      </c>
      <c r="AA937">
        <f t="shared" si="626"/>
        <v>0</v>
      </c>
      <c r="AB937">
        <f t="shared" si="627"/>
        <v>0</v>
      </c>
      <c r="AC937">
        <f t="shared" si="628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22"/>
        <v>D</v>
      </c>
      <c r="M938">
        <v>9</v>
      </c>
      <c r="N938" s="23" t="str">
        <f t="shared" si="613"/>
        <v/>
      </c>
      <c r="O938" s="7" t="str">
        <f t="shared" si="614"/>
        <v>#</v>
      </c>
      <c r="P938" s="7" t="str">
        <f t="shared" si="615"/>
        <v/>
      </c>
      <c r="Q938" s="7" t="str">
        <f t="shared" si="616"/>
        <v/>
      </c>
      <c r="R938" s="17" t="str">
        <f t="shared" si="617"/>
        <v>#</v>
      </c>
      <c r="S938" s="8" t="str">
        <f t="shared" si="618"/>
        <v/>
      </c>
      <c r="T938" s="2" t="str">
        <f t="shared" si="619"/>
        <v/>
      </c>
      <c r="U938" s="2" t="str">
        <f t="shared" si="620"/>
        <v/>
      </c>
      <c r="V938" t="str">
        <f t="shared" si="596"/>
        <v/>
      </c>
      <c r="X938">
        <f t="shared" si="623"/>
        <v>0</v>
      </c>
      <c r="Y938">
        <f t="shared" si="624"/>
        <v>0</v>
      </c>
      <c r="Z938">
        <f t="shared" si="625"/>
        <v>0</v>
      </c>
      <c r="AA938">
        <f t="shared" si="626"/>
        <v>0</v>
      </c>
      <c r="AB938">
        <f t="shared" si="627"/>
        <v>0</v>
      </c>
      <c r="AC938">
        <f t="shared" si="628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22"/>
        <v>D</v>
      </c>
      <c r="M939">
        <v>10</v>
      </c>
      <c r="N939" s="23" t="str">
        <f t="shared" si="613"/>
        <v/>
      </c>
      <c r="O939" s="7" t="str">
        <f t="shared" si="614"/>
        <v>#</v>
      </c>
      <c r="P939" s="7" t="str">
        <f t="shared" si="615"/>
        <v/>
      </c>
      <c r="Q939" s="7" t="str">
        <f t="shared" si="616"/>
        <v/>
      </c>
      <c r="R939" s="17" t="str">
        <f t="shared" si="617"/>
        <v>#</v>
      </c>
      <c r="S939" s="8" t="str">
        <f t="shared" si="618"/>
        <v/>
      </c>
      <c r="T939" s="2" t="str">
        <f t="shared" si="619"/>
        <v/>
      </c>
      <c r="U939" s="2" t="str">
        <f t="shared" si="620"/>
        <v/>
      </c>
      <c r="V939" t="str">
        <f t="shared" si="596"/>
        <v/>
      </c>
      <c r="X939">
        <f t="shared" si="623"/>
        <v>0</v>
      </c>
      <c r="Y939">
        <f t="shared" si="624"/>
        <v>0</v>
      </c>
      <c r="Z939">
        <f t="shared" si="625"/>
        <v>0</v>
      </c>
      <c r="AA939">
        <f t="shared" si="626"/>
        <v>0</v>
      </c>
      <c r="AB939">
        <f t="shared" si="627"/>
        <v>0</v>
      </c>
      <c r="AC939">
        <f t="shared" si="628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22"/>
        <v>D</v>
      </c>
      <c r="M940">
        <v>11</v>
      </c>
      <c r="N940" s="23" t="str">
        <f t="shared" si="613"/>
        <v/>
      </c>
      <c r="O940" s="7" t="str">
        <f t="shared" si="614"/>
        <v>#</v>
      </c>
      <c r="P940" s="7" t="str">
        <f t="shared" si="615"/>
        <v/>
      </c>
      <c r="Q940" s="7" t="str">
        <f t="shared" si="616"/>
        <v/>
      </c>
      <c r="R940" s="17" t="str">
        <f t="shared" si="617"/>
        <v>#</v>
      </c>
      <c r="S940" s="8" t="str">
        <f t="shared" si="618"/>
        <v/>
      </c>
      <c r="T940" s="2" t="str">
        <f t="shared" si="619"/>
        <v/>
      </c>
      <c r="U940" s="2" t="str">
        <f t="shared" si="620"/>
        <v/>
      </c>
      <c r="V940" t="str">
        <f t="shared" si="596"/>
        <v/>
      </c>
      <c r="X940">
        <f t="shared" si="623"/>
        <v>0</v>
      </c>
      <c r="Y940">
        <f t="shared" si="624"/>
        <v>0</v>
      </c>
      <c r="Z940">
        <f t="shared" si="625"/>
        <v>0</v>
      </c>
      <c r="AA940">
        <f t="shared" si="626"/>
        <v>0</v>
      </c>
      <c r="AB940">
        <f t="shared" si="627"/>
        <v>0</v>
      </c>
      <c r="AC940">
        <f t="shared" si="628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22"/>
        <v>D</v>
      </c>
      <c r="M941">
        <v>12</v>
      </c>
      <c r="N941" s="23" t="str">
        <f t="shared" si="613"/>
        <v/>
      </c>
      <c r="O941" s="7" t="str">
        <f t="shared" si="614"/>
        <v>#</v>
      </c>
      <c r="P941" s="7" t="str">
        <f t="shared" si="615"/>
        <v/>
      </c>
      <c r="Q941" s="7" t="str">
        <f t="shared" si="616"/>
        <v/>
      </c>
      <c r="R941" s="17" t="str">
        <f t="shared" si="617"/>
        <v>#</v>
      </c>
      <c r="S941" s="8" t="str">
        <f t="shared" si="618"/>
        <v/>
      </c>
      <c r="T941" s="2" t="str">
        <f t="shared" si="619"/>
        <v/>
      </c>
      <c r="U941" s="2" t="str">
        <f t="shared" si="620"/>
        <v/>
      </c>
      <c r="V941" t="str">
        <f t="shared" si="596"/>
        <v/>
      </c>
      <c r="X941">
        <f t="shared" si="623"/>
        <v>0</v>
      </c>
      <c r="Y941">
        <f t="shared" si="624"/>
        <v>0</v>
      </c>
      <c r="Z941">
        <f t="shared" si="625"/>
        <v>0</v>
      </c>
      <c r="AA941">
        <f t="shared" si="626"/>
        <v>0</v>
      </c>
      <c r="AB941">
        <f t="shared" si="627"/>
        <v>0</v>
      </c>
      <c r="AC941">
        <f t="shared" si="628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22"/>
        <v>D</v>
      </c>
      <c r="M942">
        <v>13</v>
      </c>
      <c r="N942" s="6" t="str">
        <f t="shared" si="613"/>
        <v>#</v>
      </c>
      <c r="O942" s="7" t="str">
        <f t="shared" si="614"/>
        <v>#</v>
      </c>
      <c r="P942" s="7" t="str">
        <f t="shared" si="615"/>
        <v>#</v>
      </c>
      <c r="Q942" s="7" t="str">
        <f t="shared" si="616"/>
        <v>#</v>
      </c>
      <c r="R942" s="17" t="str">
        <f t="shared" si="617"/>
        <v>#</v>
      </c>
      <c r="S942" s="8" t="str">
        <f t="shared" si="618"/>
        <v/>
      </c>
      <c r="T942" s="2" t="str">
        <f t="shared" si="619"/>
        <v/>
      </c>
      <c r="U942" s="2" t="str">
        <f t="shared" si="620"/>
        <v/>
      </c>
      <c r="V942" t="str">
        <f t="shared" si="596"/>
        <v/>
      </c>
      <c r="X942">
        <f t="shared" si="623"/>
        <v>1</v>
      </c>
      <c r="Y942">
        <f t="shared" si="624"/>
        <v>0</v>
      </c>
      <c r="Z942">
        <f t="shared" si="625"/>
        <v>1</v>
      </c>
      <c r="AA942">
        <f t="shared" si="626"/>
        <v>1</v>
      </c>
      <c r="AB942">
        <f t="shared" si="627"/>
        <v>0</v>
      </c>
      <c r="AC942">
        <f t="shared" si="628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22"/>
        <v>D</v>
      </c>
      <c r="M943">
        <v>14</v>
      </c>
      <c r="N943" s="18" t="str">
        <f t="shared" si="613"/>
        <v>#</v>
      </c>
      <c r="O943" s="19" t="str">
        <f t="shared" si="614"/>
        <v>#</v>
      </c>
      <c r="P943" s="19" t="str">
        <f t="shared" si="615"/>
        <v>#</v>
      </c>
      <c r="Q943" s="19" t="str">
        <f t="shared" si="616"/>
        <v>#</v>
      </c>
      <c r="R943" s="20" t="str">
        <f t="shared" si="617"/>
        <v/>
      </c>
      <c r="S943" s="8" t="str">
        <f t="shared" si="618"/>
        <v/>
      </c>
      <c r="T943" s="2" t="str">
        <f t="shared" si="619"/>
        <v/>
      </c>
      <c r="U943" s="2" t="str">
        <f t="shared" si="620"/>
        <v/>
      </c>
      <c r="V943" t="str">
        <f t="shared" si="596"/>
        <v/>
      </c>
      <c r="X943">
        <f t="shared" si="623"/>
        <v>0</v>
      </c>
      <c r="Y943">
        <f t="shared" si="624"/>
        <v>0</v>
      </c>
      <c r="Z943">
        <f t="shared" si="625"/>
        <v>0</v>
      </c>
      <c r="AA943">
        <f t="shared" si="626"/>
        <v>0</v>
      </c>
      <c r="AB943">
        <f t="shared" si="627"/>
        <v>0</v>
      </c>
      <c r="AC943">
        <f t="shared" si="628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22"/>
        <v>D</v>
      </c>
      <c r="M944">
        <v>15</v>
      </c>
      <c r="N944" s="9" t="str">
        <f t="shared" si="613"/>
        <v/>
      </c>
      <c r="O944" s="10" t="str">
        <f t="shared" si="614"/>
        <v/>
      </c>
      <c r="P944" s="10" t="str">
        <f t="shared" si="615"/>
        <v/>
      </c>
      <c r="Q944" s="10" t="str">
        <f t="shared" si="616"/>
        <v/>
      </c>
      <c r="R944" s="10" t="str">
        <f t="shared" si="617"/>
        <v/>
      </c>
      <c r="S944" s="11" t="str">
        <f t="shared" si="618"/>
        <v/>
      </c>
      <c r="T944" s="2" t="str">
        <f t="shared" si="619"/>
        <v/>
      </c>
      <c r="U944" s="2" t="str">
        <f t="shared" si="620"/>
        <v/>
      </c>
      <c r="V944" t="str">
        <f t="shared" si="596"/>
        <v/>
      </c>
      <c r="X944">
        <f t="shared" si="623"/>
        <v>0</v>
      </c>
      <c r="Y944">
        <f t="shared" si="624"/>
        <v>0</v>
      </c>
      <c r="Z944">
        <f t="shared" si="625"/>
        <v>0</v>
      </c>
      <c r="AA944">
        <f t="shared" si="626"/>
        <v>0</v>
      </c>
      <c r="AB944">
        <f t="shared" si="627"/>
        <v>0</v>
      </c>
      <c r="AC944">
        <f t="shared" si="628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22"/>
        <v>D</v>
      </c>
      <c r="M945">
        <v>16</v>
      </c>
      <c r="N945" s="12" t="str">
        <f t="shared" si="613"/>
        <v/>
      </c>
      <c r="O945" s="13" t="str">
        <f t="shared" si="614"/>
        <v/>
      </c>
      <c r="P945" s="13" t="str">
        <f t="shared" si="615"/>
        <v/>
      </c>
      <c r="Q945" s="13" t="str">
        <f t="shared" si="616"/>
        <v/>
      </c>
      <c r="R945" s="13" t="str">
        <f t="shared" si="617"/>
        <v/>
      </c>
      <c r="S945" s="14" t="str">
        <f t="shared" si="618"/>
        <v/>
      </c>
      <c r="T945" s="2" t="str">
        <f t="shared" si="619"/>
        <v/>
      </c>
      <c r="U945" s="2" t="str">
        <f t="shared" si="620"/>
        <v/>
      </c>
      <c r="V945" t="str">
        <f t="shared" si="596"/>
        <v/>
      </c>
      <c r="X945">
        <f t="shared" si="623"/>
        <v>0</v>
      </c>
      <c r="Y945">
        <f t="shared" si="624"/>
        <v>0</v>
      </c>
      <c r="Z945">
        <f t="shared" si="625"/>
        <v>0</v>
      </c>
      <c r="AA945">
        <f t="shared" si="626"/>
        <v>0</v>
      </c>
      <c r="AB945">
        <f t="shared" si="627"/>
        <v>0</v>
      </c>
      <c r="AC945">
        <f t="shared" si="628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13"/>
        <v/>
      </c>
      <c r="O946" t="str">
        <f t="shared" si="614"/>
        <v/>
      </c>
      <c r="P946" t="str">
        <f t="shared" si="615"/>
        <v/>
      </c>
      <c r="Q946" t="str">
        <f t="shared" si="616"/>
        <v/>
      </c>
      <c r="R946" t="str">
        <f t="shared" si="617"/>
        <v/>
      </c>
      <c r="S946" t="str">
        <f t="shared" si="618"/>
        <v/>
      </c>
      <c r="T946" s="2" t="str">
        <f t="shared" si="619"/>
        <v/>
      </c>
      <c r="U946" s="2" t="str">
        <f t="shared" si="620"/>
        <v/>
      </c>
      <c r="V946" t="str">
        <f t="shared" si="596"/>
        <v/>
      </c>
      <c r="W946">
        <f>SUM(B948:G961)</f>
        <v>30</v>
      </c>
      <c r="AD946">
        <f t="shared" ref="AD946" si="629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30">L946</f>
        <v>E</v>
      </c>
      <c r="M947">
        <v>2</v>
      </c>
      <c r="N947" t="str">
        <f t="shared" si="613"/>
        <v/>
      </c>
      <c r="O947" t="str">
        <f t="shared" si="614"/>
        <v/>
      </c>
      <c r="P947" t="str">
        <f t="shared" si="615"/>
        <v/>
      </c>
      <c r="Q947" t="str">
        <f t="shared" si="616"/>
        <v/>
      </c>
      <c r="R947" t="str">
        <f t="shared" si="617"/>
        <v/>
      </c>
      <c r="S947" t="str">
        <f t="shared" si="618"/>
        <v/>
      </c>
      <c r="T947" s="2" t="str">
        <f t="shared" si="619"/>
        <v/>
      </c>
      <c r="U947" s="2" t="str">
        <f t="shared" si="620"/>
        <v/>
      </c>
      <c r="V947" t="str">
        <f t="shared" si="596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30"/>
        <v>E</v>
      </c>
      <c r="M948">
        <v>3</v>
      </c>
      <c r="N948" s="3" t="str">
        <f t="shared" si="613"/>
        <v/>
      </c>
      <c r="O948" s="4" t="str">
        <f t="shared" si="614"/>
        <v/>
      </c>
      <c r="P948" s="4" t="str">
        <f t="shared" si="615"/>
        <v/>
      </c>
      <c r="Q948" s="4" t="str">
        <f t="shared" si="616"/>
        <v/>
      </c>
      <c r="R948" s="4" t="str">
        <f t="shared" si="617"/>
        <v/>
      </c>
      <c r="S948" s="5" t="str">
        <f t="shared" si="618"/>
        <v/>
      </c>
      <c r="T948" s="2" t="str">
        <f t="shared" si="619"/>
        <v/>
      </c>
      <c r="U948" s="2" t="str">
        <f t="shared" si="620"/>
        <v/>
      </c>
      <c r="V948" t="str">
        <f t="shared" si="596"/>
        <v/>
      </c>
      <c r="X948">
        <f t="shared" ref="X948:X961" si="631">MAX(B948-B947,0)</f>
        <v>0</v>
      </c>
      <c r="Y948">
        <f t="shared" ref="Y948:Y961" si="632">MAX(C948-C947,0)</f>
        <v>0</v>
      </c>
      <c r="Z948">
        <f t="shared" ref="Z948:Z961" si="633">MAX(D948-D947,0)</f>
        <v>0</v>
      </c>
      <c r="AA948">
        <f t="shared" ref="AA948:AA961" si="634">MAX(E948-E947,0)</f>
        <v>0</v>
      </c>
      <c r="AB948">
        <f t="shared" ref="AB948:AB961" si="635">MAX(F948-F947,0)</f>
        <v>0</v>
      </c>
      <c r="AC948">
        <f t="shared" ref="AC948:AC961" si="636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30"/>
        <v>E</v>
      </c>
      <c r="M949">
        <v>4</v>
      </c>
      <c r="N949" s="6" t="str">
        <f t="shared" si="613"/>
        <v/>
      </c>
      <c r="O949" s="7" t="str">
        <f t="shared" si="614"/>
        <v/>
      </c>
      <c r="P949" s="7" t="str">
        <f t="shared" si="615"/>
        <v/>
      </c>
      <c r="Q949" s="7" t="str">
        <f t="shared" si="616"/>
        <v/>
      </c>
      <c r="R949" s="7" t="str">
        <f t="shared" si="617"/>
        <v/>
      </c>
      <c r="S949" s="8" t="str">
        <f t="shared" si="618"/>
        <v/>
      </c>
      <c r="T949" s="2" t="str">
        <f t="shared" si="619"/>
        <v/>
      </c>
      <c r="U949" s="2" t="str">
        <f t="shared" si="620"/>
        <v/>
      </c>
      <c r="V949" t="str">
        <f t="shared" si="596"/>
        <v/>
      </c>
      <c r="X949">
        <f t="shared" si="631"/>
        <v>0</v>
      </c>
      <c r="Y949">
        <f t="shared" si="632"/>
        <v>0</v>
      </c>
      <c r="Z949">
        <f t="shared" si="633"/>
        <v>0</v>
      </c>
      <c r="AA949">
        <f t="shared" si="634"/>
        <v>0</v>
      </c>
      <c r="AB949">
        <f t="shared" si="635"/>
        <v>0</v>
      </c>
      <c r="AC949">
        <f t="shared" si="636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30"/>
        <v>E</v>
      </c>
      <c r="M950">
        <v>5</v>
      </c>
      <c r="N950" s="22" t="str">
        <f t="shared" si="613"/>
        <v>#</v>
      </c>
      <c r="O950" s="15" t="str">
        <f t="shared" si="614"/>
        <v>#</v>
      </c>
      <c r="P950" s="15" t="str">
        <f t="shared" si="615"/>
        <v>#</v>
      </c>
      <c r="Q950" s="15" t="str">
        <f t="shared" si="616"/>
        <v>#</v>
      </c>
      <c r="R950" s="16" t="str">
        <f t="shared" si="617"/>
        <v>#</v>
      </c>
      <c r="S950" s="8" t="str">
        <f t="shared" si="618"/>
        <v/>
      </c>
      <c r="T950" s="2" t="str">
        <f t="shared" si="619"/>
        <v/>
      </c>
      <c r="U950" s="2" t="str">
        <f t="shared" si="620"/>
        <v/>
      </c>
      <c r="V950" t="str">
        <f t="shared" si="596"/>
        <v/>
      </c>
      <c r="X950">
        <f t="shared" si="631"/>
        <v>1</v>
      </c>
      <c r="Y950">
        <f t="shared" si="632"/>
        <v>1</v>
      </c>
      <c r="Z950">
        <f t="shared" si="633"/>
        <v>1</v>
      </c>
      <c r="AA950">
        <f t="shared" si="634"/>
        <v>1</v>
      </c>
      <c r="AB950">
        <f t="shared" si="635"/>
        <v>1</v>
      </c>
      <c r="AC950">
        <f t="shared" si="636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30"/>
        <v>E</v>
      </c>
      <c r="M951">
        <v>6</v>
      </c>
      <c r="N951" s="23" t="str">
        <f t="shared" si="613"/>
        <v>#</v>
      </c>
      <c r="O951" s="7" t="str">
        <f t="shared" si="614"/>
        <v>#</v>
      </c>
      <c r="P951" s="7" t="str">
        <f t="shared" si="615"/>
        <v>#</v>
      </c>
      <c r="Q951" s="7" t="str">
        <f t="shared" si="616"/>
        <v>#</v>
      </c>
      <c r="R951" s="17" t="str">
        <f t="shared" si="617"/>
        <v>#</v>
      </c>
      <c r="S951" s="8" t="str">
        <f t="shared" si="618"/>
        <v/>
      </c>
      <c r="T951" s="2" t="str">
        <f t="shared" si="619"/>
        <v/>
      </c>
      <c r="U951" s="2" t="str">
        <f t="shared" si="620"/>
        <v/>
      </c>
      <c r="V951" t="str">
        <f t="shared" si="596"/>
        <v/>
      </c>
      <c r="X951">
        <f t="shared" si="631"/>
        <v>0</v>
      </c>
      <c r="Y951">
        <f t="shared" si="632"/>
        <v>0</v>
      </c>
      <c r="Z951">
        <f t="shared" si="633"/>
        <v>0</v>
      </c>
      <c r="AA951">
        <f t="shared" si="634"/>
        <v>0</v>
      </c>
      <c r="AB951">
        <f t="shared" si="635"/>
        <v>0</v>
      </c>
      <c r="AC951">
        <f t="shared" si="636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30"/>
        <v>E</v>
      </c>
      <c r="M952">
        <v>7</v>
      </c>
      <c r="N952" s="23" t="str">
        <f t="shared" si="613"/>
        <v>#</v>
      </c>
      <c r="O952" s="7" t="str">
        <f t="shared" si="614"/>
        <v/>
      </c>
      <c r="P952" s="7" t="str">
        <f t="shared" si="615"/>
        <v/>
      </c>
      <c r="Q952" s="7" t="str">
        <f t="shared" si="616"/>
        <v/>
      </c>
      <c r="R952" s="17" t="str">
        <f t="shared" si="617"/>
        <v/>
      </c>
      <c r="S952" s="8" t="str">
        <f t="shared" si="618"/>
        <v/>
      </c>
      <c r="T952" s="2" t="str">
        <f t="shared" si="619"/>
        <v/>
      </c>
      <c r="U952" s="2" t="str">
        <f t="shared" si="620"/>
        <v/>
      </c>
      <c r="V952" t="str">
        <f t="shared" si="596"/>
        <v/>
      </c>
      <c r="X952">
        <f t="shared" si="631"/>
        <v>0</v>
      </c>
      <c r="Y952">
        <f t="shared" si="632"/>
        <v>0</v>
      </c>
      <c r="Z952">
        <f t="shared" si="633"/>
        <v>0</v>
      </c>
      <c r="AA952">
        <f t="shared" si="634"/>
        <v>0</v>
      </c>
      <c r="AB952">
        <f t="shared" si="635"/>
        <v>0</v>
      </c>
      <c r="AC952">
        <f t="shared" si="636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30"/>
        <v>E</v>
      </c>
      <c r="M953">
        <v>8</v>
      </c>
      <c r="N953" s="23" t="str">
        <f t="shared" si="613"/>
        <v>#</v>
      </c>
      <c r="O953" s="7" t="str">
        <f t="shared" si="614"/>
        <v/>
      </c>
      <c r="P953" s="7" t="str">
        <f t="shared" si="615"/>
        <v/>
      </c>
      <c r="Q953" s="7" t="str">
        <f t="shared" si="616"/>
        <v/>
      </c>
      <c r="R953" s="17" t="str">
        <f t="shared" si="617"/>
        <v/>
      </c>
      <c r="S953" s="8" t="str">
        <f t="shared" si="618"/>
        <v/>
      </c>
      <c r="T953" s="2" t="str">
        <f t="shared" si="619"/>
        <v/>
      </c>
      <c r="U953" s="2" t="str">
        <f t="shared" si="620"/>
        <v/>
      </c>
      <c r="V953" t="str">
        <f t="shared" si="596"/>
        <v/>
      </c>
      <c r="X953">
        <f t="shared" si="631"/>
        <v>0</v>
      </c>
      <c r="Y953">
        <f t="shared" si="632"/>
        <v>0</v>
      </c>
      <c r="Z953">
        <f t="shared" si="633"/>
        <v>0</v>
      </c>
      <c r="AA953">
        <f t="shared" si="634"/>
        <v>0</v>
      </c>
      <c r="AB953">
        <f t="shared" si="635"/>
        <v>0</v>
      </c>
      <c r="AC953">
        <f t="shared" si="636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30"/>
        <v>E</v>
      </c>
      <c r="M954">
        <v>9</v>
      </c>
      <c r="N954" s="23" t="str">
        <f t="shared" si="613"/>
        <v>#</v>
      </c>
      <c r="O954" s="7" t="str">
        <f t="shared" si="614"/>
        <v>#</v>
      </c>
      <c r="P954" s="7" t="str">
        <f t="shared" si="615"/>
        <v>#</v>
      </c>
      <c r="Q954" s="7" t="str">
        <f t="shared" si="616"/>
        <v/>
      </c>
      <c r="R954" s="17" t="str">
        <f t="shared" si="617"/>
        <v/>
      </c>
      <c r="S954" s="8" t="str">
        <f t="shared" si="618"/>
        <v/>
      </c>
      <c r="T954" s="2" t="str">
        <f t="shared" si="619"/>
        <v/>
      </c>
      <c r="U954" s="2" t="str">
        <f t="shared" si="620"/>
        <v/>
      </c>
      <c r="V954" t="str">
        <f t="shared" si="596"/>
        <v/>
      </c>
      <c r="X954">
        <f t="shared" si="631"/>
        <v>0</v>
      </c>
      <c r="Y954">
        <f t="shared" si="632"/>
        <v>1</v>
      </c>
      <c r="Z954">
        <f t="shared" si="633"/>
        <v>1</v>
      </c>
      <c r="AA954">
        <f t="shared" si="634"/>
        <v>0</v>
      </c>
      <c r="AB954">
        <f t="shared" si="635"/>
        <v>0</v>
      </c>
      <c r="AC954">
        <f t="shared" si="636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30"/>
        <v>E</v>
      </c>
      <c r="M955">
        <v>10</v>
      </c>
      <c r="N955" s="23" t="str">
        <f t="shared" si="613"/>
        <v>#</v>
      </c>
      <c r="O955" s="7" t="str">
        <f t="shared" si="614"/>
        <v>#</v>
      </c>
      <c r="P955" s="7" t="str">
        <f t="shared" si="615"/>
        <v>#</v>
      </c>
      <c r="Q955" s="7" t="str">
        <f t="shared" si="616"/>
        <v/>
      </c>
      <c r="R955" s="17" t="str">
        <f t="shared" si="617"/>
        <v/>
      </c>
      <c r="S955" s="8" t="str">
        <f t="shared" si="618"/>
        <v/>
      </c>
      <c r="T955" s="2" t="str">
        <f t="shared" si="619"/>
        <v/>
      </c>
      <c r="U955" s="2" t="str">
        <f t="shared" si="620"/>
        <v/>
      </c>
      <c r="V955" t="str">
        <f t="shared" si="596"/>
        <v/>
      </c>
      <c r="X955">
        <f t="shared" si="631"/>
        <v>0</v>
      </c>
      <c r="Y955">
        <f t="shared" si="632"/>
        <v>0</v>
      </c>
      <c r="Z955">
        <f t="shared" si="633"/>
        <v>0</v>
      </c>
      <c r="AA955">
        <f t="shared" si="634"/>
        <v>0</v>
      </c>
      <c r="AB955">
        <f t="shared" si="635"/>
        <v>0</v>
      </c>
      <c r="AC955">
        <f t="shared" si="636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30"/>
        <v>E</v>
      </c>
      <c r="M956">
        <v>11</v>
      </c>
      <c r="N956" s="23" t="str">
        <f t="shared" si="613"/>
        <v>#</v>
      </c>
      <c r="O956" s="7" t="str">
        <f t="shared" si="614"/>
        <v/>
      </c>
      <c r="P956" s="7" t="str">
        <f t="shared" si="615"/>
        <v/>
      </c>
      <c r="Q956" s="7" t="str">
        <f t="shared" si="616"/>
        <v/>
      </c>
      <c r="R956" s="17" t="str">
        <f t="shared" si="617"/>
        <v/>
      </c>
      <c r="S956" s="8" t="str">
        <f t="shared" si="618"/>
        <v/>
      </c>
      <c r="T956" s="2" t="str">
        <f t="shared" si="619"/>
        <v/>
      </c>
      <c r="U956" s="2" t="str">
        <f t="shared" si="620"/>
        <v/>
      </c>
      <c r="V956" t="str">
        <f t="shared" si="596"/>
        <v/>
      </c>
      <c r="X956">
        <f t="shared" si="631"/>
        <v>0</v>
      </c>
      <c r="Y956">
        <f t="shared" si="632"/>
        <v>0</v>
      </c>
      <c r="Z956">
        <f t="shared" si="633"/>
        <v>0</v>
      </c>
      <c r="AA956">
        <f t="shared" si="634"/>
        <v>0</v>
      </c>
      <c r="AB956">
        <f t="shared" si="635"/>
        <v>0</v>
      </c>
      <c r="AC956">
        <f t="shared" si="636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30"/>
        <v>E</v>
      </c>
      <c r="M957">
        <v>12</v>
      </c>
      <c r="N957" s="23" t="str">
        <f t="shared" si="613"/>
        <v>#</v>
      </c>
      <c r="O957" s="7" t="str">
        <f t="shared" si="614"/>
        <v/>
      </c>
      <c r="P957" s="7" t="str">
        <f t="shared" si="615"/>
        <v/>
      </c>
      <c r="Q957" s="7" t="str">
        <f t="shared" si="616"/>
        <v/>
      </c>
      <c r="R957" s="17" t="str">
        <f t="shared" si="617"/>
        <v/>
      </c>
      <c r="S957" s="8" t="str">
        <f t="shared" si="618"/>
        <v/>
      </c>
      <c r="T957" s="2" t="str">
        <f t="shared" si="619"/>
        <v/>
      </c>
      <c r="U957" s="2" t="str">
        <f t="shared" si="620"/>
        <v/>
      </c>
      <c r="V957" t="str">
        <f t="shared" si="596"/>
        <v/>
      </c>
      <c r="X957">
        <f t="shared" si="631"/>
        <v>0</v>
      </c>
      <c r="Y957">
        <f t="shared" si="632"/>
        <v>0</v>
      </c>
      <c r="Z957">
        <f t="shared" si="633"/>
        <v>0</v>
      </c>
      <c r="AA957">
        <f t="shared" si="634"/>
        <v>0</v>
      </c>
      <c r="AB957">
        <f t="shared" si="635"/>
        <v>0</v>
      </c>
      <c r="AC957">
        <f t="shared" si="636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30"/>
        <v>E</v>
      </c>
      <c r="M958">
        <v>13</v>
      </c>
      <c r="N958" s="6" t="str">
        <f t="shared" si="613"/>
        <v>#</v>
      </c>
      <c r="O958" s="7" t="str">
        <f t="shared" si="614"/>
        <v>#</v>
      </c>
      <c r="P958" s="7" t="str">
        <f t="shared" si="615"/>
        <v>#</v>
      </c>
      <c r="Q958" s="7" t="str">
        <f t="shared" si="616"/>
        <v>#</v>
      </c>
      <c r="R958" s="17" t="str">
        <f t="shared" si="617"/>
        <v>#</v>
      </c>
      <c r="S958" s="8" t="str">
        <f t="shared" si="618"/>
        <v/>
      </c>
      <c r="T958" s="2" t="str">
        <f t="shared" si="619"/>
        <v/>
      </c>
      <c r="U958" s="2" t="str">
        <f t="shared" si="620"/>
        <v/>
      </c>
      <c r="V958" t="str">
        <f t="shared" si="596"/>
        <v/>
      </c>
      <c r="X958">
        <f t="shared" si="631"/>
        <v>0</v>
      </c>
      <c r="Y958">
        <f t="shared" si="632"/>
        <v>1</v>
      </c>
      <c r="Z958">
        <f t="shared" si="633"/>
        <v>1</v>
      </c>
      <c r="AA958">
        <f t="shared" si="634"/>
        <v>1</v>
      </c>
      <c r="AB958">
        <f t="shared" si="635"/>
        <v>1</v>
      </c>
      <c r="AC958">
        <f t="shared" si="636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30"/>
        <v>E</v>
      </c>
      <c r="M959">
        <v>14</v>
      </c>
      <c r="N959" s="18" t="str">
        <f t="shared" si="613"/>
        <v>#</v>
      </c>
      <c r="O959" s="19" t="str">
        <f t="shared" si="614"/>
        <v>#</v>
      </c>
      <c r="P959" s="19" t="str">
        <f t="shared" si="615"/>
        <v>#</v>
      </c>
      <c r="Q959" s="19" t="str">
        <f t="shared" si="616"/>
        <v>#</v>
      </c>
      <c r="R959" s="20" t="str">
        <f t="shared" si="617"/>
        <v>#</v>
      </c>
      <c r="S959" s="8" t="str">
        <f t="shared" si="618"/>
        <v/>
      </c>
      <c r="T959" s="2" t="str">
        <f t="shared" si="619"/>
        <v/>
      </c>
      <c r="U959" s="2" t="str">
        <f t="shared" si="620"/>
        <v/>
      </c>
      <c r="V959" t="str">
        <f t="shared" si="596"/>
        <v/>
      </c>
      <c r="X959">
        <f t="shared" si="631"/>
        <v>0</v>
      </c>
      <c r="Y959">
        <f t="shared" si="632"/>
        <v>0</v>
      </c>
      <c r="Z959">
        <f t="shared" si="633"/>
        <v>0</v>
      </c>
      <c r="AA959">
        <f t="shared" si="634"/>
        <v>0</v>
      </c>
      <c r="AB959">
        <f t="shared" si="635"/>
        <v>0</v>
      </c>
      <c r="AC959">
        <f t="shared" si="636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30"/>
        <v>E</v>
      </c>
      <c r="M960">
        <v>15</v>
      </c>
      <c r="N960" s="9" t="str">
        <f t="shared" si="613"/>
        <v/>
      </c>
      <c r="O960" s="10" t="str">
        <f t="shared" si="614"/>
        <v/>
      </c>
      <c r="P960" s="10" t="str">
        <f t="shared" si="615"/>
        <v/>
      </c>
      <c r="Q960" s="10" t="str">
        <f t="shared" si="616"/>
        <v/>
      </c>
      <c r="R960" s="10" t="str">
        <f t="shared" si="617"/>
        <v/>
      </c>
      <c r="S960" s="11" t="str">
        <f t="shared" si="618"/>
        <v/>
      </c>
      <c r="T960" s="2" t="str">
        <f t="shared" si="619"/>
        <v/>
      </c>
      <c r="U960" s="2" t="str">
        <f t="shared" si="620"/>
        <v/>
      </c>
      <c r="V960" t="str">
        <f t="shared" si="596"/>
        <v/>
      </c>
      <c r="X960">
        <f t="shared" si="631"/>
        <v>0</v>
      </c>
      <c r="Y960">
        <f t="shared" si="632"/>
        <v>0</v>
      </c>
      <c r="Z960">
        <f t="shared" si="633"/>
        <v>0</v>
      </c>
      <c r="AA960">
        <f t="shared" si="634"/>
        <v>0</v>
      </c>
      <c r="AB960">
        <f t="shared" si="635"/>
        <v>0</v>
      </c>
      <c r="AC960">
        <f t="shared" si="636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30"/>
        <v>E</v>
      </c>
      <c r="M961">
        <v>16</v>
      </c>
      <c r="N961" s="12" t="str">
        <f t="shared" si="613"/>
        <v/>
      </c>
      <c r="O961" s="13" t="str">
        <f t="shared" si="614"/>
        <v/>
      </c>
      <c r="P961" s="13" t="str">
        <f t="shared" si="615"/>
        <v/>
      </c>
      <c r="Q961" s="13" t="str">
        <f t="shared" si="616"/>
        <v/>
      </c>
      <c r="R961" s="13" t="str">
        <f t="shared" si="617"/>
        <v/>
      </c>
      <c r="S961" s="14" t="str">
        <f t="shared" si="618"/>
        <v/>
      </c>
      <c r="T961" s="2" t="str">
        <f t="shared" si="619"/>
        <v/>
      </c>
      <c r="U961" s="2" t="str">
        <f t="shared" si="620"/>
        <v/>
      </c>
      <c r="V961" t="str">
        <f t="shared" si="596"/>
        <v/>
      </c>
      <c r="X961">
        <f t="shared" si="631"/>
        <v>0</v>
      </c>
      <c r="Y961">
        <f t="shared" si="632"/>
        <v>0</v>
      </c>
      <c r="Z961">
        <f t="shared" si="633"/>
        <v>0</v>
      </c>
      <c r="AA961">
        <f t="shared" si="634"/>
        <v>0</v>
      </c>
      <c r="AB961">
        <f t="shared" si="635"/>
        <v>0</v>
      </c>
      <c r="AC961">
        <f t="shared" si="636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13"/>
        <v/>
      </c>
      <c r="O962" t="str">
        <f t="shared" si="614"/>
        <v/>
      </c>
      <c r="P962" t="str">
        <f t="shared" si="615"/>
        <v/>
      </c>
      <c r="Q962" t="str">
        <f t="shared" si="616"/>
        <v/>
      </c>
      <c r="R962" t="str">
        <f t="shared" si="617"/>
        <v/>
      </c>
      <c r="S962" t="str">
        <f t="shared" si="618"/>
        <v/>
      </c>
      <c r="T962" s="2" t="str">
        <f t="shared" si="619"/>
        <v/>
      </c>
      <c r="U962" s="2" t="str">
        <f t="shared" si="620"/>
        <v/>
      </c>
      <c r="V962" t="str">
        <f t="shared" ref="V962:V1025" si="637">IF(A962=0,"",M962)</f>
        <v/>
      </c>
      <c r="W962">
        <f>SUM(B964:G977)</f>
        <v>22</v>
      </c>
      <c r="AD962">
        <f t="shared" ref="AD962" si="638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9">L962</f>
        <v>F</v>
      </c>
      <c r="M963">
        <v>2</v>
      </c>
      <c r="N963" t="str">
        <f t="shared" si="613"/>
        <v/>
      </c>
      <c r="O963" t="str">
        <f t="shared" si="614"/>
        <v/>
      </c>
      <c r="P963" t="str">
        <f t="shared" si="615"/>
        <v/>
      </c>
      <c r="Q963" t="str">
        <f t="shared" si="616"/>
        <v/>
      </c>
      <c r="R963" t="str">
        <f t="shared" si="617"/>
        <v/>
      </c>
      <c r="S963" t="str">
        <f t="shared" si="618"/>
        <v/>
      </c>
      <c r="T963" s="2" t="str">
        <f t="shared" si="619"/>
        <v/>
      </c>
      <c r="U963" s="2" t="str">
        <f t="shared" si="620"/>
        <v/>
      </c>
      <c r="V963" t="str">
        <f t="shared" si="637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9"/>
        <v>F</v>
      </c>
      <c r="M964">
        <v>3</v>
      </c>
      <c r="N964" s="3" t="str">
        <f t="shared" si="613"/>
        <v/>
      </c>
      <c r="O964" s="4" t="str">
        <f t="shared" si="614"/>
        <v/>
      </c>
      <c r="P964" s="4" t="str">
        <f t="shared" si="615"/>
        <v/>
      </c>
      <c r="Q964" s="4" t="str">
        <f t="shared" si="616"/>
        <v/>
      </c>
      <c r="R964" s="4" t="str">
        <f t="shared" si="617"/>
        <v/>
      </c>
      <c r="S964" s="5" t="str">
        <f t="shared" si="618"/>
        <v/>
      </c>
      <c r="T964" s="2" t="str">
        <f t="shared" si="619"/>
        <v/>
      </c>
      <c r="U964" s="2" t="str">
        <f t="shared" si="620"/>
        <v/>
      </c>
      <c r="V964" t="str">
        <f t="shared" si="637"/>
        <v/>
      </c>
      <c r="X964">
        <f t="shared" ref="X964:X977" si="640">MAX(B964-B963,0)</f>
        <v>0</v>
      </c>
      <c r="Y964">
        <f t="shared" ref="Y964:Y977" si="641">MAX(C964-C963,0)</f>
        <v>0</v>
      </c>
      <c r="Z964">
        <f t="shared" ref="Z964:Z977" si="642">MAX(D964-D963,0)</f>
        <v>0</v>
      </c>
      <c r="AA964">
        <f t="shared" ref="AA964:AA977" si="643">MAX(E964-E963,0)</f>
        <v>0</v>
      </c>
      <c r="AB964">
        <f t="shared" ref="AB964:AB977" si="644">MAX(F964-F963,0)</f>
        <v>0</v>
      </c>
      <c r="AC964">
        <f t="shared" ref="AC964:AC977" si="645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9"/>
        <v>F</v>
      </c>
      <c r="M965">
        <v>4</v>
      </c>
      <c r="N965" s="6" t="str">
        <f t="shared" si="613"/>
        <v/>
      </c>
      <c r="O965" s="7" t="str">
        <f t="shared" si="614"/>
        <v/>
      </c>
      <c r="P965" s="7" t="str">
        <f t="shared" si="615"/>
        <v/>
      </c>
      <c r="Q965" s="7" t="str">
        <f t="shared" si="616"/>
        <v/>
      </c>
      <c r="R965" s="7" t="str">
        <f t="shared" si="617"/>
        <v/>
      </c>
      <c r="S965" s="8" t="str">
        <f t="shared" si="618"/>
        <v/>
      </c>
      <c r="T965" s="2" t="str">
        <f t="shared" si="619"/>
        <v/>
      </c>
      <c r="U965" s="2" t="str">
        <f t="shared" si="620"/>
        <v/>
      </c>
      <c r="V965" t="str">
        <f t="shared" si="637"/>
        <v/>
      </c>
      <c r="X965">
        <f t="shared" si="640"/>
        <v>0</v>
      </c>
      <c r="Y965">
        <f t="shared" si="641"/>
        <v>0</v>
      </c>
      <c r="Z965">
        <f t="shared" si="642"/>
        <v>0</v>
      </c>
      <c r="AA965">
        <f t="shared" si="643"/>
        <v>0</v>
      </c>
      <c r="AB965">
        <f t="shared" si="644"/>
        <v>0</v>
      </c>
      <c r="AC965">
        <f t="shared" si="645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9"/>
        <v>F</v>
      </c>
      <c r="M966">
        <v>5</v>
      </c>
      <c r="N966" s="22" t="str">
        <f t="shared" si="613"/>
        <v>#</v>
      </c>
      <c r="O966" s="15" t="str">
        <f t="shared" si="614"/>
        <v>#</v>
      </c>
      <c r="P966" s="15" t="str">
        <f t="shared" si="615"/>
        <v>#</v>
      </c>
      <c r="Q966" s="15" t="str">
        <f t="shared" si="616"/>
        <v>#</v>
      </c>
      <c r="R966" s="16" t="str">
        <f t="shared" si="617"/>
        <v>#</v>
      </c>
      <c r="S966" s="8" t="str">
        <f t="shared" si="618"/>
        <v/>
      </c>
      <c r="T966" s="2" t="str">
        <f t="shared" si="619"/>
        <v/>
      </c>
      <c r="U966" s="2" t="str">
        <f t="shared" si="620"/>
        <v/>
      </c>
      <c r="V966" t="str">
        <f t="shared" si="637"/>
        <v/>
      </c>
      <c r="X966">
        <f t="shared" si="640"/>
        <v>1</v>
      </c>
      <c r="Y966">
        <f t="shared" si="641"/>
        <v>1</v>
      </c>
      <c r="Z966">
        <f t="shared" si="642"/>
        <v>1</v>
      </c>
      <c r="AA966">
        <f t="shared" si="643"/>
        <v>1</v>
      </c>
      <c r="AB966">
        <f t="shared" si="644"/>
        <v>1</v>
      </c>
      <c r="AC966">
        <f t="shared" si="645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9"/>
        <v>F</v>
      </c>
      <c r="M967">
        <v>6</v>
      </c>
      <c r="N967" s="23" t="str">
        <f t="shared" si="613"/>
        <v>#</v>
      </c>
      <c r="O967" s="7" t="str">
        <f t="shared" si="614"/>
        <v>#</v>
      </c>
      <c r="P967" s="7" t="str">
        <f t="shared" si="615"/>
        <v>#</v>
      </c>
      <c r="Q967" s="7" t="str">
        <f t="shared" si="616"/>
        <v>#</v>
      </c>
      <c r="R967" s="17" t="str">
        <f t="shared" si="617"/>
        <v>#</v>
      </c>
      <c r="S967" s="8" t="str">
        <f t="shared" si="618"/>
        <v/>
      </c>
      <c r="T967" s="2" t="str">
        <f t="shared" si="619"/>
        <v/>
      </c>
      <c r="U967" s="2" t="str">
        <f t="shared" si="620"/>
        <v/>
      </c>
      <c r="V967" t="str">
        <f t="shared" si="637"/>
        <v/>
      </c>
      <c r="X967">
        <f t="shared" si="640"/>
        <v>0</v>
      </c>
      <c r="Y967">
        <f t="shared" si="641"/>
        <v>0</v>
      </c>
      <c r="Z967">
        <f t="shared" si="642"/>
        <v>0</v>
      </c>
      <c r="AA967">
        <f t="shared" si="643"/>
        <v>0</v>
      </c>
      <c r="AB967">
        <f t="shared" si="644"/>
        <v>0</v>
      </c>
      <c r="AC967">
        <f t="shared" si="645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9"/>
        <v>F</v>
      </c>
      <c r="M968">
        <v>7</v>
      </c>
      <c r="N968" s="23" t="str">
        <f t="shared" si="613"/>
        <v>#</v>
      </c>
      <c r="O968" s="7" t="str">
        <f t="shared" si="614"/>
        <v/>
      </c>
      <c r="P968" s="7" t="str">
        <f t="shared" si="615"/>
        <v/>
      </c>
      <c r="Q968" s="7" t="str">
        <f t="shared" si="616"/>
        <v/>
      </c>
      <c r="R968" s="17" t="str">
        <f t="shared" si="617"/>
        <v/>
      </c>
      <c r="S968" s="8" t="str">
        <f t="shared" si="618"/>
        <v/>
      </c>
      <c r="T968" s="2" t="str">
        <f t="shared" si="619"/>
        <v/>
      </c>
      <c r="U968" s="2" t="str">
        <f t="shared" si="620"/>
        <v/>
      </c>
      <c r="V968" t="str">
        <f t="shared" si="637"/>
        <v/>
      </c>
      <c r="X968">
        <f t="shared" si="640"/>
        <v>0</v>
      </c>
      <c r="Y968">
        <f t="shared" si="641"/>
        <v>0</v>
      </c>
      <c r="Z968">
        <f t="shared" si="642"/>
        <v>0</v>
      </c>
      <c r="AA968">
        <f t="shared" si="643"/>
        <v>0</v>
      </c>
      <c r="AB968">
        <f t="shared" si="644"/>
        <v>0</v>
      </c>
      <c r="AC968">
        <f t="shared" si="645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9"/>
        <v>F</v>
      </c>
      <c r="M969">
        <v>8</v>
      </c>
      <c r="N969" s="23" t="str">
        <f t="shared" si="613"/>
        <v>#</v>
      </c>
      <c r="O969" s="7" t="str">
        <f t="shared" si="614"/>
        <v/>
      </c>
      <c r="P969" s="7" t="str">
        <f t="shared" si="615"/>
        <v/>
      </c>
      <c r="Q969" s="7" t="str">
        <f t="shared" si="616"/>
        <v/>
      </c>
      <c r="R969" s="17" t="str">
        <f t="shared" si="617"/>
        <v/>
      </c>
      <c r="S969" s="8" t="str">
        <f t="shared" si="618"/>
        <v/>
      </c>
      <c r="T969" s="2" t="str">
        <f t="shared" si="619"/>
        <v/>
      </c>
      <c r="U969" s="2" t="str">
        <f t="shared" si="620"/>
        <v/>
      </c>
      <c r="V969" t="str">
        <f t="shared" si="637"/>
        <v/>
      </c>
      <c r="X969">
        <f t="shared" si="640"/>
        <v>0</v>
      </c>
      <c r="Y969">
        <f t="shared" si="641"/>
        <v>0</v>
      </c>
      <c r="Z969">
        <f t="shared" si="642"/>
        <v>0</v>
      </c>
      <c r="AA969">
        <f t="shared" si="643"/>
        <v>0</v>
      </c>
      <c r="AB969">
        <f t="shared" si="644"/>
        <v>0</v>
      </c>
      <c r="AC969">
        <f t="shared" si="645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9"/>
        <v>F</v>
      </c>
      <c r="M970">
        <v>9</v>
      </c>
      <c r="N970" s="23" t="str">
        <f t="shared" si="613"/>
        <v>#</v>
      </c>
      <c r="O970" s="7" t="str">
        <f t="shared" si="614"/>
        <v>#</v>
      </c>
      <c r="P970" s="7" t="str">
        <f t="shared" si="615"/>
        <v>#</v>
      </c>
      <c r="Q970" s="7" t="str">
        <f t="shared" si="616"/>
        <v/>
      </c>
      <c r="R970" s="17" t="str">
        <f t="shared" si="617"/>
        <v/>
      </c>
      <c r="S970" s="8" t="str">
        <f t="shared" si="618"/>
        <v/>
      </c>
      <c r="T970" s="2" t="str">
        <f t="shared" si="619"/>
        <v/>
      </c>
      <c r="U970" s="2" t="str">
        <f t="shared" si="620"/>
        <v/>
      </c>
      <c r="V970" t="str">
        <f t="shared" si="637"/>
        <v/>
      </c>
      <c r="X970">
        <f t="shared" si="640"/>
        <v>0</v>
      </c>
      <c r="Y970">
        <f t="shared" si="641"/>
        <v>1</v>
      </c>
      <c r="Z970">
        <f t="shared" si="642"/>
        <v>1</v>
      </c>
      <c r="AA970">
        <f t="shared" si="643"/>
        <v>0</v>
      </c>
      <c r="AB970">
        <f t="shared" si="644"/>
        <v>0</v>
      </c>
      <c r="AC970">
        <f t="shared" si="645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9"/>
        <v>F</v>
      </c>
      <c r="M971">
        <v>10</v>
      </c>
      <c r="N971" s="23" t="str">
        <f t="shared" si="613"/>
        <v>#</v>
      </c>
      <c r="O971" s="7" t="str">
        <f t="shared" si="614"/>
        <v>#</v>
      </c>
      <c r="P971" s="7" t="str">
        <f t="shared" si="615"/>
        <v>#</v>
      </c>
      <c r="Q971" s="7" t="str">
        <f t="shared" si="616"/>
        <v/>
      </c>
      <c r="R971" s="17" t="str">
        <f t="shared" si="617"/>
        <v/>
      </c>
      <c r="S971" s="8" t="str">
        <f t="shared" si="618"/>
        <v/>
      </c>
      <c r="T971" s="2" t="str">
        <f t="shared" si="619"/>
        <v/>
      </c>
      <c r="U971" s="2" t="str">
        <f t="shared" si="620"/>
        <v/>
      </c>
      <c r="V971" t="str">
        <f t="shared" si="637"/>
        <v/>
      </c>
      <c r="X971">
        <f t="shared" si="640"/>
        <v>0</v>
      </c>
      <c r="Y971">
        <f t="shared" si="641"/>
        <v>0</v>
      </c>
      <c r="Z971">
        <f t="shared" si="642"/>
        <v>0</v>
      </c>
      <c r="AA971">
        <f t="shared" si="643"/>
        <v>0</v>
      </c>
      <c r="AB971">
        <f t="shared" si="644"/>
        <v>0</v>
      </c>
      <c r="AC971">
        <f t="shared" si="645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9"/>
        <v>F</v>
      </c>
      <c r="M972">
        <v>11</v>
      </c>
      <c r="N972" s="23" t="str">
        <f t="shared" si="613"/>
        <v>#</v>
      </c>
      <c r="O972" s="7" t="str">
        <f t="shared" si="614"/>
        <v/>
      </c>
      <c r="P972" s="7" t="str">
        <f t="shared" si="615"/>
        <v/>
      </c>
      <c r="Q972" s="7" t="str">
        <f t="shared" si="616"/>
        <v/>
      </c>
      <c r="R972" s="17" t="str">
        <f t="shared" si="617"/>
        <v/>
      </c>
      <c r="S972" s="8" t="str">
        <f t="shared" si="618"/>
        <v/>
      </c>
      <c r="T972" s="2" t="str">
        <f t="shared" si="619"/>
        <v/>
      </c>
      <c r="U972" s="2" t="str">
        <f t="shared" si="620"/>
        <v/>
      </c>
      <c r="V972" t="str">
        <f t="shared" si="637"/>
        <v/>
      </c>
      <c r="X972">
        <f t="shared" si="640"/>
        <v>0</v>
      </c>
      <c r="Y972">
        <f t="shared" si="641"/>
        <v>0</v>
      </c>
      <c r="Z972">
        <f t="shared" si="642"/>
        <v>0</v>
      </c>
      <c r="AA972">
        <f t="shared" si="643"/>
        <v>0</v>
      </c>
      <c r="AB972">
        <f t="shared" si="644"/>
        <v>0</v>
      </c>
      <c r="AC972">
        <f t="shared" si="645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9"/>
        <v>F</v>
      </c>
      <c r="M973">
        <v>12</v>
      </c>
      <c r="N973" s="23" t="str">
        <f t="shared" si="613"/>
        <v>#</v>
      </c>
      <c r="O973" s="7" t="str">
        <f t="shared" si="614"/>
        <v/>
      </c>
      <c r="P973" s="7" t="str">
        <f t="shared" si="615"/>
        <v/>
      </c>
      <c r="Q973" s="7" t="str">
        <f t="shared" si="616"/>
        <v/>
      </c>
      <c r="R973" s="17" t="str">
        <f t="shared" si="617"/>
        <v/>
      </c>
      <c r="S973" s="8" t="str">
        <f t="shared" si="618"/>
        <v/>
      </c>
      <c r="T973" s="2" t="str">
        <f t="shared" si="619"/>
        <v/>
      </c>
      <c r="U973" s="2" t="str">
        <f t="shared" si="620"/>
        <v/>
      </c>
      <c r="V973" t="str">
        <f t="shared" si="637"/>
        <v/>
      </c>
      <c r="X973">
        <f t="shared" si="640"/>
        <v>0</v>
      </c>
      <c r="Y973">
        <f t="shared" si="641"/>
        <v>0</v>
      </c>
      <c r="Z973">
        <f t="shared" si="642"/>
        <v>0</v>
      </c>
      <c r="AA973">
        <f t="shared" si="643"/>
        <v>0</v>
      </c>
      <c r="AB973">
        <f t="shared" si="644"/>
        <v>0</v>
      </c>
      <c r="AC973">
        <f t="shared" si="645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9"/>
        <v>F</v>
      </c>
      <c r="M974">
        <v>13</v>
      </c>
      <c r="N974" s="6" t="str">
        <f t="shared" si="613"/>
        <v>#</v>
      </c>
      <c r="O974" s="7" t="str">
        <f t="shared" si="614"/>
        <v/>
      </c>
      <c r="P974" s="7" t="str">
        <f t="shared" si="615"/>
        <v/>
      </c>
      <c r="Q974" s="7" t="str">
        <f t="shared" si="616"/>
        <v/>
      </c>
      <c r="R974" s="17" t="str">
        <f t="shared" si="617"/>
        <v/>
      </c>
      <c r="S974" s="8" t="str">
        <f t="shared" si="618"/>
        <v/>
      </c>
      <c r="T974" s="2" t="str">
        <f t="shared" si="619"/>
        <v/>
      </c>
      <c r="U974" s="2" t="str">
        <f t="shared" si="620"/>
        <v/>
      </c>
      <c r="V974" t="str">
        <f t="shared" si="637"/>
        <v/>
      </c>
      <c r="X974">
        <f t="shared" si="640"/>
        <v>0</v>
      </c>
      <c r="Y974">
        <f t="shared" si="641"/>
        <v>0</v>
      </c>
      <c r="Z974">
        <f t="shared" si="642"/>
        <v>0</v>
      </c>
      <c r="AA974">
        <f t="shared" si="643"/>
        <v>0</v>
      </c>
      <c r="AB974">
        <f t="shared" si="644"/>
        <v>0</v>
      </c>
      <c r="AC974">
        <f t="shared" si="645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9"/>
        <v>F</v>
      </c>
      <c r="M975">
        <v>14</v>
      </c>
      <c r="N975" s="18" t="str">
        <f t="shared" si="613"/>
        <v>#</v>
      </c>
      <c r="O975" s="19" t="str">
        <f t="shared" si="614"/>
        <v/>
      </c>
      <c r="P975" s="19" t="str">
        <f t="shared" si="615"/>
        <v/>
      </c>
      <c r="Q975" s="19" t="str">
        <f t="shared" si="616"/>
        <v/>
      </c>
      <c r="R975" s="20" t="str">
        <f t="shared" si="617"/>
        <v/>
      </c>
      <c r="S975" s="8" t="str">
        <f t="shared" si="618"/>
        <v/>
      </c>
      <c r="T975" s="2" t="str">
        <f t="shared" si="619"/>
        <v/>
      </c>
      <c r="U975" s="2" t="str">
        <f t="shared" si="620"/>
        <v/>
      </c>
      <c r="V975" t="str">
        <f t="shared" si="637"/>
        <v/>
      </c>
      <c r="X975">
        <f t="shared" si="640"/>
        <v>0</v>
      </c>
      <c r="Y975">
        <f t="shared" si="641"/>
        <v>0</v>
      </c>
      <c r="Z975">
        <f t="shared" si="642"/>
        <v>0</v>
      </c>
      <c r="AA975">
        <f t="shared" si="643"/>
        <v>0</v>
      </c>
      <c r="AB975">
        <f t="shared" si="644"/>
        <v>0</v>
      </c>
      <c r="AC975">
        <f t="shared" si="645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9"/>
        <v>F</v>
      </c>
      <c r="M976">
        <v>15</v>
      </c>
      <c r="N976" s="9" t="str">
        <f t="shared" si="613"/>
        <v/>
      </c>
      <c r="O976" s="10" t="str">
        <f t="shared" si="614"/>
        <v/>
      </c>
      <c r="P976" s="10" t="str">
        <f t="shared" si="615"/>
        <v/>
      </c>
      <c r="Q976" s="10" t="str">
        <f t="shared" si="616"/>
        <v/>
      </c>
      <c r="R976" s="10" t="str">
        <f t="shared" si="617"/>
        <v/>
      </c>
      <c r="S976" s="11" t="str">
        <f t="shared" si="618"/>
        <v/>
      </c>
      <c r="T976" s="2" t="str">
        <f t="shared" si="619"/>
        <v/>
      </c>
      <c r="U976" s="2" t="str">
        <f t="shared" si="620"/>
        <v/>
      </c>
      <c r="V976" t="str">
        <f t="shared" si="637"/>
        <v/>
      </c>
      <c r="X976">
        <f t="shared" si="640"/>
        <v>0</v>
      </c>
      <c r="Y976">
        <f t="shared" si="641"/>
        <v>0</v>
      </c>
      <c r="Z976">
        <f t="shared" si="642"/>
        <v>0</v>
      </c>
      <c r="AA976">
        <f t="shared" si="643"/>
        <v>0</v>
      </c>
      <c r="AB976">
        <f t="shared" si="644"/>
        <v>0</v>
      </c>
      <c r="AC976">
        <f t="shared" si="645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9"/>
        <v>F</v>
      </c>
      <c r="M977">
        <v>16</v>
      </c>
      <c r="N977" s="12" t="str">
        <f t="shared" si="613"/>
        <v/>
      </c>
      <c r="O977" s="13" t="str">
        <f t="shared" si="614"/>
        <v/>
      </c>
      <c r="P977" s="13" t="str">
        <f t="shared" si="615"/>
        <v/>
      </c>
      <c r="Q977" s="13" t="str">
        <f t="shared" si="616"/>
        <v/>
      </c>
      <c r="R977" s="13" t="str">
        <f t="shared" si="617"/>
        <v/>
      </c>
      <c r="S977" s="14" t="str">
        <f t="shared" si="618"/>
        <v/>
      </c>
      <c r="T977" s="2" t="str">
        <f t="shared" si="619"/>
        <v/>
      </c>
      <c r="U977" s="2" t="str">
        <f t="shared" si="620"/>
        <v/>
      </c>
      <c r="V977" t="str">
        <f t="shared" si="637"/>
        <v/>
      </c>
      <c r="X977">
        <f t="shared" si="640"/>
        <v>0</v>
      </c>
      <c r="Y977">
        <f t="shared" si="641"/>
        <v>0</v>
      </c>
      <c r="Z977">
        <f t="shared" si="642"/>
        <v>0</v>
      </c>
      <c r="AA977">
        <f t="shared" si="643"/>
        <v>0</v>
      </c>
      <c r="AB977">
        <f t="shared" si="644"/>
        <v>0</v>
      </c>
      <c r="AC977">
        <f t="shared" si="645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13"/>
        <v/>
      </c>
      <c r="O978" t="str">
        <f t="shared" si="614"/>
        <v/>
      </c>
      <c r="P978" t="str">
        <f t="shared" si="615"/>
        <v/>
      </c>
      <c r="Q978" t="str">
        <f t="shared" si="616"/>
        <v/>
      </c>
      <c r="R978" t="str">
        <f t="shared" si="617"/>
        <v/>
      </c>
      <c r="S978" t="str">
        <f t="shared" si="618"/>
        <v/>
      </c>
      <c r="T978" s="2" t="str">
        <f t="shared" si="619"/>
        <v/>
      </c>
      <c r="U978" s="2" t="str">
        <f t="shared" si="620"/>
        <v/>
      </c>
      <c r="V978" t="str">
        <f t="shared" si="637"/>
        <v/>
      </c>
      <c r="W978">
        <f>SUM(B980:G993)</f>
        <v>30</v>
      </c>
      <c r="AD978">
        <f t="shared" ref="AD978" si="646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7">L978</f>
        <v>G</v>
      </c>
      <c r="M979">
        <v>2</v>
      </c>
      <c r="N979" t="str">
        <f t="shared" si="613"/>
        <v/>
      </c>
      <c r="O979" t="str">
        <f t="shared" si="614"/>
        <v/>
      </c>
      <c r="P979" t="str">
        <f t="shared" si="615"/>
        <v/>
      </c>
      <c r="Q979" t="str">
        <f t="shared" si="616"/>
        <v/>
      </c>
      <c r="R979" t="str">
        <f t="shared" si="617"/>
        <v/>
      </c>
      <c r="S979" t="str">
        <f t="shared" si="618"/>
        <v/>
      </c>
      <c r="T979" s="2" t="str">
        <f t="shared" si="619"/>
        <v/>
      </c>
      <c r="U979" s="2" t="str">
        <f t="shared" si="620"/>
        <v/>
      </c>
      <c r="V979" t="str">
        <f t="shared" si="637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7"/>
        <v>G</v>
      </c>
      <c r="M980">
        <v>3</v>
      </c>
      <c r="N980" s="3" t="str">
        <f t="shared" si="613"/>
        <v/>
      </c>
      <c r="O980" s="4" t="str">
        <f t="shared" si="614"/>
        <v/>
      </c>
      <c r="P980" s="4" t="str">
        <f t="shared" si="615"/>
        <v/>
      </c>
      <c r="Q980" s="4" t="str">
        <f t="shared" si="616"/>
        <v/>
      </c>
      <c r="R980" s="4" t="str">
        <f t="shared" si="617"/>
        <v/>
      </c>
      <c r="S980" s="5" t="str">
        <f t="shared" si="618"/>
        <v/>
      </c>
      <c r="T980" s="2" t="str">
        <f t="shared" si="619"/>
        <v/>
      </c>
      <c r="U980" s="2" t="str">
        <f t="shared" si="620"/>
        <v/>
      </c>
      <c r="V980" t="str">
        <f t="shared" si="637"/>
        <v/>
      </c>
      <c r="X980">
        <f t="shared" ref="X980:X993" si="648">MAX(B980-B979,0)</f>
        <v>0</v>
      </c>
      <c r="Y980">
        <f t="shared" ref="Y980:Y993" si="649">MAX(C980-C979,0)</f>
        <v>0</v>
      </c>
      <c r="Z980">
        <f t="shared" ref="Z980:Z993" si="650">MAX(D980-D979,0)</f>
        <v>0</v>
      </c>
      <c r="AA980">
        <f t="shared" ref="AA980:AA993" si="651">MAX(E980-E979,0)</f>
        <v>0</v>
      </c>
      <c r="AB980">
        <f t="shared" ref="AB980:AB993" si="652">MAX(F980-F979,0)</f>
        <v>0</v>
      </c>
      <c r="AC980">
        <f t="shared" ref="AC980:AC993" si="653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7"/>
        <v>G</v>
      </c>
      <c r="M981">
        <v>4</v>
      </c>
      <c r="N981" s="6" t="str">
        <f t="shared" si="613"/>
        <v/>
      </c>
      <c r="O981" s="7" t="str">
        <f t="shared" si="614"/>
        <v/>
      </c>
      <c r="P981" s="7" t="str">
        <f t="shared" si="615"/>
        <v/>
      </c>
      <c r="Q981" s="7" t="str">
        <f t="shared" si="616"/>
        <v/>
      </c>
      <c r="R981" s="7" t="str">
        <f t="shared" si="617"/>
        <v/>
      </c>
      <c r="S981" s="8" t="str">
        <f t="shared" si="618"/>
        <v/>
      </c>
      <c r="T981" s="2" t="str">
        <f t="shared" si="619"/>
        <v/>
      </c>
      <c r="U981" s="2" t="str">
        <f t="shared" si="620"/>
        <v/>
      </c>
      <c r="V981" t="str">
        <f t="shared" si="637"/>
        <v/>
      </c>
      <c r="X981">
        <f t="shared" si="648"/>
        <v>0</v>
      </c>
      <c r="Y981">
        <f t="shared" si="649"/>
        <v>0</v>
      </c>
      <c r="Z981">
        <f t="shared" si="650"/>
        <v>0</v>
      </c>
      <c r="AA981">
        <f t="shared" si="651"/>
        <v>0</v>
      </c>
      <c r="AB981">
        <f t="shared" si="652"/>
        <v>0</v>
      </c>
      <c r="AC981">
        <f t="shared" si="653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7"/>
        <v>G</v>
      </c>
      <c r="M982">
        <v>5</v>
      </c>
      <c r="N982" s="22" t="str">
        <f t="shared" si="613"/>
        <v>#</v>
      </c>
      <c r="O982" s="15" t="str">
        <f t="shared" si="614"/>
        <v>#</v>
      </c>
      <c r="P982" s="15" t="str">
        <f t="shared" si="615"/>
        <v>#</v>
      </c>
      <c r="Q982" s="15" t="str">
        <f t="shared" si="616"/>
        <v>#</v>
      </c>
      <c r="R982" s="16" t="s">
        <v>14</v>
      </c>
      <c r="S982" s="8" t="str">
        <f t="shared" si="618"/>
        <v/>
      </c>
      <c r="T982" s="2" t="str">
        <f t="shared" si="619"/>
        <v/>
      </c>
      <c r="U982" s="2" t="str">
        <f t="shared" si="620"/>
        <v/>
      </c>
      <c r="V982" t="str">
        <f t="shared" si="637"/>
        <v/>
      </c>
      <c r="X982">
        <f t="shared" si="648"/>
        <v>1</v>
      </c>
      <c r="Y982">
        <f t="shared" si="649"/>
        <v>1</v>
      </c>
      <c r="Z982">
        <f t="shared" si="650"/>
        <v>1</v>
      </c>
      <c r="AA982">
        <f t="shared" si="651"/>
        <v>1</v>
      </c>
      <c r="AB982">
        <f t="shared" si="652"/>
        <v>0</v>
      </c>
      <c r="AC982">
        <f t="shared" si="653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7"/>
        <v>G</v>
      </c>
      <c r="M983">
        <v>6</v>
      </c>
      <c r="N983" s="23" t="str">
        <f t="shared" si="613"/>
        <v>#</v>
      </c>
      <c r="O983" s="7" t="str">
        <f t="shared" si="614"/>
        <v>#</v>
      </c>
      <c r="P983" s="7" t="str">
        <f t="shared" si="615"/>
        <v>#</v>
      </c>
      <c r="Q983" s="7" t="str">
        <f t="shared" si="616"/>
        <v>#</v>
      </c>
      <c r="R983" s="17" t="s">
        <v>14</v>
      </c>
      <c r="S983" s="8" t="str">
        <f t="shared" si="618"/>
        <v/>
      </c>
      <c r="T983" s="2" t="str">
        <f t="shared" si="619"/>
        <v/>
      </c>
      <c r="U983" s="2" t="str">
        <f t="shared" si="620"/>
        <v/>
      </c>
      <c r="V983" t="str">
        <f t="shared" si="637"/>
        <v/>
      </c>
      <c r="X983">
        <f t="shared" si="648"/>
        <v>0</v>
      </c>
      <c r="Y983">
        <f t="shared" si="649"/>
        <v>0</v>
      </c>
      <c r="Z983">
        <f t="shared" si="650"/>
        <v>0</v>
      </c>
      <c r="AA983">
        <f t="shared" si="651"/>
        <v>0</v>
      </c>
      <c r="AB983">
        <f t="shared" si="652"/>
        <v>0</v>
      </c>
      <c r="AC983">
        <f t="shared" si="653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7"/>
        <v>G</v>
      </c>
      <c r="M984">
        <v>7</v>
      </c>
      <c r="N984" s="23" t="str">
        <f t="shared" si="613"/>
        <v>#</v>
      </c>
      <c r="O984" s="7" t="str">
        <f t="shared" si="614"/>
        <v/>
      </c>
      <c r="P984" s="7" t="str">
        <f t="shared" si="615"/>
        <v/>
      </c>
      <c r="Q984" s="7" t="str">
        <f t="shared" si="616"/>
        <v/>
      </c>
      <c r="R984" s="17" t="str">
        <f t="shared" si="617"/>
        <v/>
      </c>
      <c r="S984" s="8" t="str">
        <f t="shared" si="618"/>
        <v/>
      </c>
      <c r="T984" s="2" t="str">
        <f t="shared" si="619"/>
        <v/>
      </c>
      <c r="U984" s="2" t="str">
        <f t="shared" si="620"/>
        <v/>
      </c>
      <c r="V984" t="str">
        <f t="shared" si="637"/>
        <v/>
      </c>
      <c r="X984">
        <f t="shared" si="648"/>
        <v>0</v>
      </c>
      <c r="Y984">
        <f t="shared" si="649"/>
        <v>0</v>
      </c>
      <c r="Z984">
        <f t="shared" si="650"/>
        <v>0</v>
      </c>
      <c r="AA984">
        <f t="shared" si="651"/>
        <v>0</v>
      </c>
      <c r="AB984">
        <f t="shared" si="652"/>
        <v>0</v>
      </c>
      <c r="AC984">
        <f t="shared" si="653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7"/>
        <v>G</v>
      </c>
      <c r="M985">
        <v>8</v>
      </c>
      <c r="N985" s="23" t="str">
        <f t="shared" si="613"/>
        <v>#</v>
      </c>
      <c r="O985" s="7" t="str">
        <f t="shared" si="614"/>
        <v/>
      </c>
      <c r="P985" s="7" t="str">
        <f t="shared" si="615"/>
        <v/>
      </c>
      <c r="Q985" s="7" t="str">
        <f t="shared" si="616"/>
        <v/>
      </c>
      <c r="R985" s="17" t="str">
        <f t="shared" si="617"/>
        <v/>
      </c>
      <c r="S985" s="8" t="str">
        <f t="shared" si="618"/>
        <v/>
      </c>
      <c r="T985" s="2" t="str">
        <f t="shared" si="619"/>
        <v/>
      </c>
      <c r="U985" s="2" t="str">
        <f t="shared" si="620"/>
        <v/>
      </c>
      <c r="V985" t="str">
        <f t="shared" si="637"/>
        <v/>
      </c>
      <c r="X985">
        <f t="shared" si="648"/>
        <v>0</v>
      </c>
      <c r="Y985">
        <f t="shared" si="649"/>
        <v>0</v>
      </c>
      <c r="Z985">
        <f t="shared" si="650"/>
        <v>0</v>
      </c>
      <c r="AA985">
        <f t="shared" si="651"/>
        <v>0</v>
      </c>
      <c r="AB985">
        <f t="shared" si="652"/>
        <v>0</v>
      </c>
      <c r="AC985">
        <f t="shared" si="653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7"/>
        <v>G</v>
      </c>
      <c r="M986">
        <v>9</v>
      </c>
      <c r="N986" s="23" t="str">
        <f t="shared" si="613"/>
        <v>#</v>
      </c>
      <c r="O986" s="7" t="str">
        <f t="shared" si="614"/>
        <v/>
      </c>
      <c r="P986" s="7" t="str">
        <f t="shared" si="615"/>
        <v/>
      </c>
      <c r="Q986" s="7" t="str">
        <f t="shared" si="616"/>
        <v>#</v>
      </c>
      <c r="R986" s="17" t="str">
        <f t="shared" si="617"/>
        <v>#</v>
      </c>
      <c r="S986" s="8" t="str">
        <f t="shared" si="618"/>
        <v/>
      </c>
      <c r="T986" s="2" t="str">
        <f t="shared" si="619"/>
        <v/>
      </c>
      <c r="U986" s="2" t="str">
        <f t="shared" si="620"/>
        <v/>
      </c>
      <c r="V986" t="str">
        <f t="shared" si="637"/>
        <v/>
      </c>
      <c r="X986">
        <f t="shared" si="648"/>
        <v>0</v>
      </c>
      <c r="Y986">
        <f t="shared" si="649"/>
        <v>0</v>
      </c>
      <c r="Z986">
        <f t="shared" si="650"/>
        <v>0</v>
      </c>
      <c r="AA986">
        <f t="shared" si="651"/>
        <v>1</v>
      </c>
      <c r="AB986">
        <f t="shared" si="652"/>
        <v>1</v>
      </c>
      <c r="AC986">
        <f t="shared" si="653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7"/>
        <v>G</v>
      </c>
      <c r="M987">
        <v>10</v>
      </c>
      <c r="N987" s="23" t="str">
        <f t="shared" si="613"/>
        <v>#</v>
      </c>
      <c r="O987" s="7" t="str">
        <f t="shared" si="614"/>
        <v/>
      </c>
      <c r="P987" s="7" t="str">
        <f t="shared" si="615"/>
        <v/>
      </c>
      <c r="Q987" s="7" t="str">
        <f t="shared" si="616"/>
        <v>#</v>
      </c>
      <c r="R987" s="17" t="str">
        <f t="shared" si="617"/>
        <v>#</v>
      </c>
      <c r="S987" s="8" t="str">
        <f t="shared" si="618"/>
        <v/>
      </c>
      <c r="T987" s="2" t="str">
        <f t="shared" si="619"/>
        <v/>
      </c>
      <c r="U987" s="2" t="str">
        <f t="shared" si="620"/>
        <v/>
      </c>
      <c r="V987" t="str">
        <f t="shared" si="637"/>
        <v/>
      </c>
      <c r="X987">
        <f t="shared" si="648"/>
        <v>0</v>
      </c>
      <c r="Y987">
        <f t="shared" si="649"/>
        <v>0</v>
      </c>
      <c r="Z987">
        <f t="shared" si="650"/>
        <v>0</v>
      </c>
      <c r="AA987">
        <f t="shared" si="651"/>
        <v>0</v>
      </c>
      <c r="AB987">
        <f t="shared" si="652"/>
        <v>0</v>
      </c>
      <c r="AC987">
        <f t="shared" si="653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7"/>
        <v>G</v>
      </c>
      <c r="M988">
        <v>11</v>
      </c>
      <c r="N988" s="23" t="str">
        <f t="shared" si="613"/>
        <v>#</v>
      </c>
      <c r="O988" s="7" t="str">
        <f t="shared" si="614"/>
        <v/>
      </c>
      <c r="P988" s="7" t="str">
        <f t="shared" si="615"/>
        <v/>
      </c>
      <c r="Q988" s="7" t="str">
        <f t="shared" si="616"/>
        <v/>
      </c>
      <c r="R988" s="17" t="str">
        <f t="shared" si="617"/>
        <v>#</v>
      </c>
      <c r="S988" s="8" t="str">
        <f t="shared" si="618"/>
        <v/>
      </c>
      <c r="T988" s="2" t="str">
        <f t="shared" si="619"/>
        <v/>
      </c>
      <c r="U988" s="2" t="str">
        <f t="shared" si="620"/>
        <v/>
      </c>
      <c r="V988" t="str">
        <f t="shared" si="637"/>
        <v/>
      </c>
      <c r="X988">
        <f t="shared" si="648"/>
        <v>0</v>
      </c>
      <c r="Y988">
        <f t="shared" si="649"/>
        <v>0</v>
      </c>
      <c r="Z988">
        <f t="shared" si="650"/>
        <v>0</v>
      </c>
      <c r="AA988">
        <f t="shared" si="651"/>
        <v>0</v>
      </c>
      <c r="AB988">
        <f t="shared" si="652"/>
        <v>0</v>
      </c>
      <c r="AC988">
        <f t="shared" si="653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7"/>
        <v>G</v>
      </c>
      <c r="M989">
        <v>12</v>
      </c>
      <c r="N989" s="23" t="str">
        <f t="shared" si="613"/>
        <v>#</v>
      </c>
      <c r="O989" s="7" t="str">
        <f t="shared" si="614"/>
        <v/>
      </c>
      <c r="P989" s="7" t="str">
        <f t="shared" si="615"/>
        <v/>
      </c>
      <c r="Q989" s="7" t="str">
        <f t="shared" si="616"/>
        <v/>
      </c>
      <c r="R989" s="17" t="str">
        <f t="shared" si="617"/>
        <v>#</v>
      </c>
      <c r="S989" s="8" t="str">
        <f t="shared" si="618"/>
        <v/>
      </c>
      <c r="T989" s="2" t="str">
        <f t="shared" si="619"/>
        <v/>
      </c>
      <c r="U989" s="2" t="str">
        <f t="shared" si="620"/>
        <v/>
      </c>
      <c r="V989" t="str">
        <f t="shared" si="637"/>
        <v/>
      </c>
      <c r="X989">
        <f t="shared" si="648"/>
        <v>0</v>
      </c>
      <c r="Y989">
        <f t="shared" si="649"/>
        <v>0</v>
      </c>
      <c r="Z989">
        <f t="shared" si="650"/>
        <v>0</v>
      </c>
      <c r="AA989">
        <f t="shared" si="651"/>
        <v>0</v>
      </c>
      <c r="AB989">
        <f t="shared" si="652"/>
        <v>0</v>
      </c>
      <c r="AC989">
        <f t="shared" si="653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7"/>
        <v>G</v>
      </c>
      <c r="M990">
        <v>13</v>
      </c>
      <c r="N990" s="6" t="str">
        <f t="shared" si="613"/>
        <v>#</v>
      </c>
      <c r="O990" s="7" t="str">
        <f t="shared" si="614"/>
        <v>#</v>
      </c>
      <c r="P990" s="7" t="str">
        <f t="shared" si="615"/>
        <v>#</v>
      </c>
      <c r="Q990" s="7" t="str">
        <f t="shared" si="616"/>
        <v>#</v>
      </c>
      <c r="R990" s="17" t="str">
        <f t="shared" si="617"/>
        <v>#</v>
      </c>
      <c r="S990" s="8" t="str">
        <f t="shared" si="618"/>
        <v/>
      </c>
      <c r="T990" s="2" t="str">
        <f t="shared" si="619"/>
        <v/>
      </c>
      <c r="U990" s="2" t="str">
        <f t="shared" si="620"/>
        <v/>
      </c>
      <c r="V990" t="str">
        <f t="shared" si="637"/>
        <v/>
      </c>
      <c r="X990">
        <f t="shared" si="648"/>
        <v>0</v>
      </c>
      <c r="Y990">
        <f t="shared" si="649"/>
        <v>1</v>
      </c>
      <c r="Z990">
        <f t="shared" si="650"/>
        <v>1</v>
      </c>
      <c r="AA990">
        <f t="shared" si="651"/>
        <v>1</v>
      </c>
      <c r="AB990">
        <f t="shared" si="652"/>
        <v>0</v>
      </c>
      <c r="AC990">
        <f t="shared" si="653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7"/>
        <v>G</v>
      </c>
      <c r="M991">
        <v>14</v>
      </c>
      <c r="N991" s="18" t="str">
        <f t="shared" si="613"/>
        <v>#</v>
      </c>
      <c r="O991" s="19" t="str">
        <f t="shared" si="614"/>
        <v>#</v>
      </c>
      <c r="P991" s="19" t="str">
        <f t="shared" si="615"/>
        <v>#</v>
      </c>
      <c r="Q991" s="19" t="str">
        <f t="shared" si="616"/>
        <v>#</v>
      </c>
      <c r="R991" s="20" t="str">
        <f t="shared" si="617"/>
        <v>#</v>
      </c>
      <c r="S991" s="8" t="str">
        <f t="shared" si="618"/>
        <v/>
      </c>
      <c r="T991" s="2" t="str">
        <f t="shared" si="619"/>
        <v/>
      </c>
      <c r="U991" s="2" t="str">
        <f t="shared" si="620"/>
        <v/>
      </c>
      <c r="V991" t="str">
        <f t="shared" si="637"/>
        <v/>
      </c>
      <c r="X991">
        <f t="shared" si="648"/>
        <v>0</v>
      </c>
      <c r="Y991">
        <f t="shared" si="649"/>
        <v>0</v>
      </c>
      <c r="Z991">
        <f t="shared" si="650"/>
        <v>0</v>
      </c>
      <c r="AA991">
        <f t="shared" si="651"/>
        <v>0</v>
      </c>
      <c r="AB991">
        <f t="shared" si="652"/>
        <v>0</v>
      </c>
      <c r="AC991">
        <f t="shared" si="653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7"/>
        <v>G</v>
      </c>
      <c r="M992">
        <v>15</v>
      </c>
      <c r="N992" s="9" t="str">
        <f t="shared" si="613"/>
        <v/>
      </c>
      <c r="O992" s="10" t="str">
        <f t="shared" si="614"/>
        <v/>
      </c>
      <c r="P992" s="10" t="str">
        <f t="shared" si="615"/>
        <v/>
      </c>
      <c r="Q992" s="10" t="str">
        <f t="shared" si="616"/>
        <v/>
      </c>
      <c r="R992" s="10" t="str">
        <f t="shared" si="617"/>
        <v/>
      </c>
      <c r="S992" s="11" t="str">
        <f t="shared" si="618"/>
        <v/>
      </c>
      <c r="T992" s="2" t="str">
        <f t="shared" si="619"/>
        <v/>
      </c>
      <c r="U992" s="2" t="str">
        <f t="shared" si="620"/>
        <v/>
      </c>
      <c r="V992" t="str">
        <f t="shared" si="637"/>
        <v/>
      </c>
      <c r="X992">
        <f t="shared" si="648"/>
        <v>0</v>
      </c>
      <c r="Y992">
        <f t="shared" si="649"/>
        <v>0</v>
      </c>
      <c r="Z992">
        <f t="shared" si="650"/>
        <v>0</v>
      </c>
      <c r="AA992">
        <f t="shared" si="651"/>
        <v>0</v>
      </c>
      <c r="AB992">
        <f t="shared" si="652"/>
        <v>0</v>
      </c>
      <c r="AC992">
        <f t="shared" si="653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7"/>
        <v>G</v>
      </c>
      <c r="M993">
        <v>16</v>
      </c>
      <c r="N993" s="12" t="str">
        <f t="shared" si="613"/>
        <v/>
      </c>
      <c r="O993" s="13" t="str">
        <f t="shared" si="614"/>
        <v/>
      </c>
      <c r="P993" s="13" t="str">
        <f t="shared" si="615"/>
        <v/>
      </c>
      <c r="Q993" s="13" t="str">
        <f t="shared" si="616"/>
        <v/>
      </c>
      <c r="R993" s="13" t="str">
        <f t="shared" si="617"/>
        <v/>
      </c>
      <c r="S993" s="14" t="str">
        <f t="shared" si="618"/>
        <v/>
      </c>
      <c r="T993" s="2" t="str">
        <f t="shared" si="619"/>
        <v/>
      </c>
      <c r="U993" s="2" t="str">
        <f t="shared" si="620"/>
        <v/>
      </c>
      <c r="V993" t="str">
        <f t="shared" si="637"/>
        <v/>
      </c>
      <c r="X993">
        <f t="shared" si="648"/>
        <v>0</v>
      </c>
      <c r="Y993">
        <f t="shared" si="649"/>
        <v>0</v>
      </c>
      <c r="Z993">
        <f t="shared" si="650"/>
        <v>0</v>
      </c>
      <c r="AA993">
        <f t="shared" si="651"/>
        <v>0</v>
      </c>
      <c r="AB993">
        <f t="shared" si="652"/>
        <v>0</v>
      </c>
      <c r="AC993">
        <f t="shared" si="653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54">IF(B994&gt;0,"#","")</f>
        <v/>
      </c>
      <c r="O994" t="str">
        <f t="shared" ref="O994:O1057" si="655">IF(C994&gt;0,"#","")</f>
        <v/>
      </c>
      <c r="P994" t="str">
        <f t="shared" ref="P994:P1057" si="656">IF(D994&gt;0,"#","")</f>
        <v/>
      </c>
      <c r="Q994" t="str">
        <f t="shared" ref="Q994:Q1057" si="657">IF(E994&gt;0,"#","")</f>
        <v/>
      </c>
      <c r="R994" t="str">
        <f t="shared" ref="R994:R1057" si="658">IF(F994&gt;0,"#","")</f>
        <v/>
      </c>
      <c r="S994" t="str">
        <f t="shared" ref="S994:S1057" si="659">IF(G994&gt;0,"#","")</f>
        <v/>
      </c>
      <c r="T994" s="2" t="str">
        <f t="shared" ref="T994:T1057" si="660">IF(H994&gt;0,"#","")</f>
        <v/>
      </c>
      <c r="U994" s="2" t="str">
        <f t="shared" ref="U994:U1057" si="661">IF(I994&gt;0,"#","")</f>
        <v/>
      </c>
      <c r="V994" t="str">
        <f t="shared" si="637"/>
        <v/>
      </c>
      <c r="W994">
        <f>SUM(B996:G1009)</f>
        <v>26</v>
      </c>
      <c r="AD994">
        <f t="shared" ref="AD994" si="662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63">L994</f>
        <v>H</v>
      </c>
      <c r="M995">
        <v>2</v>
      </c>
      <c r="N995" t="str">
        <f t="shared" si="654"/>
        <v/>
      </c>
      <c r="O995" t="str">
        <f t="shared" si="655"/>
        <v/>
      </c>
      <c r="P995" t="str">
        <f t="shared" si="656"/>
        <v/>
      </c>
      <c r="Q995" t="str">
        <f t="shared" si="657"/>
        <v/>
      </c>
      <c r="R995" t="str">
        <f t="shared" si="658"/>
        <v/>
      </c>
      <c r="S995" t="str">
        <f t="shared" si="659"/>
        <v/>
      </c>
      <c r="T995" s="2" t="str">
        <f t="shared" si="660"/>
        <v/>
      </c>
      <c r="U995" s="2" t="str">
        <f t="shared" si="661"/>
        <v/>
      </c>
      <c r="V995" t="str">
        <f t="shared" si="637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63"/>
        <v>H</v>
      </c>
      <c r="M996">
        <v>3</v>
      </c>
      <c r="N996" s="3" t="str">
        <f t="shared" si="654"/>
        <v/>
      </c>
      <c r="O996" s="4" t="str">
        <f t="shared" si="655"/>
        <v/>
      </c>
      <c r="P996" s="4" t="str">
        <f t="shared" si="656"/>
        <v/>
      </c>
      <c r="Q996" s="4" t="str">
        <f t="shared" si="657"/>
        <v/>
      </c>
      <c r="R996" s="4" t="str">
        <f t="shared" si="658"/>
        <v/>
      </c>
      <c r="S996" s="5" t="str">
        <f t="shared" si="659"/>
        <v/>
      </c>
      <c r="T996" s="2" t="str">
        <f t="shared" si="660"/>
        <v/>
      </c>
      <c r="U996" s="2" t="str">
        <f t="shared" si="661"/>
        <v/>
      </c>
      <c r="V996" t="str">
        <f t="shared" si="637"/>
        <v/>
      </c>
      <c r="X996">
        <f t="shared" ref="X996:X1009" si="664">MAX(B996-B995,0)</f>
        <v>0</v>
      </c>
      <c r="Y996">
        <f t="shared" ref="Y996:Y1009" si="665">MAX(C996-C995,0)</f>
        <v>0</v>
      </c>
      <c r="Z996">
        <f t="shared" ref="Z996:Z1009" si="666">MAX(D996-D995,0)</f>
        <v>0</v>
      </c>
      <c r="AA996">
        <f t="shared" ref="AA996:AA1009" si="667">MAX(E996-E995,0)</f>
        <v>0</v>
      </c>
      <c r="AB996">
        <f t="shared" ref="AB996:AB1009" si="668">MAX(F996-F995,0)</f>
        <v>0</v>
      </c>
      <c r="AC996">
        <f t="shared" ref="AC996:AC1009" si="669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63"/>
        <v>H</v>
      </c>
      <c r="M997">
        <v>4</v>
      </c>
      <c r="N997" s="6" t="str">
        <f t="shared" si="654"/>
        <v/>
      </c>
      <c r="O997" s="7" t="str">
        <f t="shared" si="655"/>
        <v/>
      </c>
      <c r="P997" s="7" t="str">
        <f t="shared" si="656"/>
        <v/>
      </c>
      <c r="Q997" s="7" t="str">
        <f t="shared" si="657"/>
        <v/>
      </c>
      <c r="R997" s="7" t="str">
        <f t="shared" si="658"/>
        <v/>
      </c>
      <c r="S997" s="8" t="str">
        <f t="shared" si="659"/>
        <v/>
      </c>
      <c r="T997" s="2" t="str">
        <f t="shared" si="660"/>
        <v/>
      </c>
      <c r="U997" s="2" t="str">
        <f t="shared" si="661"/>
        <v/>
      </c>
      <c r="V997" t="str">
        <f t="shared" si="637"/>
        <v/>
      </c>
      <c r="X997">
        <f t="shared" si="664"/>
        <v>0</v>
      </c>
      <c r="Y997">
        <f t="shared" si="665"/>
        <v>0</v>
      </c>
      <c r="Z997">
        <f t="shared" si="666"/>
        <v>0</v>
      </c>
      <c r="AA997">
        <f t="shared" si="667"/>
        <v>0</v>
      </c>
      <c r="AB997">
        <f t="shared" si="668"/>
        <v>0</v>
      </c>
      <c r="AC997">
        <f t="shared" si="669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63"/>
        <v>H</v>
      </c>
      <c r="M998">
        <v>5</v>
      </c>
      <c r="N998" s="22" t="str">
        <f t="shared" si="654"/>
        <v>#</v>
      </c>
      <c r="O998" s="15" t="str">
        <f t="shared" si="655"/>
        <v/>
      </c>
      <c r="P998" s="15" t="str">
        <f t="shared" si="656"/>
        <v/>
      </c>
      <c r="Q998" s="15" t="str">
        <f t="shared" si="657"/>
        <v/>
      </c>
      <c r="R998" s="16" t="str">
        <f t="shared" si="658"/>
        <v>#</v>
      </c>
      <c r="S998" s="8" t="str">
        <f t="shared" si="659"/>
        <v/>
      </c>
      <c r="T998" s="2" t="str">
        <f t="shared" si="660"/>
        <v/>
      </c>
      <c r="U998" s="2" t="str">
        <f t="shared" si="661"/>
        <v/>
      </c>
      <c r="V998" t="str">
        <f t="shared" si="637"/>
        <v/>
      </c>
      <c r="X998">
        <f t="shared" si="664"/>
        <v>1</v>
      </c>
      <c r="Y998">
        <f t="shared" si="665"/>
        <v>0</v>
      </c>
      <c r="Z998">
        <f t="shared" si="666"/>
        <v>0</v>
      </c>
      <c r="AA998">
        <f t="shared" si="667"/>
        <v>0</v>
      </c>
      <c r="AB998">
        <f t="shared" si="668"/>
        <v>1</v>
      </c>
      <c r="AC998">
        <f t="shared" si="669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63"/>
        <v>H</v>
      </c>
      <c r="M999">
        <v>6</v>
      </c>
      <c r="N999" s="23" t="str">
        <f t="shared" si="654"/>
        <v>#</v>
      </c>
      <c r="O999" s="7" t="str">
        <f t="shared" si="655"/>
        <v/>
      </c>
      <c r="P999" s="7" t="str">
        <f t="shared" si="656"/>
        <v/>
      </c>
      <c r="Q999" s="7" t="str">
        <f t="shared" si="657"/>
        <v/>
      </c>
      <c r="R999" s="17" t="str">
        <f t="shared" si="658"/>
        <v>#</v>
      </c>
      <c r="S999" s="8" t="str">
        <f t="shared" si="659"/>
        <v/>
      </c>
      <c r="T999" s="2" t="str">
        <f t="shared" si="660"/>
        <v/>
      </c>
      <c r="U999" s="2" t="str">
        <f t="shared" si="661"/>
        <v/>
      </c>
      <c r="V999" t="str">
        <f t="shared" si="637"/>
        <v/>
      </c>
      <c r="X999">
        <f t="shared" si="664"/>
        <v>0</v>
      </c>
      <c r="Y999">
        <f t="shared" si="665"/>
        <v>0</v>
      </c>
      <c r="Z999">
        <f t="shared" si="666"/>
        <v>0</v>
      </c>
      <c r="AA999">
        <f t="shared" si="667"/>
        <v>0</v>
      </c>
      <c r="AB999">
        <f t="shared" si="668"/>
        <v>0</v>
      </c>
      <c r="AC999">
        <f t="shared" si="669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63"/>
        <v>H</v>
      </c>
      <c r="M1000">
        <v>7</v>
      </c>
      <c r="N1000" s="23" t="str">
        <f t="shared" si="654"/>
        <v>#</v>
      </c>
      <c r="O1000" s="7" t="str">
        <f t="shared" si="655"/>
        <v/>
      </c>
      <c r="P1000" s="7" t="str">
        <f t="shared" si="656"/>
        <v/>
      </c>
      <c r="Q1000" s="7" t="str">
        <f t="shared" si="657"/>
        <v/>
      </c>
      <c r="R1000" s="17" t="str">
        <f t="shared" si="658"/>
        <v>#</v>
      </c>
      <c r="S1000" s="8" t="str">
        <f t="shared" si="659"/>
        <v/>
      </c>
      <c r="T1000" s="2" t="str">
        <f t="shared" si="660"/>
        <v/>
      </c>
      <c r="U1000" s="2" t="str">
        <f t="shared" si="661"/>
        <v/>
      </c>
      <c r="V1000" t="str">
        <f t="shared" si="637"/>
        <v/>
      </c>
      <c r="X1000">
        <f t="shared" si="664"/>
        <v>0</v>
      </c>
      <c r="Y1000">
        <f t="shared" si="665"/>
        <v>0</v>
      </c>
      <c r="Z1000">
        <f t="shared" si="666"/>
        <v>0</v>
      </c>
      <c r="AA1000">
        <f t="shared" si="667"/>
        <v>0</v>
      </c>
      <c r="AB1000">
        <f t="shared" si="668"/>
        <v>0</v>
      </c>
      <c r="AC1000">
        <f t="shared" si="669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63"/>
        <v>H</v>
      </c>
      <c r="M1001">
        <v>8</v>
      </c>
      <c r="N1001" s="23" t="str">
        <f t="shared" si="654"/>
        <v>#</v>
      </c>
      <c r="O1001" s="7" t="str">
        <f t="shared" si="655"/>
        <v/>
      </c>
      <c r="P1001" s="7" t="str">
        <f t="shared" si="656"/>
        <v/>
      </c>
      <c r="Q1001" s="7" t="str">
        <f t="shared" si="657"/>
        <v/>
      </c>
      <c r="R1001" s="17" t="str">
        <f t="shared" si="658"/>
        <v>#</v>
      </c>
      <c r="S1001" s="8" t="str">
        <f t="shared" si="659"/>
        <v/>
      </c>
      <c r="T1001" s="2" t="str">
        <f t="shared" si="660"/>
        <v/>
      </c>
      <c r="U1001" s="2" t="str">
        <f t="shared" si="661"/>
        <v/>
      </c>
      <c r="V1001" t="str">
        <f t="shared" si="637"/>
        <v/>
      </c>
      <c r="X1001">
        <f t="shared" si="664"/>
        <v>0</v>
      </c>
      <c r="Y1001">
        <f t="shared" si="665"/>
        <v>0</v>
      </c>
      <c r="Z1001">
        <f t="shared" si="666"/>
        <v>0</v>
      </c>
      <c r="AA1001">
        <f t="shared" si="667"/>
        <v>0</v>
      </c>
      <c r="AB1001">
        <f t="shared" si="668"/>
        <v>0</v>
      </c>
      <c r="AC1001">
        <f t="shared" si="669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63"/>
        <v>H</v>
      </c>
      <c r="M1002">
        <v>9</v>
      </c>
      <c r="N1002" s="23" t="str">
        <f t="shared" si="654"/>
        <v>#</v>
      </c>
      <c r="O1002" s="7" t="str">
        <f t="shared" si="655"/>
        <v>#</v>
      </c>
      <c r="P1002" s="7" t="str">
        <f t="shared" si="656"/>
        <v>#</v>
      </c>
      <c r="Q1002" s="7" t="str">
        <f t="shared" si="657"/>
        <v>#</v>
      </c>
      <c r="R1002" s="17" t="str">
        <f t="shared" si="658"/>
        <v>#</v>
      </c>
      <c r="S1002" s="8" t="str">
        <f t="shared" si="659"/>
        <v/>
      </c>
      <c r="T1002" s="2" t="str">
        <f t="shared" si="660"/>
        <v/>
      </c>
      <c r="U1002" s="2" t="str">
        <f t="shared" si="661"/>
        <v/>
      </c>
      <c r="V1002" t="str">
        <f t="shared" si="637"/>
        <v/>
      </c>
      <c r="X1002">
        <f t="shared" si="664"/>
        <v>0</v>
      </c>
      <c r="Y1002">
        <f t="shared" si="665"/>
        <v>1</v>
      </c>
      <c r="Z1002">
        <f t="shared" si="666"/>
        <v>1</v>
      </c>
      <c r="AA1002">
        <f t="shared" si="667"/>
        <v>1</v>
      </c>
      <c r="AB1002">
        <f t="shared" si="668"/>
        <v>0</v>
      </c>
      <c r="AC1002">
        <f t="shared" si="669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63"/>
        <v>H</v>
      </c>
      <c r="M1003">
        <v>10</v>
      </c>
      <c r="N1003" s="23" t="str">
        <f t="shared" si="654"/>
        <v>#</v>
      </c>
      <c r="O1003" s="7" t="str">
        <f t="shared" si="655"/>
        <v>#</v>
      </c>
      <c r="P1003" s="7" t="str">
        <f t="shared" si="656"/>
        <v>#</v>
      </c>
      <c r="Q1003" s="7" t="str">
        <f t="shared" si="657"/>
        <v>#</v>
      </c>
      <c r="R1003" s="17" t="str">
        <f t="shared" si="658"/>
        <v>#</v>
      </c>
      <c r="S1003" s="8" t="str">
        <f t="shared" si="659"/>
        <v/>
      </c>
      <c r="T1003" s="2" t="str">
        <f t="shared" si="660"/>
        <v/>
      </c>
      <c r="U1003" s="2" t="str">
        <f t="shared" si="661"/>
        <v/>
      </c>
      <c r="V1003" t="str">
        <f t="shared" si="637"/>
        <v/>
      </c>
      <c r="X1003">
        <f t="shared" si="664"/>
        <v>0</v>
      </c>
      <c r="Y1003">
        <f t="shared" si="665"/>
        <v>0</v>
      </c>
      <c r="Z1003">
        <f t="shared" si="666"/>
        <v>0</v>
      </c>
      <c r="AA1003">
        <f t="shared" si="667"/>
        <v>0</v>
      </c>
      <c r="AB1003">
        <f t="shared" si="668"/>
        <v>0</v>
      </c>
      <c r="AC1003">
        <f t="shared" si="669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63"/>
        <v>H</v>
      </c>
      <c r="M1004">
        <v>11</v>
      </c>
      <c r="N1004" s="23" t="str">
        <f t="shared" si="654"/>
        <v>#</v>
      </c>
      <c r="O1004" s="7" t="str">
        <f t="shared" si="655"/>
        <v/>
      </c>
      <c r="P1004" s="7" t="str">
        <f t="shared" si="656"/>
        <v/>
      </c>
      <c r="Q1004" s="7" t="str">
        <f t="shared" si="657"/>
        <v/>
      </c>
      <c r="R1004" s="17" t="str">
        <f t="shared" si="658"/>
        <v>#</v>
      </c>
      <c r="S1004" s="8" t="str">
        <f t="shared" si="659"/>
        <v/>
      </c>
      <c r="T1004" s="2" t="str">
        <f t="shared" si="660"/>
        <v/>
      </c>
      <c r="U1004" s="2" t="str">
        <f t="shared" si="661"/>
        <v/>
      </c>
      <c r="V1004" t="str">
        <f t="shared" si="637"/>
        <v/>
      </c>
      <c r="X1004">
        <f t="shared" si="664"/>
        <v>0</v>
      </c>
      <c r="Y1004">
        <f t="shared" si="665"/>
        <v>0</v>
      </c>
      <c r="Z1004">
        <f t="shared" si="666"/>
        <v>0</v>
      </c>
      <c r="AA1004">
        <f t="shared" si="667"/>
        <v>0</v>
      </c>
      <c r="AB1004">
        <f t="shared" si="668"/>
        <v>0</v>
      </c>
      <c r="AC1004">
        <f t="shared" si="669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63"/>
        <v>H</v>
      </c>
      <c r="M1005">
        <v>12</v>
      </c>
      <c r="N1005" s="23" t="str">
        <f t="shared" si="654"/>
        <v>#</v>
      </c>
      <c r="O1005" s="7" t="str">
        <f t="shared" si="655"/>
        <v/>
      </c>
      <c r="P1005" s="7" t="str">
        <f t="shared" si="656"/>
        <v/>
      </c>
      <c r="Q1005" s="7" t="str">
        <f t="shared" si="657"/>
        <v/>
      </c>
      <c r="R1005" s="17" t="str">
        <f t="shared" si="658"/>
        <v>#</v>
      </c>
      <c r="S1005" s="8" t="str">
        <f t="shared" si="659"/>
        <v/>
      </c>
      <c r="T1005" s="2" t="str">
        <f t="shared" si="660"/>
        <v/>
      </c>
      <c r="U1005" s="2" t="str">
        <f t="shared" si="661"/>
        <v/>
      </c>
      <c r="V1005" t="str">
        <f t="shared" si="637"/>
        <v/>
      </c>
      <c r="X1005">
        <f t="shared" si="664"/>
        <v>0</v>
      </c>
      <c r="Y1005">
        <f t="shared" si="665"/>
        <v>0</v>
      </c>
      <c r="Z1005">
        <f t="shared" si="666"/>
        <v>0</v>
      </c>
      <c r="AA1005">
        <f t="shared" si="667"/>
        <v>0</v>
      </c>
      <c r="AB1005">
        <f t="shared" si="668"/>
        <v>0</v>
      </c>
      <c r="AC1005">
        <f t="shared" si="669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63"/>
        <v>H</v>
      </c>
      <c r="M1006">
        <v>13</v>
      </c>
      <c r="N1006" s="6" t="str">
        <f t="shared" si="654"/>
        <v>#</v>
      </c>
      <c r="O1006" s="7" t="str">
        <f t="shared" si="655"/>
        <v/>
      </c>
      <c r="P1006" s="7" t="str">
        <f t="shared" si="656"/>
        <v/>
      </c>
      <c r="Q1006" s="7" t="str">
        <f t="shared" si="657"/>
        <v/>
      </c>
      <c r="R1006" s="17" t="str">
        <f t="shared" si="658"/>
        <v>#</v>
      </c>
      <c r="S1006" s="8" t="str">
        <f t="shared" si="659"/>
        <v/>
      </c>
      <c r="T1006" s="2" t="str">
        <f t="shared" si="660"/>
        <v/>
      </c>
      <c r="U1006" s="2" t="str">
        <f t="shared" si="661"/>
        <v/>
      </c>
      <c r="V1006" t="str">
        <f t="shared" si="637"/>
        <v/>
      </c>
      <c r="X1006">
        <f t="shared" si="664"/>
        <v>0</v>
      </c>
      <c r="Y1006">
        <f t="shared" si="665"/>
        <v>0</v>
      </c>
      <c r="Z1006">
        <f t="shared" si="666"/>
        <v>0</v>
      </c>
      <c r="AA1006">
        <f t="shared" si="667"/>
        <v>0</v>
      </c>
      <c r="AB1006">
        <f t="shared" si="668"/>
        <v>0</v>
      </c>
      <c r="AC1006">
        <f t="shared" si="669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63"/>
        <v>H</v>
      </c>
      <c r="M1007">
        <v>14</v>
      </c>
      <c r="N1007" s="18" t="str">
        <f t="shared" si="654"/>
        <v>#</v>
      </c>
      <c r="O1007" s="19" t="str">
        <f t="shared" si="655"/>
        <v/>
      </c>
      <c r="P1007" s="19" t="str">
        <f t="shared" si="656"/>
        <v/>
      </c>
      <c r="Q1007" s="19" t="str">
        <f t="shared" si="657"/>
        <v/>
      </c>
      <c r="R1007" s="20" t="str">
        <f t="shared" si="658"/>
        <v>#</v>
      </c>
      <c r="S1007" s="8" t="str">
        <f t="shared" si="659"/>
        <v/>
      </c>
      <c r="T1007" s="2" t="str">
        <f t="shared" si="660"/>
        <v/>
      </c>
      <c r="U1007" s="2" t="str">
        <f t="shared" si="661"/>
        <v/>
      </c>
      <c r="V1007" t="str">
        <f t="shared" si="637"/>
        <v/>
      </c>
      <c r="X1007">
        <f t="shared" si="664"/>
        <v>0</v>
      </c>
      <c r="Y1007">
        <f t="shared" si="665"/>
        <v>0</v>
      </c>
      <c r="Z1007">
        <f t="shared" si="666"/>
        <v>0</v>
      </c>
      <c r="AA1007">
        <f t="shared" si="667"/>
        <v>0</v>
      </c>
      <c r="AB1007">
        <f t="shared" si="668"/>
        <v>0</v>
      </c>
      <c r="AC1007">
        <f t="shared" si="669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63"/>
        <v>H</v>
      </c>
      <c r="M1008">
        <v>15</v>
      </c>
      <c r="N1008" s="9" t="str">
        <f t="shared" si="654"/>
        <v/>
      </c>
      <c r="O1008" s="10" t="str">
        <f t="shared" si="655"/>
        <v/>
      </c>
      <c r="P1008" s="10" t="str">
        <f t="shared" si="656"/>
        <v/>
      </c>
      <c r="Q1008" s="10" t="str">
        <f t="shared" si="657"/>
        <v/>
      </c>
      <c r="R1008" s="10" t="str">
        <f t="shared" si="658"/>
        <v/>
      </c>
      <c r="S1008" s="11" t="str">
        <f t="shared" si="659"/>
        <v/>
      </c>
      <c r="T1008" s="2" t="str">
        <f t="shared" si="660"/>
        <v/>
      </c>
      <c r="U1008" s="2" t="str">
        <f t="shared" si="661"/>
        <v/>
      </c>
      <c r="V1008" t="str">
        <f t="shared" si="637"/>
        <v/>
      </c>
      <c r="X1008">
        <f t="shared" si="664"/>
        <v>0</v>
      </c>
      <c r="Y1008">
        <f t="shared" si="665"/>
        <v>0</v>
      </c>
      <c r="Z1008">
        <f t="shared" si="666"/>
        <v>0</v>
      </c>
      <c r="AA1008">
        <f t="shared" si="667"/>
        <v>0</v>
      </c>
      <c r="AB1008">
        <f t="shared" si="668"/>
        <v>0</v>
      </c>
      <c r="AC1008">
        <f t="shared" si="669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63"/>
        <v>H</v>
      </c>
      <c r="M1009">
        <v>16</v>
      </c>
      <c r="N1009" s="12" t="str">
        <f t="shared" si="654"/>
        <v/>
      </c>
      <c r="O1009" s="13" t="str">
        <f t="shared" si="655"/>
        <v/>
      </c>
      <c r="P1009" s="13" t="str">
        <f t="shared" si="656"/>
        <v/>
      </c>
      <c r="Q1009" s="13" t="str">
        <f t="shared" si="657"/>
        <v/>
      </c>
      <c r="R1009" s="13" t="str">
        <f t="shared" si="658"/>
        <v/>
      </c>
      <c r="S1009" s="14" t="str">
        <f t="shared" si="659"/>
        <v/>
      </c>
      <c r="T1009" s="2" t="str">
        <f t="shared" si="660"/>
        <v/>
      </c>
      <c r="U1009" s="2" t="str">
        <f t="shared" si="661"/>
        <v/>
      </c>
      <c r="V1009" t="str">
        <f t="shared" si="637"/>
        <v/>
      </c>
      <c r="X1009">
        <f t="shared" si="664"/>
        <v>0</v>
      </c>
      <c r="Y1009">
        <f t="shared" si="665"/>
        <v>0</v>
      </c>
      <c r="Z1009">
        <f t="shared" si="666"/>
        <v>0</v>
      </c>
      <c r="AA1009">
        <f t="shared" si="667"/>
        <v>0</v>
      </c>
      <c r="AB1009">
        <f t="shared" si="668"/>
        <v>0</v>
      </c>
      <c r="AC1009">
        <f t="shared" si="669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54"/>
        <v/>
      </c>
      <c r="O1010" t="str">
        <f t="shared" si="655"/>
        <v/>
      </c>
      <c r="P1010" t="str">
        <f t="shared" si="656"/>
        <v/>
      </c>
      <c r="Q1010" t="str">
        <f t="shared" si="657"/>
        <v/>
      </c>
      <c r="R1010" t="str">
        <f t="shared" si="658"/>
        <v/>
      </c>
      <c r="S1010" t="str">
        <f t="shared" si="659"/>
        <v/>
      </c>
      <c r="T1010" s="2" t="str">
        <f t="shared" si="660"/>
        <v/>
      </c>
      <c r="U1010" s="2" t="str">
        <f t="shared" si="661"/>
        <v/>
      </c>
      <c r="V1010" t="str">
        <f t="shared" si="637"/>
        <v/>
      </c>
      <c r="W1010">
        <f>SUM(B1012:G1025)</f>
        <v>10</v>
      </c>
      <c r="AD1010">
        <f t="shared" ref="AD1010" si="670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71">L1010</f>
        <v>I</v>
      </c>
      <c r="M1011">
        <v>2</v>
      </c>
      <c r="N1011" t="str">
        <f t="shared" si="654"/>
        <v/>
      </c>
      <c r="O1011" t="str">
        <f t="shared" si="655"/>
        <v/>
      </c>
      <c r="P1011" t="str">
        <f t="shared" si="656"/>
        <v/>
      </c>
      <c r="Q1011" t="str">
        <f t="shared" si="657"/>
        <v/>
      </c>
      <c r="R1011" t="str">
        <f t="shared" si="658"/>
        <v/>
      </c>
      <c r="S1011" t="str">
        <f t="shared" si="659"/>
        <v/>
      </c>
      <c r="T1011" s="2" t="str">
        <f t="shared" si="660"/>
        <v/>
      </c>
      <c r="U1011" s="2" t="str">
        <f t="shared" si="661"/>
        <v/>
      </c>
      <c r="V1011" t="str">
        <f t="shared" si="637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71"/>
        <v>I</v>
      </c>
      <c r="M1012">
        <v>3</v>
      </c>
      <c r="N1012" s="3" t="str">
        <f t="shared" si="654"/>
        <v/>
      </c>
      <c r="O1012" s="4" t="str">
        <f t="shared" si="655"/>
        <v/>
      </c>
      <c r="P1012" s="4" t="str">
        <f t="shared" si="656"/>
        <v/>
      </c>
      <c r="Q1012" s="4" t="str">
        <f t="shared" si="657"/>
        <v/>
      </c>
      <c r="R1012" s="4" t="str">
        <f t="shared" si="658"/>
        <v/>
      </c>
      <c r="S1012" s="5" t="str">
        <f t="shared" si="659"/>
        <v/>
      </c>
      <c r="T1012" s="2" t="str">
        <f t="shared" si="660"/>
        <v/>
      </c>
      <c r="U1012" s="2" t="str">
        <f t="shared" si="661"/>
        <v/>
      </c>
      <c r="V1012" t="str">
        <f t="shared" si="637"/>
        <v/>
      </c>
      <c r="X1012">
        <f t="shared" ref="X1012:X1025" si="672">MAX(B1012-B1011,0)</f>
        <v>0</v>
      </c>
      <c r="Y1012">
        <f t="shared" ref="Y1012:Y1025" si="673">MAX(C1012-C1011,0)</f>
        <v>0</v>
      </c>
      <c r="Z1012">
        <f t="shared" ref="Z1012:Z1025" si="674">MAX(D1012-D1011,0)</f>
        <v>0</v>
      </c>
      <c r="AA1012">
        <f t="shared" ref="AA1012:AA1025" si="675">MAX(E1012-E1011,0)</f>
        <v>0</v>
      </c>
      <c r="AB1012">
        <f t="shared" ref="AB1012:AB1025" si="676">MAX(F1012-F1011,0)</f>
        <v>0</v>
      </c>
      <c r="AC1012">
        <f t="shared" ref="AC1012:AC1025" si="677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71"/>
        <v>I</v>
      </c>
      <c r="M1013">
        <v>4</v>
      </c>
      <c r="N1013" s="6" t="str">
        <f t="shared" si="654"/>
        <v/>
      </c>
      <c r="O1013" s="7" t="str">
        <f t="shared" si="655"/>
        <v/>
      </c>
      <c r="P1013" s="7" t="str">
        <f t="shared" si="656"/>
        <v/>
      </c>
      <c r="Q1013" s="7" t="str">
        <f t="shared" si="657"/>
        <v/>
      </c>
      <c r="R1013" s="7" t="str">
        <f t="shared" si="658"/>
        <v/>
      </c>
      <c r="S1013" s="8" t="str">
        <f t="shared" si="659"/>
        <v/>
      </c>
      <c r="T1013" s="2" t="str">
        <f t="shared" si="660"/>
        <v/>
      </c>
      <c r="U1013" s="2" t="str">
        <f t="shared" si="661"/>
        <v/>
      </c>
      <c r="V1013" t="str">
        <f t="shared" si="637"/>
        <v/>
      </c>
      <c r="X1013">
        <f t="shared" si="672"/>
        <v>0</v>
      </c>
      <c r="Y1013">
        <f t="shared" si="673"/>
        <v>0</v>
      </c>
      <c r="Z1013">
        <f t="shared" si="674"/>
        <v>0</v>
      </c>
      <c r="AA1013">
        <f t="shared" si="675"/>
        <v>0</v>
      </c>
      <c r="AB1013">
        <f t="shared" si="676"/>
        <v>0</v>
      </c>
      <c r="AC1013">
        <f t="shared" si="677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71"/>
        <v>I</v>
      </c>
      <c r="M1014">
        <v>5</v>
      </c>
      <c r="N1014" s="22" t="str">
        <f t="shared" si="654"/>
        <v/>
      </c>
      <c r="O1014" s="15" t="str">
        <f t="shared" si="655"/>
        <v/>
      </c>
      <c r="P1014" s="15" t="str">
        <f t="shared" si="656"/>
        <v>#</v>
      </c>
      <c r="Q1014" s="15" t="str">
        <f t="shared" si="657"/>
        <v/>
      </c>
      <c r="R1014" s="16" t="str">
        <f t="shared" si="658"/>
        <v/>
      </c>
      <c r="S1014" s="8" t="str">
        <f t="shared" si="659"/>
        <v/>
      </c>
      <c r="T1014" s="2" t="str">
        <f t="shared" si="660"/>
        <v/>
      </c>
      <c r="U1014" s="2" t="str">
        <f t="shared" si="661"/>
        <v/>
      </c>
      <c r="V1014" t="str">
        <f t="shared" si="637"/>
        <v/>
      </c>
      <c r="X1014">
        <f t="shared" si="672"/>
        <v>0</v>
      </c>
      <c r="Y1014">
        <f t="shared" si="673"/>
        <v>0</v>
      </c>
      <c r="Z1014">
        <f t="shared" si="674"/>
        <v>1</v>
      </c>
      <c r="AA1014">
        <f t="shared" si="675"/>
        <v>0</v>
      </c>
      <c r="AB1014">
        <f t="shared" si="676"/>
        <v>0</v>
      </c>
      <c r="AC1014">
        <f t="shared" si="677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71"/>
        <v>I</v>
      </c>
      <c r="M1015">
        <v>6</v>
      </c>
      <c r="N1015" s="23" t="str">
        <f t="shared" si="654"/>
        <v/>
      </c>
      <c r="O1015" s="7" t="str">
        <f t="shared" si="655"/>
        <v/>
      </c>
      <c r="P1015" s="7" t="str">
        <f t="shared" si="656"/>
        <v>#</v>
      </c>
      <c r="Q1015" s="7" t="str">
        <f t="shared" si="657"/>
        <v/>
      </c>
      <c r="R1015" s="17" t="str">
        <f t="shared" si="658"/>
        <v/>
      </c>
      <c r="S1015" s="8" t="str">
        <f t="shared" si="659"/>
        <v/>
      </c>
      <c r="T1015" s="2" t="str">
        <f t="shared" si="660"/>
        <v/>
      </c>
      <c r="U1015" s="2" t="str">
        <f t="shared" si="661"/>
        <v/>
      </c>
      <c r="V1015" t="str">
        <f t="shared" si="637"/>
        <v/>
      </c>
      <c r="X1015">
        <f t="shared" si="672"/>
        <v>0</v>
      </c>
      <c r="Y1015">
        <f t="shared" si="673"/>
        <v>0</v>
      </c>
      <c r="Z1015">
        <f t="shared" si="674"/>
        <v>0</v>
      </c>
      <c r="AA1015">
        <f t="shared" si="675"/>
        <v>0</v>
      </c>
      <c r="AB1015">
        <f t="shared" si="676"/>
        <v>0</v>
      </c>
      <c r="AC1015">
        <f t="shared" si="677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71"/>
        <v>I</v>
      </c>
      <c r="M1016">
        <v>7</v>
      </c>
      <c r="N1016" s="23" t="str">
        <f t="shared" si="654"/>
        <v/>
      </c>
      <c r="O1016" s="7" t="str">
        <f t="shared" si="655"/>
        <v/>
      </c>
      <c r="P1016" s="7" t="str">
        <f t="shared" si="656"/>
        <v>#</v>
      </c>
      <c r="Q1016" s="7" t="str">
        <f t="shared" si="657"/>
        <v/>
      </c>
      <c r="R1016" s="17" t="str">
        <f t="shared" si="658"/>
        <v/>
      </c>
      <c r="S1016" s="8" t="str">
        <f t="shared" si="659"/>
        <v/>
      </c>
      <c r="T1016" s="2" t="str">
        <f t="shared" si="660"/>
        <v/>
      </c>
      <c r="U1016" s="2" t="str">
        <f t="shared" si="661"/>
        <v/>
      </c>
      <c r="V1016" t="str">
        <f t="shared" si="637"/>
        <v/>
      </c>
      <c r="X1016">
        <f t="shared" si="672"/>
        <v>0</v>
      </c>
      <c r="Y1016">
        <f t="shared" si="673"/>
        <v>0</v>
      </c>
      <c r="Z1016">
        <f t="shared" si="674"/>
        <v>0</v>
      </c>
      <c r="AA1016">
        <f t="shared" si="675"/>
        <v>0</v>
      </c>
      <c r="AB1016">
        <f t="shared" si="676"/>
        <v>0</v>
      </c>
      <c r="AC1016">
        <f t="shared" si="677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71"/>
        <v>I</v>
      </c>
      <c r="M1017">
        <v>8</v>
      </c>
      <c r="N1017" s="23" t="str">
        <f t="shared" si="654"/>
        <v/>
      </c>
      <c r="O1017" s="7" t="str">
        <f t="shared" si="655"/>
        <v/>
      </c>
      <c r="P1017" s="7" t="str">
        <f t="shared" si="656"/>
        <v>#</v>
      </c>
      <c r="Q1017" s="7" t="str">
        <f t="shared" si="657"/>
        <v/>
      </c>
      <c r="R1017" s="17" t="str">
        <f t="shared" si="658"/>
        <v/>
      </c>
      <c r="S1017" s="8" t="str">
        <f t="shared" si="659"/>
        <v/>
      </c>
      <c r="T1017" s="2" t="str">
        <f t="shared" si="660"/>
        <v/>
      </c>
      <c r="U1017" s="2" t="str">
        <f t="shared" si="661"/>
        <v/>
      </c>
      <c r="V1017" t="str">
        <f t="shared" si="637"/>
        <v/>
      </c>
      <c r="X1017">
        <f t="shared" si="672"/>
        <v>0</v>
      </c>
      <c r="Y1017">
        <f t="shared" si="673"/>
        <v>0</v>
      </c>
      <c r="Z1017">
        <f t="shared" si="674"/>
        <v>0</v>
      </c>
      <c r="AA1017">
        <f t="shared" si="675"/>
        <v>0</v>
      </c>
      <c r="AB1017">
        <f t="shared" si="676"/>
        <v>0</v>
      </c>
      <c r="AC1017">
        <f t="shared" si="677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71"/>
        <v>I</v>
      </c>
      <c r="M1018">
        <v>9</v>
      </c>
      <c r="N1018" s="23" t="str">
        <f t="shared" si="654"/>
        <v/>
      </c>
      <c r="O1018" s="7" t="str">
        <f t="shared" si="655"/>
        <v/>
      </c>
      <c r="P1018" s="7" t="str">
        <f t="shared" si="656"/>
        <v>#</v>
      </c>
      <c r="Q1018" s="7" t="str">
        <f t="shared" si="657"/>
        <v/>
      </c>
      <c r="R1018" s="17" t="str">
        <f t="shared" si="658"/>
        <v/>
      </c>
      <c r="S1018" s="8" t="str">
        <f t="shared" si="659"/>
        <v/>
      </c>
      <c r="T1018" s="2" t="str">
        <f t="shared" si="660"/>
        <v/>
      </c>
      <c r="U1018" s="2" t="str">
        <f t="shared" si="661"/>
        <v/>
      </c>
      <c r="V1018" t="str">
        <f t="shared" si="637"/>
        <v/>
      </c>
      <c r="X1018">
        <f t="shared" si="672"/>
        <v>0</v>
      </c>
      <c r="Y1018">
        <f t="shared" si="673"/>
        <v>0</v>
      </c>
      <c r="Z1018">
        <f t="shared" si="674"/>
        <v>0</v>
      </c>
      <c r="AA1018">
        <f t="shared" si="675"/>
        <v>0</v>
      </c>
      <c r="AB1018">
        <f t="shared" si="676"/>
        <v>0</v>
      </c>
      <c r="AC1018">
        <f t="shared" si="677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71"/>
        <v>I</v>
      </c>
      <c r="M1019">
        <v>10</v>
      </c>
      <c r="N1019" s="23" t="str">
        <f t="shared" si="654"/>
        <v/>
      </c>
      <c r="O1019" s="7" t="str">
        <f t="shared" si="655"/>
        <v/>
      </c>
      <c r="P1019" s="7" t="str">
        <f t="shared" si="656"/>
        <v>#</v>
      </c>
      <c r="Q1019" s="7" t="str">
        <f t="shared" si="657"/>
        <v/>
      </c>
      <c r="R1019" s="17" t="str">
        <f t="shared" si="658"/>
        <v/>
      </c>
      <c r="S1019" s="8" t="str">
        <f t="shared" si="659"/>
        <v/>
      </c>
      <c r="T1019" s="2" t="str">
        <f t="shared" si="660"/>
        <v/>
      </c>
      <c r="U1019" s="2" t="str">
        <f t="shared" si="661"/>
        <v/>
      </c>
      <c r="V1019" t="str">
        <f t="shared" si="637"/>
        <v/>
      </c>
      <c r="X1019">
        <f t="shared" si="672"/>
        <v>0</v>
      </c>
      <c r="Y1019">
        <f t="shared" si="673"/>
        <v>0</v>
      </c>
      <c r="Z1019">
        <f t="shared" si="674"/>
        <v>0</v>
      </c>
      <c r="AA1019">
        <f t="shared" si="675"/>
        <v>0</v>
      </c>
      <c r="AB1019">
        <f t="shared" si="676"/>
        <v>0</v>
      </c>
      <c r="AC1019">
        <f t="shared" si="677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71"/>
        <v>I</v>
      </c>
      <c r="M1020">
        <v>11</v>
      </c>
      <c r="N1020" s="23" t="str">
        <f t="shared" si="654"/>
        <v/>
      </c>
      <c r="O1020" s="7" t="str">
        <f t="shared" si="655"/>
        <v/>
      </c>
      <c r="P1020" s="7" t="str">
        <f t="shared" si="656"/>
        <v>#</v>
      </c>
      <c r="Q1020" s="7" t="str">
        <f t="shared" si="657"/>
        <v/>
      </c>
      <c r="R1020" s="17" t="str">
        <f t="shared" si="658"/>
        <v/>
      </c>
      <c r="S1020" s="8" t="str">
        <f t="shared" si="659"/>
        <v/>
      </c>
      <c r="T1020" s="2" t="str">
        <f t="shared" si="660"/>
        <v/>
      </c>
      <c r="U1020" s="2" t="str">
        <f t="shared" si="661"/>
        <v/>
      </c>
      <c r="V1020" t="str">
        <f t="shared" si="637"/>
        <v/>
      </c>
      <c r="X1020">
        <f t="shared" si="672"/>
        <v>0</v>
      </c>
      <c r="Y1020">
        <f t="shared" si="673"/>
        <v>0</v>
      </c>
      <c r="Z1020">
        <f t="shared" si="674"/>
        <v>0</v>
      </c>
      <c r="AA1020">
        <f t="shared" si="675"/>
        <v>0</v>
      </c>
      <c r="AB1020">
        <f t="shared" si="676"/>
        <v>0</v>
      </c>
      <c r="AC1020">
        <f t="shared" si="677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71"/>
        <v>I</v>
      </c>
      <c r="M1021">
        <v>12</v>
      </c>
      <c r="N1021" s="23" t="str">
        <f t="shared" si="654"/>
        <v/>
      </c>
      <c r="O1021" s="7" t="str">
        <f t="shared" si="655"/>
        <v/>
      </c>
      <c r="P1021" s="7" t="str">
        <f t="shared" si="656"/>
        <v>#</v>
      </c>
      <c r="Q1021" s="7" t="str">
        <f t="shared" si="657"/>
        <v/>
      </c>
      <c r="R1021" s="17" t="str">
        <f t="shared" si="658"/>
        <v/>
      </c>
      <c r="S1021" s="8" t="str">
        <f t="shared" si="659"/>
        <v/>
      </c>
      <c r="T1021" s="2" t="str">
        <f t="shared" si="660"/>
        <v/>
      </c>
      <c r="U1021" s="2" t="str">
        <f t="shared" si="661"/>
        <v/>
      </c>
      <c r="V1021" t="str">
        <f t="shared" si="637"/>
        <v/>
      </c>
      <c r="X1021">
        <f t="shared" si="672"/>
        <v>0</v>
      </c>
      <c r="Y1021">
        <f t="shared" si="673"/>
        <v>0</v>
      </c>
      <c r="Z1021">
        <f t="shared" si="674"/>
        <v>0</v>
      </c>
      <c r="AA1021">
        <f t="shared" si="675"/>
        <v>0</v>
      </c>
      <c r="AB1021">
        <f t="shared" si="676"/>
        <v>0</v>
      </c>
      <c r="AC1021">
        <f t="shared" si="677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71"/>
        <v>I</v>
      </c>
      <c r="M1022">
        <v>13</v>
      </c>
      <c r="N1022" s="6" t="str">
        <f t="shared" si="654"/>
        <v/>
      </c>
      <c r="O1022" s="7" t="str">
        <f t="shared" si="655"/>
        <v/>
      </c>
      <c r="P1022" s="7" t="str">
        <f t="shared" si="656"/>
        <v>#</v>
      </c>
      <c r="Q1022" s="7" t="str">
        <f t="shared" si="657"/>
        <v/>
      </c>
      <c r="R1022" s="17" t="str">
        <f t="shared" si="658"/>
        <v/>
      </c>
      <c r="S1022" s="8" t="str">
        <f t="shared" si="659"/>
        <v/>
      </c>
      <c r="T1022" s="2" t="str">
        <f t="shared" si="660"/>
        <v/>
      </c>
      <c r="U1022" s="2" t="str">
        <f t="shared" si="661"/>
        <v/>
      </c>
      <c r="V1022" t="str">
        <f t="shared" si="637"/>
        <v/>
      </c>
      <c r="X1022">
        <f t="shared" si="672"/>
        <v>0</v>
      </c>
      <c r="Y1022">
        <f t="shared" si="673"/>
        <v>0</v>
      </c>
      <c r="Z1022">
        <f t="shared" si="674"/>
        <v>0</v>
      </c>
      <c r="AA1022">
        <f t="shared" si="675"/>
        <v>0</v>
      </c>
      <c r="AB1022">
        <f t="shared" si="676"/>
        <v>0</v>
      </c>
      <c r="AC1022">
        <f t="shared" si="677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71"/>
        <v>I</v>
      </c>
      <c r="M1023">
        <v>14</v>
      </c>
      <c r="N1023" s="18" t="str">
        <f t="shared" si="654"/>
        <v/>
      </c>
      <c r="O1023" s="19" t="str">
        <f t="shared" si="655"/>
        <v/>
      </c>
      <c r="P1023" s="19" t="str">
        <f t="shared" si="656"/>
        <v>#</v>
      </c>
      <c r="Q1023" s="19" t="str">
        <f t="shared" si="657"/>
        <v/>
      </c>
      <c r="R1023" s="20" t="str">
        <f t="shared" si="658"/>
        <v/>
      </c>
      <c r="S1023" s="8" t="str">
        <f t="shared" si="659"/>
        <v/>
      </c>
      <c r="T1023" s="2" t="str">
        <f t="shared" si="660"/>
        <v/>
      </c>
      <c r="U1023" s="2" t="str">
        <f t="shared" si="661"/>
        <v/>
      </c>
      <c r="V1023" t="str">
        <f t="shared" si="637"/>
        <v/>
      </c>
      <c r="X1023">
        <f t="shared" si="672"/>
        <v>0</v>
      </c>
      <c r="Y1023">
        <f t="shared" si="673"/>
        <v>0</v>
      </c>
      <c r="Z1023">
        <f t="shared" si="674"/>
        <v>0</v>
      </c>
      <c r="AA1023">
        <f t="shared" si="675"/>
        <v>0</v>
      </c>
      <c r="AB1023">
        <f t="shared" si="676"/>
        <v>0</v>
      </c>
      <c r="AC1023">
        <f t="shared" si="677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71"/>
        <v>I</v>
      </c>
      <c r="M1024">
        <v>15</v>
      </c>
      <c r="N1024" s="9" t="str">
        <f t="shared" si="654"/>
        <v/>
      </c>
      <c r="O1024" s="10" t="str">
        <f t="shared" si="655"/>
        <v/>
      </c>
      <c r="P1024" s="10" t="str">
        <f t="shared" si="656"/>
        <v/>
      </c>
      <c r="Q1024" s="10" t="str">
        <f t="shared" si="657"/>
        <v/>
      </c>
      <c r="R1024" s="10" t="str">
        <f t="shared" si="658"/>
        <v/>
      </c>
      <c r="S1024" s="11" t="str">
        <f t="shared" si="659"/>
        <v/>
      </c>
      <c r="T1024" s="2" t="str">
        <f t="shared" si="660"/>
        <v/>
      </c>
      <c r="U1024" s="2" t="str">
        <f t="shared" si="661"/>
        <v/>
      </c>
      <c r="V1024" t="str">
        <f t="shared" si="637"/>
        <v/>
      </c>
      <c r="X1024">
        <f t="shared" si="672"/>
        <v>0</v>
      </c>
      <c r="Y1024">
        <f t="shared" si="673"/>
        <v>0</v>
      </c>
      <c r="Z1024">
        <f t="shared" si="674"/>
        <v>0</v>
      </c>
      <c r="AA1024">
        <f t="shared" si="675"/>
        <v>0</v>
      </c>
      <c r="AB1024">
        <f t="shared" si="676"/>
        <v>0</v>
      </c>
      <c r="AC1024">
        <f t="shared" si="677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71"/>
        <v>I</v>
      </c>
      <c r="M1025">
        <v>16</v>
      </c>
      <c r="N1025" s="12" t="str">
        <f t="shared" si="654"/>
        <v/>
      </c>
      <c r="O1025" s="13" t="str">
        <f t="shared" si="655"/>
        <v/>
      </c>
      <c r="P1025" s="13" t="str">
        <f t="shared" si="656"/>
        <v/>
      </c>
      <c r="Q1025" s="13" t="str">
        <f t="shared" si="657"/>
        <v/>
      </c>
      <c r="R1025" s="13" t="str">
        <f t="shared" si="658"/>
        <v/>
      </c>
      <c r="S1025" s="14" t="str">
        <f t="shared" si="659"/>
        <v/>
      </c>
      <c r="T1025" s="2" t="str">
        <f t="shared" si="660"/>
        <v/>
      </c>
      <c r="U1025" s="2" t="str">
        <f t="shared" si="661"/>
        <v/>
      </c>
      <c r="V1025" t="str">
        <f t="shared" si="637"/>
        <v/>
      </c>
      <c r="X1025">
        <f t="shared" si="672"/>
        <v>0</v>
      </c>
      <c r="Y1025">
        <f t="shared" si="673"/>
        <v>0</v>
      </c>
      <c r="Z1025">
        <f t="shared" si="674"/>
        <v>0</v>
      </c>
      <c r="AA1025">
        <f t="shared" si="675"/>
        <v>0</v>
      </c>
      <c r="AB1025">
        <f t="shared" si="676"/>
        <v>0</v>
      </c>
      <c r="AC1025">
        <f t="shared" si="677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54"/>
        <v/>
      </c>
      <c r="O1026" t="str">
        <f t="shared" si="655"/>
        <v/>
      </c>
      <c r="P1026" t="str">
        <f t="shared" si="656"/>
        <v/>
      </c>
      <c r="Q1026" t="str">
        <f t="shared" si="657"/>
        <v/>
      </c>
      <c r="R1026" t="str">
        <f t="shared" si="658"/>
        <v/>
      </c>
      <c r="S1026" t="str">
        <f t="shared" si="659"/>
        <v/>
      </c>
      <c r="T1026" s="2" t="str">
        <f t="shared" si="660"/>
        <v/>
      </c>
      <c r="U1026" s="2" t="str">
        <f t="shared" si="661"/>
        <v/>
      </c>
      <c r="V1026" t="str">
        <f t="shared" ref="V1026:V1089" si="678">IF(A1026=0,"",M1026)</f>
        <v/>
      </c>
      <c r="W1026">
        <f>SUM(B1028:G1041)</f>
        <v>20</v>
      </c>
      <c r="AD1026">
        <f t="shared" ref="AD1026" si="679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80">L1026</f>
        <v>J</v>
      </c>
      <c r="M1027">
        <v>2</v>
      </c>
      <c r="N1027" t="str">
        <f t="shared" si="654"/>
        <v/>
      </c>
      <c r="O1027" t="str">
        <f t="shared" si="655"/>
        <v/>
      </c>
      <c r="P1027" t="str">
        <f t="shared" si="656"/>
        <v/>
      </c>
      <c r="Q1027" t="str">
        <f t="shared" si="657"/>
        <v/>
      </c>
      <c r="R1027" t="str">
        <f t="shared" si="658"/>
        <v/>
      </c>
      <c r="S1027" t="str">
        <f t="shared" si="659"/>
        <v/>
      </c>
      <c r="T1027" s="2" t="str">
        <f t="shared" si="660"/>
        <v/>
      </c>
      <c r="U1027" s="2" t="str">
        <f t="shared" si="661"/>
        <v/>
      </c>
      <c r="V1027" t="str">
        <f t="shared" si="678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80"/>
        <v>J</v>
      </c>
      <c r="M1028">
        <v>3</v>
      </c>
      <c r="N1028" s="3" t="str">
        <f t="shared" si="654"/>
        <v/>
      </c>
      <c r="O1028" s="4" t="str">
        <f t="shared" si="655"/>
        <v/>
      </c>
      <c r="P1028" s="4" t="str">
        <f t="shared" si="656"/>
        <v/>
      </c>
      <c r="Q1028" s="4" t="str">
        <f t="shared" si="657"/>
        <v/>
      </c>
      <c r="R1028" s="4" t="str">
        <f t="shared" si="658"/>
        <v/>
      </c>
      <c r="S1028" s="5" t="str">
        <f t="shared" si="659"/>
        <v/>
      </c>
      <c r="T1028" s="2" t="str">
        <f t="shared" si="660"/>
        <v/>
      </c>
      <c r="U1028" s="2" t="str">
        <f t="shared" si="661"/>
        <v/>
      </c>
      <c r="V1028" t="str">
        <f t="shared" si="678"/>
        <v/>
      </c>
      <c r="X1028">
        <f t="shared" ref="X1028:X1041" si="681">MAX(B1028-B1027,0)</f>
        <v>0</v>
      </c>
      <c r="Y1028">
        <f t="shared" ref="Y1028:Y1041" si="682">MAX(C1028-C1027,0)</f>
        <v>0</v>
      </c>
      <c r="Z1028">
        <f t="shared" ref="Z1028:Z1041" si="683">MAX(D1028-D1027,0)</f>
        <v>0</v>
      </c>
      <c r="AA1028">
        <f t="shared" ref="AA1028:AA1041" si="684">MAX(E1028-E1027,0)</f>
        <v>0</v>
      </c>
      <c r="AB1028">
        <f t="shared" ref="AB1028:AB1041" si="685">MAX(F1028-F1027,0)</f>
        <v>0</v>
      </c>
      <c r="AC1028">
        <f t="shared" ref="AC1028:AC1041" si="686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80"/>
        <v>J</v>
      </c>
      <c r="M1029">
        <v>4</v>
      </c>
      <c r="N1029" s="6" t="str">
        <f t="shared" si="654"/>
        <v/>
      </c>
      <c r="O1029" s="7" t="str">
        <f t="shared" si="655"/>
        <v/>
      </c>
      <c r="P1029" s="7" t="str">
        <f t="shared" si="656"/>
        <v/>
      </c>
      <c r="Q1029" s="7" t="str">
        <f t="shared" si="657"/>
        <v/>
      </c>
      <c r="R1029" s="7" t="str">
        <f t="shared" si="658"/>
        <v/>
      </c>
      <c r="S1029" s="8" t="str">
        <f t="shared" si="659"/>
        <v/>
      </c>
      <c r="T1029" s="2" t="str">
        <f t="shared" si="660"/>
        <v/>
      </c>
      <c r="U1029" s="2" t="str">
        <f t="shared" si="661"/>
        <v/>
      </c>
      <c r="V1029" t="str">
        <f t="shared" si="678"/>
        <v/>
      </c>
      <c r="X1029">
        <f t="shared" si="681"/>
        <v>0</v>
      </c>
      <c r="Y1029">
        <f t="shared" si="682"/>
        <v>0</v>
      </c>
      <c r="Z1029">
        <f t="shared" si="683"/>
        <v>0</v>
      </c>
      <c r="AA1029">
        <f t="shared" si="684"/>
        <v>0</v>
      </c>
      <c r="AB1029">
        <f t="shared" si="685"/>
        <v>0</v>
      </c>
      <c r="AC1029">
        <f t="shared" si="686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80"/>
        <v>J</v>
      </c>
      <c r="M1030">
        <v>5</v>
      </c>
      <c r="N1030" s="22" t="str">
        <f t="shared" si="654"/>
        <v/>
      </c>
      <c r="O1030" s="15" t="str">
        <f t="shared" si="655"/>
        <v/>
      </c>
      <c r="P1030" s="15" t="str">
        <f t="shared" si="656"/>
        <v/>
      </c>
      <c r="Q1030" s="15" t="str">
        <f t="shared" si="657"/>
        <v/>
      </c>
      <c r="R1030" s="16" t="str">
        <f t="shared" si="658"/>
        <v>#</v>
      </c>
      <c r="S1030" s="8" t="str">
        <f t="shared" si="659"/>
        <v/>
      </c>
      <c r="T1030" s="2" t="str">
        <f t="shared" si="660"/>
        <v/>
      </c>
      <c r="U1030" s="2" t="str">
        <f t="shared" si="661"/>
        <v/>
      </c>
      <c r="V1030" t="str">
        <f t="shared" si="678"/>
        <v/>
      </c>
      <c r="X1030">
        <f t="shared" si="681"/>
        <v>0</v>
      </c>
      <c r="Y1030">
        <f t="shared" si="682"/>
        <v>0</v>
      </c>
      <c r="Z1030">
        <f t="shared" si="683"/>
        <v>0</v>
      </c>
      <c r="AA1030">
        <f t="shared" si="684"/>
        <v>0</v>
      </c>
      <c r="AB1030">
        <f t="shared" si="685"/>
        <v>1</v>
      </c>
      <c r="AC1030">
        <f t="shared" si="686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80"/>
        <v>J</v>
      </c>
      <c r="M1031">
        <v>6</v>
      </c>
      <c r="N1031" s="23" t="str">
        <f t="shared" si="654"/>
        <v/>
      </c>
      <c r="O1031" s="7" t="str">
        <f t="shared" si="655"/>
        <v/>
      </c>
      <c r="P1031" s="7" t="str">
        <f t="shared" si="656"/>
        <v/>
      </c>
      <c r="Q1031" s="7" t="str">
        <f t="shared" si="657"/>
        <v/>
      </c>
      <c r="R1031" s="17" t="str">
        <f t="shared" si="658"/>
        <v>#</v>
      </c>
      <c r="S1031" s="8" t="str">
        <f t="shared" si="659"/>
        <v/>
      </c>
      <c r="T1031" s="2" t="str">
        <f t="shared" si="660"/>
        <v/>
      </c>
      <c r="U1031" s="2" t="str">
        <f t="shared" si="661"/>
        <v/>
      </c>
      <c r="V1031" t="str">
        <f t="shared" si="678"/>
        <v/>
      </c>
      <c r="X1031">
        <f t="shared" si="681"/>
        <v>0</v>
      </c>
      <c r="Y1031">
        <f t="shared" si="682"/>
        <v>0</v>
      </c>
      <c r="Z1031">
        <f t="shared" si="683"/>
        <v>0</v>
      </c>
      <c r="AA1031">
        <f t="shared" si="684"/>
        <v>0</v>
      </c>
      <c r="AB1031">
        <f t="shared" si="685"/>
        <v>0</v>
      </c>
      <c r="AC1031">
        <f t="shared" si="686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80"/>
        <v>J</v>
      </c>
      <c r="M1032">
        <v>7</v>
      </c>
      <c r="N1032" s="23" t="str">
        <f t="shared" si="654"/>
        <v/>
      </c>
      <c r="O1032" s="7" t="str">
        <f t="shared" si="655"/>
        <v/>
      </c>
      <c r="P1032" s="7" t="str">
        <f t="shared" si="656"/>
        <v/>
      </c>
      <c r="Q1032" s="7" t="str">
        <f t="shared" si="657"/>
        <v/>
      </c>
      <c r="R1032" s="17" t="str">
        <f t="shared" si="658"/>
        <v>#</v>
      </c>
      <c r="S1032" s="8" t="str">
        <f t="shared" si="659"/>
        <v/>
      </c>
      <c r="T1032" s="2" t="str">
        <f t="shared" si="660"/>
        <v/>
      </c>
      <c r="U1032" s="2" t="str">
        <f t="shared" si="661"/>
        <v/>
      </c>
      <c r="V1032" t="str">
        <f t="shared" si="678"/>
        <v/>
      </c>
      <c r="X1032">
        <f t="shared" si="681"/>
        <v>0</v>
      </c>
      <c r="Y1032">
        <f t="shared" si="682"/>
        <v>0</v>
      </c>
      <c r="Z1032">
        <f t="shared" si="683"/>
        <v>0</v>
      </c>
      <c r="AA1032">
        <f t="shared" si="684"/>
        <v>0</v>
      </c>
      <c r="AB1032">
        <f t="shared" si="685"/>
        <v>0</v>
      </c>
      <c r="AC1032">
        <f t="shared" si="686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80"/>
        <v>J</v>
      </c>
      <c r="M1033">
        <v>8</v>
      </c>
      <c r="N1033" s="23" t="str">
        <f t="shared" si="654"/>
        <v/>
      </c>
      <c r="O1033" s="7" t="str">
        <f t="shared" si="655"/>
        <v/>
      </c>
      <c r="P1033" s="7" t="str">
        <f t="shared" si="656"/>
        <v/>
      </c>
      <c r="Q1033" s="7" t="str">
        <f t="shared" si="657"/>
        <v/>
      </c>
      <c r="R1033" s="17" t="str">
        <f t="shared" si="658"/>
        <v>#</v>
      </c>
      <c r="S1033" s="8" t="str">
        <f t="shared" si="659"/>
        <v/>
      </c>
      <c r="T1033" s="2" t="str">
        <f t="shared" si="660"/>
        <v/>
      </c>
      <c r="U1033" s="2" t="str">
        <f t="shared" si="661"/>
        <v/>
      </c>
      <c r="V1033" t="str">
        <f t="shared" si="678"/>
        <v/>
      </c>
      <c r="X1033">
        <f t="shared" si="681"/>
        <v>0</v>
      </c>
      <c r="Y1033">
        <f t="shared" si="682"/>
        <v>0</v>
      </c>
      <c r="Z1033">
        <f t="shared" si="683"/>
        <v>0</v>
      </c>
      <c r="AA1033">
        <f t="shared" si="684"/>
        <v>0</v>
      </c>
      <c r="AB1033">
        <f t="shared" si="685"/>
        <v>0</v>
      </c>
      <c r="AC1033">
        <f t="shared" si="686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80"/>
        <v>J</v>
      </c>
      <c r="M1034">
        <v>9</v>
      </c>
      <c r="N1034" s="23" t="str">
        <f t="shared" si="654"/>
        <v/>
      </c>
      <c r="O1034" s="7" t="str">
        <f t="shared" si="655"/>
        <v/>
      </c>
      <c r="P1034" s="7" t="str">
        <f t="shared" si="656"/>
        <v/>
      </c>
      <c r="Q1034" s="7" t="str">
        <f t="shared" si="657"/>
        <v/>
      </c>
      <c r="R1034" s="17" t="str">
        <f t="shared" si="658"/>
        <v>#</v>
      </c>
      <c r="S1034" s="8" t="str">
        <f t="shared" si="659"/>
        <v/>
      </c>
      <c r="T1034" s="2" t="str">
        <f t="shared" si="660"/>
        <v/>
      </c>
      <c r="U1034" s="2" t="str">
        <f t="shared" si="661"/>
        <v/>
      </c>
      <c r="V1034" t="str">
        <f t="shared" si="678"/>
        <v/>
      </c>
      <c r="X1034">
        <f t="shared" si="681"/>
        <v>0</v>
      </c>
      <c r="Y1034">
        <f t="shared" si="682"/>
        <v>0</v>
      </c>
      <c r="Z1034">
        <f t="shared" si="683"/>
        <v>0</v>
      </c>
      <c r="AA1034">
        <f t="shared" si="684"/>
        <v>0</v>
      </c>
      <c r="AB1034">
        <f t="shared" si="685"/>
        <v>0</v>
      </c>
      <c r="AC1034">
        <f t="shared" si="686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80"/>
        <v>J</v>
      </c>
      <c r="M1035">
        <v>10</v>
      </c>
      <c r="N1035" s="23" t="str">
        <f t="shared" si="654"/>
        <v/>
      </c>
      <c r="O1035" s="7" t="str">
        <f t="shared" si="655"/>
        <v/>
      </c>
      <c r="P1035" s="7" t="str">
        <f t="shared" si="656"/>
        <v/>
      </c>
      <c r="Q1035" s="7" t="str">
        <f t="shared" si="657"/>
        <v/>
      </c>
      <c r="R1035" s="17" t="str">
        <f t="shared" si="658"/>
        <v>#</v>
      </c>
      <c r="S1035" s="8" t="str">
        <f t="shared" si="659"/>
        <v/>
      </c>
      <c r="T1035" s="2" t="str">
        <f t="shared" si="660"/>
        <v/>
      </c>
      <c r="U1035" s="2" t="str">
        <f t="shared" si="661"/>
        <v/>
      </c>
      <c r="V1035" t="str">
        <f t="shared" si="678"/>
        <v/>
      </c>
      <c r="X1035">
        <f t="shared" si="681"/>
        <v>0</v>
      </c>
      <c r="Y1035">
        <f t="shared" si="682"/>
        <v>0</v>
      </c>
      <c r="Z1035">
        <f t="shared" si="683"/>
        <v>0</v>
      </c>
      <c r="AA1035">
        <f t="shared" si="684"/>
        <v>0</v>
      </c>
      <c r="AB1035">
        <f t="shared" si="685"/>
        <v>0</v>
      </c>
      <c r="AC1035">
        <f t="shared" si="686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80"/>
        <v>J</v>
      </c>
      <c r="M1036">
        <v>11</v>
      </c>
      <c r="N1036" s="23" t="str">
        <f t="shared" si="654"/>
        <v>#</v>
      </c>
      <c r="O1036" s="7" t="str">
        <f t="shared" si="655"/>
        <v/>
      </c>
      <c r="P1036" s="7" t="str">
        <f t="shared" si="656"/>
        <v/>
      </c>
      <c r="Q1036" s="7" t="str">
        <f t="shared" si="657"/>
        <v/>
      </c>
      <c r="R1036" s="17" t="str">
        <f t="shared" si="658"/>
        <v>#</v>
      </c>
      <c r="S1036" s="8" t="str">
        <f t="shared" si="659"/>
        <v/>
      </c>
      <c r="T1036" s="2" t="str">
        <f t="shared" si="660"/>
        <v/>
      </c>
      <c r="U1036" s="2" t="str">
        <f t="shared" si="661"/>
        <v/>
      </c>
      <c r="V1036" t="str">
        <f t="shared" si="678"/>
        <v/>
      </c>
      <c r="X1036">
        <f t="shared" si="681"/>
        <v>1</v>
      </c>
      <c r="Y1036">
        <f t="shared" si="682"/>
        <v>0</v>
      </c>
      <c r="Z1036">
        <f t="shared" si="683"/>
        <v>0</v>
      </c>
      <c r="AA1036">
        <f t="shared" si="684"/>
        <v>0</v>
      </c>
      <c r="AB1036">
        <f t="shared" si="685"/>
        <v>0</v>
      </c>
      <c r="AC1036">
        <f t="shared" si="686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80"/>
        <v>J</v>
      </c>
      <c r="M1037">
        <v>12</v>
      </c>
      <c r="N1037" s="23" t="str">
        <f t="shared" si="654"/>
        <v>#</v>
      </c>
      <c r="O1037" s="7" t="str">
        <f t="shared" si="655"/>
        <v/>
      </c>
      <c r="P1037" s="7" t="str">
        <f t="shared" si="656"/>
        <v/>
      </c>
      <c r="Q1037" s="7" t="str">
        <f t="shared" si="657"/>
        <v/>
      </c>
      <c r="R1037" s="17" t="str">
        <f t="shared" si="658"/>
        <v>#</v>
      </c>
      <c r="S1037" s="8" t="str">
        <f t="shared" si="659"/>
        <v/>
      </c>
      <c r="T1037" s="2" t="str">
        <f t="shared" si="660"/>
        <v/>
      </c>
      <c r="U1037" s="2" t="str">
        <f t="shared" si="661"/>
        <v/>
      </c>
      <c r="V1037" t="str">
        <f t="shared" si="678"/>
        <v/>
      </c>
      <c r="X1037">
        <f t="shared" si="681"/>
        <v>0</v>
      </c>
      <c r="Y1037">
        <f t="shared" si="682"/>
        <v>0</v>
      </c>
      <c r="Z1037">
        <f t="shared" si="683"/>
        <v>0</v>
      </c>
      <c r="AA1037">
        <f t="shared" si="684"/>
        <v>0</v>
      </c>
      <c r="AB1037">
        <f t="shared" si="685"/>
        <v>0</v>
      </c>
      <c r="AC1037">
        <f t="shared" si="686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80"/>
        <v>J</v>
      </c>
      <c r="M1038">
        <v>13</v>
      </c>
      <c r="N1038" s="6" t="str">
        <f t="shared" si="654"/>
        <v>#</v>
      </c>
      <c r="O1038" s="7" t="str">
        <f t="shared" si="655"/>
        <v>#</v>
      </c>
      <c r="P1038" s="7" t="str">
        <f t="shared" si="656"/>
        <v>#</v>
      </c>
      <c r="Q1038" s="7" t="str">
        <f t="shared" si="657"/>
        <v>#</v>
      </c>
      <c r="R1038" s="17" t="str">
        <f t="shared" si="658"/>
        <v>#</v>
      </c>
      <c r="S1038" s="8" t="str">
        <f t="shared" si="659"/>
        <v/>
      </c>
      <c r="T1038" s="2" t="str">
        <f t="shared" si="660"/>
        <v/>
      </c>
      <c r="U1038" s="2" t="str">
        <f t="shared" si="661"/>
        <v/>
      </c>
      <c r="V1038" t="str">
        <f t="shared" si="678"/>
        <v/>
      </c>
      <c r="X1038">
        <f t="shared" si="681"/>
        <v>0</v>
      </c>
      <c r="Y1038">
        <f t="shared" si="682"/>
        <v>1</v>
      </c>
      <c r="Z1038">
        <f t="shared" si="683"/>
        <v>1</v>
      </c>
      <c r="AA1038">
        <f t="shared" si="684"/>
        <v>1</v>
      </c>
      <c r="AB1038">
        <f t="shared" si="685"/>
        <v>0</v>
      </c>
      <c r="AC1038">
        <f t="shared" si="686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80"/>
        <v>J</v>
      </c>
      <c r="M1039">
        <v>14</v>
      </c>
      <c r="N1039" s="18" t="str">
        <f t="shared" si="654"/>
        <v>#</v>
      </c>
      <c r="O1039" s="19" t="str">
        <f t="shared" si="655"/>
        <v>#</v>
      </c>
      <c r="P1039" s="19" t="str">
        <f t="shared" si="656"/>
        <v>#</v>
      </c>
      <c r="Q1039" s="19" t="str">
        <f t="shared" si="657"/>
        <v>#</v>
      </c>
      <c r="R1039" s="20" t="str">
        <f t="shared" si="658"/>
        <v>#</v>
      </c>
      <c r="S1039" s="8" t="str">
        <f t="shared" si="659"/>
        <v/>
      </c>
      <c r="T1039" s="2" t="str">
        <f t="shared" si="660"/>
        <v/>
      </c>
      <c r="U1039" s="2" t="str">
        <f t="shared" si="661"/>
        <v/>
      </c>
      <c r="V1039" t="str">
        <f t="shared" si="678"/>
        <v/>
      </c>
      <c r="X1039">
        <f t="shared" si="681"/>
        <v>0</v>
      </c>
      <c r="Y1039">
        <f t="shared" si="682"/>
        <v>0</v>
      </c>
      <c r="Z1039">
        <f t="shared" si="683"/>
        <v>0</v>
      </c>
      <c r="AA1039">
        <f t="shared" si="684"/>
        <v>0</v>
      </c>
      <c r="AB1039">
        <f t="shared" si="685"/>
        <v>0</v>
      </c>
      <c r="AC1039">
        <f t="shared" si="686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80"/>
        <v>J</v>
      </c>
      <c r="M1040">
        <v>15</v>
      </c>
      <c r="N1040" s="9" t="str">
        <f t="shared" si="654"/>
        <v/>
      </c>
      <c r="O1040" s="10" t="str">
        <f t="shared" si="655"/>
        <v/>
      </c>
      <c r="P1040" s="10" t="str">
        <f t="shared" si="656"/>
        <v/>
      </c>
      <c r="Q1040" s="10" t="str">
        <f t="shared" si="657"/>
        <v/>
      </c>
      <c r="R1040" s="10" t="str">
        <f t="shared" si="658"/>
        <v/>
      </c>
      <c r="S1040" s="11" t="str">
        <f t="shared" si="659"/>
        <v/>
      </c>
      <c r="T1040" s="2" t="str">
        <f t="shared" si="660"/>
        <v/>
      </c>
      <c r="U1040" s="2" t="str">
        <f t="shared" si="661"/>
        <v/>
      </c>
      <c r="V1040" t="str">
        <f t="shared" si="678"/>
        <v/>
      </c>
      <c r="X1040">
        <f t="shared" si="681"/>
        <v>0</v>
      </c>
      <c r="Y1040">
        <f t="shared" si="682"/>
        <v>0</v>
      </c>
      <c r="Z1040">
        <f t="shared" si="683"/>
        <v>0</v>
      </c>
      <c r="AA1040">
        <f t="shared" si="684"/>
        <v>0</v>
      </c>
      <c r="AB1040">
        <f t="shared" si="685"/>
        <v>0</v>
      </c>
      <c r="AC1040">
        <f t="shared" si="686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80"/>
        <v>J</v>
      </c>
      <c r="M1041">
        <v>16</v>
      </c>
      <c r="N1041" s="12" t="str">
        <f t="shared" si="654"/>
        <v/>
      </c>
      <c r="O1041" s="13" t="str">
        <f t="shared" si="655"/>
        <v/>
      </c>
      <c r="P1041" s="13" t="str">
        <f t="shared" si="656"/>
        <v/>
      </c>
      <c r="Q1041" s="13" t="str">
        <f t="shared" si="657"/>
        <v/>
      </c>
      <c r="R1041" s="13" t="str">
        <f t="shared" si="658"/>
        <v/>
      </c>
      <c r="S1041" s="14" t="str">
        <f t="shared" si="659"/>
        <v/>
      </c>
      <c r="T1041" s="2" t="str">
        <f t="shared" si="660"/>
        <v/>
      </c>
      <c r="U1041" s="2" t="str">
        <f t="shared" si="661"/>
        <v/>
      </c>
      <c r="V1041" t="str">
        <f t="shared" si="678"/>
        <v/>
      </c>
      <c r="X1041">
        <f t="shared" si="681"/>
        <v>0</v>
      </c>
      <c r="Y1041">
        <f t="shared" si="682"/>
        <v>0</v>
      </c>
      <c r="Z1041">
        <f t="shared" si="683"/>
        <v>0</v>
      </c>
      <c r="AA1041">
        <f t="shared" si="684"/>
        <v>0</v>
      </c>
      <c r="AB1041">
        <f t="shared" si="685"/>
        <v>0</v>
      </c>
      <c r="AC1041">
        <f t="shared" si="686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54"/>
        <v/>
      </c>
      <c r="O1042" t="str">
        <f t="shared" si="655"/>
        <v/>
      </c>
      <c r="P1042" t="str">
        <f t="shared" si="656"/>
        <v/>
      </c>
      <c r="Q1042" t="str">
        <f t="shared" si="657"/>
        <v/>
      </c>
      <c r="R1042" t="str">
        <f t="shared" si="658"/>
        <v/>
      </c>
      <c r="S1042" t="str">
        <f t="shared" si="659"/>
        <v/>
      </c>
      <c r="T1042" s="2" t="str">
        <f t="shared" si="660"/>
        <v/>
      </c>
      <c r="U1042" s="2" t="str">
        <f t="shared" si="661"/>
        <v/>
      </c>
      <c r="V1042" t="str">
        <f t="shared" si="678"/>
        <v/>
      </c>
      <c r="W1042">
        <f>SUM(B1044:G1057)</f>
        <v>25</v>
      </c>
      <c r="AD1042">
        <f t="shared" ref="AD1042" si="687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8">L1042</f>
        <v>K</v>
      </c>
      <c r="M1043">
        <v>2</v>
      </c>
      <c r="N1043" t="str">
        <f t="shared" si="654"/>
        <v/>
      </c>
      <c r="O1043" t="str">
        <f t="shared" si="655"/>
        <v/>
      </c>
      <c r="P1043" t="str">
        <f t="shared" si="656"/>
        <v/>
      </c>
      <c r="Q1043" t="str">
        <f t="shared" si="657"/>
        <v/>
      </c>
      <c r="R1043" t="str">
        <f t="shared" si="658"/>
        <v/>
      </c>
      <c r="S1043" t="str">
        <f t="shared" si="659"/>
        <v/>
      </c>
      <c r="T1043" s="2" t="str">
        <f t="shared" si="660"/>
        <v/>
      </c>
      <c r="U1043" s="2" t="str">
        <f t="shared" si="661"/>
        <v/>
      </c>
      <c r="V1043" t="str">
        <f t="shared" si="678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8"/>
        <v>K</v>
      </c>
      <c r="M1044">
        <v>3</v>
      </c>
      <c r="N1044" s="3" t="str">
        <f t="shared" si="654"/>
        <v/>
      </c>
      <c r="O1044" s="4" t="str">
        <f t="shared" si="655"/>
        <v/>
      </c>
      <c r="P1044" s="4" t="str">
        <f t="shared" si="656"/>
        <v/>
      </c>
      <c r="Q1044" s="4" t="str">
        <f t="shared" si="657"/>
        <v/>
      </c>
      <c r="R1044" s="4" t="str">
        <f t="shared" si="658"/>
        <v/>
      </c>
      <c r="S1044" s="5" t="str">
        <f t="shared" si="659"/>
        <v/>
      </c>
      <c r="T1044" s="2" t="str">
        <f t="shared" si="660"/>
        <v/>
      </c>
      <c r="U1044" s="2" t="str">
        <f t="shared" si="661"/>
        <v/>
      </c>
      <c r="V1044" t="str">
        <f t="shared" si="678"/>
        <v/>
      </c>
      <c r="X1044">
        <f t="shared" ref="X1044:X1057" si="689">MAX(B1044-B1043,0)</f>
        <v>0</v>
      </c>
      <c r="Y1044">
        <f t="shared" ref="Y1044:Y1057" si="690">MAX(C1044-C1043,0)</f>
        <v>0</v>
      </c>
      <c r="Z1044">
        <f t="shared" ref="Z1044:Z1057" si="691">MAX(D1044-D1043,0)</f>
        <v>0</v>
      </c>
      <c r="AA1044">
        <f t="shared" ref="AA1044:AA1057" si="692">MAX(E1044-E1043,0)</f>
        <v>0</v>
      </c>
      <c r="AB1044">
        <f t="shared" ref="AB1044:AB1057" si="693">MAX(F1044-F1043,0)</f>
        <v>0</v>
      </c>
      <c r="AC1044">
        <f t="shared" ref="AC1044:AC1057" si="694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8"/>
        <v>K</v>
      </c>
      <c r="M1045">
        <v>4</v>
      </c>
      <c r="N1045" s="6" t="str">
        <f t="shared" si="654"/>
        <v/>
      </c>
      <c r="O1045" s="7" t="str">
        <f t="shared" si="655"/>
        <v/>
      </c>
      <c r="P1045" s="7" t="str">
        <f t="shared" si="656"/>
        <v/>
      </c>
      <c r="Q1045" s="7" t="str">
        <f t="shared" si="657"/>
        <v/>
      </c>
      <c r="R1045" s="7" t="str">
        <f t="shared" si="658"/>
        <v/>
      </c>
      <c r="S1045" s="8" t="str">
        <f t="shared" si="659"/>
        <v/>
      </c>
      <c r="T1045" s="2" t="str">
        <f t="shared" si="660"/>
        <v/>
      </c>
      <c r="U1045" s="2" t="str">
        <f t="shared" si="661"/>
        <v/>
      </c>
      <c r="V1045" t="str">
        <f t="shared" si="678"/>
        <v/>
      </c>
      <c r="X1045">
        <f t="shared" si="689"/>
        <v>0</v>
      </c>
      <c r="Y1045">
        <f t="shared" si="690"/>
        <v>0</v>
      </c>
      <c r="Z1045">
        <f t="shared" si="691"/>
        <v>0</v>
      </c>
      <c r="AA1045">
        <f t="shared" si="692"/>
        <v>0</v>
      </c>
      <c r="AB1045">
        <f t="shared" si="693"/>
        <v>0</v>
      </c>
      <c r="AC1045">
        <f t="shared" si="694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8"/>
        <v>K</v>
      </c>
      <c r="M1046">
        <v>5</v>
      </c>
      <c r="N1046" s="22" t="str">
        <f t="shared" si="654"/>
        <v>#</v>
      </c>
      <c r="O1046" s="15" t="str">
        <f t="shared" si="655"/>
        <v/>
      </c>
      <c r="P1046" s="15" t="str">
        <f t="shared" si="656"/>
        <v/>
      </c>
      <c r="Q1046" s="15" t="str">
        <f t="shared" si="657"/>
        <v/>
      </c>
      <c r="R1046" s="16" t="str">
        <f t="shared" si="658"/>
        <v/>
      </c>
      <c r="S1046" s="8" t="str">
        <f t="shared" si="659"/>
        <v/>
      </c>
      <c r="T1046" s="2" t="str">
        <f t="shared" si="660"/>
        <v/>
      </c>
      <c r="U1046" s="2" t="str">
        <f t="shared" si="661"/>
        <v/>
      </c>
      <c r="V1046" t="str">
        <f t="shared" si="678"/>
        <v/>
      </c>
      <c r="X1046">
        <f t="shared" si="689"/>
        <v>1</v>
      </c>
      <c r="Y1046">
        <f t="shared" si="690"/>
        <v>0</v>
      </c>
      <c r="Z1046">
        <f t="shared" si="691"/>
        <v>0</v>
      </c>
      <c r="AA1046">
        <f t="shared" si="692"/>
        <v>0</v>
      </c>
      <c r="AB1046">
        <f t="shared" si="693"/>
        <v>0</v>
      </c>
      <c r="AC1046">
        <f t="shared" si="694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8"/>
        <v>K</v>
      </c>
      <c r="M1047">
        <v>6</v>
      </c>
      <c r="N1047" s="23" t="str">
        <f t="shared" si="654"/>
        <v>#</v>
      </c>
      <c r="O1047" s="7" t="str">
        <f t="shared" si="655"/>
        <v/>
      </c>
      <c r="P1047" s="7" t="str">
        <f t="shared" si="656"/>
        <v/>
      </c>
      <c r="Q1047" s="7" t="str">
        <f t="shared" si="657"/>
        <v/>
      </c>
      <c r="R1047" s="17" t="str">
        <f t="shared" si="658"/>
        <v>#</v>
      </c>
      <c r="S1047" s="8" t="str">
        <f t="shared" si="659"/>
        <v/>
      </c>
      <c r="T1047" s="2" t="str">
        <f t="shared" si="660"/>
        <v/>
      </c>
      <c r="U1047" s="2" t="str">
        <f t="shared" si="661"/>
        <v/>
      </c>
      <c r="V1047" t="str">
        <f t="shared" si="678"/>
        <v/>
      </c>
      <c r="X1047">
        <f t="shared" si="689"/>
        <v>0</v>
      </c>
      <c r="Y1047">
        <f t="shared" si="690"/>
        <v>0</v>
      </c>
      <c r="Z1047">
        <f t="shared" si="691"/>
        <v>0</v>
      </c>
      <c r="AA1047">
        <f t="shared" si="692"/>
        <v>0</v>
      </c>
      <c r="AB1047">
        <f t="shared" si="693"/>
        <v>1</v>
      </c>
      <c r="AC1047">
        <f t="shared" si="694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8"/>
        <v>K</v>
      </c>
      <c r="M1048">
        <v>7</v>
      </c>
      <c r="N1048" s="23" t="str">
        <f t="shared" si="654"/>
        <v>#</v>
      </c>
      <c r="O1048" s="7" t="str">
        <f t="shared" si="655"/>
        <v/>
      </c>
      <c r="P1048" s="7" t="str">
        <f t="shared" si="656"/>
        <v/>
      </c>
      <c r="Q1048" s="7" t="str">
        <f t="shared" si="657"/>
        <v>#</v>
      </c>
      <c r="R1048" s="17" t="str">
        <f t="shared" si="658"/>
        <v>#</v>
      </c>
      <c r="S1048" s="8" t="str">
        <f t="shared" si="659"/>
        <v/>
      </c>
      <c r="T1048" s="2" t="str">
        <f t="shared" si="660"/>
        <v/>
      </c>
      <c r="U1048" s="2" t="str">
        <f t="shared" si="661"/>
        <v/>
      </c>
      <c r="V1048" t="str">
        <f t="shared" si="678"/>
        <v/>
      </c>
      <c r="X1048">
        <f t="shared" si="689"/>
        <v>0</v>
      </c>
      <c r="Y1048">
        <f t="shared" si="690"/>
        <v>0</v>
      </c>
      <c r="Z1048">
        <f t="shared" si="691"/>
        <v>0</v>
      </c>
      <c r="AA1048">
        <f t="shared" si="692"/>
        <v>1</v>
      </c>
      <c r="AB1048">
        <f t="shared" si="693"/>
        <v>0</v>
      </c>
      <c r="AC1048">
        <f t="shared" si="694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8"/>
        <v>K</v>
      </c>
      <c r="M1049">
        <v>8</v>
      </c>
      <c r="N1049" s="23" t="str">
        <f t="shared" si="654"/>
        <v>#</v>
      </c>
      <c r="O1049" s="7" t="str">
        <f t="shared" si="655"/>
        <v/>
      </c>
      <c r="P1049" s="7" t="str">
        <f t="shared" si="656"/>
        <v/>
      </c>
      <c r="Q1049" s="7" t="str">
        <f t="shared" si="657"/>
        <v>#</v>
      </c>
      <c r="R1049" s="17" t="str">
        <f t="shared" si="658"/>
        <v>#</v>
      </c>
      <c r="S1049" s="8" t="str">
        <f t="shared" si="659"/>
        <v/>
      </c>
      <c r="T1049" s="2" t="str">
        <f t="shared" si="660"/>
        <v/>
      </c>
      <c r="U1049" s="2" t="str">
        <f t="shared" si="661"/>
        <v/>
      </c>
      <c r="V1049" t="str">
        <f t="shared" si="678"/>
        <v/>
      </c>
      <c r="X1049">
        <f t="shared" si="689"/>
        <v>0</v>
      </c>
      <c r="Y1049">
        <f t="shared" si="690"/>
        <v>0</v>
      </c>
      <c r="Z1049">
        <f t="shared" si="691"/>
        <v>0</v>
      </c>
      <c r="AA1049">
        <f t="shared" si="692"/>
        <v>0</v>
      </c>
      <c r="AB1049">
        <f t="shared" si="693"/>
        <v>0</v>
      </c>
      <c r="AC1049">
        <f t="shared" si="694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8"/>
        <v>K</v>
      </c>
      <c r="M1050">
        <v>9</v>
      </c>
      <c r="N1050" s="23" t="str">
        <f t="shared" si="654"/>
        <v>#</v>
      </c>
      <c r="O1050" s="7" t="str">
        <f t="shared" si="655"/>
        <v>#</v>
      </c>
      <c r="P1050" s="7" t="str">
        <f t="shared" si="656"/>
        <v>#</v>
      </c>
      <c r="Q1050" s="7" t="str">
        <f t="shared" si="657"/>
        <v/>
      </c>
      <c r="R1050" s="17" t="str">
        <f t="shared" si="658"/>
        <v/>
      </c>
      <c r="S1050" s="8" t="str">
        <f t="shared" si="659"/>
        <v/>
      </c>
      <c r="T1050" s="2" t="str">
        <f t="shared" si="660"/>
        <v/>
      </c>
      <c r="U1050" s="2" t="str">
        <f t="shared" si="661"/>
        <v/>
      </c>
      <c r="V1050" t="str">
        <f t="shared" si="678"/>
        <v/>
      </c>
      <c r="X1050">
        <f t="shared" si="689"/>
        <v>0</v>
      </c>
      <c r="Y1050">
        <f t="shared" si="690"/>
        <v>1</v>
      </c>
      <c r="Z1050">
        <f t="shared" si="691"/>
        <v>1</v>
      </c>
      <c r="AA1050">
        <f t="shared" si="692"/>
        <v>0</v>
      </c>
      <c r="AB1050">
        <f t="shared" si="693"/>
        <v>0</v>
      </c>
      <c r="AC1050">
        <f t="shared" si="694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8"/>
        <v>K</v>
      </c>
      <c r="M1051">
        <v>10</v>
      </c>
      <c r="N1051" s="23" t="str">
        <f t="shared" si="654"/>
        <v>#</v>
      </c>
      <c r="O1051" s="7" t="str">
        <f t="shared" si="655"/>
        <v>#</v>
      </c>
      <c r="P1051" s="7" t="str">
        <f t="shared" si="656"/>
        <v>#</v>
      </c>
      <c r="Q1051" s="7" t="str">
        <f t="shared" si="657"/>
        <v/>
      </c>
      <c r="R1051" s="17" t="str">
        <f t="shared" si="658"/>
        <v/>
      </c>
      <c r="S1051" s="8" t="str">
        <f t="shared" si="659"/>
        <v/>
      </c>
      <c r="T1051" s="2" t="str">
        <f t="shared" si="660"/>
        <v/>
      </c>
      <c r="U1051" s="2" t="str">
        <f t="shared" si="661"/>
        <v/>
      </c>
      <c r="V1051" t="str">
        <f t="shared" si="678"/>
        <v/>
      </c>
      <c r="X1051">
        <f t="shared" si="689"/>
        <v>0</v>
      </c>
      <c r="Y1051">
        <f t="shared" si="690"/>
        <v>0</v>
      </c>
      <c r="Z1051">
        <f t="shared" si="691"/>
        <v>0</v>
      </c>
      <c r="AA1051">
        <f t="shared" si="692"/>
        <v>0</v>
      </c>
      <c r="AB1051">
        <f t="shared" si="693"/>
        <v>0</v>
      </c>
      <c r="AC1051">
        <f t="shared" si="694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8"/>
        <v>K</v>
      </c>
      <c r="M1052">
        <v>11</v>
      </c>
      <c r="N1052" s="23" t="str">
        <f t="shared" si="654"/>
        <v>#</v>
      </c>
      <c r="O1052" s="7" t="str">
        <f t="shared" si="655"/>
        <v/>
      </c>
      <c r="P1052" s="7" t="str">
        <f t="shared" si="656"/>
        <v>#</v>
      </c>
      <c r="Q1052" s="7" t="str">
        <f t="shared" si="657"/>
        <v>#</v>
      </c>
      <c r="R1052" s="17" t="str">
        <f t="shared" si="658"/>
        <v/>
      </c>
      <c r="S1052" s="8" t="str">
        <f t="shared" si="659"/>
        <v/>
      </c>
      <c r="T1052" s="2" t="str">
        <f t="shared" si="660"/>
        <v/>
      </c>
      <c r="U1052" s="2" t="str">
        <f t="shared" si="661"/>
        <v/>
      </c>
      <c r="V1052" t="str">
        <f t="shared" si="678"/>
        <v/>
      </c>
      <c r="X1052">
        <f t="shared" si="689"/>
        <v>0</v>
      </c>
      <c r="Y1052">
        <f t="shared" si="690"/>
        <v>0</v>
      </c>
      <c r="Z1052">
        <f t="shared" si="691"/>
        <v>0</v>
      </c>
      <c r="AA1052">
        <f t="shared" si="692"/>
        <v>1</v>
      </c>
      <c r="AB1052">
        <f t="shared" si="693"/>
        <v>0</v>
      </c>
      <c r="AC1052">
        <f t="shared" si="694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8"/>
        <v>K</v>
      </c>
      <c r="M1053">
        <v>12</v>
      </c>
      <c r="N1053" s="23" t="str">
        <f t="shared" si="654"/>
        <v>#</v>
      </c>
      <c r="O1053" s="7" t="str">
        <f t="shared" si="655"/>
        <v/>
      </c>
      <c r="P1053" s="7" t="str">
        <f t="shared" si="656"/>
        <v/>
      </c>
      <c r="Q1053" s="7" t="str">
        <f t="shared" si="657"/>
        <v>#</v>
      </c>
      <c r="R1053" s="17" t="str">
        <f t="shared" si="658"/>
        <v>#</v>
      </c>
      <c r="S1053" s="8" t="str">
        <f t="shared" si="659"/>
        <v/>
      </c>
      <c r="T1053" s="2" t="str">
        <f t="shared" si="660"/>
        <v/>
      </c>
      <c r="U1053" s="2" t="str">
        <f t="shared" si="661"/>
        <v/>
      </c>
      <c r="V1053" t="str">
        <f t="shared" si="678"/>
        <v/>
      </c>
      <c r="X1053">
        <f t="shared" si="689"/>
        <v>0</v>
      </c>
      <c r="Y1053">
        <f t="shared" si="690"/>
        <v>0</v>
      </c>
      <c r="Z1053">
        <f t="shared" si="691"/>
        <v>0</v>
      </c>
      <c r="AA1053">
        <f t="shared" si="692"/>
        <v>0</v>
      </c>
      <c r="AB1053">
        <f t="shared" si="693"/>
        <v>1</v>
      </c>
      <c r="AC1053">
        <f t="shared" si="694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8"/>
        <v>K</v>
      </c>
      <c r="M1054">
        <v>13</v>
      </c>
      <c r="N1054" s="6" t="str">
        <f t="shared" si="654"/>
        <v>#</v>
      </c>
      <c r="O1054" s="7" t="str">
        <f t="shared" si="655"/>
        <v/>
      </c>
      <c r="P1054" s="7" t="str">
        <f t="shared" si="656"/>
        <v/>
      </c>
      <c r="Q1054" s="7" t="str">
        <f t="shared" si="657"/>
        <v/>
      </c>
      <c r="R1054" s="17" t="str">
        <f t="shared" si="658"/>
        <v>#</v>
      </c>
      <c r="S1054" s="8" t="str">
        <f t="shared" si="659"/>
        <v/>
      </c>
      <c r="T1054" s="2" t="str">
        <f t="shared" si="660"/>
        <v/>
      </c>
      <c r="U1054" s="2" t="str">
        <f t="shared" si="661"/>
        <v/>
      </c>
      <c r="V1054" t="str">
        <f t="shared" si="678"/>
        <v/>
      </c>
      <c r="X1054">
        <f t="shared" si="689"/>
        <v>0</v>
      </c>
      <c r="Y1054">
        <f t="shared" si="690"/>
        <v>0</v>
      </c>
      <c r="Z1054">
        <f t="shared" si="691"/>
        <v>0</v>
      </c>
      <c r="AA1054">
        <f t="shared" si="692"/>
        <v>0</v>
      </c>
      <c r="AB1054">
        <f t="shared" si="693"/>
        <v>0</v>
      </c>
      <c r="AC1054">
        <f t="shared" si="694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8"/>
        <v>K</v>
      </c>
      <c r="M1055">
        <v>14</v>
      </c>
      <c r="N1055" s="18" t="str">
        <f t="shared" si="654"/>
        <v>#</v>
      </c>
      <c r="O1055" s="19" t="str">
        <f t="shared" si="655"/>
        <v/>
      </c>
      <c r="P1055" s="19" t="str">
        <f t="shared" si="656"/>
        <v/>
      </c>
      <c r="Q1055" s="19" t="str">
        <f t="shared" si="657"/>
        <v/>
      </c>
      <c r="R1055" s="20" t="str">
        <f t="shared" si="658"/>
        <v>#</v>
      </c>
      <c r="S1055" s="8" t="str">
        <f t="shared" si="659"/>
        <v/>
      </c>
      <c r="T1055" s="2" t="str">
        <f t="shared" si="660"/>
        <v/>
      </c>
      <c r="U1055" s="2" t="str">
        <f t="shared" si="661"/>
        <v/>
      </c>
      <c r="V1055" t="str">
        <f t="shared" si="678"/>
        <v/>
      </c>
      <c r="X1055">
        <f t="shared" si="689"/>
        <v>0</v>
      </c>
      <c r="Y1055">
        <f t="shared" si="690"/>
        <v>0</v>
      </c>
      <c r="Z1055">
        <f t="shared" si="691"/>
        <v>0</v>
      </c>
      <c r="AA1055">
        <f t="shared" si="692"/>
        <v>0</v>
      </c>
      <c r="AB1055">
        <f t="shared" si="693"/>
        <v>0</v>
      </c>
      <c r="AC1055">
        <f t="shared" si="694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8"/>
        <v>K</v>
      </c>
      <c r="M1056">
        <v>15</v>
      </c>
      <c r="N1056" s="9" t="str">
        <f t="shared" si="654"/>
        <v/>
      </c>
      <c r="O1056" s="10" t="str">
        <f t="shared" si="655"/>
        <v/>
      </c>
      <c r="P1056" s="10" t="str">
        <f t="shared" si="656"/>
        <v/>
      </c>
      <c r="Q1056" s="10" t="str">
        <f t="shared" si="657"/>
        <v/>
      </c>
      <c r="R1056" s="10" t="str">
        <f t="shared" si="658"/>
        <v/>
      </c>
      <c r="S1056" s="11" t="str">
        <f t="shared" si="659"/>
        <v/>
      </c>
      <c r="T1056" s="2" t="str">
        <f t="shared" si="660"/>
        <v/>
      </c>
      <c r="U1056" s="2" t="str">
        <f t="shared" si="661"/>
        <v/>
      </c>
      <c r="V1056" t="str">
        <f t="shared" si="678"/>
        <v/>
      </c>
      <c r="X1056">
        <f t="shared" si="689"/>
        <v>0</v>
      </c>
      <c r="Y1056">
        <f t="shared" si="690"/>
        <v>0</v>
      </c>
      <c r="Z1056">
        <f t="shared" si="691"/>
        <v>0</v>
      </c>
      <c r="AA1056">
        <f t="shared" si="692"/>
        <v>0</v>
      </c>
      <c r="AB1056">
        <f t="shared" si="693"/>
        <v>0</v>
      </c>
      <c r="AC1056">
        <f t="shared" si="694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8"/>
        <v>K</v>
      </c>
      <c r="M1057">
        <v>16</v>
      </c>
      <c r="N1057" s="12" t="str">
        <f t="shared" si="654"/>
        <v/>
      </c>
      <c r="O1057" s="13" t="str">
        <f t="shared" si="655"/>
        <v/>
      </c>
      <c r="P1057" s="13" t="str">
        <f t="shared" si="656"/>
        <v/>
      </c>
      <c r="Q1057" s="13" t="str">
        <f t="shared" si="657"/>
        <v/>
      </c>
      <c r="R1057" s="13" t="str">
        <f t="shared" si="658"/>
        <v/>
      </c>
      <c r="S1057" s="14" t="str">
        <f t="shared" si="659"/>
        <v/>
      </c>
      <c r="T1057" s="2" t="str">
        <f t="shared" si="660"/>
        <v/>
      </c>
      <c r="U1057" s="2" t="str">
        <f t="shared" si="661"/>
        <v/>
      </c>
      <c r="V1057" t="str">
        <f t="shared" si="678"/>
        <v/>
      </c>
      <c r="X1057">
        <f t="shared" si="689"/>
        <v>0</v>
      </c>
      <c r="Y1057">
        <f t="shared" si="690"/>
        <v>0</v>
      </c>
      <c r="Z1057">
        <f t="shared" si="691"/>
        <v>0</v>
      </c>
      <c r="AA1057">
        <f t="shared" si="692"/>
        <v>0</v>
      </c>
      <c r="AB1057">
        <f t="shared" si="693"/>
        <v>0</v>
      </c>
      <c r="AC1057">
        <f t="shared" si="694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95">IF(B1058&gt;0,"#","")</f>
        <v/>
      </c>
      <c r="O1058" t="str">
        <f t="shared" ref="O1058:O1121" si="696">IF(C1058&gt;0,"#","")</f>
        <v/>
      </c>
      <c r="P1058" t="str">
        <f t="shared" ref="P1058:P1121" si="697">IF(D1058&gt;0,"#","")</f>
        <v/>
      </c>
      <c r="Q1058" t="str">
        <f t="shared" ref="Q1058:Q1121" si="698">IF(E1058&gt;0,"#","")</f>
        <v/>
      </c>
      <c r="R1058" t="str">
        <f t="shared" ref="R1058:R1121" si="699">IF(F1058&gt;0,"#","")</f>
        <v/>
      </c>
      <c r="S1058" t="str">
        <f t="shared" ref="S1058:S1121" si="700">IF(G1058&gt;0,"#","")</f>
        <v/>
      </c>
      <c r="T1058" s="2" t="str">
        <f t="shared" ref="T1058:T1121" si="701">IF(H1058&gt;0,"#","")</f>
        <v/>
      </c>
      <c r="U1058" s="2" t="str">
        <f t="shared" ref="U1058:U1121" si="702">IF(I1058&gt;0,"#","")</f>
        <v/>
      </c>
      <c r="V1058" t="str">
        <f t="shared" si="678"/>
        <v/>
      </c>
      <c r="W1058">
        <f>SUM(B1060:G1073)</f>
        <v>18</v>
      </c>
      <c r="AD1058">
        <f t="shared" ref="AD1058" si="703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704">L1058</f>
        <v>L</v>
      </c>
      <c r="M1059">
        <v>2</v>
      </c>
      <c r="N1059" t="str">
        <f t="shared" si="695"/>
        <v/>
      </c>
      <c r="O1059" t="str">
        <f t="shared" si="696"/>
        <v/>
      </c>
      <c r="P1059" t="str">
        <f t="shared" si="697"/>
        <v/>
      </c>
      <c r="Q1059" t="str">
        <f t="shared" si="698"/>
        <v/>
      </c>
      <c r="R1059" t="str">
        <f t="shared" si="699"/>
        <v/>
      </c>
      <c r="S1059" t="str">
        <f t="shared" si="700"/>
        <v/>
      </c>
      <c r="T1059" s="2" t="str">
        <f t="shared" si="701"/>
        <v/>
      </c>
      <c r="U1059" s="2" t="str">
        <f t="shared" si="702"/>
        <v/>
      </c>
      <c r="V1059" t="str">
        <f t="shared" si="678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704"/>
        <v>L</v>
      </c>
      <c r="M1060">
        <v>3</v>
      </c>
      <c r="N1060" s="3" t="str">
        <f t="shared" si="695"/>
        <v/>
      </c>
      <c r="O1060" s="4" t="str">
        <f t="shared" si="696"/>
        <v/>
      </c>
      <c r="P1060" s="4" t="str">
        <f t="shared" si="697"/>
        <v/>
      </c>
      <c r="Q1060" s="4" t="str">
        <f t="shared" si="698"/>
        <v/>
      </c>
      <c r="R1060" s="4" t="str">
        <f t="shared" si="699"/>
        <v/>
      </c>
      <c r="S1060" s="5" t="str">
        <f t="shared" si="700"/>
        <v/>
      </c>
      <c r="T1060" s="2" t="str">
        <f t="shared" si="701"/>
        <v/>
      </c>
      <c r="U1060" s="2" t="str">
        <f t="shared" si="702"/>
        <v/>
      </c>
      <c r="V1060" t="str">
        <f t="shared" si="678"/>
        <v/>
      </c>
      <c r="X1060">
        <f t="shared" ref="X1060:X1073" si="705">MAX(B1060-B1059,0)</f>
        <v>0</v>
      </c>
      <c r="Y1060">
        <f t="shared" ref="Y1060:Y1073" si="706">MAX(C1060-C1059,0)</f>
        <v>0</v>
      </c>
      <c r="Z1060">
        <f t="shared" ref="Z1060:Z1073" si="707">MAX(D1060-D1059,0)</f>
        <v>0</v>
      </c>
      <c r="AA1060">
        <f t="shared" ref="AA1060:AA1073" si="708">MAX(E1060-E1059,0)</f>
        <v>0</v>
      </c>
      <c r="AB1060">
        <f t="shared" ref="AB1060:AB1073" si="709">MAX(F1060-F1059,0)</f>
        <v>0</v>
      </c>
      <c r="AC1060">
        <f t="shared" ref="AC1060:AC1073" si="710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704"/>
        <v>L</v>
      </c>
      <c r="M1061">
        <v>4</v>
      </c>
      <c r="N1061" s="6" t="str">
        <f t="shared" si="695"/>
        <v/>
      </c>
      <c r="O1061" s="7" t="str">
        <f t="shared" si="696"/>
        <v/>
      </c>
      <c r="P1061" s="7" t="str">
        <f t="shared" si="697"/>
        <v/>
      </c>
      <c r="Q1061" s="7" t="str">
        <f t="shared" si="698"/>
        <v/>
      </c>
      <c r="R1061" s="7" t="str">
        <f t="shared" si="699"/>
        <v/>
      </c>
      <c r="S1061" s="8" t="str">
        <f t="shared" si="700"/>
        <v/>
      </c>
      <c r="T1061" s="2" t="str">
        <f t="shared" si="701"/>
        <v/>
      </c>
      <c r="U1061" s="2" t="str">
        <f t="shared" si="702"/>
        <v/>
      </c>
      <c r="V1061" t="str">
        <f t="shared" si="678"/>
        <v/>
      </c>
      <c r="X1061">
        <f t="shared" si="705"/>
        <v>0</v>
      </c>
      <c r="Y1061">
        <f t="shared" si="706"/>
        <v>0</v>
      </c>
      <c r="Z1061">
        <f t="shared" si="707"/>
        <v>0</v>
      </c>
      <c r="AA1061">
        <f t="shared" si="708"/>
        <v>0</v>
      </c>
      <c r="AB1061">
        <f t="shared" si="709"/>
        <v>0</v>
      </c>
      <c r="AC1061">
        <f t="shared" si="710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704"/>
        <v>L</v>
      </c>
      <c r="M1062">
        <v>5</v>
      </c>
      <c r="N1062" s="22" t="str">
        <f t="shared" si="695"/>
        <v>#</v>
      </c>
      <c r="O1062" s="15" t="str">
        <f t="shared" si="696"/>
        <v/>
      </c>
      <c r="P1062" s="15" t="str">
        <f t="shared" si="697"/>
        <v/>
      </c>
      <c r="Q1062" s="15" t="str">
        <f t="shared" si="698"/>
        <v/>
      </c>
      <c r="R1062" s="16" t="str">
        <f t="shared" si="699"/>
        <v/>
      </c>
      <c r="S1062" s="8" t="str">
        <f t="shared" si="700"/>
        <v/>
      </c>
      <c r="T1062" s="2" t="str">
        <f t="shared" si="701"/>
        <v/>
      </c>
      <c r="U1062" s="2" t="str">
        <f t="shared" si="702"/>
        <v/>
      </c>
      <c r="V1062" t="str">
        <f t="shared" si="678"/>
        <v/>
      </c>
      <c r="X1062">
        <f t="shared" si="705"/>
        <v>1</v>
      </c>
      <c r="Y1062">
        <f t="shared" si="706"/>
        <v>0</v>
      </c>
      <c r="Z1062">
        <f t="shared" si="707"/>
        <v>0</v>
      </c>
      <c r="AA1062">
        <f t="shared" si="708"/>
        <v>0</v>
      </c>
      <c r="AB1062">
        <f t="shared" si="709"/>
        <v>0</v>
      </c>
      <c r="AC1062">
        <f t="shared" si="710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704"/>
        <v>L</v>
      </c>
      <c r="M1063">
        <v>6</v>
      </c>
      <c r="N1063" s="23" t="str">
        <f t="shared" si="695"/>
        <v>#</v>
      </c>
      <c r="O1063" s="7" t="str">
        <f t="shared" si="696"/>
        <v/>
      </c>
      <c r="P1063" s="7" t="str">
        <f t="shared" si="697"/>
        <v/>
      </c>
      <c r="Q1063" s="7" t="str">
        <f t="shared" si="698"/>
        <v/>
      </c>
      <c r="R1063" s="17" t="str">
        <f t="shared" si="699"/>
        <v/>
      </c>
      <c r="S1063" s="8" t="str">
        <f t="shared" si="700"/>
        <v/>
      </c>
      <c r="T1063" s="2" t="str">
        <f t="shared" si="701"/>
        <v/>
      </c>
      <c r="U1063" s="2" t="str">
        <f t="shared" si="702"/>
        <v/>
      </c>
      <c r="V1063" t="str">
        <f t="shared" si="678"/>
        <v/>
      </c>
      <c r="X1063">
        <f t="shared" si="705"/>
        <v>0</v>
      </c>
      <c r="Y1063">
        <f t="shared" si="706"/>
        <v>0</v>
      </c>
      <c r="Z1063">
        <f t="shared" si="707"/>
        <v>0</v>
      </c>
      <c r="AA1063">
        <f t="shared" si="708"/>
        <v>0</v>
      </c>
      <c r="AB1063">
        <f t="shared" si="709"/>
        <v>0</v>
      </c>
      <c r="AC1063">
        <f t="shared" si="710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704"/>
        <v>L</v>
      </c>
      <c r="M1064">
        <v>7</v>
      </c>
      <c r="N1064" s="23" t="str">
        <f t="shared" si="695"/>
        <v>#</v>
      </c>
      <c r="O1064" s="7" t="str">
        <f t="shared" si="696"/>
        <v/>
      </c>
      <c r="P1064" s="7" t="str">
        <f t="shared" si="697"/>
        <v/>
      </c>
      <c r="Q1064" s="7" t="str">
        <f t="shared" si="698"/>
        <v/>
      </c>
      <c r="R1064" s="17" t="str">
        <f t="shared" si="699"/>
        <v/>
      </c>
      <c r="S1064" s="8" t="str">
        <f t="shared" si="700"/>
        <v/>
      </c>
      <c r="T1064" s="2" t="str">
        <f t="shared" si="701"/>
        <v/>
      </c>
      <c r="U1064" s="2" t="str">
        <f t="shared" si="702"/>
        <v/>
      </c>
      <c r="V1064" t="str">
        <f t="shared" si="678"/>
        <v/>
      </c>
      <c r="X1064">
        <f t="shared" si="705"/>
        <v>0</v>
      </c>
      <c r="Y1064">
        <f t="shared" si="706"/>
        <v>0</v>
      </c>
      <c r="Z1064">
        <f t="shared" si="707"/>
        <v>0</v>
      </c>
      <c r="AA1064">
        <f t="shared" si="708"/>
        <v>0</v>
      </c>
      <c r="AB1064">
        <f t="shared" si="709"/>
        <v>0</v>
      </c>
      <c r="AC1064">
        <f t="shared" si="710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704"/>
        <v>L</v>
      </c>
      <c r="M1065">
        <v>8</v>
      </c>
      <c r="N1065" s="23" t="str">
        <f t="shared" si="695"/>
        <v>#</v>
      </c>
      <c r="O1065" s="7" t="str">
        <f t="shared" si="696"/>
        <v/>
      </c>
      <c r="P1065" s="7" t="str">
        <f t="shared" si="697"/>
        <v/>
      </c>
      <c r="Q1065" s="7" t="str">
        <f t="shared" si="698"/>
        <v/>
      </c>
      <c r="R1065" s="17" t="str">
        <f t="shared" si="699"/>
        <v/>
      </c>
      <c r="S1065" s="8" t="str">
        <f t="shared" si="700"/>
        <v/>
      </c>
      <c r="T1065" s="2" t="str">
        <f t="shared" si="701"/>
        <v/>
      </c>
      <c r="U1065" s="2" t="str">
        <f t="shared" si="702"/>
        <v/>
      </c>
      <c r="V1065" t="str">
        <f t="shared" si="678"/>
        <v/>
      </c>
      <c r="X1065">
        <f t="shared" si="705"/>
        <v>0</v>
      </c>
      <c r="Y1065">
        <f t="shared" si="706"/>
        <v>0</v>
      </c>
      <c r="Z1065">
        <f t="shared" si="707"/>
        <v>0</v>
      </c>
      <c r="AA1065">
        <f t="shared" si="708"/>
        <v>0</v>
      </c>
      <c r="AB1065">
        <f t="shared" si="709"/>
        <v>0</v>
      </c>
      <c r="AC1065">
        <f t="shared" si="710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704"/>
        <v>L</v>
      </c>
      <c r="M1066">
        <v>9</v>
      </c>
      <c r="N1066" s="23" t="str">
        <f t="shared" si="695"/>
        <v>#</v>
      </c>
      <c r="O1066" s="7" t="str">
        <f t="shared" si="696"/>
        <v/>
      </c>
      <c r="P1066" s="7" t="str">
        <f t="shared" si="697"/>
        <v/>
      </c>
      <c r="Q1066" s="7" t="str">
        <f t="shared" si="698"/>
        <v/>
      </c>
      <c r="R1066" s="17" t="str">
        <f t="shared" si="699"/>
        <v/>
      </c>
      <c r="S1066" s="8" t="str">
        <f t="shared" si="700"/>
        <v/>
      </c>
      <c r="T1066" s="2" t="str">
        <f t="shared" si="701"/>
        <v/>
      </c>
      <c r="U1066" s="2" t="str">
        <f t="shared" si="702"/>
        <v/>
      </c>
      <c r="V1066" t="str">
        <f t="shared" si="678"/>
        <v/>
      </c>
      <c r="X1066">
        <f t="shared" si="705"/>
        <v>0</v>
      </c>
      <c r="Y1066">
        <f t="shared" si="706"/>
        <v>0</v>
      </c>
      <c r="Z1066">
        <f t="shared" si="707"/>
        <v>0</v>
      </c>
      <c r="AA1066">
        <f t="shared" si="708"/>
        <v>0</v>
      </c>
      <c r="AB1066">
        <f t="shared" si="709"/>
        <v>0</v>
      </c>
      <c r="AC1066">
        <f t="shared" si="710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704"/>
        <v>L</v>
      </c>
      <c r="M1067">
        <v>10</v>
      </c>
      <c r="N1067" s="23" t="str">
        <f t="shared" si="695"/>
        <v>#</v>
      </c>
      <c r="O1067" s="7" t="str">
        <f t="shared" si="696"/>
        <v/>
      </c>
      <c r="P1067" s="7" t="str">
        <f t="shared" si="697"/>
        <v/>
      </c>
      <c r="Q1067" s="7" t="str">
        <f t="shared" si="698"/>
        <v/>
      </c>
      <c r="R1067" s="17" t="str">
        <f t="shared" si="699"/>
        <v/>
      </c>
      <c r="S1067" s="8" t="str">
        <f t="shared" si="700"/>
        <v/>
      </c>
      <c r="T1067" s="2" t="str">
        <f t="shared" si="701"/>
        <v/>
      </c>
      <c r="U1067" s="2" t="str">
        <f t="shared" si="702"/>
        <v/>
      </c>
      <c r="V1067" t="str">
        <f t="shared" si="678"/>
        <v/>
      </c>
      <c r="X1067">
        <f t="shared" si="705"/>
        <v>0</v>
      </c>
      <c r="Y1067">
        <f t="shared" si="706"/>
        <v>0</v>
      </c>
      <c r="Z1067">
        <f t="shared" si="707"/>
        <v>0</v>
      </c>
      <c r="AA1067">
        <f t="shared" si="708"/>
        <v>0</v>
      </c>
      <c r="AB1067">
        <f t="shared" si="709"/>
        <v>0</v>
      </c>
      <c r="AC1067">
        <f t="shared" si="710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704"/>
        <v>L</v>
      </c>
      <c r="M1068">
        <v>11</v>
      </c>
      <c r="N1068" s="23" t="str">
        <f t="shared" si="695"/>
        <v>#</v>
      </c>
      <c r="O1068" s="7" t="str">
        <f t="shared" si="696"/>
        <v/>
      </c>
      <c r="P1068" s="7" t="str">
        <f t="shared" si="697"/>
        <v/>
      </c>
      <c r="Q1068" s="7" t="str">
        <f t="shared" si="698"/>
        <v/>
      </c>
      <c r="R1068" s="17" t="str">
        <f t="shared" si="699"/>
        <v/>
      </c>
      <c r="S1068" s="8" t="str">
        <f t="shared" si="700"/>
        <v/>
      </c>
      <c r="T1068" s="2" t="str">
        <f t="shared" si="701"/>
        <v/>
      </c>
      <c r="U1068" s="2" t="str">
        <f t="shared" si="702"/>
        <v/>
      </c>
      <c r="V1068" t="str">
        <f t="shared" si="678"/>
        <v/>
      </c>
      <c r="X1068">
        <f t="shared" si="705"/>
        <v>0</v>
      </c>
      <c r="Y1068">
        <f t="shared" si="706"/>
        <v>0</v>
      </c>
      <c r="Z1068">
        <f t="shared" si="707"/>
        <v>0</v>
      </c>
      <c r="AA1068">
        <f t="shared" si="708"/>
        <v>0</v>
      </c>
      <c r="AB1068">
        <f t="shared" si="709"/>
        <v>0</v>
      </c>
      <c r="AC1068">
        <f t="shared" si="710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704"/>
        <v>L</v>
      </c>
      <c r="M1069">
        <v>12</v>
      </c>
      <c r="N1069" s="23" t="str">
        <f t="shared" si="695"/>
        <v>#</v>
      </c>
      <c r="O1069" s="7" t="str">
        <f t="shared" si="696"/>
        <v/>
      </c>
      <c r="P1069" s="7" t="str">
        <f t="shared" si="697"/>
        <v/>
      </c>
      <c r="Q1069" s="7" t="str">
        <f t="shared" si="698"/>
        <v/>
      </c>
      <c r="R1069" s="17" t="str">
        <f t="shared" si="699"/>
        <v/>
      </c>
      <c r="S1069" s="8" t="str">
        <f t="shared" si="700"/>
        <v/>
      </c>
      <c r="T1069" s="2" t="str">
        <f t="shared" si="701"/>
        <v/>
      </c>
      <c r="U1069" s="2" t="str">
        <f t="shared" si="702"/>
        <v/>
      </c>
      <c r="V1069" t="str">
        <f t="shared" si="678"/>
        <v/>
      </c>
      <c r="X1069">
        <f t="shared" si="705"/>
        <v>0</v>
      </c>
      <c r="Y1069">
        <f t="shared" si="706"/>
        <v>0</v>
      </c>
      <c r="Z1069">
        <f t="shared" si="707"/>
        <v>0</v>
      </c>
      <c r="AA1069">
        <f t="shared" si="708"/>
        <v>0</v>
      </c>
      <c r="AB1069">
        <f t="shared" si="709"/>
        <v>0</v>
      </c>
      <c r="AC1069">
        <f t="shared" si="710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704"/>
        <v>L</v>
      </c>
      <c r="M1070">
        <v>13</v>
      </c>
      <c r="N1070" s="6" t="str">
        <f t="shared" si="695"/>
        <v>#</v>
      </c>
      <c r="O1070" s="7" t="str">
        <f t="shared" si="696"/>
        <v>#</v>
      </c>
      <c r="P1070" s="7" t="str">
        <f t="shared" si="697"/>
        <v>#</v>
      </c>
      <c r="Q1070" s="7" t="str">
        <f t="shared" si="698"/>
        <v>#</v>
      </c>
      <c r="R1070" s="17" t="str">
        <f t="shared" si="699"/>
        <v>#</v>
      </c>
      <c r="S1070" s="8" t="str">
        <f t="shared" si="700"/>
        <v/>
      </c>
      <c r="T1070" s="2" t="str">
        <f t="shared" si="701"/>
        <v/>
      </c>
      <c r="U1070" s="2" t="str">
        <f t="shared" si="702"/>
        <v/>
      </c>
      <c r="V1070" t="str">
        <f t="shared" si="678"/>
        <v/>
      </c>
      <c r="X1070">
        <f t="shared" si="705"/>
        <v>0</v>
      </c>
      <c r="Y1070">
        <f t="shared" si="706"/>
        <v>1</v>
      </c>
      <c r="Z1070">
        <f t="shared" si="707"/>
        <v>1</v>
      </c>
      <c r="AA1070">
        <f t="shared" si="708"/>
        <v>1</v>
      </c>
      <c r="AB1070">
        <f t="shared" si="709"/>
        <v>1</v>
      </c>
      <c r="AC1070">
        <f t="shared" si="710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704"/>
        <v>L</v>
      </c>
      <c r="M1071">
        <v>14</v>
      </c>
      <c r="N1071" s="18" t="str">
        <f t="shared" si="695"/>
        <v>#</v>
      </c>
      <c r="O1071" s="19" t="str">
        <f t="shared" si="696"/>
        <v>#</v>
      </c>
      <c r="P1071" s="19" t="str">
        <f t="shared" si="697"/>
        <v>#</v>
      </c>
      <c r="Q1071" s="19" t="str">
        <f t="shared" si="698"/>
        <v>#</v>
      </c>
      <c r="R1071" s="20" t="str">
        <f t="shared" si="699"/>
        <v>#</v>
      </c>
      <c r="S1071" s="8" t="str">
        <f t="shared" si="700"/>
        <v/>
      </c>
      <c r="T1071" s="2" t="str">
        <f t="shared" si="701"/>
        <v/>
      </c>
      <c r="U1071" s="2" t="str">
        <f t="shared" si="702"/>
        <v/>
      </c>
      <c r="V1071" t="str">
        <f t="shared" si="678"/>
        <v/>
      </c>
      <c r="X1071">
        <f t="shared" si="705"/>
        <v>0</v>
      </c>
      <c r="Y1071">
        <f t="shared" si="706"/>
        <v>0</v>
      </c>
      <c r="Z1071">
        <f t="shared" si="707"/>
        <v>0</v>
      </c>
      <c r="AA1071">
        <f t="shared" si="708"/>
        <v>0</v>
      </c>
      <c r="AB1071">
        <f t="shared" si="709"/>
        <v>0</v>
      </c>
      <c r="AC1071">
        <f t="shared" si="710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704"/>
        <v>L</v>
      </c>
      <c r="M1072">
        <v>15</v>
      </c>
      <c r="N1072" s="9" t="str">
        <f t="shared" si="695"/>
        <v/>
      </c>
      <c r="O1072" s="10" t="str">
        <f t="shared" si="696"/>
        <v/>
      </c>
      <c r="P1072" s="10" t="str">
        <f t="shared" si="697"/>
        <v/>
      </c>
      <c r="Q1072" s="10" t="str">
        <f t="shared" si="698"/>
        <v/>
      </c>
      <c r="R1072" s="10" t="str">
        <f t="shared" si="699"/>
        <v/>
      </c>
      <c r="S1072" s="11" t="str">
        <f t="shared" si="700"/>
        <v/>
      </c>
      <c r="T1072" s="2" t="str">
        <f t="shared" si="701"/>
        <v/>
      </c>
      <c r="U1072" s="2" t="str">
        <f t="shared" si="702"/>
        <v/>
      </c>
      <c r="V1072" t="str">
        <f t="shared" si="678"/>
        <v/>
      </c>
      <c r="X1072">
        <f t="shared" si="705"/>
        <v>0</v>
      </c>
      <c r="Y1072">
        <f t="shared" si="706"/>
        <v>0</v>
      </c>
      <c r="Z1072">
        <f t="shared" si="707"/>
        <v>0</v>
      </c>
      <c r="AA1072">
        <f t="shared" si="708"/>
        <v>0</v>
      </c>
      <c r="AB1072">
        <f t="shared" si="709"/>
        <v>0</v>
      </c>
      <c r="AC1072">
        <f t="shared" si="710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704"/>
        <v>L</v>
      </c>
      <c r="M1073">
        <v>16</v>
      </c>
      <c r="N1073" s="12" t="str">
        <f t="shared" si="695"/>
        <v/>
      </c>
      <c r="O1073" s="13" t="str">
        <f t="shared" si="696"/>
        <v/>
      </c>
      <c r="P1073" s="13" t="str">
        <f t="shared" si="697"/>
        <v/>
      </c>
      <c r="Q1073" s="13" t="str">
        <f t="shared" si="698"/>
        <v/>
      </c>
      <c r="R1073" s="13" t="str">
        <f t="shared" si="699"/>
        <v/>
      </c>
      <c r="S1073" s="14" t="str">
        <f t="shared" si="700"/>
        <v/>
      </c>
      <c r="T1073" s="2" t="str">
        <f t="shared" si="701"/>
        <v/>
      </c>
      <c r="U1073" s="2" t="str">
        <f t="shared" si="702"/>
        <v/>
      </c>
      <c r="V1073" t="str">
        <f t="shared" si="678"/>
        <v/>
      </c>
      <c r="X1073">
        <f t="shared" si="705"/>
        <v>0</v>
      </c>
      <c r="Y1073">
        <f t="shared" si="706"/>
        <v>0</v>
      </c>
      <c r="Z1073">
        <f t="shared" si="707"/>
        <v>0</v>
      </c>
      <c r="AA1073">
        <f t="shared" si="708"/>
        <v>0</v>
      </c>
      <c r="AB1073">
        <f t="shared" si="709"/>
        <v>0</v>
      </c>
      <c r="AC1073">
        <f t="shared" si="710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95"/>
        <v/>
      </c>
      <c r="O1074" t="str">
        <f t="shared" si="696"/>
        <v/>
      </c>
      <c r="P1074" t="str">
        <f t="shared" si="697"/>
        <v/>
      </c>
      <c r="Q1074" t="str">
        <f t="shared" si="698"/>
        <v/>
      </c>
      <c r="R1074" t="str">
        <f t="shared" si="699"/>
        <v/>
      </c>
      <c r="S1074" t="str">
        <f t="shared" si="700"/>
        <v/>
      </c>
      <c r="T1074" s="2" t="str">
        <f t="shared" si="701"/>
        <v/>
      </c>
      <c r="U1074" s="2" t="str">
        <f t="shared" si="702"/>
        <v/>
      </c>
      <c r="V1074" t="str">
        <f t="shared" si="678"/>
        <v/>
      </c>
      <c r="W1074">
        <f>SUM(B1076:G1089)</f>
        <v>26</v>
      </c>
      <c r="AD1074">
        <f t="shared" ref="AD1074" si="711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12">L1074</f>
        <v>M</v>
      </c>
      <c r="M1075">
        <v>2</v>
      </c>
      <c r="N1075" t="str">
        <f t="shared" si="695"/>
        <v/>
      </c>
      <c r="O1075" t="str">
        <f t="shared" si="696"/>
        <v/>
      </c>
      <c r="P1075" t="str">
        <f t="shared" si="697"/>
        <v/>
      </c>
      <c r="Q1075" t="str">
        <f t="shared" si="698"/>
        <v/>
      </c>
      <c r="R1075" t="str">
        <f t="shared" si="699"/>
        <v/>
      </c>
      <c r="S1075" t="str">
        <f t="shared" si="700"/>
        <v/>
      </c>
      <c r="T1075" s="2" t="str">
        <f t="shared" si="701"/>
        <v/>
      </c>
      <c r="U1075" s="2" t="str">
        <f t="shared" si="702"/>
        <v/>
      </c>
      <c r="V1075" t="str">
        <f t="shared" si="678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12"/>
        <v>M</v>
      </c>
      <c r="M1076">
        <v>3</v>
      </c>
      <c r="N1076" s="3" t="str">
        <f t="shared" si="695"/>
        <v/>
      </c>
      <c r="O1076" s="4" t="str">
        <f t="shared" si="696"/>
        <v/>
      </c>
      <c r="P1076" s="4" t="str">
        <f t="shared" si="697"/>
        <v/>
      </c>
      <c r="Q1076" s="4" t="str">
        <f t="shared" si="698"/>
        <v/>
      </c>
      <c r="R1076" s="4" t="str">
        <f t="shared" si="699"/>
        <v/>
      </c>
      <c r="S1076" s="5" t="str">
        <f t="shared" si="700"/>
        <v/>
      </c>
      <c r="T1076" s="2" t="str">
        <f t="shared" si="701"/>
        <v/>
      </c>
      <c r="U1076" s="2" t="str">
        <f t="shared" si="702"/>
        <v/>
      </c>
      <c r="V1076" t="str">
        <f t="shared" si="678"/>
        <v/>
      </c>
      <c r="X1076">
        <f t="shared" ref="X1076:X1089" si="713">MAX(B1076-B1075,0)</f>
        <v>0</v>
      </c>
      <c r="Y1076">
        <f t="shared" ref="Y1076:Y1089" si="714">MAX(C1076-C1075,0)</f>
        <v>0</v>
      </c>
      <c r="Z1076">
        <f t="shared" ref="Z1076:Z1089" si="715">MAX(D1076-D1075,0)</f>
        <v>0</v>
      </c>
      <c r="AA1076">
        <f t="shared" ref="AA1076:AA1089" si="716">MAX(E1076-E1075,0)</f>
        <v>0</v>
      </c>
      <c r="AB1076">
        <f t="shared" ref="AB1076:AB1089" si="717">MAX(F1076-F1075,0)</f>
        <v>0</v>
      </c>
      <c r="AC1076">
        <f t="shared" ref="AC1076:AC1089" si="718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12"/>
        <v>M</v>
      </c>
      <c r="M1077">
        <v>4</v>
      </c>
      <c r="N1077" s="6" t="str">
        <f t="shared" si="695"/>
        <v/>
      </c>
      <c r="O1077" s="7" t="str">
        <f t="shared" si="696"/>
        <v/>
      </c>
      <c r="P1077" s="7" t="str">
        <f t="shared" si="697"/>
        <v/>
      </c>
      <c r="Q1077" s="7" t="str">
        <f t="shared" si="698"/>
        <v/>
      </c>
      <c r="R1077" s="7" t="str">
        <f t="shared" si="699"/>
        <v/>
      </c>
      <c r="S1077" s="8" t="str">
        <f t="shared" si="700"/>
        <v/>
      </c>
      <c r="T1077" s="2" t="str">
        <f t="shared" si="701"/>
        <v/>
      </c>
      <c r="U1077" s="2" t="str">
        <f t="shared" si="702"/>
        <v/>
      </c>
      <c r="V1077" t="str">
        <f t="shared" si="678"/>
        <v/>
      </c>
      <c r="X1077">
        <f t="shared" si="713"/>
        <v>0</v>
      </c>
      <c r="Y1077">
        <f t="shared" si="714"/>
        <v>0</v>
      </c>
      <c r="Z1077">
        <f t="shared" si="715"/>
        <v>0</v>
      </c>
      <c r="AA1077">
        <f t="shared" si="716"/>
        <v>0</v>
      </c>
      <c r="AB1077">
        <f t="shared" si="717"/>
        <v>0</v>
      </c>
      <c r="AC1077">
        <f t="shared" si="718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12"/>
        <v>M</v>
      </c>
      <c r="M1078">
        <v>5</v>
      </c>
      <c r="N1078" s="22" t="str">
        <f t="shared" si="695"/>
        <v>#</v>
      </c>
      <c r="O1078" s="15" t="str">
        <f t="shared" si="696"/>
        <v/>
      </c>
      <c r="P1078" s="15" t="str">
        <f t="shared" si="697"/>
        <v/>
      </c>
      <c r="Q1078" s="15" t="str">
        <f t="shared" si="698"/>
        <v/>
      </c>
      <c r="R1078" s="16" t="str">
        <f t="shared" si="699"/>
        <v>#</v>
      </c>
      <c r="S1078" s="8" t="str">
        <f t="shared" si="700"/>
        <v/>
      </c>
      <c r="T1078" s="2" t="str">
        <f t="shared" si="701"/>
        <v/>
      </c>
      <c r="U1078" s="2" t="str">
        <f t="shared" si="702"/>
        <v/>
      </c>
      <c r="V1078" t="str">
        <f t="shared" si="678"/>
        <v/>
      </c>
      <c r="X1078">
        <f t="shared" si="713"/>
        <v>1</v>
      </c>
      <c r="Y1078">
        <f t="shared" si="714"/>
        <v>0</v>
      </c>
      <c r="Z1078">
        <f t="shared" si="715"/>
        <v>0</v>
      </c>
      <c r="AA1078">
        <f t="shared" si="716"/>
        <v>0</v>
      </c>
      <c r="AB1078">
        <f t="shared" si="717"/>
        <v>1</v>
      </c>
      <c r="AC1078">
        <f t="shared" si="718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12"/>
        <v>M</v>
      </c>
      <c r="M1079">
        <v>6</v>
      </c>
      <c r="N1079" s="23" t="str">
        <f t="shared" si="695"/>
        <v>#</v>
      </c>
      <c r="O1079" s="7" t="str">
        <f t="shared" si="696"/>
        <v>#</v>
      </c>
      <c r="P1079" s="7" t="str">
        <f t="shared" si="697"/>
        <v/>
      </c>
      <c r="Q1079" s="7" t="str">
        <f t="shared" si="698"/>
        <v>#</v>
      </c>
      <c r="R1079" s="17" t="str">
        <f t="shared" si="699"/>
        <v>#</v>
      </c>
      <c r="S1079" s="8" t="str">
        <f t="shared" si="700"/>
        <v/>
      </c>
      <c r="T1079" s="2" t="str">
        <f t="shared" si="701"/>
        <v/>
      </c>
      <c r="U1079" s="2" t="str">
        <f t="shared" si="702"/>
        <v/>
      </c>
      <c r="V1079" t="str">
        <f t="shared" si="678"/>
        <v/>
      </c>
      <c r="X1079">
        <f t="shared" si="713"/>
        <v>0</v>
      </c>
      <c r="Y1079">
        <f t="shared" si="714"/>
        <v>1</v>
      </c>
      <c r="Z1079">
        <f t="shared" si="715"/>
        <v>0</v>
      </c>
      <c r="AA1079">
        <f t="shared" si="716"/>
        <v>1</v>
      </c>
      <c r="AB1079">
        <f t="shared" si="717"/>
        <v>0</v>
      </c>
      <c r="AC1079">
        <f t="shared" si="718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12"/>
        <v>M</v>
      </c>
      <c r="M1080">
        <v>7</v>
      </c>
      <c r="N1080" s="23" t="str">
        <f t="shared" si="695"/>
        <v>#</v>
      </c>
      <c r="O1080" s="7" t="str">
        <f t="shared" si="696"/>
        <v>#</v>
      </c>
      <c r="P1080" s="7" t="str">
        <f t="shared" si="697"/>
        <v>#</v>
      </c>
      <c r="Q1080" s="7" t="str">
        <f t="shared" si="698"/>
        <v>#</v>
      </c>
      <c r="R1080" s="17" t="str">
        <f t="shared" si="699"/>
        <v>#</v>
      </c>
      <c r="S1080" s="8" t="str">
        <f t="shared" si="700"/>
        <v/>
      </c>
      <c r="T1080" s="2" t="str">
        <f t="shared" si="701"/>
        <v/>
      </c>
      <c r="U1080" s="2" t="str">
        <f t="shared" si="702"/>
        <v/>
      </c>
      <c r="V1080" t="str">
        <f t="shared" si="678"/>
        <v/>
      </c>
      <c r="X1080">
        <f t="shared" si="713"/>
        <v>0</v>
      </c>
      <c r="Y1080">
        <f t="shared" si="714"/>
        <v>0</v>
      </c>
      <c r="Z1080">
        <f t="shared" si="715"/>
        <v>1</v>
      </c>
      <c r="AA1080">
        <f t="shared" si="716"/>
        <v>0</v>
      </c>
      <c r="AB1080">
        <f t="shared" si="717"/>
        <v>0</v>
      </c>
      <c r="AC1080">
        <f t="shared" si="718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12"/>
        <v>M</v>
      </c>
      <c r="M1081">
        <v>8</v>
      </c>
      <c r="N1081" s="23" t="str">
        <f t="shared" si="695"/>
        <v>#</v>
      </c>
      <c r="O1081" s="7" t="str">
        <f t="shared" si="696"/>
        <v/>
      </c>
      <c r="P1081" s="7" t="str">
        <f t="shared" si="697"/>
        <v>#</v>
      </c>
      <c r="Q1081" s="7" t="str">
        <f t="shared" si="698"/>
        <v/>
      </c>
      <c r="R1081" s="17" t="str">
        <f t="shared" si="699"/>
        <v>#</v>
      </c>
      <c r="S1081" s="8" t="str">
        <f t="shared" si="700"/>
        <v/>
      </c>
      <c r="T1081" s="2" t="str">
        <f t="shared" si="701"/>
        <v/>
      </c>
      <c r="U1081" s="2" t="str">
        <f t="shared" si="702"/>
        <v/>
      </c>
      <c r="V1081" t="str">
        <f t="shared" si="678"/>
        <v/>
      </c>
      <c r="X1081">
        <f t="shared" si="713"/>
        <v>0</v>
      </c>
      <c r="Y1081">
        <f t="shared" si="714"/>
        <v>0</v>
      </c>
      <c r="Z1081">
        <f t="shared" si="715"/>
        <v>0</v>
      </c>
      <c r="AA1081">
        <f t="shared" si="716"/>
        <v>0</v>
      </c>
      <c r="AB1081">
        <f t="shared" si="717"/>
        <v>0</v>
      </c>
      <c r="AC1081">
        <f t="shared" si="718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12"/>
        <v>M</v>
      </c>
      <c r="M1082">
        <v>9</v>
      </c>
      <c r="N1082" s="23" t="str">
        <f t="shared" si="695"/>
        <v>#</v>
      </c>
      <c r="O1082" s="7" t="str">
        <f t="shared" si="696"/>
        <v/>
      </c>
      <c r="P1082" s="7" t="str">
        <f t="shared" si="697"/>
        <v/>
      </c>
      <c r="Q1082" s="7" t="str">
        <f t="shared" si="698"/>
        <v/>
      </c>
      <c r="R1082" s="17" t="str">
        <f t="shared" si="699"/>
        <v>#</v>
      </c>
      <c r="S1082" s="8" t="str">
        <f t="shared" si="700"/>
        <v/>
      </c>
      <c r="T1082" s="2" t="str">
        <f t="shared" si="701"/>
        <v/>
      </c>
      <c r="U1082" s="2" t="str">
        <f t="shared" si="702"/>
        <v/>
      </c>
      <c r="V1082" t="str">
        <f t="shared" si="678"/>
        <v/>
      </c>
      <c r="X1082">
        <f t="shared" si="713"/>
        <v>0</v>
      </c>
      <c r="Y1082">
        <f t="shared" si="714"/>
        <v>0</v>
      </c>
      <c r="Z1082">
        <f t="shared" si="715"/>
        <v>0</v>
      </c>
      <c r="AA1082">
        <f t="shared" si="716"/>
        <v>0</v>
      </c>
      <c r="AB1082">
        <f t="shared" si="717"/>
        <v>0</v>
      </c>
      <c r="AC1082">
        <f t="shared" si="718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12"/>
        <v>M</v>
      </c>
      <c r="M1083">
        <v>10</v>
      </c>
      <c r="N1083" s="23" t="str">
        <f t="shared" si="695"/>
        <v>#</v>
      </c>
      <c r="O1083" s="7" t="str">
        <f t="shared" si="696"/>
        <v/>
      </c>
      <c r="P1083" s="7" t="str">
        <f t="shared" si="697"/>
        <v/>
      </c>
      <c r="Q1083" s="7" t="str">
        <f t="shared" si="698"/>
        <v/>
      </c>
      <c r="R1083" s="17" t="str">
        <f t="shared" si="699"/>
        <v>#</v>
      </c>
      <c r="S1083" s="8" t="str">
        <f t="shared" si="700"/>
        <v/>
      </c>
      <c r="T1083" s="2" t="str">
        <f t="shared" si="701"/>
        <v/>
      </c>
      <c r="U1083" s="2" t="str">
        <f t="shared" si="702"/>
        <v/>
      </c>
      <c r="V1083" t="str">
        <f t="shared" si="678"/>
        <v/>
      </c>
      <c r="X1083">
        <f t="shared" si="713"/>
        <v>0</v>
      </c>
      <c r="Y1083">
        <f t="shared" si="714"/>
        <v>0</v>
      </c>
      <c r="Z1083">
        <f t="shared" si="715"/>
        <v>0</v>
      </c>
      <c r="AA1083">
        <f t="shared" si="716"/>
        <v>0</v>
      </c>
      <c r="AB1083">
        <f t="shared" si="717"/>
        <v>0</v>
      </c>
      <c r="AC1083">
        <f t="shared" si="718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12"/>
        <v>M</v>
      </c>
      <c r="M1084">
        <v>11</v>
      </c>
      <c r="N1084" s="23" t="str">
        <f t="shared" si="695"/>
        <v>#</v>
      </c>
      <c r="O1084" s="7" t="str">
        <f t="shared" si="696"/>
        <v/>
      </c>
      <c r="P1084" s="7" t="str">
        <f t="shared" si="697"/>
        <v/>
      </c>
      <c r="Q1084" s="7" t="str">
        <f t="shared" si="698"/>
        <v/>
      </c>
      <c r="R1084" s="17" t="str">
        <f t="shared" si="699"/>
        <v>#</v>
      </c>
      <c r="S1084" s="8" t="str">
        <f t="shared" si="700"/>
        <v/>
      </c>
      <c r="T1084" s="2" t="str">
        <f t="shared" si="701"/>
        <v/>
      </c>
      <c r="U1084" s="2" t="str">
        <f t="shared" si="702"/>
        <v/>
      </c>
      <c r="V1084" t="str">
        <f t="shared" si="678"/>
        <v/>
      </c>
      <c r="X1084">
        <f t="shared" si="713"/>
        <v>0</v>
      </c>
      <c r="Y1084">
        <f t="shared" si="714"/>
        <v>0</v>
      </c>
      <c r="Z1084">
        <f t="shared" si="715"/>
        <v>0</v>
      </c>
      <c r="AA1084">
        <f t="shared" si="716"/>
        <v>0</v>
      </c>
      <c r="AB1084">
        <f t="shared" si="717"/>
        <v>0</v>
      </c>
      <c r="AC1084">
        <f t="shared" si="718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12"/>
        <v>M</v>
      </c>
      <c r="M1085">
        <v>12</v>
      </c>
      <c r="N1085" s="23" t="str">
        <f t="shared" si="695"/>
        <v>#</v>
      </c>
      <c r="O1085" s="7" t="str">
        <f t="shared" si="696"/>
        <v/>
      </c>
      <c r="P1085" s="7" t="str">
        <f t="shared" si="697"/>
        <v/>
      </c>
      <c r="Q1085" s="7" t="str">
        <f t="shared" si="698"/>
        <v/>
      </c>
      <c r="R1085" s="17" t="str">
        <f t="shared" si="699"/>
        <v>#</v>
      </c>
      <c r="S1085" s="8" t="str">
        <f t="shared" si="700"/>
        <v/>
      </c>
      <c r="T1085" s="2" t="str">
        <f t="shared" si="701"/>
        <v/>
      </c>
      <c r="U1085" s="2" t="str">
        <f t="shared" si="702"/>
        <v/>
      </c>
      <c r="V1085" t="str">
        <f t="shared" si="678"/>
        <v/>
      </c>
      <c r="X1085">
        <f t="shared" si="713"/>
        <v>0</v>
      </c>
      <c r="Y1085">
        <f t="shared" si="714"/>
        <v>0</v>
      </c>
      <c r="Z1085">
        <f t="shared" si="715"/>
        <v>0</v>
      </c>
      <c r="AA1085">
        <f t="shared" si="716"/>
        <v>0</v>
      </c>
      <c r="AB1085">
        <f t="shared" si="717"/>
        <v>0</v>
      </c>
      <c r="AC1085">
        <f t="shared" si="718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12"/>
        <v>M</v>
      </c>
      <c r="M1086">
        <v>13</v>
      </c>
      <c r="N1086" s="6" t="str">
        <f t="shared" si="695"/>
        <v>#</v>
      </c>
      <c r="O1086" s="7" t="str">
        <f t="shared" si="696"/>
        <v/>
      </c>
      <c r="P1086" s="7" t="str">
        <f t="shared" si="697"/>
        <v/>
      </c>
      <c r="Q1086" s="7" t="str">
        <f t="shared" si="698"/>
        <v/>
      </c>
      <c r="R1086" s="17" t="str">
        <f t="shared" si="699"/>
        <v>#</v>
      </c>
      <c r="S1086" s="8" t="str">
        <f t="shared" si="700"/>
        <v/>
      </c>
      <c r="T1086" s="2" t="str">
        <f t="shared" si="701"/>
        <v/>
      </c>
      <c r="U1086" s="2" t="str">
        <f t="shared" si="702"/>
        <v/>
      </c>
      <c r="V1086" t="str">
        <f t="shared" si="678"/>
        <v/>
      </c>
      <c r="X1086">
        <f t="shared" si="713"/>
        <v>0</v>
      </c>
      <c r="Y1086">
        <f t="shared" si="714"/>
        <v>0</v>
      </c>
      <c r="Z1086">
        <f t="shared" si="715"/>
        <v>0</v>
      </c>
      <c r="AA1086">
        <f t="shared" si="716"/>
        <v>0</v>
      </c>
      <c r="AB1086">
        <f t="shared" si="717"/>
        <v>0</v>
      </c>
      <c r="AC1086">
        <f t="shared" si="718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12"/>
        <v>M</v>
      </c>
      <c r="M1087">
        <v>14</v>
      </c>
      <c r="N1087" s="18" t="str">
        <f t="shared" si="695"/>
        <v>#</v>
      </c>
      <c r="O1087" s="19" t="str">
        <f t="shared" si="696"/>
        <v/>
      </c>
      <c r="P1087" s="19" t="str">
        <f t="shared" si="697"/>
        <v/>
      </c>
      <c r="Q1087" s="19" t="str">
        <f t="shared" si="698"/>
        <v/>
      </c>
      <c r="R1087" s="20" t="str">
        <f t="shared" si="699"/>
        <v>#</v>
      </c>
      <c r="S1087" s="8" t="str">
        <f t="shared" si="700"/>
        <v/>
      </c>
      <c r="T1087" s="2" t="str">
        <f t="shared" si="701"/>
        <v/>
      </c>
      <c r="U1087" s="2" t="str">
        <f t="shared" si="702"/>
        <v/>
      </c>
      <c r="V1087" t="str">
        <f t="shared" si="678"/>
        <v/>
      </c>
      <c r="X1087">
        <f t="shared" si="713"/>
        <v>0</v>
      </c>
      <c r="Y1087">
        <f t="shared" si="714"/>
        <v>0</v>
      </c>
      <c r="Z1087">
        <f t="shared" si="715"/>
        <v>0</v>
      </c>
      <c r="AA1087">
        <f t="shared" si="716"/>
        <v>0</v>
      </c>
      <c r="AB1087">
        <f t="shared" si="717"/>
        <v>0</v>
      </c>
      <c r="AC1087">
        <f t="shared" si="718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12"/>
        <v>M</v>
      </c>
      <c r="M1088">
        <v>15</v>
      </c>
      <c r="N1088" s="9" t="str">
        <f t="shared" si="695"/>
        <v/>
      </c>
      <c r="O1088" s="10" t="str">
        <f t="shared" si="696"/>
        <v/>
      </c>
      <c r="P1088" s="10" t="str">
        <f t="shared" si="697"/>
        <v/>
      </c>
      <c r="Q1088" s="10" t="str">
        <f t="shared" si="698"/>
        <v/>
      </c>
      <c r="R1088" s="10" t="str">
        <f t="shared" si="699"/>
        <v/>
      </c>
      <c r="S1088" s="11" t="str">
        <f t="shared" si="700"/>
        <v/>
      </c>
      <c r="T1088" s="2" t="str">
        <f t="shared" si="701"/>
        <v/>
      </c>
      <c r="U1088" s="2" t="str">
        <f t="shared" si="702"/>
        <v/>
      </c>
      <c r="V1088" t="str">
        <f t="shared" si="678"/>
        <v/>
      </c>
      <c r="X1088">
        <f t="shared" si="713"/>
        <v>0</v>
      </c>
      <c r="Y1088">
        <f t="shared" si="714"/>
        <v>0</v>
      </c>
      <c r="Z1088">
        <f t="shared" si="715"/>
        <v>0</v>
      </c>
      <c r="AA1088">
        <f t="shared" si="716"/>
        <v>0</v>
      </c>
      <c r="AB1088">
        <f t="shared" si="717"/>
        <v>0</v>
      </c>
      <c r="AC1088">
        <f t="shared" si="718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12"/>
        <v>M</v>
      </c>
      <c r="M1089">
        <v>16</v>
      </c>
      <c r="N1089" s="12" t="str">
        <f t="shared" si="695"/>
        <v/>
      </c>
      <c r="O1089" s="13" t="str">
        <f t="shared" si="696"/>
        <v/>
      </c>
      <c r="P1089" s="13" t="str">
        <f t="shared" si="697"/>
        <v/>
      </c>
      <c r="Q1089" s="13" t="str">
        <f t="shared" si="698"/>
        <v/>
      </c>
      <c r="R1089" s="13" t="str">
        <f t="shared" si="699"/>
        <v/>
      </c>
      <c r="S1089" s="14" t="str">
        <f t="shared" si="700"/>
        <v/>
      </c>
      <c r="T1089" s="2" t="str">
        <f t="shared" si="701"/>
        <v/>
      </c>
      <c r="U1089" s="2" t="str">
        <f t="shared" si="702"/>
        <v/>
      </c>
      <c r="V1089" t="str">
        <f t="shared" si="678"/>
        <v/>
      </c>
      <c r="X1089">
        <f t="shared" si="713"/>
        <v>0</v>
      </c>
      <c r="Y1089">
        <f t="shared" si="714"/>
        <v>0</v>
      </c>
      <c r="Z1089">
        <f t="shared" si="715"/>
        <v>0</v>
      </c>
      <c r="AA1089">
        <f t="shared" si="716"/>
        <v>0</v>
      </c>
      <c r="AB1089">
        <f t="shared" si="717"/>
        <v>0</v>
      </c>
      <c r="AC1089">
        <f t="shared" si="718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95"/>
        <v/>
      </c>
      <c r="O1090" t="str">
        <f t="shared" si="696"/>
        <v/>
      </c>
      <c r="P1090" t="str">
        <f t="shared" si="697"/>
        <v/>
      </c>
      <c r="Q1090" t="str">
        <f t="shared" si="698"/>
        <v/>
      </c>
      <c r="R1090" t="str">
        <f t="shared" si="699"/>
        <v/>
      </c>
      <c r="S1090" t="str">
        <f t="shared" si="700"/>
        <v/>
      </c>
      <c r="T1090" s="2" t="str">
        <f t="shared" si="701"/>
        <v/>
      </c>
      <c r="U1090" s="2" t="str">
        <f t="shared" si="702"/>
        <v/>
      </c>
      <c r="V1090" t="str">
        <f t="shared" ref="V1090:V1153" si="719">IF(A1090=0,"",M1090)</f>
        <v/>
      </c>
      <c r="W1090">
        <f>SUM(B1092:G1105)</f>
        <v>29</v>
      </c>
      <c r="AD1090">
        <f t="shared" ref="AD1090" si="720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21">L1090</f>
        <v>N</v>
      </c>
      <c r="M1091">
        <v>2</v>
      </c>
      <c r="N1091" t="str">
        <f t="shared" si="695"/>
        <v/>
      </c>
      <c r="O1091" t="str">
        <f t="shared" si="696"/>
        <v/>
      </c>
      <c r="P1091" t="str">
        <f t="shared" si="697"/>
        <v/>
      </c>
      <c r="Q1091" t="str">
        <f t="shared" si="698"/>
        <v/>
      </c>
      <c r="R1091" t="str">
        <f t="shared" si="699"/>
        <v/>
      </c>
      <c r="S1091" t="str">
        <f t="shared" si="700"/>
        <v/>
      </c>
      <c r="T1091" s="2" t="str">
        <f t="shared" si="701"/>
        <v/>
      </c>
      <c r="U1091" s="2" t="str">
        <f t="shared" si="702"/>
        <v/>
      </c>
      <c r="V1091" t="str">
        <f t="shared" si="719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21"/>
        <v>N</v>
      </c>
      <c r="M1092">
        <v>3</v>
      </c>
      <c r="N1092" s="3" t="str">
        <f t="shared" si="695"/>
        <v/>
      </c>
      <c r="O1092" s="4" t="str">
        <f t="shared" si="696"/>
        <v/>
      </c>
      <c r="P1092" s="4" t="str">
        <f t="shared" si="697"/>
        <v/>
      </c>
      <c r="Q1092" s="4" t="str">
        <f t="shared" si="698"/>
        <v/>
      </c>
      <c r="R1092" s="4" t="str">
        <f t="shared" si="699"/>
        <v/>
      </c>
      <c r="S1092" s="5" t="str">
        <f t="shared" si="700"/>
        <v/>
      </c>
      <c r="T1092" s="2" t="str">
        <f t="shared" si="701"/>
        <v/>
      </c>
      <c r="U1092" s="2" t="str">
        <f t="shared" si="702"/>
        <v/>
      </c>
      <c r="V1092" t="str">
        <f t="shared" si="719"/>
        <v/>
      </c>
      <c r="X1092">
        <f t="shared" ref="X1092:X1105" si="722">MAX(B1092-B1091,0)</f>
        <v>0</v>
      </c>
      <c r="Y1092">
        <f t="shared" ref="Y1092:Y1105" si="723">MAX(C1092-C1091,0)</f>
        <v>0</v>
      </c>
      <c r="Z1092">
        <f t="shared" ref="Z1092:Z1105" si="724">MAX(D1092-D1091,0)</f>
        <v>0</v>
      </c>
      <c r="AA1092">
        <f t="shared" ref="AA1092:AA1105" si="725">MAX(E1092-E1091,0)</f>
        <v>0</v>
      </c>
      <c r="AB1092">
        <f t="shared" ref="AB1092:AB1105" si="726">MAX(F1092-F1091,0)</f>
        <v>0</v>
      </c>
      <c r="AC1092">
        <f t="shared" ref="AC1092:AC1105" si="727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21"/>
        <v>N</v>
      </c>
      <c r="M1093">
        <v>4</v>
      </c>
      <c r="N1093" s="6" t="str">
        <f t="shared" si="695"/>
        <v/>
      </c>
      <c r="O1093" s="7" t="str">
        <f t="shared" si="696"/>
        <v/>
      </c>
      <c r="P1093" s="7" t="str">
        <f t="shared" si="697"/>
        <v/>
      </c>
      <c r="Q1093" s="7" t="str">
        <f t="shared" si="698"/>
        <v/>
      </c>
      <c r="R1093" s="7" t="str">
        <f t="shared" si="699"/>
        <v/>
      </c>
      <c r="S1093" s="8" t="str">
        <f t="shared" si="700"/>
        <v/>
      </c>
      <c r="T1093" s="2" t="str">
        <f t="shared" si="701"/>
        <v/>
      </c>
      <c r="U1093" s="2" t="str">
        <f t="shared" si="702"/>
        <v/>
      </c>
      <c r="V1093" t="str">
        <f t="shared" si="719"/>
        <v/>
      </c>
      <c r="X1093">
        <f t="shared" si="722"/>
        <v>0</v>
      </c>
      <c r="Y1093">
        <f t="shared" si="723"/>
        <v>0</v>
      </c>
      <c r="Z1093">
        <f t="shared" si="724"/>
        <v>0</v>
      </c>
      <c r="AA1093">
        <f t="shared" si="725"/>
        <v>0</v>
      </c>
      <c r="AB1093">
        <f t="shared" si="726"/>
        <v>0</v>
      </c>
      <c r="AC1093">
        <f t="shared" si="727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21"/>
        <v>N</v>
      </c>
      <c r="M1094">
        <v>5</v>
      </c>
      <c r="N1094" s="22" t="str">
        <f t="shared" si="695"/>
        <v>#</v>
      </c>
      <c r="O1094" s="15" t="str">
        <f t="shared" si="696"/>
        <v/>
      </c>
      <c r="P1094" s="15" t="str">
        <f t="shared" si="697"/>
        <v/>
      </c>
      <c r="Q1094" s="15" t="str">
        <f t="shared" si="698"/>
        <v/>
      </c>
      <c r="R1094" s="16" t="str">
        <f t="shared" si="699"/>
        <v>#</v>
      </c>
      <c r="S1094" s="8" t="str">
        <f t="shared" si="700"/>
        <v/>
      </c>
      <c r="T1094" s="2" t="str">
        <f t="shared" si="701"/>
        <v/>
      </c>
      <c r="U1094" s="2" t="str">
        <f t="shared" si="702"/>
        <v/>
      </c>
      <c r="V1094" t="str">
        <f t="shared" si="719"/>
        <v/>
      </c>
      <c r="X1094">
        <f t="shared" si="722"/>
        <v>1</v>
      </c>
      <c r="Y1094">
        <f t="shared" si="723"/>
        <v>0</v>
      </c>
      <c r="Z1094">
        <f t="shared" si="724"/>
        <v>0</v>
      </c>
      <c r="AA1094">
        <f t="shared" si="725"/>
        <v>0</v>
      </c>
      <c r="AB1094">
        <f t="shared" si="726"/>
        <v>1</v>
      </c>
      <c r="AC1094">
        <f t="shared" si="727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21"/>
        <v>N</v>
      </c>
      <c r="M1095">
        <v>6</v>
      </c>
      <c r="N1095" s="23" t="str">
        <f t="shared" si="695"/>
        <v>#</v>
      </c>
      <c r="O1095" s="7" t="str">
        <f t="shared" si="696"/>
        <v>#</v>
      </c>
      <c r="P1095" s="7" t="str">
        <f t="shared" si="697"/>
        <v/>
      </c>
      <c r="Q1095" s="7" t="str">
        <f t="shared" si="698"/>
        <v/>
      </c>
      <c r="R1095" s="17" t="str">
        <f t="shared" si="699"/>
        <v>#</v>
      </c>
      <c r="S1095" s="8" t="str">
        <f t="shared" si="700"/>
        <v/>
      </c>
      <c r="T1095" s="2" t="str">
        <f t="shared" si="701"/>
        <v/>
      </c>
      <c r="U1095" s="2" t="str">
        <f t="shared" si="702"/>
        <v/>
      </c>
      <c r="V1095" t="str">
        <f t="shared" si="719"/>
        <v/>
      </c>
      <c r="X1095">
        <f t="shared" si="722"/>
        <v>0</v>
      </c>
      <c r="Y1095">
        <f t="shared" si="723"/>
        <v>1</v>
      </c>
      <c r="Z1095">
        <f t="shared" si="724"/>
        <v>0</v>
      </c>
      <c r="AA1095">
        <f t="shared" si="725"/>
        <v>0</v>
      </c>
      <c r="AB1095">
        <f t="shared" si="726"/>
        <v>0</v>
      </c>
      <c r="AC1095">
        <f t="shared" si="727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21"/>
        <v>N</v>
      </c>
      <c r="M1096">
        <v>7</v>
      </c>
      <c r="N1096" s="23" t="str">
        <f t="shared" si="695"/>
        <v>#</v>
      </c>
      <c r="O1096" s="7" t="str">
        <f t="shared" si="696"/>
        <v>#</v>
      </c>
      <c r="P1096" s="7" t="str">
        <f t="shared" si="697"/>
        <v/>
      </c>
      <c r="Q1096" s="7" t="str">
        <f t="shared" si="698"/>
        <v/>
      </c>
      <c r="R1096" s="17" t="str">
        <f t="shared" si="699"/>
        <v>#</v>
      </c>
      <c r="S1096" s="8" t="str">
        <f t="shared" si="700"/>
        <v/>
      </c>
      <c r="T1096" s="2" t="str">
        <f t="shared" si="701"/>
        <v/>
      </c>
      <c r="U1096" s="2" t="str">
        <f t="shared" si="702"/>
        <v/>
      </c>
      <c r="V1096" t="str">
        <f t="shared" si="719"/>
        <v/>
      </c>
      <c r="X1096">
        <f t="shared" si="722"/>
        <v>0</v>
      </c>
      <c r="Y1096">
        <f t="shared" si="723"/>
        <v>0</v>
      </c>
      <c r="Z1096">
        <f t="shared" si="724"/>
        <v>0</v>
      </c>
      <c r="AA1096">
        <f t="shared" si="725"/>
        <v>0</v>
      </c>
      <c r="AB1096">
        <f t="shared" si="726"/>
        <v>0</v>
      </c>
      <c r="AC1096">
        <f t="shared" si="727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21"/>
        <v>N</v>
      </c>
      <c r="M1097">
        <v>8</v>
      </c>
      <c r="N1097" s="23" t="str">
        <f t="shared" si="695"/>
        <v>#</v>
      </c>
      <c r="O1097" s="7" t="str">
        <f t="shared" si="696"/>
        <v>#</v>
      </c>
      <c r="P1097" s="7" t="str">
        <f t="shared" si="697"/>
        <v>#</v>
      </c>
      <c r="Q1097" s="7" t="str">
        <f t="shared" si="698"/>
        <v/>
      </c>
      <c r="R1097" s="17" t="str">
        <f t="shared" si="699"/>
        <v>#</v>
      </c>
      <c r="S1097" s="8" t="str">
        <f t="shared" si="700"/>
        <v/>
      </c>
      <c r="T1097" s="2" t="str">
        <f t="shared" si="701"/>
        <v/>
      </c>
      <c r="U1097" s="2" t="str">
        <f t="shared" si="702"/>
        <v/>
      </c>
      <c r="V1097" t="str">
        <f t="shared" si="719"/>
        <v/>
      </c>
      <c r="X1097">
        <f t="shared" si="722"/>
        <v>0</v>
      </c>
      <c r="Y1097">
        <f t="shared" si="723"/>
        <v>0</v>
      </c>
      <c r="Z1097">
        <f t="shared" si="724"/>
        <v>1</v>
      </c>
      <c r="AA1097">
        <f t="shared" si="725"/>
        <v>0</v>
      </c>
      <c r="AB1097">
        <f t="shared" si="726"/>
        <v>0</v>
      </c>
      <c r="AC1097">
        <f t="shared" si="727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21"/>
        <v>N</v>
      </c>
      <c r="M1098">
        <v>9</v>
      </c>
      <c r="N1098" s="23" t="str">
        <f t="shared" si="695"/>
        <v>#</v>
      </c>
      <c r="O1098" s="7" t="str">
        <f t="shared" si="696"/>
        <v/>
      </c>
      <c r="P1098" s="7" t="str">
        <f t="shared" si="697"/>
        <v>#</v>
      </c>
      <c r="Q1098" s="7" t="str">
        <f t="shared" si="698"/>
        <v/>
      </c>
      <c r="R1098" s="17" t="str">
        <f t="shared" si="699"/>
        <v>#</v>
      </c>
      <c r="S1098" s="8" t="str">
        <f t="shared" si="700"/>
        <v/>
      </c>
      <c r="T1098" s="2" t="str">
        <f t="shared" si="701"/>
        <v/>
      </c>
      <c r="U1098" s="2" t="str">
        <f t="shared" si="702"/>
        <v/>
      </c>
      <c r="V1098" t="str">
        <f t="shared" si="719"/>
        <v/>
      </c>
      <c r="X1098">
        <f t="shared" si="722"/>
        <v>0</v>
      </c>
      <c r="Y1098">
        <f t="shared" si="723"/>
        <v>0</v>
      </c>
      <c r="Z1098">
        <f t="shared" si="724"/>
        <v>0</v>
      </c>
      <c r="AA1098">
        <f t="shared" si="725"/>
        <v>0</v>
      </c>
      <c r="AB1098">
        <f t="shared" si="726"/>
        <v>0</v>
      </c>
      <c r="AC1098">
        <f t="shared" si="727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21"/>
        <v>N</v>
      </c>
      <c r="M1099">
        <v>10</v>
      </c>
      <c r="N1099" s="23" t="str">
        <f t="shared" si="695"/>
        <v>#</v>
      </c>
      <c r="O1099" s="7" t="str">
        <f t="shared" si="696"/>
        <v/>
      </c>
      <c r="P1099" s="7" t="str">
        <f t="shared" si="697"/>
        <v>#</v>
      </c>
      <c r="Q1099" s="7" t="str">
        <f t="shared" si="698"/>
        <v>#</v>
      </c>
      <c r="R1099" s="17" t="str">
        <f t="shared" si="699"/>
        <v>#</v>
      </c>
      <c r="S1099" s="8" t="str">
        <f t="shared" si="700"/>
        <v/>
      </c>
      <c r="T1099" s="2" t="str">
        <f t="shared" si="701"/>
        <v/>
      </c>
      <c r="U1099" s="2" t="str">
        <f t="shared" si="702"/>
        <v/>
      </c>
      <c r="V1099" t="str">
        <f t="shared" si="719"/>
        <v/>
      </c>
      <c r="X1099">
        <f t="shared" si="722"/>
        <v>0</v>
      </c>
      <c r="Y1099">
        <f t="shared" si="723"/>
        <v>0</v>
      </c>
      <c r="Z1099">
        <f t="shared" si="724"/>
        <v>0</v>
      </c>
      <c r="AA1099">
        <f t="shared" si="725"/>
        <v>1</v>
      </c>
      <c r="AB1099">
        <f t="shared" si="726"/>
        <v>0</v>
      </c>
      <c r="AC1099">
        <f t="shared" si="727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21"/>
        <v>N</v>
      </c>
      <c r="M1100">
        <v>11</v>
      </c>
      <c r="N1100" s="23" t="str">
        <f t="shared" si="695"/>
        <v>#</v>
      </c>
      <c r="O1100" s="7" t="str">
        <f t="shared" si="696"/>
        <v/>
      </c>
      <c r="P1100" s="7" t="str">
        <f t="shared" si="697"/>
        <v/>
      </c>
      <c r="Q1100" s="7" t="str">
        <f t="shared" si="698"/>
        <v>#</v>
      </c>
      <c r="R1100" s="17" t="str">
        <f t="shared" si="699"/>
        <v>#</v>
      </c>
      <c r="S1100" s="8" t="str">
        <f t="shared" si="700"/>
        <v/>
      </c>
      <c r="T1100" s="2" t="str">
        <f t="shared" si="701"/>
        <v/>
      </c>
      <c r="U1100" s="2" t="str">
        <f t="shared" si="702"/>
        <v/>
      </c>
      <c r="V1100" t="str">
        <f t="shared" si="719"/>
        <v/>
      </c>
      <c r="X1100">
        <f t="shared" si="722"/>
        <v>0</v>
      </c>
      <c r="Y1100">
        <f t="shared" si="723"/>
        <v>0</v>
      </c>
      <c r="Z1100">
        <f t="shared" si="724"/>
        <v>0</v>
      </c>
      <c r="AA1100">
        <f t="shared" si="725"/>
        <v>0</v>
      </c>
      <c r="AB1100">
        <f t="shared" si="726"/>
        <v>0</v>
      </c>
      <c r="AC1100">
        <f t="shared" si="727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21"/>
        <v>N</v>
      </c>
      <c r="M1101">
        <v>12</v>
      </c>
      <c r="N1101" s="23" t="str">
        <f t="shared" si="695"/>
        <v>#</v>
      </c>
      <c r="O1101" s="7" t="str">
        <f t="shared" si="696"/>
        <v/>
      </c>
      <c r="P1101" s="7" t="str">
        <f t="shared" si="697"/>
        <v/>
      </c>
      <c r="Q1101" s="7" t="str">
        <f t="shared" si="698"/>
        <v>#</v>
      </c>
      <c r="R1101" s="17" t="str">
        <f t="shared" si="699"/>
        <v>#</v>
      </c>
      <c r="S1101" s="8" t="str">
        <f t="shared" si="700"/>
        <v/>
      </c>
      <c r="T1101" s="2" t="str">
        <f t="shared" si="701"/>
        <v/>
      </c>
      <c r="U1101" s="2" t="str">
        <f t="shared" si="702"/>
        <v/>
      </c>
      <c r="V1101" t="str">
        <f t="shared" si="719"/>
        <v/>
      </c>
      <c r="X1101">
        <f t="shared" si="722"/>
        <v>0</v>
      </c>
      <c r="Y1101">
        <f t="shared" si="723"/>
        <v>0</v>
      </c>
      <c r="Z1101">
        <f t="shared" si="724"/>
        <v>0</v>
      </c>
      <c r="AA1101">
        <f t="shared" si="725"/>
        <v>0</v>
      </c>
      <c r="AB1101">
        <f t="shared" si="726"/>
        <v>0</v>
      </c>
      <c r="AC1101">
        <f t="shared" si="727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21"/>
        <v>N</v>
      </c>
      <c r="M1102">
        <v>13</v>
      </c>
      <c r="N1102" s="6" t="str">
        <f t="shared" si="695"/>
        <v>#</v>
      </c>
      <c r="O1102" s="7" t="str">
        <f t="shared" si="696"/>
        <v/>
      </c>
      <c r="P1102" s="7" t="str">
        <f t="shared" si="697"/>
        <v/>
      </c>
      <c r="Q1102" s="7" t="str">
        <f t="shared" si="698"/>
        <v/>
      </c>
      <c r="R1102" s="17" t="str">
        <f t="shared" si="699"/>
        <v>#</v>
      </c>
      <c r="S1102" s="8" t="str">
        <f t="shared" si="700"/>
        <v/>
      </c>
      <c r="T1102" s="2" t="str">
        <f t="shared" si="701"/>
        <v/>
      </c>
      <c r="U1102" s="2" t="str">
        <f t="shared" si="702"/>
        <v/>
      </c>
      <c r="V1102" t="str">
        <f t="shared" si="719"/>
        <v/>
      </c>
      <c r="X1102">
        <f t="shared" si="722"/>
        <v>0</v>
      </c>
      <c r="Y1102">
        <f t="shared" si="723"/>
        <v>0</v>
      </c>
      <c r="Z1102">
        <f t="shared" si="724"/>
        <v>0</v>
      </c>
      <c r="AA1102">
        <f t="shared" si="725"/>
        <v>0</v>
      </c>
      <c r="AB1102">
        <f t="shared" si="726"/>
        <v>0</v>
      </c>
      <c r="AC1102">
        <f t="shared" si="727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21"/>
        <v>N</v>
      </c>
      <c r="M1103">
        <v>14</v>
      </c>
      <c r="N1103" s="18" t="str">
        <f t="shared" si="695"/>
        <v>#</v>
      </c>
      <c r="O1103" s="19" t="str">
        <f t="shared" si="696"/>
        <v/>
      </c>
      <c r="P1103" s="19" t="str">
        <f t="shared" si="697"/>
        <v/>
      </c>
      <c r="Q1103" s="19" t="str">
        <f t="shared" si="698"/>
        <v/>
      </c>
      <c r="R1103" s="20" t="str">
        <f t="shared" si="699"/>
        <v>#</v>
      </c>
      <c r="S1103" s="8" t="str">
        <f t="shared" si="700"/>
        <v/>
      </c>
      <c r="T1103" s="2" t="str">
        <f t="shared" si="701"/>
        <v/>
      </c>
      <c r="U1103" s="2" t="str">
        <f t="shared" si="702"/>
        <v/>
      </c>
      <c r="V1103" t="str">
        <f t="shared" si="719"/>
        <v/>
      </c>
      <c r="X1103">
        <f t="shared" si="722"/>
        <v>0</v>
      </c>
      <c r="Y1103">
        <f t="shared" si="723"/>
        <v>0</v>
      </c>
      <c r="Z1103">
        <f t="shared" si="724"/>
        <v>0</v>
      </c>
      <c r="AA1103">
        <f t="shared" si="725"/>
        <v>0</v>
      </c>
      <c r="AB1103">
        <f t="shared" si="726"/>
        <v>0</v>
      </c>
      <c r="AC1103">
        <f t="shared" si="727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21"/>
        <v>N</v>
      </c>
      <c r="M1104">
        <v>15</v>
      </c>
      <c r="N1104" s="9" t="str">
        <f t="shared" si="695"/>
        <v/>
      </c>
      <c r="O1104" s="10" t="str">
        <f t="shared" si="696"/>
        <v/>
      </c>
      <c r="P1104" s="10" t="str">
        <f t="shared" si="697"/>
        <v/>
      </c>
      <c r="Q1104" s="10" t="str">
        <f t="shared" si="698"/>
        <v/>
      </c>
      <c r="R1104" s="10" t="str">
        <f t="shared" si="699"/>
        <v/>
      </c>
      <c r="S1104" s="11" t="str">
        <f t="shared" si="700"/>
        <v/>
      </c>
      <c r="T1104" s="2" t="str">
        <f t="shared" si="701"/>
        <v/>
      </c>
      <c r="U1104" s="2" t="str">
        <f t="shared" si="702"/>
        <v/>
      </c>
      <c r="V1104" t="str">
        <f t="shared" si="719"/>
        <v/>
      </c>
      <c r="X1104">
        <f t="shared" si="722"/>
        <v>0</v>
      </c>
      <c r="Y1104">
        <f t="shared" si="723"/>
        <v>0</v>
      </c>
      <c r="Z1104">
        <f t="shared" si="724"/>
        <v>0</v>
      </c>
      <c r="AA1104">
        <f t="shared" si="725"/>
        <v>0</v>
      </c>
      <c r="AB1104">
        <f t="shared" si="726"/>
        <v>0</v>
      </c>
      <c r="AC1104">
        <f t="shared" si="727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21"/>
        <v>N</v>
      </c>
      <c r="M1105">
        <v>16</v>
      </c>
      <c r="N1105" s="12" t="str">
        <f t="shared" si="695"/>
        <v/>
      </c>
      <c r="O1105" s="13" t="str">
        <f t="shared" si="696"/>
        <v/>
      </c>
      <c r="P1105" s="13" t="str">
        <f t="shared" si="697"/>
        <v/>
      </c>
      <c r="Q1105" s="13" t="str">
        <f t="shared" si="698"/>
        <v/>
      </c>
      <c r="R1105" s="13" t="str">
        <f t="shared" si="699"/>
        <v/>
      </c>
      <c r="S1105" s="14" t="str">
        <f t="shared" si="700"/>
        <v/>
      </c>
      <c r="T1105" s="2" t="str">
        <f t="shared" si="701"/>
        <v/>
      </c>
      <c r="U1105" s="2" t="str">
        <f t="shared" si="702"/>
        <v/>
      </c>
      <c r="V1105" t="str">
        <f t="shared" si="719"/>
        <v/>
      </c>
      <c r="X1105">
        <f t="shared" si="722"/>
        <v>0</v>
      </c>
      <c r="Y1105">
        <f t="shared" si="723"/>
        <v>0</v>
      </c>
      <c r="Z1105">
        <f t="shared" si="724"/>
        <v>0</v>
      </c>
      <c r="AA1105">
        <f t="shared" si="725"/>
        <v>0</v>
      </c>
      <c r="AB1105">
        <f t="shared" si="726"/>
        <v>0</v>
      </c>
      <c r="AC1105">
        <f t="shared" si="727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95"/>
        <v/>
      </c>
      <c r="O1106" t="str">
        <f t="shared" si="696"/>
        <v/>
      </c>
      <c r="P1106" t="str">
        <f t="shared" si="697"/>
        <v/>
      </c>
      <c r="Q1106" t="str">
        <f t="shared" si="698"/>
        <v/>
      </c>
      <c r="R1106" t="str">
        <f t="shared" si="699"/>
        <v/>
      </c>
      <c r="S1106" t="str">
        <f t="shared" si="700"/>
        <v/>
      </c>
      <c r="T1106" s="2" t="str">
        <f t="shared" si="701"/>
        <v/>
      </c>
      <c r="U1106" s="2" t="str">
        <f t="shared" si="702"/>
        <v/>
      </c>
      <c r="V1106" t="str">
        <f t="shared" si="719"/>
        <v/>
      </c>
      <c r="W1106">
        <f>SUM(B1108:G1121)</f>
        <v>32</v>
      </c>
      <c r="AD1106">
        <f t="shared" ref="AD1106" si="728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9">L1106</f>
        <v>O</v>
      </c>
      <c r="M1107">
        <v>2</v>
      </c>
      <c r="N1107" t="str">
        <f t="shared" si="695"/>
        <v/>
      </c>
      <c r="O1107" t="str">
        <f t="shared" si="696"/>
        <v/>
      </c>
      <c r="P1107" t="str">
        <f t="shared" si="697"/>
        <v/>
      </c>
      <c r="Q1107" t="str">
        <f t="shared" si="698"/>
        <v/>
      </c>
      <c r="R1107" t="str">
        <f t="shared" si="699"/>
        <v/>
      </c>
      <c r="S1107" t="str">
        <f t="shared" si="700"/>
        <v/>
      </c>
      <c r="T1107" s="2" t="str">
        <f t="shared" si="701"/>
        <v/>
      </c>
      <c r="U1107" s="2" t="str">
        <f t="shared" si="702"/>
        <v/>
      </c>
      <c r="V1107" t="str">
        <f t="shared" si="719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9"/>
        <v>O</v>
      </c>
      <c r="M1108">
        <v>3</v>
      </c>
      <c r="N1108" s="3" t="str">
        <f t="shared" si="695"/>
        <v/>
      </c>
      <c r="O1108" s="4" t="str">
        <f t="shared" si="696"/>
        <v/>
      </c>
      <c r="P1108" s="4" t="str">
        <f t="shared" si="697"/>
        <v/>
      </c>
      <c r="Q1108" s="4" t="str">
        <f t="shared" si="698"/>
        <v/>
      </c>
      <c r="R1108" s="4" t="str">
        <f t="shared" si="699"/>
        <v/>
      </c>
      <c r="S1108" s="5" t="str">
        <f t="shared" si="700"/>
        <v/>
      </c>
      <c r="T1108" s="2" t="str">
        <f t="shared" si="701"/>
        <v/>
      </c>
      <c r="U1108" s="2" t="str">
        <f t="shared" si="702"/>
        <v/>
      </c>
      <c r="V1108" t="str">
        <f t="shared" si="719"/>
        <v/>
      </c>
      <c r="X1108">
        <f t="shared" ref="X1108:X1121" si="730">MAX(B1108-B1107,0)</f>
        <v>0</v>
      </c>
      <c r="Y1108">
        <f t="shared" ref="Y1108:Y1121" si="731">MAX(C1108-C1107,0)</f>
        <v>0</v>
      </c>
      <c r="Z1108">
        <f t="shared" ref="Z1108:Z1121" si="732">MAX(D1108-D1107,0)</f>
        <v>0</v>
      </c>
      <c r="AA1108">
        <f t="shared" ref="AA1108:AA1121" si="733">MAX(E1108-E1107,0)</f>
        <v>0</v>
      </c>
      <c r="AB1108">
        <f t="shared" ref="AB1108:AB1121" si="734">MAX(F1108-F1107,0)</f>
        <v>0</v>
      </c>
      <c r="AC1108">
        <f t="shared" ref="AC1108:AC1121" si="735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9"/>
        <v>O</v>
      </c>
      <c r="M1109">
        <v>4</v>
      </c>
      <c r="N1109" s="6" t="str">
        <f t="shared" si="695"/>
        <v/>
      </c>
      <c r="O1109" s="7" t="str">
        <f t="shared" si="696"/>
        <v/>
      </c>
      <c r="P1109" s="7" t="str">
        <f t="shared" si="697"/>
        <v/>
      </c>
      <c r="Q1109" s="7" t="str">
        <f t="shared" si="698"/>
        <v/>
      </c>
      <c r="R1109" s="7" t="str">
        <f t="shared" si="699"/>
        <v/>
      </c>
      <c r="S1109" s="8" t="str">
        <f t="shared" si="700"/>
        <v/>
      </c>
      <c r="T1109" s="2" t="str">
        <f t="shared" si="701"/>
        <v/>
      </c>
      <c r="U1109" s="2" t="str">
        <f t="shared" si="702"/>
        <v/>
      </c>
      <c r="V1109" t="str">
        <f t="shared" si="719"/>
        <v/>
      </c>
      <c r="X1109">
        <f t="shared" si="730"/>
        <v>0</v>
      </c>
      <c r="Y1109">
        <f t="shared" si="731"/>
        <v>0</v>
      </c>
      <c r="Z1109">
        <f t="shared" si="732"/>
        <v>0</v>
      </c>
      <c r="AA1109">
        <f t="shared" si="733"/>
        <v>0</v>
      </c>
      <c r="AB1109">
        <f t="shared" si="734"/>
        <v>0</v>
      </c>
      <c r="AC1109">
        <f t="shared" si="735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9"/>
        <v>O</v>
      </c>
      <c r="M1110">
        <v>5</v>
      </c>
      <c r="N1110" s="22" t="str">
        <f t="shared" si="695"/>
        <v>#</v>
      </c>
      <c r="O1110" s="15" t="str">
        <f t="shared" si="696"/>
        <v>#</v>
      </c>
      <c r="P1110" s="15" t="str">
        <f t="shared" si="697"/>
        <v>#</v>
      </c>
      <c r="Q1110" s="15" t="str">
        <f t="shared" si="698"/>
        <v>#</v>
      </c>
      <c r="R1110" s="16" t="str">
        <f t="shared" si="699"/>
        <v>#</v>
      </c>
      <c r="S1110" s="8" t="str">
        <f t="shared" si="700"/>
        <v/>
      </c>
      <c r="T1110" s="2" t="str">
        <f t="shared" si="701"/>
        <v/>
      </c>
      <c r="U1110" s="2" t="str">
        <f t="shared" si="702"/>
        <v/>
      </c>
      <c r="V1110" t="str">
        <f t="shared" si="719"/>
        <v/>
      </c>
      <c r="X1110">
        <f t="shared" si="730"/>
        <v>1</v>
      </c>
      <c r="Y1110">
        <f t="shared" si="731"/>
        <v>1</v>
      </c>
      <c r="Z1110">
        <f t="shared" si="732"/>
        <v>1</v>
      </c>
      <c r="AA1110">
        <f t="shared" si="733"/>
        <v>1</v>
      </c>
      <c r="AB1110">
        <f t="shared" si="734"/>
        <v>1</v>
      </c>
      <c r="AC1110">
        <f t="shared" si="735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9"/>
        <v>O</v>
      </c>
      <c r="M1111">
        <v>6</v>
      </c>
      <c r="N1111" s="23" t="str">
        <f t="shared" si="695"/>
        <v>#</v>
      </c>
      <c r="O1111" s="7" t="str">
        <f t="shared" si="696"/>
        <v>#</v>
      </c>
      <c r="P1111" s="7" t="str">
        <f t="shared" si="697"/>
        <v>#</v>
      </c>
      <c r="Q1111" s="7" t="str">
        <f t="shared" si="698"/>
        <v>#</v>
      </c>
      <c r="R1111" s="17" t="str">
        <f t="shared" si="699"/>
        <v>#</v>
      </c>
      <c r="S1111" s="8" t="str">
        <f t="shared" si="700"/>
        <v/>
      </c>
      <c r="T1111" s="2" t="str">
        <f t="shared" si="701"/>
        <v/>
      </c>
      <c r="U1111" s="2" t="str">
        <f t="shared" si="702"/>
        <v/>
      </c>
      <c r="V1111" t="str">
        <f t="shared" si="719"/>
        <v/>
      </c>
      <c r="X1111">
        <f t="shared" si="730"/>
        <v>0</v>
      </c>
      <c r="Y1111">
        <f t="shared" si="731"/>
        <v>0</v>
      </c>
      <c r="Z1111">
        <f t="shared" si="732"/>
        <v>0</v>
      </c>
      <c r="AA1111">
        <f t="shared" si="733"/>
        <v>0</v>
      </c>
      <c r="AB1111">
        <f t="shared" si="734"/>
        <v>0</v>
      </c>
      <c r="AC1111">
        <f t="shared" si="735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9"/>
        <v>O</v>
      </c>
      <c r="M1112">
        <v>7</v>
      </c>
      <c r="N1112" s="23" t="str">
        <f t="shared" si="695"/>
        <v>#</v>
      </c>
      <c r="O1112" s="7" t="str">
        <f t="shared" si="696"/>
        <v/>
      </c>
      <c r="P1112" s="7" t="str">
        <f t="shared" si="697"/>
        <v/>
      </c>
      <c r="Q1112" s="7" t="str">
        <f t="shared" si="698"/>
        <v/>
      </c>
      <c r="R1112" s="17" t="str">
        <f t="shared" si="699"/>
        <v>#</v>
      </c>
      <c r="S1112" s="8" t="str">
        <f t="shared" si="700"/>
        <v/>
      </c>
      <c r="T1112" s="2" t="str">
        <f t="shared" si="701"/>
        <v/>
      </c>
      <c r="U1112" s="2" t="str">
        <f t="shared" si="702"/>
        <v/>
      </c>
      <c r="V1112" t="str">
        <f t="shared" si="719"/>
        <v/>
      </c>
      <c r="X1112">
        <f t="shared" si="730"/>
        <v>0</v>
      </c>
      <c r="Y1112">
        <f t="shared" si="731"/>
        <v>0</v>
      </c>
      <c r="Z1112">
        <f t="shared" si="732"/>
        <v>0</v>
      </c>
      <c r="AA1112">
        <f t="shared" si="733"/>
        <v>0</v>
      </c>
      <c r="AB1112">
        <f t="shared" si="734"/>
        <v>0</v>
      </c>
      <c r="AC1112">
        <f t="shared" si="735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9"/>
        <v>O</v>
      </c>
      <c r="M1113">
        <v>8</v>
      </c>
      <c r="N1113" s="23" t="str">
        <f t="shared" si="695"/>
        <v>#</v>
      </c>
      <c r="O1113" s="7" t="str">
        <f t="shared" si="696"/>
        <v/>
      </c>
      <c r="P1113" s="7" t="str">
        <f t="shared" si="697"/>
        <v/>
      </c>
      <c r="Q1113" s="7" t="str">
        <f t="shared" si="698"/>
        <v/>
      </c>
      <c r="R1113" s="17" t="str">
        <f t="shared" si="699"/>
        <v>#</v>
      </c>
      <c r="S1113" s="8" t="str">
        <f t="shared" si="700"/>
        <v/>
      </c>
      <c r="T1113" s="2" t="str">
        <f t="shared" si="701"/>
        <v/>
      </c>
      <c r="U1113" s="2" t="str">
        <f t="shared" si="702"/>
        <v/>
      </c>
      <c r="V1113" t="str">
        <f t="shared" si="719"/>
        <v/>
      </c>
      <c r="X1113">
        <f t="shared" si="730"/>
        <v>0</v>
      </c>
      <c r="Y1113">
        <f t="shared" si="731"/>
        <v>0</v>
      </c>
      <c r="Z1113">
        <f t="shared" si="732"/>
        <v>0</v>
      </c>
      <c r="AA1113">
        <f t="shared" si="733"/>
        <v>0</v>
      </c>
      <c r="AB1113">
        <f t="shared" si="734"/>
        <v>0</v>
      </c>
      <c r="AC1113">
        <f t="shared" si="735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9"/>
        <v>O</v>
      </c>
      <c r="M1114">
        <v>9</v>
      </c>
      <c r="N1114" s="23" t="str">
        <f t="shared" si="695"/>
        <v>#</v>
      </c>
      <c r="O1114" s="7" t="str">
        <f t="shared" si="696"/>
        <v/>
      </c>
      <c r="P1114" s="7" t="str">
        <f t="shared" si="697"/>
        <v/>
      </c>
      <c r="Q1114" s="7" t="str">
        <f t="shared" si="698"/>
        <v/>
      </c>
      <c r="R1114" s="17" t="str">
        <f t="shared" si="699"/>
        <v>#</v>
      </c>
      <c r="S1114" s="8" t="str">
        <f t="shared" si="700"/>
        <v/>
      </c>
      <c r="T1114" s="2" t="str">
        <f t="shared" si="701"/>
        <v/>
      </c>
      <c r="U1114" s="2" t="str">
        <f t="shared" si="702"/>
        <v/>
      </c>
      <c r="V1114" t="str">
        <f t="shared" si="719"/>
        <v/>
      </c>
      <c r="X1114">
        <f t="shared" si="730"/>
        <v>0</v>
      </c>
      <c r="Y1114">
        <f t="shared" si="731"/>
        <v>0</v>
      </c>
      <c r="Z1114">
        <f t="shared" si="732"/>
        <v>0</v>
      </c>
      <c r="AA1114">
        <f t="shared" si="733"/>
        <v>0</v>
      </c>
      <c r="AB1114">
        <f t="shared" si="734"/>
        <v>0</v>
      </c>
      <c r="AC1114">
        <f t="shared" si="735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9"/>
        <v>O</v>
      </c>
      <c r="M1115">
        <v>10</v>
      </c>
      <c r="N1115" s="23" t="str">
        <f t="shared" si="695"/>
        <v>#</v>
      </c>
      <c r="O1115" s="7" t="str">
        <f t="shared" si="696"/>
        <v/>
      </c>
      <c r="P1115" s="7" t="str">
        <f t="shared" si="697"/>
        <v/>
      </c>
      <c r="Q1115" s="7" t="str">
        <f t="shared" si="698"/>
        <v/>
      </c>
      <c r="R1115" s="17" t="str">
        <f t="shared" si="699"/>
        <v>#</v>
      </c>
      <c r="S1115" s="8" t="str">
        <f t="shared" si="700"/>
        <v/>
      </c>
      <c r="T1115" s="2" t="str">
        <f t="shared" si="701"/>
        <v/>
      </c>
      <c r="U1115" s="2" t="str">
        <f t="shared" si="702"/>
        <v/>
      </c>
      <c r="V1115" t="str">
        <f t="shared" si="719"/>
        <v/>
      </c>
      <c r="X1115">
        <f t="shared" si="730"/>
        <v>0</v>
      </c>
      <c r="Y1115">
        <f t="shared" si="731"/>
        <v>0</v>
      </c>
      <c r="Z1115">
        <f t="shared" si="732"/>
        <v>0</v>
      </c>
      <c r="AA1115">
        <f t="shared" si="733"/>
        <v>0</v>
      </c>
      <c r="AB1115">
        <f t="shared" si="734"/>
        <v>0</v>
      </c>
      <c r="AC1115">
        <f t="shared" si="735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9"/>
        <v>O</v>
      </c>
      <c r="M1116">
        <v>11</v>
      </c>
      <c r="N1116" s="23" t="str">
        <f t="shared" si="695"/>
        <v>#</v>
      </c>
      <c r="O1116" s="7" t="str">
        <f t="shared" si="696"/>
        <v/>
      </c>
      <c r="P1116" s="7" t="str">
        <f t="shared" si="697"/>
        <v/>
      </c>
      <c r="Q1116" s="7" t="str">
        <f t="shared" si="698"/>
        <v/>
      </c>
      <c r="R1116" s="17" t="str">
        <f t="shared" si="699"/>
        <v>#</v>
      </c>
      <c r="S1116" s="8" t="str">
        <f t="shared" si="700"/>
        <v/>
      </c>
      <c r="T1116" s="2" t="str">
        <f t="shared" si="701"/>
        <v/>
      </c>
      <c r="U1116" s="2" t="str">
        <f t="shared" si="702"/>
        <v/>
      </c>
      <c r="V1116" t="str">
        <f t="shared" si="719"/>
        <v/>
      </c>
      <c r="X1116">
        <f t="shared" si="730"/>
        <v>0</v>
      </c>
      <c r="Y1116">
        <f t="shared" si="731"/>
        <v>0</v>
      </c>
      <c r="Z1116">
        <f t="shared" si="732"/>
        <v>0</v>
      </c>
      <c r="AA1116">
        <f t="shared" si="733"/>
        <v>0</v>
      </c>
      <c r="AB1116">
        <f t="shared" si="734"/>
        <v>0</v>
      </c>
      <c r="AC1116">
        <f t="shared" si="735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9"/>
        <v>O</v>
      </c>
      <c r="M1117">
        <v>12</v>
      </c>
      <c r="N1117" s="23" t="str">
        <f t="shared" si="695"/>
        <v>#</v>
      </c>
      <c r="O1117" s="7" t="str">
        <f t="shared" si="696"/>
        <v/>
      </c>
      <c r="P1117" s="7" t="str">
        <f t="shared" si="697"/>
        <v/>
      </c>
      <c r="Q1117" s="7" t="str">
        <f t="shared" si="698"/>
        <v/>
      </c>
      <c r="R1117" s="17" t="str">
        <f t="shared" si="699"/>
        <v>#</v>
      </c>
      <c r="S1117" s="8" t="str">
        <f t="shared" si="700"/>
        <v/>
      </c>
      <c r="T1117" s="2" t="str">
        <f t="shared" si="701"/>
        <v/>
      </c>
      <c r="U1117" s="2" t="str">
        <f t="shared" si="702"/>
        <v/>
      </c>
      <c r="V1117" t="str">
        <f t="shared" si="719"/>
        <v/>
      </c>
      <c r="X1117">
        <f t="shared" si="730"/>
        <v>0</v>
      </c>
      <c r="Y1117">
        <f t="shared" si="731"/>
        <v>0</v>
      </c>
      <c r="Z1117">
        <f t="shared" si="732"/>
        <v>0</v>
      </c>
      <c r="AA1117">
        <f t="shared" si="733"/>
        <v>0</v>
      </c>
      <c r="AB1117">
        <f t="shared" si="734"/>
        <v>0</v>
      </c>
      <c r="AC1117">
        <f t="shared" si="735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9"/>
        <v>O</v>
      </c>
      <c r="M1118">
        <v>13</v>
      </c>
      <c r="N1118" s="6" t="str">
        <f t="shared" si="695"/>
        <v>#</v>
      </c>
      <c r="O1118" s="7" t="str">
        <f t="shared" si="696"/>
        <v>#</v>
      </c>
      <c r="P1118" s="7" t="str">
        <f t="shared" si="697"/>
        <v>#</v>
      </c>
      <c r="Q1118" s="7" t="str">
        <f t="shared" si="698"/>
        <v>#</v>
      </c>
      <c r="R1118" s="17" t="str">
        <f t="shared" si="699"/>
        <v>#</v>
      </c>
      <c r="S1118" s="8" t="str">
        <f t="shared" si="700"/>
        <v/>
      </c>
      <c r="T1118" s="2" t="str">
        <f t="shared" si="701"/>
        <v/>
      </c>
      <c r="U1118" s="2" t="str">
        <f t="shared" si="702"/>
        <v/>
      </c>
      <c r="V1118" t="str">
        <f t="shared" si="719"/>
        <v/>
      </c>
      <c r="X1118">
        <f t="shared" si="730"/>
        <v>0</v>
      </c>
      <c r="Y1118">
        <f t="shared" si="731"/>
        <v>1</v>
      </c>
      <c r="Z1118">
        <f t="shared" si="732"/>
        <v>1</v>
      </c>
      <c r="AA1118">
        <f t="shared" si="733"/>
        <v>1</v>
      </c>
      <c r="AB1118">
        <f t="shared" si="734"/>
        <v>0</v>
      </c>
      <c r="AC1118">
        <f t="shared" si="735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9"/>
        <v>O</v>
      </c>
      <c r="M1119">
        <v>14</v>
      </c>
      <c r="N1119" s="18" t="str">
        <f t="shared" si="695"/>
        <v>#</v>
      </c>
      <c r="O1119" s="19" t="str">
        <f t="shared" si="696"/>
        <v>#</v>
      </c>
      <c r="P1119" s="19" t="str">
        <f t="shared" si="697"/>
        <v>#</v>
      </c>
      <c r="Q1119" s="19" t="str">
        <f t="shared" si="698"/>
        <v>#</v>
      </c>
      <c r="R1119" s="20" t="str">
        <f t="shared" si="699"/>
        <v>#</v>
      </c>
      <c r="S1119" s="8" t="str">
        <f t="shared" si="700"/>
        <v/>
      </c>
      <c r="T1119" s="2" t="str">
        <f t="shared" si="701"/>
        <v/>
      </c>
      <c r="U1119" s="2" t="str">
        <f t="shared" si="702"/>
        <v/>
      </c>
      <c r="V1119" t="str">
        <f t="shared" si="719"/>
        <v/>
      </c>
      <c r="X1119">
        <f t="shared" si="730"/>
        <v>0</v>
      </c>
      <c r="Y1119">
        <f t="shared" si="731"/>
        <v>0</v>
      </c>
      <c r="Z1119">
        <f t="shared" si="732"/>
        <v>0</v>
      </c>
      <c r="AA1119">
        <f t="shared" si="733"/>
        <v>0</v>
      </c>
      <c r="AB1119">
        <f t="shared" si="734"/>
        <v>0</v>
      </c>
      <c r="AC1119">
        <f t="shared" si="735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9"/>
        <v>O</v>
      </c>
      <c r="M1120">
        <v>15</v>
      </c>
      <c r="N1120" s="9" t="str">
        <f t="shared" si="695"/>
        <v/>
      </c>
      <c r="O1120" s="10" t="str">
        <f t="shared" si="696"/>
        <v/>
      </c>
      <c r="P1120" s="10" t="str">
        <f t="shared" si="697"/>
        <v/>
      </c>
      <c r="Q1120" s="10" t="str">
        <f t="shared" si="698"/>
        <v/>
      </c>
      <c r="R1120" s="10" t="str">
        <f t="shared" si="699"/>
        <v/>
      </c>
      <c r="S1120" s="11" t="str">
        <f t="shared" si="700"/>
        <v/>
      </c>
      <c r="T1120" s="2" t="str">
        <f t="shared" si="701"/>
        <v/>
      </c>
      <c r="U1120" s="2" t="str">
        <f t="shared" si="702"/>
        <v/>
      </c>
      <c r="V1120" t="str">
        <f t="shared" si="719"/>
        <v/>
      </c>
      <c r="X1120">
        <f t="shared" si="730"/>
        <v>0</v>
      </c>
      <c r="Y1120">
        <f t="shared" si="731"/>
        <v>0</v>
      </c>
      <c r="Z1120">
        <f t="shared" si="732"/>
        <v>0</v>
      </c>
      <c r="AA1120">
        <f t="shared" si="733"/>
        <v>0</v>
      </c>
      <c r="AB1120">
        <f t="shared" si="734"/>
        <v>0</v>
      </c>
      <c r="AC1120">
        <f t="shared" si="735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9"/>
        <v>O</v>
      </c>
      <c r="M1121">
        <v>16</v>
      </c>
      <c r="N1121" s="12" t="str">
        <f t="shared" si="695"/>
        <v/>
      </c>
      <c r="O1121" s="13" t="str">
        <f t="shared" si="696"/>
        <v/>
      </c>
      <c r="P1121" s="13" t="str">
        <f t="shared" si="697"/>
        <v/>
      </c>
      <c r="Q1121" s="13" t="str">
        <f t="shared" si="698"/>
        <v/>
      </c>
      <c r="R1121" s="13" t="str">
        <f t="shared" si="699"/>
        <v/>
      </c>
      <c r="S1121" s="14" t="str">
        <f t="shared" si="700"/>
        <v/>
      </c>
      <c r="T1121" s="2" t="str">
        <f t="shared" si="701"/>
        <v/>
      </c>
      <c r="U1121" s="2" t="str">
        <f t="shared" si="702"/>
        <v/>
      </c>
      <c r="V1121" t="str">
        <f t="shared" si="719"/>
        <v/>
      </c>
      <c r="X1121">
        <f t="shared" si="730"/>
        <v>0</v>
      </c>
      <c r="Y1121">
        <f t="shared" si="731"/>
        <v>0</v>
      </c>
      <c r="Z1121">
        <f t="shared" si="732"/>
        <v>0</v>
      </c>
      <c r="AA1121">
        <f t="shared" si="733"/>
        <v>0</v>
      </c>
      <c r="AB1121">
        <f t="shared" si="734"/>
        <v>0</v>
      </c>
      <c r="AC1121">
        <f t="shared" si="735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6">IF(B1122&gt;0,"#","")</f>
        <v/>
      </c>
      <c r="O1122" t="str">
        <f t="shared" ref="O1122:O1185" si="737">IF(C1122&gt;0,"#","")</f>
        <v/>
      </c>
      <c r="P1122" t="str">
        <f t="shared" ref="P1122:P1185" si="738">IF(D1122&gt;0,"#","")</f>
        <v/>
      </c>
      <c r="Q1122" t="str">
        <f t="shared" ref="Q1122:Q1185" si="739">IF(E1122&gt;0,"#","")</f>
        <v/>
      </c>
      <c r="R1122" t="str">
        <f t="shared" ref="R1122:R1185" si="740">IF(F1122&gt;0,"#","")</f>
        <v/>
      </c>
      <c r="S1122" t="str">
        <f t="shared" ref="S1122:S1185" si="741">IF(G1122&gt;0,"#","")</f>
        <v/>
      </c>
      <c r="T1122" s="2" t="str">
        <f t="shared" ref="T1122:T1185" si="742">IF(H1122&gt;0,"#","")</f>
        <v/>
      </c>
      <c r="U1122" s="2" t="str">
        <f t="shared" ref="U1122:U1185" si="743">IF(I1122&gt;0,"#","")</f>
        <v/>
      </c>
      <c r="V1122" t="str">
        <f t="shared" si="719"/>
        <v/>
      </c>
      <c r="W1122">
        <f>SUM(B1124:G1137)</f>
        <v>30</v>
      </c>
      <c r="AD1122">
        <f t="shared" ref="AD1122" si="744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45">L1122</f>
        <v>P</v>
      </c>
      <c r="M1123">
        <v>2</v>
      </c>
      <c r="N1123" t="str">
        <f t="shared" si="736"/>
        <v/>
      </c>
      <c r="O1123" t="str">
        <f t="shared" si="737"/>
        <v/>
      </c>
      <c r="P1123" t="str">
        <f t="shared" si="738"/>
        <v/>
      </c>
      <c r="Q1123" t="str">
        <f t="shared" si="739"/>
        <v/>
      </c>
      <c r="R1123" t="str">
        <f t="shared" si="740"/>
        <v/>
      </c>
      <c r="S1123" t="str">
        <f t="shared" si="741"/>
        <v/>
      </c>
      <c r="T1123" s="2" t="str">
        <f t="shared" si="742"/>
        <v/>
      </c>
      <c r="U1123" s="2" t="str">
        <f t="shared" si="743"/>
        <v/>
      </c>
      <c r="V1123" t="str">
        <f t="shared" si="719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45"/>
        <v>P</v>
      </c>
      <c r="M1124">
        <v>3</v>
      </c>
      <c r="N1124" s="3" t="str">
        <f t="shared" si="736"/>
        <v/>
      </c>
      <c r="O1124" s="4" t="str">
        <f t="shared" si="737"/>
        <v/>
      </c>
      <c r="P1124" s="4" t="str">
        <f t="shared" si="738"/>
        <v/>
      </c>
      <c r="Q1124" s="4" t="str">
        <f t="shared" si="739"/>
        <v/>
      </c>
      <c r="R1124" s="4" t="str">
        <f t="shared" si="740"/>
        <v/>
      </c>
      <c r="S1124" s="5" t="str">
        <f t="shared" si="741"/>
        <v/>
      </c>
      <c r="T1124" s="2" t="str">
        <f t="shared" si="742"/>
        <v/>
      </c>
      <c r="U1124" s="2" t="str">
        <f t="shared" si="743"/>
        <v/>
      </c>
      <c r="V1124" t="str">
        <f t="shared" si="719"/>
        <v/>
      </c>
      <c r="X1124">
        <f t="shared" ref="X1124:X1137" si="746">MAX(B1124-B1123,0)</f>
        <v>0</v>
      </c>
      <c r="Y1124">
        <f t="shared" ref="Y1124:Y1137" si="747">MAX(C1124-C1123,0)</f>
        <v>0</v>
      </c>
      <c r="Z1124">
        <f t="shared" ref="Z1124:Z1137" si="748">MAX(D1124-D1123,0)</f>
        <v>0</v>
      </c>
      <c r="AA1124">
        <f t="shared" ref="AA1124:AA1137" si="749">MAX(E1124-E1123,0)</f>
        <v>0</v>
      </c>
      <c r="AB1124">
        <f t="shared" ref="AB1124:AB1137" si="750">MAX(F1124-F1123,0)</f>
        <v>0</v>
      </c>
      <c r="AC1124">
        <f t="shared" ref="AC1124:AC1137" si="751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45"/>
        <v>P</v>
      </c>
      <c r="M1125">
        <v>4</v>
      </c>
      <c r="N1125" s="6" t="str">
        <f t="shared" si="736"/>
        <v/>
      </c>
      <c r="O1125" s="7" t="str">
        <f t="shared" si="737"/>
        <v/>
      </c>
      <c r="P1125" s="7" t="str">
        <f t="shared" si="738"/>
        <v/>
      </c>
      <c r="Q1125" s="7" t="str">
        <f t="shared" si="739"/>
        <v/>
      </c>
      <c r="R1125" s="7" t="str">
        <f t="shared" si="740"/>
        <v/>
      </c>
      <c r="S1125" s="8" t="str">
        <f t="shared" si="741"/>
        <v/>
      </c>
      <c r="T1125" s="2" t="str">
        <f t="shared" si="742"/>
        <v/>
      </c>
      <c r="U1125" s="2" t="str">
        <f t="shared" si="743"/>
        <v/>
      </c>
      <c r="V1125" t="str">
        <f t="shared" si="719"/>
        <v/>
      </c>
      <c r="X1125">
        <f t="shared" si="746"/>
        <v>0</v>
      </c>
      <c r="Y1125">
        <f t="shared" si="747"/>
        <v>0</v>
      </c>
      <c r="Z1125">
        <f t="shared" si="748"/>
        <v>0</v>
      </c>
      <c r="AA1125">
        <f t="shared" si="749"/>
        <v>0</v>
      </c>
      <c r="AB1125">
        <f t="shared" si="750"/>
        <v>0</v>
      </c>
      <c r="AC1125">
        <f t="shared" si="751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45"/>
        <v>P</v>
      </c>
      <c r="M1126">
        <v>5</v>
      </c>
      <c r="N1126" s="22" t="str">
        <f t="shared" si="736"/>
        <v>#</v>
      </c>
      <c r="O1126" s="15" t="str">
        <f t="shared" si="737"/>
        <v>#</v>
      </c>
      <c r="P1126" s="15" t="str">
        <f t="shared" si="738"/>
        <v>#</v>
      </c>
      <c r="Q1126" s="15" t="str">
        <f t="shared" si="739"/>
        <v>#</v>
      </c>
      <c r="R1126" s="16" t="str">
        <f t="shared" si="740"/>
        <v>#</v>
      </c>
      <c r="S1126" s="8" t="str">
        <f t="shared" si="741"/>
        <v/>
      </c>
      <c r="T1126" s="2" t="str">
        <f t="shared" si="742"/>
        <v/>
      </c>
      <c r="U1126" s="2" t="str">
        <f t="shared" si="743"/>
        <v/>
      </c>
      <c r="V1126" t="str">
        <f t="shared" si="719"/>
        <v/>
      </c>
      <c r="X1126">
        <f t="shared" si="746"/>
        <v>1</v>
      </c>
      <c r="Y1126">
        <f t="shared" si="747"/>
        <v>1</v>
      </c>
      <c r="Z1126">
        <f t="shared" si="748"/>
        <v>1</v>
      </c>
      <c r="AA1126">
        <f t="shared" si="749"/>
        <v>1</v>
      </c>
      <c r="AB1126">
        <f t="shared" si="750"/>
        <v>1</v>
      </c>
      <c r="AC1126">
        <f t="shared" si="751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45"/>
        <v>P</v>
      </c>
      <c r="M1127">
        <v>6</v>
      </c>
      <c r="N1127" s="23" t="str">
        <f t="shared" si="736"/>
        <v>#</v>
      </c>
      <c r="O1127" s="7" t="str">
        <f t="shared" si="737"/>
        <v>#</v>
      </c>
      <c r="P1127" s="7" t="str">
        <f t="shared" si="738"/>
        <v>#</v>
      </c>
      <c r="Q1127" s="7" t="str">
        <f t="shared" si="739"/>
        <v>#</v>
      </c>
      <c r="R1127" s="17" t="str">
        <f t="shared" si="740"/>
        <v>#</v>
      </c>
      <c r="S1127" s="8" t="str">
        <f t="shared" si="741"/>
        <v/>
      </c>
      <c r="T1127" s="2" t="str">
        <f t="shared" si="742"/>
        <v/>
      </c>
      <c r="U1127" s="2" t="str">
        <f t="shared" si="743"/>
        <v/>
      </c>
      <c r="V1127" t="str">
        <f t="shared" si="719"/>
        <v/>
      </c>
      <c r="X1127">
        <f t="shared" si="746"/>
        <v>0</v>
      </c>
      <c r="Y1127">
        <f t="shared" si="747"/>
        <v>0</v>
      </c>
      <c r="Z1127">
        <f t="shared" si="748"/>
        <v>0</v>
      </c>
      <c r="AA1127">
        <f t="shared" si="749"/>
        <v>0</v>
      </c>
      <c r="AB1127">
        <f t="shared" si="750"/>
        <v>0</v>
      </c>
      <c r="AC1127">
        <f t="shared" si="751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45"/>
        <v>P</v>
      </c>
      <c r="M1128">
        <v>7</v>
      </c>
      <c r="N1128" s="23" t="str">
        <f t="shared" si="736"/>
        <v/>
      </c>
      <c r="O1128" s="7" t="str">
        <f t="shared" si="737"/>
        <v>#</v>
      </c>
      <c r="P1128" s="7" t="str">
        <f t="shared" si="738"/>
        <v/>
      </c>
      <c r="Q1128" s="7" t="str">
        <f t="shared" si="739"/>
        <v/>
      </c>
      <c r="R1128" s="17" t="str">
        <f t="shared" si="740"/>
        <v>#</v>
      </c>
      <c r="S1128" s="8" t="str">
        <f t="shared" si="741"/>
        <v/>
      </c>
      <c r="T1128" s="2" t="str">
        <f t="shared" si="742"/>
        <v/>
      </c>
      <c r="U1128" s="2" t="str">
        <f t="shared" si="743"/>
        <v/>
      </c>
      <c r="V1128" t="str">
        <f t="shared" si="719"/>
        <v/>
      </c>
      <c r="X1128">
        <f t="shared" si="746"/>
        <v>0</v>
      </c>
      <c r="Y1128">
        <f t="shared" si="747"/>
        <v>0</v>
      </c>
      <c r="Z1128">
        <f t="shared" si="748"/>
        <v>0</v>
      </c>
      <c r="AA1128">
        <f t="shared" si="749"/>
        <v>0</v>
      </c>
      <c r="AB1128">
        <f t="shared" si="750"/>
        <v>0</v>
      </c>
      <c r="AC1128">
        <f t="shared" si="751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45"/>
        <v>P</v>
      </c>
      <c r="M1129">
        <v>8</v>
      </c>
      <c r="N1129" s="23" t="str">
        <f t="shared" si="736"/>
        <v/>
      </c>
      <c r="O1129" s="7" t="str">
        <f t="shared" si="737"/>
        <v>#</v>
      </c>
      <c r="P1129" s="7" t="str">
        <f t="shared" si="738"/>
        <v/>
      </c>
      <c r="Q1129" s="7" t="str">
        <f t="shared" si="739"/>
        <v/>
      </c>
      <c r="R1129" s="17" t="str">
        <f t="shared" si="740"/>
        <v>#</v>
      </c>
      <c r="S1129" s="8" t="str">
        <f t="shared" si="741"/>
        <v/>
      </c>
      <c r="T1129" s="2" t="str">
        <f t="shared" si="742"/>
        <v/>
      </c>
      <c r="U1129" s="2" t="str">
        <f t="shared" si="743"/>
        <v/>
      </c>
      <c r="V1129" t="str">
        <f t="shared" si="719"/>
        <v/>
      </c>
      <c r="X1129">
        <f t="shared" si="746"/>
        <v>0</v>
      </c>
      <c r="Y1129">
        <f t="shared" si="747"/>
        <v>0</v>
      </c>
      <c r="Z1129">
        <f t="shared" si="748"/>
        <v>0</v>
      </c>
      <c r="AA1129">
        <f t="shared" si="749"/>
        <v>0</v>
      </c>
      <c r="AB1129">
        <f t="shared" si="750"/>
        <v>0</v>
      </c>
      <c r="AC1129">
        <f t="shared" si="751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45"/>
        <v>P</v>
      </c>
      <c r="M1130">
        <v>9</v>
      </c>
      <c r="N1130" s="23" t="str">
        <f t="shared" si="736"/>
        <v/>
      </c>
      <c r="O1130" s="7" t="str">
        <f t="shared" si="737"/>
        <v>#</v>
      </c>
      <c r="P1130" s="7" t="str">
        <f t="shared" si="738"/>
        <v>#</v>
      </c>
      <c r="Q1130" s="7" t="str">
        <f t="shared" si="739"/>
        <v>#</v>
      </c>
      <c r="R1130" s="17" t="str">
        <f t="shared" si="740"/>
        <v>#</v>
      </c>
      <c r="S1130" s="8" t="str">
        <f t="shared" si="741"/>
        <v/>
      </c>
      <c r="T1130" s="2" t="str">
        <f t="shared" si="742"/>
        <v/>
      </c>
      <c r="U1130" s="2" t="str">
        <f t="shared" si="743"/>
        <v/>
      </c>
      <c r="V1130" t="str">
        <f t="shared" si="719"/>
        <v/>
      </c>
      <c r="X1130">
        <f t="shared" si="746"/>
        <v>0</v>
      </c>
      <c r="Y1130">
        <f t="shared" si="747"/>
        <v>0</v>
      </c>
      <c r="Z1130">
        <f t="shared" si="748"/>
        <v>1</v>
      </c>
      <c r="AA1130">
        <f t="shared" si="749"/>
        <v>1</v>
      </c>
      <c r="AB1130">
        <f t="shared" si="750"/>
        <v>0</v>
      </c>
      <c r="AC1130">
        <f t="shared" si="751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45"/>
        <v>P</v>
      </c>
      <c r="M1131">
        <v>10</v>
      </c>
      <c r="N1131" s="23" t="str">
        <f t="shared" si="736"/>
        <v/>
      </c>
      <c r="O1131" s="7" t="str">
        <f t="shared" si="737"/>
        <v>#</v>
      </c>
      <c r="P1131" s="7" t="str">
        <f t="shared" si="738"/>
        <v>#</v>
      </c>
      <c r="Q1131" s="7" t="str">
        <f t="shared" si="739"/>
        <v>#</v>
      </c>
      <c r="R1131" s="17" t="str">
        <f t="shared" si="740"/>
        <v>#</v>
      </c>
      <c r="S1131" s="8" t="str">
        <f t="shared" si="741"/>
        <v/>
      </c>
      <c r="T1131" s="2" t="str">
        <f t="shared" si="742"/>
        <v/>
      </c>
      <c r="U1131" s="2" t="str">
        <f t="shared" si="743"/>
        <v/>
      </c>
      <c r="V1131" t="str">
        <f t="shared" si="719"/>
        <v/>
      </c>
      <c r="X1131">
        <f t="shared" si="746"/>
        <v>0</v>
      </c>
      <c r="Y1131">
        <f t="shared" si="747"/>
        <v>0</v>
      </c>
      <c r="Z1131">
        <f t="shared" si="748"/>
        <v>0</v>
      </c>
      <c r="AA1131">
        <f t="shared" si="749"/>
        <v>0</v>
      </c>
      <c r="AB1131">
        <f t="shared" si="750"/>
        <v>0</v>
      </c>
      <c r="AC1131">
        <f t="shared" si="751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45"/>
        <v>P</v>
      </c>
      <c r="M1132">
        <v>11</v>
      </c>
      <c r="N1132" s="23" t="str">
        <f t="shared" si="736"/>
        <v/>
      </c>
      <c r="O1132" s="7" t="str">
        <f t="shared" si="737"/>
        <v>#</v>
      </c>
      <c r="P1132" s="7" t="str">
        <f t="shared" si="738"/>
        <v/>
      </c>
      <c r="Q1132" s="7" t="str">
        <f t="shared" si="739"/>
        <v/>
      </c>
      <c r="R1132" s="17" t="str">
        <f t="shared" si="740"/>
        <v/>
      </c>
      <c r="S1132" s="8" t="str">
        <f t="shared" si="741"/>
        <v/>
      </c>
      <c r="T1132" s="2" t="str">
        <f t="shared" si="742"/>
        <v/>
      </c>
      <c r="U1132" s="2" t="str">
        <f t="shared" si="743"/>
        <v/>
      </c>
      <c r="V1132" t="str">
        <f t="shared" si="719"/>
        <v/>
      </c>
      <c r="X1132">
        <f t="shared" si="746"/>
        <v>0</v>
      </c>
      <c r="Y1132">
        <f t="shared" si="747"/>
        <v>0</v>
      </c>
      <c r="Z1132">
        <f t="shared" si="748"/>
        <v>0</v>
      </c>
      <c r="AA1132">
        <f t="shared" si="749"/>
        <v>0</v>
      </c>
      <c r="AB1132">
        <f t="shared" si="750"/>
        <v>0</v>
      </c>
      <c r="AC1132">
        <f t="shared" si="751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45"/>
        <v>P</v>
      </c>
      <c r="M1133">
        <v>12</v>
      </c>
      <c r="N1133" s="23" t="str">
        <f t="shared" si="736"/>
        <v/>
      </c>
      <c r="O1133" s="7" t="str">
        <f t="shared" si="737"/>
        <v>#</v>
      </c>
      <c r="P1133" s="7" t="str">
        <f t="shared" si="738"/>
        <v/>
      </c>
      <c r="Q1133" s="7" t="str">
        <f t="shared" si="739"/>
        <v/>
      </c>
      <c r="R1133" s="17" t="str">
        <f t="shared" si="740"/>
        <v/>
      </c>
      <c r="S1133" s="8" t="str">
        <f t="shared" si="741"/>
        <v/>
      </c>
      <c r="T1133" s="2" t="str">
        <f t="shared" si="742"/>
        <v/>
      </c>
      <c r="U1133" s="2" t="str">
        <f t="shared" si="743"/>
        <v/>
      </c>
      <c r="V1133" t="str">
        <f t="shared" si="719"/>
        <v/>
      </c>
      <c r="X1133">
        <f t="shared" si="746"/>
        <v>0</v>
      </c>
      <c r="Y1133">
        <f t="shared" si="747"/>
        <v>0</v>
      </c>
      <c r="Z1133">
        <f t="shared" si="748"/>
        <v>0</v>
      </c>
      <c r="AA1133">
        <f t="shared" si="749"/>
        <v>0</v>
      </c>
      <c r="AB1133">
        <f t="shared" si="750"/>
        <v>0</v>
      </c>
      <c r="AC1133">
        <f t="shared" si="751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45"/>
        <v>P</v>
      </c>
      <c r="M1134">
        <v>13</v>
      </c>
      <c r="N1134" s="6" t="str">
        <f t="shared" si="736"/>
        <v>#</v>
      </c>
      <c r="O1134" s="7" t="str">
        <f t="shared" si="737"/>
        <v>#</v>
      </c>
      <c r="P1134" s="7" t="str">
        <f t="shared" si="738"/>
        <v>#</v>
      </c>
      <c r="Q1134" s="7" t="str">
        <f t="shared" si="739"/>
        <v/>
      </c>
      <c r="R1134" s="17" t="str">
        <f t="shared" si="740"/>
        <v/>
      </c>
      <c r="S1134" s="8" t="str">
        <f t="shared" si="741"/>
        <v/>
      </c>
      <c r="T1134" s="2" t="str">
        <f t="shared" si="742"/>
        <v/>
      </c>
      <c r="U1134" s="2" t="str">
        <f t="shared" si="743"/>
        <v/>
      </c>
      <c r="V1134" t="str">
        <f t="shared" si="719"/>
        <v/>
      </c>
      <c r="X1134">
        <f t="shared" si="746"/>
        <v>1</v>
      </c>
      <c r="Y1134">
        <f t="shared" si="747"/>
        <v>0</v>
      </c>
      <c r="Z1134">
        <f t="shared" si="748"/>
        <v>1</v>
      </c>
      <c r="AA1134">
        <f t="shared" si="749"/>
        <v>0</v>
      </c>
      <c r="AB1134">
        <f t="shared" si="750"/>
        <v>0</v>
      </c>
      <c r="AC1134">
        <f t="shared" si="751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45"/>
        <v>P</v>
      </c>
      <c r="M1135">
        <v>14</v>
      </c>
      <c r="N1135" s="18" t="str">
        <f t="shared" si="736"/>
        <v>#</v>
      </c>
      <c r="O1135" s="19" t="str">
        <f t="shared" si="737"/>
        <v>#</v>
      </c>
      <c r="P1135" s="19" t="str">
        <f t="shared" si="738"/>
        <v>#</v>
      </c>
      <c r="Q1135" s="19" t="str">
        <f t="shared" si="739"/>
        <v/>
      </c>
      <c r="R1135" s="20" t="str">
        <f t="shared" si="740"/>
        <v/>
      </c>
      <c r="S1135" s="8" t="str">
        <f t="shared" si="741"/>
        <v/>
      </c>
      <c r="T1135" s="2" t="str">
        <f t="shared" si="742"/>
        <v/>
      </c>
      <c r="U1135" s="2" t="str">
        <f t="shared" si="743"/>
        <v/>
      </c>
      <c r="V1135" t="str">
        <f t="shared" si="719"/>
        <v/>
      </c>
      <c r="X1135">
        <f t="shared" si="746"/>
        <v>0</v>
      </c>
      <c r="Y1135">
        <f t="shared" si="747"/>
        <v>0</v>
      </c>
      <c r="Z1135">
        <f t="shared" si="748"/>
        <v>0</v>
      </c>
      <c r="AA1135">
        <f t="shared" si="749"/>
        <v>0</v>
      </c>
      <c r="AB1135">
        <f t="shared" si="750"/>
        <v>0</v>
      </c>
      <c r="AC1135">
        <f t="shared" si="751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45"/>
        <v>P</v>
      </c>
      <c r="M1136">
        <v>15</v>
      </c>
      <c r="N1136" s="9" t="str">
        <f t="shared" si="736"/>
        <v/>
      </c>
      <c r="O1136" s="10" t="str">
        <f t="shared" si="737"/>
        <v/>
      </c>
      <c r="P1136" s="10" t="str">
        <f t="shared" si="738"/>
        <v/>
      </c>
      <c r="Q1136" s="10" t="str">
        <f t="shared" si="739"/>
        <v/>
      </c>
      <c r="R1136" s="10" t="str">
        <f t="shared" si="740"/>
        <v/>
      </c>
      <c r="S1136" s="11" t="str">
        <f t="shared" si="741"/>
        <v/>
      </c>
      <c r="T1136" s="2" t="str">
        <f t="shared" si="742"/>
        <v/>
      </c>
      <c r="U1136" s="2" t="str">
        <f t="shared" si="743"/>
        <v/>
      </c>
      <c r="V1136" t="str">
        <f t="shared" si="719"/>
        <v/>
      </c>
      <c r="X1136">
        <f t="shared" si="746"/>
        <v>0</v>
      </c>
      <c r="Y1136">
        <f t="shared" si="747"/>
        <v>0</v>
      </c>
      <c r="Z1136">
        <f t="shared" si="748"/>
        <v>0</v>
      </c>
      <c r="AA1136">
        <f t="shared" si="749"/>
        <v>0</v>
      </c>
      <c r="AB1136">
        <f t="shared" si="750"/>
        <v>0</v>
      </c>
      <c r="AC1136">
        <f t="shared" si="751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45"/>
        <v>P</v>
      </c>
      <c r="M1137">
        <v>16</v>
      </c>
      <c r="N1137" s="12" t="str">
        <f t="shared" si="736"/>
        <v/>
      </c>
      <c r="O1137" s="13" t="str">
        <f t="shared" si="737"/>
        <v/>
      </c>
      <c r="P1137" s="13" t="str">
        <f t="shared" si="738"/>
        <v/>
      </c>
      <c r="Q1137" s="13" t="str">
        <f t="shared" si="739"/>
        <v/>
      </c>
      <c r="R1137" s="13" t="str">
        <f t="shared" si="740"/>
        <v/>
      </c>
      <c r="S1137" s="14" t="str">
        <f t="shared" si="741"/>
        <v/>
      </c>
      <c r="T1137" s="2" t="str">
        <f t="shared" si="742"/>
        <v/>
      </c>
      <c r="U1137" s="2" t="str">
        <f t="shared" si="743"/>
        <v/>
      </c>
      <c r="V1137" t="str">
        <f t="shared" si="719"/>
        <v/>
      </c>
      <c r="X1137">
        <f t="shared" si="746"/>
        <v>0</v>
      </c>
      <c r="Y1137">
        <f t="shared" si="747"/>
        <v>0</v>
      </c>
      <c r="Z1137">
        <f t="shared" si="748"/>
        <v>0</v>
      </c>
      <c r="AA1137">
        <f t="shared" si="749"/>
        <v>0</v>
      </c>
      <c r="AB1137">
        <f t="shared" si="750"/>
        <v>0</v>
      </c>
      <c r="AC1137">
        <f t="shared" si="751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6"/>
        <v/>
      </c>
      <c r="O1138" t="str">
        <f t="shared" si="737"/>
        <v/>
      </c>
      <c r="P1138" t="str">
        <f t="shared" si="738"/>
        <v/>
      </c>
      <c r="Q1138" t="str">
        <f t="shared" si="739"/>
        <v/>
      </c>
      <c r="R1138" t="str">
        <f t="shared" si="740"/>
        <v/>
      </c>
      <c r="S1138" t="str">
        <f t="shared" si="741"/>
        <v/>
      </c>
      <c r="T1138" s="2" t="str">
        <f t="shared" si="742"/>
        <v/>
      </c>
      <c r="U1138" s="2" t="str">
        <f t="shared" si="743"/>
        <v/>
      </c>
      <c r="V1138" t="str">
        <f t="shared" si="719"/>
        <v/>
      </c>
      <c r="W1138">
        <f>SUM(B1140:G1153)</f>
        <v>34</v>
      </c>
      <c r="AD1138">
        <f t="shared" ref="AD1138" si="752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53">L1138</f>
        <v>Q</v>
      </c>
      <c r="M1139">
        <v>2</v>
      </c>
      <c r="N1139" t="str">
        <f t="shared" si="736"/>
        <v/>
      </c>
      <c r="O1139" t="str">
        <f t="shared" si="737"/>
        <v/>
      </c>
      <c r="P1139" t="str">
        <f t="shared" si="738"/>
        <v/>
      </c>
      <c r="Q1139" t="str">
        <f t="shared" si="739"/>
        <v/>
      </c>
      <c r="R1139" t="str">
        <f t="shared" si="740"/>
        <v/>
      </c>
      <c r="S1139" t="str">
        <f t="shared" si="741"/>
        <v/>
      </c>
      <c r="T1139" s="2" t="str">
        <f t="shared" si="742"/>
        <v/>
      </c>
      <c r="U1139" s="2" t="str">
        <f t="shared" si="743"/>
        <v/>
      </c>
      <c r="V1139" t="str">
        <f t="shared" si="719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53"/>
        <v>Q</v>
      </c>
      <c r="M1140">
        <v>3</v>
      </c>
      <c r="N1140" s="3" t="str">
        <f t="shared" si="736"/>
        <v/>
      </c>
      <c r="O1140" s="4" t="str">
        <f t="shared" si="737"/>
        <v/>
      </c>
      <c r="P1140" s="4" t="str">
        <f t="shared" si="738"/>
        <v/>
      </c>
      <c r="Q1140" s="4" t="str">
        <f t="shared" si="739"/>
        <v/>
      </c>
      <c r="R1140" s="4" t="str">
        <f t="shared" si="740"/>
        <v/>
      </c>
      <c r="S1140" s="5" t="str">
        <f t="shared" si="741"/>
        <v/>
      </c>
      <c r="T1140" s="2" t="str">
        <f t="shared" si="742"/>
        <v/>
      </c>
      <c r="U1140" s="2" t="str">
        <f t="shared" si="743"/>
        <v/>
      </c>
      <c r="V1140" t="str">
        <f t="shared" si="719"/>
        <v/>
      </c>
      <c r="X1140">
        <f t="shared" ref="X1140:X1153" si="754">MAX(B1140-B1139,0)</f>
        <v>0</v>
      </c>
      <c r="Y1140">
        <f t="shared" ref="Y1140:Y1153" si="755">MAX(C1140-C1139,0)</f>
        <v>0</v>
      </c>
      <c r="Z1140">
        <f t="shared" ref="Z1140:Z1153" si="756">MAX(D1140-D1139,0)</f>
        <v>0</v>
      </c>
      <c r="AA1140">
        <f t="shared" ref="AA1140:AA1153" si="757">MAX(E1140-E1139,0)</f>
        <v>0</v>
      </c>
      <c r="AB1140">
        <f t="shared" ref="AB1140:AB1153" si="758">MAX(F1140-F1139,0)</f>
        <v>0</v>
      </c>
      <c r="AC1140">
        <f t="shared" ref="AC1140:AC1153" si="759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53"/>
        <v>Q</v>
      </c>
      <c r="M1141">
        <v>4</v>
      </c>
      <c r="N1141" s="6" t="str">
        <f t="shared" si="736"/>
        <v/>
      </c>
      <c r="O1141" s="7" t="str">
        <f t="shared" si="737"/>
        <v/>
      </c>
      <c r="P1141" s="7" t="str">
        <f t="shared" si="738"/>
        <v/>
      </c>
      <c r="Q1141" s="7" t="str">
        <f t="shared" si="739"/>
        <v/>
      </c>
      <c r="R1141" s="7" t="str">
        <f t="shared" si="740"/>
        <v/>
      </c>
      <c r="S1141" s="8" t="str">
        <f t="shared" si="741"/>
        <v/>
      </c>
      <c r="T1141" s="2" t="str">
        <f t="shared" si="742"/>
        <v/>
      </c>
      <c r="U1141" s="2" t="str">
        <f t="shared" si="743"/>
        <v/>
      </c>
      <c r="V1141" t="str">
        <f t="shared" si="719"/>
        <v/>
      </c>
      <c r="X1141">
        <f t="shared" si="754"/>
        <v>0</v>
      </c>
      <c r="Y1141">
        <f t="shared" si="755"/>
        <v>0</v>
      </c>
      <c r="Z1141">
        <f t="shared" si="756"/>
        <v>0</v>
      </c>
      <c r="AA1141">
        <f t="shared" si="757"/>
        <v>0</v>
      </c>
      <c r="AB1141">
        <f t="shared" si="758"/>
        <v>0</v>
      </c>
      <c r="AC1141">
        <f t="shared" si="759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53"/>
        <v>Q</v>
      </c>
      <c r="M1142">
        <v>5</v>
      </c>
      <c r="N1142" s="22" t="str">
        <f t="shared" si="736"/>
        <v>#</v>
      </c>
      <c r="O1142" s="15" t="str">
        <f t="shared" si="737"/>
        <v>#</v>
      </c>
      <c r="P1142" s="15" t="str">
        <f t="shared" si="738"/>
        <v>#</v>
      </c>
      <c r="Q1142" s="15" t="str">
        <f t="shared" si="739"/>
        <v>#</v>
      </c>
      <c r="R1142" s="16" t="str">
        <f t="shared" si="740"/>
        <v/>
      </c>
      <c r="S1142" s="8" t="str">
        <f t="shared" si="741"/>
        <v/>
      </c>
      <c r="T1142" s="2" t="str">
        <f t="shared" si="742"/>
        <v/>
      </c>
      <c r="U1142" s="2" t="str">
        <f t="shared" si="743"/>
        <v/>
      </c>
      <c r="V1142" t="str">
        <f t="shared" si="719"/>
        <v/>
      </c>
      <c r="X1142">
        <f t="shared" si="754"/>
        <v>1</v>
      </c>
      <c r="Y1142">
        <f t="shared" si="755"/>
        <v>1</v>
      </c>
      <c r="Z1142">
        <f t="shared" si="756"/>
        <v>1</v>
      </c>
      <c r="AA1142">
        <f t="shared" si="757"/>
        <v>1</v>
      </c>
      <c r="AB1142">
        <f t="shared" si="758"/>
        <v>0</v>
      </c>
      <c r="AC1142">
        <f t="shared" si="759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53"/>
        <v>Q</v>
      </c>
      <c r="M1143">
        <v>6</v>
      </c>
      <c r="N1143" s="23" t="str">
        <f t="shared" si="736"/>
        <v>#</v>
      </c>
      <c r="O1143" s="7" t="str">
        <f t="shared" si="737"/>
        <v>#</v>
      </c>
      <c r="P1143" s="7" t="str">
        <f t="shared" si="738"/>
        <v>#</v>
      </c>
      <c r="Q1143" s="7" t="str">
        <f t="shared" si="739"/>
        <v>#</v>
      </c>
      <c r="R1143" s="17" t="str">
        <f t="shared" si="740"/>
        <v/>
      </c>
      <c r="S1143" s="8" t="str">
        <f t="shared" si="741"/>
        <v/>
      </c>
      <c r="T1143" s="2" t="str">
        <f t="shared" si="742"/>
        <v/>
      </c>
      <c r="U1143" s="2" t="str">
        <f t="shared" si="743"/>
        <v/>
      </c>
      <c r="V1143" t="str">
        <f t="shared" si="719"/>
        <v/>
      </c>
      <c r="X1143">
        <f t="shared" si="754"/>
        <v>0</v>
      </c>
      <c r="Y1143">
        <f t="shared" si="755"/>
        <v>0</v>
      </c>
      <c r="Z1143">
        <f t="shared" si="756"/>
        <v>0</v>
      </c>
      <c r="AA1143">
        <f t="shared" si="757"/>
        <v>0</v>
      </c>
      <c r="AB1143">
        <f t="shared" si="758"/>
        <v>0</v>
      </c>
      <c r="AC1143">
        <f t="shared" si="759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53"/>
        <v>Q</v>
      </c>
      <c r="M1144">
        <v>7</v>
      </c>
      <c r="N1144" s="23" t="str">
        <f t="shared" si="736"/>
        <v>#</v>
      </c>
      <c r="O1144" s="7" t="str">
        <f t="shared" si="737"/>
        <v/>
      </c>
      <c r="P1144" s="7" t="str">
        <f t="shared" si="738"/>
        <v/>
      </c>
      <c r="Q1144" s="7" t="str">
        <f t="shared" si="739"/>
        <v>#</v>
      </c>
      <c r="R1144" s="17" t="str">
        <f t="shared" si="740"/>
        <v/>
      </c>
      <c r="S1144" s="8" t="str">
        <f t="shared" si="741"/>
        <v/>
      </c>
      <c r="T1144" s="2" t="str">
        <f t="shared" si="742"/>
        <v/>
      </c>
      <c r="U1144" s="2" t="str">
        <f t="shared" si="743"/>
        <v/>
      </c>
      <c r="V1144" t="str">
        <f t="shared" si="719"/>
        <v/>
      </c>
      <c r="X1144">
        <f t="shared" si="754"/>
        <v>0</v>
      </c>
      <c r="Y1144">
        <f t="shared" si="755"/>
        <v>0</v>
      </c>
      <c r="Z1144">
        <f t="shared" si="756"/>
        <v>0</v>
      </c>
      <c r="AA1144">
        <f t="shared" si="757"/>
        <v>0</v>
      </c>
      <c r="AB1144">
        <f t="shared" si="758"/>
        <v>0</v>
      </c>
      <c r="AC1144">
        <f t="shared" si="759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53"/>
        <v>Q</v>
      </c>
      <c r="M1145">
        <v>8</v>
      </c>
      <c r="N1145" s="23" t="str">
        <f t="shared" si="736"/>
        <v>#</v>
      </c>
      <c r="O1145" s="7" t="str">
        <f t="shared" si="737"/>
        <v/>
      </c>
      <c r="P1145" s="7" t="str">
        <f t="shared" si="738"/>
        <v/>
      </c>
      <c r="Q1145" s="7" t="str">
        <f t="shared" si="739"/>
        <v>#</v>
      </c>
      <c r="R1145" s="17" t="str">
        <f t="shared" si="740"/>
        <v/>
      </c>
      <c r="S1145" s="8" t="str">
        <f t="shared" si="741"/>
        <v/>
      </c>
      <c r="T1145" s="2" t="str">
        <f t="shared" si="742"/>
        <v/>
      </c>
      <c r="U1145" s="2" t="str">
        <f t="shared" si="743"/>
        <v/>
      </c>
      <c r="V1145" t="str">
        <f t="shared" si="719"/>
        <v/>
      </c>
      <c r="X1145">
        <f t="shared" si="754"/>
        <v>0</v>
      </c>
      <c r="Y1145">
        <f t="shared" si="755"/>
        <v>0</v>
      </c>
      <c r="Z1145">
        <f t="shared" si="756"/>
        <v>0</v>
      </c>
      <c r="AA1145">
        <f t="shared" si="757"/>
        <v>0</v>
      </c>
      <c r="AB1145">
        <f t="shared" si="758"/>
        <v>0</v>
      </c>
      <c r="AC1145">
        <f t="shared" si="759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53"/>
        <v>Q</v>
      </c>
      <c r="M1146">
        <v>9</v>
      </c>
      <c r="N1146" s="23" t="str">
        <f t="shared" si="736"/>
        <v>#</v>
      </c>
      <c r="O1146" s="7" t="str">
        <f t="shared" si="737"/>
        <v/>
      </c>
      <c r="P1146" s="7" t="str">
        <f t="shared" si="738"/>
        <v/>
      </c>
      <c r="Q1146" s="7" t="str">
        <f t="shared" si="739"/>
        <v>#</v>
      </c>
      <c r="R1146" s="17" t="str">
        <f t="shared" si="740"/>
        <v/>
      </c>
      <c r="S1146" s="8" t="str">
        <f t="shared" si="741"/>
        <v/>
      </c>
      <c r="T1146" s="2" t="str">
        <f t="shared" si="742"/>
        <v/>
      </c>
      <c r="U1146" s="2" t="str">
        <f t="shared" si="743"/>
        <v/>
      </c>
      <c r="V1146" t="str">
        <f t="shared" si="719"/>
        <v/>
      </c>
      <c r="X1146">
        <f t="shared" si="754"/>
        <v>0</v>
      </c>
      <c r="Y1146">
        <f t="shared" si="755"/>
        <v>0</v>
      </c>
      <c r="Z1146">
        <f t="shared" si="756"/>
        <v>0</v>
      </c>
      <c r="AA1146">
        <f t="shared" si="757"/>
        <v>0</v>
      </c>
      <c r="AB1146">
        <f t="shared" si="758"/>
        <v>0</v>
      </c>
      <c r="AC1146">
        <f t="shared" si="759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53"/>
        <v>Q</v>
      </c>
      <c r="M1147">
        <v>10</v>
      </c>
      <c r="N1147" s="23" t="str">
        <f t="shared" si="736"/>
        <v>#</v>
      </c>
      <c r="O1147" s="7" t="str">
        <f t="shared" si="737"/>
        <v/>
      </c>
      <c r="P1147" s="7" t="str">
        <f t="shared" si="738"/>
        <v/>
      </c>
      <c r="Q1147" s="7" t="str">
        <f t="shared" si="739"/>
        <v>#</v>
      </c>
      <c r="R1147" s="17" t="str">
        <f t="shared" si="740"/>
        <v/>
      </c>
      <c r="S1147" s="8" t="str">
        <f t="shared" si="741"/>
        <v/>
      </c>
      <c r="T1147" s="2" t="str">
        <f t="shared" si="742"/>
        <v/>
      </c>
      <c r="U1147" s="2" t="str">
        <f t="shared" si="743"/>
        <v/>
      </c>
      <c r="V1147" t="str">
        <f t="shared" si="719"/>
        <v/>
      </c>
      <c r="X1147">
        <f t="shared" si="754"/>
        <v>0</v>
      </c>
      <c r="Y1147">
        <f t="shared" si="755"/>
        <v>0</v>
      </c>
      <c r="Z1147">
        <f t="shared" si="756"/>
        <v>0</v>
      </c>
      <c r="AA1147">
        <f t="shared" si="757"/>
        <v>0</v>
      </c>
      <c r="AB1147">
        <f t="shared" si="758"/>
        <v>0</v>
      </c>
      <c r="AC1147">
        <f t="shared" si="759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53"/>
        <v>Q</v>
      </c>
      <c r="M1148">
        <v>11</v>
      </c>
      <c r="N1148" s="23" t="str">
        <f t="shared" si="736"/>
        <v>#</v>
      </c>
      <c r="O1148" s="7" t="str">
        <f t="shared" si="737"/>
        <v/>
      </c>
      <c r="P1148" s="7" t="str">
        <f t="shared" si="738"/>
        <v>#</v>
      </c>
      <c r="Q1148" s="7" t="str">
        <f t="shared" si="739"/>
        <v>#</v>
      </c>
      <c r="R1148" s="17" t="str">
        <f t="shared" si="740"/>
        <v/>
      </c>
      <c r="S1148" s="8" t="str">
        <f t="shared" si="741"/>
        <v/>
      </c>
      <c r="T1148" s="2" t="str">
        <f t="shared" si="742"/>
        <v/>
      </c>
      <c r="U1148" s="2" t="str">
        <f t="shared" si="743"/>
        <v/>
      </c>
      <c r="V1148" t="str">
        <f t="shared" si="719"/>
        <v/>
      </c>
      <c r="X1148">
        <f t="shared" si="754"/>
        <v>0</v>
      </c>
      <c r="Y1148">
        <f t="shared" si="755"/>
        <v>0</v>
      </c>
      <c r="Z1148">
        <f t="shared" si="756"/>
        <v>1</v>
      </c>
      <c r="AA1148">
        <f t="shared" si="757"/>
        <v>0</v>
      </c>
      <c r="AB1148">
        <f t="shared" si="758"/>
        <v>0</v>
      </c>
      <c r="AC1148">
        <f t="shared" si="759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53"/>
        <v>Q</v>
      </c>
      <c r="M1149">
        <v>12</v>
      </c>
      <c r="N1149" s="23" t="str">
        <f t="shared" si="736"/>
        <v>#</v>
      </c>
      <c r="O1149" s="7" t="str">
        <f t="shared" si="737"/>
        <v/>
      </c>
      <c r="P1149" s="7" t="str">
        <f t="shared" si="738"/>
        <v>#</v>
      </c>
      <c r="Q1149" s="7" t="str">
        <f t="shared" si="739"/>
        <v>#</v>
      </c>
      <c r="R1149" s="17" t="str">
        <f t="shared" si="740"/>
        <v/>
      </c>
      <c r="S1149" s="8" t="str">
        <f t="shared" si="741"/>
        <v/>
      </c>
      <c r="T1149" s="2" t="str">
        <f t="shared" si="742"/>
        <v/>
      </c>
      <c r="U1149" s="2" t="str">
        <f t="shared" si="743"/>
        <v/>
      </c>
      <c r="V1149" t="str">
        <f t="shared" si="719"/>
        <v/>
      </c>
      <c r="X1149">
        <f t="shared" si="754"/>
        <v>0</v>
      </c>
      <c r="Y1149">
        <f t="shared" si="755"/>
        <v>0</v>
      </c>
      <c r="Z1149">
        <f t="shared" si="756"/>
        <v>0</v>
      </c>
      <c r="AA1149">
        <f t="shared" si="757"/>
        <v>0</v>
      </c>
      <c r="AB1149">
        <f t="shared" si="758"/>
        <v>0</v>
      </c>
      <c r="AC1149">
        <f t="shared" si="759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53"/>
        <v>Q</v>
      </c>
      <c r="M1150">
        <v>13</v>
      </c>
      <c r="N1150" s="6" t="str">
        <f t="shared" si="736"/>
        <v>#</v>
      </c>
      <c r="O1150" s="7" t="str">
        <f t="shared" si="737"/>
        <v>#</v>
      </c>
      <c r="P1150" s="7" t="str">
        <f t="shared" si="738"/>
        <v>#</v>
      </c>
      <c r="Q1150" s="7" t="str">
        <f t="shared" si="739"/>
        <v>#</v>
      </c>
      <c r="R1150" s="17" t="str">
        <f t="shared" si="740"/>
        <v>#</v>
      </c>
      <c r="S1150" s="8" t="str">
        <f t="shared" si="741"/>
        <v/>
      </c>
      <c r="T1150" s="2" t="str">
        <f t="shared" si="742"/>
        <v/>
      </c>
      <c r="U1150" s="2" t="str">
        <f t="shared" si="743"/>
        <v/>
      </c>
      <c r="V1150" t="str">
        <f t="shared" si="719"/>
        <v/>
      </c>
      <c r="X1150">
        <f t="shared" si="754"/>
        <v>0</v>
      </c>
      <c r="Y1150">
        <f t="shared" si="755"/>
        <v>1</v>
      </c>
      <c r="Z1150">
        <f t="shared" si="756"/>
        <v>0</v>
      </c>
      <c r="AA1150">
        <f t="shared" si="757"/>
        <v>0</v>
      </c>
      <c r="AB1150">
        <f t="shared" si="758"/>
        <v>1</v>
      </c>
      <c r="AC1150">
        <f t="shared" si="759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53"/>
        <v>Q</v>
      </c>
      <c r="M1151">
        <v>14</v>
      </c>
      <c r="N1151" s="18" t="str">
        <f t="shared" si="736"/>
        <v>#</v>
      </c>
      <c r="O1151" s="19" t="str">
        <f t="shared" si="737"/>
        <v>#</v>
      </c>
      <c r="P1151" s="19" t="str">
        <f t="shared" si="738"/>
        <v>#</v>
      </c>
      <c r="Q1151" s="19" t="str">
        <f t="shared" si="739"/>
        <v>#</v>
      </c>
      <c r="R1151" s="20" t="str">
        <f t="shared" si="740"/>
        <v>#</v>
      </c>
      <c r="S1151" s="8" t="str">
        <f t="shared" si="741"/>
        <v/>
      </c>
      <c r="T1151" s="2" t="str">
        <f t="shared" si="742"/>
        <v/>
      </c>
      <c r="U1151" s="2" t="str">
        <f t="shared" si="743"/>
        <v/>
      </c>
      <c r="V1151" t="str">
        <f t="shared" si="719"/>
        <v/>
      </c>
      <c r="X1151">
        <f t="shared" si="754"/>
        <v>0</v>
      </c>
      <c r="Y1151">
        <f t="shared" si="755"/>
        <v>0</v>
      </c>
      <c r="Z1151">
        <f t="shared" si="756"/>
        <v>0</v>
      </c>
      <c r="AA1151">
        <f t="shared" si="757"/>
        <v>0</v>
      </c>
      <c r="AB1151">
        <f t="shared" si="758"/>
        <v>0</v>
      </c>
      <c r="AC1151">
        <f t="shared" si="759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53"/>
        <v>Q</v>
      </c>
      <c r="M1152">
        <v>15</v>
      </c>
      <c r="N1152" s="9" t="str">
        <f t="shared" si="736"/>
        <v/>
      </c>
      <c r="O1152" s="10" t="str">
        <f t="shared" si="737"/>
        <v/>
      </c>
      <c r="P1152" s="10" t="str">
        <f t="shared" si="738"/>
        <v/>
      </c>
      <c r="Q1152" s="10" t="str">
        <f t="shared" si="739"/>
        <v/>
      </c>
      <c r="R1152" s="10" t="str">
        <f t="shared" si="740"/>
        <v>#</v>
      </c>
      <c r="S1152" s="11" t="str">
        <f t="shared" si="741"/>
        <v/>
      </c>
      <c r="T1152" s="2" t="str">
        <f t="shared" si="742"/>
        <v/>
      </c>
      <c r="U1152" s="2" t="str">
        <f t="shared" si="743"/>
        <v/>
      </c>
      <c r="V1152" t="str">
        <f t="shared" si="719"/>
        <v/>
      </c>
      <c r="X1152">
        <f t="shared" si="754"/>
        <v>0</v>
      </c>
      <c r="Y1152">
        <f t="shared" si="755"/>
        <v>0</v>
      </c>
      <c r="Z1152">
        <f t="shared" si="756"/>
        <v>0</v>
      </c>
      <c r="AA1152">
        <f t="shared" si="757"/>
        <v>0</v>
      </c>
      <c r="AB1152">
        <f t="shared" si="758"/>
        <v>0</v>
      </c>
      <c r="AC1152">
        <f t="shared" si="759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53"/>
        <v>Q</v>
      </c>
      <c r="M1153">
        <v>16</v>
      </c>
      <c r="N1153" s="12" t="str">
        <f t="shared" si="736"/>
        <v/>
      </c>
      <c r="O1153" s="13" t="str">
        <f t="shared" si="737"/>
        <v/>
      </c>
      <c r="P1153" s="13" t="str">
        <f t="shared" si="738"/>
        <v/>
      </c>
      <c r="Q1153" s="13" t="str">
        <f t="shared" si="739"/>
        <v/>
      </c>
      <c r="R1153" s="13" t="str">
        <f t="shared" si="740"/>
        <v>#</v>
      </c>
      <c r="S1153" s="14" t="str">
        <f t="shared" si="741"/>
        <v/>
      </c>
      <c r="T1153" s="2" t="str">
        <f t="shared" si="742"/>
        <v/>
      </c>
      <c r="U1153" s="2" t="str">
        <f t="shared" si="743"/>
        <v/>
      </c>
      <c r="V1153" t="str">
        <f t="shared" si="719"/>
        <v/>
      </c>
      <c r="X1153">
        <f t="shared" si="754"/>
        <v>0</v>
      </c>
      <c r="Y1153">
        <f t="shared" si="755"/>
        <v>0</v>
      </c>
      <c r="Z1153">
        <f t="shared" si="756"/>
        <v>0</v>
      </c>
      <c r="AA1153">
        <f t="shared" si="757"/>
        <v>0</v>
      </c>
      <c r="AB1153">
        <f t="shared" si="758"/>
        <v>0</v>
      </c>
      <c r="AC1153">
        <f t="shared" si="759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6"/>
        <v/>
      </c>
      <c r="O1154" t="str">
        <f t="shared" si="737"/>
        <v/>
      </c>
      <c r="P1154" t="str">
        <f t="shared" si="738"/>
        <v/>
      </c>
      <c r="Q1154" t="str">
        <f t="shared" si="739"/>
        <v/>
      </c>
      <c r="R1154" t="str">
        <f t="shared" si="740"/>
        <v/>
      </c>
      <c r="S1154" t="str">
        <f t="shared" si="741"/>
        <v/>
      </c>
      <c r="T1154" s="2" t="str">
        <f t="shared" si="742"/>
        <v/>
      </c>
      <c r="U1154" s="2" t="str">
        <f t="shared" si="743"/>
        <v/>
      </c>
      <c r="V1154" t="str">
        <f t="shared" ref="V1154:V1217" si="760">IF(A1154=0,"",M1154)</f>
        <v/>
      </c>
      <c r="W1154">
        <f>SUM(B1156:G1169)</f>
        <v>31</v>
      </c>
      <c r="AD1154">
        <f t="shared" ref="AD1154" si="761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62">L1154</f>
        <v>R</v>
      </c>
      <c r="M1155">
        <v>2</v>
      </c>
      <c r="N1155" t="str">
        <f t="shared" si="736"/>
        <v/>
      </c>
      <c r="O1155" t="str">
        <f t="shared" si="737"/>
        <v/>
      </c>
      <c r="P1155" t="str">
        <f t="shared" si="738"/>
        <v/>
      </c>
      <c r="Q1155" t="str">
        <f t="shared" si="739"/>
        <v/>
      </c>
      <c r="R1155" t="str">
        <f t="shared" si="740"/>
        <v/>
      </c>
      <c r="S1155" t="str">
        <f t="shared" si="741"/>
        <v/>
      </c>
      <c r="T1155" s="2" t="str">
        <f t="shared" si="742"/>
        <v/>
      </c>
      <c r="U1155" s="2" t="str">
        <f t="shared" si="743"/>
        <v/>
      </c>
      <c r="V1155" t="str">
        <f t="shared" si="760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62"/>
        <v>R</v>
      </c>
      <c r="M1156">
        <v>3</v>
      </c>
      <c r="N1156" s="3" t="str">
        <f t="shared" si="736"/>
        <v/>
      </c>
      <c r="O1156" s="4" t="str">
        <f t="shared" si="737"/>
        <v/>
      </c>
      <c r="P1156" s="4" t="str">
        <f t="shared" si="738"/>
        <v/>
      </c>
      <c r="Q1156" s="4" t="str">
        <f t="shared" si="739"/>
        <v/>
      </c>
      <c r="R1156" s="4" t="str">
        <f t="shared" si="740"/>
        <v/>
      </c>
      <c r="S1156" s="5" t="str">
        <f t="shared" si="741"/>
        <v/>
      </c>
      <c r="T1156" s="2" t="str">
        <f t="shared" si="742"/>
        <v/>
      </c>
      <c r="U1156" s="2" t="str">
        <f t="shared" si="743"/>
        <v/>
      </c>
      <c r="V1156" t="str">
        <f t="shared" si="760"/>
        <v/>
      </c>
      <c r="X1156">
        <f t="shared" ref="X1156:X1169" si="763">MAX(B1156-B1155,0)</f>
        <v>0</v>
      </c>
      <c r="Y1156">
        <f t="shared" ref="Y1156:Y1169" si="764">MAX(C1156-C1155,0)</f>
        <v>0</v>
      </c>
      <c r="Z1156">
        <f t="shared" ref="Z1156:Z1169" si="765">MAX(D1156-D1155,0)</f>
        <v>0</v>
      </c>
      <c r="AA1156">
        <f t="shared" ref="AA1156:AA1169" si="766">MAX(E1156-E1155,0)</f>
        <v>0</v>
      </c>
      <c r="AB1156">
        <f t="shared" ref="AB1156:AB1169" si="767">MAX(F1156-F1155,0)</f>
        <v>0</v>
      </c>
      <c r="AC1156">
        <f t="shared" ref="AC1156:AC1169" si="768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62"/>
        <v>R</v>
      </c>
      <c r="M1157">
        <v>4</v>
      </c>
      <c r="N1157" s="6" t="str">
        <f t="shared" si="736"/>
        <v/>
      </c>
      <c r="O1157" s="7" t="str">
        <f t="shared" si="737"/>
        <v/>
      </c>
      <c r="P1157" s="7" t="str">
        <f t="shared" si="738"/>
        <v/>
      </c>
      <c r="Q1157" s="7" t="str">
        <f t="shared" si="739"/>
        <v/>
      </c>
      <c r="R1157" s="7" t="str">
        <f t="shared" si="740"/>
        <v/>
      </c>
      <c r="S1157" s="8" t="str">
        <f t="shared" si="741"/>
        <v/>
      </c>
      <c r="T1157" s="2" t="str">
        <f t="shared" si="742"/>
        <v/>
      </c>
      <c r="U1157" s="2" t="str">
        <f t="shared" si="743"/>
        <v/>
      </c>
      <c r="V1157" t="str">
        <f t="shared" si="760"/>
        <v/>
      </c>
      <c r="X1157">
        <f t="shared" si="763"/>
        <v>0</v>
      </c>
      <c r="Y1157">
        <f t="shared" si="764"/>
        <v>0</v>
      </c>
      <c r="Z1157">
        <f t="shared" si="765"/>
        <v>0</v>
      </c>
      <c r="AA1157">
        <f t="shared" si="766"/>
        <v>0</v>
      </c>
      <c r="AB1157">
        <f t="shared" si="767"/>
        <v>0</v>
      </c>
      <c r="AC1157">
        <f t="shared" si="768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62"/>
        <v>R</v>
      </c>
      <c r="M1158">
        <v>5</v>
      </c>
      <c r="N1158" s="22" t="str">
        <f t="shared" si="736"/>
        <v>#</v>
      </c>
      <c r="O1158" s="15" t="str">
        <f t="shared" si="737"/>
        <v>#</v>
      </c>
      <c r="P1158" s="15" t="str">
        <f t="shared" si="738"/>
        <v>#</v>
      </c>
      <c r="Q1158" s="15" t="str">
        <f t="shared" si="739"/>
        <v>#</v>
      </c>
      <c r="R1158" s="16" t="str">
        <f t="shared" si="740"/>
        <v/>
      </c>
      <c r="S1158" s="8" t="str">
        <f t="shared" si="741"/>
        <v/>
      </c>
      <c r="T1158" s="2" t="str">
        <f t="shared" si="742"/>
        <v/>
      </c>
      <c r="U1158" s="2" t="str">
        <f t="shared" si="743"/>
        <v/>
      </c>
      <c r="V1158" t="str">
        <f t="shared" si="760"/>
        <v/>
      </c>
      <c r="X1158">
        <f t="shared" si="763"/>
        <v>1</v>
      </c>
      <c r="Y1158">
        <f t="shared" si="764"/>
        <v>1</v>
      </c>
      <c r="Z1158">
        <f t="shared" si="765"/>
        <v>1</v>
      </c>
      <c r="AA1158">
        <f t="shared" si="766"/>
        <v>1</v>
      </c>
      <c r="AB1158">
        <f t="shared" si="767"/>
        <v>0</v>
      </c>
      <c r="AC1158">
        <f t="shared" si="768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62"/>
        <v>R</v>
      </c>
      <c r="M1159">
        <v>6</v>
      </c>
      <c r="N1159" s="23" t="str">
        <f t="shared" si="736"/>
        <v>#</v>
      </c>
      <c r="O1159" s="7" t="str">
        <f t="shared" si="737"/>
        <v>#</v>
      </c>
      <c r="P1159" s="7" t="str">
        <f t="shared" si="738"/>
        <v>#</v>
      </c>
      <c r="Q1159" s="7" t="str">
        <f t="shared" si="739"/>
        <v>#</v>
      </c>
      <c r="R1159" s="17" t="str">
        <f t="shared" si="740"/>
        <v>#</v>
      </c>
      <c r="S1159" s="8" t="str">
        <f t="shared" si="741"/>
        <v/>
      </c>
      <c r="T1159" s="2" t="str">
        <f t="shared" si="742"/>
        <v/>
      </c>
      <c r="U1159" s="2" t="str">
        <f t="shared" si="743"/>
        <v/>
      </c>
      <c r="V1159" t="str">
        <f t="shared" si="760"/>
        <v/>
      </c>
      <c r="X1159">
        <f t="shared" si="763"/>
        <v>0</v>
      </c>
      <c r="Y1159">
        <f t="shared" si="764"/>
        <v>0</v>
      </c>
      <c r="Z1159">
        <f t="shared" si="765"/>
        <v>0</v>
      </c>
      <c r="AA1159">
        <f t="shared" si="766"/>
        <v>0</v>
      </c>
      <c r="AB1159">
        <f t="shared" si="767"/>
        <v>1</v>
      </c>
      <c r="AC1159">
        <f t="shared" si="768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62"/>
        <v>R</v>
      </c>
      <c r="M1160">
        <v>7</v>
      </c>
      <c r="N1160" s="23" t="str">
        <f t="shared" si="736"/>
        <v>#</v>
      </c>
      <c r="O1160" s="7" t="str">
        <f t="shared" si="737"/>
        <v/>
      </c>
      <c r="P1160" s="7" t="str">
        <f t="shared" si="738"/>
        <v/>
      </c>
      <c r="Q1160" s="7" t="str">
        <f t="shared" si="739"/>
        <v/>
      </c>
      <c r="R1160" s="17" t="str">
        <f t="shared" si="740"/>
        <v>#</v>
      </c>
      <c r="S1160" s="8" t="str">
        <f t="shared" si="741"/>
        <v/>
      </c>
      <c r="T1160" s="2" t="str">
        <f t="shared" si="742"/>
        <v/>
      </c>
      <c r="U1160" s="2" t="str">
        <f t="shared" si="743"/>
        <v/>
      </c>
      <c r="V1160" t="str">
        <f t="shared" si="760"/>
        <v/>
      </c>
      <c r="X1160">
        <f t="shared" si="763"/>
        <v>0</v>
      </c>
      <c r="Y1160">
        <f t="shared" si="764"/>
        <v>0</v>
      </c>
      <c r="Z1160">
        <f t="shared" si="765"/>
        <v>0</v>
      </c>
      <c r="AA1160">
        <f t="shared" si="766"/>
        <v>0</v>
      </c>
      <c r="AB1160">
        <f t="shared" si="767"/>
        <v>0</v>
      </c>
      <c r="AC1160">
        <f t="shared" si="768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62"/>
        <v>R</v>
      </c>
      <c r="M1161">
        <v>8</v>
      </c>
      <c r="N1161" s="23" t="str">
        <f t="shared" si="736"/>
        <v>#</v>
      </c>
      <c r="O1161" s="7" t="str">
        <f t="shared" si="737"/>
        <v/>
      </c>
      <c r="P1161" s="7" t="str">
        <f t="shared" si="738"/>
        <v/>
      </c>
      <c r="Q1161" s="7" t="str">
        <f t="shared" si="739"/>
        <v/>
      </c>
      <c r="R1161" s="17" t="str">
        <f t="shared" si="740"/>
        <v>#</v>
      </c>
      <c r="S1161" s="8" t="str">
        <f t="shared" si="741"/>
        <v/>
      </c>
      <c r="T1161" s="2" t="str">
        <f t="shared" si="742"/>
        <v/>
      </c>
      <c r="U1161" s="2" t="str">
        <f t="shared" si="743"/>
        <v/>
      </c>
      <c r="V1161" t="str">
        <f t="shared" si="760"/>
        <v/>
      </c>
      <c r="X1161">
        <f t="shared" si="763"/>
        <v>0</v>
      </c>
      <c r="Y1161">
        <f t="shared" si="764"/>
        <v>0</v>
      </c>
      <c r="Z1161">
        <f t="shared" si="765"/>
        <v>0</v>
      </c>
      <c r="AA1161">
        <f t="shared" si="766"/>
        <v>0</v>
      </c>
      <c r="AB1161">
        <f t="shared" si="767"/>
        <v>0</v>
      </c>
      <c r="AC1161">
        <f t="shared" si="768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62"/>
        <v>R</v>
      </c>
      <c r="M1162">
        <v>9</v>
      </c>
      <c r="N1162" s="23" t="str">
        <f t="shared" si="736"/>
        <v>#</v>
      </c>
      <c r="O1162" s="7" t="str">
        <f t="shared" si="737"/>
        <v>#</v>
      </c>
      <c r="P1162" s="7" t="str">
        <f t="shared" si="738"/>
        <v>#</v>
      </c>
      <c r="Q1162" s="7" t="str">
        <f t="shared" si="739"/>
        <v>#</v>
      </c>
      <c r="R1162" s="17" t="str">
        <f t="shared" si="740"/>
        <v>#</v>
      </c>
      <c r="S1162" s="8" t="str">
        <f t="shared" si="741"/>
        <v/>
      </c>
      <c r="T1162" s="2" t="str">
        <f t="shared" si="742"/>
        <v/>
      </c>
      <c r="U1162" s="2" t="str">
        <f t="shared" si="743"/>
        <v/>
      </c>
      <c r="V1162" t="str">
        <f t="shared" si="760"/>
        <v/>
      </c>
      <c r="X1162">
        <f t="shared" si="763"/>
        <v>0</v>
      </c>
      <c r="Y1162">
        <f t="shared" si="764"/>
        <v>1</v>
      </c>
      <c r="Z1162">
        <f t="shared" si="765"/>
        <v>1</v>
      </c>
      <c r="AA1162">
        <f t="shared" si="766"/>
        <v>1</v>
      </c>
      <c r="AB1162">
        <f t="shared" si="767"/>
        <v>0</v>
      </c>
      <c r="AC1162">
        <f t="shared" si="768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62"/>
        <v>R</v>
      </c>
      <c r="M1163">
        <v>10</v>
      </c>
      <c r="N1163" s="23" t="str">
        <f t="shared" si="736"/>
        <v>#</v>
      </c>
      <c r="O1163" s="7" t="str">
        <f t="shared" si="737"/>
        <v>#</v>
      </c>
      <c r="P1163" s="7" t="str">
        <f t="shared" si="738"/>
        <v>#</v>
      </c>
      <c r="Q1163" s="7" t="str">
        <f t="shared" si="739"/>
        <v>#</v>
      </c>
      <c r="R1163" s="17" t="str">
        <f t="shared" si="740"/>
        <v/>
      </c>
      <c r="S1163" s="8" t="str">
        <f t="shared" si="741"/>
        <v/>
      </c>
      <c r="T1163" s="2" t="str">
        <f t="shared" si="742"/>
        <v/>
      </c>
      <c r="U1163" s="2" t="str">
        <f t="shared" si="743"/>
        <v/>
      </c>
      <c r="V1163" t="str">
        <f t="shared" si="760"/>
        <v/>
      </c>
      <c r="X1163">
        <f t="shared" si="763"/>
        <v>0</v>
      </c>
      <c r="Y1163">
        <f t="shared" si="764"/>
        <v>0</v>
      </c>
      <c r="Z1163">
        <f t="shared" si="765"/>
        <v>0</v>
      </c>
      <c r="AA1163">
        <f t="shared" si="766"/>
        <v>0</v>
      </c>
      <c r="AB1163">
        <f t="shared" si="767"/>
        <v>0</v>
      </c>
      <c r="AC1163">
        <f t="shared" si="768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62"/>
        <v>R</v>
      </c>
      <c r="M1164">
        <v>11</v>
      </c>
      <c r="N1164" s="23" t="str">
        <f t="shared" si="736"/>
        <v>#</v>
      </c>
      <c r="O1164" s="7" t="str">
        <f t="shared" si="737"/>
        <v/>
      </c>
      <c r="P1164" s="7" t="str">
        <f t="shared" si="738"/>
        <v/>
      </c>
      <c r="Q1164" s="7" t="str">
        <f t="shared" si="739"/>
        <v>#</v>
      </c>
      <c r="R1164" s="17" t="str">
        <f t="shared" si="740"/>
        <v/>
      </c>
      <c r="S1164" s="8" t="str">
        <f t="shared" si="741"/>
        <v/>
      </c>
      <c r="T1164" s="2" t="str">
        <f t="shared" si="742"/>
        <v/>
      </c>
      <c r="U1164" s="2" t="str">
        <f t="shared" si="743"/>
        <v/>
      </c>
      <c r="V1164" t="str">
        <f t="shared" si="760"/>
        <v/>
      </c>
      <c r="X1164">
        <f t="shared" si="763"/>
        <v>0</v>
      </c>
      <c r="Y1164">
        <f t="shared" si="764"/>
        <v>0</v>
      </c>
      <c r="Z1164">
        <f t="shared" si="765"/>
        <v>0</v>
      </c>
      <c r="AA1164">
        <f t="shared" si="766"/>
        <v>0</v>
      </c>
      <c r="AB1164">
        <f t="shared" si="767"/>
        <v>0</v>
      </c>
      <c r="AC1164">
        <f t="shared" si="768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62"/>
        <v>R</v>
      </c>
      <c r="M1165">
        <v>12</v>
      </c>
      <c r="N1165" s="23" t="str">
        <f t="shared" si="736"/>
        <v>#</v>
      </c>
      <c r="O1165" s="7" t="str">
        <f t="shared" si="737"/>
        <v/>
      </c>
      <c r="P1165" s="7" t="str">
        <f t="shared" si="738"/>
        <v/>
      </c>
      <c r="Q1165" s="7" t="str">
        <f t="shared" si="739"/>
        <v>#</v>
      </c>
      <c r="R1165" s="17" t="str">
        <f t="shared" si="740"/>
        <v>#</v>
      </c>
      <c r="S1165" s="8" t="str">
        <f t="shared" si="741"/>
        <v/>
      </c>
      <c r="T1165" s="2" t="str">
        <f t="shared" si="742"/>
        <v/>
      </c>
      <c r="U1165" s="2" t="str">
        <f t="shared" si="743"/>
        <v/>
      </c>
      <c r="V1165" t="str">
        <f t="shared" si="760"/>
        <v/>
      </c>
      <c r="X1165">
        <f t="shared" si="763"/>
        <v>0</v>
      </c>
      <c r="Y1165">
        <f t="shared" si="764"/>
        <v>0</v>
      </c>
      <c r="Z1165">
        <f t="shared" si="765"/>
        <v>0</v>
      </c>
      <c r="AA1165">
        <f t="shared" si="766"/>
        <v>0</v>
      </c>
      <c r="AB1165">
        <f t="shared" si="767"/>
        <v>1</v>
      </c>
      <c r="AC1165">
        <f t="shared" si="768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62"/>
        <v>R</v>
      </c>
      <c r="M1166">
        <v>13</v>
      </c>
      <c r="N1166" s="6" t="str">
        <f t="shared" si="736"/>
        <v>#</v>
      </c>
      <c r="O1166" s="7" t="str">
        <f t="shared" si="737"/>
        <v/>
      </c>
      <c r="P1166" s="7" t="str">
        <f t="shared" si="738"/>
        <v/>
      </c>
      <c r="Q1166" s="7" t="str">
        <f t="shared" si="739"/>
        <v/>
      </c>
      <c r="R1166" s="17" t="str">
        <f t="shared" si="740"/>
        <v>#</v>
      </c>
      <c r="S1166" s="8" t="str">
        <f t="shared" si="741"/>
        <v/>
      </c>
      <c r="T1166" s="2" t="str">
        <f t="shared" si="742"/>
        <v/>
      </c>
      <c r="U1166" s="2" t="str">
        <f t="shared" si="743"/>
        <v/>
      </c>
      <c r="V1166" t="str">
        <f t="shared" si="760"/>
        <v/>
      </c>
      <c r="X1166">
        <f t="shared" si="763"/>
        <v>0</v>
      </c>
      <c r="Y1166">
        <f t="shared" si="764"/>
        <v>0</v>
      </c>
      <c r="Z1166">
        <f t="shared" si="765"/>
        <v>0</v>
      </c>
      <c r="AA1166">
        <f t="shared" si="766"/>
        <v>0</v>
      </c>
      <c r="AB1166">
        <f t="shared" si="767"/>
        <v>0</v>
      </c>
      <c r="AC1166">
        <f t="shared" si="768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62"/>
        <v>R</v>
      </c>
      <c r="M1167">
        <v>14</v>
      </c>
      <c r="N1167" s="18" t="str">
        <f t="shared" si="736"/>
        <v>#</v>
      </c>
      <c r="O1167" s="19" t="str">
        <f t="shared" si="737"/>
        <v/>
      </c>
      <c r="P1167" s="19" t="str">
        <f t="shared" si="738"/>
        <v/>
      </c>
      <c r="Q1167" s="19" t="str">
        <f t="shared" si="739"/>
        <v/>
      </c>
      <c r="R1167" s="20" t="str">
        <f t="shared" si="740"/>
        <v>#</v>
      </c>
      <c r="S1167" s="8" t="str">
        <f t="shared" si="741"/>
        <v/>
      </c>
      <c r="T1167" s="2" t="str">
        <f t="shared" si="742"/>
        <v/>
      </c>
      <c r="U1167" s="2" t="str">
        <f t="shared" si="743"/>
        <v/>
      </c>
      <c r="V1167" t="str">
        <f t="shared" si="760"/>
        <v/>
      </c>
      <c r="X1167">
        <f t="shared" si="763"/>
        <v>0</v>
      </c>
      <c r="Y1167">
        <f t="shared" si="764"/>
        <v>0</v>
      </c>
      <c r="Z1167">
        <f t="shared" si="765"/>
        <v>0</v>
      </c>
      <c r="AA1167">
        <f t="shared" si="766"/>
        <v>0</v>
      </c>
      <c r="AB1167">
        <f t="shared" si="767"/>
        <v>0</v>
      </c>
      <c r="AC1167">
        <f t="shared" si="768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62"/>
        <v>R</v>
      </c>
      <c r="M1168">
        <v>15</v>
      </c>
      <c r="N1168" s="9" t="str">
        <f t="shared" si="736"/>
        <v/>
      </c>
      <c r="O1168" s="10" t="str">
        <f t="shared" si="737"/>
        <v/>
      </c>
      <c r="P1168" s="10" t="str">
        <f t="shared" si="738"/>
        <v/>
      </c>
      <c r="Q1168" s="10" t="str">
        <f t="shared" si="739"/>
        <v/>
      </c>
      <c r="R1168" s="10" t="str">
        <f t="shared" si="740"/>
        <v/>
      </c>
      <c r="S1168" s="11" t="str">
        <f t="shared" si="741"/>
        <v/>
      </c>
      <c r="T1168" s="2" t="str">
        <f t="shared" si="742"/>
        <v/>
      </c>
      <c r="U1168" s="2" t="str">
        <f t="shared" si="743"/>
        <v/>
      </c>
      <c r="V1168" t="str">
        <f t="shared" si="760"/>
        <v/>
      </c>
      <c r="X1168">
        <f t="shared" si="763"/>
        <v>0</v>
      </c>
      <c r="Y1168">
        <f t="shared" si="764"/>
        <v>0</v>
      </c>
      <c r="Z1168">
        <f t="shared" si="765"/>
        <v>0</v>
      </c>
      <c r="AA1168">
        <f t="shared" si="766"/>
        <v>0</v>
      </c>
      <c r="AB1168">
        <f t="shared" si="767"/>
        <v>0</v>
      </c>
      <c r="AC1168">
        <f t="shared" si="768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62"/>
        <v>R</v>
      </c>
      <c r="M1169">
        <v>16</v>
      </c>
      <c r="N1169" s="12" t="str">
        <f t="shared" si="736"/>
        <v/>
      </c>
      <c r="O1169" s="13" t="str">
        <f t="shared" si="737"/>
        <v/>
      </c>
      <c r="P1169" s="13" t="str">
        <f t="shared" si="738"/>
        <v/>
      </c>
      <c r="Q1169" s="13" t="str">
        <f t="shared" si="739"/>
        <v/>
      </c>
      <c r="R1169" s="13" t="str">
        <f t="shared" si="740"/>
        <v/>
      </c>
      <c r="S1169" s="14" t="str">
        <f t="shared" si="741"/>
        <v/>
      </c>
      <c r="T1169" s="2" t="str">
        <f t="shared" si="742"/>
        <v/>
      </c>
      <c r="U1169" s="2" t="str">
        <f t="shared" si="743"/>
        <v/>
      </c>
      <c r="V1169" t="str">
        <f t="shared" si="760"/>
        <v/>
      </c>
      <c r="X1169">
        <f t="shared" si="763"/>
        <v>0</v>
      </c>
      <c r="Y1169">
        <f t="shared" si="764"/>
        <v>0</v>
      </c>
      <c r="Z1169">
        <f t="shared" si="765"/>
        <v>0</v>
      </c>
      <c r="AA1169">
        <f t="shared" si="766"/>
        <v>0</v>
      </c>
      <c r="AB1169">
        <f t="shared" si="767"/>
        <v>0</v>
      </c>
      <c r="AC1169">
        <f t="shared" si="768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6"/>
        <v/>
      </c>
      <c r="O1170" t="str">
        <f t="shared" si="737"/>
        <v/>
      </c>
      <c r="P1170" t="str">
        <f t="shared" si="738"/>
        <v/>
      </c>
      <c r="Q1170" t="str">
        <f t="shared" si="739"/>
        <v/>
      </c>
      <c r="R1170" t="str">
        <f t="shared" si="740"/>
        <v/>
      </c>
      <c r="S1170" t="str">
        <f t="shared" si="741"/>
        <v/>
      </c>
      <c r="T1170" s="2" t="str">
        <f t="shared" si="742"/>
        <v/>
      </c>
      <c r="U1170" s="2" t="str">
        <f t="shared" si="743"/>
        <v/>
      </c>
      <c r="V1170" t="str">
        <f t="shared" si="760"/>
        <v/>
      </c>
      <c r="W1170">
        <f>SUM(B1172:G1185)</f>
        <v>30</v>
      </c>
      <c r="AD1170">
        <f t="shared" ref="AD1170" si="769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70">L1170</f>
        <v>S</v>
      </c>
      <c r="M1171">
        <v>2</v>
      </c>
      <c r="N1171" t="str">
        <f t="shared" si="736"/>
        <v/>
      </c>
      <c r="O1171" t="str">
        <f t="shared" si="737"/>
        <v/>
      </c>
      <c r="P1171" t="str">
        <f t="shared" si="738"/>
        <v/>
      </c>
      <c r="Q1171" t="str">
        <f t="shared" si="739"/>
        <v/>
      </c>
      <c r="R1171" t="str">
        <f t="shared" si="740"/>
        <v/>
      </c>
      <c r="S1171" t="str">
        <f t="shared" si="741"/>
        <v/>
      </c>
      <c r="T1171" s="2" t="str">
        <f t="shared" si="742"/>
        <v/>
      </c>
      <c r="U1171" s="2" t="str">
        <f t="shared" si="743"/>
        <v/>
      </c>
      <c r="V1171" t="str">
        <f t="shared" si="760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70"/>
        <v>S</v>
      </c>
      <c r="M1172">
        <v>3</v>
      </c>
      <c r="N1172" s="3" t="str">
        <f t="shared" si="736"/>
        <v/>
      </c>
      <c r="O1172" s="4" t="str">
        <f t="shared" si="737"/>
        <v/>
      </c>
      <c r="P1172" s="4" t="str">
        <f t="shared" si="738"/>
        <v/>
      </c>
      <c r="Q1172" s="4" t="str">
        <f t="shared" si="739"/>
        <v/>
      </c>
      <c r="R1172" s="4" t="str">
        <f t="shared" si="740"/>
        <v/>
      </c>
      <c r="S1172" s="5" t="str">
        <f t="shared" si="741"/>
        <v/>
      </c>
      <c r="T1172" s="2" t="str">
        <f t="shared" si="742"/>
        <v/>
      </c>
      <c r="U1172" s="2" t="str">
        <f t="shared" si="743"/>
        <v/>
      </c>
      <c r="V1172" t="str">
        <f t="shared" si="760"/>
        <v/>
      </c>
      <c r="X1172">
        <f t="shared" ref="X1172:X1185" si="771">MAX(B1172-B1171,0)</f>
        <v>0</v>
      </c>
      <c r="Y1172">
        <f t="shared" ref="Y1172:Y1185" si="772">MAX(C1172-C1171,0)</f>
        <v>0</v>
      </c>
      <c r="Z1172">
        <f t="shared" ref="Z1172:Z1185" si="773">MAX(D1172-D1171,0)</f>
        <v>0</v>
      </c>
      <c r="AA1172">
        <f t="shared" ref="AA1172:AA1185" si="774">MAX(E1172-E1171,0)</f>
        <v>0</v>
      </c>
      <c r="AB1172">
        <f t="shared" ref="AB1172:AB1185" si="775">MAX(F1172-F1171,0)</f>
        <v>0</v>
      </c>
      <c r="AC1172">
        <f t="shared" ref="AC1172:AC1185" si="776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70"/>
        <v>S</v>
      </c>
      <c r="M1173">
        <v>4</v>
      </c>
      <c r="N1173" s="6" t="str">
        <f t="shared" si="736"/>
        <v/>
      </c>
      <c r="O1173" s="7" t="str">
        <f t="shared" si="737"/>
        <v/>
      </c>
      <c r="P1173" s="7" t="str">
        <f t="shared" si="738"/>
        <v/>
      </c>
      <c r="Q1173" s="7" t="str">
        <f t="shared" si="739"/>
        <v/>
      </c>
      <c r="R1173" s="7" t="str">
        <f t="shared" si="740"/>
        <v/>
      </c>
      <c r="S1173" s="8" t="str">
        <f t="shared" si="741"/>
        <v/>
      </c>
      <c r="T1173" s="2" t="str">
        <f t="shared" si="742"/>
        <v/>
      </c>
      <c r="U1173" s="2" t="str">
        <f t="shared" si="743"/>
        <v/>
      </c>
      <c r="V1173" t="str">
        <f t="shared" si="760"/>
        <v/>
      </c>
      <c r="X1173">
        <f t="shared" si="771"/>
        <v>0</v>
      </c>
      <c r="Y1173">
        <f t="shared" si="772"/>
        <v>0</v>
      </c>
      <c r="Z1173">
        <f t="shared" si="773"/>
        <v>0</v>
      </c>
      <c r="AA1173">
        <f t="shared" si="774"/>
        <v>0</v>
      </c>
      <c r="AB1173">
        <f t="shared" si="775"/>
        <v>0</v>
      </c>
      <c r="AC1173">
        <f t="shared" si="776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70"/>
        <v>S</v>
      </c>
      <c r="M1174">
        <v>5</v>
      </c>
      <c r="N1174" s="22" t="str">
        <f t="shared" si="736"/>
        <v/>
      </c>
      <c r="O1174" s="15" t="str">
        <f t="shared" si="737"/>
        <v>#</v>
      </c>
      <c r="P1174" s="15" t="str">
        <f t="shared" si="738"/>
        <v>#</v>
      </c>
      <c r="Q1174" s="15" t="str">
        <f t="shared" si="739"/>
        <v>#</v>
      </c>
      <c r="R1174" s="16" t="str">
        <f t="shared" si="740"/>
        <v>#</v>
      </c>
      <c r="S1174" s="8" t="str">
        <f t="shared" si="741"/>
        <v/>
      </c>
      <c r="T1174" s="2" t="str">
        <f t="shared" si="742"/>
        <v/>
      </c>
      <c r="U1174" s="2" t="str">
        <f t="shared" si="743"/>
        <v/>
      </c>
      <c r="V1174" t="str">
        <f t="shared" si="760"/>
        <v/>
      </c>
      <c r="X1174">
        <f t="shared" si="771"/>
        <v>0</v>
      </c>
      <c r="Y1174">
        <f t="shared" si="772"/>
        <v>1</v>
      </c>
      <c r="Z1174">
        <f t="shared" si="773"/>
        <v>1</v>
      </c>
      <c r="AA1174">
        <f t="shared" si="774"/>
        <v>1</v>
      </c>
      <c r="AB1174">
        <f t="shared" si="775"/>
        <v>1</v>
      </c>
      <c r="AC1174">
        <f t="shared" si="776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70"/>
        <v>S</v>
      </c>
      <c r="M1175">
        <v>6</v>
      </c>
      <c r="N1175" s="23" t="str">
        <f t="shared" si="736"/>
        <v>#</v>
      </c>
      <c r="O1175" s="7" t="str">
        <f t="shared" si="737"/>
        <v>#</v>
      </c>
      <c r="P1175" s="7" t="str">
        <f t="shared" si="738"/>
        <v>#</v>
      </c>
      <c r="Q1175" s="7" t="str">
        <f t="shared" si="739"/>
        <v>#</v>
      </c>
      <c r="R1175" s="17" t="str">
        <f t="shared" si="740"/>
        <v>#</v>
      </c>
      <c r="S1175" s="8" t="str">
        <f t="shared" si="741"/>
        <v/>
      </c>
      <c r="T1175" s="2" t="str">
        <f t="shared" si="742"/>
        <v/>
      </c>
      <c r="U1175" s="2" t="str">
        <f t="shared" si="743"/>
        <v/>
      </c>
      <c r="V1175" t="str">
        <f t="shared" si="760"/>
        <v/>
      </c>
      <c r="X1175">
        <f t="shared" si="771"/>
        <v>1</v>
      </c>
      <c r="Y1175">
        <f t="shared" si="772"/>
        <v>0</v>
      </c>
      <c r="Z1175">
        <f t="shared" si="773"/>
        <v>0</v>
      </c>
      <c r="AA1175">
        <f t="shared" si="774"/>
        <v>0</v>
      </c>
      <c r="AB1175">
        <f t="shared" si="775"/>
        <v>0</v>
      </c>
      <c r="AC1175">
        <f t="shared" si="776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70"/>
        <v>S</v>
      </c>
      <c r="M1176">
        <v>7</v>
      </c>
      <c r="N1176" s="23" t="str">
        <f t="shared" si="736"/>
        <v>#</v>
      </c>
      <c r="O1176" s="7" t="str">
        <f t="shared" si="737"/>
        <v/>
      </c>
      <c r="P1176" s="7" t="str">
        <f t="shared" si="738"/>
        <v/>
      </c>
      <c r="Q1176" s="7" t="str">
        <f t="shared" si="739"/>
        <v/>
      </c>
      <c r="R1176" s="17" t="str">
        <f t="shared" si="740"/>
        <v/>
      </c>
      <c r="S1176" s="8" t="str">
        <f t="shared" si="741"/>
        <v/>
      </c>
      <c r="T1176" s="2" t="str">
        <f t="shared" si="742"/>
        <v/>
      </c>
      <c r="U1176" s="2" t="str">
        <f t="shared" si="743"/>
        <v/>
      </c>
      <c r="V1176" t="str">
        <f t="shared" si="760"/>
        <v/>
      </c>
      <c r="X1176">
        <f t="shared" si="771"/>
        <v>0</v>
      </c>
      <c r="Y1176">
        <f t="shared" si="772"/>
        <v>0</v>
      </c>
      <c r="Z1176">
        <f t="shared" si="773"/>
        <v>0</v>
      </c>
      <c r="AA1176">
        <f t="shared" si="774"/>
        <v>0</v>
      </c>
      <c r="AB1176">
        <f t="shared" si="775"/>
        <v>0</v>
      </c>
      <c r="AC1176">
        <f t="shared" si="776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70"/>
        <v>S</v>
      </c>
      <c r="M1177">
        <v>8</v>
      </c>
      <c r="N1177" s="23" t="str">
        <f t="shared" si="736"/>
        <v>#</v>
      </c>
      <c r="O1177" s="7" t="str">
        <f t="shared" si="737"/>
        <v/>
      </c>
      <c r="P1177" s="7" t="str">
        <f t="shared" si="738"/>
        <v/>
      </c>
      <c r="Q1177" s="7" t="str">
        <f t="shared" si="739"/>
        <v/>
      </c>
      <c r="R1177" s="17" t="str">
        <f t="shared" si="740"/>
        <v/>
      </c>
      <c r="S1177" s="8" t="str">
        <f t="shared" si="741"/>
        <v/>
      </c>
      <c r="T1177" s="2" t="str">
        <f t="shared" si="742"/>
        <v/>
      </c>
      <c r="U1177" s="2" t="str">
        <f t="shared" si="743"/>
        <v/>
      </c>
      <c r="V1177" t="str">
        <f t="shared" si="760"/>
        <v/>
      </c>
      <c r="X1177">
        <f t="shared" si="771"/>
        <v>0</v>
      </c>
      <c r="Y1177">
        <f t="shared" si="772"/>
        <v>0</v>
      </c>
      <c r="Z1177">
        <f t="shared" si="773"/>
        <v>0</v>
      </c>
      <c r="AA1177">
        <f t="shared" si="774"/>
        <v>0</v>
      </c>
      <c r="AB1177">
        <f t="shared" si="775"/>
        <v>0</v>
      </c>
      <c r="AC1177">
        <f t="shared" si="776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70"/>
        <v>S</v>
      </c>
      <c r="M1178">
        <v>9</v>
      </c>
      <c r="N1178" s="23" t="str">
        <f t="shared" si="736"/>
        <v>#</v>
      </c>
      <c r="O1178" s="7" t="str">
        <f t="shared" si="737"/>
        <v>#</v>
      </c>
      <c r="P1178" s="7" t="str">
        <f t="shared" si="738"/>
        <v>#</v>
      </c>
      <c r="Q1178" s="7" t="str">
        <f t="shared" si="739"/>
        <v>#</v>
      </c>
      <c r="R1178" s="17" t="str">
        <f t="shared" si="740"/>
        <v/>
      </c>
      <c r="S1178" s="8" t="str">
        <f t="shared" si="741"/>
        <v/>
      </c>
      <c r="T1178" s="2" t="str">
        <f t="shared" si="742"/>
        <v/>
      </c>
      <c r="U1178" s="2" t="str">
        <f t="shared" si="743"/>
        <v/>
      </c>
      <c r="V1178" t="str">
        <f t="shared" si="760"/>
        <v/>
      </c>
      <c r="X1178">
        <f t="shared" si="771"/>
        <v>0</v>
      </c>
      <c r="Y1178">
        <f t="shared" si="772"/>
        <v>1</v>
      </c>
      <c r="Z1178">
        <f t="shared" si="773"/>
        <v>1</v>
      </c>
      <c r="AA1178">
        <f t="shared" si="774"/>
        <v>1</v>
      </c>
      <c r="AB1178">
        <f t="shared" si="775"/>
        <v>0</v>
      </c>
      <c r="AC1178">
        <f t="shared" si="776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70"/>
        <v>S</v>
      </c>
      <c r="M1179">
        <v>10</v>
      </c>
      <c r="N1179" s="23" t="str">
        <f t="shared" si="736"/>
        <v/>
      </c>
      <c r="O1179" s="7" t="str">
        <f t="shared" si="737"/>
        <v>#</v>
      </c>
      <c r="P1179" s="7" t="str">
        <f t="shared" si="738"/>
        <v>#</v>
      </c>
      <c r="Q1179" s="7" t="str">
        <f t="shared" si="739"/>
        <v>#</v>
      </c>
      <c r="R1179" s="17" t="str">
        <f t="shared" si="740"/>
        <v>#</v>
      </c>
      <c r="S1179" s="8" t="str">
        <f t="shared" si="741"/>
        <v/>
      </c>
      <c r="T1179" s="2" t="str">
        <f t="shared" si="742"/>
        <v/>
      </c>
      <c r="U1179" s="2" t="str">
        <f t="shared" si="743"/>
        <v/>
      </c>
      <c r="V1179" t="str">
        <f t="shared" si="760"/>
        <v/>
      </c>
      <c r="X1179">
        <f t="shared" si="771"/>
        <v>0</v>
      </c>
      <c r="Y1179">
        <f t="shared" si="772"/>
        <v>0</v>
      </c>
      <c r="Z1179">
        <f t="shared" si="773"/>
        <v>0</v>
      </c>
      <c r="AA1179">
        <f t="shared" si="774"/>
        <v>0</v>
      </c>
      <c r="AB1179">
        <f t="shared" si="775"/>
        <v>1</v>
      </c>
      <c r="AC1179">
        <f t="shared" si="776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70"/>
        <v>S</v>
      </c>
      <c r="M1180">
        <v>11</v>
      </c>
      <c r="N1180" s="23" t="str">
        <f t="shared" si="736"/>
        <v/>
      </c>
      <c r="O1180" s="7" t="str">
        <f t="shared" si="737"/>
        <v/>
      </c>
      <c r="P1180" s="7" t="str">
        <f t="shared" si="738"/>
        <v/>
      </c>
      <c r="Q1180" s="7" t="str">
        <f t="shared" si="739"/>
        <v/>
      </c>
      <c r="R1180" s="17" t="str">
        <f t="shared" si="740"/>
        <v>#</v>
      </c>
      <c r="S1180" s="8" t="str">
        <f t="shared" si="741"/>
        <v/>
      </c>
      <c r="T1180" s="2" t="str">
        <f t="shared" si="742"/>
        <v/>
      </c>
      <c r="U1180" s="2" t="str">
        <f t="shared" si="743"/>
        <v/>
      </c>
      <c r="V1180" t="str">
        <f t="shared" si="760"/>
        <v/>
      </c>
      <c r="X1180">
        <f t="shared" si="771"/>
        <v>0</v>
      </c>
      <c r="Y1180">
        <f t="shared" si="772"/>
        <v>0</v>
      </c>
      <c r="Z1180">
        <f t="shared" si="773"/>
        <v>0</v>
      </c>
      <c r="AA1180">
        <f t="shared" si="774"/>
        <v>0</v>
      </c>
      <c r="AB1180">
        <f t="shared" si="775"/>
        <v>0</v>
      </c>
      <c r="AC1180">
        <f t="shared" si="776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70"/>
        <v>S</v>
      </c>
      <c r="M1181">
        <v>12</v>
      </c>
      <c r="N1181" s="23" t="str">
        <f t="shared" si="736"/>
        <v/>
      </c>
      <c r="O1181" s="7" t="str">
        <f t="shared" si="737"/>
        <v/>
      </c>
      <c r="P1181" s="7" t="str">
        <f t="shared" si="738"/>
        <v/>
      </c>
      <c r="Q1181" s="7" t="str">
        <f t="shared" si="739"/>
        <v/>
      </c>
      <c r="R1181" s="17" t="str">
        <f t="shared" si="740"/>
        <v>#</v>
      </c>
      <c r="S1181" s="8" t="str">
        <f t="shared" si="741"/>
        <v/>
      </c>
      <c r="T1181" s="2" t="str">
        <f t="shared" si="742"/>
        <v/>
      </c>
      <c r="U1181" s="2" t="str">
        <f t="shared" si="743"/>
        <v/>
      </c>
      <c r="V1181" t="str">
        <f t="shared" si="760"/>
        <v/>
      </c>
      <c r="X1181">
        <f t="shared" si="771"/>
        <v>0</v>
      </c>
      <c r="Y1181">
        <f t="shared" si="772"/>
        <v>0</v>
      </c>
      <c r="Z1181">
        <f t="shared" si="773"/>
        <v>0</v>
      </c>
      <c r="AA1181">
        <f t="shared" si="774"/>
        <v>0</v>
      </c>
      <c r="AB1181">
        <f t="shared" si="775"/>
        <v>0</v>
      </c>
      <c r="AC1181">
        <f t="shared" si="776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70"/>
        <v>S</v>
      </c>
      <c r="M1182">
        <v>13</v>
      </c>
      <c r="N1182" s="6" t="str">
        <f t="shared" si="736"/>
        <v>#</v>
      </c>
      <c r="O1182" s="7" t="str">
        <f t="shared" si="737"/>
        <v>#</v>
      </c>
      <c r="P1182" s="7" t="str">
        <f t="shared" si="738"/>
        <v>#</v>
      </c>
      <c r="Q1182" s="7" t="str">
        <f t="shared" si="739"/>
        <v>#</v>
      </c>
      <c r="R1182" s="17" t="str">
        <f t="shared" si="740"/>
        <v>#</v>
      </c>
      <c r="S1182" s="8" t="str">
        <f t="shared" si="741"/>
        <v/>
      </c>
      <c r="T1182" s="2" t="str">
        <f t="shared" si="742"/>
        <v/>
      </c>
      <c r="U1182" s="2" t="str">
        <f t="shared" si="743"/>
        <v/>
      </c>
      <c r="V1182" t="str">
        <f t="shared" si="760"/>
        <v/>
      </c>
      <c r="X1182">
        <f t="shared" si="771"/>
        <v>1</v>
      </c>
      <c r="Y1182">
        <f t="shared" si="772"/>
        <v>1</v>
      </c>
      <c r="Z1182">
        <f t="shared" si="773"/>
        <v>1</v>
      </c>
      <c r="AA1182">
        <f t="shared" si="774"/>
        <v>1</v>
      </c>
      <c r="AB1182">
        <f t="shared" si="775"/>
        <v>0</v>
      </c>
      <c r="AC1182">
        <f t="shared" si="776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70"/>
        <v>S</v>
      </c>
      <c r="M1183">
        <v>14</v>
      </c>
      <c r="N1183" s="18" t="str">
        <f t="shared" si="736"/>
        <v>#</v>
      </c>
      <c r="O1183" s="19" t="str">
        <f t="shared" si="737"/>
        <v>#</v>
      </c>
      <c r="P1183" s="19" t="str">
        <f t="shared" si="738"/>
        <v>#</v>
      </c>
      <c r="Q1183" s="19" t="str">
        <f t="shared" si="739"/>
        <v>#</v>
      </c>
      <c r="R1183" s="20" t="str">
        <f t="shared" si="740"/>
        <v/>
      </c>
      <c r="S1183" s="8" t="str">
        <f t="shared" si="741"/>
        <v/>
      </c>
      <c r="T1183" s="2" t="str">
        <f t="shared" si="742"/>
        <v/>
      </c>
      <c r="U1183" s="2" t="str">
        <f t="shared" si="743"/>
        <v/>
      </c>
      <c r="V1183" t="str">
        <f t="shared" si="760"/>
        <v/>
      </c>
      <c r="X1183">
        <f t="shared" si="771"/>
        <v>0</v>
      </c>
      <c r="Y1183">
        <f t="shared" si="772"/>
        <v>0</v>
      </c>
      <c r="Z1183">
        <f t="shared" si="773"/>
        <v>0</v>
      </c>
      <c r="AA1183">
        <f t="shared" si="774"/>
        <v>0</v>
      </c>
      <c r="AB1183">
        <f t="shared" si="775"/>
        <v>0</v>
      </c>
      <c r="AC1183">
        <f t="shared" si="776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70"/>
        <v>S</v>
      </c>
      <c r="M1184">
        <v>15</v>
      </c>
      <c r="N1184" s="9" t="str">
        <f t="shared" si="736"/>
        <v/>
      </c>
      <c r="O1184" s="10" t="str">
        <f t="shared" si="737"/>
        <v/>
      </c>
      <c r="P1184" s="10" t="str">
        <f t="shared" si="738"/>
        <v/>
      </c>
      <c r="Q1184" s="10" t="str">
        <f t="shared" si="739"/>
        <v/>
      </c>
      <c r="R1184" s="10" t="str">
        <f t="shared" si="740"/>
        <v/>
      </c>
      <c r="S1184" s="11" t="str">
        <f t="shared" si="741"/>
        <v/>
      </c>
      <c r="T1184" s="2" t="str">
        <f t="shared" si="742"/>
        <v/>
      </c>
      <c r="U1184" s="2" t="str">
        <f t="shared" si="743"/>
        <v/>
      </c>
      <c r="V1184" t="str">
        <f t="shared" si="760"/>
        <v/>
      </c>
      <c r="X1184">
        <f t="shared" si="771"/>
        <v>0</v>
      </c>
      <c r="Y1184">
        <f t="shared" si="772"/>
        <v>0</v>
      </c>
      <c r="Z1184">
        <f t="shared" si="773"/>
        <v>0</v>
      </c>
      <c r="AA1184">
        <f t="shared" si="774"/>
        <v>0</v>
      </c>
      <c r="AB1184">
        <f t="shared" si="775"/>
        <v>0</v>
      </c>
      <c r="AC1184">
        <f t="shared" si="776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70"/>
        <v>S</v>
      </c>
      <c r="M1185">
        <v>16</v>
      </c>
      <c r="N1185" s="12" t="str">
        <f t="shared" si="736"/>
        <v/>
      </c>
      <c r="O1185" s="13" t="str">
        <f t="shared" si="737"/>
        <v/>
      </c>
      <c r="P1185" s="13" t="str">
        <f t="shared" si="738"/>
        <v/>
      </c>
      <c r="Q1185" s="13" t="str">
        <f t="shared" si="739"/>
        <v/>
      </c>
      <c r="R1185" s="13" t="str">
        <f t="shared" si="740"/>
        <v/>
      </c>
      <c r="S1185" s="14" t="str">
        <f t="shared" si="741"/>
        <v/>
      </c>
      <c r="T1185" s="2" t="str">
        <f t="shared" si="742"/>
        <v/>
      </c>
      <c r="U1185" s="2" t="str">
        <f t="shared" si="743"/>
        <v/>
      </c>
      <c r="V1185" t="str">
        <f t="shared" si="760"/>
        <v/>
      </c>
      <c r="X1185">
        <f t="shared" si="771"/>
        <v>0</v>
      </c>
      <c r="Y1185">
        <f t="shared" si="772"/>
        <v>0</v>
      </c>
      <c r="Z1185">
        <f t="shared" si="773"/>
        <v>0</v>
      </c>
      <c r="AA1185">
        <f t="shared" si="774"/>
        <v>0</v>
      </c>
      <c r="AB1185">
        <f t="shared" si="775"/>
        <v>0</v>
      </c>
      <c r="AC1185">
        <f t="shared" si="776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7">IF(B1186&gt;0,"#","")</f>
        <v/>
      </c>
      <c r="O1186" t="str">
        <f t="shared" ref="O1186:O1249" si="778">IF(C1186&gt;0,"#","")</f>
        <v/>
      </c>
      <c r="P1186" t="str">
        <f t="shared" ref="P1186:P1249" si="779">IF(D1186&gt;0,"#","")</f>
        <v/>
      </c>
      <c r="Q1186" t="str">
        <f t="shared" ref="Q1186:Q1249" si="780">IF(E1186&gt;0,"#","")</f>
        <v/>
      </c>
      <c r="R1186" t="str">
        <f t="shared" ref="R1186:R1249" si="781">IF(F1186&gt;0,"#","")</f>
        <v/>
      </c>
      <c r="S1186" t="str">
        <f t="shared" ref="S1186:S1249" si="782">IF(G1186&gt;0,"#","")</f>
        <v/>
      </c>
      <c r="T1186" s="2" t="str">
        <f t="shared" ref="T1186:T1249" si="783">IF(H1186&gt;0,"#","")</f>
        <v/>
      </c>
      <c r="U1186" s="2" t="str">
        <f t="shared" ref="U1186:U1249" si="784">IF(I1186&gt;0,"#","")</f>
        <v/>
      </c>
      <c r="V1186" t="str">
        <f t="shared" si="760"/>
        <v/>
      </c>
      <c r="W1186">
        <f>SUM(B1188:G1201)</f>
        <v>18</v>
      </c>
      <c r="AD1186">
        <f t="shared" ref="AD1186" si="785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6">L1186</f>
        <v>T</v>
      </c>
      <c r="M1187">
        <v>2</v>
      </c>
      <c r="N1187" t="str">
        <f t="shared" si="777"/>
        <v/>
      </c>
      <c r="O1187" t="str">
        <f t="shared" si="778"/>
        <v/>
      </c>
      <c r="P1187" t="str">
        <f t="shared" si="779"/>
        <v/>
      </c>
      <c r="Q1187" t="str">
        <f t="shared" si="780"/>
        <v/>
      </c>
      <c r="R1187" t="str">
        <f t="shared" si="781"/>
        <v/>
      </c>
      <c r="S1187" t="str">
        <f t="shared" si="782"/>
        <v/>
      </c>
      <c r="T1187" s="2" t="str">
        <f t="shared" si="783"/>
        <v/>
      </c>
      <c r="U1187" s="2" t="str">
        <f t="shared" si="784"/>
        <v/>
      </c>
      <c r="V1187" t="str">
        <f t="shared" si="760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6"/>
        <v>T</v>
      </c>
      <c r="M1188">
        <v>3</v>
      </c>
      <c r="N1188" s="3" t="str">
        <f t="shared" si="777"/>
        <v/>
      </c>
      <c r="O1188" s="4" t="str">
        <f t="shared" si="778"/>
        <v/>
      </c>
      <c r="P1188" s="4" t="str">
        <f t="shared" si="779"/>
        <v/>
      </c>
      <c r="Q1188" s="4" t="str">
        <f t="shared" si="780"/>
        <v/>
      </c>
      <c r="R1188" s="4" t="str">
        <f t="shared" si="781"/>
        <v/>
      </c>
      <c r="S1188" s="5" t="str">
        <f t="shared" si="782"/>
        <v/>
      </c>
      <c r="T1188" s="2" t="str">
        <f t="shared" si="783"/>
        <v/>
      </c>
      <c r="U1188" s="2" t="str">
        <f t="shared" si="784"/>
        <v/>
      </c>
      <c r="V1188" t="str">
        <f t="shared" si="760"/>
        <v/>
      </c>
      <c r="X1188">
        <f t="shared" ref="X1188:X1201" si="787">MAX(B1188-B1187,0)</f>
        <v>0</v>
      </c>
      <c r="Y1188">
        <f t="shared" ref="Y1188:Y1201" si="788">MAX(C1188-C1187,0)</f>
        <v>0</v>
      </c>
      <c r="Z1188">
        <f t="shared" ref="Z1188:Z1201" si="789">MAX(D1188-D1187,0)</f>
        <v>0</v>
      </c>
      <c r="AA1188">
        <f t="shared" ref="AA1188:AA1201" si="790">MAX(E1188-E1187,0)</f>
        <v>0</v>
      </c>
      <c r="AB1188">
        <f t="shared" ref="AB1188:AB1201" si="791">MAX(F1188-F1187,0)</f>
        <v>0</v>
      </c>
      <c r="AC1188">
        <f t="shared" ref="AC1188:AC1201" si="792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6"/>
        <v>T</v>
      </c>
      <c r="M1189">
        <v>4</v>
      </c>
      <c r="N1189" s="6" t="str">
        <f t="shared" si="777"/>
        <v/>
      </c>
      <c r="O1189" s="7" t="str">
        <f t="shared" si="778"/>
        <v/>
      </c>
      <c r="P1189" s="7" t="str">
        <f t="shared" si="779"/>
        <v/>
      </c>
      <c r="Q1189" s="7" t="str">
        <f t="shared" si="780"/>
        <v/>
      </c>
      <c r="R1189" s="7" t="str">
        <f t="shared" si="781"/>
        <v/>
      </c>
      <c r="S1189" s="8" t="str">
        <f t="shared" si="782"/>
        <v/>
      </c>
      <c r="T1189" s="2" t="str">
        <f t="shared" si="783"/>
        <v/>
      </c>
      <c r="U1189" s="2" t="str">
        <f t="shared" si="784"/>
        <v/>
      </c>
      <c r="V1189" t="str">
        <f t="shared" si="760"/>
        <v/>
      </c>
      <c r="X1189">
        <f t="shared" si="787"/>
        <v>0</v>
      </c>
      <c r="Y1189">
        <f t="shared" si="788"/>
        <v>0</v>
      </c>
      <c r="Z1189">
        <f t="shared" si="789"/>
        <v>0</v>
      </c>
      <c r="AA1189">
        <f t="shared" si="790"/>
        <v>0</v>
      </c>
      <c r="AB1189">
        <f t="shared" si="791"/>
        <v>0</v>
      </c>
      <c r="AC1189">
        <f t="shared" si="792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6"/>
        <v>T</v>
      </c>
      <c r="M1190">
        <v>5</v>
      </c>
      <c r="N1190" s="22" t="str">
        <f t="shared" si="777"/>
        <v>#</v>
      </c>
      <c r="O1190" s="15" t="str">
        <f t="shared" si="778"/>
        <v>#</v>
      </c>
      <c r="P1190" s="15" t="str">
        <f t="shared" si="779"/>
        <v>#</v>
      </c>
      <c r="Q1190" s="15" t="str">
        <f t="shared" si="780"/>
        <v>#</v>
      </c>
      <c r="R1190" s="16" t="str">
        <f t="shared" si="781"/>
        <v>#</v>
      </c>
      <c r="S1190" s="8" t="str">
        <f t="shared" si="782"/>
        <v/>
      </c>
      <c r="T1190" s="2" t="str">
        <f t="shared" si="783"/>
        <v/>
      </c>
      <c r="U1190" s="2" t="str">
        <f t="shared" si="784"/>
        <v/>
      </c>
      <c r="V1190" t="str">
        <f t="shared" si="760"/>
        <v/>
      </c>
      <c r="X1190">
        <f t="shared" si="787"/>
        <v>1</v>
      </c>
      <c r="Y1190">
        <f t="shared" si="788"/>
        <v>1</v>
      </c>
      <c r="Z1190">
        <f t="shared" si="789"/>
        <v>1</v>
      </c>
      <c r="AA1190">
        <f t="shared" si="790"/>
        <v>1</v>
      </c>
      <c r="AB1190">
        <f t="shared" si="791"/>
        <v>1</v>
      </c>
      <c r="AC1190">
        <f t="shared" si="792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6"/>
        <v>T</v>
      </c>
      <c r="M1191">
        <v>6</v>
      </c>
      <c r="N1191" s="23" t="str">
        <f t="shared" si="777"/>
        <v>#</v>
      </c>
      <c r="O1191" s="7" t="str">
        <f t="shared" si="778"/>
        <v>#</v>
      </c>
      <c r="P1191" s="7" t="str">
        <f t="shared" si="779"/>
        <v>#</v>
      </c>
      <c r="Q1191" s="7" t="str">
        <f t="shared" si="780"/>
        <v>#</v>
      </c>
      <c r="R1191" s="17" t="str">
        <f t="shared" si="781"/>
        <v>#</v>
      </c>
      <c r="S1191" s="8" t="str">
        <f t="shared" si="782"/>
        <v/>
      </c>
      <c r="T1191" s="2" t="str">
        <f t="shared" si="783"/>
        <v/>
      </c>
      <c r="U1191" s="2" t="str">
        <f t="shared" si="784"/>
        <v/>
      </c>
      <c r="V1191" t="str">
        <f t="shared" si="760"/>
        <v/>
      </c>
      <c r="X1191">
        <f t="shared" si="787"/>
        <v>0</v>
      </c>
      <c r="Y1191">
        <f t="shared" si="788"/>
        <v>0</v>
      </c>
      <c r="Z1191">
        <f t="shared" si="789"/>
        <v>0</v>
      </c>
      <c r="AA1191">
        <f t="shared" si="790"/>
        <v>0</v>
      </c>
      <c r="AB1191">
        <f t="shared" si="791"/>
        <v>0</v>
      </c>
      <c r="AC1191">
        <f t="shared" si="792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6"/>
        <v>T</v>
      </c>
      <c r="M1192">
        <v>7</v>
      </c>
      <c r="N1192" s="23" t="str">
        <f t="shared" si="777"/>
        <v/>
      </c>
      <c r="O1192" s="7" t="str">
        <f t="shared" si="778"/>
        <v/>
      </c>
      <c r="P1192" s="7" t="str">
        <f t="shared" si="779"/>
        <v>#</v>
      </c>
      <c r="Q1192" s="7" t="str">
        <f t="shared" si="780"/>
        <v/>
      </c>
      <c r="R1192" s="17" t="str">
        <f t="shared" si="781"/>
        <v/>
      </c>
      <c r="S1192" s="8" t="str">
        <f t="shared" si="782"/>
        <v/>
      </c>
      <c r="T1192" s="2" t="str">
        <f t="shared" si="783"/>
        <v/>
      </c>
      <c r="U1192" s="2" t="str">
        <f t="shared" si="784"/>
        <v/>
      </c>
      <c r="V1192" t="str">
        <f t="shared" si="760"/>
        <v/>
      </c>
      <c r="X1192">
        <f t="shared" si="787"/>
        <v>0</v>
      </c>
      <c r="Y1192">
        <f t="shared" si="788"/>
        <v>0</v>
      </c>
      <c r="Z1192">
        <f t="shared" si="789"/>
        <v>0</v>
      </c>
      <c r="AA1192">
        <f t="shared" si="790"/>
        <v>0</v>
      </c>
      <c r="AB1192">
        <f t="shared" si="791"/>
        <v>0</v>
      </c>
      <c r="AC1192">
        <f t="shared" si="792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6"/>
        <v>T</v>
      </c>
      <c r="M1193">
        <v>8</v>
      </c>
      <c r="N1193" s="23" t="str">
        <f t="shared" si="777"/>
        <v/>
      </c>
      <c r="O1193" s="7" t="str">
        <f t="shared" si="778"/>
        <v/>
      </c>
      <c r="P1193" s="7" t="str">
        <f t="shared" si="779"/>
        <v>#</v>
      </c>
      <c r="Q1193" s="7" t="str">
        <f t="shared" si="780"/>
        <v/>
      </c>
      <c r="R1193" s="17" t="str">
        <f t="shared" si="781"/>
        <v/>
      </c>
      <c r="S1193" s="8" t="str">
        <f t="shared" si="782"/>
        <v/>
      </c>
      <c r="T1193" s="2" t="str">
        <f t="shared" si="783"/>
        <v/>
      </c>
      <c r="U1193" s="2" t="str">
        <f t="shared" si="784"/>
        <v/>
      </c>
      <c r="V1193" t="str">
        <f t="shared" si="760"/>
        <v/>
      </c>
      <c r="X1193">
        <f t="shared" si="787"/>
        <v>0</v>
      </c>
      <c r="Y1193">
        <f t="shared" si="788"/>
        <v>0</v>
      </c>
      <c r="Z1193">
        <f t="shared" si="789"/>
        <v>0</v>
      </c>
      <c r="AA1193">
        <f t="shared" si="790"/>
        <v>0</v>
      </c>
      <c r="AB1193">
        <f t="shared" si="791"/>
        <v>0</v>
      </c>
      <c r="AC1193">
        <f t="shared" si="792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6"/>
        <v>T</v>
      </c>
      <c r="M1194">
        <v>9</v>
      </c>
      <c r="N1194" s="23" t="str">
        <f t="shared" si="777"/>
        <v/>
      </c>
      <c r="O1194" s="7" t="str">
        <f t="shared" si="778"/>
        <v/>
      </c>
      <c r="P1194" s="7" t="str">
        <f t="shared" si="779"/>
        <v>#</v>
      </c>
      <c r="Q1194" s="7" t="str">
        <f t="shared" si="780"/>
        <v/>
      </c>
      <c r="R1194" s="17" t="str">
        <f t="shared" si="781"/>
        <v/>
      </c>
      <c r="S1194" s="8" t="str">
        <f t="shared" si="782"/>
        <v/>
      </c>
      <c r="T1194" s="2" t="str">
        <f t="shared" si="783"/>
        <v/>
      </c>
      <c r="U1194" s="2" t="str">
        <f t="shared" si="784"/>
        <v/>
      </c>
      <c r="V1194" t="str">
        <f t="shared" si="760"/>
        <v/>
      </c>
      <c r="X1194">
        <f t="shared" si="787"/>
        <v>0</v>
      </c>
      <c r="Y1194">
        <f t="shared" si="788"/>
        <v>0</v>
      </c>
      <c r="Z1194">
        <f t="shared" si="789"/>
        <v>0</v>
      </c>
      <c r="AA1194">
        <f t="shared" si="790"/>
        <v>0</v>
      </c>
      <c r="AB1194">
        <f t="shared" si="791"/>
        <v>0</v>
      </c>
      <c r="AC1194">
        <f t="shared" si="792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6"/>
        <v>T</v>
      </c>
      <c r="M1195">
        <v>10</v>
      </c>
      <c r="N1195" s="23" t="str">
        <f t="shared" si="777"/>
        <v/>
      </c>
      <c r="O1195" s="7" t="str">
        <f t="shared" si="778"/>
        <v/>
      </c>
      <c r="P1195" s="7" t="str">
        <f t="shared" si="779"/>
        <v>#</v>
      </c>
      <c r="Q1195" s="7" t="str">
        <f t="shared" si="780"/>
        <v/>
      </c>
      <c r="R1195" s="17" t="str">
        <f t="shared" si="781"/>
        <v/>
      </c>
      <c r="S1195" s="8" t="str">
        <f t="shared" si="782"/>
        <v/>
      </c>
      <c r="T1195" s="2" t="str">
        <f t="shared" si="783"/>
        <v/>
      </c>
      <c r="U1195" s="2" t="str">
        <f t="shared" si="784"/>
        <v/>
      </c>
      <c r="V1195" t="str">
        <f t="shared" si="760"/>
        <v/>
      </c>
      <c r="X1195">
        <f t="shared" si="787"/>
        <v>0</v>
      </c>
      <c r="Y1195">
        <f t="shared" si="788"/>
        <v>0</v>
      </c>
      <c r="Z1195">
        <f t="shared" si="789"/>
        <v>0</v>
      </c>
      <c r="AA1195">
        <f t="shared" si="790"/>
        <v>0</v>
      </c>
      <c r="AB1195">
        <f t="shared" si="791"/>
        <v>0</v>
      </c>
      <c r="AC1195">
        <f t="shared" si="792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6"/>
        <v>T</v>
      </c>
      <c r="M1196">
        <v>11</v>
      </c>
      <c r="N1196" s="23" t="str">
        <f t="shared" si="777"/>
        <v/>
      </c>
      <c r="O1196" s="7" t="str">
        <f t="shared" si="778"/>
        <v/>
      </c>
      <c r="P1196" s="7" t="str">
        <f t="shared" si="779"/>
        <v>#</v>
      </c>
      <c r="Q1196" s="7" t="str">
        <f t="shared" si="780"/>
        <v/>
      </c>
      <c r="R1196" s="17" t="str">
        <f t="shared" si="781"/>
        <v/>
      </c>
      <c r="S1196" s="8" t="str">
        <f t="shared" si="782"/>
        <v/>
      </c>
      <c r="T1196" s="2" t="str">
        <f t="shared" si="783"/>
        <v/>
      </c>
      <c r="U1196" s="2" t="str">
        <f t="shared" si="784"/>
        <v/>
      </c>
      <c r="V1196" t="str">
        <f t="shared" si="760"/>
        <v/>
      </c>
      <c r="X1196">
        <f t="shared" si="787"/>
        <v>0</v>
      </c>
      <c r="Y1196">
        <f t="shared" si="788"/>
        <v>0</v>
      </c>
      <c r="Z1196">
        <f t="shared" si="789"/>
        <v>0</v>
      </c>
      <c r="AA1196">
        <f t="shared" si="790"/>
        <v>0</v>
      </c>
      <c r="AB1196">
        <f t="shared" si="791"/>
        <v>0</v>
      </c>
      <c r="AC1196">
        <f t="shared" si="792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6"/>
        <v>T</v>
      </c>
      <c r="M1197">
        <v>12</v>
      </c>
      <c r="N1197" s="23" t="str">
        <f t="shared" si="777"/>
        <v/>
      </c>
      <c r="O1197" s="7" t="str">
        <f t="shared" si="778"/>
        <v/>
      </c>
      <c r="P1197" s="7" t="str">
        <f t="shared" si="779"/>
        <v>#</v>
      </c>
      <c r="Q1197" s="7" t="str">
        <f t="shared" si="780"/>
        <v/>
      </c>
      <c r="R1197" s="17" t="str">
        <f t="shared" si="781"/>
        <v/>
      </c>
      <c r="S1197" s="8" t="str">
        <f t="shared" si="782"/>
        <v/>
      </c>
      <c r="T1197" s="2" t="str">
        <f t="shared" si="783"/>
        <v/>
      </c>
      <c r="U1197" s="2" t="str">
        <f t="shared" si="784"/>
        <v/>
      </c>
      <c r="V1197" t="str">
        <f t="shared" si="760"/>
        <v/>
      </c>
      <c r="X1197">
        <f t="shared" si="787"/>
        <v>0</v>
      </c>
      <c r="Y1197">
        <f t="shared" si="788"/>
        <v>0</v>
      </c>
      <c r="Z1197">
        <f t="shared" si="789"/>
        <v>0</v>
      </c>
      <c r="AA1197">
        <f t="shared" si="790"/>
        <v>0</v>
      </c>
      <c r="AB1197">
        <f t="shared" si="791"/>
        <v>0</v>
      </c>
      <c r="AC1197">
        <f t="shared" si="792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6"/>
        <v>T</v>
      </c>
      <c r="M1198">
        <v>13</v>
      </c>
      <c r="N1198" s="6" t="str">
        <f t="shared" si="777"/>
        <v/>
      </c>
      <c r="O1198" s="7" t="str">
        <f t="shared" si="778"/>
        <v/>
      </c>
      <c r="P1198" s="7" t="str">
        <f t="shared" si="779"/>
        <v>#</v>
      </c>
      <c r="Q1198" s="7" t="str">
        <f t="shared" si="780"/>
        <v/>
      </c>
      <c r="R1198" s="17" t="str">
        <f t="shared" si="781"/>
        <v/>
      </c>
      <c r="S1198" s="8" t="str">
        <f t="shared" si="782"/>
        <v/>
      </c>
      <c r="T1198" s="2" t="str">
        <f t="shared" si="783"/>
        <v/>
      </c>
      <c r="U1198" s="2" t="str">
        <f t="shared" si="784"/>
        <v/>
      </c>
      <c r="V1198" t="str">
        <f t="shared" si="760"/>
        <v/>
      </c>
      <c r="X1198">
        <f t="shared" si="787"/>
        <v>0</v>
      </c>
      <c r="Y1198">
        <f t="shared" si="788"/>
        <v>0</v>
      </c>
      <c r="Z1198">
        <f t="shared" si="789"/>
        <v>0</v>
      </c>
      <c r="AA1198">
        <f t="shared" si="790"/>
        <v>0</v>
      </c>
      <c r="AB1198">
        <f t="shared" si="791"/>
        <v>0</v>
      </c>
      <c r="AC1198">
        <f t="shared" si="792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6"/>
        <v>T</v>
      </c>
      <c r="M1199">
        <v>14</v>
      </c>
      <c r="N1199" s="18" t="str">
        <f t="shared" si="777"/>
        <v/>
      </c>
      <c r="O1199" s="19" t="str">
        <f t="shared" si="778"/>
        <v/>
      </c>
      <c r="P1199" s="19" t="str">
        <f t="shared" si="779"/>
        <v>#</v>
      </c>
      <c r="Q1199" s="19" t="str">
        <f t="shared" si="780"/>
        <v/>
      </c>
      <c r="R1199" s="20" t="str">
        <f t="shared" si="781"/>
        <v/>
      </c>
      <c r="S1199" s="8" t="str">
        <f t="shared" si="782"/>
        <v/>
      </c>
      <c r="T1199" s="2" t="str">
        <f t="shared" si="783"/>
        <v/>
      </c>
      <c r="U1199" s="2" t="str">
        <f t="shared" si="784"/>
        <v/>
      </c>
      <c r="V1199" t="str">
        <f t="shared" si="760"/>
        <v/>
      </c>
      <c r="X1199">
        <f t="shared" si="787"/>
        <v>0</v>
      </c>
      <c r="Y1199">
        <f t="shared" si="788"/>
        <v>0</v>
      </c>
      <c r="Z1199">
        <f t="shared" si="789"/>
        <v>0</v>
      </c>
      <c r="AA1199">
        <f t="shared" si="790"/>
        <v>0</v>
      </c>
      <c r="AB1199">
        <f t="shared" si="791"/>
        <v>0</v>
      </c>
      <c r="AC1199">
        <f t="shared" si="792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6"/>
        <v>T</v>
      </c>
      <c r="M1200">
        <v>15</v>
      </c>
      <c r="N1200" s="9" t="str">
        <f t="shared" si="777"/>
        <v/>
      </c>
      <c r="O1200" s="10" t="str">
        <f t="shared" si="778"/>
        <v/>
      </c>
      <c r="P1200" s="10" t="str">
        <f t="shared" si="779"/>
        <v/>
      </c>
      <c r="Q1200" s="10" t="str">
        <f t="shared" si="780"/>
        <v/>
      </c>
      <c r="R1200" s="10" t="str">
        <f t="shared" si="781"/>
        <v/>
      </c>
      <c r="S1200" s="11" t="str">
        <f t="shared" si="782"/>
        <v/>
      </c>
      <c r="T1200" s="2" t="str">
        <f t="shared" si="783"/>
        <v/>
      </c>
      <c r="U1200" s="2" t="str">
        <f t="shared" si="784"/>
        <v/>
      </c>
      <c r="V1200" t="str">
        <f t="shared" si="760"/>
        <v/>
      </c>
      <c r="X1200">
        <f t="shared" si="787"/>
        <v>0</v>
      </c>
      <c r="Y1200">
        <f t="shared" si="788"/>
        <v>0</v>
      </c>
      <c r="Z1200">
        <f t="shared" si="789"/>
        <v>0</v>
      </c>
      <c r="AA1200">
        <f t="shared" si="790"/>
        <v>0</v>
      </c>
      <c r="AB1200">
        <f t="shared" si="791"/>
        <v>0</v>
      </c>
      <c r="AC1200">
        <f t="shared" si="792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6"/>
        <v>T</v>
      </c>
      <c r="M1201">
        <v>16</v>
      </c>
      <c r="N1201" s="12" t="str">
        <f t="shared" si="777"/>
        <v/>
      </c>
      <c r="O1201" s="13" t="str">
        <f t="shared" si="778"/>
        <v/>
      </c>
      <c r="P1201" s="13" t="str">
        <f t="shared" si="779"/>
        <v/>
      </c>
      <c r="Q1201" s="13" t="str">
        <f t="shared" si="780"/>
        <v/>
      </c>
      <c r="R1201" s="13" t="str">
        <f t="shared" si="781"/>
        <v/>
      </c>
      <c r="S1201" s="14" t="str">
        <f t="shared" si="782"/>
        <v/>
      </c>
      <c r="T1201" s="2" t="str">
        <f t="shared" si="783"/>
        <v/>
      </c>
      <c r="U1201" s="2" t="str">
        <f t="shared" si="784"/>
        <v/>
      </c>
      <c r="V1201" t="str">
        <f t="shared" si="760"/>
        <v/>
      </c>
      <c r="X1201">
        <f t="shared" si="787"/>
        <v>0</v>
      </c>
      <c r="Y1201">
        <f t="shared" si="788"/>
        <v>0</v>
      </c>
      <c r="Z1201">
        <f t="shared" si="789"/>
        <v>0</v>
      </c>
      <c r="AA1201">
        <f t="shared" si="790"/>
        <v>0</v>
      </c>
      <c r="AB1201">
        <f t="shared" si="791"/>
        <v>0</v>
      </c>
      <c r="AC1201">
        <f t="shared" si="792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7"/>
        <v/>
      </c>
      <c r="O1202" t="str">
        <f t="shared" si="778"/>
        <v/>
      </c>
      <c r="P1202" t="str">
        <f t="shared" si="779"/>
        <v/>
      </c>
      <c r="Q1202" t="str">
        <f t="shared" si="780"/>
        <v/>
      </c>
      <c r="R1202" t="str">
        <f t="shared" si="781"/>
        <v/>
      </c>
      <c r="S1202" t="str">
        <f t="shared" si="782"/>
        <v/>
      </c>
      <c r="T1202" s="2" t="str">
        <f t="shared" si="783"/>
        <v/>
      </c>
      <c r="U1202" s="2" t="str">
        <f t="shared" si="784"/>
        <v/>
      </c>
      <c r="V1202" t="str">
        <f t="shared" si="760"/>
        <v/>
      </c>
      <c r="W1202">
        <f>SUM(B1204:G1217)</f>
        <v>26</v>
      </c>
      <c r="AD1202">
        <f t="shared" ref="AD1202" si="793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94">L1202</f>
        <v>U</v>
      </c>
      <c r="M1203">
        <v>2</v>
      </c>
      <c r="N1203" t="str">
        <f t="shared" si="777"/>
        <v/>
      </c>
      <c r="O1203" t="str">
        <f t="shared" si="778"/>
        <v/>
      </c>
      <c r="P1203" t="str">
        <f t="shared" si="779"/>
        <v/>
      </c>
      <c r="Q1203" t="str">
        <f t="shared" si="780"/>
        <v/>
      </c>
      <c r="R1203" t="str">
        <f t="shared" si="781"/>
        <v/>
      </c>
      <c r="S1203" t="str">
        <f t="shared" si="782"/>
        <v/>
      </c>
      <c r="T1203" s="2" t="str">
        <f t="shared" si="783"/>
        <v/>
      </c>
      <c r="U1203" s="2" t="str">
        <f t="shared" si="784"/>
        <v/>
      </c>
      <c r="V1203" t="str">
        <f t="shared" si="760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94"/>
        <v>U</v>
      </c>
      <c r="M1204">
        <v>3</v>
      </c>
      <c r="N1204" s="3" t="str">
        <f t="shared" si="777"/>
        <v/>
      </c>
      <c r="O1204" s="4" t="str">
        <f t="shared" si="778"/>
        <v/>
      </c>
      <c r="P1204" s="4" t="str">
        <f t="shared" si="779"/>
        <v/>
      </c>
      <c r="Q1204" s="4" t="str">
        <f t="shared" si="780"/>
        <v/>
      </c>
      <c r="R1204" s="4" t="str">
        <f t="shared" si="781"/>
        <v/>
      </c>
      <c r="S1204" s="5" t="str">
        <f t="shared" si="782"/>
        <v/>
      </c>
      <c r="T1204" s="2" t="str">
        <f t="shared" si="783"/>
        <v/>
      </c>
      <c r="U1204" s="2" t="str">
        <f t="shared" si="784"/>
        <v/>
      </c>
      <c r="V1204" t="str">
        <f t="shared" si="760"/>
        <v/>
      </c>
      <c r="X1204">
        <f t="shared" ref="X1204:X1217" si="795">MAX(B1204-B1203,0)</f>
        <v>0</v>
      </c>
      <c r="Y1204">
        <f t="shared" ref="Y1204:Y1217" si="796">MAX(C1204-C1203,0)</f>
        <v>0</v>
      </c>
      <c r="Z1204">
        <f t="shared" ref="Z1204:Z1217" si="797">MAX(D1204-D1203,0)</f>
        <v>0</v>
      </c>
      <c r="AA1204">
        <f t="shared" ref="AA1204:AA1217" si="798">MAX(E1204-E1203,0)</f>
        <v>0</v>
      </c>
      <c r="AB1204">
        <f t="shared" ref="AB1204:AB1217" si="799">MAX(F1204-F1203,0)</f>
        <v>0</v>
      </c>
      <c r="AC1204">
        <f t="shared" ref="AC1204:AC1217" si="800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94"/>
        <v>U</v>
      </c>
      <c r="M1205">
        <v>4</v>
      </c>
      <c r="N1205" s="6" t="str">
        <f t="shared" si="777"/>
        <v/>
      </c>
      <c r="O1205" s="7" t="str">
        <f t="shared" si="778"/>
        <v/>
      </c>
      <c r="P1205" s="7" t="str">
        <f t="shared" si="779"/>
        <v/>
      </c>
      <c r="Q1205" s="7" t="str">
        <f t="shared" si="780"/>
        <v/>
      </c>
      <c r="R1205" s="7" t="str">
        <f t="shared" si="781"/>
        <v/>
      </c>
      <c r="S1205" s="8" t="str">
        <f t="shared" si="782"/>
        <v/>
      </c>
      <c r="T1205" s="2" t="str">
        <f t="shared" si="783"/>
        <v/>
      </c>
      <c r="U1205" s="2" t="str">
        <f t="shared" si="784"/>
        <v/>
      </c>
      <c r="V1205" t="str">
        <f t="shared" si="760"/>
        <v/>
      </c>
      <c r="X1205">
        <f t="shared" si="795"/>
        <v>0</v>
      </c>
      <c r="Y1205">
        <f t="shared" si="796"/>
        <v>0</v>
      </c>
      <c r="Z1205">
        <f t="shared" si="797"/>
        <v>0</v>
      </c>
      <c r="AA1205">
        <f t="shared" si="798"/>
        <v>0</v>
      </c>
      <c r="AB1205">
        <f t="shared" si="799"/>
        <v>0</v>
      </c>
      <c r="AC1205">
        <f t="shared" si="800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94"/>
        <v>U</v>
      </c>
      <c r="M1206">
        <v>5</v>
      </c>
      <c r="N1206" s="22" t="str">
        <f t="shared" si="777"/>
        <v>#</v>
      </c>
      <c r="O1206" s="15" t="str">
        <f t="shared" si="778"/>
        <v/>
      </c>
      <c r="P1206" s="15" t="str">
        <f t="shared" si="779"/>
        <v/>
      </c>
      <c r="Q1206" s="15" t="str">
        <f t="shared" si="780"/>
        <v/>
      </c>
      <c r="R1206" s="16" t="str">
        <f t="shared" si="781"/>
        <v>#</v>
      </c>
      <c r="S1206" s="8" t="str">
        <f t="shared" si="782"/>
        <v/>
      </c>
      <c r="T1206" s="2" t="str">
        <f t="shared" si="783"/>
        <v/>
      </c>
      <c r="U1206" s="2" t="str">
        <f t="shared" si="784"/>
        <v/>
      </c>
      <c r="V1206" t="str">
        <f t="shared" si="760"/>
        <v/>
      </c>
      <c r="X1206">
        <f t="shared" si="795"/>
        <v>1</v>
      </c>
      <c r="Y1206">
        <f t="shared" si="796"/>
        <v>0</v>
      </c>
      <c r="Z1206">
        <f t="shared" si="797"/>
        <v>0</v>
      </c>
      <c r="AA1206">
        <f t="shared" si="798"/>
        <v>0</v>
      </c>
      <c r="AB1206">
        <f t="shared" si="799"/>
        <v>1</v>
      </c>
      <c r="AC1206">
        <f t="shared" si="800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94"/>
        <v>U</v>
      </c>
      <c r="M1207">
        <v>6</v>
      </c>
      <c r="N1207" s="23" t="str">
        <f t="shared" si="777"/>
        <v>#</v>
      </c>
      <c r="O1207" s="7" t="str">
        <f t="shared" si="778"/>
        <v/>
      </c>
      <c r="P1207" s="7" t="str">
        <f t="shared" si="779"/>
        <v/>
      </c>
      <c r="Q1207" s="7" t="str">
        <f t="shared" si="780"/>
        <v/>
      </c>
      <c r="R1207" s="17" t="str">
        <f t="shared" si="781"/>
        <v>#</v>
      </c>
      <c r="S1207" s="8" t="str">
        <f t="shared" si="782"/>
        <v/>
      </c>
      <c r="T1207" s="2" t="str">
        <f t="shared" si="783"/>
        <v/>
      </c>
      <c r="U1207" s="2" t="str">
        <f t="shared" si="784"/>
        <v/>
      </c>
      <c r="V1207" t="str">
        <f t="shared" si="760"/>
        <v/>
      </c>
      <c r="X1207">
        <f t="shared" si="795"/>
        <v>0</v>
      </c>
      <c r="Y1207">
        <f t="shared" si="796"/>
        <v>0</v>
      </c>
      <c r="Z1207">
        <f t="shared" si="797"/>
        <v>0</v>
      </c>
      <c r="AA1207">
        <f t="shared" si="798"/>
        <v>0</v>
      </c>
      <c r="AB1207">
        <f t="shared" si="799"/>
        <v>0</v>
      </c>
      <c r="AC1207">
        <f t="shared" si="800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94"/>
        <v>U</v>
      </c>
      <c r="M1208">
        <v>7</v>
      </c>
      <c r="N1208" s="23" t="str">
        <f t="shared" si="777"/>
        <v>#</v>
      </c>
      <c r="O1208" s="7" t="str">
        <f t="shared" si="778"/>
        <v/>
      </c>
      <c r="P1208" s="7" t="str">
        <f t="shared" si="779"/>
        <v/>
      </c>
      <c r="Q1208" s="7" t="str">
        <f t="shared" si="780"/>
        <v/>
      </c>
      <c r="R1208" s="17" t="str">
        <f t="shared" si="781"/>
        <v>#</v>
      </c>
      <c r="S1208" s="8" t="str">
        <f t="shared" si="782"/>
        <v/>
      </c>
      <c r="T1208" s="2" t="str">
        <f t="shared" si="783"/>
        <v/>
      </c>
      <c r="U1208" s="2" t="str">
        <f t="shared" si="784"/>
        <v/>
      </c>
      <c r="V1208" t="str">
        <f t="shared" si="760"/>
        <v/>
      </c>
      <c r="X1208">
        <f t="shared" si="795"/>
        <v>0</v>
      </c>
      <c r="Y1208">
        <f t="shared" si="796"/>
        <v>0</v>
      </c>
      <c r="Z1208">
        <f t="shared" si="797"/>
        <v>0</v>
      </c>
      <c r="AA1208">
        <f t="shared" si="798"/>
        <v>0</v>
      </c>
      <c r="AB1208">
        <f t="shared" si="799"/>
        <v>0</v>
      </c>
      <c r="AC1208">
        <f t="shared" si="800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94"/>
        <v>U</v>
      </c>
      <c r="M1209">
        <v>8</v>
      </c>
      <c r="N1209" s="23" t="str">
        <f t="shared" si="777"/>
        <v>#</v>
      </c>
      <c r="O1209" s="7" t="str">
        <f t="shared" si="778"/>
        <v/>
      </c>
      <c r="P1209" s="7" t="str">
        <f t="shared" si="779"/>
        <v/>
      </c>
      <c r="Q1209" s="7" t="str">
        <f t="shared" si="780"/>
        <v/>
      </c>
      <c r="R1209" s="17" t="str">
        <f t="shared" si="781"/>
        <v>#</v>
      </c>
      <c r="S1209" s="8" t="str">
        <f t="shared" si="782"/>
        <v/>
      </c>
      <c r="T1209" s="2" t="str">
        <f t="shared" si="783"/>
        <v/>
      </c>
      <c r="U1209" s="2" t="str">
        <f t="shared" si="784"/>
        <v/>
      </c>
      <c r="V1209" t="str">
        <f t="shared" si="760"/>
        <v/>
      </c>
      <c r="X1209">
        <f t="shared" si="795"/>
        <v>0</v>
      </c>
      <c r="Y1209">
        <f t="shared" si="796"/>
        <v>0</v>
      </c>
      <c r="Z1209">
        <f t="shared" si="797"/>
        <v>0</v>
      </c>
      <c r="AA1209">
        <f t="shared" si="798"/>
        <v>0</v>
      </c>
      <c r="AB1209">
        <f t="shared" si="799"/>
        <v>0</v>
      </c>
      <c r="AC1209">
        <f t="shared" si="800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94"/>
        <v>U</v>
      </c>
      <c r="M1210">
        <v>9</v>
      </c>
      <c r="N1210" s="23" t="str">
        <f t="shared" si="777"/>
        <v>#</v>
      </c>
      <c r="O1210" s="7" t="str">
        <f t="shared" si="778"/>
        <v/>
      </c>
      <c r="P1210" s="7" t="str">
        <f t="shared" si="779"/>
        <v/>
      </c>
      <c r="Q1210" s="7" t="str">
        <f t="shared" si="780"/>
        <v/>
      </c>
      <c r="R1210" s="17" t="str">
        <f t="shared" si="781"/>
        <v>#</v>
      </c>
      <c r="S1210" s="8" t="str">
        <f t="shared" si="782"/>
        <v/>
      </c>
      <c r="T1210" s="2" t="str">
        <f t="shared" si="783"/>
        <v/>
      </c>
      <c r="U1210" s="2" t="str">
        <f t="shared" si="784"/>
        <v/>
      </c>
      <c r="V1210" t="str">
        <f t="shared" si="760"/>
        <v/>
      </c>
      <c r="X1210">
        <f t="shared" si="795"/>
        <v>0</v>
      </c>
      <c r="Y1210">
        <f t="shared" si="796"/>
        <v>0</v>
      </c>
      <c r="Z1210">
        <f t="shared" si="797"/>
        <v>0</v>
      </c>
      <c r="AA1210">
        <f t="shared" si="798"/>
        <v>0</v>
      </c>
      <c r="AB1210">
        <f t="shared" si="799"/>
        <v>0</v>
      </c>
      <c r="AC1210">
        <f t="shared" si="800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94"/>
        <v>U</v>
      </c>
      <c r="M1211">
        <v>10</v>
      </c>
      <c r="N1211" s="23" t="str">
        <f t="shared" si="777"/>
        <v>#</v>
      </c>
      <c r="O1211" s="7" t="str">
        <f t="shared" si="778"/>
        <v/>
      </c>
      <c r="P1211" s="7" t="str">
        <f t="shared" si="779"/>
        <v/>
      </c>
      <c r="Q1211" s="7" t="str">
        <f t="shared" si="780"/>
        <v/>
      </c>
      <c r="R1211" s="17" t="str">
        <f t="shared" si="781"/>
        <v>#</v>
      </c>
      <c r="S1211" s="8" t="str">
        <f t="shared" si="782"/>
        <v/>
      </c>
      <c r="T1211" s="2" t="str">
        <f t="shared" si="783"/>
        <v/>
      </c>
      <c r="U1211" s="2" t="str">
        <f t="shared" si="784"/>
        <v/>
      </c>
      <c r="V1211" t="str">
        <f t="shared" si="760"/>
        <v/>
      </c>
      <c r="X1211">
        <f t="shared" si="795"/>
        <v>0</v>
      </c>
      <c r="Y1211">
        <f t="shared" si="796"/>
        <v>0</v>
      </c>
      <c r="Z1211">
        <f t="shared" si="797"/>
        <v>0</v>
      </c>
      <c r="AA1211">
        <f t="shared" si="798"/>
        <v>0</v>
      </c>
      <c r="AB1211">
        <f t="shared" si="799"/>
        <v>0</v>
      </c>
      <c r="AC1211">
        <f t="shared" si="800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94"/>
        <v>U</v>
      </c>
      <c r="M1212">
        <v>11</v>
      </c>
      <c r="N1212" s="23" t="str">
        <f t="shared" si="777"/>
        <v>#</v>
      </c>
      <c r="O1212" s="7" t="str">
        <f t="shared" si="778"/>
        <v/>
      </c>
      <c r="P1212" s="7" t="str">
        <f t="shared" si="779"/>
        <v/>
      </c>
      <c r="Q1212" s="7" t="str">
        <f t="shared" si="780"/>
        <v/>
      </c>
      <c r="R1212" s="17" t="str">
        <f t="shared" si="781"/>
        <v>#</v>
      </c>
      <c r="S1212" s="8" t="str">
        <f t="shared" si="782"/>
        <v/>
      </c>
      <c r="T1212" s="2" t="str">
        <f t="shared" si="783"/>
        <v/>
      </c>
      <c r="U1212" s="2" t="str">
        <f t="shared" si="784"/>
        <v/>
      </c>
      <c r="V1212" t="str">
        <f t="shared" si="760"/>
        <v/>
      </c>
      <c r="X1212">
        <f t="shared" si="795"/>
        <v>0</v>
      </c>
      <c r="Y1212">
        <f t="shared" si="796"/>
        <v>0</v>
      </c>
      <c r="Z1212">
        <f t="shared" si="797"/>
        <v>0</v>
      </c>
      <c r="AA1212">
        <f t="shared" si="798"/>
        <v>0</v>
      </c>
      <c r="AB1212">
        <f t="shared" si="799"/>
        <v>0</v>
      </c>
      <c r="AC1212">
        <f t="shared" si="800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94"/>
        <v>U</v>
      </c>
      <c r="M1213">
        <v>12</v>
      </c>
      <c r="N1213" s="23" t="str">
        <f t="shared" si="777"/>
        <v>#</v>
      </c>
      <c r="O1213" s="7" t="str">
        <f t="shared" si="778"/>
        <v/>
      </c>
      <c r="P1213" s="7" t="str">
        <f t="shared" si="779"/>
        <v/>
      </c>
      <c r="Q1213" s="7" t="str">
        <f t="shared" si="780"/>
        <v/>
      </c>
      <c r="R1213" s="17" t="str">
        <f t="shared" si="781"/>
        <v>#</v>
      </c>
      <c r="S1213" s="8" t="str">
        <f t="shared" si="782"/>
        <v/>
      </c>
      <c r="T1213" s="2" t="str">
        <f t="shared" si="783"/>
        <v/>
      </c>
      <c r="U1213" s="2" t="str">
        <f t="shared" si="784"/>
        <v/>
      </c>
      <c r="V1213" t="str">
        <f t="shared" si="760"/>
        <v/>
      </c>
      <c r="X1213">
        <f t="shared" si="795"/>
        <v>0</v>
      </c>
      <c r="Y1213">
        <f t="shared" si="796"/>
        <v>0</v>
      </c>
      <c r="Z1213">
        <f t="shared" si="797"/>
        <v>0</v>
      </c>
      <c r="AA1213">
        <f t="shared" si="798"/>
        <v>0</v>
      </c>
      <c r="AB1213">
        <f t="shared" si="799"/>
        <v>0</v>
      </c>
      <c r="AC1213">
        <f t="shared" si="800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94"/>
        <v>U</v>
      </c>
      <c r="M1214">
        <v>13</v>
      </c>
      <c r="N1214" s="6" t="str">
        <f t="shared" si="777"/>
        <v>#</v>
      </c>
      <c r="O1214" s="7" t="str">
        <f t="shared" si="778"/>
        <v>#</v>
      </c>
      <c r="P1214" s="7" t="str">
        <f t="shared" si="779"/>
        <v>#</v>
      </c>
      <c r="Q1214" s="7" t="str">
        <f t="shared" si="780"/>
        <v>#</v>
      </c>
      <c r="R1214" s="17" t="str">
        <f t="shared" si="781"/>
        <v>#</v>
      </c>
      <c r="S1214" s="8" t="str">
        <f t="shared" si="782"/>
        <v/>
      </c>
      <c r="T1214" s="2" t="str">
        <f t="shared" si="783"/>
        <v/>
      </c>
      <c r="U1214" s="2" t="str">
        <f t="shared" si="784"/>
        <v/>
      </c>
      <c r="V1214" t="str">
        <f t="shared" si="760"/>
        <v/>
      </c>
      <c r="X1214">
        <f t="shared" si="795"/>
        <v>0</v>
      </c>
      <c r="Y1214">
        <f t="shared" si="796"/>
        <v>1</v>
      </c>
      <c r="Z1214">
        <f t="shared" si="797"/>
        <v>1</v>
      </c>
      <c r="AA1214">
        <f t="shared" si="798"/>
        <v>1</v>
      </c>
      <c r="AB1214">
        <f t="shared" si="799"/>
        <v>0</v>
      </c>
      <c r="AC1214">
        <f t="shared" si="800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94"/>
        <v>U</v>
      </c>
      <c r="M1215">
        <v>14</v>
      </c>
      <c r="N1215" s="18" t="str">
        <f t="shared" si="777"/>
        <v>#</v>
      </c>
      <c r="O1215" s="19" t="str">
        <f t="shared" si="778"/>
        <v>#</v>
      </c>
      <c r="P1215" s="19" t="str">
        <f t="shared" si="779"/>
        <v>#</v>
      </c>
      <c r="Q1215" s="19" t="str">
        <f t="shared" si="780"/>
        <v>#</v>
      </c>
      <c r="R1215" s="20" t="str">
        <f t="shared" si="781"/>
        <v>#</v>
      </c>
      <c r="S1215" s="8" t="str">
        <f t="shared" si="782"/>
        <v/>
      </c>
      <c r="T1215" s="2" t="str">
        <f t="shared" si="783"/>
        <v/>
      </c>
      <c r="U1215" s="2" t="str">
        <f t="shared" si="784"/>
        <v/>
      </c>
      <c r="V1215" t="str">
        <f t="shared" si="760"/>
        <v/>
      </c>
      <c r="X1215">
        <f t="shared" si="795"/>
        <v>0</v>
      </c>
      <c r="Y1215">
        <f t="shared" si="796"/>
        <v>0</v>
      </c>
      <c r="Z1215">
        <f t="shared" si="797"/>
        <v>0</v>
      </c>
      <c r="AA1215">
        <f t="shared" si="798"/>
        <v>0</v>
      </c>
      <c r="AB1215">
        <f t="shared" si="799"/>
        <v>0</v>
      </c>
      <c r="AC1215">
        <f t="shared" si="800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94"/>
        <v>U</v>
      </c>
      <c r="M1216">
        <v>15</v>
      </c>
      <c r="N1216" s="9" t="str">
        <f t="shared" si="777"/>
        <v/>
      </c>
      <c r="O1216" s="10" t="str">
        <f t="shared" si="778"/>
        <v/>
      </c>
      <c r="P1216" s="10" t="str">
        <f t="shared" si="779"/>
        <v/>
      </c>
      <c r="Q1216" s="10" t="str">
        <f t="shared" si="780"/>
        <v/>
      </c>
      <c r="R1216" s="10" t="str">
        <f t="shared" si="781"/>
        <v/>
      </c>
      <c r="S1216" s="11" t="str">
        <f t="shared" si="782"/>
        <v/>
      </c>
      <c r="T1216" s="2" t="str">
        <f t="shared" si="783"/>
        <v/>
      </c>
      <c r="U1216" s="2" t="str">
        <f t="shared" si="784"/>
        <v/>
      </c>
      <c r="V1216" t="str">
        <f t="shared" si="760"/>
        <v/>
      </c>
      <c r="X1216">
        <f t="shared" si="795"/>
        <v>0</v>
      </c>
      <c r="Y1216">
        <f t="shared" si="796"/>
        <v>0</v>
      </c>
      <c r="Z1216">
        <f t="shared" si="797"/>
        <v>0</v>
      </c>
      <c r="AA1216">
        <f t="shared" si="798"/>
        <v>0</v>
      </c>
      <c r="AB1216">
        <f t="shared" si="799"/>
        <v>0</v>
      </c>
      <c r="AC1216">
        <f t="shared" si="800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94"/>
        <v>U</v>
      </c>
      <c r="M1217">
        <v>16</v>
      </c>
      <c r="N1217" s="12" t="str">
        <f t="shared" si="777"/>
        <v/>
      </c>
      <c r="O1217" s="13" t="str">
        <f t="shared" si="778"/>
        <v/>
      </c>
      <c r="P1217" s="13" t="str">
        <f t="shared" si="779"/>
        <v/>
      </c>
      <c r="Q1217" s="13" t="str">
        <f t="shared" si="780"/>
        <v/>
      </c>
      <c r="R1217" s="13" t="str">
        <f t="shared" si="781"/>
        <v/>
      </c>
      <c r="S1217" s="14" t="str">
        <f t="shared" si="782"/>
        <v/>
      </c>
      <c r="T1217" s="2" t="str">
        <f t="shared" si="783"/>
        <v/>
      </c>
      <c r="U1217" s="2" t="str">
        <f t="shared" si="784"/>
        <v/>
      </c>
      <c r="V1217" t="str">
        <f t="shared" si="760"/>
        <v/>
      </c>
      <c r="X1217">
        <f t="shared" si="795"/>
        <v>0</v>
      </c>
      <c r="Y1217">
        <f t="shared" si="796"/>
        <v>0</v>
      </c>
      <c r="Z1217">
        <f t="shared" si="797"/>
        <v>0</v>
      </c>
      <c r="AA1217">
        <f t="shared" si="798"/>
        <v>0</v>
      </c>
      <c r="AB1217">
        <f t="shared" si="799"/>
        <v>0</v>
      </c>
      <c r="AC1217">
        <f t="shared" si="800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7"/>
        <v/>
      </c>
      <c r="O1218" t="str">
        <f t="shared" si="778"/>
        <v/>
      </c>
      <c r="P1218" t="str">
        <f t="shared" si="779"/>
        <v/>
      </c>
      <c r="Q1218" t="str">
        <f t="shared" si="780"/>
        <v/>
      </c>
      <c r="R1218" t="str">
        <f t="shared" si="781"/>
        <v/>
      </c>
      <c r="S1218" t="str">
        <f t="shared" si="782"/>
        <v/>
      </c>
      <c r="T1218" s="2" t="str">
        <f t="shared" si="783"/>
        <v/>
      </c>
      <c r="U1218" s="2" t="str">
        <f t="shared" si="784"/>
        <v/>
      </c>
      <c r="V1218" t="str">
        <f t="shared" ref="V1218:V1281" si="801">IF(A1218=0,"",M1218)</f>
        <v/>
      </c>
      <c r="W1218">
        <f>SUM(B1220:G1233)</f>
        <v>22</v>
      </c>
      <c r="AD1218">
        <f t="shared" ref="AD1218" si="802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803">L1218</f>
        <v>V</v>
      </c>
      <c r="M1219">
        <v>2</v>
      </c>
      <c r="N1219" t="str">
        <f t="shared" si="777"/>
        <v/>
      </c>
      <c r="O1219" t="str">
        <f t="shared" si="778"/>
        <v/>
      </c>
      <c r="P1219" t="str">
        <f t="shared" si="779"/>
        <v/>
      </c>
      <c r="Q1219" t="str">
        <f t="shared" si="780"/>
        <v/>
      </c>
      <c r="R1219" t="str">
        <f t="shared" si="781"/>
        <v/>
      </c>
      <c r="S1219" t="str">
        <f t="shared" si="782"/>
        <v/>
      </c>
      <c r="T1219" s="2" t="str">
        <f t="shared" si="783"/>
        <v/>
      </c>
      <c r="U1219" s="2" t="str">
        <f t="shared" si="784"/>
        <v/>
      </c>
      <c r="V1219" t="str">
        <f t="shared" si="801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803"/>
        <v>V</v>
      </c>
      <c r="M1220">
        <v>3</v>
      </c>
      <c r="N1220" s="3" t="str">
        <f t="shared" si="777"/>
        <v/>
      </c>
      <c r="O1220" s="4" t="str">
        <f t="shared" si="778"/>
        <v/>
      </c>
      <c r="P1220" s="4" t="str">
        <f t="shared" si="779"/>
        <v/>
      </c>
      <c r="Q1220" s="4" t="str">
        <f t="shared" si="780"/>
        <v/>
      </c>
      <c r="R1220" s="4" t="str">
        <f t="shared" si="781"/>
        <v/>
      </c>
      <c r="S1220" s="5" t="str">
        <f t="shared" si="782"/>
        <v/>
      </c>
      <c r="T1220" s="2" t="str">
        <f t="shared" si="783"/>
        <v/>
      </c>
      <c r="U1220" s="2" t="str">
        <f t="shared" si="784"/>
        <v/>
      </c>
      <c r="V1220" t="str">
        <f t="shared" si="801"/>
        <v/>
      </c>
      <c r="X1220">
        <f t="shared" ref="X1220:X1233" si="804">MAX(B1220-B1219,0)</f>
        <v>0</v>
      </c>
      <c r="Y1220">
        <f t="shared" ref="Y1220:Y1233" si="805">MAX(C1220-C1219,0)</f>
        <v>0</v>
      </c>
      <c r="Z1220">
        <f t="shared" ref="Z1220:Z1233" si="806">MAX(D1220-D1219,0)</f>
        <v>0</v>
      </c>
      <c r="AA1220">
        <f t="shared" ref="AA1220:AA1233" si="807">MAX(E1220-E1219,0)</f>
        <v>0</v>
      </c>
      <c r="AB1220">
        <f t="shared" ref="AB1220:AB1233" si="808">MAX(F1220-F1219,0)</f>
        <v>0</v>
      </c>
      <c r="AC1220">
        <f t="shared" ref="AC1220:AC1233" si="809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803"/>
        <v>V</v>
      </c>
      <c r="M1221">
        <v>4</v>
      </c>
      <c r="N1221" s="6" t="str">
        <f t="shared" si="777"/>
        <v/>
      </c>
      <c r="O1221" s="7" t="str">
        <f t="shared" si="778"/>
        <v/>
      </c>
      <c r="P1221" s="7" t="str">
        <f t="shared" si="779"/>
        <v/>
      </c>
      <c r="Q1221" s="7" t="str">
        <f t="shared" si="780"/>
        <v/>
      </c>
      <c r="R1221" s="7" t="str">
        <f t="shared" si="781"/>
        <v/>
      </c>
      <c r="S1221" s="8" t="str">
        <f t="shared" si="782"/>
        <v/>
      </c>
      <c r="T1221" s="2" t="str">
        <f t="shared" si="783"/>
        <v/>
      </c>
      <c r="U1221" s="2" t="str">
        <f t="shared" si="784"/>
        <v/>
      </c>
      <c r="V1221" t="str">
        <f t="shared" si="801"/>
        <v/>
      </c>
      <c r="X1221">
        <f t="shared" si="804"/>
        <v>0</v>
      </c>
      <c r="Y1221">
        <f t="shared" si="805"/>
        <v>0</v>
      </c>
      <c r="Z1221">
        <f t="shared" si="806"/>
        <v>0</v>
      </c>
      <c r="AA1221">
        <f t="shared" si="807"/>
        <v>0</v>
      </c>
      <c r="AB1221">
        <f t="shared" si="808"/>
        <v>0</v>
      </c>
      <c r="AC1221">
        <f t="shared" si="809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803"/>
        <v>V</v>
      </c>
      <c r="M1222">
        <v>5</v>
      </c>
      <c r="N1222" s="22" t="str">
        <f t="shared" si="777"/>
        <v>#</v>
      </c>
      <c r="O1222" s="15" t="str">
        <f t="shared" si="778"/>
        <v/>
      </c>
      <c r="P1222" s="15" t="str">
        <f t="shared" si="779"/>
        <v/>
      </c>
      <c r="Q1222" s="15" t="str">
        <f t="shared" si="780"/>
        <v/>
      </c>
      <c r="R1222" s="16" t="str">
        <f t="shared" si="781"/>
        <v>#</v>
      </c>
      <c r="S1222" s="8" t="str">
        <f t="shared" si="782"/>
        <v/>
      </c>
      <c r="T1222" s="2" t="str">
        <f t="shared" si="783"/>
        <v/>
      </c>
      <c r="U1222" s="2" t="str">
        <f t="shared" si="784"/>
        <v/>
      </c>
      <c r="V1222" t="str">
        <f t="shared" si="801"/>
        <v/>
      </c>
      <c r="X1222">
        <f t="shared" si="804"/>
        <v>1</v>
      </c>
      <c r="Y1222">
        <f t="shared" si="805"/>
        <v>0</v>
      </c>
      <c r="Z1222">
        <f t="shared" si="806"/>
        <v>0</v>
      </c>
      <c r="AA1222">
        <f t="shared" si="807"/>
        <v>0</v>
      </c>
      <c r="AB1222">
        <f t="shared" si="808"/>
        <v>1</v>
      </c>
      <c r="AC1222">
        <f t="shared" si="809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803"/>
        <v>V</v>
      </c>
      <c r="M1223">
        <v>6</v>
      </c>
      <c r="N1223" s="23" t="str">
        <f t="shared" si="777"/>
        <v>#</v>
      </c>
      <c r="O1223" s="7" t="str">
        <f t="shared" si="778"/>
        <v/>
      </c>
      <c r="P1223" s="7" t="str">
        <f t="shared" si="779"/>
        <v/>
      </c>
      <c r="Q1223" s="7" t="str">
        <f t="shared" si="780"/>
        <v/>
      </c>
      <c r="R1223" s="17" t="str">
        <f t="shared" si="781"/>
        <v>#</v>
      </c>
      <c r="S1223" s="8" t="str">
        <f t="shared" si="782"/>
        <v/>
      </c>
      <c r="T1223" s="2" t="str">
        <f t="shared" si="783"/>
        <v/>
      </c>
      <c r="U1223" s="2" t="str">
        <f t="shared" si="784"/>
        <v/>
      </c>
      <c r="V1223" t="str">
        <f t="shared" si="801"/>
        <v/>
      </c>
      <c r="X1223">
        <f t="shared" si="804"/>
        <v>0</v>
      </c>
      <c r="Y1223">
        <f t="shared" si="805"/>
        <v>0</v>
      </c>
      <c r="Z1223">
        <f t="shared" si="806"/>
        <v>0</v>
      </c>
      <c r="AA1223">
        <f t="shared" si="807"/>
        <v>0</v>
      </c>
      <c r="AB1223">
        <f t="shared" si="808"/>
        <v>0</v>
      </c>
      <c r="AC1223">
        <f t="shared" si="809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803"/>
        <v>V</v>
      </c>
      <c r="M1224">
        <v>7</v>
      </c>
      <c r="N1224" s="23" t="str">
        <f t="shared" si="777"/>
        <v>#</v>
      </c>
      <c r="O1224" s="7" t="str">
        <f t="shared" si="778"/>
        <v/>
      </c>
      <c r="P1224" s="7" t="str">
        <f t="shared" si="779"/>
        <v/>
      </c>
      <c r="Q1224" s="7" t="str">
        <f t="shared" si="780"/>
        <v>#</v>
      </c>
      <c r="R1224" s="17" t="str">
        <f t="shared" si="781"/>
        <v>#</v>
      </c>
      <c r="S1224" s="8" t="str">
        <f t="shared" si="782"/>
        <v/>
      </c>
      <c r="T1224" s="2" t="str">
        <f t="shared" si="783"/>
        <v/>
      </c>
      <c r="U1224" s="2" t="str">
        <f t="shared" si="784"/>
        <v/>
      </c>
      <c r="V1224" t="str">
        <f t="shared" si="801"/>
        <v/>
      </c>
      <c r="X1224">
        <f t="shared" si="804"/>
        <v>0</v>
      </c>
      <c r="Y1224">
        <f t="shared" si="805"/>
        <v>0</v>
      </c>
      <c r="Z1224">
        <f t="shared" si="806"/>
        <v>0</v>
      </c>
      <c r="AA1224">
        <f t="shared" si="807"/>
        <v>1</v>
      </c>
      <c r="AB1224">
        <f t="shared" si="808"/>
        <v>0</v>
      </c>
      <c r="AC1224">
        <f t="shared" si="809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803"/>
        <v>V</v>
      </c>
      <c r="M1225">
        <v>8</v>
      </c>
      <c r="N1225" s="23" t="str">
        <f t="shared" si="777"/>
        <v>#</v>
      </c>
      <c r="O1225" s="7" t="str">
        <f t="shared" si="778"/>
        <v/>
      </c>
      <c r="P1225" s="7" t="str">
        <f t="shared" si="779"/>
        <v/>
      </c>
      <c r="Q1225" s="7" t="str">
        <f t="shared" si="780"/>
        <v>#</v>
      </c>
      <c r="R1225" s="17" t="str">
        <f t="shared" si="781"/>
        <v/>
      </c>
      <c r="S1225" s="8" t="str">
        <f t="shared" si="782"/>
        <v/>
      </c>
      <c r="T1225" s="2" t="str">
        <f t="shared" si="783"/>
        <v/>
      </c>
      <c r="U1225" s="2" t="str">
        <f t="shared" si="784"/>
        <v/>
      </c>
      <c r="V1225" t="str">
        <f t="shared" si="801"/>
        <v/>
      </c>
      <c r="X1225">
        <f t="shared" si="804"/>
        <v>0</v>
      </c>
      <c r="Y1225">
        <f t="shared" si="805"/>
        <v>0</v>
      </c>
      <c r="Z1225">
        <f t="shared" si="806"/>
        <v>0</v>
      </c>
      <c r="AA1225">
        <f t="shared" si="807"/>
        <v>0</v>
      </c>
      <c r="AB1225">
        <f t="shared" si="808"/>
        <v>0</v>
      </c>
      <c r="AC1225">
        <f t="shared" si="809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803"/>
        <v>V</v>
      </c>
      <c r="M1226">
        <v>9</v>
      </c>
      <c r="N1226" s="23" t="str">
        <f t="shared" si="777"/>
        <v>#</v>
      </c>
      <c r="O1226" s="7" t="str">
        <f t="shared" si="778"/>
        <v/>
      </c>
      <c r="P1226" s="7" t="str">
        <f t="shared" si="779"/>
        <v>#</v>
      </c>
      <c r="Q1226" s="7" t="str">
        <f t="shared" si="780"/>
        <v>#</v>
      </c>
      <c r="R1226" s="17" t="str">
        <f t="shared" si="781"/>
        <v/>
      </c>
      <c r="S1226" s="8" t="str">
        <f t="shared" si="782"/>
        <v/>
      </c>
      <c r="T1226" s="2" t="str">
        <f t="shared" si="783"/>
        <v/>
      </c>
      <c r="U1226" s="2" t="str">
        <f t="shared" si="784"/>
        <v/>
      </c>
      <c r="V1226" t="str">
        <f t="shared" si="801"/>
        <v/>
      </c>
      <c r="X1226">
        <f t="shared" si="804"/>
        <v>0</v>
      </c>
      <c r="Y1226">
        <f t="shared" si="805"/>
        <v>0</v>
      </c>
      <c r="Z1226">
        <f t="shared" si="806"/>
        <v>1</v>
      </c>
      <c r="AA1226">
        <f t="shared" si="807"/>
        <v>0</v>
      </c>
      <c r="AB1226">
        <f t="shared" si="808"/>
        <v>0</v>
      </c>
      <c r="AC1226">
        <f t="shared" si="809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803"/>
        <v>V</v>
      </c>
      <c r="M1227">
        <v>10</v>
      </c>
      <c r="N1227" s="23" t="str">
        <f t="shared" si="777"/>
        <v>#</v>
      </c>
      <c r="O1227" s="7" t="str">
        <f t="shared" si="778"/>
        <v/>
      </c>
      <c r="P1227" s="7" t="str">
        <f t="shared" si="779"/>
        <v>#</v>
      </c>
      <c r="Q1227" s="7" t="str">
        <f t="shared" si="780"/>
        <v/>
      </c>
      <c r="R1227" s="17" t="str">
        <f t="shared" si="781"/>
        <v/>
      </c>
      <c r="S1227" s="8" t="str">
        <f t="shared" si="782"/>
        <v/>
      </c>
      <c r="T1227" s="2" t="str">
        <f t="shared" si="783"/>
        <v/>
      </c>
      <c r="U1227" s="2" t="str">
        <f t="shared" si="784"/>
        <v/>
      </c>
      <c r="V1227" t="str">
        <f t="shared" si="801"/>
        <v/>
      </c>
      <c r="X1227">
        <f t="shared" si="804"/>
        <v>0</v>
      </c>
      <c r="Y1227">
        <f t="shared" si="805"/>
        <v>0</v>
      </c>
      <c r="Z1227">
        <f t="shared" si="806"/>
        <v>0</v>
      </c>
      <c r="AA1227">
        <f t="shared" si="807"/>
        <v>0</v>
      </c>
      <c r="AB1227">
        <f t="shared" si="808"/>
        <v>0</v>
      </c>
      <c r="AC1227">
        <f t="shared" si="809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803"/>
        <v>V</v>
      </c>
      <c r="M1228">
        <v>11</v>
      </c>
      <c r="N1228" s="23" t="str">
        <f t="shared" si="777"/>
        <v>#</v>
      </c>
      <c r="O1228" s="7" t="str">
        <f t="shared" si="778"/>
        <v>#</v>
      </c>
      <c r="P1228" s="7" t="str">
        <f t="shared" si="779"/>
        <v>#</v>
      </c>
      <c r="Q1228" s="7" t="str">
        <f t="shared" si="780"/>
        <v/>
      </c>
      <c r="R1228" s="17" t="str">
        <f t="shared" si="781"/>
        <v/>
      </c>
      <c r="S1228" s="8" t="str">
        <f t="shared" si="782"/>
        <v/>
      </c>
      <c r="T1228" s="2" t="str">
        <f t="shared" si="783"/>
        <v/>
      </c>
      <c r="U1228" s="2" t="str">
        <f t="shared" si="784"/>
        <v/>
      </c>
      <c r="V1228" t="str">
        <f t="shared" si="801"/>
        <v/>
      </c>
      <c r="X1228">
        <f t="shared" si="804"/>
        <v>0</v>
      </c>
      <c r="Y1228">
        <f t="shared" si="805"/>
        <v>1</v>
      </c>
      <c r="Z1228">
        <f t="shared" si="806"/>
        <v>0</v>
      </c>
      <c r="AA1228">
        <f t="shared" si="807"/>
        <v>0</v>
      </c>
      <c r="AB1228">
        <f t="shared" si="808"/>
        <v>0</v>
      </c>
      <c r="AC1228">
        <f t="shared" si="809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803"/>
        <v>V</v>
      </c>
      <c r="M1229">
        <v>12</v>
      </c>
      <c r="N1229" s="23" t="str">
        <f t="shared" si="777"/>
        <v>#</v>
      </c>
      <c r="O1229" s="7" t="str">
        <f t="shared" si="778"/>
        <v>#</v>
      </c>
      <c r="P1229" s="7" t="str">
        <f t="shared" si="779"/>
        <v/>
      </c>
      <c r="Q1229" s="7" t="str">
        <f t="shared" si="780"/>
        <v/>
      </c>
      <c r="R1229" s="17" t="str">
        <f t="shared" si="781"/>
        <v/>
      </c>
      <c r="S1229" s="8" t="str">
        <f t="shared" si="782"/>
        <v/>
      </c>
      <c r="T1229" s="2" t="str">
        <f t="shared" si="783"/>
        <v/>
      </c>
      <c r="U1229" s="2" t="str">
        <f t="shared" si="784"/>
        <v/>
      </c>
      <c r="V1229" t="str">
        <f t="shared" si="801"/>
        <v/>
      </c>
      <c r="X1229">
        <f t="shared" si="804"/>
        <v>0</v>
      </c>
      <c r="Y1229">
        <f t="shared" si="805"/>
        <v>0</v>
      </c>
      <c r="Z1229">
        <f t="shared" si="806"/>
        <v>0</v>
      </c>
      <c r="AA1229">
        <f t="shared" si="807"/>
        <v>0</v>
      </c>
      <c r="AB1229">
        <f t="shared" si="808"/>
        <v>0</v>
      </c>
      <c r="AC1229">
        <f t="shared" si="809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803"/>
        <v>V</v>
      </c>
      <c r="M1230">
        <v>13</v>
      </c>
      <c r="N1230" s="6" t="str">
        <f t="shared" si="777"/>
        <v>#</v>
      </c>
      <c r="O1230" s="7" t="str">
        <f t="shared" si="778"/>
        <v>#</v>
      </c>
      <c r="P1230" s="7" t="str">
        <f t="shared" si="779"/>
        <v/>
      </c>
      <c r="Q1230" s="7" t="str">
        <f t="shared" si="780"/>
        <v/>
      </c>
      <c r="R1230" s="17" t="str">
        <f t="shared" si="781"/>
        <v/>
      </c>
      <c r="S1230" s="8" t="str">
        <f t="shared" si="782"/>
        <v/>
      </c>
      <c r="T1230" s="2" t="str">
        <f t="shared" si="783"/>
        <v/>
      </c>
      <c r="U1230" s="2" t="str">
        <f t="shared" si="784"/>
        <v/>
      </c>
      <c r="V1230" t="str">
        <f t="shared" si="801"/>
        <v/>
      </c>
      <c r="X1230">
        <f t="shared" si="804"/>
        <v>0</v>
      </c>
      <c r="Y1230">
        <f t="shared" si="805"/>
        <v>0</v>
      </c>
      <c r="Z1230">
        <f t="shared" si="806"/>
        <v>0</v>
      </c>
      <c r="AA1230">
        <f t="shared" si="807"/>
        <v>0</v>
      </c>
      <c r="AB1230">
        <f t="shared" si="808"/>
        <v>0</v>
      </c>
      <c r="AC1230">
        <f t="shared" si="809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803"/>
        <v>V</v>
      </c>
      <c r="M1231">
        <v>14</v>
      </c>
      <c r="N1231" s="18" t="str">
        <f t="shared" si="777"/>
        <v>#</v>
      </c>
      <c r="O1231" s="19" t="str">
        <f t="shared" si="778"/>
        <v/>
      </c>
      <c r="P1231" s="19" t="str">
        <f t="shared" si="779"/>
        <v/>
      </c>
      <c r="Q1231" s="19" t="str">
        <f t="shared" si="780"/>
        <v/>
      </c>
      <c r="R1231" s="20" t="str">
        <f t="shared" si="781"/>
        <v/>
      </c>
      <c r="S1231" s="8" t="str">
        <f t="shared" si="782"/>
        <v/>
      </c>
      <c r="T1231" s="2" t="str">
        <f t="shared" si="783"/>
        <v/>
      </c>
      <c r="U1231" s="2" t="str">
        <f t="shared" si="784"/>
        <v/>
      </c>
      <c r="V1231" t="str">
        <f t="shared" si="801"/>
        <v/>
      </c>
      <c r="X1231">
        <f t="shared" si="804"/>
        <v>0</v>
      </c>
      <c r="Y1231">
        <f t="shared" si="805"/>
        <v>0</v>
      </c>
      <c r="Z1231">
        <f t="shared" si="806"/>
        <v>0</v>
      </c>
      <c r="AA1231">
        <f t="shared" si="807"/>
        <v>0</v>
      </c>
      <c r="AB1231">
        <f t="shared" si="808"/>
        <v>0</v>
      </c>
      <c r="AC1231">
        <f t="shared" si="809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803"/>
        <v>V</v>
      </c>
      <c r="M1232">
        <v>15</v>
      </c>
      <c r="N1232" s="9" t="str">
        <f t="shared" si="777"/>
        <v/>
      </c>
      <c r="O1232" s="10" t="str">
        <f t="shared" si="778"/>
        <v/>
      </c>
      <c r="P1232" s="10" t="str">
        <f t="shared" si="779"/>
        <v/>
      </c>
      <c r="Q1232" s="10" t="str">
        <f t="shared" si="780"/>
        <v/>
      </c>
      <c r="R1232" s="10" t="str">
        <f t="shared" si="781"/>
        <v/>
      </c>
      <c r="S1232" s="11" t="str">
        <f t="shared" si="782"/>
        <v/>
      </c>
      <c r="T1232" s="2" t="str">
        <f t="shared" si="783"/>
        <v/>
      </c>
      <c r="U1232" s="2" t="str">
        <f t="shared" si="784"/>
        <v/>
      </c>
      <c r="V1232" t="str">
        <f t="shared" si="801"/>
        <v/>
      </c>
      <c r="X1232">
        <f t="shared" si="804"/>
        <v>0</v>
      </c>
      <c r="Y1232">
        <f t="shared" si="805"/>
        <v>0</v>
      </c>
      <c r="Z1232">
        <f t="shared" si="806"/>
        <v>0</v>
      </c>
      <c r="AA1232">
        <f t="shared" si="807"/>
        <v>0</v>
      </c>
      <c r="AB1232">
        <f t="shared" si="808"/>
        <v>0</v>
      </c>
      <c r="AC1232">
        <f t="shared" si="809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803"/>
        <v>V</v>
      </c>
      <c r="M1233">
        <v>16</v>
      </c>
      <c r="N1233" s="12" t="str">
        <f t="shared" si="777"/>
        <v/>
      </c>
      <c r="O1233" s="13" t="str">
        <f t="shared" si="778"/>
        <v/>
      </c>
      <c r="P1233" s="13" t="str">
        <f t="shared" si="779"/>
        <v/>
      </c>
      <c r="Q1233" s="13" t="str">
        <f t="shared" si="780"/>
        <v/>
      </c>
      <c r="R1233" s="13" t="str">
        <f t="shared" si="781"/>
        <v/>
      </c>
      <c r="S1233" s="14" t="str">
        <f t="shared" si="782"/>
        <v/>
      </c>
      <c r="T1233" s="2" t="str">
        <f t="shared" si="783"/>
        <v/>
      </c>
      <c r="U1233" s="2" t="str">
        <f t="shared" si="784"/>
        <v/>
      </c>
      <c r="V1233" t="str">
        <f t="shared" si="801"/>
        <v/>
      </c>
      <c r="X1233">
        <f t="shared" si="804"/>
        <v>0</v>
      </c>
      <c r="Y1233">
        <f t="shared" si="805"/>
        <v>0</v>
      </c>
      <c r="Z1233">
        <f t="shared" si="806"/>
        <v>0</v>
      </c>
      <c r="AA1233">
        <f t="shared" si="807"/>
        <v>0</v>
      </c>
      <c r="AB1233">
        <f t="shared" si="808"/>
        <v>0</v>
      </c>
      <c r="AC1233">
        <f t="shared" si="809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7"/>
        <v/>
      </c>
      <c r="O1234" t="str">
        <f t="shared" si="778"/>
        <v/>
      </c>
      <c r="P1234" t="str">
        <f t="shared" si="779"/>
        <v/>
      </c>
      <c r="Q1234" t="str">
        <f t="shared" si="780"/>
        <v/>
      </c>
      <c r="R1234" t="str">
        <f t="shared" si="781"/>
        <v/>
      </c>
      <c r="S1234" t="str">
        <f t="shared" si="782"/>
        <v/>
      </c>
      <c r="T1234" s="2" t="str">
        <f t="shared" si="783"/>
        <v/>
      </c>
      <c r="U1234" s="2" t="str">
        <f t="shared" si="784"/>
        <v/>
      </c>
      <c r="V1234" t="str">
        <f t="shared" si="801"/>
        <v/>
      </c>
      <c r="W1234">
        <f>SUM(B1236:G1249)</f>
        <v>27</v>
      </c>
      <c r="AD1234">
        <f t="shared" ref="AD1234" si="810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11">L1234</f>
        <v>W</v>
      </c>
      <c r="M1235">
        <v>2</v>
      </c>
      <c r="N1235" t="str">
        <f t="shared" si="777"/>
        <v/>
      </c>
      <c r="O1235" t="str">
        <f t="shared" si="778"/>
        <v/>
      </c>
      <c r="P1235" t="str">
        <f t="shared" si="779"/>
        <v/>
      </c>
      <c r="Q1235" t="str">
        <f t="shared" si="780"/>
        <v/>
      </c>
      <c r="R1235" t="str">
        <f t="shared" si="781"/>
        <v/>
      </c>
      <c r="S1235" t="str">
        <f t="shared" si="782"/>
        <v/>
      </c>
      <c r="T1235" s="2" t="str">
        <f t="shared" si="783"/>
        <v/>
      </c>
      <c r="U1235" s="2" t="str">
        <f t="shared" si="784"/>
        <v/>
      </c>
      <c r="V1235" t="str">
        <f t="shared" si="801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11"/>
        <v>W</v>
      </c>
      <c r="M1236">
        <v>3</v>
      </c>
      <c r="N1236" s="3" t="str">
        <f t="shared" si="777"/>
        <v/>
      </c>
      <c r="O1236" s="4" t="str">
        <f t="shared" si="778"/>
        <v/>
      </c>
      <c r="P1236" s="4" t="str">
        <f t="shared" si="779"/>
        <v/>
      </c>
      <c r="Q1236" s="4" t="str">
        <f t="shared" si="780"/>
        <v/>
      </c>
      <c r="R1236" s="4" t="str">
        <f t="shared" si="781"/>
        <v/>
      </c>
      <c r="S1236" s="5" t="str">
        <f t="shared" si="782"/>
        <v/>
      </c>
      <c r="T1236" s="2" t="str">
        <f t="shared" si="783"/>
        <v/>
      </c>
      <c r="U1236" s="2" t="str">
        <f t="shared" si="784"/>
        <v/>
      </c>
      <c r="V1236" t="str">
        <f t="shared" si="801"/>
        <v/>
      </c>
      <c r="X1236">
        <f t="shared" ref="X1236:X1249" si="812">MAX(B1236-B1235,0)</f>
        <v>0</v>
      </c>
      <c r="Y1236">
        <f t="shared" ref="Y1236:Y1249" si="813">MAX(C1236-C1235,0)</f>
        <v>0</v>
      </c>
      <c r="Z1236">
        <f t="shared" ref="Z1236:Z1249" si="814">MAX(D1236-D1235,0)</f>
        <v>0</v>
      </c>
      <c r="AA1236">
        <f t="shared" ref="AA1236:AA1249" si="815">MAX(E1236-E1235,0)</f>
        <v>0</v>
      </c>
      <c r="AB1236">
        <f t="shared" ref="AB1236:AB1249" si="816">MAX(F1236-F1235,0)</f>
        <v>0</v>
      </c>
      <c r="AC1236">
        <f t="shared" ref="AC1236:AC1249" si="817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11"/>
        <v>W</v>
      </c>
      <c r="M1237">
        <v>4</v>
      </c>
      <c r="N1237" s="6" t="str">
        <f t="shared" si="777"/>
        <v/>
      </c>
      <c r="O1237" s="7" t="str">
        <f t="shared" si="778"/>
        <v/>
      </c>
      <c r="P1237" s="7" t="str">
        <f t="shared" si="779"/>
        <v/>
      </c>
      <c r="Q1237" s="7" t="str">
        <f t="shared" si="780"/>
        <v/>
      </c>
      <c r="R1237" s="7" t="str">
        <f t="shared" si="781"/>
        <v/>
      </c>
      <c r="S1237" s="8" t="str">
        <f t="shared" si="782"/>
        <v/>
      </c>
      <c r="T1237" s="2" t="str">
        <f t="shared" si="783"/>
        <v/>
      </c>
      <c r="U1237" s="2" t="str">
        <f t="shared" si="784"/>
        <v/>
      </c>
      <c r="V1237" t="str">
        <f t="shared" si="801"/>
        <v/>
      </c>
      <c r="X1237">
        <f t="shared" si="812"/>
        <v>0</v>
      </c>
      <c r="Y1237">
        <f t="shared" si="813"/>
        <v>0</v>
      </c>
      <c r="Z1237">
        <f t="shared" si="814"/>
        <v>0</v>
      </c>
      <c r="AA1237">
        <f t="shared" si="815"/>
        <v>0</v>
      </c>
      <c r="AB1237">
        <f t="shared" si="816"/>
        <v>0</v>
      </c>
      <c r="AC1237">
        <f t="shared" si="817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11"/>
        <v>W</v>
      </c>
      <c r="M1238">
        <v>5</v>
      </c>
      <c r="N1238" s="22" t="str">
        <f t="shared" si="777"/>
        <v>#</v>
      </c>
      <c r="O1238" s="15" t="str">
        <f t="shared" si="778"/>
        <v/>
      </c>
      <c r="P1238" s="15" t="str">
        <f t="shared" si="779"/>
        <v/>
      </c>
      <c r="Q1238" s="15" t="str">
        <f t="shared" si="780"/>
        <v/>
      </c>
      <c r="R1238" s="16" t="str">
        <f t="shared" si="781"/>
        <v>#</v>
      </c>
      <c r="S1238" s="8" t="str">
        <f t="shared" si="782"/>
        <v/>
      </c>
      <c r="T1238" s="2" t="str">
        <f t="shared" si="783"/>
        <v/>
      </c>
      <c r="U1238" s="2" t="str">
        <f t="shared" si="784"/>
        <v/>
      </c>
      <c r="V1238" t="str">
        <f t="shared" si="801"/>
        <v/>
      </c>
      <c r="X1238">
        <f t="shared" si="812"/>
        <v>1</v>
      </c>
      <c r="Y1238">
        <f t="shared" si="813"/>
        <v>0</v>
      </c>
      <c r="Z1238">
        <f t="shared" si="814"/>
        <v>0</v>
      </c>
      <c r="AA1238">
        <f t="shared" si="815"/>
        <v>0</v>
      </c>
      <c r="AB1238">
        <f t="shared" si="816"/>
        <v>1</v>
      </c>
      <c r="AC1238">
        <f t="shared" si="817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11"/>
        <v>W</v>
      </c>
      <c r="M1239">
        <v>6</v>
      </c>
      <c r="N1239" s="23" t="str">
        <f t="shared" si="777"/>
        <v>#</v>
      </c>
      <c r="O1239" s="7" t="str">
        <f t="shared" si="778"/>
        <v/>
      </c>
      <c r="P1239" s="7" t="str">
        <f t="shared" si="779"/>
        <v/>
      </c>
      <c r="Q1239" s="7" t="str">
        <f t="shared" si="780"/>
        <v/>
      </c>
      <c r="R1239" s="17" t="str">
        <f t="shared" si="781"/>
        <v>#</v>
      </c>
      <c r="S1239" s="8" t="str">
        <f t="shared" si="782"/>
        <v/>
      </c>
      <c r="T1239" s="2" t="str">
        <f t="shared" si="783"/>
        <v/>
      </c>
      <c r="U1239" s="2" t="str">
        <f t="shared" si="784"/>
        <v/>
      </c>
      <c r="V1239" t="str">
        <f t="shared" si="801"/>
        <v/>
      </c>
      <c r="X1239">
        <f t="shared" si="812"/>
        <v>0</v>
      </c>
      <c r="Y1239">
        <f t="shared" si="813"/>
        <v>0</v>
      </c>
      <c r="Z1239">
        <f t="shared" si="814"/>
        <v>0</v>
      </c>
      <c r="AA1239">
        <f t="shared" si="815"/>
        <v>0</v>
      </c>
      <c r="AB1239">
        <f t="shared" si="816"/>
        <v>0</v>
      </c>
      <c r="AC1239">
        <f t="shared" si="817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11"/>
        <v>W</v>
      </c>
      <c r="M1240">
        <v>7</v>
      </c>
      <c r="N1240" s="23" t="str">
        <f t="shared" si="777"/>
        <v>#</v>
      </c>
      <c r="O1240" s="7" t="str">
        <f t="shared" si="778"/>
        <v/>
      </c>
      <c r="P1240" s="7" t="str">
        <f t="shared" si="779"/>
        <v/>
      </c>
      <c r="Q1240" s="7" t="str">
        <f t="shared" si="780"/>
        <v/>
      </c>
      <c r="R1240" s="17" t="str">
        <f t="shared" si="781"/>
        <v>#</v>
      </c>
      <c r="S1240" s="8" t="str">
        <f t="shared" si="782"/>
        <v/>
      </c>
      <c r="T1240" s="2" t="str">
        <f t="shared" si="783"/>
        <v/>
      </c>
      <c r="U1240" s="2" t="str">
        <f t="shared" si="784"/>
        <v/>
      </c>
      <c r="V1240" t="str">
        <f t="shared" si="801"/>
        <v/>
      </c>
      <c r="X1240">
        <f t="shared" si="812"/>
        <v>0</v>
      </c>
      <c r="Y1240">
        <f t="shared" si="813"/>
        <v>0</v>
      </c>
      <c r="Z1240">
        <f t="shared" si="814"/>
        <v>0</v>
      </c>
      <c r="AA1240">
        <f t="shared" si="815"/>
        <v>0</v>
      </c>
      <c r="AB1240">
        <f t="shared" si="816"/>
        <v>0</v>
      </c>
      <c r="AC1240">
        <f t="shared" si="817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11"/>
        <v>W</v>
      </c>
      <c r="M1241">
        <v>8</v>
      </c>
      <c r="N1241" s="23" t="str">
        <f t="shared" si="777"/>
        <v>#</v>
      </c>
      <c r="O1241" s="7" t="str">
        <f t="shared" si="778"/>
        <v/>
      </c>
      <c r="P1241" s="7" t="str">
        <f t="shared" si="779"/>
        <v/>
      </c>
      <c r="Q1241" s="7" t="str">
        <f t="shared" si="780"/>
        <v/>
      </c>
      <c r="R1241" s="17" t="str">
        <f t="shared" si="781"/>
        <v>#</v>
      </c>
      <c r="S1241" s="8" t="str">
        <f t="shared" si="782"/>
        <v/>
      </c>
      <c r="T1241" s="2" t="str">
        <f t="shared" si="783"/>
        <v/>
      </c>
      <c r="U1241" s="2" t="str">
        <f t="shared" si="784"/>
        <v/>
      </c>
      <c r="V1241" t="str">
        <f t="shared" si="801"/>
        <v/>
      </c>
      <c r="X1241">
        <f t="shared" si="812"/>
        <v>0</v>
      </c>
      <c r="Y1241">
        <f t="shared" si="813"/>
        <v>0</v>
      </c>
      <c r="Z1241">
        <f t="shared" si="814"/>
        <v>0</v>
      </c>
      <c r="AA1241">
        <f t="shared" si="815"/>
        <v>0</v>
      </c>
      <c r="AB1241">
        <f t="shared" si="816"/>
        <v>0</v>
      </c>
      <c r="AC1241">
        <f t="shared" si="817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11"/>
        <v>W</v>
      </c>
      <c r="M1242">
        <v>9</v>
      </c>
      <c r="N1242" s="23" t="str">
        <f t="shared" si="777"/>
        <v>#</v>
      </c>
      <c r="O1242" s="7" t="str">
        <f t="shared" si="778"/>
        <v/>
      </c>
      <c r="P1242" s="7" t="str">
        <f t="shared" si="779"/>
        <v>#</v>
      </c>
      <c r="Q1242" s="7" t="str">
        <f t="shared" si="780"/>
        <v/>
      </c>
      <c r="R1242" s="17" t="str">
        <f t="shared" si="781"/>
        <v>#</v>
      </c>
      <c r="S1242" s="8" t="str">
        <f t="shared" si="782"/>
        <v/>
      </c>
      <c r="T1242" s="2" t="str">
        <f t="shared" si="783"/>
        <v/>
      </c>
      <c r="U1242" s="2" t="str">
        <f t="shared" si="784"/>
        <v/>
      </c>
      <c r="V1242" t="str">
        <f t="shared" si="801"/>
        <v/>
      </c>
      <c r="X1242">
        <f t="shared" si="812"/>
        <v>0</v>
      </c>
      <c r="Y1242">
        <f t="shared" si="813"/>
        <v>0</v>
      </c>
      <c r="Z1242">
        <f t="shared" si="814"/>
        <v>1</v>
      </c>
      <c r="AA1242">
        <f t="shared" si="815"/>
        <v>0</v>
      </c>
      <c r="AB1242">
        <f t="shared" si="816"/>
        <v>0</v>
      </c>
      <c r="AC1242">
        <f t="shared" si="817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11"/>
        <v>W</v>
      </c>
      <c r="M1243">
        <v>10</v>
      </c>
      <c r="N1243" s="23" t="str">
        <f t="shared" si="777"/>
        <v>#</v>
      </c>
      <c r="O1243" s="7" t="str">
        <f t="shared" si="778"/>
        <v/>
      </c>
      <c r="P1243" s="7" t="str">
        <f t="shared" si="779"/>
        <v>#</v>
      </c>
      <c r="Q1243" s="7" t="str">
        <f t="shared" si="780"/>
        <v/>
      </c>
      <c r="R1243" s="17" t="str">
        <f t="shared" si="781"/>
        <v>#</v>
      </c>
      <c r="S1243" s="8" t="str">
        <f t="shared" si="782"/>
        <v/>
      </c>
      <c r="T1243" s="2" t="str">
        <f t="shared" si="783"/>
        <v/>
      </c>
      <c r="U1243" s="2" t="str">
        <f t="shared" si="784"/>
        <v/>
      </c>
      <c r="V1243" t="str">
        <f t="shared" si="801"/>
        <v/>
      </c>
      <c r="X1243">
        <f t="shared" si="812"/>
        <v>0</v>
      </c>
      <c r="Y1243">
        <f t="shared" si="813"/>
        <v>0</v>
      </c>
      <c r="Z1243">
        <f t="shared" si="814"/>
        <v>0</v>
      </c>
      <c r="AA1243">
        <f t="shared" si="815"/>
        <v>0</v>
      </c>
      <c r="AB1243">
        <f t="shared" si="816"/>
        <v>0</v>
      </c>
      <c r="AC1243">
        <f t="shared" si="817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11"/>
        <v>W</v>
      </c>
      <c r="M1244">
        <v>11</v>
      </c>
      <c r="N1244" s="23" t="str">
        <f t="shared" si="777"/>
        <v>#</v>
      </c>
      <c r="O1244" s="7" t="str">
        <f t="shared" si="778"/>
        <v/>
      </c>
      <c r="P1244" s="7" t="str">
        <f t="shared" si="779"/>
        <v>#</v>
      </c>
      <c r="Q1244" s="7" t="str">
        <f t="shared" si="780"/>
        <v/>
      </c>
      <c r="R1244" s="17" t="str">
        <f t="shared" si="781"/>
        <v>#</v>
      </c>
      <c r="S1244" s="8" t="str">
        <f t="shared" si="782"/>
        <v/>
      </c>
      <c r="T1244" s="2" t="str">
        <f t="shared" si="783"/>
        <v/>
      </c>
      <c r="U1244" s="2" t="str">
        <f t="shared" si="784"/>
        <v/>
      </c>
      <c r="V1244" t="str">
        <f t="shared" si="801"/>
        <v/>
      </c>
      <c r="X1244">
        <f t="shared" si="812"/>
        <v>0</v>
      </c>
      <c r="Y1244">
        <f t="shared" si="813"/>
        <v>0</v>
      </c>
      <c r="Z1244">
        <f t="shared" si="814"/>
        <v>0</v>
      </c>
      <c r="AA1244">
        <f t="shared" si="815"/>
        <v>0</v>
      </c>
      <c r="AB1244">
        <f t="shared" si="816"/>
        <v>0</v>
      </c>
      <c r="AC1244">
        <f t="shared" si="817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11"/>
        <v>W</v>
      </c>
      <c r="M1245">
        <v>12</v>
      </c>
      <c r="N1245" s="23" t="str">
        <f t="shared" si="777"/>
        <v>#</v>
      </c>
      <c r="O1245" s="7" t="str">
        <f t="shared" si="778"/>
        <v/>
      </c>
      <c r="P1245" s="7" t="str">
        <f t="shared" si="779"/>
        <v>#</v>
      </c>
      <c r="Q1245" s="7" t="str">
        <f t="shared" si="780"/>
        <v/>
      </c>
      <c r="R1245" s="17" t="str">
        <f t="shared" si="781"/>
        <v>#</v>
      </c>
      <c r="S1245" s="8" t="str">
        <f t="shared" si="782"/>
        <v/>
      </c>
      <c r="T1245" s="2" t="str">
        <f t="shared" si="783"/>
        <v/>
      </c>
      <c r="U1245" s="2" t="str">
        <f t="shared" si="784"/>
        <v/>
      </c>
      <c r="V1245" t="str">
        <f t="shared" si="801"/>
        <v/>
      </c>
      <c r="X1245">
        <f t="shared" si="812"/>
        <v>0</v>
      </c>
      <c r="Y1245">
        <f t="shared" si="813"/>
        <v>0</v>
      </c>
      <c r="Z1245">
        <f t="shared" si="814"/>
        <v>0</v>
      </c>
      <c r="AA1245">
        <f t="shared" si="815"/>
        <v>0</v>
      </c>
      <c r="AB1245">
        <f t="shared" si="816"/>
        <v>0</v>
      </c>
      <c r="AC1245">
        <f t="shared" si="817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11"/>
        <v>W</v>
      </c>
      <c r="M1246">
        <v>13</v>
      </c>
      <c r="N1246" s="6" t="str">
        <f t="shared" si="777"/>
        <v>#</v>
      </c>
      <c r="O1246" s="7" t="str">
        <f t="shared" si="778"/>
        <v>#</v>
      </c>
      <c r="P1246" s="7" t="str">
        <f t="shared" si="779"/>
        <v>#</v>
      </c>
      <c r="Q1246" s="7" t="str">
        <f t="shared" si="780"/>
        <v>#</v>
      </c>
      <c r="R1246" s="17" t="str">
        <f t="shared" si="781"/>
        <v>#</v>
      </c>
      <c r="S1246" s="8" t="str">
        <f t="shared" si="782"/>
        <v/>
      </c>
      <c r="T1246" s="2" t="str">
        <f t="shared" si="783"/>
        <v/>
      </c>
      <c r="U1246" s="2" t="str">
        <f t="shared" si="784"/>
        <v/>
      </c>
      <c r="V1246" t="str">
        <f t="shared" si="801"/>
        <v/>
      </c>
      <c r="X1246">
        <f t="shared" si="812"/>
        <v>0</v>
      </c>
      <c r="Y1246">
        <f t="shared" si="813"/>
        <v>1</v>
      </c>
      <c r="Z1246">
        <f t="shared" si="814"/>
        <v>0</v>
      </c>
      <c r="AA1246">
        <f t="shared" si="815"/>
        <v>1</v>
      </c>
      <c r="AB1246">
        <f t="shared" si="816"/>
        <v>0</v>
      </c>
      <c r="AC1246">
        <f t="shared" si="817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11"/>
        <v>W</v>
      </c>
      <c r="M1247">
        <v>14</v>
      </c>
      <c r="N1247" s="18" t="str">
        <f t="shared" si="777"/>
        <v/>
      </c>
      <c r="O1247" s="19" t="str">
        <f t="shared" si="778"/>
        <v>#</v>
      </c>
      <c r="P1247" s="19" t="str">
        <f t="shared" si="779"/>
        <v/>
      </c>
      <c r="Q1247" s="19" t="str">
        <f t="shared" si="780"/>
        <v>#</v>
      </c>
      <c r="R1247" s="20" t="str">
        <f t="shared" si="781"/>
        <v/>
      </c>
      <c r="S1247" s="8" t="str">
        <f t="shared" si="782"/>
        <v/>
      </c>
      <c r="T1247" s="2" t="str">
        <f t="shared" si="783"/>
        <v/>
      </c>
      <c r="U1247" s="2" t="str">
        <f t="shared" si="784"/>
        <v/>
      </c>
      <c r="V1247" t="str">
        <f t="shared" si="801"/>
        <v/>
      </c>
      <c r="X1247">
        <f t="shared" si="812"/>
        <v>0</v>
      </c>
      <c r="Y1247">
        <f t="shared" si="813"/>
        <v>0</v>
      </c>
      <c r="Z1247">
        <f t="shared" si="814"/>
        <v>0</v>
      </c>
      <c r="AA1247">
        <f t="shared" si="815"/>
        <v>0</v>
      </c>
      <c r="AB1247">
        <f t="shared" si="816"/>
        <v>0</v>
      </c>
      <c r="AC1247">
        <f t="shared" si="817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11"/>
        <v>W</v>
      </c>
      <c r="M1248">
        <v>15</v>
      </c>
      <c r="N1248" s="9" t="str">
        <f t="shared" si="777"/>
        <v/>
      </c>
      <c r="O1248" s="10" t="str">
        <f t="shared" si="778"/>
        <v/>
      </c>
      <c r="P1248" s="10" t="str">
        <f t="shared" si="779"/>
        <v/>
      </c>
      <c r="Q1248" s="10" t="str">
        <f t="shared" si="780"/>
        <v/>
      </c>
      <c r="R1248" s="10" t="str">
        <f t="shared" si="781"/>
        <v/>
      </c>
      <c r="S1248" s="11" t="str">
        <f t="shared" si="782"/>
        <v/>
      </c>
      <c r="T1248" s="2" t="str">
        <f t="shared" si="783"/>
        <v/>
      </c>
      <c r="U1248" s="2" t="str">
        <f t="shared" si="784"/>
        <v/>
      </c>
      <c r="V1248" t="str">
        <f t="shared" si="801"/>
        <v/>
      </c>
      <c r="X1248">
        <f t="shared" si="812"/>
        <v>0</v>
      </c>
      <c r="Y1248">
        <f t="shared" si="813"/>
        <v>0</v>
      </c>
      <c r="Z1248">
        <f t="shared" si="814"/>
        <v>0</v>
      </c>
      <c r="AA1248">
        <f t="shared" si="815"/>
        <v>0</v>
      </c>
      <c r="AB1248">
        <f t="shared" si="816"/>
        <v>0</v>
      </c>
      <c r="AC1248">
        <f t="shared" si="817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11"/>
        <v>W</v>
      </c>
      <c r="M1249">
        <v>16</v>
      </c>
      <c r="N1249" s="12" t="str">
        <f t="shared" si="777"/>
        <v/>
      </c>
      <c r="O1249" s="13" t="str">
        <f t="shared" si="778"/>
        <v/>
      </c>
      <c r="P1249" s="13" t="str">
        <f t="shared" si="779"/>
        <v/>
      </c>
      <c r="Q1249" s="13" t="str">
        <f t="shared" si="780"/>
        <v/>
      </c>
      <c r="R1249" s="13" t="str">
        <f t="shared" si="781"/>
        <v/>
      </c>
      <c r="S1249" s="14" t="str">
        <f t="shared" si="782"/>
        <v/>
      </c>
      <c r="T1249" s="2" t="str">
        <f t="shared" si="783"/>
        <v/>
      </c>
      <c r="U1249" s="2" t="str">
        <f t="shared" si="784"/>
        <v/>
      </c>
      <c r="V1249" t="str">
        <f t="shared" si="801"/>
        <v/>
      </c>
      <c r="X1249">
        <f t="shared" si="812"/>
        <v>0</v>
      </c>
      <c r="Y1249">
        <f t="shared" si="813"/>
        <v>0</v>
      </c>
      <c r="Z1249">
        <f t="shared" si="814"/>
        <v>0</v>
      </c>
      <c r="AA1249">
        <f t="shared" si="815"/>
        <v>0</v>
      </c>
      <c r="AB1249">
        <f t="shared" si="816"/>
        <v>0</v>
      </c>
      <c r="AC1249">
        <f t="shared" si="817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8">IF(B1250&gt;0,"#","")</f>
        <v/>
      </c>
      <c r="O1250" t="str">
        <f t="shared" ref="O1250:O1313" si="819">IF(C1250&gt;0,"#","")</f>
        <v/>
      </c>
      <c r="P1250" t="str">
        <f t="shared" ref="P1250:P1313" si="820">IF(D1250&gt;0,"#","")</f>
        <v/>
      </c>
      <c r="Q1250" t="str">
        <f t="shared" ref="Q1250:Q1313" si="821">IF(E1250&gt;0,"#","")</f>
        <v/>
      </c>
      <c r="R1250" t="str">
        <f t="shared" ref="R1250:R1313" si="822">IF(F1250&gt;0,"#","")</f>
        <v/>
      </c>
      <c r="S1250" t="str">
        <f t="shared" ref="S1250:S1313" si="823">IF(G1250&gt;0,"#","")</f>
        <v/>
      </c>
      <c r="T1250" s="2" t="str">
        <f t="shared" ref="T1250:T1313" si="824">IF(H1250&gt;0,"#","")</f>
        <v/>
      </c>
      <c r="U1250" s="2" t="str">
        <f t="shared" ref="U1250:U1313" si="825">IF(I1250&gt;0,"#","")</f>
        <v/>
      </c>
      <c r="V1250" t="str">
        <f t="shared" si="801"/>
        <v/>
      </c>
      <c r="W1250">
        <f>SUM(B1252:G1265)</f>
        <v>24</v>
      </c>
      <c r="AD1250">
        <f t="shared" ref="AD1250" si="826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7">L1250</f>
        <v>X</v>
      </c>
      <c r="M1251">
        <v>2</v>
      </c>
      <c r="N1251" t="str">
        <f t="shared" si="818"/>
        <v/>
      </c>
      <c r="O1251" t="str">
        <f t="shared" si="819"/>
        <v/>
      </c>
      <c r="P1251" t="str">
        <f t="shared" si="820"/>
        <v/>
      </c>
      <c r="Q1251" t="str">
        <f t="shared" si="821"/>
        <v/>
      </c>
      <c r="R1251" t="str">
        <f t="shared" si="822"/>
        <v/>
      </c>
      <c r="S1251" t="str">
        <f t="shared" si="823"/>
        <v/>
      </c>
      <c r="T1251" s="2" t="str">
        <f t="shared" si="824"/>
        <v/>
      </c>
      <c r="U1251" s="2" t="str">
        <f t="shared" si="825"/>
        <v/>
      </c>
      <c r="V1251" t="str">
        <f t="shared" si="801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7"/>
        <v>X</v>
      </c>
      <c r="M1252">
        <v>3</v>
      </c>
      <c r="N1252" s="3" t="str">
        <f t="shared" si="818"/>
        <v/>
      </c>
      <c r="O1252" s="4" t="str">
        <f t="shared" si="819"/>
        <v/>
      </c>
      <c r="P1252" s="4" t="str">
        <f t="shared" si="820"/>
        <v/>
      </c>
      <c r="Q1252" s="4" t="str">
        <f t="shared" si="821"/>
        <v/>
      </c>
      <c r="R1252" s="4" t="str">
        <f t="shared" si="822"/>
        <v/>
      </c>
      <c r="S1252" s="5" t="str">
        <f t="shared" si="823"/>
        <v/>
      </c>
      <c r="T1252" s="2" t="str">
        <f t="shared" si="824"/>
        <v/>
      </c>
      <c r="U1252" s="2" t="str">
        <f t="shared" si="825"/>
        <v/>
      </c>
      <c r="V1252" t="str">
        <f t="shared" si="801"/>
        <v/>
      </c>
      <c r="X1252">
        <f t="shared" ref="X1252:X1265" si="828">MAX(B1252-B1251,0)</f>
        <v>0</v>
      </c>
      <c r="Y1252">
        <f t="shared" ref="Y1252:Y1265" si="829">MAX(C1252-C1251,0)</f>
        <v>0</v>
      </c>
      <c r="Z1252">
        <f t="shared" ref="Z1252:Z1265" si="830">MAX(D1252-D1251,0)</f>
        <v>0</v>
      </c>
      <c r="AA1252">
        <f t="shared" ref="AA1252:AA1265" si="831">MAX(E1252-E1251,0)</f>
        <v>0</v>
      </c>
      <c r="AB1252">
        <f t="shared" ref="AB1252:AB1265" si="832">MAX(F1252-F1251,0)</f>
        <v>0</v>
      </c>
      <c r="AC1252">
        <f t="shared" ref="AC1252:AC1265" si="833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7"/>
        <v>X</v>
      </c>
      <c r="M1253">
        <v>4</v>
      </c>
      <c r="N1253" s="6" t="str">
        <f t="shared" si="818"/>
        <v/>
      </c>
      <c r="O1253" s="7" t="str">
        <f t="shared" si="819"/>
        <v/>
      </c>
      <c r="P1253" s="7" t="str">
        <f t="shared" si="820"/>
        <v/>
      </c>
      <c r="Q1253" s="7" t="str">
        <f t="shared" si="821"/>
        <v/>
      </c>
      <c r="R1253" s="7" t="str">
        <f t="shared" si="822"/>
        <v/>
      </c>
      <c r="S1253" s="8" t="str">
        <f t="shared" si="823"/>
        <v/>
      </c>
      <c r="T1253" s="2" t="str">
        <f t="shared" si="824"/>
        <v/>
      </c>
      <c r="U1253" s="2" t="str">
        <f t="shared" si="825"/>
        <v/>
      </c>
      <c r="V1253" t="str">
        <f t="shared" si="801"/>
        <v/>
      </c>
      <c r="X1253">
        <f t="shared" si="828"/>
        <v>0</v>
      </c>
      <c r="Y1253">
        <f t="shared" si="829"/>
        <v>0</v>
      </c>
      <c r="Z1253">
        <f t="shared" si="830"/>
        <v>0</v>
      </c>
      <c r="AA1253">
        <f t="shared" si="831"/>
        <v>0</v>
      </c>
      <c r="AB1253">
        <f t="shared" si="832"/>
        <v>0</v>
      </c>
      <c r="AC1253">
        <f t="shared" si="833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7"/>
        <v>X</v>
      </c>
      <c r="M1254">
        <v>5</v>
      </c>
      <c r="N1254" s="22" t="str">
        <f t="shared" si="818"/>
        <v>#</v>
      </c>
      <c r="O1254" s="15" t="str">
        <f t="shared" si="819"/>
        <v/>
      </c>
      <c r="P1254" s="15" t="str">
        <f t="shared" si="820"/>
        <v/>
      </c>
      <c r="Q1254" s="15" t="str">
        <f t="shared" si="821"/>
        <v/>
      </c>
      <c r="R1254" s="16" t="str">
        <f t="shared" si="822"/>
        <v>#</v>
      </c>
      <c r="S1254" s="8" t="str">
        <f t="shared" si="823"/>
        <v/>
      </c>
      <c r="T1254" s="2" t="str">
        <f t="shared" si="824"/>
        <v/>
      </c>
      <c r="U1254" s="2" t="str">
        <f t="shared" si="825"/>
        <v/>
      </c>
      <c r="V1254" t="str">
        <f t="shared" si="801"/>
        <v/>
      </c>
      <c r="X1254">
        <f t="shared" si="828"/>
        <v>1</v>
      </c>
      <c r="Y1254">
        <f t="shared" si="829"/>
        <v>0</v>
      </c>
      <c r="Z1254">
        <f t="shared" si="830"/>
        <v>0</v>
      </c>
      <c r="AA1254">
        <f t="shared" si="831"/>
        <v>0</v>
      </c>
      <c r="AB1254">
        <f t="shared" si="832"/>
        <v>1</v>
      </c>
      <c r="AC1254">
        <f t="shared" si="833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7"/>
        <v>X</v>
      </c>
      <c r="M1255">
        <v>6</v>
      </c>
      <c r="N1255" s="23" t="str">
        <f t="shared" si="818"/>
        <v>#</v>
      </c>
      <c r="O1255" s="7" t="str">
        <f t="shared" si="819"/>
        <v/>
      </c>
      <c r="P1255" s="7" t="str">
        <f t="shared" si="820"/>
        <v/>
      </c>
      <c r="Q1255" s="7" t="str">
        <f t="shared" si="821"/>
        <v/>
      </c>
      <c r="R1255" s="17" t="str">
        <f t="shared" si="822"/>
        <v>#</v>
      </c>
      <c r="S1255" s="8" t="str">
        <f t="shared" si="823"/>
        <v/>
      </c>
      <c r="T1255" s="2" t="str">
        <f t="shared" si="824"/>
        <v/>
      </c>
      <c r="U1255" s="2" t="str">
        <f t="shared" si="825"/>
        <v/>
      </c>
      <c r="V1255" t="str">
        <f t="shared" si="801"/>
        <v/>
      </c>
      <c r="X1255">
        <f t="shared" si="828"/>
        <v>0</v>
      </c>
      <c r="Y1255">
        <f t="shared" si="829"/>
        <v>0</v>
      </c>
      <c r="Z1255">
        <f t="shared" si="830"/>
        <v>0</v>
      </c>
      <c r="AA1255">
        <f t="shared" si="831"/>
        <v>0</v>
      </c>
      <c r="AB1255">
        <f t="shared" si="832"/>
        <v>0</v>
      </c>
      <c r="AC1255">
        <f t="shared" si="833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7"/>
        <v>X</v>
      </c>
      <c r="M1256">
        <v>7</v>
      </c>
      <c r="N1256" s="23" t="str">
        <f t="shared" si="818"/>
        <v>#</v>
      </c>
      <c r="O1256" s="7" t="str">
        <f t="shared" si="819"/>
        <v>#</v>
      </c>
      <c r="P1256" s="7" t="str">
        <f t="shared" si="820"/>
        <v/>
      </c>
      <c r="Q1256" s="7" t="str">
        <f t="shared" si="821"/>
        <v>#</v>
      </c>
      <c r="R1256" s="17" t="str">
        <f t="shared" si="822"/>
        <v>#</v>
      </c>
      <c r="S1256" s="8" t="str">
        <f t="shared" si="823"/>
        <v/>
      </c>
      <c r="T1256" s="2" t="str">
        <f t="shared" si="824"/>
        <v/>
      </c>
      <c r="U1256" s="2" t="str">
        <f t="shared" si="825"/>
        <v/>
      </c>
      <c r="V1256" t="str">
        <f t="shared" si="801"/>
        <v/>
      </c>
      <c r="X1256">
        <f t="shared" si="828"/>
        <v>0</v>
      </c>
      <c r="Y1256">
        <f t="shared" si="829"/>
        <v>1</v>
      </c>
      <c r="Z1256">
        <f t="shared" si="830"/>
        <v>0</v>
      </c>
      <c r="AA1256">
        <f t="shared" si="831"/>
        <v>1</v>
      </c>
      <c r="AB1256">
        <f t="shared" si="832"/>
        <v>0</v>
      </c>
      <c r="AC1256">
        <f t="shared" si="833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7"/>
        <v>X</v>
      </c>
      <c r="M1257">
        <v>8</v>
      </c>
      <c r="N1257" s="23" t="str">
        <f t="shared" si="818"/>
        <v/>
      </c>
      <c r="O1257" s="7" t="str">
        <f t="shared" si="819"/>
        <v>#</v>
      </c>
      <c r="P1257" s="7" t="str">
        <f t="shared" si="820"/>
        <v>#</v>
      </c>
      <c r="Q1257" s="7" t="str">
        <f t="shared" si="821"/>
        <v>#</v>
      </c>
      <c r="R1257" s="17" t="str">
        <f t="shared" si="822"/>
        <v/>
      </c>
      <c r="S1257" s="8" t="str">
        <f t="shared" si="823"/>
        <v/>
      </c>
      <c r="T1257" s="2" t="str">
        <f t="shared" si="824"/>
        <v/>
      </c>
      <c r="U1257" s="2" t="str">
        <f t="shared" si="825"/>
        <v/>
      </c>
      <c r="V1257" t="str">
        <f t="shared" si="801"/>
        <v/>
      </c>
      <c r="X1257">
        <f t="shared" si="828"/>
        <v>0</v>
      </c>
      <c r="Y1257">
        <f t="shared" si="829"/>
        <v>0</v>
      </c>
      <c r="Z1257">
        <f t="shared" si="830"/>
        <v>1</v>
      </c>
      <c r="AA1257">
        <f t="shared" si="831"/>
        <v>0</v>
      </c>
      <c r="AB1257">
        <f t="shared" si="832"/>
        <v>0</v>
      </c>
      <c r="AC1257">
        <f t="shared" si="833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7"/>
        <v>X</v>
      </c>
      <c r="M1258">
        <v>9</v>
      </c>
      <c r="N1258" s="23" t="str">
        <f t="shared" si="818"/>
        <v/>
      </c>
      <c r="O1258" s="7" t="str">
        <f t="shared" si="819"/>
        <v/>
      </c>
      <c r="P1258" s="7" t="str">
        <f t="shared" si="820"/>
        <v>#</v>
      </c>
      <c r="Q1258" s="7" t="str">
        <f t="shared" si="821"/>
        <v/>
      </c>
      <c r="R1258" s="17" t="str">
        <f t="shared" si="822"/>
        <v/>
      </c>
      <c r="S1258" s="8" t="str">
        <f t="shared" si="823"/>
        <v/>
      </c>
      <c r="T1258" s="2" t="str">
        <f t="shared" si="824"/>
        <v/>
      </c>
      <c r="U1258" s="2" t="str">
        <f t="shared" si="825"/>
        <v/>
      </c>
      <c r="V1258" t="str">
        <f t="shared" si="801"/>
        <v/>
      </c>
      <c r="X1258">
        <f t="shared" si="828"/>
        <v>0</v>
      </c>
      <c r="Y1258">
        <f t="shared" si="829"/>
        <v>0</v>
      </c>
      <c r="Z1258">
        <f t="shared" si="830"/>
        <v>0</v>
      </c>
      <c r="AA1258">
        <f t="shared" si="831"/>
        <v>0</v>
      </c>
      <c r="AB1258">
        <f t="shared" si="832"/>
        <v>0</v>
      </c>
      <c r="AC1258">
        <f t="shared" si="833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7"/>
        <v>X</v>
      </c>
      <c r="M1259">
        <v>10</v>
      </c>
      <c r="N1259" s="23" t="str">
        <f t="shared" si="818"/>
        <v/>
      </c>
      <c r="O1259" s="7" t="str">
        <f t="shared" si="819"/>
        <v/>
      </c>
      <c r="P1259" s="7" t="str">
        <f t="shared" si="820"/>
        <v>#</v>
      </c>
      <c r="Q1259" s="7" t="str">
        <f t="shared" si="821"/>
        <v/>
      </c>
      <c r="R1259" s="17" t="str">
        <f t="shared" si="822"/>
        <v/>
      </c>
      <c r="S1259" s="8" t="str">
        <f t="shared" si="823"/>
        <v/>
      </c>
      <c r="T1259" s="2" t="str">
        <f t="shared" si="824"/>
        <v/>
      </c>
      <c r="U1259" s="2" t="str">
        <f t="shared" si="825"/>
        <v/>
      </c>
      <c r="V1259" t="str">
        <f t="shared" si="801"/>
        <v/>
      </c>
      <c r="X1259">
        <f t="shared" si="828"/>
        <v>0</v>
      </c>
      <c r="Y1259">
        <f t="shared" si="829"/>
        <v>0</v>
      </c>
      <c r="Z1259">
        <f t="shared" si="830"/>
        <v>0</v>
      </c>
      <c r="AA1259">
        <f t="shared" si="831"/>
        <v>0</v>
      </c>
      <c r="AB1259">
        <f t="shared" si="832"/>
        <v>0</v>
      </c>
      <c r="AC1259">
        <f t="shared" si="833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7"/>
        <v>X</v>
      </c>
      <c r="M1260">
        <v>11</v>
      </c>
      <c r="N1260" s="23" t="str">
        <f t="shared" si="818"/>
        <v/>
      </c>
      <c r="O1260" s="7" t="str">
        <f t="shared" si="819"/>
        <v>#</v>
      </c>
      <c r="P1260" s="7" t="str">
        <f t="shared" si="820"/>
        <v>#</v>
      </c>
      <c r="Q1260" s="7" t="str">
        <f t="shared" si="821"/>
        <v>#</v>
      </c>
      <c r="R1260" s="17" t="str">
        <f t="shared" si="822"/>
        <v/>
      </c>
      <c r="S1260" s="8" t="str">
        <f t="shared" si="823"/>
        <v/>
      </c>
      <c r="T1260" s="2" t="str">
        <f t="shared" si="824"/>
        <v/>
      </c>
      <c r="U1260" s="2" t="str">
        <f t="shared" si="825"/>
        <v/>
      </c>
      <c r="V1260" t="str">
        <f t="shared" si="801"/>
        <v/>
      </c>
      <c r="X1260">
        <f t="shared" si="828"/>
        <v>0</v>
      </c>
      <c r="Y1260">
        <f t="shared" si="829"/>
        <v>1</v>
      </c>
      <c r="Z1260">
        <f t="shared" si="830"/>
        <v>0</v>
      </c>
      <c r="AA1260">
        <f t="shared" si="831"/>
        <v>1</v>
      </c>
      <c r="AB1260">
        <f t="shared" si="832"/>
        <v>0</v>
      </c>
      <c r="AC1260">
        <f t="shared" si="833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7"/>
        <v>X</v>
      </c>
      <c r="M1261">
        <v>12</v>
      </c>
      <c r="N1261" s="23" t="str">
        <f t="shared" si="818"/>
        <v>#</v>
      </c>
      <c r="O1261" s="7" t="str">
        <f t="shared" si="819"/>
        <v>#</v>
      </c>
      <c r="P1261" s="7" t="str">
        <f t="shared" si="820"/>
        <v/>
      </c>
      <c r="Q1261" s="7" t="str">
        <f t="shared" si="821"/>
        <v>#</v>
      </c>
      <c r="R1261" s="17" t="str">
        <f t="shared" si="822"/>
        <v>#</v>
      </c>
      <c r="S1261" s="8" t="str">
        <f t="shared" si="823"/>
        <v/>
      </c>
      <c r="T1261" s="2" t="str">
        <f t="shared" si="824"/>
        <v/>
      </c>
      <c r="U1261" s="2" t="str">
        <f t="shared" si="825"/>
        <v/>
      </c>
      <c r="V1261" t="str">
        <f t="shared" si="801"/>
        <v/>
      </c>
      <c r="X1261">
        <f t="shared" si="828"/>
        <v>1</v>
      </c>
      <c r="Y1261">
        <f t="shared" si="829"/>
        <v>0</v>
      </c>
      <c r="Z1261">
        <f t="shared" si="830"/>
        <v>0</v>
      </c>
      <c r="AA1261">
        <f t="shared" si="831"/>
        <v>0</v>
      </c>
      <c r="AB1261">
        <f t="shared" si="832"/>
        <v>1</v>
      </c>
      <c r="AC1261">
        <f t="shared" si="833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7"/>
        <v>X</v>
      </c>
      <c r="M1262">
        <v>13</v>
      </c>
      <c r="N1262" s="6" t="str">
        <f t="shared" si="818"/>
        <v>#</v>
      </c>
      <c r="O1262" s="7" t="str">
        <f t="shared" si="819"/>
        <v/>
      </c>
      <c r="P1262" s="7" t="str">
        <f t="shared" si="820"/>
        <v/>
      </c>
      <c r="Q1262" s="7" t="str">
        <f t="shared" si="821"/>
        <v/>
      </c>
      <c r="R1262" s="17" t="str">
        <f t="shared" si="822"/>
        <v>#</v>
      </c>
      <c r="S1262" s="8" t="str">
        <f t="shared" si="823"/>
        <v/>
      </c>
      <c r="T1262" s="2" t="str">
        <f t="shared" si="824"/>
        <v/>
      </c>
      <c r="U1262" s="2" t="str">
        <f t="shared" si="825"/>
        <v/>
      </c>
      <c r="V1262" t="str">
        <f t="shared" si="801"/>
        <v/>
      </c>
      <c r="X1262">
        <f t="shared" si="828"/>
        <v>0</v>
      </c>
      <c r="Y1262">
        <f t="shared" si="829"/>
        <v>0</v>
      </c>
      <c r="Z1262">
        <f t="shared" si="830"/>
        <v>0</v>
      </c>
      <c r="AA1262">
        <f t="shared" si="831"/>
        <v>0</v>
      </c>
      <c r="AB1262">
        <f t="shared" si="832"/>
        <v>0</v>
      </c>
      <c r="AC1262">
        <f t="shared" si="833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7"/>
        <v>X</v>
      </c>
      <c r="M1263">
        <v>14</v>
      </c>
      <c r="N1263" s="18" t="str">
        <f t="shared" si="818"/>
        <v>#</v>
      </c>
      <c r="O1263" s="19" t="str">
        <f t="shared" si="819"/>
        <v/>
      </c>
      <c r="P1263" s="19" t="str">
        <f t="shared" si="820"/>
        <v/>
      </c>
      <c r="Q1263" s="19" t="str">
        <f t="shared" si="821"/>
        <v/>
      </c>
      <c r="R1263" s="20" t="str">
        <f t="shared" si="822"/>
        <v>#</v>
      </c>
      <c r="S1263" s="8" t="str">
        <f t="shared" si="823"/>
        <v/>
      </c>
      <c r="T1263" s="2" t="str">
        <f t="shared" si="824"/>
        <v/>
      </c>
      <c r="U1263" s="2" t="str">
        <f t="shared" si="825"/>
        <v/>
      </c>
      <c r="V1263" t="str">
        <f t="shared" si="801"/>
        <v/>
      </c>
      <c r="X1263">
        <f t="shared" si="828"/>
        <v>0</v>
      </c>
      <c r="Y1263">
        <f t="shared" si="829"/>
        <v>0</v>
      </c>
      <c r="Z1263">
        <f t="shared" si="830"/>
        <v>0</v>
      </c>
      <c r="AA1263">
        <f t="shared" si="831"/>
        <v>0</v>
      </c>
      <c r="AB1263">
        <f t="shared" si="832"/>
        <v>0</v>
      </c>
      <c r="AC1263">
        <f t="shared" si="833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7"/>
        <v>X</v>
      </c>
      <c r="M1264">
        <v>15</v>
      </c>
      <c r="N1264" s="9" t="str">
        <f t="shared" si="818"/>
        <v/>
      </c>
      <c r="O1264" s="10" t="str">
        <f t="shared" si="819"/>
        <v/>
      </c>
      <c r="P1264" s="10" t="str">
        <f t="shared" si="820"/>
        <v/>
      </c>
      <c r="Q1264" s="10" t="str">
        <f t="shared" si="821"/>
        <v/>
      </c>
      <c r="R1264" s="10" t="str">
        <f t="shared" si="822"/>
        <v/>
      </c>
      <c r="S1264" s="11" t="str">
        <f t="shared" si="823"/>
        <v/>
      </c>
      <c r="T1264" s="2" t="str">
        <f t="shared" si="824"/>
        <v/>
      </c>
      <c r="U1264" s="2" t="str">
        <f t="shared" si="825"/>
        <v/>
      </c>
      <c r="V1264" t="str">
        <f t="shared" si="801"/>
        <v/>
      </c>
      <c r="X1264">
        <f t="shared" si="828"/>
        <v>0</v>
      </c>
      <c r="Y1264">
        <f t="shared" si="829"/>
        <v>0</v>
      </c>
      <c r="Z1264">
        <f t="shared" si="830"/>
        <v>0</v>
      </c>
      <c r="AA1264">
        <f t="shared" si="831"/>
        <v>0</v>
      </c>
      <c r="AB1264">
        <f t="shared" si="832"/>
        <v>0</v>
      </c>
      <c r="AC1264">
        <f t="shared" si="833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7"/>
        <v>X</v>
      </c>
      <c r="M1265">
        <v>16</v>
      </c>
      <c r="N1265" s="12" t="str">
        <f t="shared" si="818"/>
        <v/>
      </c>
      <c r="O1265" s="13" t="str">
        <f t="shared" si="819"/>
        <v/>
      </c>
      <c r="P1265" s="13" t="str">
        <f t="shared" si="820"/>
        <v/>
      </c>
      <c r="Q1265" s="13" t="str">
        <f t="shared" si="821"/>
        <v/>
      </c>
      <c r="R1265" s="13" t="str">
        <f t="shared" si="822"/>
        <v/>
      </c>
      <c r="S1265" s="14" t="str">
        <f t="shared" si="823"/>
        <v/>
      </c>
      <c r="T1265" s="2" t="str">
        <f t="shared" si="824"/>
        <v/>
      </c>
      <c r="U1265" s="2" t="str">
        <f t="shared" si="825"/>
        <v/>
      </c>
      <c r="V1265" t="str">
        <f t="shared" si="801"/>
        <v/>
      </c>
      <c r="X1265">
        <f t="shared" si="828"/>
        <v>0</v>
      </c>
      <c r="Y1265">
        <f t="shared" si="829"/>
        <v>0</v>
      </c>
      <c r="Z1265">
        <f t="shared" si="830"/>
        <v>0</v>
      </c>
      <c r="AA1265">
        <f t="shared" si="831"/>
        <v>0</v>
      </c>
      <c r="AB1265">
        <f t="shared" si="832"/>
        <v>0</v>
      </c>
      <c r="AC1265">
        <f t="shared" si="833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8"/>
        <v/>
      </c>
      <c r="O1266" t="str">
        <f t="shared" si="819"/>
        <v/>
      </c>
      <c r="P1266" t="str">
        <f t="shared" si="820"/>
        <v/>
      </c>
      <c r="Q1266" t="str">
        <f t="shared" si="821"/>
        <v/>
      </c>
      <c r="R1266" t="str">
        <f t="shared" si="822"/>
        <v/>
      </c>
      <c r="S1266" t="str">
        <f t="shared" si="823"/>
        <v/>
      </c>
      <c r="T1266" s="2" t="str">
        <f t="shared" si="824"/>
        <v/>
      </c>
      <c r="U1266" s="2" t="str">
        <f t="shared" si="825"/>
        <v/>
      </c>
      <c r="V1266" t="str">
        <f t="shared" si="801"/>
        <v/>
      </c>
      <c r="W1266">
        <f>SUM(B1268:G1281)</f>
        <v>18</v>
      </c>
      <c r="AD1266">
        <f t="shared" ref="AD1266" si="834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35">L1266</f>
        <v>Y</v>
      </c>
      <c r="M1267">
        <v>2</v>
      </c>
      <c r="N1267" t="str">
        <f t="shared" si="818"/>
        <v/>
      </c>
      <c r="O1267" t="str">
        <f t="shared" si="819"/>
        <v/>
      </c>
      <c r="P1267" t="str">
        <f t="shared" si="820"/>
        <v/>
      </c>
      <c r="Q1267" t="str">
        <f t="shared" si="821"/>
        <v/>
      </c>
      <c r="R1267" t="str">
        <f t="shared" si="822"/>
        <v/>
      </c>
      <c r="S1267" t="str">
        <f t="shared" si="823"/>
        <v/>
      </c>
      <c r="T1267" s="2" t="str">
        <f t="shared" si="824"/>
        <v/>
      </c>
      <c r="U1267" s="2" t="str">
        <f t="shared" si="825"/>
        <v/>
      </c>
      <c r="V1267" t="str">
        <f t="shared" si="801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35"/>
        <v>Y</v>
      </c>
      <c r="M1268">
        <v>3</v>
      </c>
      <c r="N1268" s="3" t="str">
        <f t="shared" si="818"/>
        <v/>
      </c>
      <c r="O1268" s="4" t="str">
        <f t="shared" si="819"/>
        <v/>
      </c>
      <c r="P1268" s="4" t="str">
        <f t="shared" si="820"/>
        <v/>
      </c>
      <c r="Q1268" s="4" t="str">
        <f t="shared" si="821"/>
        <v/>
      </c>
      <c r="R1268" s="4" t="str">
        <f t="shared" si="822"/>
        <v/>
      </c>
      <c r="S1268" s="5" t="str">
        <f t="shared" si="823"/>
        <v/>
      </c>
      <c r="T1268" s="2" t="str">
        <f t="shared" si="824"/>
        <v/>
      </c>
      <c r="U1268" s="2" t="str">
        <f t="shared" si="825"/>
        <v/>
      </c>
      <c r="V1268" t="str">
        <f t="shared" si="801"/>
        <v/>
      </c>
      <c r="X1268">
        <f t="shared" ref="X1268:X1281" si="836">MAX(B1268-B1267,0)</f>
        <v>0</v>
      </c>
      <c r="Y1268">
        <f t="shared" ref="Y1268:Y1281" si="837">MAX(C1268-C1267,0)</f>
        <v>0</v>
      </c>
      <c r="Z1268">
        <f t="shared" ref="Z1268:Z1281" si="838">MAX(D1268-D1267,0)</f>
        <v>0</v>
      </c>
      <c r="AA1268">
        <f t="shared" ref="AA1268:AA1281" si="839">MAX(E1268-E1267,0)</f>
        <v>0</v>
      </c>
      <c r="AB1268">
        <f t="shared" ref="AB1268:AB1281" si="840">MAX(F1268-F1267,0)</f>
        <v>0</v>
      </c>
      <c r="AC1268">
        <f t="shared" ref="AC1268:AC1281" si="841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35"/>
        <v>Y</v>
      </c>
      <c r="M1269">
        <v>4</v>
      </c>
      <c r="N1269" s="6" t="str">
        <f t="shared" si="818"/>
        <v/>
      </c>
      <c r="O1269" s="7" t="str">
        <f t="shared" si="819"/>
        <v/>
      </c>
      <c r="P1269" s="7" t="str">
        <f t="shared" si="820"/>
        <v/>
      </c>
      <c r="Q1269" s="7" t="str">
        <f t="shared" si="821"/>
        <v/>
      </c>
      <c r="R1269" s="7" t="str">
        <f t="shared" si="822"/>
        <v/>
      </c>
      <c r="S1269" s="8" t="str">
        <f t="shared" si="823"/>
        <v/>
      </c>
      <c r="T1269" s="2" t="str">
        <f t="shared" si="824"/>
        <v/>
      </c>
      <c r="U1269" s="2" t="str">
        <f t="shared" si="825"/>
        <v/>
      </c>
      <c r="V1269" t="str">
        <f t="shared" si="801"/>
        <v/>
      </c>
      <c r="X1269">
        <f t="shared" si="836"/>
        <v>0</v>
      </c>
      <c r="Y1269">
        <f t="shared" si="837"/>
        <v>0</v>
      </c>
      <c r="Z1269">
        <f t="shared" si="838"/>
        <v>0</v>
      </c>
      <c r="AA1269">
        <f t="shared" si="839"/>
        <v>0</v>
      </c>
      <c r="AB1269">
        <f t="shared" si="840"/>
        <v>0</v>
      </c>
      <c r="AC1269">
        <f t="shared" si="841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35"/>
        <v>Y</v>
      </c>
      <c r="M1270">
        <v>5</v>
      </c>
      <c r="N1270" s="22" t="str">
        <f t="shared" si="818"/>
        <v>#</v>
      </c>
      <c r="O1270" s="15" t="str">
        <f t="shared" si="819"/>
        <v/>
      </c>
      <c r="P1270" s="15" t="str">
        <f t="shared" si="820"/>
        <v/>
      </c>
      <c r="Q1270" s="15" t="str">
        <f t="shared" si="821"/>
        <v/>
      </c>
      <c r="R1270" s="16" t="str">
        <f t="shared" si="822"/>
        <v>#</v>
      </c>
      <c r="S1270" s="8" t="str">
        <f t="shared" si="823"/>
        <v/>
      </c>
      <c r="T1270" s="2" t="str">
        <f t="shared" si="824"/>
        <v/>
      </c>
      <c r="U1270" s="2" t="str">
        <f t="shared" si="825"/>
        <v/>
      </c>
      <c r="V1270" t="str">
        <f t="shared" si="801"/>
        <v/>
      </c>
      <c r="X1270">
        <f t="shared" si="836"/>
        <v>1</v>
      </c>
      <c r="Y1270">
        <f t="shared" si="837"/>
        <v>0</v>
      </c>
      <c r="Z1270">
        <f t="shared" si="838"/>
        <v>0</v>
      </c>
      <c r="AA1270">
        <f t="shared" si="839"/>
        <v>0</v>
      </c>
      <c r="AB1270">
        <f t="shared" si="840"/>
        <v>1</v>
      </c>
      <c r="AC1270">
        <f t="shared" si="841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35"/>
        <v>Y</v>
      </c>
      <c r="M1271">
        <v>6</v>
      </c>
      <c r="N1271" s="23" t="str">
        <f t="shared" si="818"/>
        <v>#</v>
      </c>
      <c r="O1271" s="7" t="str">
        <f t="shared" si="819"/>
        <v/>
      </c>
      <c r="P1271" s="7" t="str">
        <f t="shared" si="820"/>
        <v/>
      </c>
      <c r="Q1271" s="7" t="str">
        <f t="shared" si="821"/>
        <v/>
      </c>
      <c r="R1271" s="17" t="str">
        <f t="shared" si="822"/>
        <v>#</v>
      </c>
      <c r="S1271" s="8" t="str">
        <f t="shared" si="823"/>
        <v/>
      </c>
      <c r="T1271" s="2" t="str">
        <f t="shared" si="824"/>
        <v/>
      </c>
      <c r="U1271" s="2" t="str">
        <f t="shared" si="825"/>
        <v/>
      </c>
      <c r="V1271" t="str">
        <f t="shared" si="801"/>
        <v/>
      </c>
      <c r="X1271">
        <f t="shared" si="836"/>
        <v>0</v>
      </c>
      <c r="Y1271">
        <f t="shared" si="837"/>
        <v>0</v>
      </c>
      <c r="Z1271">
        <f t="shared" si="838"/>
        <v>0</v>
      </c>
      <c r="AA1271">
        <f t="shared" si="839"/>
        <v>0</v>
      </c>
      <c r="AB1271">
        <f t="shared" si="840"/>
        <v>0</v>
      </c>
      <c r="AC1271">
        <f t="shared" si="841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35"/>
        <v>Y</v>
      </c>
      <c r="M1272">
        <v>7</v>
      </c>
      <c r="N1272" s="23" t="str">
        <f t="shared" si="818"/>
        <v>#</v>
      </c>
      <c r="O1272" s="7" t="str">
        <f t="shared" si="819"/>
        <v>#</v>
      </c>
      <c r="P1272" s="7" t="str">
        <f t="shared" si="820"/>
        <v/>
      </c>
      <c r="Q1272" s="7" t="str">
        <f t="shared" si="821"/>
        <v>#</v>
      </c>
      <c r="R1272" s="17" t="str">
        <f t="shared" si="822"/>
        <v>#</v>
      </c>
      <c r="S1272" s="8" t="str">
        <f t="shared" si="823"/>
        <v/>
      </c>
      <c r="T1272" s="2" t="str">
        <f t="shared" si="824"/>
        <v/>
      </c>
      <c r="U1272" s="2" t="str">
        <f t="shared" si="825"/>
        <v/>
      </c>
      <c r="V1272" t="str">
        <f t="shared" si="801"/>
        <v/>
      </c>
      <c r="X1272">
        <f t="shared" si="836"/>
        <v>0</v>
      </c>
      <c r="Y1272">
        <f t="shared" si="837"/>
        <v>1</v>
      </c>
      <c r="Z1272">
        <f t="shared" si="838"/>
        <v>0</v>
      </c>
      <c r="AA1272">
        <f t="shared" si="839"/>
        <v>1</v>
      </c>
      <c r="AB1272">
        <f t="shared" si="840"/>
        <v>0</v>
      </c>
      <c r="AC1272">
        <f t="shared" si="841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35"/>
        <v>Y</v>
      </c>
      <c r="M1273">
        <v>8</v>
      </c>
      <c r="N1273" s="23" t="str">
        <f t="shared" si="818"/>
        <v/>
      </c>
      <c r="O1273" s="7" t="str">
        <f t="shared" si="819"/>
        <v>#</v>
      </c>
      <c r="P1273" s="7" t="str">
        <f t="shared" si="820"/>
        <v/>
      </c>
      <c r="Q1273" s="7" t="str">
        <f t="shared" si="821"/>
        <v>#</v>
      </c>
      <c r="R1273" s="17" t="str">
        <f t="shared" si="822"/>
        <v/>
      </c>
      <c r="S1273" s="8" t="str">
        <f t="shared" si="823"/>
        <v/>
      </c>
      <c r="T1273" s="2" t="str">
        <f t="shared" si="824"/>
        <v/>
      </c>
      <c r="U1273" s="2" t="str">
        <f t="shared" si="825"/>
        <v/>
      </c>
      <c r="V1273" t="str">
        <f t="shared" si="801"/>
        <v/>
      </c>
      <c r="X1273">
        <f t="shared" si="836"/>
        <v>0</v>
      </c>
      <c r="Y1273">
        <f t="shared" si="837"/>
        <v>0</v>
      </c>
      <c r="Z1273">
        <f t="shared" si="838"/>
        <v>0</v>
      </c>
      <c r="AA1273">
        <f t="shared" si="839"/>
        <v>0</v>
      </c>
      <c r="AB1273">
        <f t="shared" si="840"/>
        <v>0</v>
      </c>
      <c r="AC1273">
        <f t="shared" si="841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35"/>
        <v>Y</v>
      </c>
      <c r="M1274">
        <v>9</v>
      </c>
      <c r="N1274" s="23" t="str">
        <f t="shared" si="818"/>
        <v/>
      </c>
      <c r="O1274" s="7" t="str">
        <f t="shared" si="819"/>
        <v>#</v>
      </c>
      <c r="P1274" s="7" t="str">
        <f t="shared" si="820"/>
        <v>#</v>
      </c>
      <c r="Q1274" s="7" t="str">
        <f t="shared" si="821"/>
        <v>#</v>
      </c>
      <c r="R1274" s="17" t="str">
        <f t="shared" si="822"/>
        <v/>
      </c>
      <c r="S1274" s="8" t="str">
        <f t="shared" si="823"/>
        <v/>
      </c>
      <c r="T1274" s="2" t="str">
        <f t="shared" si="824"/>
        <v/>
      </c>
      <c r="U1274" s="2" t="str">
        <f t="shared" si="825"/>
        <v/>
      </c>
      <c r="V1274" t="str">
        <f t="shared" si="801"/>
        <v/>
      </c>
      <c r="X1274">
        <f t="shared" si="836"/>
        <v>0</v>
      </c>
      <c r="Y1274">
        <f t="shared" si="837"/>
        <v>0</v>
      </c>
      <c r="Z1274">
        <f t="shared" si="838"/>
        <v>1</v>
      </c>
      <c r="AA1274">
        <f t="shared" si="839"/>
        <v>0</v>
      </c>
      <c r="AB1274">
        <f t="shared" si="840"/>
        <v>0</v>
      </c>
      <c r="AC1274">
        <f t="shared" si="841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35"/>
        <v>Y</v>
      </c>
      <c r="M1275">
        <v>10</v>
      </c>
      <c r="N1275" s="23" t="str">
        <f t="shared" si="818"/>
        <v/>
      </c>
      <c r="O1275" s="7" t="str">
        <f t="shared" si="819"/>
        <v/>
      </c>
      <c r="P1275" s="7" t="str">
        <f t="shared" si="820"/>
        <v>#</v>
      </c>
      <c r="Q1275" s="7" t="str">
        <f t="shared" si="821"/>
        <v/>
      </c>
      <c r="R1275" s="17" t="str">
        <f t="shared" si="822"/>
        <v/>
      </c>
      <c r="S1275" s="8" t="str">
        <f t="shared" si="823"/>
        <v/>
      </c>
      <c r="T1275" s="2" t="str">
        <f t="shared" si="824"/>
        <v/>
      </c>
      <c r="U1275" s="2" t="str">
        <f t="shared" si="825"/>
        <v/>
      </c>
      <c r="V1275" t="str">
        <f t="shared" si="801"/>
        <v/>
      </c>
      <c r="X1275">
        <f t="shared" si="836"/>
        <v>0</v>
      </c>
      <c r="Y1275">
        <f t="shared" si="837"/>
        <v>0</v>
      </c>
      <c r="Z1275">
        <f t="shared" si="838"/>
        <v>0</v>
      </c>
      <c r="AA1275">
        <f t="shared" si="839"/>
        <v>0</v>
      </c>
      <c r="AB1275">
        <f t="shared" si="840"/>
        <v>0</v>
      </c>
      <c r="AC1275">
        <f t="shared" si="841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35"/>
        <v>Y</v>
      </c>
      <c r="M1276">
        <v>11</v>
      </c>
      <c r="N1276" s="23" t="str">
        <f t="shared" si="818"/>
        <v/>
      </c>
      <c r="O1276" s="7" t="str">
        <f t="shared" si="819"/>
        <v/>
      </c>
      <c r="P1276" s="7" t="str">
        <f t="shared" si="820"/>
        <v>#</v>
      </c>
      <c r="Q1276" s="7" t="str">
        <f t="shared" si="821"/>
        <v/>
      </c>
      <c r="R1276" s="17" t="str">
        <f t="shared" si="822"/>
        <v/>
      </c>
      <c r="S1276" s="8" t="str">
        <f t="shared" si="823"/>
        <v/>
      </c>
      <c r="T1276" s="2" t="str">
        <f t="shared" si="824"/>
        <v/>
      </c>
      <c r="U1276" s="2" t="str">
        <f t="shared" si="825"/>
        <v/>
      </c>
      <c r="V1276" t="str">
        <f t="shared" si="801"/>
        <v/>
      </c>
      <c r="X1276">
        <f t="shared" si="836"/>
        <v>0</v>
      </c>
      <c r="Y1276">
        <f t="shared" si="837"/>
        <v>0</v>
      </c>
      <c r="Z1276">
        <f t="shared" si="838"/>
        <v>0</v>
      </c>
      <c r="AA1276">
        <f t="shared" si="839"/>
        <v>0</v>
      </c>
      <c r="AB1276">
        <f t="shared" si="840"/>
        <v>0</v>
      </c>
      <c r="AC1276">
        <f t="shared" si="841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35"/>
        <v>Y</v>
      </c>
      <c r="M1277">
        <v>12</v>
      </c>
      <c r="N1277" s="23" t="str">
        <f t="shared" si="818"/>
        <v/>
      </c>
      <c r="O1277" s="7" t="str">
        <f t="shared" si="819"/>
        <v/>
      </c>
      <c r="P1277" s="7" t="str">
        <f t="shared" si="820"/>
        <v>#</v>
      </c>
      <c r="Q1277" s="7" t="str">
        <f t="shared" si="821"/>
        <v/>
      </c>
      <c r="R1277" s="17" t="str">
        <f t="shared" si="822"/>
        <v/>
      </c>
      <c r="S1277" s="8" t="str">
        <f t="shared" si="823"/>
        <v/>
      </c>
      <c r="T1277" s="2" t="str">
        <f t="shared" si="824"/>
        <v/>
      </c>
      <c r="U1277" s="2" t="str">
        <f t="shared" si="825"/>
        <v/>
      </c>
      <c r="V1277" t="str">
        <f t="shared" si="801"/>
        <v/>
      </c>
      <c r="X1277">
        <f t="shared" si="836"/>
        <v>0</v>
      </c>
      <c r="Y1277">
        <f t="shared" si="837"/>
        <v>0</v>
      </c>
      <c r="Z1277">
        <f t="shared" si="838"/>
        <v>0</v>
      </c>
      <c r="AA1277">
        <f t="shared" si="839"/>
        <v>0</v>
      </c>
      <c r="AB1277">
        <f t="shared" si="840"/>
        <v>0</v>
      </c>
      <c r="AC1277">
        <f t="shared" si="841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35"/>
        <v>Y</v>
      </c>
      <c r="M1278">
        <v>13</v>
      </c>
      <c r="N1278" s="6" t="str">
        <f t="shared" si="818"/>
        <v/>
      </c>
      <c r="O1278" s="7" t="str">
        <f t="shared" si="819"/>
        <v/>
      </c>
      <c r="P1278" s="7" t="str">
        <f t="shared" si="820"/>
        <v>#</v>
      </c>
      <c r="Q1278" s="7" t="str">
        <f t="shared" si="821"/>
        <v/>
      </c>
      <c r="R1278" s="17" t="str">
        <f t="shared" si="822"/>
        <v/>
      </c>
      <c r="S1278" s="8" t="str">
        <f t="shared" si="823"/>
        <v/>
      </c>
      <c r="T1278" s="2" t="str">
        <f t="shared" si="824"/>
        <v/>
      </c>
      <c r="U1278" s="2" t="str">
        <f t="shared" si="825"/>
        <v/>
      </c>
      <c r="V1278" t="str">
        <f t="shared" si="801"/>
        <v/>
      </c>
      <c r="X1278">
        <f t="shared" si="836"/>
        <v>0</v>
      </c>
      <c r="Y1278">
        <f t="shared" si="837"/>
        <v>0</v>
      </c>
      <c r="Z1278">
        <f t="shared" si="838"/>
        <v>0</v>
      </c>
      <c r="AA1278">
        <f t="shared" si="839"/>
        <v>0</v>
      </c>
      <c r="AB1278">
        <f t="shared" si="840"/>
        <v>0</v>
      </c>
      <c r="AC1278">
        <f t="shared" si="841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35"/>
        <v>Y</v>
      </c>
      <c r="M1279">
        <v>14</v>
      </c>
      <c r="N1279" s="18" t="str">
        <f t="shared" si="818"/>
        <v/>
      </c>
      <c r="O1279" s="19" t="str">
        <f t="shared" si="819"/>
        <v/>
      </c>
      <c r="P1279" s="19" t="str">
        <f t="shared" si="820"/>
        <v>#</v>
      </c>
      <c r="Q1279" s="19" t="str">
        <f t="shared" si="821"/>
        <v/>
      </c>
      <c r="R1279" s="20" t="str">
        <f t="shared" si="822"/>
        <v/>
      </c>
      <c r="S1279" s="8" t="str">
        <f t="shared" si="823"/>
        <v/>
      </c>
      <c r="T1279" s="2" t="str">
        <f t="shared" si="824"/>
        <v/>
      </c>
      <c r="U1279" s="2" t="str">
        <f t="shared" si="825"/>
        <v/>
      </c>
      <c r="V1279" t="str">
        <f t="shared" si="801"/>
        <v/>
      </c>
      <c r="X1279">
        <f t="shared" si="836"/>
        <v>0</v>
      </c>
      <c r="Y1279">
        <f t="shared" si="837"/>
        <v>0</v>
      </c>
      <c r="Z1279">
        <f t="shared" si="838"/>
        <v>0</v>
      </c>
      <c r="AA1279">
        <f t="shared" si="839"/>
        <v>0</v>
      </c>
      <c r="AB1279">
        <f t="shared" si="840"/>
        <v>0</v>
      </c>
      <c r="AC1279">
        <f t="shared" si="841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35"/>
        <v>Y</v>
      </c>
      <c r="M1280">
        <v>15</v>
      </c>
      <c r="N1280" s="9" t="str">
        <f t="shared" si="818"/>
        <v/>
      </c>
      <c r="O1280" s="10" t="str">
        <f t="shared" si="819"/>
        <v/>
      </c>
      <c r="P1280" s="10" t="str">
        <f t="shared" si="820"/>
        <v/>
      </c>
      <c r="Q1280" s="10" t="str">
        <f t="shared" si="821"/>
        <v/>
      </c>
      <c r="R1280" s="10" t="str">
        <f t="shared" si="822"/>
        <v/>
      </c>
      <c r="S1280" s="11" t="str">
        <f t="shared" si="823"/>
        <v/>
      </c>
      <c r="T1280" s="2" t="str">
        <f t="shared" si="824"/>
        <v/>
      </c>
      <c r="U1280" s="2" t="str">
        <f t="shared" si="825"/>
        <v/>
      </c>
      <c r="V1280" t="str">
        <f t="shared" si="801"/>
        <v/>
      </c>
      <c r="X1280">
        <f t="shared" si="836"/>
        <v>0</v>
      </c>
      <c r="Y1280">
        <f t="shared" si="837"/>
        <v>0</v>
      </c>
      <c r="Z1280">
        <f t="shared" si="838"/>
        <v>0</v>
      </c>
      <c r="AA1280">
        <f t="shared" si="839"/>
        <v>0</v>
      </c>
      <c r="AB1280">
        <f t="shared" si="840"/>
        <v>0</v>
      </c>
      <c r="AC1280">
        <f t="shared" si="841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35"/>
        <v>Y</v>
      </c>
      <c r="M1281">
        <v>16</v>
      </c>
      <c r="N1281" s="12" t="str">
        <f t="shared" si="818"/>
        <v/>
      </c>
      <c r="O1281" s="13" t="str">
        <f t="shared" si="819"/>
        <v/>
      </c>
      <c r="P1281" s="13" t="str">
        <f t="shared" si="820"/>
        <v/>
      </c>
      <c r="Q1281" s="13" t="str">
        <f t="shared" si="821"/>
        <v/>
      </c>
      <c r="R1281" s="13" t="str">
        <f t="shared" si="822"/>
        <v/>
      </c>
      <c r="S1281" s="14" t="str">
        <f t="shared" si="823"/>
        <v/>
      </c>
      <c r="T1281" s="2" t="str">
        <f t="shared" si="824"/>
        <v/>
      </c>
      <c r="U1281" s="2" t="str">
        <f t="shared" si="825"/>
        <v/>
      </c>
      <c r="V1281" t="str">
        <f t="shared" si="801"/>
        <v/>
      </c>
      <c r="X1281">
        <f t="shared" si="836"/>
        <v>0</v>
      </c>
      <c r="Y1281">
        <f t="shared" si="837"/>
        <v>0</v>
      </c>
      <c r="Z1281">
        <f t="shared" si="838"/>
        <v>0</v>
      </c>
      <c r="AA1281">
        <f t="shared" si="839"/>
        <v>0</v>
      </c>
      <c r="AB1281">
        <f t="shared" si="840"/>
        <v>0</v>
      </c>
      <c r="AC1281">
        <f t="shared" si="841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8"/>
        <v/>
      </c>
      <c r="O1282" t="str">
        <f t="shared" si="819"/>
        <v/>
      </c>
      <c r="P1282" t="str">
        <f t="shared" si="820"/>
        <v/>
      </c>
      <c r="Q1282" t="str">
        <f t="shared" si="821"/>
        <v/>
      </c>
      <c r="R1282" t="str">
        <f t="shared" si="822"/>
        <v/>
      </c>
      <c r="S1282" t="str">
        <f t="shared" si="823"/>
        <v/>
      </c>
      <c r="T1282" s="2" t="str">
        <f t="shared" si="824"/>
        <v/>
      </c>
      <c r="U1282" s="2" t="str">
        <f t="shared" si="825"/>
        <v/>
      </c>
      <c r="V1282" t="str">
        <f t="shared" ref="V1282:V1345" si="842">IF(A1282=0,"",M1282)</f>
        <v/>
      </c>
      <c r="W1282">
        <f>SUM(B1284:G1297)</f>
        <v>28</v>
      </c>
      <c r="AD1282">
        <f t="shared" ref="AD1282" si="843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44">L1282</f>
        <v>Z</v>
      </c>
      <c r="M1283">
        <v>2</v>
      </c>
      <c r="N1283" t="str">
        <f t="shared" si="818"/>
        <v/>
      </c>
      <c r="O1283" t="str">
        <f t="shared" si="819"/>
        <v/>
      </c>
      <c r="P1283" t="str">
        <f t="shared" si="820"/>
        <v/>
      </c>
      <c r="Q1283" t="str">
        <f t="shared" si="821"/>
        <v/>
      </c>
      <c r="R1283" t="str">
        <f t="shared" si="822"/>
        <v/>
      </c>
      <c r="S1283" t="str">
        <f t="shared" si="823"/>
        <v/>
      </c>
      <c r="T1283" s="2" t="str">
        <f t="shared" si="824"/>
        <v/>
      </c>
      <c r="U1283" s="2" t="str">
        <f t="shared" si="825"/>
        <v/>
      </c>
      <c r="V1283" t="str">
        <f t="shared" si="842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44"/>
        <v>Z</v>
      </c>
      <c r="M1284">
        <v>3</v>
      </c>
      <c r="N1284" s="3" t="str">
        <f t="shared" si="818"/>
        <v/>
      </c>
      <c r="O1284" s="4" t="str">
        <f t="shared" si="819"/>
        <v/>
      </c>
      <c r="P1284" s="4" t="str">
        <f t="shared" si="820"/>
        <v/>
      </c>
      <c r="Q1284" s="4" t="str">
        <f t="shared" si="821"/>
        <v/>
      </c>
      <c r="R1284" s="4" t="str">
        <f t="shared" si="822"/>
        <v/>
      </c>
      <c r="S1284" s="5" t="str">
        <f t="shared" si="823"/>
        <v/>
      </c>
      <c r="T1284" s="2" t="str">
        <f t="shared" si="824"/>
        <v/>
      </c>
      <c r="U1284" s="2" t="str">
        <f t="shared" si="825"/>
        <v/>
      </c>
      <c r="V1284" t="str">
        <f t="shared" si="842"/>
        <v/>
      </c>
      <c r="X1284">
        <f t="shared" ref="X1284:X1297" si="845">MAX(B1284-B1283,0)</f>
        <v>0</v>
      </c>
      <c r="Y1284">
        <f t="shared" ref="Y1284:Y1297" si="846">MAX(C1284-C1283,0)</f>
        <v>0</v>
      </c>
      <c r="Z1284">
        <f t="shared" ref="Z1284:Z1297" si="847">MAX(D1284-D1283,0)</f>
        <v>0</v>
      </c>
      <c r="AA1284">
        <f t="shared" ref="AA1284:AA1297" si="848">MAX(E1284-E1283,0)</f>
        <v>0</v>
      </c>
      <c r="AB1284">
        <f t="shared" ref="AB1284:AB1297" si="849">MAX(F1284-F1283,0)</f>
        <v>0</v>
      </c>
      <c r="AC1284">
        <f t="shared" ref="AC1284:AC1297" si="850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44"/>
        <v>Z</v>
      </c>
      <c r="M1285">
        <v>4</v>
      </c>
      <c r="N1285" s="6" t="str">
        <f t="shared" si="818"/>
        <v/>
      </c>
      <c r="O1285" s="7" t="str">
        <f t="shared" si="819"/>
        <v/>
      </c>
      <c r="P1285" s="7" t="str">
        <f t="shared" si="820"/>
        <v/>
      </c>
      <c r="Q1285" s="7" t="str">
        <f t="shared" si="821"/>
        <v/>
      </c>
      <c r="R1285" s="7" t="str">
        <f t="shared" si="822"/>
        <v/>
      </c>
      <c r="S1285" s="8" t="str">
        <f t="shared" si="823"/>
        <v/>
      </c>
      <c r="T1285" s="2" t="str">
        <f t="shared" si="824"/>
        <v/>
      </c>
      <c r="U1285" s="2" t="str">
        <f t="shared" si="825"/>
        <v/>
      </c>
      <c r="V1285" t="str">
        <f t="shared" si="842"/>
        <v/>
      </c>
      <c r="X1285">
        <f t="shared" si="845"/>
        <v>0</v>
      </c>
      <c r="Y1285">
        <f t="shared" si="846"/>
        <v>0</v>
      </c>
      <c r="Z1285">
        <f t="shared" si="847"/>
        <v>0</v>
      </c>
      <c r="AA1285">
        <f t="shared" si="848"/>
        <v>0</v>
      </c>
      <c r="AB1285">
        <f t="shared" si="849"/>
        <v>0</v>
      </c>
      <c r="AC1285">
        <f t="shared" si="850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44"/>
        <v>Z</v>
      </c>
      <c r="M1286">
        <v>5</v>
      </c>
      <c r="N1286" s="22" t="str">
        <f t="shared" si="818"/>
        <v>#</v>
      </c>
      <c r="O1286" s="15" t="str">
        <f t="shared" si="819"/>
        <v>#</v>
      </c>
      <c r="P1286" s="15" t="str">
        <f t="shared" si="820"/>
        <v>#</v>
      </c>
      <c r="Q1286" s="15" t="str">
        <f t="shared" si="821"/>
        <v>#</v>
      </c>
      <c r="R1286" s="16" t="str">
        <f t="shared" si="822"/>
        <v>#</v>
      </c>
      <c r="S1286" s="8" t="str">
        <f t="shared" si="823"/>
        <v/>
      </c>
      <c r="T1286" s="2" t="str">
        <f t="shared" si="824"/>
        <v/>
      </c>
      <c r="U1286" s="2" t="str">
        <f t="shared" si="825"/>
        <v/>
      </c>
      <c r="V1286" t="str">
        <f t="shared" si="842"/>
        <v/>
      </c>
      <c r="X1286">
        <f t="shared" si="845"/>
        <v>1</v>
      </c>
      <c r="Y1286">
        <f t="shared" si="846"/>
        <v>1</v>
      </c>
      <c r="Z1286">
        <f t="shared" si="847"/>
        <v>1</v>
      </c>
      <c r="AA1286">
        <f t="shared" si="848"/>
        <v>1</v>
      </c>
      <c r="AB1286">
        <f t="shared" si="849"/>
        <v>1</v>
      </c>
      <c r="AC1286">
        <f t="shared" si="850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44"/>
        <v>Z</v>
      </c>
      <c r="M1287">
        <v>6</v>
      </c>
      <c r="N1287" s="23" t="str">
        <f t="shared" si="818"/>
        <v>#</v>
      </c>
      <c r="O1287" s="7" t="str">
        <f t="shared" si="819"/>
        <v>#</v>
      </c>
      <c r="P1287" s="7" t="str">
        <f t="shared" si="820"/>
        <v>#</v>
      </c>
      <c r="Q1287" s="7" t="str">
        <f t="shared" si="821"/>
        <v>#</v>
      </c>
      <c r="R1287" s="17" t="str">
        <f t="shared" si="822"/>
        <v>#</v>
      </c>
      <c r="S1287" s="8" t="str">
        <f t="shared" si="823"/>
        <v/>
      </c>
      <c r="T1287" s="2" t="str">
        <f t="shared" si="824"/>
        <v/>
      </c>
      <c r="U1287" s="2" t="str">
        <f t="shared" si="825"/>
        <v/>
      </c>
      <c r="V1287" t="str">
        <f t="shared" si="842"/>
        <v/>
      </c>
      <c r="X1287">
        <f t="shared" si="845"/>
        <v>0</v>
      </c>
      <c r="Y1287">
        <f t="shared" si="846"/>
        <v>0</v>
      </c>
      <c r="Z1287">
        <f t="shared" si="847"/>
        <v>0</v>
      </c>
      <c r="AA1287">
        <f t="shared" si="848"/>
        <v>0</v>
      </c>
      <c r="AB1287">
        <f t="shared" si="849"/>
        <v>0</v>
      </c>
      <c r="AC1287">
        <f t="shared" si="850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44"/>
        <v>Z</v>
      </c>
      <c r="M1288">
        <v>7</v>
      </c>
      <c r="N1288" s="23" t="str">
        <f t="shared" si="818"/>
        <v/>
      </c>
      <c r="O1288" s="7" t="str">
        <f t="shared" si="819"/>
        <v/>
      </c>
      <c r="P1288" s="7" t="str">
        <f t="shared" si="820"/>
        <v/>
      </c>
      <c r="Q1288" s="7" t="str">
        <f t="shared" si="821"/>
        <v>#</v>
      </c>
      <c r="R1288" s="17" t="str">
        <f t="shared" si="822"/>
        <v/>
      </c>
      <c r="S1288" s="8" t="str">
        <f t="shared" si="823"/>
        <v/>
      </c>
      <c r="T1288" s="2" t="str">
        <f t="shared" si="824"/>
        <v/>
      </c>
      <c r="U1288" s="2" t="str">
        <f t="shared" si="825"/>
        <v/>
      </c>
      <c r="V1288" t="str">
        <f t="shared" si="842"/>
        <v/>
      </c>
      <c r="X1288">
        <f t="shared" si="845"/>
        <v>0</v>
      </c>
      <c r="Y1288">
        <f t="shared" si="846"/>
        <v>0</v>
      </c>
      <c r="Z1288">
        <f t="shared" si="847"/>
        <v>0</v>
      </c>
      <c r="AA1288">
        <f t="shared" si="848"/>
        <v>0</v>
      </c>
      <c r="AB1288">
        <f t="shared" si="849"/>
        <v>0</v>
      </c>
      <c r="AC1288">
        <f t="shared" si="850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44"/>
        <v>Z</v>
      </c>
      <c r="M1289">
        <v>8</v>
      </c>
      <c r="N1289" s="23" t="str">
        <f t="shared" si="818"/>
        <v/>
      </c>
      <c r="O1289" s="7" t="str">
        <f t="shared" si="819"/>
        <v/>
      </c>
      <c r="P1289" s="7" t="str">
        <f t="shared" si="820"/>
        <v/>
      </c>
      <c r="Q1289" s="7" t="str">
        <f t="shared" si="821"/>
        <v>#</v>
      </c>
      <c r="R1289" s="17" t="str">
        <f t="shared" si="822"/>
        <v/>
      </c>
      <c r="S1289" s="8" t="str">
        <f t="shared" si="823"/>
        <v/>
      </c>
      <c r="T1289" s="2" t="str">
        <f t="shared" si="824"/>
        <v/>
      </c>
      <c r="U1289" s="2" t="str">
        <f t="shared" si="825"/>
        <v/>
      </c>
      <c r="V1289" t="str">
        <f t="shared" si="842"/>
        <v/>
      </c>
      <c r="X1289">
        <f t="shared" si="845"/>
        <v>0</v>
      </c>
      <c r="Y1289">
        <f t="shared" si="846"/>
        <v>0</v>
      </c>
      <c r="Z1289">
        <f t="shared" si="847"/>
        <v>0</v>
      </c>
      <c r="AA1289">
        <f t="shared" si="848"/>
        <v>0</v>
      </c>
      <c r="AB1289">
        <f t="shared" si="849"/>
        <v>0</v>
      </c>
      <c r="AC1289">
        <f t="shared" si="850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44"/>
        <v>Z</v>
      </c>
      <c r="M1290">
        <v>9</v>
      </c>
      <c r="N1290" s="23" t="str">
        <f t="shared" si="818"/>
        <v/>
      </c>
      <c r="O1290" s="7" t="str">
        <f t="shared" si="819"/>
        <v/>
      </c>
      <c r="P1290" s="7" t="str">
        <f t="shared" si="820"/>
        <v>#</v>
      </c>
      <c r="Q1290" s="7" t="str">
        <f t="shared" si="821"/>
        <v>#</v>
      </c>
      <c r="R1290" s="17" t="str">
        <f t="shared" si="822"/>
        <v/>
      </c>
      <c r="S1290" s="8" t="str">
        <f t="shared" si="823"/>
        <v/>
      </c>
      <c r="T1290" s="2" t="str">
        <f t="shared" si="824"/>
        <v/>
      </c>
      <c r="U1290" s="2" t="str">
        <f t="shared" si="825"/>
        <v/>
      </c>
      <c r="V1290" t="str">
        <f t="shared" si="842"/>
        <v/>
      </c>
      <c r="X1290">
        <f t="shared" si="845"/>
        <v>0</v>
      </c>
      <c r="Y1290">
        <f t="shared" si="846"/>
        <v>0</v>
      </c>
      <c r="Z1290">
        <f t="shared" si="847"/>
        <v>1</v>
      </c>
      <c r="AA1290">
        <f t="shared" si="848"/>
        <v>0</v>
      </c>
      <c r="AB1290">
        <f t="shared" si="849"/>
        <v>0</v>
      </c>
      <c r="AC1290">
        <f t="shared" si="850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44"/>
        <v>Z</v>
      </c>
      <c r="M1291">
        <v>10</v>
      </c>
      <c r="N1291" s="23" t="str">
        <f t="shared" si="818"/>
        <v/>
      </c>
      <c r="O1291" s="7" t="str">
        <f t="shared" si="819"/>
        <v>#</v>
      </c>
      <c r="P1291" s="7" t="str">
        <f t="shared" si="820"/>
        <v>#</v>
      </c>
      <c r="Q1291" s="7" t="str">
        <f t="shared" si="821"/>
        <v/>
      </c>
      <c r="R1291" s="17" t="str">
        <f t="shared" si="822"/>
        <v/>
      </c>
      <c r="S1291" s="8" t="str">
        <f t="shared" si="823"/>
        <v/>
      </c>
      <c r="T1291" s="2" t="str">
        <f t="shared" si="824"/>
        <v/>
      </c>
      <c r="U1291" s="2" t="str">
        <f t="shared" si="825"/>
        <v/>
      </c>
      <c r="V1291" t="str">
        <f t="shared" si="842"/>
        <v/>
      </c>
      <c r="X1291">
        <f t="shared" si="845"/>
        <v>0</v>
      </c>
      <c r="Y1291">
        <f t="shared" si="846"/>
        <v>1</v>
      </c>
      <c r="Z1291">
        <f t="shared" si="847"/>
        <v>0</v>
      </c>
      <c r="AA1291">
        <f t="shared" si="848"/>
        <v>0</v>
      </c>
      <c r="AB1291">
        <f t="shared" si="849"/>
        <v>0</v>
      </c>
      <c r="AC1291">
        <f t="shared" si="850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44"/>
        <v>Z</v>
      </c>
      <c r="M1292">
        <v>11</v>
      </c>
      <c r="N1292" s="23" t="str">
        <f t="shared" si="818"/>
        <v/>
      </c>
      <c r="O1292" s="7" t="str">
        <f t="shared" si="819"/>
        <v>#</v>
      </c>
      <c r="P1292" s="7" t="str">
        <f t="shared" si="820"/>
        <v/>
      </c>
      <c r="Q1292" s="7" t="str">
        <f t="shared" si="821"/>
        <v/>
      </c>
      <c r="R1292" s="17" t="str">
        <f t="shared" si="822"/>
        <v/>
      </c>
      <c r="S1292" s="8" t="str">
        <f t="shared" si="823"/>
        <v/>
      </c>
      <c r="T1292" s="2" t="str">
        <f t="shared" si="824"/>
        <v/>
      </c>
      <c r="U1292" s="2" t="str">
        <f t="shared" si="825"/>
        <v/>
      </c>
      <c r="V1292" t="str">
        <f t="shared" si="842"/>
        <v/>
      </c>
      <c r="X1292">
        <f t="shared" si="845"/>
        <v>0</v>
      </c>
      <c r="Y1292">
        <f t="shared" si="846"/>
        <v>0</v>
      </c>
      <c r="Z1292">
        <f t="shared" si="847"/>
        <v>0</v>
      </c>
      <c r="AA1292">
        <f t="shared" si="848"/>
        <v>0</v>
      </c>
      <c r="AB1292">
        <f t="shared" si="849"/>
        <v>0</v>
      </c>
      <c r="AC1292">
        <f t="shared" si="850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44"/>
        <v>Z</v>
      </c>
      <c r="M1293">
        <v>12</v>
      </c>
      <c r="N1293" s="23" t="str">
        <f t="shared" si="818"/>
        <v/>
      </c>
      <c r="O1293" s="7" t="str">
        <f t="shared" si="819"/>
        <v>#</v>
      </c>
      <c r="P1293" s="7" t="str">
        <f t="shared" si="820"/>
        <v/>
      </c>
      <c r="Q1293" s="7" t="str">
        <f t="shared" si="821"/>
        <v/>
      </c>
      <c r="R1293" s="17" t="str">
        <f t="shared" si="822"/>
        <v/>
      </c>
      <c r="S1293" s="8" t="str">
        <f t="shared" si="823"/>
        <v/>
      </c>
      <c r="T1293" s="2" t="str">
        <f t="shared" si="824"/>
        <v/>
      </c>
      <c r="U1293" s="2" t="str">
        <f t="shared" si="825"/>
        <v/>
      </c>
      <c r="V1293" t="str">
        <f t="shared" si="842"/>
        <v/>
      </c>
      <c r="X1293">
        <f t="shared" si="845"/>
        <v>0</v>
      </c>
      <c r="Y1293">
        <f t="shared" si="846"/>
        <v>0</v>
      </c>
      <c r="Z1293">
        <f t="shared" si="847"/>
        <v>0</v>
      </c>
      <c r="AA1293">
        <f t="shared" si="848"/>
        <v>0</v>
      </c>
      <c r="AB1293">
        <f t="shared" si="849"/>
        <v>0</v>
      </c>
      <c r="AC1293">
        <f t="shared" si="850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44"/>
        <v>Z</v>
      </c>
      <c r="M1294">
        <v>13</v>
      </c>
      <c r="N1294" s="6" t="str">
        <f t="shared" si="818"/>
        <v>#</v>
      </c>
      <c r="O1294" s="7" t="str">
        <f t="shared" si="819"/>
        <v>#</v>
      </c>
      <c r="P1294" s="7" t="str">
        <f t="shared" si="820"/>
        <v>#</v>
      </c>
      <c r="Q1294" s="7" t="str">
        <f t="shared" si="821"/>
        <v>#</v>
      </c>
      <c r="R1294" s="17" t="str">
        <f t="shared" si="822"/>
        <v>#</v>
      </c>
      <c r="S1294" s="8" t="str">
        <f t="shared" si="823"/>
        <v/>
      </c>
      <c r="T1294" s="2" t="str">
        <f t="shared" si="824"/>
        <v/>
      </c>
      <c r="U1294" s="2" t="str">
        <f t="shared" si="825"/>
        <v/>
      </c>
      <c r="V1294" t="str">
        <f t="shared" si="842"/>
        <v/>
      </c>
      <c r="X1294">
        <f t="shared" si="845"/>
        <v>1</v>
      </c>
      <c r="Y1294">
        <f t="shared" si="846"/>
        <v>0</v>
      </c>
      <c r="Z1294">
        <f t="shared" si="847"/>
        <v>1</v>
      </c>
      <c r="AA1294">
        <f t="shared" si="848"/>
        <v>1</v>
      </c>
      <c r="AB1294">
        <f t="shared" si="849"/>
        <v>1</v>
      </c>
      <c r="AC1294">
        <f t="shared" si="850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44"/>
        <v>Z</v>
      </c>
      <c r="M1295">
        <v>14</v>
      </c>
      <c r="N1295" s="18" t="str">
        <f t="shared" si="818"/>
        <v>#</v>
      </c>
      <c r="O1295" s="19" t="str">
        <f t="shared" si="819"/>
        <v>#</v>
      </c>
      <c r="P1295" s="19" t="str">
        <f t="shared" si="820"/>
        <v>#</v>
      </c>
      <c r="Q1295" s="19" t="str">
        <f t="shared" si="821"/>
        <v>#</v>
      </c>
      <c r="R1295" s="20" t="str">
        <f t="shared" si="822"/>
        <v>#</v>
      </c>
      <c r="S1295" s="8" t="str">
        <f t="shared" si="823"/>
        <v/>
      </c>
      <c r="T1295" s="2" t="str">
        <f t="shared" si="824"/>
        <v/>
      </c>
      <c r="U1295" s="2" t="str">
        <f t="shared" si="825"/>
        <v/>
      </c>
      <c r="V1295" t="str">
        <f t="shared" si="842"/>
        <v/>
      </c>
      <c r="X1295">
        <f t="shared" si="845"/>
        <v>0</v>
      </c>
      <c r="Y1295">
        <f t="shared" si="846"/>
        <v>0</v>
      </c>
      <c r="Z1295">
        <f t="shared" si="847"/>
        <v>0</v>
      </c>
      <c r="AA1295">
        <f t="shared" si="848"/>
        <v>0</v>
      </c>
      <c r="AB1295">
        <f t="shared" si="849"/>
        <v>0</v>
      </c>
      <c r="AC1295">
        <f t="shared" si="850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44"/>
        <v>Z</v>
      </c>
      <c r="M1296">
        <v>15</v>
      </c>
      <c r="N1296" s="9" t="str">
        <f t="shared" si="818"/>
        <v/>
      </c>
      <c r="O1296" s="10" t="str">
        <f t="shared" si="819"/>
        <v/>
      </c>
      <c r="P1296" s="10" t="str">
        <f t="shared" si="820"/>
        <v/>
      </c>
      <c r="Q1296" s="10" t="str">
        <f t="shared" si="821"/>
        <v/>
      </c>
      <c r="R1296" s="10" t="str">
        <f t="shared" si="822"/>
        <v/>
      </c>
      <c r="S1296" s="11" t="str">
        <f t="shared" si="823"/>
        <v/>
      </c>
      <c r="T1296" s="2" t="str">
        <f t="shared" si="824"/>
        <v/>
      </c>
      <c r="U1296" s="2" t="str">
        <f t="shared" si="825"/>
        <v/>
      </c>
      <c r="V1296" t="str">
        <f t="shared" si="842"/>
        <v/>
      </c>
      <c r="X1296">
        <f t="shared" si="845"/>
        <v>0</v>
      </c>
      <c r="Y1296">
        <f t="shared" si="846"/>
        <v>0</v>
      </c>
      <c r="Z1296">
        <f t="shared" si="847"/>
        <v>0</v>
      </c>
      <c r="AA1296">
        <f t="shared" si="848"/>
        <v>0</v>
      </c>
      <c r="AB1296">
        <f t="shared" si="849"/>
        <v>0</v>
      </c>
      <c r="AC1296">
        <f t="shared" si="850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44"/>
        <v>Z</v>
      </c>
      <c r="M1297">
        <v>16</v>
      </c>
      <c r="N1297" s="12" t="str">
        <f t="shared" si="818"/>
        <v/>
      </c>
      <c r="O1297" s="13" t="str">
        <f t="shared" si="819"/>
        <v/>
      </c>
      <c r="P1297" s="13" t="str">
        <f t="shared" si="820"/>
        <v/>
      </c>
      <c r="Q1297" s="13" t="str">
        <f t="shared" si="821"/>
        <v/>
      </c>
      <c r="R1297" s="13" t="str">
        <f t="shared" si="822"/>
        <v/>
      </c>
      <c r="S1297" s="14" t="str">
        <f t="shared" si="823"/>
        <v/>
      </c>
      <c r="T1297" s="2" t="str">
        <f t="shared" si="824"/>
        <v/>
      </c>
      <c r="U1297" s="2" t="str">
        <f t="shared" si="825"/>
        <v/>
      </c>
      <c r="V1297" t="str">
        <f t="shared" si="842"/>
        <v/>
      </c>
      <c r="X1297">
        <f t="shared" si="845"/>
        <v>0</v>
      </c>
      <c r="Y1297">
        <f t="shared" si="846"/>
        <v>0</v>
      </c>
      <c r="Z1297">
        <f t="shared" si="847"/>
        <v>0</v>
      </c>
      <c r="AA1297">
        <f t="shared" si="848"/>
        <v>0</v>
      </c>
      <c r="AB1297">
        <f t="shared" si="849"/>
        <v>0</v>
      </c>
      <c r="AC1297">
        <f t="shared" si="850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8"/>
        <v/>
      </c>
      <c r="O1298" t="str">
        <f t="shared" si="819"/>
        <v/>
      </c>
      <c r="P1298" t="str">
        <f t="shared" si="820"/>
        <v/>
      </c>
      <c r="Q1298" t="str">
        <f t="shared" si="821"/>
        <v/>
      </c>
      <c r="R1298" t="str">
        <f t="shared" si="822"/>
        <v/>
      </c>
      <c r="S1298" t="str">
        <f t="shared" si="823"/>
        <v/>
      </c>
      <c r="T1298" s="2" t="str">
        <f t="shared" si="824"/>
        <v/>
      </c>
      <c r="U1298" s="2" t="str">
        <f t="shared" si="825"/>
        <v/>
      </c>
      <c r="V1298" t="str">
        <f t="shared" si="842"/>
        <v/>
      </c>
      <c r="W1298">
        <f>SUM(B1300:G1313)</f>
        <v>18</v>
      </c>
      <c r="AD1298">
        <f t="shared" ref="AD1298" si="851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52">L1298</f>
        <v>[</v>
      </c>
      <c r="M1299">
        <v>2</v>
      </c>
      <c r="N1299" t="str">
        <f t="shared" si="818"/>
        <v/>
      </c>
      <c r="O1299" t="str">
        <f t="shared" si="819"/>
        <v/>
      </c>
      <c r="P1299" t="str">
        <f t="shared" si="820"/>
        <v/>
      </c>
      <c r="Q1299" t="str">
        <f t="shared" si="821"/>
        <v/>
      </c>
      <c r="R1299" t="str">
        <f t="shared" si="822"/>
        <v/>
      </c>
      <c r="S1299" t="str">
        <f t="shared" si="823"/>
        <v/>
      </c>
      <c r="T1299" s="2" t="str">
        <f t="shared" si="824"/>
        <v/>
      </c>
      <c r="U1299" s="2" t="str">
        <f t="shared" si="825"/>
        <v/>
      </c>
      <c r="V1299" t="str">
        <f t="shared" si="842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52"/>
        <v>[</v>
      </c>
      <c r="M1300">
        <v>3</v>
      </c>
      <c r="N1300" s="3" t="str">
        <f t="shared" si="818"/>
        <v/>
      </c>
      <c r="O1300" s="4" t="str">
        <f t="shared" si="819"/>
        <v/>
      </c>
      <c r="P1300" s="4" t="str">
        <f t="shared" si="820"/>
        <v/>
      </c>
      <c r="Q1300" s="4" t="str">
        <f t="shared" si="821"/>
        <v/>
      </c>
      <c r="R1300" s="4" t="str">
        <f t="shared" si="822"/>
        <v/>
      </c>
      <c r="S1300" s="5" t="str">
        <f t="shared" si="823"/>
        <v/>
      </c>
      <c r="T1300" s="2" t="str">
        <f t="shared" si="824"/>
        <v/>
      </c>
      <c r="U1300" s="2" t="str">
        <f t="shared" si="825"/>
        <v/>
      </c>
      <c r="V1300" t="str">
        <f t="shared" si="842"/>
        <v/>
      </c>
      <c r="X1300">
        <f t="shared" ref="X1300:X1313" si="853">MAX(B1300-B1299,0)</f>
        <v>0</v>
      </c>
      <c r="Y1300">
        <f t="shared" ref="Y1300:Y1313" si="854">MAX(C1300-C1299,0)</f>
        <v>0</v>
      </c>
      <c r="Z1300">
        <f t="shared" ref="Z1300:Z1313" si="855">MAX(D1300-D1299,0)</f>
        <v>0</v>
      </c>
      <c r="AA1300">
        <f t="shared" ref="AA1300:AA1313" si="856">MAX(E1300-E1299,0)</f>
        <v>0</v>
      </c>
      <c r="AB1300">
        <f t="shared" ref="AB1300:AB1313" si="857">MAX(F1300-F1299,0)</f>
        <v>0</v>
      </c>
      <c r="AC1300">
        <f t="shared" ref="AC1300:AC1313" si="858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52"/>
        <v>[</v>
      </c>
      <c r="M1301">
        <v>4</v>
      </c>
      <c r="N1301" s="6" t="str">
        <f t="shared" si="818"/>
        <v/>
      </c>
      <c r="O1301" s="7" t="str">
        <f t="shared" si="819"/>
        <v/>
      </c>
      <c r="P1301" s="7" t="str">
        <f t="shared" si="820"/>
        <v/>
      </c>
      <c r="Q1301" s="7" t="str">
        <f t="shared" si="821"/>
        <v/>
      </c>
      <c r="R1301" s="7" t="str">
        <f t="shared" si="822"/>
        <v/>
      </c>
      <c r="S1301" s="8" t="str">
        <f t="shared" si="823"/>
        <v/>
      </c>
      <c r="T1301" s="2" t="str">
        <f t="shared" si="824"/>
        <v/>
      </c>
      <c r="U1301" s="2" t="str">
        <f t="shared" si="825"/>
        <v/>
      </c>
      <c r="V1301" t="str">
        <f t="shared" si="842"/>
        <v/>
      </c>
      <c r="X1301">
        <f t="shared" si="853"/>
        <v>0</v>
      </c>
      <c r="Y1301">
        <f t="shared" si="854"/>
        <v>0</v>
      </c>
      <c r="Z1301">
        <f t="shared" si="855"/>
        <v>0</v>
      </c>
      <c r="AA1301">
        <f t="shared" si="856"/>
        <v>0</v>
      </c>
      <c r="AB1301">
        <f t="shared" si="857"/>
        <v>0</v>
      </c>
      <c r="AC1301">
        <f t="shared" si="858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52"/>
        <v>[</v>
      </c>
      <c r="M1302">
        <v>5</v>
      </c>
      <c r="N1302" s="22" t="str">
        <f t="shared" si="818"/>
        <v>#</v>
      </c>
      <c r="O1302" s="15" t="str">
        <f t="shared" si="819"/>
        <v>#</v>
      </c>
      <c r="P1302" s="15" t="str">
        <f t="shared" si="820"/>
        <v>#</v>
      </c>
      <c r="Q1302" s="15" t="str">
        <f t="shared" si="821"/>
        <v/>
      </c>
      <c r="R1302" s="16" t="str">
        <f t="shared" si="822"/>
        <v/>
      </c>
      <c r="S1302" s="8" t="str">
        <f t="shared" si="823"/>
        <v/>
      </c>
      <c r="T1302" s="2" t="str">
        <f t="shared" si="824"/>
        <v/>
      </c>
      <c r="U1302" s="2" t="str">
        <f t="shared" si="825"/>
        <v/>
      </c>
      <c r="V1302" t="str">
        <f t="shared" si="842"/>
        <v/>
      </c>
      <c r="X1302">
        <f t="shared" si="853"/>
        <v>1</v>
      </c>
      <c r="Y1302">
        <f t="shared" si="854"/>
        <v>1</v>
      </c>
      <c r="Z1302">
        <f t="shared" si="855"/>
        <v>1</v>
      </c>
      <c r="AA1302">
        <f t="shared" si="856"/>
        <v>0</v>
      </c>
      <c r="AB1302">
        <f t="shared" si="857"/>
        <v>0</v>
      </c>
      <c r="AC1302">
        <f t="shared" si="858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52"/>
        <v>[</v>
      </c>
      <c r="M1303">
        <v>6</v>
      </c>
      <c r="N1303" s="23" t="str">
        <f t="shared" si="818"/>
        <v>#</v>
      </c>
      <c r="O1303" s="7" t="str">
        <f t="shared" si="819"/>
        <v>#</v>
      </c>
      <c r="P1303" s="7" t="str">
        <f t="shared" si="820"/>
        <v>#</v>
      </c>
      <c r="Q1303" s="7" t="str">
        <f t="shared" si="821"/>
        <v/>
      </c>
      <c r="R1303" s="17" t="str">
        <f t="shared" si="822"/>
        <v/>
      </c>
      <c r="S1303" s="8" t="str">
        <f t="shared" si="823"/>
        <v/>
      </c>
      <c r="T1303" s="2" t="str">
        <f t="shared" si="824"/>
        <v/>
      </c>
      <c r="U1303" s="2" t="str">
        <f t="shared" si="825"/>
        <v/>
      </c>
      <c r="V1303" t="str">
        <f t="shared" si="842"/>
        <v/>
      </c>
      <c r="X1303">
        <f t="shared" si="853"/>
        <v>0</v>
      </c>
      <c r="Y1303">
        <f t="shared" si="854"/>
        <v>0</v>
      </c>
      <c r="Z1303">
        <f t="shared" si="855"/>
        <v>0</v>
      </c>
      <c r="AA1303">
        <f t="shared" si="856"/>
        <v>0</v>
      </c>
      <c r="AB1303">
        <f t="shared" si="857"/>
        <v>0</v>
      </c>
      <c r="AC1303">
        <f t="shared" si="858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52"/>
        <v>[</v>
      </c>
      <c r="M1304">
        <v>7</v>
      </c>
      <c r="N1304" s="23" t="str">
        <f t="shared" si="818"/>
        <v>#</v>
      </c>
      <c r="O1304" s="7" t="str">
        <f t="shared" si="819"/>
        <v/>
      </c>
      <c r="P1304" s="7" t="str">
        <f t="shared" si="820"/>
        <v/>
      </c>
      <c r="Q1304" s="7" t="str">
        <f t="shared" si="821"/>
        <v/>
      </c>
      <c r="R1304" s="17" t="str">
        <f t="shared" si="822"/>
        <v/>
      </c>
      <c r="S1304" s="8" t="str">
        <f t="shared" si="823"/>
        <v/>
      </c>
      <c r="T1304" s="2" t="str">
        <f t="shared" si="824"/>
        <v/>
      </c>
      <c r="U1304" s="2" t="str">
        <f t="shared" si="825"/>
        <v/>
      </c>
      <c r="V1304" t="str">
        <f t="shared" si="842"/>
        <v/>
      </c>
      <c r="X1304">
        <f t="shared" si="853"/>
        <v>0</v>
      </c>
      <c r="Y1304">
        <f t="shared" si="854"/>
        <v>0</v>
      </c>
      <c r="Z1304">
        <f t="shared" si="855"/>
        <v>0</v>
      </c>
      <c r="AA1304">
        <f t="shared" si="856"/>
        <v>0</v>
      </c>
      <c r="AB1304">
        <f t="shared" si="857"/>
        <v>0</v>
      </c>
      <c r="AC1304">
        <f t="shared" si="858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52"/>
        <v>[</v>
      </c>
      <c r="M1305">
        <v>8</v>
      </c>
      <c r="N1305" s="23" t="str">
        <f t="shared" si="818"/>
        <v>#</v>
      </c>
      <c r="O1305" s="7" t="str">
        <f t="shared" si="819"/>
        <v/>
      </c>
      <c r="P1305" s="7" t="str">
        <f t="shared" si="820"/>
        <v/>
      </c>
      <c r="Q1305" s="7" t="str">
        <f t="shared" si="821"/>
        <v/>
      </c>
      <c r="R1305" s="17" t="str">
        <f t="shared" si="822"/>
        <v/>
      </c>
      <c r="S1305" s="8" t="str">
        <f t="shared" si="823"/>
        <v/>
      </c>
      <c r="T1305" s="2" t="str">
        <f t="shared" si="824"/>
        <v/>
      </c>
      <c r="U1305" s="2" t="str">
        <f t="shared" si="825"/>
        <v/>
      </c>
      <c r="V1305" t="str">
        <f t="shared" si="842"/>
        <v/>
      </c>
      <c r="X1305">
        <f t="shared" si="853"/>
        <v>0</v>
      </c>
      <c r="Y1305">
        <f t="shared" si="854"/>
        <v>0</v>
      </c>
      <c r="Z1305">
        <f t="shared" si="855"/>
        <v>0</v>
      </c>
      <c r="AA1305">
        <f t="shared" si="856"/>
        <v>0</v>
      </c>
      <c r="AB1305">
        <f t="shared" si="857"/>
        <v>0</v>
      </c>
      <c r="AC1305">
        <f t="shared" si="858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52"/>
        <v>[</v>
      </c>
      <c r="M1306">
        <v>9</v>
      </c>
      <c r="N1306" s="23" t="str">
        <f t="shared" si="818"/>
        <v>#</v>
      </c>
      <c r="O1306" s="7" t="str">
        <f t="shared" si="819"/>
        <v/>
      </c>
      <c r="P1306" s="7" t="str">
        <f t="shared" si="820"/>
        <v/>
      </c>
      <c r="Q1306" s="7" t="str">
        <f t="shared" si="821"/>
        <v/>
      </c>
      <c r="R1306" s="17" t="str">
        <f t="shared" si="822"/>
        <v/>
      </c>
      <c r="S1306" s="8" t="str">
        <f t="shared" si="823"/>
        <v/>
      </c>
      <c r="T1306" s="2" t="str">
        <f t="shared" si="824"/>
        <v/>
      </c>
      <c r="U1306" s="2" t="str">
        <f t="shared" si="825"/>
        <v/>
      </c>
      <c r="V1306" t="str">
        <f t="shared" si="842"/>
        <v/>
      </c>
      <c r="X1306">
        <f t="shared" si="853"/>
        <v>0</v>
      </c>
      <c r="Y1306">
        <f t="shared" si="854"/>
        <v>0</v>
      </c>
      <c r="Z1306">
        <f t="shared" si="855"/>
        <v>0</v>
      </c>
      <c r="AA1306">
        <f t="shared" si="856"/>
        <v>0</v>
      </c>
      <c r="AB1306">
        <f t="shared" si="857"/>
        <v>0</v>
      </c>
      <c r="AC1306">
        <f t="shared" si="858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52"/>
        <v>[</v>
      </c>
      <c r="M1307">
        <v>10</v>
      </c>
      <c r="N1307" s="23" t="str">
        <f t="shared" si="818"/>
        <v>#</v>
      </c>
      <c r="O1307" s="7" t="str">
        <f t="shared" si="819"/>
        <v/>
      </c>
      <c r="P1307" s="7" t="str">
        <f t="shared" si="820"/>
        <v/>
      </c>
      <c r="Q1307" s="7" t="str">
        <f t="shared" si="821"/>
        <v/>
      </c>
      <c r="R1307" s="17" t="str">
        <f t="shared" si="822"/>
        <v/>
      </c>
      <c r="S1307" s="8" t="str">
        <f t="shared" si="823"/>
        <v/>
      </c>
      <c r="T1307" s="2" t="str">
        <f t="shared" si="824"/>
        <v/>
      </c>
      <c r="U1307" s="2" t="str">
        <f t="shared" si="825"/>
        <v/>
      </c>
      <c r="V1307" t="str">
        <f t="shared" si="842"/>
        <v/>
      </c>
      <c r="X1307">
        <f t="shared" si="853"/>
        <v>0</v>
      </c>
      <c r="Y1307">
        <f t="shared" si="854"/>
        <v>0</v>
      </c>
      <c r="Z1307">
        <f t="shared" si="855"/>
        <v>0</v>
      </c>
      <c r="AA1307">
        <f t="shared" si="856"/>
        <v>0</v>
      </c>
      <c r="AB1307">
        <f t="shared" si="857"/>
        <v>0</v>
      </c>
      <c r="AC1307">
        <f t="shared" si="858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52"/>
        <v>[</v>
      </c>
      <c r="M1308">
        <v>11</v>
      </c>
      <c r="N1308" s="23" t="str">
        <f t="shared" si="818"/>
        <v>#</v>
      </c>
      <c r="O1308" s="7" t="str">
        <f t="shared" si="819"/>
        <v/>
      </c>
      <c r="P1308" s="7" t="str">
        <f t="shared" si="820"/>
        <v/>
      </c>
      <c r="Q1308" s="7" t="str">
        <f t="shared" si="821"/>
        <v/>
      </c>
      <c r="R1308" s="17" t="str">
        <f t="shared" si="822"/>
        <v/>
      </c>
      <c r="S1308" s="8" t="str">
        <f t="shared" si="823"/>
        <v/>
      </c>
      <c r="T1308" s="2" t="str">
        <f t="shared" si="824"/>
        <v/>
      </c>
      <c r="U1308" s="2" t="str">
        <f t="shared" si="825"/>
        <v/>
      </c>
      <c r="V1308" t="str">
        <f t="shared" si="842"/>
        <v/>
      </c>
      <c r="X1308">
        <f t="shared" si="853"/>
        <v>0</v>
      </c>
      <c r="Y1308">
        <f t="shared" si="854"/>
        <v>0</v>
      </c>
      <c r="Z1308">
        <f t="shared" si="855"/>
        <v>0</v>
      </c>
      <c r="AA1308">
        <f t="shared" si="856"/>
        <v>0</v>
      </c>
      <c r="AB1308">
        <f t="shared" si="857"/>
        <v>0</v>
      </c>
      <c r="AC1308">
        <f t="shared" si="858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52"/>
        <v>[</v>
      </c>
      <c r="M1309">
        <v>12</v>
      </c>
      <c r="N1309" s="23" t="str">
        <f t="shared" si="818"/>
        <v>#</v>
      </c>
      <c r="O1309" s="7" t="str">
        <f t="shared" si="819"/>
        <v/>
      </c>
      <c r="P1309" s="7" t="str">
        <f t="shared" si="820"/>
        <v/>
      </c>
      <c r="Q1309" s="7" t="str">
        <f t="shared" si="821"/>
        <v/>
      </c>
      <c r="R1309" s="17" t="str">
        <f t="shared" si="822"/>
        <v/>
      </c>
      <c r="S1309" s="8" t="str">
        <f t="shared" si="823"/>
        <v/>
      </c>
      <c r="T1309" s="2" t="str">
        <f t="shared" si="824"/>
        <v/>
      </c>
      <c r="U1309" s="2" t="str">
        <f t="shared" si="825"/>
        <v/>
      </c>
      <c r="V1309" t="str">
        <f t="shared" si="842"/>
        <v/>
      </c>
      <c r="X1309">
        <f t="shared" si="853"/>
        <v>0</v>
      </c>
      <c r="Y1309">
        <f t="shared" si="854"/>
        <v>0</v>
      </c>
      <c r="Z1309">
        <f t="shared" si="855"/>
        <v>0</v>
      </c>
      <c r="AA1309">
        <f t="shared" si="856"/>
        <v>0</v>
      </c>
      <c r="AB1309">
        <f t="shared" si="857"/>
        <v>0</v>
      </c>
      <c r="AC1309">
        <f t="shared" si="858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52"/>
        <v>[</v>
      </c>
      <c r="M1310">
        <v>13</v>
      </c>
      <c r="N1310" s="6" t="str">
        <f t="shared" si="818"/>
        <v>#</v>
      </c>
      <c r="O1310" s="7" t="str">
        <f t="shared" si="819"/>
        <v>#</v>
      </c>
      <c r="P1310" s="7" t="str">
        <f t="shared" si="820"/>
        <v>#</v>
      </c>
      <c r="Q1310" s="7" t="str">
        <f t="shared" si="821"/>
        <v/>
      </c>
      <c r="R1310" s="17" t="str">
        <f t="shared" si="822"/>
        <v/>
      </c>
      <c r="S1310" s="8" t="str">
        <f t="shared" si="823"/>
        <v/>
      </c>
      <c r="T1310" s="2" t="str">
        <f t="shared" si="824"/>
        <v/>
      </c>
      <c r="U1310" s="2" t="str">
        <f t="shared" si="825"/>
        <v/>
      </c>
      <c r="V1310" t="str">
        <f t="shared" si="842"/>
        <v/>
      </c>
      <c r="X1310">
        <f t="shared" si="853"/>
        <v>0</v>
      </c>
      <c r="Y1310">
        <f t="shared" si="854"/>
        <v>1</v>
      </c>
      <c r="Z1310">
        <f t="shared" si="855"/>
        <v>1</v>
      </c>
      <c r="AA1310">
        <f t="shared" si="856"/>
        <v>0</v>
      </c>
      <c r="AB1310">
        <f t="shared" si="857"/>
        <v>0</v>
      </c>
      <c r="AC1310">
        <f t="shared" si="858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52"/>
        <v>[</v>
      </c>
      <c r="M1311">
        <v>14</v>
      </c>
      <c r="N1311" s="18" t="str">
        <f t="shared" si="818"/>
        <v>#</v>
      </c>
      <c r="O1311" s="19" t="str">
        <f t="shared" si="819"/>
        <v>#</v>
      </c>
      <c r="P1311" s="19" t="str">
        <f t="shared" si="820"/>
        <v>#</v>
      </c>
      <c r="Q1311" s="19" t="str">
        <f t="shared" si="821"/>
        <v/>
      </c>
      <c r="R1311" s="20" t="str">
        <f t="shared" si="822"/>
        <v/>
      </c>
      <c r="S1311" s="8" t="str">
        <f t="shared" si="823"/>
        <v/>
      </c>
      <c r="T1311" s="2" t="str">
        <f t="shared" si="824"/>
        <v/>
      </c>
      <c r="U1311" s="2" t="str">
        <f t="shared" si="825"/>
        <v/>
      </c>
      <c r="V1311" t="str">
        <f t="shared" si="842"/>
        <v/>
      </c>
      <c r="X1311">
        <f t="shared" si="853"/>
        <v>0</v>
      </c>
      <c r="Y1311">
        <f t="shared" si="854"/>
        <v>0</v>
      </c>
      <c r="Z1311">
        <f t="shared" si="855"/>
        <v>0</v>
      </c>
      <c r="AA1311">
        <f t="shared" si="856"/>
        <v>0</v>
      </c>
      <c r="AB1311">
        <f t="shared" si="857"/>
        <v>0</v>
      </c>
      <c r="AC1311">
        <f t="shared" si="858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52"/>
        <v>[</v>
      </c>
      <c r="M1312">
        <v>15</v>
      </c>
      <c r="N1312" s="9" t="str">
        <f t="shared" si="818"/>
        <v/>
      </c>
      <c r="O1312" s="10" t="str">
        <f t="shared" si="819"/>
        <v/>
      </c>
      <c r="P1312" s="10" t="str">
        <f t="shared" si="820"/>
        <v/>
      </c>
      <c r="Q1312" s="10" t="str">
        <f t="shared" si="821"/>
        <v/>
      </c>
      <c r="R1312" s="10" t="str">
        <f t="shared" si="822"/>
        <v/>
      </c>
      <c r="S1312" s="11" t="str">
        <f t="shared" si="823"/>
        <v/>
      </c>
      <c r="T1312" s="2" t="str">
        <f t="shared" si="824"/>
        <v/>
      </c>
      <c r="U1312" s="2" t="str">
        <f t="shared" si="825"/>
        <v/>
      </c>
      <c r="V1312" t="str">
        <f t="shared" si="842"/>
        <v/>
      </c>
      <c r="X1312">
        <f t="shared" si="853"/>
        <v>0</v>
      </c>
      <c r="Y1312">
        <f t="shared" si="854"/>
        <v>0</v>
      </c>
      <c r="Z1312">
        <f t="shared" si="855"/>
        <v>0</v>
      </c>
      <c r="AA1312">
        <f t="shared" si="856"/>
        <v>0</v>
      </c>
      <c r="AB1312">
        <f t="shared" si="857"/>
        <v>0</v>
      </c>
      <c r="AC1312">
        <f t="shared" si="858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52"/>
        <v>[</v>
      </c>
      <c r="M1313">
        <v>16</v>
      </c>
      <c r="N1313" s="12" t="str">
        <f t="shared" si="818"/>
        <v/>
      </c>
      <c r="O1313" s="13" t="str">
        <f t="shared" si="819"/>
        <v/>
      </c>
      <c r="P1313" s="13" t="str">
        <f t="shared" si="820"/>
        <v/>
      </c>
      <c r="Q1313" s="13" t="str">
        <f t="shared" si="821"/>
        <v/>
      </c>
      <c r="R1313" s="13" t="str">
        <f t="shared" si="822"/>
        <v/>
      </c>
      <c r="S1313" s="14" t="str">
        <f t="shared" si="823"/>
        <v/>
      </c>
      <c r="T1313" s="2" t="str">
        <f t="shared" si="824"/>
        <v/>
      </c>
      <c r="U1313" s="2" t="str">
        <f t="shared" si="825"/>
        <v/>
      </c>
      <c r="V1313" t="str">
        <f t="shared" si="842"/>
        <v/>
      </c>
      <c r="X1313">
        <f t="shared" si="853"/>
        <v>0</v>
      </c>
      <c r="Y1313">
        <f t="shared" si="854"/>
        <v>0</v>
      </c>
      <c r="Z1313">
        <f t="shared" si="855"/>
        <v>0</v>
      </c>
      <c r="AA1313">
        <f t="shared" si="856"/>
        <v>0</v>
      </c>
      <c r="AB1313">
        <f t="shared" si="857"/>
        <v>0</v>
      </c>
      <c r="AC1313">
        <f t="shared" si="858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9">IF(B1314&gt;0,"#","")</f>
        <v/>
      </c>
      <c r="O1314" t="str">
        <f t="shared" ref="O1314:O1377" si="860">IF(C1314&gt;0,"#","")</f>
        <v/>
      </c>
      <c r="P1314" t="str">
        <f t="shared" ref="P1314:P1377" si="861">IF(D1314&gt;0,"#","")</f>
        <v/>
      </c>
      <c r="Q1314" t="str">
        <f t="shared" ref="Q1314:Q1377" si="862">IF(E1314&gt;0,"#","")</f>
        <v/>
      </c>
      <c r="R1314" t="str">
        <f t="shared" ref="R1314:R1377" si="863">IF(F1314&gt;0,"#","")</f>
        <v/>
      </c>
      <c r="S1314" t="str">
        <f t="shared" ref="S1314:S1377" si="864">IF(G1314&gt;0,"#","")</f>
        <v/>
      </c>
      <c r="T1314" s="2" t="str">
        <f t="shared" ref="T1314:T1377" si="865">IF(H1314&gt;0,"#","")</f>
        <v/>
      </c>
      <c r="U1314" s="2" t="str">
        <f t="shared" ref="U1314:U1377" si="866">IF(I1314&gt;0,"#","")</f>
        <v/>
      </c>
      <c r="V1314" t="str">
        <f t="shared" si="842"/>
        <v/>
      </c>
      <c r="W1314">
        <f>SUM(B1316:G1329)</f>
        <v>15</v>
      </c>
      <c r="AD1314">
        <f t="shared" ref="AD1314" si="867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8">L1314</f>
        <v>\</v>
      </c>
      <c r="M1315">
        <v>2</v>
      </c>
      <c r="N1315" t="str">
        <f t="shared" si="859"/>
        <v/>
      </c>
      <c r="O1315" t="str">
        <f t="shared" si="860"/>
        <v/>
      </c>
      <c r="P1315" t="str">
        <f t="shared" si="861"/>
        <v/>
      </c>
      <c r="Q1315" t="str">
        <f t="shared" si="862"/>
        <v/>
      </c>
      <c r="R1315" t="str">
        <f t="shared" si="863"/>
        <v/>
      </c>
      <c r="S1315" t="str">
        <f t="shared" si="864"/>
        <v/>
      </c>
      <c r="T1315" s="2" t="str">
        <f t="shared" si="865"/>
        <v/>
      </c>
      <c r="U1315" s="2" t="str">
        <f t="shared" si="866"/>
        <v/>
      </c>
      <c r="V1315" t="str">
        <f t="shared" si="842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8"/>
        <v>\</v>
      </c>
      <c r="M1316">
        <v>3</v>
      </c>
      <c r="N1316" s="3" t="str">
        <f t="shared" si="859"/>
        <v/>
      </c>
      <c r="O1316" s="4" t="str">
        <f t="shared" si="860"/>
        <v/>
      </c>
      <c r="P1316" s="4" t="str">
        <f t="shared" si="861"/>
        <v/>
      </c>
      <c r="Q1316" s="4" t="str">
        <f t="shared" si="862"/>
        <v/>
      </c>
      <c r="R1316" s="4" t="str">
        <f t="shared" si="863"/>
        <v/>
      </c>
      <c r="S1316" s="5" t="str">
        <f t="shared" si="864"/>
        <v/>
      </c>
      <c r="T1316" s="2" t="str">
        <f t="shared" si="865"/>
        <v/>
      </c>
      <c r="U1316" s="2" t="str">
        <f t="shared" si="866"/>
        <v/>
      </c>
      <c r="V1316" t="str">
        <f t="shared" si="842"/>
        <v/>
      </c>
      <c r="X1316">
        <f t="shared" ref="X1316:X1329" si="869">MAX(B1316-B1315,0)</f>
        <v>0</v>
      </c>
      <c r="Y1316">
        <f t="shared" ref="Y1316:Y1329" si="870">MAX(C1316-C1315,0)</f>
        <v>0</v>
      </c>
      <c r="Z1316">
        <f t="shared" ref="Z1316:Z1329" si="871">MAX(D1316-D1315,0)</f>
        <v>0</v>
      </c>
      <c r="AA1316">
        <f t="shared" ref="AA1316:AA1329" si="872">MAX(E1316-E1315,0)</f>
        <v>0</v>
      </c>
      <c r="AB1316">
        <f t="shared" ref="AB1316:AB1329" si="873">MAX(F1316-F1315,0)</f>
        <v>0</v>
      </c>
      <c r="AC1316">
        <f t="shared" ref="AC1316:AC1329" si="874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8"/>
        <v>\</v>
      </c>
      <c r="M1317">
        <v>4</v>
      </c>
      <c r="N1317" s="6" t="str">
        <f t="shared" si="859"/>
        <v>#</v>
      </c>
      <c r="O1317" s="7" t="str">
        <f t="shared" si="860"/>
        <v/>
      </c>
      <c r="P1317" s="7" t="str">
        <f t="shared" si="861"/>
        <v/>
      </c>
      <c r="Q1317" s="7" t="str">
        <f t="shared" si="862"/>
        <v/>
      </c>
      <c r="R1317" s="7" t="str">
        <f t="shared" si="863"/>
        <v/>
      </c>
      <c r="S1317" s="8" t="str">
        <f t="shared" si="864"/>
        <v/>
      </c>
      <c r="T1317" s="2" t="str">
        <f t="shared" si="865"/>
        <v/>
      </c>
      <c r="U1317" s="2" t="str">
        <f t="shared" si="866"/>
        <v/>
      </c>
      <c r="V1317" t="str">
        <f t="shared" si="842"/>
        <v/>
      </c>
      <c r="X1317">
        <f t="shared" si="869"/>
        <v>1</v>
      </c>
      <c r="Y1317">
        <f t="shared" si="870"/>
        <v>0</v>
      </c>
      <c r="Z1317">
        <f t="shared" si="871"/>
        <v>0</v>
      </c>
      <c r="AA1317">
        <f t="shared" si="872"/>
        <v>0</v>
      </c>
      <c r="AB1317">
        <f t="shared" si="873"/>
        <v>0</v>
      </c>
      <c r="AC1317">
        <f t="shared" si="874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8"/>
        <v>\</v>
      </c>
      <c r="M1318">
        <v>5</v>
      </c>
      <c r="N1318" s="22" t="str">
        <f t="shared" si="859"/>
        <v>#</v>
      </c>
      <c r="O1318" s="15" t="str">
        <f t="shared" si="860"/>
        <v/>
      </c>
      <c r="P1318" s="15" t="str">
        <f t="shared" si="861"/>
        <v/>
      </c>
      <c r="Q1318" s="15" t="str">
        <f t="shared" si="862"/>
        <v/>
      </c>
      <c r="R1318" s="16" t="str">
        <f t="shared" si="863"/>
        <v/>
      </c>
      <c r="S1318" s="8" t="str">
        <f t="shared" si="864"/>
        <v/>
      </c>
      <c r="T1318" s="2" t="str">
        <f t="shared" si="865"/>
        <v/>
      </c>
      <c r="U1318" s="2" t="str">
        <f t="shared" si="866"/>
        <v/>
      </c>
      <c r="V1318" t="str">
        <f t="shared" si="842"/>
        <v/>
      </c>
      <c r="X1318">
        <f t="shared" si="869"/>
        <v>0</v>
      </c>
      <c r="Y1318">
        <f t="shared" si="870"/>
        <v>0</v>
      </c>
      <c r="Z1318">
        <f t="shared" si="871"/>
        <v>0</v>
      </c>
      <c r="AA1318">
        <f t="shared" si="872"/>
        <v>0</v>
      </c>
      <c r="AB1318">
        <f t="shared" si="873"/>
        <v>0</v>
      </c>
      <c r="AC1318">
        <f t="shared" si="874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8"/>
        <v>\</v>
      </c>
      <c r="M1319">
        <v>6</v>
      </c>
      <c r="N1319" s="23" t="str">
        <f t="shared" si="859"/>
        <v>#</v>
      </c>
      <c r="O1319" s="7" t="str">
        <f t="shared" si="860"/>
        <v>#</v>
      </c>
      <c r="P1319" s="7" t="str">
        <f t="shared" si="861"/>
        <v/>
      </c>
      <c r="Q1319" s="7" t="str">
        <f t="shared" si="862"/>
        <v/>
      </c>
      <c r="R1319" s="17" t="str">
        <f t="shared" si="863"/>
        <v/>
      </c>
      <c r="S1319" s="8" t="str">
        <f t="shared" si="864"/>
        <v/>
      </c>
      <c r="T1319" s="2" t="str">
        <f t="shared" si="865"/>
        <v/>
      </c>
      <c r="U1319" s="2" t="str">
        <f t="shared" si="866"/>
        <v/>
      </c>
      <c r="V1319" t="str">
        <f t="shared" si="842"/>
        <v/>
      </c>
      <c r="X1319">
        <f t="shared" si="869"/>
        <v>0</v>
      </c>
      <c r="Y1319">
        <f t="shared" si="870"/>
        <v>1</v>
      </c>
      <c r="Z1319">
        <f t="shared" si="871"/>
        <v>0</v>
      </c>
      <c r="AA1319">
        <f t="shared" si="872"/>
        <v>0</v>
      </c>
      <c r="AB1319">
        <f t="shared" si="873"/>
        <v>0</v>
      </c>
      <c r="AC1319">
        <f t="shared" si="874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8"/>
        <v>\</v>
      </c>
      <c r="M1320">
        <v>7</v>
      </c>
      <c r="N1320" s="23" t="str">
        <f t="shared" si="859"/>
        <v/>
      </c>
      <c r="O1320" s="7" t="str">
        <f t="shared" si="860"/>
        <v>#</v>
      </c>
      <c r="P1320" s="7" t="str">
        <f t="shared" si="861"/>
        <v/>
      </c>
      <c r="Q1320" s="7" t="str">
        <f t="shared" si="862"/>
        <v/>
      </c>
      <c r="R1320" s="17" t="str">
        <f t="shared" si="863"/>
        <v/>
      </c>
      <c r="S1320" s="8" t="str">
        <f t="shared" si="864"/>
        <v/>
      </c>
      <c r="T1320" s="2" t="str">
        <f t="shared" si="865"/>
        <v/>
      </c>
      <c r="U1320" s="2" t="str">
        <f t="shared" si="866"/>
        <v/>
      </c>
      <c r="V1320" t="str">
        <f t="shared" si="842"/>
        <v/>
      </c>
      <c r="X1320">
        <f t="shared" si="869"/>
        <v>0</v>
      </c>
      <c r="Y1320">
        <f t="shared" si="870"/>
        <v>0</v>
      </c>
      <c r="Z1320">
        <f t="shared" si="871"/>
        <v>0</v>
      </c>
      <c r="AA1320">
        <f t="shared" si="872"/>
        <v>0</v>
      </c>
      <c r="AB1320">
        <f t="shared" si="873"/>
        <v>0</v>
      </c>
      <c r="AC1320">
        <f t="shared" si="874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8"/>
        <v>\</v>
      </c>
      <c r="M1321">
        <v>8</v>
      </c>
      <c r="N1321" s="23" t="str">
        <f t="shared" si="859"/>
        <v/>
      </c>
      <c r="O1321" s="7" t="str">
        <f t="shared" si="860"/>
        <v>#</v>
      </c>
      <c r="P1321" s="7" t="str">
        <f t="shared" si="861"/>
        <v>#</v>
      </c>
      <c r="Q1321" s="7" t="str">
        <f t="shared" si="862"/>
        <v/>
      </c>
      <c r="R1321" s="17" t="str">
        <f t="shared" si="863"/>
        <v/>
      </c>
      <c r="S1321" s="8" t="str">
        <f t="shared" si="864"/>
        <v/>
      </c>
      <c r="T1321" s="2" t="str">
        <f t="shared" si="865"/>
        <v/>
      </c>
      <c r="U1321" s="2" t="str">
        <f t="shared" si="866"/>
        <v/>
      </c>
      <c r="V1321" t="str">
        <f t="shared" si="842"/>
        <v/>
      </c>
      <c r="X1321">
        <f t="shared" si="869"/>
        <v>0</v>
      </c>
      <c r="Y1321">
        <f t="shared" si="870"/>
        <v>0</v>
      </c>
      <c r="Z1321">
        <f t="shared" si="871"/>
        <v>1</v>
      </c>
      <c r="AA1321">
        <f t="shared" si="872"/>
        <v>0</v>
      </c>
      <c r="AB1321">
        <f t="shared" si="873"/>
        <v>0</v>
      </c>
      <c r="AC1321">
        <f t="shared" si="874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8"/>
        <v>\</v>
      </c>
      <c r="M1322">
        <v>9</v>
      </c>
      <c r="N1322" s="23" t="str">
        <f t="shared" si="859"/>
        <v/>
      </c>
      <c r="O1322" s="7" t="str">
        <f t="shared" si="860"/>
        <v/>
      </c>
      <c r="P1322" s="7" t="str">
        <f t="shared" si="861"/>
        <v>#</v>
      </c>
      <c r="Q1322" s="7" t="str">
        <f t="shared" si="862"/>
        <v/>
      </c>
      <c r="R1322" s="17" t="str">
        <f t="shared" si="863"/>
        <v/>
      </c>
      <c r="S1322" s="8" t="str">
        <f t="shared" si="864"/>
        <v/>
      </c>
      <c r="T1322" s="2" t="str">
        <f t="shared" si="865"/>
        <v/>
      </c>
      <c r="U1322" s="2" t="str">
        <f t="shared" si="866"/>
        <v/>
      </c>
      <c r="V1322" t="str">
        <f t="shared" si="842"/>
        <v/>
      </c>
      <c r="X1322">
        <f t="shared" si="869"/>
        <v>0</v>
      </c>
      <c r="Y1322">
        <f t="shared" si="870"/>
        <v>0</v>
      </c>
      <c r="Z1322">
        <f t="shared" si="871"/>
        <v>0</v>
      </c>
      <c r="AA1322">
        <f t="shared" si="872"/>
        <v>0</v>
      </c>
      <c r="AB1322">
        <f t="shared" si="873"/>
        <v>0</v>
      </c>
      <c r="AC1322">
        <f t="shared" si="874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8"/>
        <v>\</v>
      </c>
      <c r="M1323">
        <v>10</v>
      </c>
      <c r="N1323" s="23" t="str">
        <f t="shared" si="859"/>
        <v/>
      </c>
      <c r="O1323" s="7" t="str">
        <f t="shared" si="860"/>
        <v/>
      </c>
      <c r="P1323" s="7" t="str">
        <f t="shared" si="861"/>
        <v>#</v>
      </c>
      <c r="Q1323" s="7" t="str">
        <f t="shared" si="862"/>
        <v>#</v>
      </c>
      <c r="R1323" s="17" t="str">
        <f t="shared" si="863"/>
        <v/>
      </c>
      <c r="S1323" s="8" t="str">
        <f t="shared" si="864"/>
        <v/>
      </c>
      <c r="T1323" s="2" t="str">
        <f t="shared" si="865"/>
        <v/>
      </c>
      <c r="U1323" s="2" t="str">
        <f t="shared" si="866"/>
        <v/>
      </c>
      <c r="V1323" t="str">
        <f t="shared" si="842"/>
        <v/>
      </c>
      <c r="X1323">
        <f t="shared" si="869"/>
        <v>0</v>
      </c>
      <c r="Y1323">
        <f t="shared" si="870"/>
        <v>0</v>
      </c>
      <c r="Z1323">
        <f t="shared" si="871"/>
        <v>0</v>
      </c>
      <c r="AA1323">
        <f t="shared" si="872"/>
        <v>1</v>
      </c>
      <c r="AB1323">
        <f t="shared" si="873"/>
        <v>0</v>
      </c>
      <c r="AC1323">
        <f t="shared" si="874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8"/>
        <v>\</v>
      </c>
      <c r="M1324">
        <v>11</v>
      </c>
      <c r="N1324" s="23" t="str">
        <f t="shared" si="859"/>
        <v/>
      </c>
      <c r="O1324" s="7" t="str">
        <f t="shared" si="860"/>
        <v/>
      </c>
      <c r="P1324" s="7" t="str">
        <f t="shared" si="861"/>
        <v/>
      </c>
      <c r="Q1324" s="7" t="str">
        <f t="shared" si="862"/>
        <v>#</v>
      </c>
      <c r="R1324" s="17" t="str">
        <f t="shared" si="863"/>
        <v/>
      </c>
      <c r="S1324" s="8" t="str">
        <f t="shared" si="864"/>
        <v/>
      </c>
      <c r="T1324" s="2" t="str">
        <f t="shared" si="865"/>
        <v/>
      </c>
      <c r="U1324" s="2" t="str">
        <f t="shared" si="866"/>
        <v/>
      </c>
      <c r="V1324" t="str">
        <f t="shared" si="842"/>
        <v/>
      </c>
      <c r="X1324">
        <f t="shared" si="869"/>
        <v>0</v>
      </c>
      <c r="Y1324">
        <f t="shared" si="870"/>
        <v>0</v>
      </c>
      <c r="Z1324">
        <f t="shared" si="871"/>
        <v>0</v>
      </c>
      <c r="AA1324">
        <f t="shared" si="872"/>
        <v>0</v>
      </c>
      <c r="AB1324">
        <f t="shared" si="873"/>
        <v>0</v>
      </c>
      <c r="AC1324">
        <f t="shared" si="874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8"/>
        <v>\</v>
      </c>
      <c r="M1325">
        <v>12</v>
      </c>
      <c r="N1325" s="23" t="str">
        <f t="shared" si="859"/>
        <v/>
      </c>
      <c r="O1325" s="7" t="str">
        <f t="shared" si="860"/>
        <v/>
      </c>
      <c r="P1325" s="7" t="str">
        <f t="shared" si="861"/>
        <v/>
      </c>
      <c r="Q1325" s="7" t="str">
        <f t="shared" si="862"/>
        <v>#</v>
      </c>
      <c r="R1325" s="17" t="str">
        <f t="shared" si="863"/>
        <v>#</v>
      </c>
      <c r="S1325" s="8" t="str">
        <f t="shared" si="864"/>
        <v/>
      </c>
      <c r="T1325" s="2" t="str">
        <f t="shared" si="865"/>
        <v/>
      </c>
      <c r="U1325" s="2" t="str">
        <f t="shared" si="866"/>
        <v/>
      </c>
      <c r="V1325" t="str">
        <f t="shared" si="842"/>
        <v/>
      </c>
      <c r="X1325">
        <f t="shared" si="869"/>
        <v>0</v>
      </c>
      <c r="Y1325">
        <f t="shared" si="870"/>
        <v>0</v>
      </c>
      <c r="Z1325">
        <f t="shared" si="871"/>
        <v>0</v>
      </c>
      <c r="AA1325">
        <f t="shared" si="872"/>
        <v>0</v>
      </c>
      <c r="AB1325">
        <f t="shared" si="873"/>
        <v>1</v>
      </c>
      <c r="AC1325">
        <f t="shared" si="874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8"/>
        <v>\</v>
      </c>
      <c r="M1326">
        <v>13</v>
      </c>
      <c r="N1326" s="6" t="str">
        <f t="shared" si="859"/>
        <v/>
      </c>
      <c r="O1326" s="7" t="str">
        <f t="shared" si="860"/>
        <v/>
      </c>
      <c r="P1326" s="7" t="str">
        <f t="shared" si="861"/>
        <v/>
      </c>
      <c r="Q1326" s="7" t="str">
        <f t="shared" si="862"/>
        <v/>
      </c>
      <c r="R1326" s="17" t="str">
        <f t="shared" si="863"/>
        <v>#</v>
      </c>
      <c r="S1326" s="8" t="str">
        <f t="shared" si="864"/>
        <v/>
      </c>
      <c r="T1326" s="2" t="str">
        <f t="shared" si="865"/>
        <v/>
      </c>
      <c r="U1326" s="2" t="str">
        <f t="shared" si="866"/>
        <v/>
      </c>
      <c r="V1326" t="str">
        <f t="shared" si="842"/>
        <v/>
      </c>
      <c r="X1326">
        <f t="shared" si="869"/>
        <v>0</v>
      </c>
      <c r="Y1326">
        <f t="shared" si="870"/>
        <v>0</v>
      </c>
      <c r="Z1326">
        <f t="shared" si="871"/>
        <v>0</v>
      </c>
      <c r="AA1326">
        <f t="shared" si="872"/>
        <v>0</v>
      </c>
      <c r="AB1326">
        <f t="shared" si="873"/>
        <v>0</v>
      </c>
      <c r="AC1326">
        <f t="shared" si="874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8"/>
        <v>\</v>
      </c>
      <c r="M1327">
        <v>14</v>
      </c>
      <c r="N1327" s="18" t="str">
        <f t="shared" si="859"/>
        <v/>
      </c>
      <c r="O1327" s="19" t="str">
        <f t="shared" si="860"/>
        <v/>
      </c>
      <c r="P1327" s="19" t="str">
        <f t="shared" si="861"/>
        <v/>
      </c>
      <c r="Q1327" s="19" t="str">
        <f t="shared" si="862"/>
        <v/>
      </c>
      <c r="R1327" s="20" t="str">
        <f t="shared" si="863"/>
        <v>#</v>
      </c>
      <c r="S1327" s="8" t="str">
        <f t="shared" si="864"/>
        <v/>
      </c>
      <c r="T1327" s="2" t="str">
        <f t="shared" si="865"/>
        <v/>
      </c>
      <c r="U1327" s="2" t="str">
        <f t="shared" si="866"/>
        <v/>
      </c>
      <c r="V1327" t="str">
        <f t="shared" si="842"/>
        <v/>
      </c>
      <c r="X1327">
        <f t="shared" si="869"/>
        <v>0</v>
      </c>
      <c r="Y1327">
        <f t="shared" si="870"/>
        <v>0</v>
      </c>
      <c r="Z1327">
        <f t="shared" si="871"/>
        <v>0</v>
      </c>
      <c r="AA1327">
        <f t="shared" si="872"/>
        <v>0</v>
      </c>
      <c r="AB1327">
        <f t="shared" si="873"/>
        <v>0</v>
      </c>
      <c r="AC1327">
        <f t="shared" si="874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8"/>
        <v>\</v>
      </c>
      <c r="M1328">
        <v>15</v>
      </c>
      <c r="N1328" s="9" t="str">
        <f t="shared" si="859"/>
        <v/>
      </c>
      <c r="O1328" s="10" t="str">
        <f t="shared" si="860"/>
        <v/>
      </c>
      <c r="P1328" s="10" t="str">
        <f t="shared" si="861"/>
        <v/>
      </c>
      <c r="Q1328" s="10" t="str">
        <f t="shared" si="862"/>
        <v/>
      </c>
      <c r="R1328" s="10" t="str">
        <f t="shared" si="863"/>
        <v/>
      </c>
      <c r="S1328" s="11" t="str">
        <f t="shared" si="864"/>
        <v/>
      </c>
      <c r="T1328" s="2" t="str">
        <f t="shared" si="865"/>
        <v/>
      </c>
      <c r="U1328" s="2" t="str">
        <f t="shared" si="866"/>
        <v/>
      </c>
      <c r="V1328" t="str">
        <f t="shared" si="842"/>
        <v/>
      </c>
      <c r="X1328">
        <f t="shared" si="869"/>
        <v>0</v>
      </c>
      <c r="Y1328">
        <f t="shared" si="870"/>
        <v>0</v>
      </c>
      <c r="Z1328">
        <f t="shared" si="871"/>
        <v>0</v>
      </c>
      <c r="AA1328">
        <f t="shared" si="872"/>
        <v>0</v>
      </c>
      <c r="AB1328">
        <f t="shared" si="873"/>
        <v>0</v>
      </c>
      <c r="AC1328">
        <f t="shared" si="874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8"/>
        <v>\</v>
      </c>
      <c r="M1329">
        <v>16</v>
      </c>
      <c r="N1329" s="12" t="str">
        <f t="shared" si="859"/>
        <v/>
      </c>
      <c r="O1329" s="13" t="str">
        <f t="shared" si="860"/>
        <v/>
      </c>
      <c r="P1329" s="13" t="str">
        <f t="shared" si="861"/>
        <v/>
      </c>
      <c r="Q1329" s="13" t="str">
        <f t="shared" si="862"/>
        <v/>
      </c>
      <c r="R1329" s="13" t="str">
        <f t="shared" si="863"/>
        <v/>
      </c>
      <c r="S1329" s="14" t="str">
        <f t="shared" si="864"/>
        <v/>
      </c>
      <c r="T1329" s="2" t="str">
        <f t="shared" si="865"/>
        <v/>
      </c>
      <c r="U1329" s="2" t="str">
        <f t="shared" si="866"/>
        <v/>
      </c>
      <c r="V1329" t="str">
        <f t="shared" si="842"/>
        <v/>
      </c>
      <c r="X1329">
        <f t="shared" si="869"/>
        <v>0</v>
      </c>
      <c r="Y1329">
        <f t="shared" si="870"/>
        <v>0</v>
      </c>
      <c r="Z1329">
        <f t="shared" si="871"/>
        <v>0</v>
      </c>
      <c r="AA1329">
        <f t="shared" si="872"/>
        <v>0</v>
      </c>
      <c r="AB1329">
        <f t="shared" si="873"/>
        <v>0</v>
      </c>
      <c r="AC1329">
        <f t="shared" si="874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9"/>
        <v/>
      </c>
      <c r="O1330" t="str">
        <f t="shared" si="860"/>
        <v/>
      </c>
      <c r="P1330" t="str">
        <f t="shared" si="861"/>
        <v/>
      </c>
      <c r="Q1330" t="str">
        <f t="shared" si="862"/>
        <v/>
      </c>
      <c r="R1330" t="str">
        <f t="shared" si="863"/>
        <v/>
      </c>
      <c r="S1330" t="str">
        <f t="shared" si="864"/>
        <v/>
      </c>
      <c r="T1330" s="2" t="str">
        <f t="shared" si="865"/>
        <v/>
      </c>
      <c r="U1330" s="2" t="str">
        <f t="shared" si="866"/>
        <v/>
      </c>
      <c r="V1330" t="str">
        <f t="shared" si="842"/>
        <v/>
      </c>
      <c r="W1330">
        <f>SUM(B1332:G1345)</f>
        <v>18</v>
      </c>
      <c r="AD1330">
        <f t="shared" ref="AD1330" si="875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6">L1330</f>
        <v>]</v>
      </c>
      <c r="M1331">
        <v>2</v>
      </c>
      <c r="N1331" t="str">
        <f t="shared" si="859"/>
        <v/>
      </c>
      <c r="O1331" t="str">
        <f t="shared" si="860"/>
        <v/>
      </c>
      <c r="P1331" t="str">
        <f t="shared" si="861"/>
        <v/>
      </c>
      <c r="Q1331" t="str">
        <f t="shared" si="862"/>
        <v/>
      </c>
      <c r="R1331" t="str">
        <f t="shared" si="863"/>
        <v/>
      </c>
      <c r="S1331" t="str">
        <f t="shared" si="864"/>
        <v/>
      </c>
      <c r="T1331" s="2" t="str">
        <f t="shared" si="865"/>
        <v/>
      </c>
      <c r="U1331" s="2" t="str">
        <f t="shared" si="866"/>
        <v/>
      </c>
      <c r="V1331" t="str">
        <f t="shared" si="842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6"/>
        <v>]</v>
      </c>
      <c r="M1332">
        <v>3</v>
      </c>
      <c r="N1332" s="3" t="str">
        <f t="shared" si="859"/>
        <v/>
      </c>
      <c r="O1332" s="4" t="str">
        <f t="shared" si="860"/>
        <v/>
      </c>
      <c r="P1332" s="4" t="str">
        <f t="shared" si="861"/>
        <v/>
      </c>
      <c r="Q1332" s="4" t="str">
        <f t="shared" si="862"/>
        <v/>
      </c>
      <c r="R1332" s="4" t="str">
        <f t="shared" si="863"/>
        <v/>
      </c>
      <c r="S1332" s="5" t="str">
        <f t="shared" si="864"/>
        <v/>
      </c>
      <c r="T1332" s="2" t="str">
        <f t="shared" si="865"/>
        <v/>
      </c>
      <c r="U1332" s="2" t="str">
        <f t="shared" si="866"/>
        <v/>
      </c>
      <c r="V1332" t="str">
        <f t="shared" si="842"/>
        <v/>
      </c>
      <c r="X1332">
        <f t="shared" ref="X1332:X1345" si="877">MAX(B1332-B1331,0)</f>
        <v>0</v>
      </c>
      <c r="Y1332">
        <f t="shared" ref="Y1332:Y1345" si="878">MAX(C1332-C1331,0)</f>
        <v>0</v>
      </c>
      <c r="Z1332">
        <f t="shared" ref="Z1332:Z1345" si="879">MAX(D1332-D1331,0)</f>
        <v>0</v>
      </c>
      <c r="AA1332">
        <f t="shared" ref="AA1332:AA1345" si="880">MAX(E1332-E1331,0)</f>
        <v>0</v>
      </c>
      <c r="AB1332">
        <f t="shared" ref="AB1332:AB1345" si="881">MAX(F1332-F1331,0)</f>
        <v>0</v>
      </c>
      <c r="AC1332">
        <f t="shared" ref="AC1332:AC1345" si="882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6"/>
        <v>]</v>
      </c>
      <c r="M1333">
        <v>4</v>
      </c>
      <c r="N1333" s="6" t="str">
        <f t="shared" si="859"/>
        <v/>
      </c>
      <c r="O1333" s="7" t="str">
        <f t="shared" si="860"/>
        <v/>
      </c>
      <c r="P1333" s="7" t="str">
        <f t="shared" si="861"/>
        <v/>
      </c>
      <c r="Q1333" s="7" t="str">
        <f t="shared" si="862"/>
        <v/>
      </c>
      <c r="R1333" s="7" t="str">
        <f t="shared" si="863"/>
        <v/>
      </c>
      <c r="S1333" s="8" t="str">
        <f t="shared" si="864"/>
        <v/>
      </c>
      <c r="T1333" s="2" t="str">
        <f t="shared" si="865"/>
        <v/>
      </c>
      <c r="U1333" s="2" t="str">
        <f t="shared" si="866"/>
        <v/>
      </c>
      <c r="V1333" t="str">
        <f t="shared" si="842"/>
        <v/>
      </c>
      <c r="X1333">
        <f t="shared" si="877"/>
        <v>0</v>
      </c>
      <c r="Y1333">
        <f t="shared" si="878"/>
        <v>0</v>
      </c>
      <c r="Z1333">
        <f t="shared" si="879"/>
        <v>0</v>
      </c>
      <c r="AA1333">
        <f t="shared" si="880"/>
        <v>0</v>
      </c>
      <c r="AB1333">
        <f t="shared" si="881"/>
        <v>0</v>
      </c>
      <c r="AC1333">
        <f t="shared" si="882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6"/>
        <v>]</v>
      </c>
      <c r="M1334">
        <v>5</v>
      </c>
      <c r="N1334" s="22" t="str">
        <f t="shared" si="859"/>
        <v>#</v>
      </c>
      <c r="O1334" s="15" t="str">
        <f t="shared" si="860"/>
        <v>#</v>
      </c>
      <c r="P1334" s="15" t="str">
        <f t="shared" si="861"/>
        <v>#</v>
      </c>
      <c r="Q1334" s="15" t="str">
        <f t="shared" si="862"/>
        <v/>
      </c>
      <c r="R1334" s="16" t="str">
        <f t="shared" si="863"/>
        <v/>
      </c>
      <c r="S1334" s="8" t="str">
        <f t="shared" si="864"/>
        <v/>
      </c>
      <c r="T1334" s="2" t="str">
        <f t="shared" si="865"/>
        <v/>
      </c>
      <c r="U1334" s="2" t="str">
        <f t="shared" si="866"/>
        <v/>
      </c>
      <c r="V1334" t="str">
        <f t="shared" si="842"/>
        <v/>
      </c>
      <c r="X1334">
        <f t="shared" si="877"/>
        <v>1</v>
      </c>
      <c r="Y1334">
        <f t="shared" si="878"/>
        <v>1</v>
      </c>
      <c r="Z1334">
        <f t="shared" si="879"/>
        <v>1</v>
      </c>
      <c r="AA1334">
        <f t="shared" si="880"/>
        <v>0</v>
      </c>
      <c r="AB1334">
        <f t="shared" si="881"/>
        <v>0</v>
      </c>
      <c r="AC1334">
        <f t="shared" si="882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6"/>
        <v>]</v>
      </c>
      <c r="M1335">
        <v>6</v>
      </c>
      <c r="N1335" s="23" t="str">
        <f t="shared" si="859"/>
        <v>#</v>
      </c>
      <c r="O1335" s="7" t="str">
        <f t="shared" si="860"/>
        <v>#</v>
      </c>
      <c r="P1335" s="7" t="str">
        <f t="shared" si="861"/>
        <v>#</v>
      </c>
      <c r="Q1335" s="7" t="str">
        <f t="shared" si="862"/>
        <v/>
      </c>
      <c r="R1335" s="17" t="str">
        <f t="shared" si="863"/>
        <v/>
      </c>
      <c r="S1335" s="8" t="str">
        <f t="shared" si="864"/>
        <v/>
      </c>
      <c r="T1335" s="2" t="str">
        <f t="shared" si="865"/>
        <v/>
      </c>
      <c r="U1335" s="2" t="str">
        <f t="shared" si="866"/>
        <v/>
      </c>
      <c r="V1335" t="str">
        <f t="shared" si="842"/>
        <v/>
      </c>
      <c r="X1335">
        <f t="shared" si="877"/>
        <v>0</v>
      </c>
      <c r="Y1335">
        <f t="shared" si="878"/>
        <v>0</v>
      </c>
      <c r="Z1335">
        <f t="shared" si="879"/>
        <v>0</v>
      </c>
      <c r="AA1335">
        <f t="shared" si="880"/>
        <v>0</v>
      </c>
      <c r="AB1335">
        <f t="shared" si="881"/>
        <v>0</v>
      </c>
      <c r="AC1335">
        <f t="shared" si="882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6"/>
        <v>]</v>
      </c>
      <c r="M1336">
        <v>7</v>
      </c>
      <c r="N1336" s="23" t="str">
        <f t="shared" si="859"/>
        <v/>
      </c>
      <c r="O1336" s="7" t="str">
        <f t="shared" si="860"/>
        <v/>
      </c>
      <c r="P1336" s="7" t="str">
        <f t="shared" si="861"/>
        <v>#</v>
      </c>
      <c r="Q1336" s="7" t="str">
        <f t="shared" si="862"/>
        <v/>
      </c>
      <c r="R1336" s="17" t="str">
        <f t="shared" si="863"/>
        <v/>
      </c>
      <c r="S1336" s="8" t="str">
        <f t="shared" si="864"/>
        <v/>
      </c>
      <c r="T1336" s="2" t="str">
        <f t="shared" si="865"/>
        <v/>
      </c>
      <c r="U1336" s="2" t="str">
        <f t="shared" si="866"/>
        <v/>
      </c>
      <c r="V1336" t="str">
        <f t="shared" si="842"/>
        <v/>
      </c>
      <c r="X1336">
        <f t="shared" si="877"/>
        <v>0</v>
      </c>
      <c r="Y1336">
        <f t="shared" si="878"/>
        <v>0</v>
      </c>
      <c r="Z1336">
        <f t="shared" si="879"/>
        <v>0</v>
      </c>
      <c r="AA1336">
        <f t="shared" si="880"/>
        <v>0</v>
      </c>
      <c r="AB1336">
        <f t="shared" si="881"/>
        <v>0</v>
      </c>
      <c r="AC1336">
        <f t="shared" si="882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6"/>
        <v>]</v>
      </c>
      <c r="M1337">
        <v>8</v>
      </c>
      <c r="N1337" s="23" t="str">
        <f t="shared" si="859"/>
        <v/>
      </c>
      <c r="O1337" s="7" t="str">
        <f t="shared" si="860"/>
        <v/>
      </c>
      <c r="P1337" s="7" t="str">
        <f t="shared" si="861"/>
        <v>#</v>
      </c>
      <c r="Q1337" s="7" t="str">
        <f t="shared" si="862"/>
        <v/>
      </c>
      <c r="R1337" s="17" t="str">
        <f t="shared" si="863"/>
        <v/>
      </c>
      <c r="S1337" s="8" t="str">
        <f t="shared" si="864"/>
        <v/>
      </c>
      <c r="T1337" s="2" t="str">
        <f t="shared" si="865"/>
        <v/>
      </c>
      <c r="U1337" s="2" t="str">
        <f t="shared" si="866"/>
        <v/>
      </c>
      <c r="V1337" t="str">
        <f t="shared" si="842"/>
        <v/>
      </c>
      <c r="X1337">
        <f t="shared" si="877"/>
        <v>0</v>
      </c>
      <c r="Y1337">
        <f t="shared" si="878"/>
        <v>0</v>
      </c>
      <c r="Z1337">
        <f t="shared" si="879"/>
        <v>0</v>
      </c>
      <c r="AA1337">
        <f t="shared" si="880"/>
        <v>0</v>
      </c>
      <c r="AB1337">
        <f t="shared" si="881"/>
        <v>0</v>
      </c>
      <c r="AC1337">
        <f t="shared" si="882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6"/>
        <v>]</v>
      </c>
      <c r="M1338">
        <v>9</v>
      </c>
      <c r="N1338" s="23" t="str">
        <f t="shared" si="859"/>
        <v/>
      </c>
      <c r="O1338" s="7" t="str">
        <f t="shared" si="860"/>
        <v/>
      </c>
      <c r="P1338" s="7" t="str">
        <f t="shared" si="861"/>
        <v>#</v>
      </c>
      <c r="Q1338" s="7" t="str">
        <f t="shared" si="862"/>
        <v/>
      </c>
      <c r="R1338" s="17" t="str">
        <f t="shared" si="863"/>
        <v/>
      </c>
      <c r="S1338" s="8" t="str">
        <f t="shared" si="864"/>
        <v/>
      </c>
      <c r="T1338" s="2" t="str">
        <f t="shared" si="865"/>
        <v/>
      </c>
      <c r="U1338" s="2" t="str">
        <f t="shared" si="866"/>
        <v/>
      </c>
      <c r="V1338" t="str">
        <f t="shared" si="842"/>
        <v/>
      </c>
      <c r="X1338">
        <f t="shared" si="877"/>
        <v>0</v>
      </c>
      <c r="Y1338">
        <f t="shared" si="878"/>
        <v>0</v>
      </c>
      <c r="Z1338">
        <f t="shared" si="879"/>
        <v>0</v>
      </c>
      <c r="AA1338">
        <f t="shared" si="880"/>
        <v>0</v>
      </c>
      <c r="AB1338">
        <f t="shared" si="881"/>
        <v>0</v>
      </c>
      <c r="AC1338">
        <f t="shared" si="882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6"/>
        <v>]</v>
      </c>
      <c r="M1339">
        <v>10</v>
      </c>
      <c r="N1339" s="23" t="str">
        <f t="shared" si="859"/>
        <v/>
      </c>
      <c r="O1339" s="7" t="str">
        <f t="shared" si="860"/>
        <v/>
      </c>
      <c r="P1339" s="7" t="str">
        <f t="shared" si="861"/>
        <v>#</v>
      </c>
      <c r="Q1339" s="7" t="str">
        <f t="shared" si="862"/>
        <v/>
      </c>
      <c r="R1339" s="17" t="str">
        <f t="shared" si="863"/>
        <v/>
      </c>
      <c r="S1339" s="8" t="str">
        <f t="shared" si="864"/>
        <v/>
      </c>
      <c r="T1339" s="2" t="str">
        <f t="shared" si="865"/>
        <v/>
      </c>
      <c r="U1339" s="2" t="str">
        <f t="shared" si="866"/>
        <v/>
      </c>
      <c r="V1339" t="str">
        <f t="shared" si="842"/>
        <v/>
      </c>
      <c r="X1339">
        <f t="shared" si="877"/>
        <v>0</v>
      </c>
      <c r="Y1339">
        <f t="shared" si="878"/>
        <v>0</v>
      </c>
      <c r="Z1339">
        <f t="shared" si="879"/>
        <v>0</v>
      </c>
      <c r="AA1339">
        <f t="shared" si="880"/>
        <v>0</v>
      </c>
      <c r="AB1339">
        <f t="shared" si="881"/>
        <v>0</v>
      </c>
      <c r="AC1339">
        <f t="shared" si="882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6"/>
        <v>]</v>
      </c>
      <c r="M1340">
        <v>11</v>
      </c>
      <c r="N1340" s="23" t="str">
        <f t="shared" si="859"/>
        <v/>
      </c>
      <c r="O1340" s="7" t="str">
        <f t="shared" si="860"/>
        <v/>
      </c>
      <c r="P1340" s="7" t="str">
        <f t="shared" si="861"/>
        <v>#</v>
      </c>
      <c r="Q1340" s="7" t="str">
        <f t="shared" si="862"/>
        <v/>
      </c>
      <c r="R1340" s="17" t="str">
        <f t="shared" si="863"/>
        <v/>
      </c>
      <c r="S1340" s="8" t="str">
        <f t="shared" si="864"/>
        <v/>
      </c>
      <c r="T1340" s="2" t="str">
        <f t="shared" si="865"/>
        <v/>
      </c>
      <c r="U1340" s="2" t="str">
        <f t="shared" si="866"/>
        <v/>
      </c>
      <c r="V1340" t="str">
        <f t="shared" si="842"/>
        <v/>
      </c>
      <c r="X1340">
        <f t="shared" si="877"/>
        <v>0</v>
      </c>
      <c r="Y1340">
        <f t="shared" si="878"/>
        <v>0</v>
      </c>
      <c r="Z1340">
        <f t="shared" si="879"/>
        <v>0</v>
      </c>
      <c r="AA1340">
        <f t="shared" si="880"/>
        <v>0</v>
      </c>
      <c r="AB1340">
        <f t="shared" si="881"/>
        <v>0</v>
      </c>
      <c r="AC1340">
        <f t="shared" si="882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6"/>
        <v>]</v>
      </c>
      <c r="M1341">
        <v>12</v>
      </c>
      <c r="N1341" s="23" t="str">
        <f t="shared" si="859"/>
        <v/>
      </c>
      <c r="O1341" s="7" t="str">
        <f t="shared" si="860"/>
        <v/>
      </c>
      <c r="P1341" s="7" t="str">
        <f t="shared" si="861"/>
        <v>#</v>
      </c>
      <c r="Q1341" s="7" t="str">
        <f t="shared" si="862"/>
        <v/>
      </c>
      <c r="R1341" s="17" t="str">
        <f t="shared" si="863"/>
        <v/>
      </c>
      <c r="S1341" s="8" t="str">
        <f t="shared" si="864"/>
        <v/>
      </c>
      <c r="T1341" s="2" t="str">
        <f t="shared" si="865"/>
        <v/>
      </c>
      <c r="U1341" s="2" t="str">
        <f t="shared" si="866"/>
        <v/>
      </c>
      <c r="V1341" t="str">
        <f t="shared" si="842"/>
        <v/>
      </c>
      <c r="X1341">
        <f t="shared" si="877"/>
        <v>0</v>
      </c>
      <c r="Y1341">
        <f t="shared" si="878"/>
        <v>0</v>
      </c>
      <c r="Z1341">
        <f t="shared" si="879"/>
        <v>0</v>
      </c>
      <c r="AA1341">
        <f t="shared" si="880"/>
        <v>0</v>
      </c>
      <c r="AB1341">
        <f t="shared" si="881"/>
        <v>0</v>
      </c>
      <c r="AC1341">
        <f t="shared" si="882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6"/>
        <v>]</v>
      </c>
      <c r="M1342">
        <v>13</v>
      </c>
      <c r="N1342" s="6" t="str">
        <f t="shared" si="859"/>
        <v>#</v>
      </c>
      <c r="O1342" s="7" t="str">
        <f t="shared" si="860"/>
        <v>#</v>
      </c>
      <c r="P1342" s="7" t="str">
        <f t="shared" si="861"/>
        <v>#</v>
      </c>
      <c r="Q1342" s="7" t="str">
        <f t="shared" si="862"/>
        <v/>
      </c>
      <c r="R1342" s="17" t="str">
        <f t="shared" si="863"/>
        <v/>
      </c>
      <c r="S1342" s="8" t="str">
        <f t="shared" si="864"/>
        <v/>
      </c>
      <c r="T1342" s="2" t="str">
        <f t="shared" si="865"/>
        <v/>
      </c>
      <c r="U1342" s="2" t="str">
        <f t="shared" si="866"/>
        <v/>
      </c>
      <c r="V1342" t="str">
        <f t="shared" si="842"/>
        <v/>
      </c>
      <c r="X1342">
        <f t="shared" si="877"/>
        <v>1</v>
      </c>
      <c r="Y1342">
        <f t="shared" si="878"/>
        <v>1</v>
      </c>
      <c r="Z1342">
        <f t="shared" si="879"/>
        <v>0</v>
      </c>
      <c r="AA1342">
        <f t="shared" si="880"/>
        <v>0</v>
      </c>
      <c r="AB1342">
        <f t="shared" si="881"/>
        <v>0</v>
      </c>
      <c r="AC1342">
        <f t="shared" si="882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6"/>
        <v>]</v>
      </c>
      <c r="M1343">
        <v>14</v>
      </c>
      <c r="N1343" s="18" t="str">
        <f t="shared" si="859"/>
        <v>#</v>
      </c>
      <c r="O1343" s="19" t="str">
        <f t="shared" si="860"/>
        <v>#</v>
      </c>
      <c r="P1343" s="19" t="str">
        <f t="shared" si="861"/>
        <v>#</v>
      </c>
      <c r="Q1343" s="19" t="str">
        <f t="shared" si="862"/>
        <v/>
      </c>
      <c r="R1343" s="20" t="str">
        <f t="shared" si="863"/>
        <v/>
      </c>
      <c r="S1343" s="8" t="str">
        <f t="shared" si="864"/>
        <v/>
      </c>
      <c r="T1343" s="2" t="str">
        <f t="shared" si="865"/>
        <v/>
      </c>
      <c r="U1343" s="2" t="str">
        <f t="shared" si="866"/>
        <v/>
      </c>
      <c r="V1343" t="str">
        <f t="shared" si="842"/>
        <v/>
      </c>
      <c r="X1343">
        <f t="shared" si="877"/>
        <v>0</v>
      </c>
      <c r="Y1343">
        <f t="shared" si="878"/>
        <v>0</v>
      </c>
      <c r="Z1343">
        <f t="shared" si="879"/>
        <v>0</v>
      </c>
      <c r="AA1343">
        <f t="shared" si="880"/>
        <v>0</v>
      </c>
      <c r="AB1343">
        <f t="shared" si="881"/>
        <v>0</v>
      </c>
      <c r="AC1343">
        <f t="shared" si="882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6"/>
        <v>]</v>
      </c>
      <c r="M1344">
        <v>15</v>
      </c>
      <c r="N1344" s="9" t="str">
        <f t="shared" si="859"/>
        <v/>
      </c>
      <c r="O1344" s="10" t="str">
        <f t="shared" si="860"/>
        <v/>
      </c>
      <c r="P1344" s="10" t="str">
        <f t="shared" si="861"/>
        <v/>
      </c>
      <c r="Q1344" s="10" t="str">
        <f t="shared" si="862"/>
        <v/>
      </c>
      <c r="R1344" s="10" t="str">
        <f t="shared" si="863"/>
        <v/>
      </c>
      <c r="S1344" s="11" t="str">
        <f t="shared" si="864"/>
        <v/>
      </c>
      <c r="T1344" s="2" t="str">
        <f t="shared" si="865"/>
        <v/>
      </c>
      <c r="U1344" s="2" t="str">
        <f t="shared" si="866"/>
        <v/>
      </c>
      <c r="V1344" t="str">
        <f t="shared" si="842"/>
        <v/>
      </c>
      <c r="X1344">
        <f t="shared" si="877"/>
        <v>0</v>
      </c>
      <c r="Y1344">
        <f t="shared" si="878"/>
        <v>0</v>
      </c>
      <c r="Z1344">
        <f t="shared" si="879"/>
        <v>0</v>
      </c>
      <c r="AA1344">
        <f t="shared" si="880"/>
        <v>0</v>
      </c>
      <c r="AB1344">
        <f t="shared" si="881"/>
        <v>0</v>
      </c>
      <c r="AC1344">
        <f t="shared" si="882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6"/>
        <v>]</v>
      </c>
      <c r="M1345">
        <v>16</v>
      </c>
      <c r="N1345" s="12" t="str">
        <f t="shared" si="859"/>
        <v/>
      </c>
      <c r="O1345" s="13" t="str">
        <f t="shared" si="860"/>
        <v/>
      </c>
      <c r="P1345" s="13" t="str">
        <f t="shared" si="861"/>
        <v/>
      </c>
      <c r="Q1345" s="13" t="str">
        <f t="shared" si="862"/>
        <v/>
      </c>
      <c r="R1345" s="13" t="str">
        <f t="shared" si="863"/>
        <v/>
      </c>
      <c r="S1345" s="14" t="str">
        <f t="shared" si="864"/>
        <v/>
      </c>
      <c r="T1345" s="2" t="str">
        <f t="shared" si="865"/>
        <v/>
      </c>
      <c r="U1345" s="2" t="str">
        <f t="shared" si="866"/>
        <v/>
      </c>
      <c r="V1345" t="str">
        <f t="shared" si="842"/>
        <v/>
      </c>
      <c r="X1345">
        <f t="shared" si="877"/>
        <v>0</v>
      </c>
      <c r="Y1345">
        <f t="shared" si="878"/>
        <v>0</v>
      </c>
      <c r="Z1345">
        <f t="shared" si="879"/>
        <v>0</v>
      </c>
      <c r="AA1345">
        <f t="shared" si="880"/>
        <v>0</v>
      </c>
      <c r="AB1345">
        <f t="shared" si="881"/>
        <v>0</v>
      </c>
      <c r="AC1345">
        <f t="shared" si="882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9"/>
        <v/>
      </c>
      <c r="O1346" t="str">
        <f t="shared" si="860"/>
        <v/>
      </c>
      <c r="P1346" t="str">
        <f t="shared" si="861"/>
        <v/>
      </c>
      <c r="Q1346" t="str">
        <f t="shared" si="862"/>
        <v/>
      </c>
      <c r="R1346" t="str">
        <f t="shared" si="863"/>
        <v/>
      </c>
      <c r="S1346" t="str">
        <f t="shared" si="864"/>
        <v/>
      </c>
      <c r="T1346" s="2" t="str">
        <f t="shared" si="865"/>
        <v/>
      </c>
      <c r="U1346" s="2" t="str">
        <f t="shared" si="866"/>
        <v/>
      </c>
      <c r="V1346" t="str">
        <f t="shared" ref="V1346:V1409" si="883">IF(A1346=0,"",M1346)</f>
        <v/>
      </c>
      <c r="W1346">
        <f>SUM(B1348:G1361)</f>
        <v>15</v>
      </c>
      <c r="AD1346">
        <f t="shared" ref="AD1346" si="884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85">L1346</f>
        <v>^</v>
      </c>
      <c r="M1347">
        <v>2</v>
      </c>
      <c r="N1347" t="str">
        <f t="shared" si="859"/>
        <v/>
      </c>
      <c r="O1347" t="str">
        <f t="shared" si="860"/>
        <v/>
      </c>
      <c r="P1347" t="str">
        <f t="shared" si="861"/>
        <v/>
      </c>
      <c r="Q1347" t="str">
        <f t="shared" si="862"/>
        <v/>
      </c>
      <c r="R1347" t="str">
        <f t="shared" si="863"/>
        <v/>
      </c>
      <c r="S1347" t="str">
        <f t="shared" si="864"/>
        <v/>
      </c>
      <c r="T1347" s="2" t="str">
        <f t="shared" si="865"/>
        <v/>
      </c>
      <c r="U1347" s="2" t="str">
        <f t="shared" si="866"/>
        <v/>
      </c>
      <c r="V1347" t="str">
        <f t="shared" si="883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85"/>
        <v>^</v>
      </c>
      <c r="M1348">
        <v>3</v>
      </c>
      <c r="N1348" s="3" t="str">
        <f t="shared" si="859"/>
        <v/>
      </c>
      <c r="O1348" s="4" t="str">
        <f t="shared" si="860"/>
        <v/>
      </c>
      <c r="P1348" s="4" t="str">
        <f t="shared" si="861"/>
        <v/>
      </c>
      <c r="Q1348" s="4" t="str">
        <f t="shared" si="862"/>
        <v/>
      </c>
      <c r="R1348" s="4" t="str">
        <f t="shared" si="863"/>
        <v/>
      </c>
      <c r="S1348" s="5" t="str">
        <f t="shared" si="864"/>
        <v/>
      </c>
      <c r="T1348" s="2" t="str">
        <f t="shared" si="865"/>
        <v/>
      </c>
      <c r="U1348" s="2" t="str">
        <f t="shared" si="866"/>
        <v/>
      </c>
      <c r="V1348" t="str">
        <f t="shared" si="883"/>
        <v/>
      </c>
      <c r="X1348">
        <f t="shared" ref="X1348:X1361" si="886">MAX(B1348-B1347,0)</f>
        <v>0</v>
      </c>
      <c r="Y1348">
        <f t="shared" ref="Y1348:Y1361" si="887">MAX(C1348-C1347,0)</f>
        <v>0</v>
      </c>
      <c r="Z1348">
        <f t="shared" ref="Z1348:Z1361" si="888">MAX(D1348-D1347,0)</f>
        <v>0</v>
      </c>
      <c r="AA1348">
        <f t="shared" ref="AA1348:AA1361" si="889">MAX(E1348-E1347,0)</f>
        <v>0</v>
      </c>
      <c r="AB1348">
        <f t="shared" ref="AB1348:AB1361" si="890">MAX(F1348-F1347,0)</f>
        <v>0</v>
      </c>
      <c r="AC1348">
        <f t="shared" ref="AC1348:AC1361" si="891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85"/>
        <v>^</v>
      </c>
      <c r="M1349">
        <v>4</v>
      </c>
      <c r="N1349" s="6" t="str">
        <f t="shared" si="859"/>
        <v/>
      </c>
      <c r="O1349" s="7" t="str">
        <f t="shared" si="860"/>
        <v/>
      </c>
      <c r="P1349" s="7" t="str">
        <f t="shared" si="861"/>
        <v>#</v>
      </c>
      <c r="Q1349" s="7" t="str">
        <f t="shared" si="862"/>
        <v/>
      </c>
      <c r="R1349" s="7" t="str">
        <f t="shared" si="863"/>
        <v/>
      </c>
      <c r="S1349" s="8" t="str">
        <f t="shared" si="864"/>
        <v/>
      </c>
      <c r="T1349" s="2" t="str">
        <f t="shared" si="865"/>
        <v/>
      </c>
      <c r="U1349" s="2" t="str">
        <f t="shared" si="866"/>
        <v/>
      </c>
      <c r="V1349" t="str">
        <f t="shared" si="883"/>
        <v/>
      </c>
      <c r="X1349">
        <f t="shared" si="886"/>
        <v>0</v>
      </c>
      <c r="Y1349">
        <f t="shared" si="887"/>
        <v>0</v>
      </c>
      <c r="Z1349">
        <f t="shared" si="888"/>
        <v>1</v>
      </c>
      <c r="AA1349">
        <f t="shared" si="889"/>
        <v>0</v>
      </c>
      <c r="AB1349">
        <f t="shared" si="890"/>
        <v>0</v>
      </c>
      <c r="AC1349">
        <f t="shared" si="891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85"/>
        <v>^</v>
      </c>
      <c r="M1350">
        <v>5</v>
      </c>
      <c r="N1350" s="22" t="str">
        <f t="shared" si="859"/>
        <v/>
      </c>
      <c r="O1350" s="15" t="str">
        <f t="shared" si="860"/>
        <v/>
      </c>
      <c r="P1350" s="15" t="str">
        <f t="shared" si="861"/>
        <v>#</v>
      </c>
      <c r="Q1350" s="15" t="str">
        <f t="shared" si="862"/>
        <v/>
      </c>
      <c r="R1350" s="16" t="str">
        <f t="shared" si="863"/>
        <v/>
      </c>
      <c r="S1350" s="8" t="str">
        <f t="shared" si="864"/>
        <v/>
      </c>
      <c r="T1350" s="2" t="str">
        <f t="shared" si="865"/>
        <v/>
      </c>
      <c r="U1350" s="2" t="str">
        <f t="shared" si="866"/>
        <v/>
      </c>
      <c r="V1350" t="str">
        <f t="shared" si="883"/>
        <v/>
      </c>
      <c r="X1350">
        <f t="shared" si="886"/>
        <v>0</v>
      </c>
      <c r="Y1350">
        <f t="shared" si="887"/>
        <v>0</v>
      </c>
      <c r="Z1350">
        <f t="shared" si="888"/>
        <v>0</v>
      </c>
      <c r="AA1350">
        <f t="shared" si="889"/>
        <v>0</v>
      </c>
      <c r="AB1350">
        <f t="shared" si="890"/>
        <v>0</v>
      </c>
      <c r="AC1350">
        <f t="shared" si="891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85"/>
        <v>^</v>
      </c>
      <c r="M1351">
        <v>6</v>
      </c>
      <c r="N1351" s="23" t="str">
        <f t="shared" si="859"/>
        <v/>
      </c>
      <c r="O1351" s="7" t="str">
        <f t="shared" si="860"/>
        <v>#</v>
      </c>
      <c r="P1351" s="7" t="str">
        <f t="shared" si="861"/>
        <v>#</v>
      </c>
      <c r="Q1351" s="7" t="str">
        <f t="shared" si="862"/>
        <v>#</v>
      </c>
      <c r="R1351" s="17" t="str">
        <f t="shared" si="863"/>
        <v/>
      </c>
      <c r="S1351" s="8" t="str">
        <f t="shared" si="864"/>
        <v/>
      </c>
      <c r="T1351" s="2" t="str">
        <f t="shared" si="865"/>
        <v/>
      </c>
      <c r="U1351" s="2" t="str">
        <f t="shared" si="866"/>
        <v/>
      </c>
      <c r="V1351" t="str">
        <f t="shared" si="883"/>
        <v/>
      </c>
      <c r="X1351">
        <f t="shared" si="886"/>
        <v>0</v>
      </c>
      <c r="Y1351">
        <f t="shared" si="887"/>
        <v>1</v>
      </c>
      <c r="Z1351">
        <f t="shared" si="888"/>
        <v>0</v>
      </c>
      <c r="AA1351">
        <f t="shared" si="889"/>
        <v>1</v>
      </c>
      <c r="AB1351">
        <f t="shared" si="890"/>
        <v>0</v>
      </c>
      <c r="AC1351">
        <f t="shared" si="891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85"/>
        <v>^</v>
      </c>
      <c r="M1352">
        <v>7</v>
      </c>
      <c r="N1352" s="23" t="str">
        <f t="shared" si="859"/>
        <v/>
      </c>
      <c r="O1352" s="7" t="str">
        <f t="shared" si="860"/>
        <v>#</v>
      </c>
      <c r="P1352" s="7" t="str">
        <f t="shared" si="861"/>
        <v/>
      </c>
      <c r="Q1352" s="7" t="str">
        <f t="shared" si="862"/>
        <v>#</v>
      </c>
      <c r="R1352" s="17" t="str">
        <f t="shared" si="863"/>
        <v/>
      </c>
      <c r="S1352" s="8" t="str">
        <f t="shared" si="864"/>
        <v/>
      </c>
      <c r="T1352" s="2" t="str">
        <f t="shared" si="865"/>
        <v/>
      </c>
      <c r="U1352" s="2" t="str">
        <f t="shared" si="866"/>
        <v/>
      </c>
      <c r="V1352" t="str">
        <f t="shared" si="883"/>
        <v/>
      </c>
      <c r="X1352">
        <f t="shared" si="886"/>
        <v>0</v>
      </c>
      <c r="Y1352">
        <f t="shared" si="887"/>
        <v>0</v>
      </c>
      <c r="Z1352">
        <f t="shared" si="888"/>
        <v>0</v>
      </c>
      <c r="AA1352">
        <f t="shared" si="889"/>
        <v>0</v>
      </c>
      <c r="AB1352">
        <f t="shared" si="890"/>
        <v>0</v>
      </c>
      <c r="AC1352">
        <f t="shared" si="891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85"/>
        <v>^</v>
      </c>
      <c r="M1353">
        <v>8</v>
      </c>
      <c r="N1353" s="23" t="str">
        <f t="shared" si="859"/>
        <v>#</v>
      </c>
      <c r="O1353" s="7" t="str">
        <f t="shared" si="860"/>
        <v>#</v>
      </c>
      <c r="P1353" s="7" t="str">
        <f t="shared" si="861"/>
        <v/>
      </c>
      <c r="Q1353" s="7" t="str">
        <f t="shared" si="862"/>
        <v>#</v>
      </c>
      <c r="R1353" s="17" t="str">
        <f t="shared" si="863"/>
        <v>#</v>
      </c>
      <c r="S1353" s="8" t="str">
        <f t="shared" si="864"/>
        <v/>
      </c>
      <c r="T1353" s="2" t="str">
        <f t="shared" si="865"/>
        <v/>
      </c>
      <c r="U1353" s="2" t="str">
        <f t="shared" si="866"/>
        <v/>
      </c>
      <c r="V1353" t="str">
        <f t="shared" si="883"/>
        <v/>
      </c>
      <c r="X1353">
        <f t="shared" si="886"/>
        <v>1</v>
      </c>
      <c r="Y1353">
        <f t="shared" si="887"/>
        <v>0</v>
      </c>
      <c r="Z1353">
        <f t="shared" si="888"/>
        <v>0</v>
      </c>
      <c r="AA1353">
        <f t="shared" si="889"/>
        <v>0</v>
      </c>
      <c r="AB1353">
        <f t="shared" si="890"/>
        <v>1</v>
      </c>
      <c r="AC1353">
        <f t="shared" si="891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85"/>
        <v>^</v>
      </c>
      <c r="M1354">
        <v>9</v>
      </c>
      <c r="N1354" s="23" t="str">
        <f t="shared" si="859"/>
        <v>#</v>
      </c>
      <c r="O1354" s="7" t="str">
        <f t="shared" si="860"/>
        <v/>
      </c>
      <c r="P1354" s="7" t="str">
        <f t="shared" si="861"/>
        <v/>
      </c>
      <c r="Q1354" s="7" t="str">
        <f t="shared" si="862"/>
        <v/>
      </c>
      <c r="R1354" s="17" t="str">
        <f t="shared" si="863"/>
        <v>#</v>
      </c>
      <c r="S1354" s="8" t="str">
        <f t="shared" si="864"/>
        <v/>
      </c>
      <c r="T1354" s="2" t="str">
        <f t="shared" si="865"/>
        <v/>
      </c>
      <c r="U1354" s="2" t="str">
        <f t="shared" si="866"/>
        <v/>
      </c>
      <c r="V1354" t="str">
        <f t="shared" si="883"/>
        <v/>
      </c>
      <c r="X1354">
        <f t="shared" si="886"/>
        <v>0</v>
      </c>
      <c r="Y1354">
        <f t="shared" si="887"/>
        <v>0</v>
      </c>
      <c r="Z1354">
        <f t="shared" si="888"/>
        <v>0</v>
      </c>
      <c r="AA1354">
        <f t="shared" si="889"/>
        <v>0</v>
      </c>
      <c r="AB1354">
        <f t="shared" si="890"/>
        <v>0</v>
      </c>
      <c r="AC1354">
        <f t="shared" si="891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85"/>
        <v>^</v>
      </c>
      <c r="M1355">
        <v>10</v>
      </c>
      <c r="N1355" s="23" t="str">
        <f t="shared" si="859"/>
        <v>#</v>
      </c>
      <c r="O1355" s="7" t="str">
        <f t="shared" si="860"/>
        <v/>
      </c>
      <c r="P1355" s="7" t="str">
        <f t="shared" si="861"/>
        <v/>
      </c>
      <c r="Q1355" s="7" t="str">
        <f t="shared" si="862"/>
        <v/>
      </c>
      <c r="R1355" s="17" t="str">
        <f t="shared" si="863"/>
        <v>#</v>
      </c>
      <c r="S1355" s="8" t="str">
        <f t="shared" si="864"/>
        <v/>
      </c>
      <c r="T1355" s="2" t="str">
        <f t="shared" si="865"/>
        <v/>
      </c>
      <c r="U1355" s="2" t="str">
        <f t="shared" si="866"/>
        <v/>
      </c>
      <c r="V1355" t="str">
        <f t="shared" si="883"/>
        <v/>
      </c>
      <c r="X1355">
        <f t="shared" si="886"/>
        <v>0</v>
      </c>
      <c r="Y1355">
        <f t="shared" si="887"/>
        <v>0</v>
      </c>
      <c r="Z1355">
        <f t="shared" si="888"/>
        <v>0</v>
      </c>
      <c r="AA1355">
        <f t="shared" si="889"/>
        <v>0</v>
      </c>
      <c r="AB1355">
        <f t="shared" si="890"/>
        <v>0</v>
      </c>
      <c r="AC1355">
        <f t="shared" si="891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85"/>
        <v>^</v>
      </c>
      <c r="M1356">
        <v>11</v>
      </c>
      <c r="N1356" s="23" t="str">
        <f t="shared" si="859"/>
        <v/>
      </c>
      <c r="O1356" s="7" t="str">
        <f t="shared" si="860"/>
        <v/>
      </c>
      <c r="P1356" s="7" t="str">
        <f t="shared" si="861"/>
        <v/>
      </c>
      <c r="Q1356" s="7" t="str">
        <f t="shared" si="862"/>
        <v/>
      </c>
      <c r="R1356" s="17" t="str">
        <f t="shared" si="863"/>
        <v/>
      </c>
      <c r="S1356" s="8" t="str">
        <f t="shared" si="864"/>
        <v/>
      </c>
      <c r="T1356" s="2" t="str">
        <f t="shared" si="865"/>
        <v/>
      </c>
      <c r="U1356" s="2" t="str">
        <f t="shared" si="866"/>
        <v/>
      </c>
      <c r="V1356" t="str">
        <f t="shared" si="883"/>
        <v/>
      </c>
      <c r="X1356">
        <f t="shared" si="886"/>
        <v>0</v>
      </c>
      <c r="Y1356">
        <f t="shared" si="887"/>
        <v>0</v>
      </c>
      <c r="Z1356">
        <f t="shared" si="888"/>
        <v>0</v>
      </c>
      <c r="AA1356">
        <f t="shared" si="889"/>
        <v>0</v>
      </c>
      <c r="AB1356">
        <f t="shared" si="890"/>
        <v>0</v>
      </c>
      <c r="AC1356">
        <f t="shared" si="891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85"/>
        <v>^</v>
      </c>
      <c r="M1357">
        <v>12</v>
      </c>
      <c r="N1357" s="23" t="str">
        <f t="shared" si="859"/>
        <v/>
      </c>
      <c r="O1357" s="7" t="str">
        <f t="shared" si="860"/>
        <v/>
      </c>
      <c r="P1357" s="7" t="str">
        <f t="shared" si="861"/>
        <v/>
      </c>
      <c r="Q1357" s="7" t="str">
        <f t="shared" si="862"/>
        <v/>
      </c>
      <c r="R1357" s="17" t="str">
        <f t="shared" si="863"/>
        <v/>
      </c>
      <c r="S1357" s="8" t="str">
        <f t="shared" si="864"/>
        <v/>
      </c>
      <c r="T1357" s="2" t="str">
        <f t="shared" si="865"/>
        <v/>
      </c>
      <c r="U1357" s="2" t="str">
        <f t="shared" si="866"/>
        <v/>
      </c>
      <c r="V1357" t="str">
        <f t="shared" si="883"/>
        <v/>
      </c>
      <c r="X1357">
        <f t="shared" si="886"/>
        <v>0</v>
      </c>
      <c r="Y1357">
        <f t="shared" si="887"/>
        <v>0</v>
      </c>
      <c r="Z1357">
        <f t="shared" si="888"/>
        <v>0</v>
      </c>
      <c r="AA1357">
        <f t="shared" si="889"/>
        <v>0</v>
      </c>
      <c r="AB1357">
        <f t="shared" si="890"/>
        <v>0</v>
      </c>
      <c r="AC1357">
        <f t="shared" si="891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85"/>
        <v>^</v>
      </c>
      <c r="M1358">
        <v>13</v>
      </c>
      <c r="N1358" s="6" t="str">
        <f t="shared" si="859"/>
        <v/>
      </c>
      <c r="O1358" s="7" t="str">
        <f t="shared" si="860"/>
        <v/>
      </c>
      <c r="P1358" s="7" t="str">
        <f t="shared" si="861"/>
        <v/>
      </c>
      <c r="Q1358" s="7" t="str">
        <f t="shared" si="862"/>
        <v/>
      </c>
      <c r="R1358" s="17" t="str">
        <f t="shared" si="863"/>
        <v/>
      </c>
      <c r="S1358" s="8" t="str">
        <f t="shared" si="864"/>
        <v/>
      </c>
      <c r="T1358" s="2" t="str">
        <f t="shared" si="865"/>
        <v/>
      </c>
      <c r="U1358" s="2" t="str">
        <f t="shared" si="866"/>
        <v/>
      </c>
      <c r="V1358" t="str">
        <f t="shared" si="883"/>
        <v/>
      </c>
      <c r="X1358">
        <f t="shared" si="886"/>
        <v>0</v>
      </c>
      <c r="Y1358">
        <f t="shared" si="887"/>
        <v>0</v>
      </c>
      <c r="Z1358">
        <f t="shared" si="888"/>
        <v>0</v>
      </c>
      <c r="AA1358">
        <f t="shared" si="889"/>
        <v>0</v>
      </c>
      <c r="AB1358">
        <f t="shared" si="890"/>
        <v>0</v>
      </c>
      <c r="AC1358">
        <f t="shared" si="891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85"/>
        <v>^</v>
      </c>
      <c r="M1359">
        <v>14</v>
      </c>
      <c r="N1359" s="18" t="str">
        <f t="shared" si="859"/>
        <v/>
      </c>
      <c r="O1359" s="19" t="str">
        <f t="shared" si="860"/>
        <v/>
      </c>
      <c r="P1359" s="19" t="str">
        <f t="shared" si="861"/>
        <v/>
      </c>
      <c r="Q1359" s="19" t="str">
        <f t="shared" si="862"/>
        <v/>
      </c>
      <c r="R1359" s="20" t="str">
        <f t="shared" si="863"/>
        <v/>
      </c>
      <c r="S1359" s="8" t="str">
        <f t="shared" si="864"/>
        <v/>
      </c>
      <c r="T1359" s="2" t="str">
        <f t="shared" si="865"/>
        <v/>
      </c>
      <c r="U1359" s="2" t="str">
        <f t="shared" si="866"/>
        <v/>
      </c>
      <c r="V1359" t="str">
        <f t="shared" si="883"/>
        <v/>
      </c>
      <c r="X1359">
        <f t="shared" si="886"/>
        <v>0</v>
      </c>
      <c r="Y1359">
        <f t="shared" si="887"/>
        <v>0</v>
      </c>
      <c r="Z1359">
        <f t="shared" si="888"/>
        <v>0</v>
      </c>
      <c r="AA1359">
        <f t="shared" si="889"/>
        <v>0</v>
      </c>
      <c r="AB1359">
        <f t="shared" si="890"/>
        <v>0</v>
      </c>
      <c r="AC1359">
        <f t="shared" si="891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85"/>
        <v>^</v>
      </c>
      <c r="M1360">
        <v>15</v>
      </c>
      <c r="N1360" s="9" t="str">
        <f t="shared" si="859"/>
        <v/>
      </c>
      <c r="O1360" s="10" t="str">
        <f t="shared" si="860"/>
        <v/>
      </c>
      <c r="P1360" s="10" t="str">
        <f t="shared" si="861"/>
        <v/>
      </c>
      <c r="Q1360" s="10" t="str">
        <f t="shared" si="862"/>
        <v/>
      </c>
      <c r="R1360" s="10" t="str">
        <f t="shared" si="863"/>
        <v/>
      </c>
      <c r="S1360" s="11" t="str">
        <f t="shared" si="864"/>
        <v/>
      </c>
      <c r="T1360" s="2" t="str">
        <f t="shared" si="865"/>
        <v/>
      </c>
      <c r="U1360" s="2" t="str">
        <f t="shared" si="866"/>
        <v/>
      </c>
      <c r="V1360" t="str">
        <f t="shared" si="883"/>
        <v/>
      </c>
      <c r="X1360">
        <f t="shared" si="886"/>
        <v>0</v>
      </c>
      <c r="Y1360">
        <f t="shared" si="887"/>
        <v>0</v>
      </c>
      <c r="Z1360">
        <f t="shared" si="888"/>
        <v>0</v>
      </c>
      <c r="AA1360">
        <f t="shared" si="889"/>
        <v>0</v>
      </c>
      <c r="AB1360">
        <f t="shared" si="890"/>
        <v>0</v>
      </c>
      <c r="AC1360">
        <f t="shared" si="891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85"/>
        <v>^</v>
      </c>
      <c r="M1361">
        <v>16</v>
      </c>
      <c r="N1361" s="12" t="str">
        <f t="shared" si="859"/>
        <v/>
      </c>
      <c r="O1361" s="13" t="str">
        <f t="shared" si="860"/>
        <v/>
      </c>
      <c r="P1361" s="13" t="str">
        <f t="shared" si="861"/>
        <v/>
      </c>
      <c r="Q1361" s="13" t="str">
        <f t="shared" si="862"/>
        <v/>
      </c>
      <c r="R1361" s="13" t="str">
        <f t="shared" si="863"/>
        <v/>
      </c>
      <c r="S1361" s="14" t="str">
        <f t="shared" si="864"/>
        <v/>
      </c>
      <c r="T1361" s="2" t="str">
        <f t="shared" si="865"/>
        <v/>
      </c>
      <c r="U1361" s="2" t="str">
        <f t="shared" si="866"/>
        <v/>
      </c>
      <c r="V1361" t="str">
        <f t="shared" si="883"/>
        <v/>
      </c>
      <c r="X1361">
        <f t="shared" si="886"/>
        <v>0</v>
      </c>
      <c r="Y1361">
        <f t="shared" si="887"/>
        <v>0</v>
      </c>
      <c r="Z1361">
        <f t="shared" si="888"/>
        <v>0</v>
      </c>
      <c r="AA1361">
        <f t="shared" si="889"/>
        <v>0</v>
      </c>
      <c r="AB1361">
        <f t="shared" si="890"/>
        <v>0</v>
      </c>
      <c r="AC1361">
        <f t="shared" si="891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9"/>
        <v/>
      </c>
      <c r="O1362" t="str">
        <f t="shared" si="860"/>
        <v/>
      </c>
      <c r="P1362" t="str">
        <f t="shared" si="861"/>
        <v/>
      </c>
      <c r="Q1362" t="str">
        <f t="shared" si="862"/>
        <v/>
      </c>
      <c r="R1362" t="str">
        <f t="shared" si="863"/>
        <v/>
      </c>
      <c r="S1362" t="str">
        <f t="shared" si="864"/>
        <v/>
      </c>
      <c r="T1362" s="2" t="str">
        <f t="shared" si="865"/>
        <v/>
      </c>
      <c r="U1362" s="2" t="str">
        <f t="shared" si="866"/>
        <v/>
      </c>
      <c r="V1362" t="str">
        <f t="shared" si="883"/>
        <v/>
      </c>
      <c r="W1362">
        <f>SUM(B1364:G1377)</f>
        <v>12</v>
      </c>
      <c r="AD1362">
        <f t="shared" ref="AD1362" si="892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93">L1362</f>
        <v>_</v>
      </c>
      <c r="M1363">
        <v>2</v>
      </c>
      <c r="N1363" t="str">
        <f t="shared" si="859"/>
        <v/>
      </c>
      <c r="O1363" t="str">
        <f t="shared" si="860"/>
        <v/>
      </c>
      <c r="P1363" t="str">
        <f t="shared" si="861"/>
        <v/>
      </c>
      <c r="Q1363" t="str">
        <f t="shared" si="862"/>
        <v/>
      </c>
      <c r="R1363" t="str">
        <f t="shared" si="863"/>
        <v/>
      </c>
      <c r="S1363" t="str">
        <f t="shared" si="864"/>
        <v/>
      </c>
      <c r="T1363" s="2" t="str">
        <f t="shared" si="865"/>
        <v/>
      </c>
      <c r="U1363" s="2" t="str">
        <f t="shared" si="866"/>
        <v/>
      </c>
      <c r="V1363" t="str">
        <f t="shared" si="883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93"/>
        <v>_</v>
      </c>
      <c r="M1364">
        <v>3</v>
      </c>
      <c r="N1364" s="3" t="str">
        <f t="shared" si="859"/>
        <v/>
      </c>
      <c r="O1364" s="4" t="str">
        <f t="shared" si="860"/>
        <v/>
      </c>
      <c r="P1364" s="4" t="str">
        <f t="shared" si="861"/>
        <v/>
      </c>
      <c r="Q1364" s="4" t="str">
        <f t="shared" si="862"/>
        <v/>
      </c>
      <c r="R1364" s="4" t="str">
        <f t="shared" si="863"/>
        <v/>
      </c>
      <c r="S1364" s="5" t="str">
        <f t="shared" si="864"/>
        <v/>
      </c>
      <c r="T1364" s="2" t="str">
        <f t="shared" si="865"/>
        <v/>
      </c>
      <c r="U1364" s="2" t="str">
        <f t="shared" si="866"/>
        <v/>
      </c>
      <c r="V1364" t="str">
        <f t="shared" si="883"/>
        <v/>
      </c>
      <c r="X1364">
        <f t="shared" ref="X1364:X1377" si="894">MAX(B1364-B1363,0)</f>
        <v>0</v>
      </c>
      <c r="Y1364">
        <f t="shared" ref="Y1364:Y1377" si="895">MAX(C1364-C1363,0)</f>
        <v>0</v>
      </c>
      <c r="Z1364">
        <f t="shared" ref="Z1364:Z1377" si="896">MAX(D1364-D1363,0)</f>
        <v>0</v>
      </c>
      <c r="AA1364">
        <f t="shared" ref="AA1364:AA1377" si="897">MAX(E1364-E1363,0)</f>
        <v>0</v>
      </c>
      <c r="AB1364">
        <f t="shared" ref="AB1364:AB1377" si="898">MAX(F1364-F1363,0)</f>
        <v>0</v>
      </c>
      <c r="AC1364">
        <f t="shared" ref="AC1364:AC1377" si="899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93"/>
        <v>_</v>
      </c>
      <c r="M1365">
        <v>4</v>
      </c>
      <c r="N1365" s="6" t="str">
        <f t="shared" si="859"/>
        <v/>
      </c>
      <c r="O1365" s="7" t="str">
        <f t="shared" si="860"/>
        <v/>
      </c>
      <c r="P1365" s="7" t="str">
        <f t="shared" si="861"/>
        <v/>
      </c>
      <c r="Q1365" s="7" t="str">
        <f t="shared" si="862"/>
        <v/>
      </c>
      <c r="R1365" s="7" t="str">
        <f t="shared" si="863"/>
        <v/>
      </c>
      <c r="S1365" s="8" t="str">
        <f t="shared" si="864"/>
        <v/>
      </c>
      <c r="T1365" s="2" t="str">
        <f t="shared" si="865"/>
        <v/>
      </c>
      <c r="U1365" s="2" t="str">
        <f t="shared" si="866"/>
        <v/>
      </c>
      <c r="V1365" t="str">
        <f t="shared" si="883"/>
        <v/>
      </c>
      <c r="X1365">
        <f t="shared" si="894"/>
        <v>0</v>
      </c>
      <c r="Y1365">
        <f t="shared" si="895"/>
        <v>0</v>
      </c>
      <c r="Z1365">
        <f t="shared" si="896"/>
        <v>0</v>
      </c>
      <c r="AA1365">
        <f t="shared" si="897"/>
        <v>0</v>
      </c>
      <c r="AB1365">
        <f t="shared" si="898"/>
        <v>0</v>
      </c>
      <c r="AC1365">
        <f t="shared" si="899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93"/>
        <v>_</v>
      </c>
      <c r="M1366">
        <v>5</v>
      </c>
      <c r="N1366" s="22" t="str">
        <f t="shared" si="859"/>
        <v/>
      </c>
      <c r="O1366" s="15" t="str">
        <f t="shared" si="860"/>
        <v/>
      </c>
      <c r="P1366" s="15" t="str">
        <f t="shared" si="861"/>
        <v/>
      </c>
      <c r="Q1366" s="15" t="str">
        <f t="shared" si="862"/>
        <v/>
      </c>
      <c r="R1366" s="16" t="str">
        <f t="shared" si="863"/>
        <v/>
      </c>
      <c r="S1366" s="8" t="str">
        <f t="shared" si="864"/>
        <v/>
      </c>
      <c r="T1366" s="2" t="str">
        <f t="shared" si="865"/>
        <v/>
      </c>
      <c r="U1366" s="2" t="str">
        <f t="shared" si="866"/>
        <v/>
      </c>
      <c r="V1366" t="str">
        <f t="shared" si="883"/>
        <v/>
      </c>
      <c r="X1366">
        <f t="shared" si="894"/>
        <v>0</v>
      </c>
      <c r="Y1366">
        <f t="shared" si="895"/>
        <v>0</v>
      </c>
      <c r="Z1366">
        <f t="shared" si="896"/>
        <v>0</v>
      </c>
      <c r="AA1366">
        <f t="shared" si="897"/>
        <v>0</v>
      </c>
      <c r="AB1366">
        <f t="shared" si="898"/>
        <v>0</v>
      </c>
      <c r="AC1366">
        <f t="shared" si="899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93"/>
        <v>_</v>
      </c>
      <c r="M1367">
        <v>6</v>
      </c>
      <c r="N1367" s="23" t="str">
        <f t="shared" si="859"/>
        <v/>
      </c>
      <c r="O1367" s="7" t="str">
        <f t="shared" si="860"/>
        <v/>
      </c>
      <c r="P1367" s="7" t="str">
        <f t="shared" si="861"/>
        <v/>
      </c>
      <c r="Q1367" s="7" t="str">
        <f t="shared" si="862"/>
        <v/>
      </c>
      <c r="R1367" s="17" t="str">
        <f t="shared" si="863"/>
        <v/>
      </c>
      <c r="S1367" s="8" t="str">
        <f t="shared" si="864"/>
        <v/>
      </c>
      <c r="T1367" s="2" t="str">
        <f t="shared" si="865"/>
        <v/>
      </c>
      <c r="U1367" s="2" t="str">
        <f t="shared" si="866"/>
        <v/>
      </c>
      <c r="V1367" t="str">
        <f t="shared" si="883"/>
        <v/>
      </c>
      <c r="X1367">
        <f t="shared" si="894"/>
        <v>0</v>
      </c>
      <c r="Y1367">
        <f t="shared" si="895"/>
        <v>0</v>
      </c>
      <c r="Z1367">
        <f t="shared" si="896"/>
        <v>0</v>
      </c>
      <c r="AA1367">
        <f t="shared" si="897"/>
        <v>0</v>
      </c>
      <c r="AB1367">
        <f t="shared" si="898"/>
        <v>0</v>
      </c>
      <c r="AC1367">
        <f t="shared" si="899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93"/>
        <v>_</v>
      </c>
      <c r="M1368">
        <v>7</v>
      </c>
      <c r="N1368" s="23" t="str">
        <f t="shared" si="859"/>
        <v/>
      </c>
      <c r="O1368" s="7" t="str">
        <f t="shared" si="860"/>
        <v/>
      </c>
      <c r="P1368" s="7" t="str">
        <f t="shared" si="861"/>
        <v/>
      </c>
      <c r="Q1368" s="7" t="str">
        <f t="shared" si="862"/>
        <v/>
      </c>
      <c r="R1368" s="17" t="str">
        <f t="shared" si="863"/>
        <v/>
      </c>
      <c r="S1368" s="8" t="str">
        <f t="shared" si="864"/>
        <v/>
      </c>
      <c r="T1368" s="2" t="str">
        <f t="shared" si="865"/>
        <v/>
      </c>
      <c r="U1368" s="2" t="str">
        <f t="shared" si="866"/>
        <v/>
      </c>
      <c r="V1368" t="str">
        <f t="shared" si="883"/>
        <v/>
      </c>
      <c r="X1368">
        <f t="shared" si="894"/>
        <v>0</v>
      </c>
      <c r="Y1368">
        <f t="shared" si="895"/>
        <v>0</v>
      </c>
      <c r="Z1368">
        <f t="shared" si="896"/>
        <v>0</v>
      </c>
      <c r="AA1368">
        <f t="shared" si="897"/>
        <v>0</v>
      </c>
      <c r="AB1368">
        <f t="shared" si="898"/>
        <v>0</v>
      </c>
      <c r="AC1368">
        <f t="shared" si="899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93"/>
        <v>_</v>
      </c>
      <c r="M1369">
        <v>8</v>
      </c>
      <c r="N1369" s="23" t="str">
        <f t="shared" si="859"/>
        <v/>
      </c>
      <c r="O1369" s="7" t="str">
        <f t="shared" si="860"/>
        <v/>
      </c>
      <c r="P1369" s="7" t="str">
        <f t="shared" si="861"/>
        <v/>
      </c>
      <c r="Q1369" s="7" t="str">
        <f t="shared" si="862"/>
        <v/>
      </c>
      <c r="R1369" s="17" t="str">
        <f t="shared" si="863"/>
        <v/>
      </c>
      <c r="S1369" s="8" t="str">
        <f t="shared" si="864"/>
        <v/>
      </c>
      <c r="T1369" s="2" t="str">
        <f t="shared" si="865"/>
        <v/>
      </c>
      <c r="U1369" s="2" t="str">
        <f t="shared" si="866"/>
        <v/>
      </c>
      <c r="V1369" t="str">
        <f t="shared" si="883"/>
        <v/>
      </c>
      <c r="X1369">
        <f t="shared" si="894"/>
        <v>0</v>
      </c>
      <c r="Y1369">
        <f t="shared" si="895"/>
        <v>0</v>
      </c>
      <c r="Z1369">
        <f t="shared" si="896"/>
        <v>0</v>
      </c>
      <c r="AA1369">
        <f t="shared" si="897"/>
        <v>0</v>
      </c>
      <c r="AB1369">
        <f t="shared" si="898"/>
        <v>0</v>
      </c>
      <c r="AC1369">
        <f t="shared" si="899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93"/>
        <v>_</v>
      </c>
      <c r="M1370">
        <v>9</v>
      </c>
      <c r="N1370" s="23" t="str">
        <f t="shared" si="859"/>
        <v/>
      </c>
      <c r="O1370" s="7" t="str">
        <f t="shared" si="860"/>
        <v/>
      </c>
      <c r="P1370" s="7" t="str">
        <f t="shared" si="861"/>
        <v/>
      </c>
      <c r="Q1370" s="7" t="str">
        <f t="shared" si="862"/>
        <v/>
      </c>
      <c r="R1370" s="17" t="str">
        <f t="shared" si="863"/>
        <v/>
      </c>
      <c r="S1370" s="8" t="str">
        <f t="shared" si="864"/>
        <v/>
      </c>
      <c r="T1370" s="2" t="str">
        <f t="shared" si="865"/>
        <v/>
      </c>
      <c r="U1370" s="2" t="str">
        <f t="shared" si="866"/>
        <v/>
      </c>
      <c r="V1370" t="str">
        <f t="shared" si="883"/>
        <v/>
      </c>
      <c r="X1370">
        <f t="shared" si="894"/>
        <v>0</v>
      </c>
      <c r="Y1370">
        <f t="shared" si="895"/>
        <v>0</v>
      </c>
      <c r="Z1370">
        <f t="shared" si="896"/>
        <v>0</v>
      </c>
      <c r="AA1370">
        <f t="shared" si="897"/>
        <v>0</v>
      </c>
      <c r="AB1370">
        <f t="shared" si="898"/>
        <v>0</v>
      </c>
      <c r="AC1370">
        <f t="shared" si="899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93"/>
        <v>_</v>
      </c>
      <c r="M1371">
        <v>10</v>
      </c>
      <c r="N1371" s="23" t="str">
        <f t="shared" si="859"/>
        <v/>
      </c>
      <c r="O1371" s="7" t="str">
        <f t="shared" si="860"/>
        <v/>
      </c>
      <c r="P1371" s="7" t="str">
        <f t="shared" si="861"/>
        <v/>
      </c>
      <c r="Q1371" s="7" t="str">
        <f t="shared" si="862"/>
        <v/>
      </c>
      <c r="R1371" s="17" t="str">
        <f t="shared" si="863"/>
        <v/>
      </c>
      <c r="S1371" s="8" t="str">
        <f t="shared" si="864"/>
        <v/>
      </c>
      <c r="T1371" s="2" t="str">
        <f t="shared" si="865"/>
        <v/>
      </c>
      <c r="U1371" s="2" t="str">
        <f t="shared" si="866"/>
        <v/>
      </c>
      <c r="V1371" t="str">
        <f t="shared" si="883"/>
        <v/>
      </c>
      <c r="X1371">
        <f t="shared" si="894"/>
        <v>0</v>
      </c>
      <c r="Y1371">
        <f t="shared" si="895"/>
        <v>0</v>
      </c>
      <c r="Z1371">
        <f t="shared" si="896"/>
        <v>0</v>
      </c>
      <c r="AA1371">
        <f t="shared" si="897"/>
        <v>0</v>
      </c>
      <c r="AB1371">
        <f t="shared" si="898"/>
        <v>0</v>
      </c>
      <c r="AC1371">
        <f t="shared" si="899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93"/>
        <v>_</v>
      </c>
      <c r="M1372">
        <v>11</v>
      </c>
      <c r="N1372" s="23" t="str">
        <f t="shared" si="859"/>
        <v/>
      </c>
      <c r="O1372" s="7" t="str">
        <f t="shared" si="860"/>
        <v/>
      </c>
      <c r="P1372" s="7" t="str">
        <f t="shared" si="861"/>
        <v/>
      </c>
      <c r="Q1372" s="7" t="str">
        <f t="shared" si="862"/>
        <v/>
      </c>
      <c r="R1372" s="17" t="str">
        <f t="shared" si="863"/>
        <v/>
      </c>
      <c r="S1372" s="8" t="str">
        <f t="shared" si="864"/>
        <v/>
      </c>
      <c r="T1372" s="2" t="str">
        <f t="shared" si="865"/>
        <v/>
      </c>
      <c r="U1372" s="2" t="str">
        <f t="shared" si="866"/>
        <v/>
      </c>
      <c r="V1372" t="str">
        <f t="shared" si="883"/>
        <v/>
      </c>
      <c r="X1372">
        <f t="shared" si="894"/>
        <v>0</v>
      </c>
      <c r="Y1372">
        <f t="shared" si="895"/>
        <v>0</v>
      </c>
      <c r="Z1372">
        <f t="shared" si="896"/>
        <v>0</v>
      </c>
      <c r="AA1372">
        <f t="shared" si="897"/>
        <v>0</v>
      </c>
      <c r="AB1372">
        <f t="shared" si="898"/>
        <v>0</v>
      </c>
      <c r="AC1372">
        <f t="shared" si="899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93"/>
        <v>_</v>
      </c>
      <c r="M1373">
        <v>12</v>
      </c>
      <c r="N1373" s="23" t="str">
        <f t="shared" si="859"/>
        <v/>
      </c>
      <c r="O1373" s="7" t="str">
        <f t="shared" si="860"/>
        <v/>
      </c>
      <c r="P1373" s="7" t="str">
        <f t="shared" si="861"/>
        <v/>
      </c>
      <c r="Q1373" s="7" t="str">
        <f t="shared" si="862"/>
        <v/>
      </c>
      <c r="R1373" s="17" t="str">
        <f t="shared" si="863"/>
        <v/>
      </c>
      <c r="S1373" s="8" t="str">
        <f t="shared" si="864"/>
        <v/>
      </c>
      <c r="T1373" s="2" t="str">
        <f t="shared" si="865"/>
        <v/>
      </c>
      <c r="U1373" s="2" t="str">
        <f t="shared" si="866"/>
        <v/>
      </c>
      <c r="V1373" t="str">
        <f t="shared" si="883"/>
        <v/>
      </c>
      <c r="X1373">
        <f t="shared" si="894"/>
        <v>0</v>
      </c>
      <c r="Y1373">
        <f t="shared" si="895"/>
        <v>0</v>
      </c>
      <c r="Z1373">
        <f t="shared" si="896"/>
        <v>0</v>
      </c>
      <c r="AA1373">
        <f t="shared" si="897"/>
        <v>0</v>
      </c>
      <c r="AB1373">
        <f t="shared" si="898"/>
        <v>0</v>
      </c>
      <c r="AC1373">
        <f t="shared" si="899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93"/>
        <v>_</v>
      </c>
      <c r="M1374">
        <v>13</v>
      </c>
      <c r="N1374" s="6" t="str">
        <f t="shared" si="859"/>
        <v/>
      </c>
      <c r="O1374" s="7" t="str">
        <f t="shared" si="860"/>
        <v/>
      </c>
      <c r="P1374" s="7" t="str">
        <f t="shared" si="861"/>
        <v/>
      </c>
      <c r="Q1374" s="7" t="str">
        <f t="shared" si="862"/>
        <v/>
      </c>
      <c r="R1374" s="17" t="str">
        <f t="shared" si="863"/>
        <v/>
      </c>
      <c r="S1374" s="8" t="str">
        <f t="shared" si="864"/>
        <v/>
      </c>
      <c r="T1374" s="2" t="str">
        <f t="shared" si="865"/>
        <v/>
      </c>
      <c r="U1374" s="2" t="str">
        <f t="shared" si="866"/>
        <v/>
      </c>
      <c r="V1374" t="str">
        <f t="shared" si="883"/>
        <v/>
      </c>
      <c r="X1374">
        <f t="shared" si="894"/>
        <v>0</v>
      </c>
      <c r="Y1374">
        <f t="shared" si="895"/>
        <v>0</v>
      </c>
      <c r="Z1374">
        <f t="shared" si="896"/>
        <v>0</v>
      </c>
      <c r="AA1374">
        <f t="shared" si="897"/>
        <v>0</v>
      </c>
      <c r="AB1374">
        <f t="shared" si="898"/>
        <v>0</v>
      </c>
      <c r="AC1374">
        <f t="shared" si="899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93"/>
        <v>_</v>
      </c>
      <c r="M1375">
        <v>14</v>
      </c>
      <c r="N1375" s="18" t="str">
        <f t="shared" si="859"/>
        <v/>
      </c>
      <c r="O1375" s="19" t="str">
        <f t="shared" si="860"/>
        <v/>
      </c>
      <c r="P1375" s="19" t="str">
        <f t="shared" si="861"/>
        <v/>
      </c>
      <c r="Q1375" s="19" t="str">
        <f t="shared" si="862"/>
        <v/>
      </c>
      <c r="R1375" s="20" t="str">
        <f t="shared" si="863"/>
        <v/>
      </c>
      <c r="S1375" s="8" t="str">
        <f t="shared" si="864"/>
        <v/>
      </c>
      <c r="T1375" s="2" t="str">
        <f t="shared" si="865"/>
        <v/>
      </c>
      <c r="U1375" s="2" t="str">
        <f t="shared" si="866"/>
        <v/>
      </c>
      <c r="V1375" t="str">
        <f t="shared" si="883"/>
        <v/>
      </c>
      <c r="X1375">
        <f t="shared" si="894"/>
        <v>0</v>
      </c>
      <c r="Y1375">
        <f t="shared" si="895"/>
        <v>0</v>
      </c>
      <c r="Z1375">
        <f t="shared" si="896"/>
        <v>0</v>
      </c>
      <c r="AA1375">
        <f t="shared" si="897"/>
        <v>0</v>
      </c>
      <c r="AB1375">
        <f t="shared" si="898"/>
        <v>0</v>
      </c>
      <c r="AC1375">
        <f t="shared" si="899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93"/>
        <v>_</v>
      </c>
      <c r="M1376">
        <v>15</v>
      </c>
      <c r="N1376" s="9" t="str">
        <f t="shared" si="859"/>
        <v>#</v>
      </c>
      <c r="O1376" s="10" t="str">
        <f t="shared" si="860"/>
        <v>#</v>
      </c>
      <c r="P1376" s="10" t="str">
        <f t="shared" si="861"/>
        <v>#</v>
      </c>
      <c r="Q1376" s="10" t="str">
        <f t="shared" si="862"/>
        <v>#</v>
      </c>
      <c r="R1376" s="10" t="str">
        <f t="shared" si="863"/>
        <v>#</v>
      </c>
      <c r="S1376" s="11" t="str">
        <f t="shared" si="864"/>
        <v>#</v>
      </c>
      <c r="T1376" s="2" t="str">
        <f t="shared" si="865"/>
        <v/>
      </c>
      <c r="U1376" s="2" t="str">
        <f t="shared" si="866"/>
        <v/>
      </c>
      <c r="V1376" t="str">
        <f t="shared" si="883"/>
        <v/>
      </c>
      <c r="X1376">
        <f t="shared" si="894"/>
        <v>1</v>
      </c>
      <c r="Y1376">
        <f t="shared" si="895"/>
        <v>1</v>
      </c>
      <c r="Z1376">
        <f t="shared" si="896"/>
        <v>1</v>
      </c>
      <c r="AA1376">
        <f t="shared" si="897"/>
        <v>1</v>
      </c>
      <c r="AB1376">
        <f t="shared" si="898"/>
        <v>1</v>
      </c>
      <c r="AC1376">
        <f t="shared" si="899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93"/>
        <v>_</v>
      </c>
      <c r="M1377">
        <v>16</v>
      </c>
      <c r="N1377" s="12" t="str">
        <f t="shared" si="859"/>
        <v>#</v>
      </c>
      <c r="O1377" s="13" t="str">
        <f t="shared" si="860"/>
        <v>#</v>
      </c>
      <c r="P1377" s="13" t="str">
        <f t="shared" si="861"/>
        <v>#</v>
      </c>
      <c r="Q1377" s="13" t="str">
        <f t="shared" si="862"/>
        <v>#</v>
      </c>
      <c r="R1377" s="13" t="str">
        <f t="shared" si="863"/>
        <v>#</v>
      </c>
      <c r="S1377" s="14" t="str">
        <f t="shared" si="864"/>
        <v>#</v>
      </c>
      <c r="T1377" s="2" t="str">
        <f t="shared" si="865"/>
        <v/>
      </c>
      <c r="U1377" s="2" t="str">
        <f t="shared" si="866"/>
        <v/>
      </c>
      <c r="V1377" t="str">
        <f t="shared" si="883"/>
        <v/>
      </c>
      <c r="X1377">
        <f t="shared" si="894"/>
        <v>0</v>
      </c>
      <c r="Y1377">
        <f t="shared" si="895"/>
        <v>0</v>
      </c>
      <c r="Z1377">
        <f t="shared" si="896"/>
        <v>0</v>
      </c>
      <c r="AA1377">
        <f t="shared" si="897"/>
        <v>0</v>
      </c>
      <c r="AB1377">
        <f t="shared" si="898"/>
        <v>0</v>
      </c>
      <c r="AC1377">
        <f t="shared" si="899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900">IF(B1378&gt;0,"#","")</f>
        <v/>
      </c>
      <c r="O1378" t="str">
        <f t="shared" ref="O1378:O1441" si="901">IF(C1378&gt;0,"#","")</f>
        <v/>
      </c>
      <c r="P1378" t="str">
        <f t="shared" ref="P1378:P1441" si="902">IF(D1378&gt;0,"#","")</f>
        <v/>
      </c>
      <c r="Q1378" t="str">
        <f t="shared" ref="Q1378:Q1441" si="903">IF(E1378&gt;0,"#","")</f>
        <v/>
      </c>
      <c r="R1378" t="str">
        <f t="shared" ref="R1378:R1441" si="904">IF(F1378&gt;0,"#","")</f>
        <v/>
      </c>
      <c r="S1378" t="str">
        <f t="shared" ref="S1378:S1441" si="905">IF(G1378&gt;0,"#","")</f>
        <v/>
      </c>
      <c r="T1378" s="2" t="str">
        <f t="shared" ref="T1378:T1441" si="906">IF(H1378&gt;0,"#","")</f>
        <v/>
      </c>
      <c r="U1378" s="2" t="str">
        <f t="shared" ref="U1378:U1441" si="907">IF(I1378&gt;0,"#","")</f>
        <v/>
      </c>
      <c r="V1378" t="str">
        <f t="shared" si="883"/>
        <v/>
      </c>
      <c r="W1378">
        <f>SUM(B1380:G1393)</f>
        <v>6</v>
      </c>
      <c r="AD1378">
        <f t="shared" ref="AD1378" si="908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9">L1378</f>
        <v>`</v>
      </c>
      <c r="M1379">
        <v>2</v>
      </c>
      <c r="N1379" t="str">
        <f t="shared" si="900"/>
        <v/>
      </c>
      <c r="O1379" t="str">
        <f t="shared" si="901"/>
        <v/>
      </c>
      <c r="P1379" t="str">
        <f t="shared" si="902"/>
        <v/>
      </c>
      <c r="Q1379" t="str">
        <f t="shared" si="903"/>
        <v/>
      </c>
      <c r="R1379" t="str">
        <f t="shared" si="904"/>
        <v/>
      </c>
      <c r="S1379" t="str">
        <f t="shared" si="905"/>
        <v/>
      </c>
      <c r="T1379" s="2" t="str">
        <f t="shared" si="906"/>
        <v/>
      </c>
      <c r="U1379" s="2" t="str">
        <f t="shared" si="907"/>
        <v/>
      </c>
      <c r="V1379" t="str">
        <f t="shared" si="883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9"/>
        <v>`</v>
      </c>
      <c r="M1380">
        <v>3</v>
      </c>
      <c r="N1380" s="3" t="str">
        <f t="shared" si="900"/>
        <v/>
      </c>
      <c r="O1380" s="4" t="str">
        <f t="shared" si="901"/>
        <v/>
      </c>
      <c r="P1380" s="4" t="str">
        <f t="shared" si="902"/>
        <v/>
      </c>
      <c r="Q1380" s="4" t="str">
        <f t="shared" si="903"/>
        <v/>
      </c>
      <c r="R1380" s="4" t="str">
        <f t="shared" si="904"/>
        <v/>
      </c>
      <c r="S1380" s="5" t="str">
        <f t="shared" si="905"/>
        <v/>
      </c>
      <c r="T1380" s="2" t="str">
        <f t="shared" si="906"/>
        <v/>
      </c>
      <c r="U1380" s="2" t="str">
        <f t="shared" si="907"/>
        <v/>
      </c>
      <c r="V1380" t="str">
        <f t="shared" si="883"/>
        <v/>
      </c>
      <c r="X1380">
        <f t="shared" ref="X1380:X1393" si="910">MAX(B1380-B1379,0)</f>
        <v>0</v>
      </c>
      <c r="Y1380">
        <f t="shared" ref="Y1380:Y1393" si="911">MAX(C1380-C1379,0)</f>
        <v>0</v>
      </c>
      <c r="Z1380">
        <f t="shared" ref="Z1380:Z1393" si="912">MAX(D1380-D1379,0)</f>
        <v>0</v>
      </c>
      <c r="AA1380">
        <f t="shared" ref="AA1380:AA1393" si="913">MAX(E1380-E1379,0)</f>
        <v>0</v>
      </c>
      <c r="AB1380">
        <f t="shared" ref="AB1380:AB1393" si="914">MAX(F1380-F1379,0)</f>
        <v>0</v>
      </c>
      <c r="AC1380">
        <f t="shared" ref="AC1380:AC1393" si="915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9"/>
        <v>`</v>
      </c>
      <c r="M1381">
        <v>4</v>
      </c>
      <c r="N1381" s="6" t="str">
        <f t="shared" si="900"/>
        <v/>
      </c>
      <c r="O1381" s="7" t="str">
        <f t="shared" si="901"/>
        <v/>
      </c>
      <c r="P1381" s="7" t="str">
        <f t="shared" si="902"/>
        <v/>
      </c>
      <c r="Q1381" s="7" t="str">
        <f t="shared" si="903"/>
        <v/>
      </c>
      <c r="R1381" s="7" t="str">
        <f t="shared" si="904"/>
        <v/>
      </c>
      <c r="S1381" s="8" t="str">
        <f t="shared" si="905"/>
        <v/>
      </c>
      <c r="T1381" s="2" t="str">
        <f t="shared" si="906"/>
        <v/>
      </c>
      <c r="U1381" s="2" t="str">
        <f t="shared" si="907"/>
        <v/>
      </c>
      <c r="V1381" t="str">
        <f t="shared" si="883"/>
        <v/>
      </c>
      <c r="X1381">
        <f t="shared" si="910"/>
        <v>0</v>
      </c>
      <c r="Y1381">
        <f t="shared" si="911"/>
        <v>0</v>
      </c>
      <c r="Z1381">
        <f t="shared" si="912"/>
        <v>0</v>
      </c>
      <c r="AA1381">
        <f t="shared" si="913"/>
        <v>0</v>
      </c>
      <c r="AB1381">
        <f t="shared" si="914"/>
        <v>0</v>
      </c>
      <c r="AC1381">
        <f t="shared" si="915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9"/>
        <v>`</v>
      </c>
      <c r="M1382">
        <v>5</v>
      </c>
      <c r="N1382" s="22" t="str">
        <f t="shared" si="900"/>
        <v>#</v>
      </c>
      <c r="O1382" s="15" t="str">
        <f t="shared" si="901"/>
        <v/>
      </c>
      <c r="P1382" s="15" t="str">
        <f t="shared" si="902"/>
        <v/>
      </c>
      <c r="Q1382" s="15" t="str">
        <f t="shared" si="903"/>
        <v/>
      </c>
      <c r="R1382" s="16" t="str">
        <f t="shared" si="904"/>
        <v/>
      </c>
      <c r="S1382" s="8" t="str">
        <f t="shared" si="905"/>
        <v/>
      </c>
      <c r="T1382" s="2" t="str">
        <f t="shared" si="906"/>
        <v/>
      </c>
      <c r="U1382" s="2" t="str">
        <f t="shared" si="907"/>
        <v/>
      </c>
      <c r="V1382" t="str">
        <f t="shared" si="883"/>
        <v/>
      </c>
      <c r="X1382">
        <f t="shared" si="910"/>
        <v>1</v>
      </c>
      <c r="Y1382">
        <f t="shared" si="911"/>
        <v>0</v>
      </c>
      <c r="Z1382">
        <f t="shared" si="912"/>
        <v>0</v>
      </c>
      <c r="AA1382">
        <f t="shared" si="913"/>
        <v>0</v>
      </c>
      <c r="AB1382">
        <f t="shared" si="914"/>
        <v>0</v>
      </c>
      <c r="AC1382">
        <f t="shared" si="915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9"/>
        <v>`</v>
      </c>
      <c r="M1383">
        <v>6</v>
      </c>
      <c r="N1383" s="23" t="str">
        <f t="shared" si="900"/>
        <v>#</v>
      </c>
      <c r="O1383" s="7" t="str">
        <f t="shared" si="901"/>
        <v/>
      </c>
      <c r="P1383" s="7" t="str">
        <f t="shared" si="902"/>
        <v/>
      </c>
      <c r="Q1383" s="7" t="str">
        <f t="shared" si="903"/>
        <v/>
      </c>
      <c r="R1383" s="17" t="str">
        <f t="shared" si="904"/>
        <v/>
      </c>
      <c r="S1383" s="8" t="str">
        <f t="shared" si="905"/>
        <v/>
      </c>
      <c r="T1383" s="2" t="str">
        <f t="shared" si="906"/>
        <v/>
      </c>
      <c r="U1383" s="2" t="str">
        <f t="shared" si="907"/>
        <v/>
      </c>
      <c r="V1383" t="str">
        <f t="shared" si="883"/>
        <v/>
      </c>
      <c r="X1383">
        <f t="shared" si="910"/>
        <v>0</v>
      </c>
      <c r="Y1383">
        <f t="shared" si="911"/>
        <v>0</v>
      </c>
      <c r="Z1383">
        <f t="shared" si="912"/>
        <v>0</v>
      </c>
      <c r="AA1383">
        <f t="shared" si="913"/>
        <v>0</v>
      </c>
      <c r="AB1383">
        <f t="shared" si="914"/>
        <v>0</v>
      </c>
      <c r="AC1383">
        <f t="shared" si="915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9"/>
        <v>`</v>
      </c>
      <c r="M1384">
        <v>7</v>
      </c>
      <c r="N1384" s="23" t="str">
        <f t="shared" si="900"/>
        <v>#</v>
      </c>
      <c r="O1384" s="7" t="str">
        <f t="shared" si="901"/>
        <v>#</v>
      </c>
      <c r="P1384" s="7" t="str">
        <f t="shared" si="902"/>
        <v/>
      </c>
      <c r="Q1384" s="7" t="str">
        <f t="shared" si="903"/>
        <v/>
      </c>
      <c r="R1384" s="17" t="str">
        <f t="shared" si="904"/>
        <v/>
      </c>
      <c r="S1384" s="8" t="str">
        <f t="shared" si="905"/>
        <v/>
      </c>
      <c r="T1384" s="2" t="str">
        <f t="shared" si="906"/>
        <v/>
      </c>
      <c r="U1384" s="2" t="str">
        <f t="shared" si="907"/>
        <v/>
      </c>
      <c r="V1384" t="str">
        <f t="shared" si="883"/>
        <v/>
      </c>
      <c r="X1384">
        <f t="shared" si="910"/>
        <v>0</v>
      </c>
      <c r="Y1384">
        <f t="shared" si="911"/>
        <v>1</v>
      </c>
      <c r="Z1384">
        <f t="shared" si="912"/>
        <v>0</v>
      </c>
      <c r="AA1384">
        <f t="shared" si="913"/>
        <v>0</v>
      </c>
      <c r="AB1384">
        <f t="shared" si="914"/>
        <v>0</v>
      </c>
      <c r="AC1384">
        <f t="shared" si="915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9"/>
        <v>`</v>
      </c>
      <c r="M1385">
        <v>8</v>
      </c>
      <c r="N1385" s="23" t="str">
        <f t="shared" si="900"/>
        <v/>
      </c>
      <c r="O1385" s="7" t="str">
        <f t="shared" si="901"/>
        <v>#</v>
      </c>
      <c r="P1385" s="7" t="str">
        <f t="shared" si="902"/>
        <v/>
      </c>
      <c r="Q1385" s="7" t="str">
        <f t="shared" si="903"/>
        <v/>
      </c>
      <c r="R1385" s="17" t="str">
        <f t="shared" si="904"/>
        <v/>
      </c>
      <c r="S1385" s="8" t="str">
        <f t="shared" si="905"/>
        <v/>
      </c>
      <c r="T1385" s="2" t="str">
        <f t="shared" si="906"/>
        <v/>
      </c>
      <c r="U1385" s="2" t="str">
        <f t="shared" si="907"/>
        <v/>
      </c>
      <c r="V1385" t="str">
        <f t="shared" si="883"/>
        <v/>
      </c>
      <c r="X1385">
        <f t="shared" si="910"/>
        <v>0</v>
      </c>
      <c r="Y1385">
        <f t="shared" si="911"/>
        <v>0</v>
      </c>
      <c r="Z1385">
        <f t="shared" si="912"/>
        <v>0</v>
      </c>
      <c r="AA1385">
        <f t="shared" si="913"/>
        <v>0</v>
      </c>
      <c r="AB1385">
        <f t="shared" si="914"/>
        <v>0</v>
      </c>
      <c r="AC1385">
        <f t="shared" si="915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9"/>
        <v>`</v>
      </c>
      <c r="M1386">
        <v>9</v>
      </c>
      <c r="N1386" s="23" t="str">
        <f t="shared" si="900"/>
        <v/>
      </c>
      <c r="O1386" s="7" t="str">
        <f t="shared" si="901"/>
        <v>#</v>
      </c>
      <c r="P1386" s="7" t="str">
        <f t="shared" si="902"/>
        <v/>
      </c>
      <c r="Q1386" s="7" t="str">
        <f t="shared" si="903"/>
        <v/>
      </c>
      <c r="R1386" s="17" t="str">
        <f t="shared" si="904"/>
        <v/>
      </c>
      <c r="S1386" s="8" t="str">
        <f t="shared" si="905"/>
        <v/>
      </c>
      <c r="T1386" s="2" t="str">
        <f t="shared" si="906"/>
        <v/>
      </c>
      <c r="U1386" s="2" t="str">
        <f t="shared" si="907"/>
        <v/>
      </c>
      <c r="V1386" t="str">
        <f t="shared" si="883"/>
        <v/>
      </c>
      <c r="X1386">
        <f t="shared" si="910"/>
        <v>0</v>
      </c>
      <c r="Y1386">
        <f t="shared" si="911"/>
        <v>0</v>
      </c>
      <c r="Z1386">
        <f t="shared" si="912"/>
        <v>0</v>
      </c>
      <c r="AA1386">
        <f t="shared" si="913"/>
        <v>0</v>
      </c>
      <c r="AB1386">
        <f t="shared" si="914"/>
        <v>0</v>
      </c>
      <c r="AC1386">
        <f t="shared" si="915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9"/>
        <v>`</v>
      </c>
      <c r="M1387">
        <v>10</v>
      </c>
      <c r="N1387" s="23" t="str">
        <f t="shared" si="900"/>
        <v/>
      </c>
      <c r="O1387" s="7" t="str">
        <f t="shared" si="901"/>
        <v/>
      </c>
      <c r="P1387" s="7" t="str">
        <f t="shared" si="902"/>
        <v/>
      </c>
      <c r="Q1387" s="7" t="str">
        <f t="shared" si="903"/>
        <v/>
      </c>
      <c r="R1387" s="17" t="str">
        <f t="shared" si="904"/>
        <v/>
      </c>
      <c r="S1387" s="8" t="str">
        <f t="shared" si="905"/>
        <v/>
      </c>
      <c r="T1387" s="2" t="str">
        <f t="shared" si="906"/>
        <v/>
      </c>
      <c r="U1387" s="2" t="str">
        <f t="shared" si="907"/>
        <v/>
      </c>
      <c r="V1387" t="str">
        <f t="shared" si="883"/>
        <v/>
      </c>
      <c r="X1387">
        <f t="shared" si="910"/>
        <v>0</v>
      </c>
      <c r="Y1387">
        <f t="shared" si="911"/>
        <v>0</v>
      </c>
      <c r="Z1387">
        <f t="shared" si="912"/>
        <v>0</v>
      </c>
      <c r="AA1387">
        <f t="shared" si="913"/>
        <v>0</v>
      </c>
      <c r="AB1387">
        <f t="shared" si="914"/>
        <v>0</v>
      </c>
      <c r="AC1387">
        <f t="shared" si="915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9"/>
        <v>`</v>
      </c>
      <c r="M1388">
        <v>11</v>
      </c>
      <c r="N1388" s="23" t="str">
        <f t="shared" si="900"/>
        <v/>
      </c>
      <c r="O1388" s="7" t="str">
        <f t="shared" si="901"/>
        <v/>
      </c>
      <c r="P1388" s="7" t="str">
        <f t="shared" si="902"/>
        <v/>
      </c>
      <c r="Q1388" s="7" t="str">
        <f t="shared" si="903"/>
        <v/>
      </c>
      <c r="R1388" s="17" t="str">
        <f t="shared" si="904"/>
        <v/>
      </c>
      <c r="S1388" s="8" t="str">
        <f t="shared" si="905"/>
        <v/>
      </c>
      <c r="T1388" s="2" t="str">
        <f t="shared" si="906"/>
        <v/>
      </c>
      <c r="U1388" s="2" t="str">
        <f t="shared" si="907"/>
        <v/>
      </c>
      <c r="V1388" t="str">
        <f t="shared" si="883"/>
        <v/>
      </c>
      <c r="X1388">
        <f t="shared" si="910"/>
        <v>0</v>
      </c>
      <c r="Y1388">
        <f t="shared" si="911"/>
        <v>0</v>
      </c>
      <c r="Z1388">
        <f t="shared" si="912"/>
        <v>0</v>
      </c>
      <c r="AA1388">
        <f t="shared" si="913"/>
        <v>0</v>
      </c>
      <c r="AB1388">
        <f t="shared" si="914"/>
        <v>0</v>
      </c>
      <c r="AC1388">
        <f t="shared" si="915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9"/>
        <v>`</v>
      </c>
      <c r="M1389">
        <v>12</v>
      </c>
      <c r="N1389" s="23" t="str">
        <f t="shared" si="900"/>
        <v/>
      </c>
      <c r="O1389" s="7" t="str">
        <f t="shared" si="901"/>
        <v/>
      </c>
      <c r="P1389" s="7" t="str">
        <f t="shared" si="902"/>
        <v/>
      </c>
      <c r="Q1389" s="7" t="str">
        <f t="shared" si="903"/>
        <v/>
      </c>
      <c r="R1389" s="17" t="str">
        <f t="shared" si="904"/>
        <v/>
      </c>
      <c r="S1389" s="8" t="str">
        <f t="shared" si="905"/>
        <v/>
      </c>
      <c r="T1389" s="2" t="str">
        <f t="shared" si="906"/>
        <v/>
      </c>
      <c r="U1389" s="2" t="str">
        <f t="shared" si="907"/>
        <v/>
      </c>
      <c r="V1389" t="str">
        <f t="shared" si="883"/>
        <v/>
      </c>
      <c r="X1389">
        <f t="shared" si="910"/>
        <v>0</v>
      </c>
      <c r="Y1389">
        <f t="shared" si="911"/>
        <v>0</v>
      </c>
      <c r="Z1389">
        <f t="shared" si="912"/>
        <v>0</v>
      </c>
      <c r="AA1389">
        <f t="shared" si="913"/>
        <v>0</v>
      </c>
      <c r="AB1389">
        <f t="shared" si="914"/>
        <v>0</v>
      </c>
      <c r="AC1389">
        <f t="shared" si="915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9"/>
        <v>`</v>
      </c>
      <c r="M1390">
        <v>13</v>
      </c>
      <c r="N1390" s="6" t="str">
        <f t="shared" si="900"/>
        <v/>
      </c>
      <c r="O1390" s="7" t="str">
        <f t="shared" si="901"/>
        <v/>
      </c>
      <c r="P1390" s="7" t="str">
        <f t="shared" si="902"/>
        <v/>
      </c>
      <c r="Q1390" s="7" t="str">
        <f t="shared" si="903"/>
        <v/>
      </c>
      <c r="R1390" s="17" t="str">
        <f t="shared" si="904"/>
        <v/>
      </c>
      <c r="S1390" s="8" t="str">
        <f t="shared" si="905"/>
        <v/>
      </c>
      <c r="T1390" s="2" t="str">
        <f t="shared" si="906"/>
        <v/>
      </c>
      <c r="U1390" s="2" t="str">
        <f t="shared" si="907"/>
        <v/>
      </c>
      <c r="V1390" t="str">
        <f t="shared" si="883"/>
        <v/>
      </c>
      <c r="X1390">
        <f t="shared" si="910"/>
        <v>0</v>
      </c>
      <c r="Y1390">
        <f t="shared" si="911"/>
        <v>0</v>
      </c>
      <c r="Z1390">
        <f t="shared" si="912"/>
        <v>0</v>
      </c>
      <c r="AA1390">
        <f t="shared" si="913"/>
        <v>0</v>
      </c>
      <c r="AB1390">
        <f t="shared" si="914"/>
        <v>0</v>
      </c>
      <c r="AC1390">
        <f t="shared" si="915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9"/>
        <v>`</v>
      </c>
      <c r="M1391">
        <v>14</v>
      </c>
      <c r="N1391" s="18" t="str">
        <f t="shared" si="900"/>
        <v/>
      </c>
      <c r="O1391" s="19" t="str">
        <f t="shared" si="901"/>
        <v/>
      </c>
      <c r="P1391" s="19" t="str">
        <f t="shared" si="902"/>
        <v/>
      </c>
      <c r="Q1391" s="19" t="str">
        <f t="shared" si="903"/>
        <v/>
      </c>
      <c r="R1391" s="20" t="str">
        <f t="shared" si="904"/>
        <v/>
      </c>
      <c r="S1391" s="8" t="str">
        <f t="shared" si="905"/>
        <v/>
      </c>
      <c r="T1391" s="2" t="str">
        <f t="shared" si="906"/>
        <v/>
      </c>
      <c r="U1391" s="2" t="str">
        <f t="shared" si="907"/>
        <v/>
      </c>
      <c r="V1391" t="str">
        <f t="shared" si="883"/>
        <v/>
      </c>
      <c r="X1391">
        <f t="shared" si="910"/>
        <v>0</v>
      </c>
      <c r="Y1391">
        <f t="shared" si="911"/>
        <v>0</v>
      </c>
      <c r="Z1391">
        <f t="shared" si="912"/>
        <v>0</v>
      </c>
      <c r="AA1391">
        <f t="shared" si="913"/>
        <v>0</v>
      </c>
      <c r="AB1391">
        <f t="shared" si="914"/>
        <v>0</v>
      </c>
      <c r="AC1391">
        <f t="shared" si="915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9"/>
        <v>`</v>
      </c>
      <c r="M1392">
        <v>15</v>
      </c>
      <c r="N1392" s="9" t="str">
        <f t="shared" si="900"/>
        <v/>
      </c>
      <c r="O1392" s="10" t="str">
        <f t="shared" si="901"/>
        <v/>
      </c>
      <c r="P1392" s="10" t="str">
        <f t="shared" si="902"/>
        <v/>
      </c>
      <c r="Q1392" s="10" t="str">
        <f t="shared" si="903"/>
        <v/>
      </c>
      <c r="R1392" s="10" t="str">
        <f t="shared" si="904"/>
        <v/>
      </c>
      <c r="S1392" s="11" t="str">
        <f t="shared" si="905"/>
        <v/>
      </c>
      <c r="T1392" s="2" t="str">
        <f t="shared" si="906"/>
        <v/>
      </c>
      <c r="U1392" s="2" t="str">
        <f t="shared" si="907"/>
        <v/>
      </c>
      <c r="V1392" t="str">
        <f t="shared" si="883"/>
        <v/>
      </c>
      <c r="X1392">
        <f t="shared" si="910"/>
        <v>0</v>
      </c>
      <c r="Y1392">
        <f t="shared" si="911"/>
        <v>0</v>
      </c>
      <c r="Z1392">
        <f t="shared" si="912"/>
        <v>0</v>
      </c>
      <c r="AA1392">
        <f t="shared" si="913"/>
        <v>0</v>
      </c>
      <c r="AB1392">
        <f t="shared" si="914"/>
        <v>0</v>
      </c>
      <c r="AC1392">
        <f t="shared" si="915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9"/>
        <v>`</v>
      </c>
      <c r="M1393">
        <v>16</v>
      </c>
      <c r="N1393" s="12" t="str">
        <f t="shared" si="900"/>
        <v/>
      </c>
      <c r="O1393" s="13" t="str">
        <f t="shared" si="901"/>
        <v/>
      </c>
      <c r="P1393" s="13" t="str">
        <f t="shared" si="902"/>
        <v/>
      </c>
      <c r="Q1393" s="13" t="str">
        <f t="shared" si="903"/>
        <v/>
      </c>
      <c r="R1393" s="13" t="str">
        <f t="shared" si="904"/>
        <v/>
      </c>
      <c r="S1393" s="14" t="str">
        <f t="shared" si="905"/>
        <v/>
      </c>
      <c r="T1393" s="2" t="str">
        <f t="shared" si="906"/>
        <v/>
      </c>
      <c r="U1393" s="2" t="str">
        <f t="shared" si="907"/>
        <v/>
      </c>
      <c r="V1393" t="str">
        <f t="shared" si="883"/>
        <v/>
      </c>
      <c r="X1393">
        <f t="shared" si="910"/>
        <v>0</v>
      </c>
      <c r="Y1393">
        <f t="shared" si="911"/>
        <v>0</v>
      </c>
      <c r="Z1393">
        <f t="shared" si="912"/>
        <v>0</v>
      </c>
      <c r="AA1393">
        <f t="shared" si="913"/>
        <v>0</v>
      </c>
      <c r="AB1393">
        <f t="shared" si="914"/>
        <v>0</v>
      </c>
      <c r="AC1393">
        <f t="shared" si="915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900"/>
        <v/>
      </c>
      <c r="O1394" t="str">
        <f t="shared" si="901"/>
        <v/>
      </c>
      <c r="P1394" t="str">
        <f t="shared" si="902"/>
        <v/>
      </c>
      <c r="Q1394" t="str">
        <f t="shared" si="903"/>
        <v/>
      </c>
      <c r="R1394" t="str">
        <f t="shared" si="904"/>
        <v/>
      </c>
      <c r="S1394" t="str">
        <f t="shared" si="905"/>
        <v/>
      </c>
      <c r="T1394" s="2" t="str">
        <f t="shared" si="906"/>
        <v/>
      </c>
      <c r="U1394" s="2" t="str">
        <f t="shared" si="907"/>
        <v/>
      </c>
      <c r="V1394" t="str">
        <f t="shared" si="883"/>
        <v/>
      </c>
      <c r="W1394">
        <f>SUM(B1396:G1409)</f>
        <v>32</v>
      </c>
      <c r="AD1394">
        <f t="shared" ref="AD1394" si="916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7">L1394</f>
        <v>a</v>
      </c>
      <c r="M1395">
        <v>2</v>
      </c>
      <c r="N1395" t="str">
        <f t="shared" si="900"/>
        <v/>
      </c>
      <c r="O1395" t="str">
        <f t="shared" si="901"/>
        <v/>
      </c>
      <c r="P1395" t="str">
        <f t="shared" si="902"/>
        <v/>
      </c>
      <c r="Q1395" t="str">
        <f t="shared" si="903"/>
        <v/>
      </c>
      <c r="R1395" t="str">
        <f t="shared" si="904"/>
        <v/>
      </c>
      <c r="S1395" t="str">
        <f t="shared" si="905"/>
        <v/>
      </c>
      <c r="T1395" s="2" t="str">
        <f t="shared" si="906"/>
        <v/>
      </c>
      <c r="U1395" s="2" t="str">
        <f t="shared" si="907"/>
        <v/>
      </c>
      <c r="V1395" t="str">
        <f t="shared" si="883"/>
        <v/>
      </c>
      <c r="AE1395" t="str">
        <f>(B1409*128+B1408*64+B1407*32+B1406*16+B1405*8+B1404*4+B1403*2+B1402)*256+B1401*128+B1400*64+B1399*32+B1398*16+B1397*8+B1396*4+B1395*2+B1394&amp;","</f>
        <v>16352,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7"/>
        <v>a</v>
      </c>
      <c r="M1396">
        <v>3</v>
      </c>
      <c r="N1396" s="3" t="str">
        <f t="shared" si="900"/>
        <v/>
      </c>
      <c r="O1396" s="4" t="str">
        <f t="shared" si="901"/>
        <v/>
      </c>
      <c r="P1396" s="4" t="str">
        <f t="shared" si="902"/>
        <v/>
      </c>
      <c r="Q1396" s="4" t="str">
        <f t="shared" si="903"/>
        <v/>
      </c>
      <c r="R1396" s="4" t="str">
        <f t="shared" si="904"/>
        <v/>
      </c>
      <c r="S1396" s="5" t="str">
        <f t="shared" si="905"/>
        <v/>
      </c>
      <c r="T1396" s="2" t="str">
        <f t="shared" si="906"/>
        <v/>
      </c>
      <c r="U1396" s="2" t="str">
        <f t="shared" si="907"/>
        <v/>
      </c>
      <c r="V1396" t="str">
        <f t="shared" si="883"/>
        <v/>
      </c>
      <c r="X1396">
        <f t="shared" ref="X1396:X1409" si="918">MAX(B1396-B1395,0)</f>
        <v>0</v>
      </c>
      <c r="Y1396">
        <f t="shared" ref="Y1396:Y1409" si="919">MAX(C1396-C1395,0)</f>
        <v>0</v>
      </c>
      <c r="Z1396">
        <f t="shared" ref="Z1396:Z1409" si="920">MAX(D1396-D1395,0)</f>
        <v>0</v>
      </c>
      <c r="AA1396">
        <f t="shared" ref="AA1396:AA1409" si="921">MAX(E1396-E1395,0)</f>
        <v>0</v>
      </c>
      <c r="AB1396">
        <f t="shared" ref="AB1396:AB1409" si="922">MAX(F1396-F1395,0)</f>
        <v>0</v>
      </c>
      <c r="AC1396">
        <f t="shared" ref="AC1396:AC1409" si="923">MAX(G1396-G1395,0)</f>
        <v>0</v>
      </c>
      <c r="AE1396" t="str">
        <f>(C1409*128+C1408*64+C1407*32+C1406*16+C1405*8+C1404*4+C1403*2+C1402)*256+C1401*128+C1400*64+C1399*32+C1398*16+C1397*8+C1396*4+C1395*2+C1394&amp;","</f>
        <v>1648,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7"/>
        <v>a</v>
      </c>
      <c r="M1397">
        <v>4</v>
      </c>
      <c r="N1397" s="6" t="str">
        <f t="shared" si="900"/>
        <v/>
      </c>
      <c r="O1397" s="7" t="str">
        <f t="shared" si="901"/>
        <v/>
      </c>
      <c r="P1397" s="7" t="str">
        <f t="shared" si="902"/>
        <v/>
      </c>
      <c r="Q1397" s="7" t="str">
        <f t="shared" si="903"/>
        <v/>
      </c>
      <c r="R1397" s="7" t="str">
        <f t="shared" si="904"/>
        <v/>
      </c>
      <c r="S1397" s="8" t="str">
        <f t="shared" si="905"/>
        <v/>
      </c>
      <c r="T1397" s="2" t="str">
        <f t="shared" si="906"/>
        <v/>
      </c>
      <c r="U1397" s="2" t="str">
        <f t="shared" si="907"/>
        <v/>
      </c>
      <c r="V1397" t="str">
        <f t="shared" si="883"/>
        <v/>
      </c>
      <c r="X1397">
        <f t="shared" si="918"/>
        <v>0</v>
      </c>
      <c r="Y1397">
        <f t="shared" si="919"/>
        <v>0</v>
      </c>
      <c r="Z1397">
        <f t="shared" si="920"/>
        <v>0</v>
      </c>
      <c r="AA1397">
        <f t="shared" si="921"/>
        <v>0</v>
      </c>
      <c r="AB1397">
        <f t="shared" si="922"/>
        <v>0</v>
      </c>
      <c r="AC1397">
        <f t="shared" si="923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1</v>
      </c>
      <c r="D1398" s="21">
        <v>1</v>
      </c>
      <c r="E1398" s="21">
        <v>1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7"/>
        <v>a</v>
      </c>
      <c r="M1398">
        <v>5</v>
      </c>
      <c r="N1398" s="22" t="str">
        <f t="shared" si="900"/>
        <v/>
      </c>
      <c r="O1398" s="15" t="str">
        <f t="shared" si="901"/>
        <v>#</v>
      </c>
      <c r="P1398" s="15" t="str">
        <f t="shared" si="902"/>
        <v>#</v>
      </c>
      <c r="Q1398" s="15" t="str">
        <f t="shared" si="903"/>
        <v>#</v>
      </c>
      <c r="R1398" s="16" t="str">
        <f t="shared" si="904"/>
        <v/>
      </c>
      <c r="S1398" s="8" t="str">
        <f t="shared" si="905"/>
        <v/>
      </c>
      <c r="T1398" s="2" t="str">
        <f t="shared" si="906"/>
        <v/>
      </c>
      <c r="U1398" s="2" t="str">
        <f t="shared" si="907"/>
        <v/>
      </c>
      <c r="V1398" t="str">
        <f t="shared" si="883"/>
        <v/>
      </c>
      <c r="X1398">
        <f t="shared" si="918"/>
        <v>0</v>
      </c>
      <c r="Y1398">
        <f t="shared" si="919"/>
        <v>1</v>
      </c>
      <c r="Z1398">
        <f t="shared" si="920"/>
        <v>1</v>
      </c>
      <c r="AA1398">
        <f t="shared" si="921"/>
        <v>1</v>
      </c>
      <c r="AB1398">
        <f t="shared" si="922"/>
        <v>0</v>
      </c>
      <c r="AC1398">
        <f t="shared" si="923"/>
        <v>0</v>
      </c>
      <c r="AE1398" t="str">
        <f>(E1409*128+E1408*64+E1407*32+E1406*16+E1405*8+E1404*4+E1403*2+E1402)*256+E1401*128+E1400*64+E1399*32+E1398*16+E1397*8+E1396*4+E1395*2+E1394&amp;","</f>
        <v>1648,</v>
      </c>
    </row>
    <row r="1399" spans="1:31" x14ac:dyDescent="0.2">
      <c r="A1399" s="21"/>
      <c r="B1399" s="21">
        <v>1</v>
      </c>
      <c r="C1399" s="21">
        <v>1</v>
      </c>
      <c r="D1399" s="21">
        <v>1</v>
      </c>
      <c r="E1399" s="21">
        <v>1</v>
      </c>
      <c r="F1399" s="21">
        <v>1</v>
      </c>
      <c r="G1399" s="21">
        <v>0</v>
      </c>
      <c r="H1399" s="21">
        <v>0</v>
      </c>
      <c r="I1399" s="21">
        <v>0</v>
      </c>
      <c r="L1399" t="str">
        <f t="shared" si="917"/>
        <v>a</v>
      </c>
      <c r="M1399">
        <v>6</v>
      </c>
      <c r="N1399" s="23" t="str">
        <f t="shared" si="900"/>
        <v>#</v>
      </c>
      <c r="O1399" s="7" t="str">
        <f t="shared" si="901"/>
        <v>#</v>
      </c>
      <c r="P1399" s="7" t="str">
        <f t="shared" si="902"/>
        <v>#</v>
      </c>
      <c r="Q1399" s="7" t="str">
        <f t="shared" si="903"/>
        <v>#</v>
      </c>
      <c r="R1399" s="17" t="str">
        <f t="shared" si="904"/>
        <v>#</v>
      </c>
      <c r="S1399" s="8" t="str">
        <f t="shared" si="905"/>
        <v/>
      </c>
      <c r="T1399" s="2" t="str">
        <f t="shared" si="906"/>
        <v/>
      </c>
      <c r="U1399" s="2" t="str">
        <f t="shared" si="907"/>
        <v/>
      </c>
      <c r="V1399" t="str">
        <f t="shared" si="883"/>
        <v/>
      </c>
      <c r="X1399">
        <f t="shared" si="918"/>
        <v>1</v>
      </c>
      <c r="Y1399">
        <f t="shared" si="919"/>
        <v>0</v>
      </c>
      <c r="Z1399">
        <f t="shared" si="920"/>
        <v>0</v>
      </c>
      <c r="AA1399">
        <f t="shared" si="921"/>
        <v>0</v>
      </c>
      <c r="AB1399">
        <f t="shared" si="922"/>
        <v>1</v>
      </c>
      <c r="AC1399">
        <f t="shared" si="923"/>
        <v>0</v>
      </c>
      <c r="AE1399" t="str">
        <f>(F1409*128+F1408*64+F1407*32+F1406*16+F1405*8+F1404*4+F1403*2+F1402)*256+F1401*128+F1400*64+F1399*32+F1398*16+F1397*8+F1396*4+F1395*2+F1394&amp;","</f>
        <v>16352,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7"/>
        <v>a</v>
      </c>
      <c r="M1400">
        <v>7</v>
      </c>
      <c r="N1400" s="23" t="str">
        <f t="shared" si="900"/>
        <v>#</v>
      </c>
      <c r="O1400" s="7" t="str">
        <f t="shared" si="901"/>
        <v>#</v>
      </c>
      <c r="P1400" s="7" t="str">
        <f t="shared" si="902"/>
        <v/>
      </c>
      <c r="Q1400" s="7" t="str">
        <f t="shared" si="903"/>
        <v>#</v>
      </c>
      <c r="R1400" s="17" t="str">
        <f t="shared" si="904"/>
        <v>#</v>
      </c>
      <c r="S1400" s="8" t="str">
        <f t="shared" si="905"/>
        <v/>
      </c>
      <c r="T1400" s="2" t="str">
        <f t="shared" si="906"/>
        <v/>
      </c>
      <c r="U1400" s="2" t="str">
        <f t="shared" si="907"/>
        <v/>
      </c>
      <c r="V1400" t="str">
        <f t="shared" si="883"/>
        <v/>
      </c>
      <c r="X1400">
        <f t="shared" si="918"/>
        <v>0</v>
      </c>
      <c r="Y1400">
        <f t="shared" si="919"/>
        <v>0</v>
      </c>
      <c r="Z1400">
        <f t="shared" si="920"/>
        <v>0</v>
      </c>
      <c r="AA1400">
        <f t="shared" si="921"/>
        <v>0</v>
      </c>
      <c r="AB1400">
        <f t="shared" si="922"/>
        <v>0</v>
      </c>
      <c r="AC1400">
        <f t="shared" si="923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7"/>
        <v>a</v>
      </c>
      <c r="M1401">
        <v>8</v>
      </c>
      <c r="N1401" s="23" t="str">
        <f t="shared" si="900"/>
        <v>#</v>
      </c>
      <c r="O1401" s="7" t="str">
        <f t="shared" si="901"/>
        <v/>
      </c>
      <c r="P1401" s="7" t="str">
        <f t="shared" si="902"/>
        <v/>
      </c>
      <c r="Q1401" s="7" t="str">
        <f t="shared" si="903"/>
        <v/>
      </c>
      <c r="R1401" s="17" t="str">
        <f t="shared" si="904"/>
        <v>#</v>
      </c>
      <c r="S1401" s="8" t="str">
        <f t="shared" si="905"/>
        <v/>
      </c>
      <c r="T1401" s="2" t="str">
        <f t="shared" si="906"/>
        <v/>
      </c>
      <c r="U1401" s="2" t="str">
        <f t="shared" si="907"/>
        <v/>
      </c>
      <c r="V1401" t="str">
        <f t="shared" si="883"/>
        <v/>
      </c>
      <c r="X1401">
        <f t="shared" si="918"/>
        <v>0</v>
      </c>
      <c r="Y1401">
        <f t="shared" si="919"/>
        <v>0</v>
      </c>
      <c r="Z1401">
        <f t="shared" si="920"/>
        <v>0</v>
      </c>
      <c r="AA1401">
        <f t="shared" si="921"/>
        <v>0</v>
      </c>
      <c r="AB1401">
        <f t="shared" si="922"/>
        <v>0</v>
      </c>
      <c r="AC1401">
        <f t="shared" si="923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7"/>
        <v>a</v>
      </c>
      <c r="M1402">
        <v>9</v>
      </c>
      <c r="N1402" s="23" t="str">
        <f t="shared" si="900"/>
        <v>#</v>
      </c>
      <c r="O1402" s="7" t="str">
        <f t="shared" si="901"/>
        <v/>
      </c>
      <c r="P1402" s="7" t="str">
        <f t="shared" si="902"/>
        <v/>
      </c>
      <c r="Q1402" s="7" t="str">
        <f t="shared" si="903"/>
        <v/>
      </c>
      <c r="R1402" s="17" t="str">
        <f t="shared" si="904"/>
        <v>#</v>
      </c>
      <c r="S1402" s="8" t="str">
        <f t="shared" si="905"/>
        <v/>
      </c>
      <c r="T1402" s="2" t="str">
        <f t="shared" si="906"/>
        <v/>
      </c>
      <c r="U1402" s="2" t="str">
        <f t="shared" si="907"/>
        <v/>
      </c>
      <c r="V1402" t="str">
        <f t="shared" si="883"/>
        <v/>
      </c>
      <c r="X1402">
        <f t="shared" si="918"/>
        <v>0</v>
      </c>
      <c r="Y1402">
        <f t="shared" si="919"/>
        <v>0</v>
      </c>
      <c r="Z1402">
        <f t="shared" si="920"/>
        <v>0</v>
      </c>
      <c r="AA1402">
        <f t="shared" si="921"/>
        <v>0</v>
      </c>
      <c r="AB1402">
        <f t="shared" si="922"/>
        <v>0</v>
      </c>
      <c r="AC1402">
        <f t="shared" si="923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7"/>
        <v>a</v>
      </c>
      <c r="M1403">
        <v>10</v>
      </c>
      <c r="N1403" s="23" t="str">
        <f t="shared" si="900"/>
        <v>#</v>
      </c>
      <c r="O1403" s="7" t="str">
        <f t="shared" si="901"/>
        <v>#</v>
      </c>
      <c r="P1403" s="7" t="str">
        <f t="shared" si="902"/>
        <v>#</v>
      </c>
      <c r="Q1403" s="7" t="str">
        <f t="shared" si="903"/>
        <v>#</v>
      </c>
      <c r="R1403" s="17" t="str">
        <f t="shared" si="904"/>
        <v>#</v>
      </c>
      <c r="S1403" s="8" t="str">
        <f t="shared" si="905"/>
        <v/>
      </c>
      <c r="T1403" s="2" t="str">
        <f t="shared" si="906"/>
        <v/>
      </c>
      <c r="U1403" s="2" t="str">
        <f t="shared" si="907"/>
        <v/>
      </c>
      <c r="V1403" t="str">
        <f t="shared" si="883"/>
        <v/>
      </c>
      <c r="X1403">
        <f t="shared" si="918"/>
        <v>0</v>
      </c>
      <c r="Y1403">
        <f t="shared" si="919"/>
        <v>1</v>
      </c>
      <c r="Z1403">
        <f t="shared" si="920"/>
        <v>1</v>
      </c>
      <c r="AA1403">
        <f t="shared" si="921"/>
        <v>1</v>
      </c>
      <c r="AB1403">
        <f t="shared" si="922"/>
        <v>0</v>
      </c>
      <c r="AC1403">
        <f t="shared" si="923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7"/>
        <v>a</v>
      </c>
      <c r="M1404">
        <v>11</v>
      </c>
      <c r="N1404" s="23" t="str">
        <f t="shared" si="900"/>
        <v>#</v>
      </c>
      <c r="O1404" s="7" t="str">
        <f t="shared" si="901"/>
        <v>#</v>
      </c>
      <c r="P1404" s="7" t="str">
        <f t="shared" si="902"/>
        <v>#</v>
      </c>
      <c r="Q1404" s="7" t="str">
        <f t="shared" si="903"/>
        <v>#</v>
      </c>
      <c r="R1404" s="17" t="str">
        <f t="shared" si="904"/>
        <v>#</v>
      </c>
      <c r="S1404" s="8" t="str">
        <f t="shared" si="905"/>
        <v/>
      </c>
      <c r="T1404" s="2" t="str">
        <f t="shared" si="906"/>
        <v/>
      </c>
      <c r="U1404" s="2" t="str">
        <f t="shared" si="907"/>
        <v/>
      </c>
      <c r="V1404" t="str">
        <f t="shared" si="883"/>
        <v/>
      </c>
      <c r="X1404">
        <f t="shared" si="918"/>
        <v>0</v>
      </c>
      <c r="Y1404">
        <f t="shared" si="919"/>
        <v>0</v>
      </c>
      <c r="Z1404">
        <f t="shared" si="920"/>
        <v>0</v>
      </c>
      <c r="AA1404">
        <f t="shared" si="921"/>
        <v>0</v>
      </c>
      <c r="AB1404">
        <f t="shared" si="922"/>
        <v>0</v>
      </c>
      <c r="AC1404">
        <f t="shared" si="923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7"/>
        <v>a</v>
      </c>
      <c r="M1405">
        <v>12</v>
      </c>
      <c r="N1405" s="23" t="str">
        <f t="shared" si="900"/>
        <v>#</v>
      </c>
      <c r="O1405" s="7" t="str">
        <f t="shared" si="901"/>
        <v/>
      </c>
      <c r="P1405" s="7" t="str">
        <f t="shared" si="902"/>
        <v/>
      </c>
      <c r="Q1405" s="7" t="str">
        <f t="shared" si="903"/>
        <v/>
      </c>
      <c r="R1405" s="17" t="str">
        <f t="shared" si="904"/>
        <v>#</v>
      </c>
      <c r="S1405" s="8" t="str">
        <f t="shared" si="905"/>
        <v/>
      </c>
      <c r="T1405" s="2" t="str">
        <f t="shared" si="906"/>
        <v/>
      </c>
      <c r="U1405" s="2" t="str">
        <f t="shared" si="907"/>
        <v/>
      </c>
      <c r="V1405" t="str">
        <f t="shared" si="883"/>
        <v/>
      </c>
      <c r="X1405">
        <f t="shared" si="918"/>
        <v>0</v>
      </c>
      <c r="Y1405">
        <f t="shared" si="919"/>
        <v>0</v>
      </c>
      <c r="Z1405">
        <f t="shared" si="920"/>
        <v>0</v>
      </c>
      <c r="AA1405">
        <f t="shared" si="921"/>
        <v>0</v>
      </c>
      <c r="AB1405">
        <f t="shared" si="922"/>
        <v>0</v>
      </c>
      <c r="AC1405">
        <f t="shared" si="923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7"/>
        <v>a</v>
      </c>
      <c r="M1406">
        <v>13</v>
      </c>
      <c r="N1406" s="6" t="str">
        <f t="shared" si="900"/>
        <v>#</v>
      </c>
      <c r="O1406" s="7" t="str">
        <f t="shared" si="901"/>
        <v/>
      </c>
      <c r="P1406" s="7" t="str">
        <f t="shared" si="902"/>
        <v/>
      </c>
      <c r="Q1406" s="7" t="str">
        <f t="shared" si="903"/>
        <v/>
      </c>
      <c r="R1406" s="17" t="str">
        <f t="shared" si="904"/>
        <v>#</v>
      </c>
      <c r="S1406" s="8" t="str">
        <f t="shared" si="905"/>
        <v/>
      </c>
      <c r="T1406" s="2" t="str">
        <f t="shared" si="906"/>
        <v/>
      </c>
      <c r="U1406" s="2" t="str">
        <f t="shared" si="907"/>
        <v/>
      </c>
      <c r="V1406" t="str">
        <f t="shared" si="883"/>
        <v/>
      </c>
      <c r="X1406">
        <f t="shared" si="918"/>
        <v>0</v>
      </c>
      <c r="Y1406">
        <f t="shared" si="919"/>
        <v>0</v>
      </c>
      <c r="Z1406">
        <f t="shared" si="920"/>
        <v>0</v>
      </c>
      <c r="AA1406">
        <f t="shared" si="921"/>
        <v>0</v>
      </c>
      <c r="AB1406">
        <f t="shared" si="922"/>
        <v>0</v>
      </c>
      <c r="AC1406">
        <f t="shared" si="923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7"/>
        <v>a</v>
      </c>
      <c r="M1407">
        <v>14</v>
      </c>
      <c r="N1407" s="18" t="str">
        <f t="shared" si="900"/>
        <v>#</v>
      </c>
      <c r="O1407" s="19" t="str">
        <f t="shared" si="901"/>
        <v/>
      </c>
      <c r="P1407" s="19" t="str">
        <f t="shared" si="902"/>
        <v/>
      </c>
      <c r="Q1407" s="19" t="str">
        <f t="shared" si="903"/>
        <v/>
      </c>
      <c r="R1407" s="20" t="str">
        <f t="shared" si="904"/>
        <v>#</v>
      </c>
      <c r="S1407" s="8" t="str">
        <f t="shared" si="905"/>
        <v/>
      </c>
      <c r="T1407" s="2" t="str">
        <f t="shared" si="906"/>
        <v/>
      </c>
      <c r="U1407" s="2" t="str">
        <f t="shared" si="907"/>
        <v/>
      </c>
      <c r="V1407" t="str">
        <f t="shared" si="883"/>
        <v/>
      </c>
      <c r="X1407">
        <f t="shared" si="918"/>
        <v>0</v>
      </c>
      <c r="Y1407">
        <f t="shared" si="919"/>
        <v>0</v>
      </c>
      <c r="Z1407">
        <f t="shared" si="920"/>
        <v>0</v>
      </c>
      <c r="AA1407">
        <f t="shared" si="921"/>
        <v>0</v>
      </c>
      <c r="AB1407">
        <f t="shared" si="922"/>
        <v>0</v>
      </c>
      <c r="AC1407">
        <f t="shared" si="923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7"/>
        <v>a</v>
      </c>
      <c r="M1408">
        <v>15</v>
      </c>
      <c r="N1408" s="9" t="str">
        <f t="shared" si="900"/>
        <v/>
      </c>
      <c r="O1408" s="10" t="str">
        <f t="shared" si="901"/>
        <v/>
      </c>
      <c r="P1408" s="10" t="str">
        <f t="shared" si="902"/>
        <v/>
      </c>
      <c r="Q1408" s="10" t="str">
        <f t="shared" si="903"/>
        <v/>
      </c>
      <c r="R1408" s="10" t="str">
        <f t="shared" si="904"/>
        <v/>
      </c>
      <c r="S1408" s="11" t="str">
        <f t="shared" si="905"/>
        <v/>
      </c>
      <c r="T1408" s="2" t="str">
        <f t="shared" si="906"/>
        <v/>
      </c>
      <c r="U1408" s="2" t="str">
        <f t="shared" si="907"/>
        <v/>
      </c>
      <c r="V1408" t="str">
        <f t="shared" si="883"/>
        <v/>
      </c>
      <c r="X1408">
        <f t="shared" si="918"/>
        <v>0</v>
      </c>
      <c r="Y1408">
        <f t="shared" si="919"/>
        <v>0</v>
      </c>
      <c r="Z1408">
        <f t="shared" si="920"/>
        <v>0</v>
      </c>
      <c r="AA1408">
        <f t="shared" si="921"/>
        <v>0</v>
      </c>
      <c r="AB1408">
        <f t="shared" si="922"/>
        <v>0</v>
      </c>
      <c r="AC1408">
        <f t="shared" si="923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7"/>
        <v>a</v>
      </c>
      <c r="M1409">
        <v>16</v>
      </c>
      <c r="N1409" s="12" t="str">
        <f t="shared" si="900"/>
        <v/>
      </c>
      <c r="O1409" s="13" t="str">
        <f t="shared" si="901"/>
        <v/>
      </c>
      <c r="P1409" s="13" t="str">
        <f t="shared" si="902"/>
        <v/>
      </c>
      <c r="Q1409" s="13" t="str">
        <f t="shared" si="903"/>
        <v/>
      </c>
      <c r="R1409" s="13" t="str">
        <f t="shared" si="904"/>
        <v/>
      </c>
      <c r="S1409" s="14" t="str">
        <f t="shared" si="905"/>
        <v/>
      </c>
      <c r="T1409" s="2" t="str">
        <f t="shared" si="906"/>
        <v/>
      </c>
      <c r="U1409" s="2" t="str">
        <f t="shared" si="907"/>
        <v/>
      </c>
      <c r="V1409" t="str">
        <f t="shared" si="883"/>
        <v/>
      </c>
      <c r="X1409">
        <f t="shared" si="918"/>
        <v>0</v>
      </c>
      <c r="Y1409">
        <f t="shared" si="919"/>
        <v>0</v>
      </c>
      <c r="Z1409">
        <f t="shared" si="920"/>
        <v>0</v>
      </c>
      <c r="AA1409">
        <f t="shared" si="921"/>
        <v>0</v>
      </c>
      <c r="AB1409">
        <f t="shared" si="922"/>
        <v>0</v>
      </c>
      <c r="AC1409">
        <f t="shared" si="923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900"/>
        <v/>
      </c>
      <c r="O1410" t="str">
        <f t="shared" si="901"/>
        <v/>
      </c>
      <c r="P1410" t="str">
        <f t="shared" si="902"/>
        <v/>
      </c>
      <c r="Q1410" t="str">
        <f t="shared" si="903"/>
        <v/>
      </c>
      <c r="R1410" t="str">
        <f t="shared" si="904"/>
        <v/>
      </c>
      <c r="S1410" t="str">
        <f t="shared" si="905"/>
        <v/>
      </c>
      <c r="T1410" s="2" t="str">
        <f t="shared" si="906"/>
        <v/>
      </c>
      <c r="U1410" s="2" t="str">
        <f t="shared" si="907"/>
        <v/>
      </c>
      <c r="V1410" t="str">
        <f t="shared" ref="V1410:V1473" si="924">IF(A1410=0,"",M1410)</f>
        <v/>
      </c>
      <c r="W1410">
        <f>SUM(B1412:G1425)</f>
        <v>32</v>
      </c>
      <c r="AD1410">
        <f t="shared" ref="AD1410" si="925">SUM(X1412:AC1425)</f>
        <v>11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6">L1410</f>
        <v>b</v>
      </c>
      <c r="M1411">
        <v>2</v>
      </c>
      <c r="N1411" t="str">
        <f t="shared" si="900"/>
        <v/>
      </c>
      <c r="O1411" t="str">
        <f t="shared" si="901"/>
        <v/>
      </c>
      <c r="P1411" t="str">
        <f t="shared" si="902"/>
        <v/>
      </c>
      <c r="Q1411" t="str">
        <f t="shared" si="903"/>
        <v/>
      </c>
      <c r="R1411" t="str">
        <f t="shared" si="904"/>
        <v/>
      </c>
      <c r="S1411" t="str">
        <f t="shared" si="905"/>
        <v/>
      </c>
      <c r="T1411" s="2" t="str">
        <f t="shared" si="906"/>
        <v/>
      </c>
      <c r="U1411" s="2" t="str">
        <f t="shared" si="907"/>
        <v/>
      </c>
      <c r="V1411" t="str">
        <f t="shared" si="924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6"/>
        <v>b</v>
      </c>
      <c r="M1412">
        <v>3</v>
      </c>
      <c r="N1412" s="3" t="str">
        <f t="shared" si="900"/>
        <v/>
      </c>
      <c r="O1412" s="4" t="str">
        <f t="shared" si="901"/>
        <v/>
      </c>
      <c r="P1412" s="4" t="str">
        <f t="shared" si="902"/>
        <v/>
      </c>
      <c r="Q1412" s="4" t="str">
        <f t="shared" si="903"/>
        <v/>
      </c>
      <c r="R1412" s="4" t="str">
        <f t="shared" si="904"/>
        <v/>
      </c>
      <c r="S1412" s="5" t="str">
        <f t="shared" si="905"/>
        <v/>
      </c>
      <c r="T1412" s="2" t="str">
        <f t="shared" si="906"/>
        <v/>
      </c>
      <c r="U1412" s="2" t="str">
        <f t="shared" si="907"/>
        <v/>
      </c>
      <c r="V1412" t="str">
        <f t="shared" si="924"/>
        <v/>
      </c>
      <c r="X1412">
        <f t="shared" ref="X1412:X1425" si="927">MAX(B1412-B1411,0)</f>
        <v>0</v>
      </c>
      <c r="Y1412">
        <f t="shared" ref="Y1412:Y1425" si="928">MAX(C1412-C1411,0)</f>
        <v>0</v>
      </c>
      <c r="Z1412">
        <f t="shared" ref="Z1412:Z1425" si="929">MAX(D1412-D1411,0)</f>
        <v>0</v>
      </c>
      <c r="AA1412">
        <f t="shared" ref="AA1412:AA1425" si="930">MAX(E1412-E1411,0)</f>
        <v>0</v>
      </c>
      <c r="AB1412">
        <f t="shared" ref="AB1412:AB1425" si="931">MAX(F1412-F1411,0)</f>
        <v>0</v>
      </c>
      <c r="AC1412">
        <f t="shared" ref="AC1412:AC1425" si="932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6"/>
        <v>b</v>
      </c>
      <c r="M1413">
        <v>4</v>
      </c>
      <c r="N1413" s="6" t="str">
        <f t="shared" si="900"/>
        <v/>
      </c>
      <c r="O1413" s="7" t="str">
        <f t="shared" si="901"/>
        <v/>
      </c>
      <c r="P1413" s="7" t="str">
        <f t="shared" si="902"/>
        <v/>
      </c>
      <c r="Q1413" s="7" t="str">
        <f t="shared" si="903"/>
        <v/>
      </c>
      <c r="R1413" s="7" t="str">
        <f t="shared" si="904"/>
        <v/>
      </c>
      <c r="S1413" s="8" t="str">
        <f t="shared" si="905"/>
        <v/>
      </c>
      <c r="T1413" s="2" t="str">
        <f t="shared" si="906"/>
        <v/>
      </c>
      <c r="U1413" s="2" t="str">
        <f t="shared" si="907"/>
        <v/>
      </c>
      <c r="V1413" t="str">
        <f t="shared" si="924"/>
        <v/>
      </c>
      <c r="X1413">
        <f t="shared" si="927"/>
        <v>0</v>
      </c>
      <c r="Y1413">
        <f t="shared" si="928"/>
        <v>0</v>
      </c>
      <c r="Z1413">
        <f t="shared" si="929"/>
        <v>0</v>
      </c>
      <c r="AA1413">
        <f t="shared" si="930"/>
        <v>0</v>
      </c>
      <c r="AB1413">
        <f t="shared" si="931"/>
        <v>0</v>
      </c>
      <c r="AC1413">
        <f t="shared" si="932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6"/>
        <v>b</v>
      </c>
      <c r="M1414">
        <v>5</v>
      </c>
      <c r="N1414" s="22" t="str">
        <f t="shared" si="900"/>
        <v>#</v>
      </c>
      <c r="O1414" s="15" t="str">
        <f t="shared" si="901"/>
        <v>#</v>
      </c>
      <c r="P1414" s="15" t="str">
        <f t="shared" si="902"/>
        <v>#</v>
      </c>
      <c r="Q1414" s="15" t="str">
        <f t="shared" si="903"/>
        <v>#</v>
      </c>
      <c r="R1414" s="16" t="str">
        <f t="shared" si="904"/>
        <v/>
      </c>
      <c r="S1414" s="8" t="str">
        <f t="shared" si="905"/>
        <v/>
      </c>
      <c r="T1414" s="2" t="str">
        <f t="shared" si="906"/>
        <v/>
      </c>
      <c r="U1414" s="2" t="str">
        <f t="shared" si="907"/>
        <v/>
      </c>
      <c r="V1414" t="str">
        <f t="shared" si="924"/>
        <v/>
      </c>
      <c r="X1414">
        <f t="shared" si="927"/>
        <v>1</v>
      </c>
      <c r="Y1414">
        <f t="shared" si="928"/>
        <v>1</v>
      </c>
      <c r="Z1414">
        <f t="shared" si="929"/>
        <v>1</v>
      </c>
      <c r="AA1414">
        <f t="shared" si="930"/>
        <v>1</v>
      </c>
      <c r="AB1414">
        <f t="shared" si="931"/>
        <v>0</v>
      </c>
      <c r="AC1414">
        <f t="shared" si="932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6"/>
        <v>b</v>
      </c>
      <c r="M1415">
        <v>6</v>
      </c>
      <c r="N1415" s="23" t="str">
        <f t="shared" si="900"/>
        <v>#</v>
      </c>
      <c r="O1415" s="7" t="str">
        <f t="shared" si="901"/>
        <v>#</v>
      </c>
      <c r="P1415" s="7" t="str">
        <f t="shared" si="902"/>
        <v>#</v>
      </c>
      <c r="Q1415" s="7" t="str">
        <f t="shared" si="903"/>
        <v>#</v>
      </c>
      <c r="R1415" s="17" t="str">
        <f t="shared" si="904"/>
        <v>#</v>
      </c>
      <c r="S1415" s="8" t="str">
        <f t="shared" si="905"/>
        <v/>
      </c>
      <c r="T1415" s="2" t="str">
        <f t="shared" si="906"/>
        <v/>
      </c>
      <c r="U1415" s="2" t="str">
        <f t="shared" si="907"/>
        <v/>
      </c>
      <c r="V1415" t="str">
        <f t="shared" si="924"/>
        <v/>
      </c>
      <c r="X1415">
        <f t="shared" si="927"/>
        <v>0</v>
      </c>
      <c r="Y1415">
        <f t="shared" si="928"/>
        <v>0</v>
      </c>
      <c r="Z1415">
        <f t="shared" si="929"/>
        <v>0</v>
      </c>
      <c r="AA1415">
        <f t="shared" si="930"/>
        <v>0</v>
      </c>
      <c r="AB1415">
        <f t="shared" si="931"/>
        <v>1</v>
      </c>
      <c r="AC1415">
        <f t="shared" si="932"/>
        <v>0</v>
      </c>
      <c r="AE1415" t="str">
        <f>(F1425*128+F1424*64+F1423*32+F1422*16+F1421*8+F1420*4+F1419*2+F1418)*256+F1417*128+F1416*64+F1415*32+F1414*16+F1413*8+F1412*4+F1411*2+F1410&amp;","</f>
        <v>7392,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6"/>
        <v>b</v>
      </c>
      <c r="M1416">
        <v>7</v>
      </c>
      <c r="N1416" s="23" t="str">
        <f t="shared" si="900"/>
        <v/>
      </c>
      <c r="O1416" s="7" t="str">
        <f t="shared" si="901"/>
        <v>#</v>
      </c>
      <c r="P1416" s="7" t="str">
        <f t="shared" si="902"/>
        <v/>
      </c>
      <c r="Q1416" s="7" t="str">
        <f t="shared" si="903"/>
        <v/>
      </c>
      <c r="R1416" s="17" t="str">
        <f t="shared" si="904"/>
        <v>#</v>
      </c>
      <c r="S1416" s="8" t="str">
        <f t="shared" si="905"/>
        <v/>
      </c>
      <c r="T1416" s="2" t="str">
        <f t="shared" si="906"/>
        <v/>
      </c>
      <c r="U1416" s="2" t="str">
        <f t="shared" si="907"/>
        <v/>
      </c>
      <c r="V1416" t="str">
        <f t="shared" si="924"/>
        <v/>
      </c>
      <c r="X1416">
        <f t="shared" si="927"/>
        <v>0</v>
      </c>
      <c r="Y1416">
        <f t="shared" si="928"/>
        <v>0</v>
      </c>
      <c r="Z1416">
        <f t="shared" si="929"/>
        <v>0</v>
      </c>
      <c r="AA1416">
        <f t="shared" si="930"/>
        <v>0</v>
      </c>
      <c r="AB1416">
        <f t="shared" si="931"/>
        <v>0</v>
      </c>
      <c r="AC1416">
        <f t="shared" si="932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6"/>
        <v>b</v>
      </c>
      <c r="M1417">
        <v>8</v>
      </c>
      <c r="N1417" s="23" t="str">
        <f t="shared" si="900"/>
        <v/>
      </c>
      <c r="O1417" s="7" t="str">
        <f t="shared" si="901"/>
        <v>#</v>
      </c>
      <c r="P1417" s="7" t="str">
        <f t="shared" si="902"/>
        <v/>
      </c>
      <c r="Q1417" s="7" t="str">
        <f t="shared" si="903"/>
        <v/>
      </c>
      <c r="R1417" s="17" t="str">
        <f t="shared" si="904"/>
        <v>#</v>
      </c>
      <c r="S1417" s="8" t="str">
        <f t="shared" si="905"/>
        <v/>
      </c>
      <c r="T1417" s="2" t="str">
        <f t="shared" si="906"/>
        <v/>
      </c>
      <c r="U1417" s="2" t="str">
        <f t="shared" si="907"/>
        <v/>
      </c>
      <c r="V1417" t="str">
        <f t="shared" si="924"/>
        <v/>
      </c>
      <c r="X1417">
        <f t="shared" si="927"/>
        <v>0</v>
      </c>
      <c r="Y1417">
        <f t="shared" si="928"/>
        <v>0</v>
      </c>
      <c r="Z1417">
        <f t="shared" si="929"/>
        <v>0</v>
      </c>
      <c r="AA1417">
        <f t="shared" si="930"/>
        <v>0</v>
      </c>
      <c r="AB1417">
        <f t="shared" si="931"/>
        <v>0</v>
      </c>
      <c r="AC1417">
        <f t="shared" si="932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0</v>
      </c>
      <c r="G1418" s="21">
        <v>0</v>
      </c>
      <c r="H1418" s="21">
        <v>0</v>
      </c>
      <c r="I1418" s="21">
        <v>0</v>
      </c>
      <c r="L1418" t="str">
        <f t="shared" si="926"/>
        <v>b</v>
      </c>
      <c r="M1418">
        <v>9</v>
      </c>
      <c r="N1418" s="23" t="str">
        <f t="shared" si="900"/>
        <v/>
      </c>
      <c r="O1418" s="7" t="str">
        <f t="shared" si="901"/>
        <v>#</v>
      </c>
      <c r="P1418" s="7" t="str">
        <f t="shared" si="902"/>
        <v>#</v>
      </c>
      <c r="Q1418" s="7" t="str">
        <f t="shared" si="903"/>
        <v>#</v>
      </c>
      <c r="R1418" s="17" t="str">
        <f t="shared" si="904"/>
        <v/>
      </c>
      <c r="S1418" s="8" t="str">
        <f t="shared" si="905"/>
        <v/>
      </c>
      <c r="T1418" s="2" t="str">
        <f t="shared" si="906"/>
        <v/>
      </c>
      <c r="U1418" s="2" t="str">
        <f t="shared" si="907"/>
        <v/>
      </c>
      <c r="V1418" t="str">
        <f t="shared" si="924"/>
        <v/>
      </c>
      <c r="X1418">
        <f t="shared" si="927"/>
        <v>0</v>
      </c>
      <c r="Y1418">
        <f t="shared" si="928"/>
        <v>0</v>
      </c>
      <c r="Z1418">
        <f t="shared" si="929"/>
        <v>1</v>
      </c>
      <c r="AA1418">
        <f t="shared" si="930"/>
        <v>1</v>
      </c>
      <c r="AB1418">
        <f t="shared" si="931"/>
        <v>0</v>
      </c>
      <c r="AC1418">
        <f t="shared" si="932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0</v>
      </c>
      <c r="G1419" s="21">
        <v>0</v>
      </c>
      <c r="H1419" s="21">
        <v>0</v>
      </c>
      <c r="I1419" s="21">
        <v>0</v>
      </c>
      <c r="L1419" t="str">
        <f t="shared" si="926"/>
        <v>b</v>
      </c>
      <c r="M1419">
        <v>10</v>
      </c>
      <c r="N1419" s="23" t="str">
        <f t="shared" si="900"/>
        <v/>
      </c>
      <c r="O1419" s="7" t="str">
        <f t="shared" si="901"/>
        <v>#</v>
      </c>
      <c r="P1419" s="7" t="str">
        <f t="shared" si="902"/>
        <v>#</v>
      </c>
      <c r="Q1419" s="7" t="str">
        <f t="shared" si="903"/>
        <v>#</v>
      </c>
      <c r="R1419" s="17" t="str">
        <f t="shared" si="904"/>
        <v/>
      </c>
      <c r="S1419" s="8" t="str">
        <f t="shared" si="905"/>
        <v/>
      </c>
      <c r="T1419" s="2" t="str">
        <f t="shared" si="906"/>
        <v/>
      </c>
      <c r="U1419" s="2" t="str">
        <f t="shared" si="907"/>
        <v/>
      </c>
      <c r="V1419" t="str">
        <f t="shared" si="924"/>
        <v/>
      </c>
      <c r="X1419">
        <f t="shared" si="927"/>
        <v>0</v>
      </c>
      <c r="Y1419">
        <f t="shared" si="928"/>
        <v>0</v>
      </c>
      <c r="Z1419">
        <f t="shared" si="929"/>
        <v>0</v>
      </c>
      <c r="AA1419">
        <f t="shared" si="930"/>
        <v>0</v>
      </c>
      <c r="AB1419">
        <f t="shared" si="931"/>
        <v>0</v>
      </c>
      <c r="AC1419">
        <f t="shared" si="932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6"/>
        <v>b</v>
      </c>
      <c r="M1420">
        <v>11</v>
      </c>
      <c r="N1420" s="23" t="str">
        <f t="shared" si="900"/>
        <v/>
      </c>
      <c r="O1420" s="7" t="str">
        <f t="shared" si="901"/>
        <v>#</v>
      </c>
      <c r="P1420" s="7" t="str">
        <f t="shared" si="902"/>
        <v/>
      </c>
      <c r="Q1420" s="7" t="str">
        <f t="shared" si="903"/>
        <v/>
      </c>
      <c r="R1420" s="17" t="str">
        <f t="shared" si="904"/>
        <v>#</v>
      </c>
      <c r="S1420" s="8" t="str">
        <f t="shared" si="905"/>
        <v/>
      </c>
      <c r="T1420" s="2" t="str">
        <f t="shared" si="906"/>
        <v/>
      </c>
      <c r="U1420" s="2" t="str">
        <f t="shared" si="907"/>
        <v/>
      </c>
      <c r="V1420" t="str">
        <f t="shared" si="924"/>
        <v/>
      </c>
      <c r="X1420">
        <f t="shared" si="927"/>
        <v>0</v>
      </c>
      <c r="Y1420">
        <f t="shared" si="928"/>
        <v>0</v>
      </c>
      <c r="Z1420">
        <f t="shared" si="929"/>
        <v>0</v>
      </c>
      <c r="AA1420">
        <f t="shared" si="930"/>
        <v>0</v>
      </c>
      <c r="AB1420">
        <f t="shared" si="931"/>
        <v>1</v>
      </c>
      <c r="AC1420">
        <f t="shared" si="932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6"/>
        <v>b</v>
      </c>
      <c r="M1421">
        <v>12</v>
      </c>
      <c r="N1421" s="23" t="str">
        <f t="shared" si="900"/>
        <v/>
      </c>
      <c r="O1421" s="7" t="str">
        <f t="shared" si="901"/>
        <v>#</v>
      </c>
      <c r="P1421" s="7" t="str">
        <f t="shared" si="902"/>
        <v/>
      </c>
      <c r="Q1421" s="7" t="str">
        <f t="shared" si="903"/>
        <v/>
      </c>
      <c r="R1421" s="17" t="str">
        <f t="shared" si="904"/>
        <v>#</v>
      </c>
      <c r="S1421" s="8" t="str">
        <f t="shared" si="905"/>
        <v/>
      </c>
      <c r="T1421" s="2" t="str">
        <f t="shared" si="906"/>
        <v/>
      </c>
      <c r="U1421" s="2" t="str">
        <f t="shared" si="907"/>
        <v/>
      </c>
      <c r="V1421" t="str">
        <f t="shared" si="924"/>
        <v/>
      </c>
      <c r="X1421">
        <f t="shared" si="927"/>
        <v>0</v>
      </c>
      <c r="Y1421">
        <f t="shared" si="928"/>
        <v>0</v>
      </c>
      <c r="Z1421">
        <f t="shared" si="929"/>
        <v>0</v>
      </c>
      <c r="AA1421">
        <f t="shared" si="930"/>
        <v>0</v>
      </c>
      <c r="AB1421">
        <f t="shared" si="931"/>
        <v>0</v>
      </c>
      <c r="AC1421">
        <f t="shared" si="932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6"/>
        <v>b</v>
      </c>
      <c r="M1422">
        <v>13</v>
      </c>
      <c r="N1422" s="6" t="str">
        <f t="shared" si="900"/>
        <v>#</v>
      </c>
      <c r="O1422" s="7" t="str">
        <f t="shared" si="901"/>
        <v>#</v>
      </c>
      <c r="P1422" s="7" t="str">
        <f t="shared" si="902"/>
        <v>#</v>
      </c>
      <c r="Q1422" s="7" t="str">
        <f t="shared" si="903"/>
        <v>#</v>
      </c>
      <c r="R1422" s="17" t="str">
        <f t="shared" si="904"/>
        <v>#</v>
      </c>
      <c r="S1422" s="8" t="str">
        <f t="shared" si="905"/>
        <v/>
      </c>
      <c r="T1422" s="2" t="str">
        <f t="shared" si="906"/>
        <v/>
      </c>
      <c r="U1422" s="2" t="str">
        <f t="shared" si="907"/>
        <v/>
      </c>
      <c r="V1422" t="str">
        <f t="shared" si="924"/>
        <v/>
      </c>
      <c r="X1422">
        <f t="shared" si="927"/>
        <v>1</v>
      </c>
      <c r="Y1422">
        <f t="shared" si="928"/>
        <v>0</v>
      </c>
      <c r="Z1422">
        <f t="shared" si="929"/>
        <v>1</v>
      </c>
      <c r="AA1422">
        <f t="shared" si="930"/>
        <v>1</v>
      </c>
      <c r="AB1422">
        <f t="shared" si="931"/>
        <v>0</v>
      </c>
      <c r="AC1422">
        <f t="shared" si="932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6"/>
        <v>b</v>
      </c>
      <c r="M1423">
        <v>14</v>
      </c>
      <c r="N1423" s="18" t="str">
        <f t="shared" si="900"/>
        <v>#</v>
      </c>
      <c r="O1423" s="19" t="str">
        <f t="shared" si="901"/>
        <v>#</v>
      </c>
      <c r="P1423" s="19" t="str">
        <f t="shared" si="902"/>
        <v>#</v>
      </c>
      <c r="Q1423" s="19" t="str">
        <f t="shared" si="903"/>
        <v>#</v>
      </c>
      <c r="R1423" s="20" t="str">
        <f t="shared" si="904"/>
        <v/>
      </c>
      <c r="S1423" s="8" t="str">
        <f t="shared" si="905"/>
        <v/>
      </c>
      <c r="T1423" s="2" t="str">
        <f t="shared" si="906"/>
        <v/>
      </c>
      <c r="U1423" s="2" t="str">
        <f t="shared" si="907"/>
        <v/>
      </c>
      <c r="V1423" t="str">
        <f t="shared" si="924"/>
        <v/>
      </c>
      <c r="X1423">
        <f t="shared" si="927"/>
        <v>0</v>
      </c>
      <c r="Y1423">
        <f t="shared" si="928"/>
        <v>0</v>
      </c>
      <c r="Z1423">
        <f t="shared" si="929"/>
        <v>0</v>
      </c>
      <c r="AA1423">
        <f t="shared" si="930"/>
        <v>0</v>
      </c>
      <c r="AB1423">
        <f t="shared" si="931"/>
        <v>0</v>
      </c>
      <c r="AC1423">
        <f t="shared" si="932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6"/>
        <v>b</v>
      </c>
      <c r="M1424">
        <v>15</v>
      </c>
      <c r="N1424" s="9" t="str">
        <f t="shared" si="900"/>
        <v/>
      </c>
      <c r="O1424" s="10" t="str">
        <f t="shared" si="901"/>
        <v/>
      </c>
      <c r="P1424" s="10" t="str">
        <f t="shared" si="902"/>
        <v/>
      </c>
      <c r="Q1424" s="10" t="str">
        <f t="shared" si="903"/>
        <v/>
      </c>
      <c r="R1424" s="10" t="str">
        <f t="shared" si="904"/>
        <v/>
      </c>
      <c r="S1424" s="11" t="str">
        <f t="shared" si="905"/>
        <v/>
      </c>
      <c r="T1424" s="2" t="str">
        <f t="shared" si="906"/>
        <v/>
      </c>
      <c r="U1424" s="2" t="str">
        <f t="shared" si="907"/>
        <v/>
      </c>
      <c r="V1424" t="str">
        <f t="shared" si="924"/>
        <v/>
      </c>
      <c r="X1424">
        <f t="shared" si="927"/>
        <v>0</v>
      </c>
      <c r="Y1424">
        <f t="shared" si="928"/>
        <v>0</v>
      </c>
      <c r="Z1424">
        <f t="shared" si="929"/>
        <v>0</v>
      </c>
      <c r="AA1424">
        <f t="shared" si="930"/>
        <v>0</v>
      </c>
      <c r="AB1424">
        <f t="shared" si="931"/>
        <v>0</v>
      </c>
      <c r="AC1424">
        <f t="shared" si="932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6"/>
        <v>b</v>
      </c>
      <c r="M1425">
        <v>16</v>
      </c>
      <c r="N1425" s="12" t="str">
        <f t="shared" si="900"/>
        <v/>
      </c>
      <c r="O1425" s="13" t="str">
        <f t="shared" si="901"/>
        <v/>
      </c>
      <c r="P1425" s="13" t="str">
        <f t="shared" si="902"/>
        <v/>
      </c>
      <c r="Q1425" s="13" t="str">
        <f t="shared" si="903"/>
        <v/>
      </c>
      <c r="R1425" s="13" t="str">
        <f t="shared" si="904"/>
        <v/>
      </c>
      <c r="S1425" s="14" t="str">
        <f t="shared" si="905"/>
        <v/>
      </c>
      <c r="T1425" s="2" t="str">
        <f t="shared" si="906"/>
        <v/>
      </c>
      <c r="U1425" s="2" t="str">
        <f t="shared" si="907"/>
        <v/>
      </c>
      <c r="V1425" t="str">
        <f t="shared" si="924"/>
        <v/>
      </c>
      <c r="X1425">
        <f t="shared" si="927"/>
        <v>0</v>
      </c>
      <c r="Y1425">
        <f t="shared" si="928"/>
        <v>0</v>
      </c>
      <c r="Z1425">
        <f t="shared" si="929"/>
        <v>0</v>
      </c>
      <c r="AA1425">
        <f t="shared" si="930"/>
        <v>0</v>
      </c>
      <c r="AB1425">
        <f t="shared" si="931"/>
        <v>0</v>
      </c>
      <c r="AC1425">
        <f t="shared" si="932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900"/>
        <v/>
      </c>
      <c r="O1426" t="str">
        <f t="shared" si="901"/>
        <v/>
      </c>
      <c r="P1426" t="str">
        <f t="shared" si="902"/>
        <v/>
      </c>
      <c r="Q1426" t="str">
        <f t="shared" si="903"/>
        <v/>
      </c>
      <c r="R1426" t="str">
        <f t="shared" si="904"/>
        <v/>
      </c>
      <c r="S1426" t="str">
        <f t="shared" si="905"/>
        <v/>
      </c>
      <c r="T1426" s="2" t="str">
        <f t="shared" si="906"/>
        <v/>
      </c>
      <c r="U1426" s="2" t="str">
        <f t="shared" si="907"/>
        <v/>
      </c>
      <c r="V1426" t="str">
        <f t="shared" si="924"/>
        <v/>
      </c>
      <c r="W1426">
        <f>SUM(B1428:G1441)</f>
        <v>26</v>
      </c>
      <c r="AD1426">
        <f t="shared" ref="AD1426" si="933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34">L1426</f>
        <v>c</v>
      </c>
      <c r="M1427">
        <v>2</v>
      </c>
      <c r="N1427" t="str">
        <f t="shared" si="900"/>
        <v/>
      </c>
      <c r="O1427" t="str">
        <f t="shared" si="901"/>
        <v/>
      </c>
      <c r="P1427" t="str">
        <f t="shared" si="902"/>
        <v/>
      </c>
      <c r="Q1427" t="str">
        <f t="shared" si="903"/>
        <v/>
      </c>
      <c r="R1427" t="str">
        <f t="shared" si="904"/>
        <v/>
      </c>
      <c r="S1427" t="str">
        <f t="shared" si="905"/>
        <v/>
      </c>
      <c r="T1427" s="2" t="str">
        <f t="shared" si="906"/>
        <v/>
      </c>
      <c r="U1427" s="2" t="str">
        <f t="shared" si="907"/>
        <v/>
      </c>
      <c r="V1427" t="str">
        <f t="shared" si="924"/>
        <v/>
      </c>
      <c r="AE1427" t="str">
        <f>(B1441*128+B1440*64+B1439*32+B1438*16+B1437*8+B1436*4+B1435*2+B1434)*256+B1433*128+B1432*64+B1431*32+B1430*16+B1429*8+B1428*4+B1427*2+B1426&amp;","</f>
        <v>16368,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34"/>
        <v>c</v>
      </c>
      <c r="M1428">
        <v>3</v>
      </c>
      <c r="N1428" s="3" t="str">
        <f t="shared" si="900"/>
        <v/>
      </c>
      <c r="O1428" s="4" t="str">
        <f t="shared" si="901"/>
        <v/>
      </c>
      <c r="P1428" s="4" t="str">
        <f t="shared" si="902"/>
        <v/>
      </c>
      <c r="Q1428" s="4" t="str">
        <f t="shared" si="903"/>
        <v/>
      </c>
      <c r="R1428" s="4" t="str">
        <f t="shared" si="904"/>
        <v/>
      </c>
      <c r="S1428" s="5" t="str">
        <f t="shared" si="905"/>
        <v/>
      </c>
      <c r="T1428" s="2" t="str">
        <f t="shared" si="906"/>
        <v/>
      </c>
      <c r="U1428" s="2" t="str">
        <f t="shared" si="907"/>
        <v/>
      </c>
      <c r="V1428" t="str">
        <f t="shared" si="924"/>
        <v/>
      </c>
      <c r="X1428">
        <f t="shared" ref="X1428:X1441" si="935">MAX(B1428-B1427,0)</f>
        <v>0</v>
      </c>
      <c r="Y1428">
        <f t="shared" ref="Y1428:Y1441" si="936">MAX(C1428-C1427,0)</f>
        <v>0</v>
      </c>
      <c r="Z1428">
        <f t="shared" ref="Z1428:Z1441" si="937">MAX(D1428-D1427,0)</f>
        <v>0</v>
      </c>
      <c r="AA1428">
        <f t="shared" ref="AA1428:AA1441" si="938">MAX(E1428-E1427,0)</f>
        <v>0</v>
      </c>
      <c r="AB1428">
        <f t="shared" ref="AB1428:AB1441" si="939">MAX(F1428-F1427,0)</f>
        <v>0</v>
      </c>
      <c r="AC1428">
        <f t="shared" ref="AC1428:AC1441" si="940">MAX(G1428-G1427,0)</f>
        <v>0</v>
      </c>
      <c r="AE1428" t="str">
        <f>(C1441*128+C1440*64+C1439*32+C1438*16+C1437*8+C1436*4+C1435*2+C1434)*256+C1433*128+C1432*64+C1431*32+C1430*16+C1429*8+C1428*4+C1427*2+C1426&amp;","</f>
        <v>12336,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34"/>
        <v>c</v>
      </c>
      <c r="M1429">
        <v>4</v>
      </c>
      <c r="N1429" s="6" t="str">
        <f t="shared" si="900"/>
        <v/>
      </c>
      <c r="O1429" s="7" t="str">
        <f t="shared" si="901"/>
        <v/>
      </c>
      <c r="P1429" s="7" t="str">
        <f t="shared" si="902"/>
        <v/>
      </c>
      <c r="Q1429" s="7" t="str">
        <f t="shared" si="903"/>
        <v/>
      </c>
      <c r="R1429" s="7" t="str">
        <f t="shared" si="904"/>
        <v/>
      </c>
      <c r="S1429" s="8" t="str">
        <f t="shared" si="905"/>
        <v/>
      </c>
      <c r="T1429" s="2" t="str">
        <f t="shared" si="906"/>
        <v/>
      </c>
      <c r="U1429" s="2" t="str">
        <f t="shared" si="907"/>
        <v/>
      </c>
      <c r="V1429" t="str">
        <f t="shared" si="924"/>
        <v/>
      </c>
      <c r="X1429">
        <f t="shared" si="935"/>
        <v>0</v>
      </c>
      <c r="Y1429">
        <f t="shared" si="936"/>
        <v>0</v>
      </c>
      <c r="Z1429">
        <f t="shared" si="937"/>
        <v>0</v>
      </c>
      <c r="AA1429">
        <f t="shared" si="938"/>
        <v>0</v>
      </c>
      <c r="AB1429">
        <f t="shared" si="939"/>
        <v>0</v>
      </c>
      <c r="AC1429">
        <f t="shared" si="940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1</v>
      </c>
      <c r="C1430" s="21">
        <v>1</v>
      </c>
      <c r="D1430" s="21">
        <v>1</v>
      </c>
      <c r="E1430" s="21">
        <v>1</v>
      </c>
      <c r="F1430" s="21">
        <v>1</v>
      </c>
      <c r="G1430" s="21">
        <v>0</v>
      </c>
      <c r="H1430" s="21">
        <v>0</v>
      </c>
      <c r="I1430" s="21">
        <v>0</v>
      </c>
      <c r="L1430" t="str">
        <f t="shared" si="934"/>
        <v>c</v>
      </c>
      <c r="M1430">
        <v>5</v>
      </c>
      <c r="N1430" s="22" t="str">
        <f t="shared" si="900"/>
        <v>#</v>
      </c>
      <c r="O1430" s="15" t="str">
        <f t="shared" si="901"/>
        <v>#</v>
      </c>
      <c r="P1430" s="15" t="str">
        <f t="shared" si="902"/>
        <v>#</v>
      </c>
      <c r="Q1430" s="15" t="str">
        <f t="shared" si="903"/>
        <v>#</v>
      </c>
      <c r="R1430" s="16" t="str">
        <f t="shared" si="904"/>
        <v>#</v>
      </c>
      <c r="S1430" s="8" t="str">
        <f t="shared" si="905"/>
        <v/>
      </c>
      <c r="T1430" s="2" t="str">
        <f t="shared" si="906"/>
        <v/>
      </c>
      <c r="U1430" s="2" t="str">
        <f t="shared" si="907"/>
        <v/>
      </c>
      <c r="V1430" t="str">
        <f t="shared" si="924"/>
        <v/>
      </c>
      <c r="X1430">
        <f t="shared" si="935"/>
        <v>1</v>
      </c>
      <c r="Y1430">
        <f t="shared" si="936"/>
        <v>1</v>
      </c>
      <c r="Z1430">
        <f t="shared" si="937"/>
        <v>1</v>
      </c>
      <c r="AA1430">
        <f t="shared" si="938"/>
        <v>1</v>
      </c>
      <c r="AB1430">
        <f t="shared" si="939"/>
        <v>1</v>
      </c>
      <c r="AC1430">
        <f t="shared" si="940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34"/>
        <v>c</v>
      </c>
      <c r="M1431">
        <v>6</v>
      </c>
      <c r="N1431" s="23" t="str">
        <f t="shared" si="900"/>
        <v>#</v>
      </c>
      <c r="O1431" s="7" t="str">
        <f t="shared" si="901"/>
        <v>#</v>
      </c>
      <c r="P1431" s="7" t="str">
        <f t="shared" si="902"/>
        <v>#</v>
      </c>
      <c r="Q1431" s="7" t="str">
        <f t="shared" si="903"/>
        <v>#</v>
      </c>
      <c r="R1431" s="17" t="str">
        <f t="shared" si="904"/>
        <v>#</v>
      </c>
      <c r="S1431" s="8" t="str">
        <f t="shared" si="905"/>
        <v/>
      </c>
      <c r="T1431" s="2" t="str">
        <f t="shared" si="906"/>
        <v/>
      </c>
      <c r="U1431" s="2" t="str">
        <f t="shared" si="907"/>
        <v/>
      </c>
      <c r="V1431" t="str">
        <f t="shared" si="924"/>
        <v/>
      </c>
      <c r="X1431">
        <f t="shared" si="935"/>
        <v>0</v>
      </c>
      <c r="Y1431">
        <f t="shared" si="936"/>
        <v>0</v>
      </c>
      <c r="Z1431">
        <f t="shared" si="937"/>
        <v>0</v>
      </c>
      <c r="AA1431">
        <f t="shared" si="938"/>
        <v>0</v>
      </c>
      <c r="AB1431">
        <f t="shared" si="939"/>
        <v>0</v>
      </c>
      <c r="AC1431">
        <f t="shared" si="940"/>
        <v>0</v>
      </c>
      <c r="AE1431" t="str">
        <f>(F1441*128+F1440*64+F1439*32+F1438*16+F1437*8+F1436*4+F1435*2+F1434)*256+F1433*128+F1432*64+F1431*32+F1430*16+F1429*8+F1428*4+F1427*2+F1426&amp;","</f>
        <v>12336,</v>
      </c>
    </row>
    <row r="1432" spans="1:31" x14ac:dyDescent="0.2">
      <c r="A1432" s="21"/>
      <c r="B1432" s="21">
        <v>1</v>
      </c>
      <c r="C1432" s="21">
        <v>0</v>
      </c>
      <c r="D1432" s="21">
        <v>0</v>
      </c>
      <c r="E1432" s="21">
        <v>0</v>
      </c>
      <c r="F1432" s="21">
        <v>0</v>
      </c>
      <c r="G1432" s="21">
        <v>0</v>
      </c>
      <c r="H1432" s="21">
        <v>0</v>
      </c>
      <c r="I1432" s="21">
        <v>0</v>
      </c>
      <c r="L1432" t="str">
        <f t="shared" si="934"/>
        <v>c</v>
      </c>
      <c r="M1432">
        <v>7</v>
      </c>
      <c r="N1432" s="23" t="str">
        <f t="shared" si="900"/>
        <v>#</v>
      </c>
      <c r="O1432" s="7" t="str">
        <f t="shared" si="901"/>
        <v/>
      </c>
      <c r="P1432" s="7" t="str">
        <f t="shared" si="902"/>
        <v/>
      </c>
      <c r="Q1432" s="7" t="str">
        <f t="shared" si="903"/>
        <v/>
      </c>
      <c r="R1432" s="17" t="str">
        <f t="shared" si="904"/>
        <v/>
      </c>
      <c r="S1432" s="8" t="str">
        <f t="shared" si="905"/>
        <v/>
      </c>
      <c r="T1432" s="2" t="str">
        <f t="shared" si="906"/>
        <v/>
      </c>
      <c r="U1432" s="2" t="str">
        <f t="shared" si="907"/>
        <v/>
      </c>
      <c r="V1432" t="str">
        <f t="shared" si="924"/>
        <v/>
      </c>
      <c r="X1432">
        <f t="shared" si="935"/>
        <v>0</v>
      </c>
      <c r="Y1432">
        <f t="shared" si="936"/>
        <v>0</v>
      </c>
      <c r="Z1432">
        <f t="shared" si="937"/>
        <v>0</v>
      </c>
      <c r="AA1432">
        <f t="shared" si="938"/>
        <v>0</v>
      </c>
      <c r="AB1432">
        <f t="shared" si="939"/>
        <v>0</v>
      </c>
      <c r="AC1432">
        <f t="shared" si="940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34"/>
        <v>c</v>
      </c>
      <c r="M1433">
        <v>8</v>
      </c>
      <c r="N1433" s="23" t="str">
        <f t="shared" si="900"/>
        <v>#</v>
      </c>
      <c r="O1433" s="7" t="str">
        <f t="shared" si="901"/>
        <v/>
      </c>
      <c r="P1433" s="7" t="str">
        <f t="shared" si="902"/>
        <v/>
      </c>
      <c r="Q1433" s="7" t="str">
        <f t="shared" si="903"/>
        <v/>
      </c>
      <c r="R1433" s="17" t="str">
        <f t="shared" si="904"/>
        <v/>
      </c>
      <c r="S1433" s="8" t="str">
        <f t="shared" si="905"/>
        <v/>
      </c>
      <c r="T1433" s="2" t="str">
        <f t="shared" si="906"/>
        <v/>
      </c>
      <c r="U1433" s="2" t="str">
        <f t="shared" si="907"/>
        <v/>
      </c>
      <c r="V1433" t="str">
        <f t="shared" si="924"/>
        <v/>
      </c>
      <c r="X1433">
        <f t="shared" si="935"/>
        <v>0</v>
      </c>
      <c r="Y1433">
        <f t="shared" si="936"/>
        <v>0</v>
      </c>
      <c r="Z1433">
        <f t="shared" si="937"/>
        <v>0</v>
      </c>
      <c r="AA1433">
        <f t="shared" si="938"/>
        <v>0</v>
      </c>
      <c r="AB1433">
        <f t="shared" si="939"/>
        <v>0</v>
      </c>
      <c r="AC1433">
        <f t="shared" si="940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34"/>
        <v>c</v>
      </c>
      <c r="M1434">
        <v>9</v>
      </c>
      <c r="N1434" s="23" t="str">
        <f t="shared" si="900"/>
        <v>#</v>
      </c>
      <c r="O1434" s="7" t="str">
        <f t="shared" si="901"/>
        <v/>
      </c>
      <c r="P1434" s="7" t="str">
        <f t="shared" si="902"/>
        <v/>
      </c>
      <c r="Q1434" s="7" t="str">
        <f t="shared" si="903"/>
        <v/>
      </c>
      <c r="R1434" s="17" t="str">
        <f t="shared" si="904"/>
        <v/>
      </c>
      <c r="S1434" s="8" t="str">
        <f t="shared" si="905"/>
        <v/>
      </c>
      <c r="T1434" s="2" t="str">
        <f t="shared" si="906"/>
        <v/>
      </c>
      <c r="U1434" s="2" t="str">
        <f t="shared" si="907"/>
        <v/>
      </c>
      <c r="V1434" t="str">
        <f t="shared" si="924"/>
        <v/>
      </c>
      <c r="X1434">
        <f t="shared" si="935"/>
        <v>0</v>
      </c>
      <c r="Y1434">
        <f t="shared" si="936"/>
        <v>0</v>
      </c>
      <c r="Z1434">
        <f t="shared" si="937"/>
        <v>0</v>
      </c>
      <c r="AA1434">
        <f t="shared" si="938"/>
        <v>0</v>
      </c>
      <c r="AB1434">
        <f t="shared" si="939"/>
        <v>0</v>
      </c>
      <c r="AC1434">
        <f t="shared" si="940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34"/>
        <v>c</v>
      </c>
      <c r="M1435">
        <v>10</v>
      </c>
      <c r="N1435" s="23" t="str">
        <f t="shared" si="900"/>
        <v>#</v>
      </c>
      <c r="O1435" s="7" t="str">
        <f t="shared" si="901"/>
        <v/>
      </c>
      <c r="P1435" s="7" t="str">
        <f t="shared" si="902"/>
        <v/>
      </c>
      <c r="Q1435" s="7" t="str">
        <f t="shared" si="903"/>
        <v/>
      </c>
      <c r="R1435" s="17" t="str">
        <f t="shared" si="904"/>
        <v/>
      </c>
      <c r="S1435" s="8" t="str">
        <f t="shared" si="905"/>
        <v/>
      </c>
      <c r="T1435" s="2" t="str">
        <f t="shared" si="906"/>
        <v/>
      </c>
      <c r="U1435" s="2" t="str">
        <f t="shared" si="907"/>
        <v/>
      </c>
      <c r="V1435" t="str">
        <f t="shared" si="924"/>
        <v/>
      </c>
      <c r="X1435">
        <f t="shared" si="935"/>
        <v>0</v>
      </c>
      <c r="Y1435">
        <f t="shared" si="936"/>
        <v>0</v>
      </c>
      <c r="Z1435">
        <f t="shared" si="937"/>
        <v>0</v>
      </c>
      <c r="AA1435">
        <f t="shared" si="938"/>
        <v>0</v>
      </c>
      <c r="AB1435">
        <f t="shared" si="939"/>
        <v>0</v>
      </c>
      <c r="AC1435">
        <f t="shared" si="940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34"/>
        <v>c</v>
      </c>
      <c r="M1436">
        <v>11</v>
      </c>
      <c r="N1436" s="23" t="str">
        <f t="shared" si="900"/>
        <v>#</v>
      </c>
      <c r="O1436" s="7" t="str">
        <f t="shared" si="901"/>
        <v/>
      </c>
      <c r="P1436" s="7" t="str">
        <f t="shared" si="902"/>
        <v/>
      </c>
      <c r="Q1436" s="7" t="str">
        <f t="shared" si="903"/>
        <v/>
      </c>
      <c r="R1436" s="17" t="str">
        <f t="shared" si="904"/>
        <v/>
      </c>
      <c r="S1436" s="8" t="str">
        <f t="shared" si="905"/>
        <v/>
      </c>
      <c r="T1436" s="2" t="str">
        <f t="shared" si="906"/>
        <v/>
      </c>
      <c r="U1436" s="2" t="str">
        <f t="shared" si="907"/>
        <v/>
      </c>
      <c r="V1436" t="str">
        <f t="shared" si="924"/>
        <v/>
      </c>
      <c r="X1436">
        <f t="shared" si="935"/>
        <v>0</v>
      </c>
      <c r="Y1436">
        <f t="shared" si="936"/>
        <v>0</v>
      </c>
      <c r="Z1436">
        <f t="shared" si="937"/>
        <v>0</v>
      </c>
      <c r="AA1436">
        <f t="shared" si="938"/>
        <v>0</v>
      </c>
      <c r="AB1436">
        <f t="shared" si="939"/>
        <v>0</v>
      </c>
      <c r="AC1436">
        <f t="shared" si="940"/>
        <v>0</v>
      </c>
    </row>
    <row r="1437" spans="1:31" x14ac:dyDescent="0.2">
      <c r="A1437" s="21"/>
      <c r="B1437" s="21">
        <v>1</v>
      </c>
      <c r="C1437" s="21">
        <v>0</v>
      </c>
      <c r="D1437" s="21">
        <v>0</v>
      </c>
      <c r="E1437" s="21">
        <v>0</v>
      </c>
      <c r="F1437" s="21">
        <v>0</v>
      </c>
      <c r="G1437" s="21">
        <v>0</v>
      </c>
      <c r="H1437" s="21">
        <v>0</v>
      </c>
      <c r="I1437" s="21">
        <v>0</v>
      </c>
      <c r="L1437" t="str">
        <f t="shared" si="934"/>
        <v>c</v>
      </c>
      <c r="M1437">
        <v>12</v>
      </c>
      <c r="N1437" s="23" t="str">
        <f t="shared" si="900"/>
        <v>#</v>
      </c>
      <c r="O1437" s="7" t="str">
        <f t="shared" si="901"/>
        <v/>
      </c>
      <c r="P1437" s="7" t="str">
        <f t="shared" si="902"/>
        <v/>
      </c>
      <c r="Q1437" s="7" t="str">
        <f t="shared" si="903"/>
        <v/>
      </c>
      <c r="R1437" s="17" t="str">
        <f t="shared" si="904"/>
        <v/>
      </c>
      <c r="S1437" s="8" t="str">
        <f t="shared" si="905"/>
        <v/>
      </c>
      <c r="T1437" s="2" t="str">
        <f t="shared" si="906"/>
        <v/>
      </c>
      <c r="U1437" s="2" t="str">
        <f t="shared" si="907"/>
        <v/>
      </c>
      <c r="V1437" t="str">
        <f t="shared" si="924"/>
        <v/>
      </c>
      <c r="X1437">
        <f t="shared" si="935"/>
        <v>0</v>
      </c>
      <c r="Y1437">
        <f t="shared" si="936"/>
        <v>0</v>
      </c>
      <c r="Z1437">
        <f t="shared" si="937"/>
        <v>0</v>
      </c>
      <c r="AA1437">
        <f t="shared" si="938"/>
        <v>0</v>
      </c>
      <c r="AB1437">
        <f t="shared" si="939"/>
        <v>0</v>
      </c>
      <c r="AC1437">
        <f t="shared" si="940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34"/>
        <v>c</v>
      </c>
      <c r="M1438">
        <v>13</v>
      </c>
      <c r="N1438" s="6" t="str">
        <f t="shared" si="900"/>
        <v>#</v>
      </c>
      <c r="O1438" s="7" t="str">
        <f t="shared" si="901"/>
        <v>#</v>
      </c>
      <c r="P1438" s="7" t="str">
        <f t="shared" si="902"/>
        <v>#</v>
      </c>
      <c r="Q1438" s="7" t="str">
        <f t="shared" si="903"/>
        <v>#</v>
      </c>
      <c r="R1438" s="17" t="str">
        <f t="shared" si="904"/>
        <v>#</v>
      </c>
      <c r="S1438" s="8" t="str">
        <f t="shared" si="905"/>
        <v/>
      </c>
      <c r="T1438" s="2" t="str">
        <f t="shared" si="906"/>
        <v/>
      </c>
      <c r="U1438" s="2" t="str">
        <f t="shared" si="907"/>
        <v/>
      </c>
      <c r="V1438" t="str">
        <f t="shared" si="924"/>
        <v/>
      </c>
      <c r="X1438">
        <f t="shared" si="935"/>
        <v>0</v>
      </c>
      <c r="Y1438">
        <f t="shared" si="936"/>
        <v>1</v>
      </c>
      <c r="Z1438">
        <f t="shared" si="937"/>
        <v>1</v>
      </c>
      <c r="AA1438">
        <f t="shared" si="938"/>
        <v>1</v>
      </c>
      <c r="AB1438">
        <f t="shared" si="939"/>
        <v>1</v>
      </c>
      <c r="AC1438">
        <f t="shared" si="940"/>
        <v>0</v>
      </c>
    </row>
    <row r="1439" spans="1:31" ht="13.5" thickBot="1" x14ac:dyDescent="0.25">
      <c r="A1439" s="21"/>
      <c r="B1439" s="21">
        <v>1</v>
      </c>
      <c r="C1439" s="21">
        <v>1</v>
      </c>
      <c r="D1439" s="21">
        <v>1</v>
      </c>
      <c r="E1439" s="21">
        <v>1</v>
      </c>
      <c r="F1439" s="21">
        <v>1</v>
      </c>
      <c r="G1439" s="21">
        <v>0</v>
      </c>
      <c r="H1439" s="21">
        <v>0</v>
      </c>
      <c r="I1439" s="21">
        <v>0</v>
      </c>
      <c r="L1439" t="str">
        <f t="shared" si="934"/>
        <v>c</v>
      </c>
      <c r="M1439">
        <v>14</v>
      </c>
      <c r="N1439" s="18" t="str">
        <f t="shared" si="900"/>
        <v>#</v>
      </c>
      <c r="O1439" s="19" t="str">
        <f t="shared" si="901"/>
        <v>#</v>
      </c>
      <c r="P1439" s="19" t="str">
        <f t="shared" si="902"/>
        <v>#</v>
      </c>
      <c r="Q1439" s="19" t="str">
        <f t="shared" si="903"/>
        <v>#</v>
      </c>
      <c r="R1439" s="20" t="str">
        <f t="shared" si="904"/>
        <v>#</v>
      </c>
      <c r="S1439" s="8" t="str">
        <f t="shared" si="905"/>
        <v/>
      </c>
      <c r="T1439" s="2" t="str">
        <f t="shared" si="906"/>
        <v/>
      </c>
      <c r="U1439" s="2" t="str">
        <f t="shared" si="907"/>
        <v/>
      </c>
      <c r="V1439" t="str">
        <f t="shared" si="924"/>
        <v/>
      </c>
      <c r="X1439">
        <f t="shared" si="935"/>
        <v>0</v>
      </c>
      <c r="Y1439">
        <f t="shared" si="936"/>
        <v>0</v>
      </c>
      <c r="Z1439">
        <f t="shared" si="937"/>
        <v>0</v>
      </c>
      <c r="AA1439">
        <f t="shared" si="938"/>
        <v>0</v>
      </c>
      <c r="AB1439">
        <f t="shared" si="939"/>
        <v>0</v>
      </c>
      <c r="AC1439">
        <f t="shared" si="940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34"/>
        <v>c</v>
      </c>
      <c r="M1440">
        <v>15</v>
      </c>
      <c r="N1440" s="9" t="str">
        <f t="shared" si="900"/>
        <v/>
      </c>
      <c r="O1440" s="10" t="str">
        <f t="shared" si="901"/>
        <v/>
      </c>
      <c r="P1440" s="10" t="str">
        <f t="shared" si="902"/>
        <v/>
      </c>
      <c r="Q1440" s="10" t="str">
        <f t="shared" si="903"/>
        <v/>
      </c>
      <c r="R1440" s="10" t="str">
        <f t="shared" si="904"/>
        <v/>
      </c>
      <c r="S1440" s="11" t="str">
        <f t="shared" si="905"/>
        <v/>
      </c>
      <c r="T1440" s="2" t="str">
        <f t="shared" si="906"/>
        <v/>
      </c>
      <c r="U1440" s="2" t="str">
        <f t="shared" si="907"/>
        <v/>
      </c>
      <c r="V1440" t="str">
        <f t="shared" si="924"/>
        <v/>
      </c>
      <c r="X1440">
        <f t="shared" si="935"/>
        <v>0</v>
      </c>
      <c r="Y1440">
        <f t="shared" si="936"/>
        <v>0</v>
      </c>
      <c r="Z1440">
        <f t="shared" si="937"/>
        <v>0</v>
      </c>
      <c r="AA1440">
        <f t="shared" si="938"/>
        <v>0</v>
      </c>
      <c r="AB1440">
        <f t="shared" si="939"/>
        <v>0</v>
      </c>
      <c r="AC1440">
        <f t="shared" si="940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34"/>
        <v>c</v>
      </c>
      <c r="M1441">
        <v>16</v>
      </c>
      <c r="N1441" s="12" t="str">
        <f t="shared" si="900"/>
        <v/>
      </c>
      <c r="O1441" s="13" t="str">
        <f t="shared" si="901"/>
        <v/>
      </c>
      <c r="P1441" s="13" t="str">
        <f t="shared" si="902"/>
        <v/>
      </c>
      <c r="Q1441" s="13" t="str">
        <f t="shared" si="903"/>
        <v/>
      </c>
      <c r="R1441" s="13" t="str">
        <f t="shared" si="904"/>
        <v/>
      </c>
      <c r="S1441" s="14" t="str">
        <f t="shared" si="905"/>
        <v/>
      </c>
      <c r="T1441" s="2" t="str">
        <f t="shared" si="906"/>
        <v/>
      </c>
      <c r="U1441" s="2" t="str">
        <f t="shared" si="907"/>
        <v/>
      </c>
      <c r="V1441" t="str">
        <f t="shared" si="924"/>
        <v/>
      </c>
      <c r="X1441">
        <f t="shared" si="935"/>
        <v>0</v>
      </c>
      <c r="Y1441">
        <f t="shared" si="936"/>
        <v>0</v>
      </c>
      <c r="Z1441">
        <f t="shared" si="937"/>
        <v>0</v>
      </c>
      <c r="AA1441">
        <f t="shared" si="938"/>
        <v>0</v>
      </c>
      <c r="AB1441">
        <f t="shared" si="939"/>
        <v>0</v>
      </c>
      <c r="AC1441">
        <f t="shared" si="940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41">IF(B1442&gt;0,"#","")</f>
        <v/>
      </c>
      <c r="O1442" t="str">
        <f t="shared" ref="O1442:O1505" si="942">IF(C1442&gt;0,"#","")</f>
        <v/>
      </c>
      <c r="P1442" t="str">
        <f t="shared" ref="P1442:P1505" si="943">IF(D1442&gt;0,"#","")</f>
        <v/>
      </c>
      <c r="Q1442" t="str">
        <f t="shared" ref="Q1442:Q1505" si="944">IF(E1442&gt;0,"#","")</f>
        <v/>
      </c>
      <c r="R1442" t="str">
        <f t="shared" ref="R1442:R1505" si="945">IF(F1442&gt;0,"#","")</f>
        <v/>
      </c>
      <c r="S1442" t="str">
        <f t="shared" ref="S1442:S1505" si="946">IF(G1442&gt;0,"#","")</f>
        <v/>
      </c>
      <c r="T1442" s="2" t="str">
        <f t="shared" ref="T1442:T1505" si="947">IF(H1442&gt;0,"#","")</f>
        <v/>
      </c>
      <c r="U1442" s="2" t="str">
        <f t="shared" ref="U1442:U1505" si="948">IF(I1442&gt;0,"#","")</f>
        <v/>
      </c>
      <c r="V1442" t="str">
        <f t="shared" si="924"/>
        <v/>
      </c>
      <c r="W1442">
        <f>SUM(B1444:G1457)</f>
        <v>30</v>
      </c>
      <c r="AD1442">
        <f t="shared" ref="AD1442" si="949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50">L1442</f>
        <v>d</v>
      </c>
      <c r="M1443">
        <v>2</v>
      </c>
      <c r="N1443" t="str">
        <f t="shared" si="941"/>
        <v/>
      </c>
      <c r="O1443" t="str">
        <f t="shared" si="942"/>
        <v/>
      </c>
      <c r="P1443" t="str">
        <f t="shared" si="943"/>
        <v/>
      </c>
      <c r="Q1443" t="str">
        <f t="shared" si="944"/>
        <v/>
      </c>
      <c r="R1443" t="str">
        <f t="shared" si="945"/>
        <v/>
      </c>
      <c r="S1443" t="str">
        <f t="shared" si="946"/>
        <v/>
      </c>
      <c r="T1443" s="2" t="str">
        <f t="shared" si="947"/>
        <v/>
      </c>
      <c r="U1443" s="2" t="str">
        <f t="shared" si="948"/>
        <v/>
      </c>
      <c r="V1443" t="str">
        <f t="shared" si="924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50"/>
        <v>d</v>
      </c>
      <c r="M1444">
        <v>3</v>
      </c>
      <c r="N1444" s="3" t="str">
        <f t="shared" si="941"/>
        <v/>
      </c>
      <c r="O1444" s="4" t="str">
        <f t="shared" si="942"/>
        <v/>
      </c>
      <c r="P1444" s="4" t="str">
        <f t="shared" si="943"/>
        <v/>
      </c>
      <c r="Q1444" s="4" t="str">
        <f t="shared" si="944"/>
        <v/>
      </c>
      <c r="R1444" s="4" t="str">
        <f t="shared" si="945"/>
        <v/>
      </c>
      <c r="S1444" s="5" t="str">
        <f t="shared" si="946"/>
        <v/>
      </c>
      <c r="T1444" s="2" t="str">
        <f t="shared" si="947"/>
        <v/>
      </c>
      <c r="U1444" s="2" t="str">
        <f t="shared" si="948"/>
        <v/>
      </c>
      <c r="V1444" t="str">
        <f t="shared" si="924"/>
        <v/>
      </c>
      <c r="X1444">
        <f t="shared" ref="X1444:X1457" si="951">MAX(B1444-B1443,0)</f>
        <v>0</v>
      </c>
      <c r="Y1444">
        <f t="shared" ref="Y1444:Y1457" si="952">MAX(C1444-C1443,0)</f>
        <v>0</v>
      </c>
      <c r="Z1444">
        <f t="shared" ref="Z1444:Z1457" si="953">MAX(D1444-D1443,0)</f>
        <v>0</v>
      </c>
      <c r="AA1444">
        <f t="shared" ref="AA1444:AA1457" si="954">MAX(E1444-E1443,0)</f>
        <v>0</v>
      </c>
      <c r="AB1444">
        <f t="shared" ref="AB1444:AB1457" si="955">MAX(F1444-F1443,0)</f>
        <v>0</v>
      </c>
      <c r="AC1444">
        <f t="shared" ref="AC1444:AC1457" si="956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50"/>
        <v>d</v>
      </c>
      <c r="M1445">
        <v>4</v>
      </c>
      <c r="N1445" s="6" t="str">
        <f t="shared" si="941"/>
        <v/>
      </c>
      <c r="O1445" s="7" t="str">
        <f t="shared" si="942"/>
        <v/>
      </c>
      <c r="P1445" s="7" t="str">
        <f t="shared" si="943"/>
        <v/>
      </c>
      <c r="Q1445" s="7" t="str">
        <f t="shared" si="944"/>
        <v/>
      </c>
      <c r="R1445" s="7" t="str">
        <f t="shared" si="945"/>
        <v/>
      </c>
      <c r="S1445" s="8" t="str">
        <f t="shared" si="946"/>
        <v/>
      </c>
      <c r="T1445" s="2" t="str">
        <f t="shared" si="947"/>
        <v/>
      </c>
      <c r="U1445" s="2" t="str">
        <f t="shared" si="948"/>
        <v/>
      </c>
      <c r="V1445" t="str">
        <f t="shared" si="924"/>
        <v/>
      </c>
      <c r="X1445">
        <f t="shared" si="951"/>
        <v>0</v>
      </c>
      <c r="Y1445">
        <f t="shared" si="952"/>
        <v>0</v>
      </c>
      <c r="Z1445">
        <f t="shared" si="953"/>
        <v>0</v>
      </c>
      <c r="AA1445">
        <f t="shared" si="954"/>
        <v>0</v>
      </c>
      <c r="AB1445">
        <f t="shared" si="955"/>
        <v>0</v>
      </c>
      <c r="AC1445">
        <f t="shared" si="956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50"/>
        <v>d</v>
      </c>
      <c r="M1446">
        <v>5</v>
      </c>
      <c r="N1446" s="22" t="str">
        <f t="shared" si="941"/>
        <v>#</v>
      </c>
      <c r="O1446" s="15" t="str">
        <f t="shared" si="942"/>
        <v>#</v>
      </c>
      <c r="P1446" s="15" t="str">
        <f t="shared" si="943"/>
        <v>#</v>
      </c>
      <c r="Q1446" s="15" t="str">
        <f t="shared" si="944"/>
        <v>#</v>
      </c>
      <c r="R1446" s="16" t="str">
        <f t="shared" si="945"/>
        <v/>
      </c>
      <c r="S1446" s="8" t="str">
        <f t="shared" si="946"/>
        <v/>
      </c>
      <c r="T1446" s="2" t="str">
        <f t="shared" si="947"/>
        <v/>
      </c>
      <c r="U1446" s="2" t="str">
        <f t="shared" si="948"/>
        <v/>
      </c>
      <c r="V1446" t="str">
        <f t="shared" si="924"/>
        <v/>
      </c>
      <c r="X1446">
        <f t="shared" si="951"/>
        <v>1</v>
      </c>
      <c r="Y1446">
        <f t="shared" si="952"/>
        <v>1</v>
      </c>
      <c r="Z1446">
        <f t="shared" si="953"/>
        <v>1</v>
      </c>
      <c r="AA1446">
        <f t="shared" si="954"/>
        <v>1</v>
      </c>
      <c r="AB1446">
        <f t="shared" si="955"/>
        <v>0</v>
      </c>
      <c r="AC1446">
        <f t="shared" si="956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50"/>
        <v>d</v>
      </c>
      <c r="M1447">
        <v>6</v>
      </c>
      <c r="N1447" s="23" t="str">
        <f t="shared" si="941"/>
        <v>#</v>
      </c>
      <c r="O1447" s="7" t="str">
        <f t="shared" si="942"/>
        <v>#</v>
      </c>
      <c r="P1447" s="7" t="str">
        <f t="shared" si="943"/>
        <v>#</v>
      </c>
      <c r="Q1447" s="7" t="str">
        <f t="shared" si="944"/>
        <v>#</v>
      </c>
      <c r="R1447" s="17" t="str">
        <f t="shared" si="945"/>
        <v>#</v>
      </c>
      <c r="S1447" s="8" t="str">
        <f t="shared" si="946"/>
        <v/>
      </c>
      <c r="T1447" s="2" t="str">
        <f t="shared" si="947"/>
        <v/>
      </c>
      <c r="U1447" s="2" t="str">
        <f t="shared" si="948"/>
        <v/>
      </c>
      <c r="V1447" t="str">
        <f t="shared" si="924"/>
        <v/>
      </c>
      <c r="X1447">
        <f t="shared" si="951"/>
        <v>0</v>
      </c>
      <c r="Y1447">
        <f t="shared" si="952"/>
        <v>0</v>
      </c>
      <c r="Z1447">
        <f t="shared" si="953"/>
        <v>0</v>
      </c>
      <c r="AA1447">
        <f t="shared" si="954"/>
        <v>0</v>
      </c>
      <c r="AB1447">
        <f t="shared" si="955"/>
        <v>1</v>
      </c>
      <c r="AC1447">
        <f t="shared" si="956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50"/>
        <v>d</v>
      </c>
      <c r="M1448">
        <v>7</v>
      </c>
      <c r="N1448" s="23" t="str">
        <f t="shared" si="941"/>
        <v/>
      </c>
      <c r="O1448" s="7" t="str">
        <f t="shared" si="942"/>
        <v>#</v>
      </c>
      <c r="P1448" s="7" t="str">
        <f t="shared" si="943"/>
        <v/>
      </c>
      <c r="Q1448" s="7" t="str">
        <f t="shared" si="944"/>
        <v/>
      </c>
      <c r="R1448" s="17" t="str">
        <f t="shared" si="945"/>
        <v>#</v>
      </c>
      <c r="S1448" s="8" t="str">
        <f t="shared" si="946"/>
        <v/>
      </c>
      <c r="T1448" s="2" t="str">
        <f t="shared" si="947"/>
        <v/>
      </c>
      <c r="U1448" s="2" t="str">
        <f t="shared" si="948"/>
        <v/>
      </c>
      <c r="V1448" t="str">
        <f t="shared" si="924"/>
        <v/>
      </c>
      <c r="X1448">
        <f t="shared" si="951"/>
        <v>0</v>
      </c>
      <c r="Y1448">
        <f t="shared" si="952"/>
        <v>0</v>
      </c>
      <c r="Z1448">
        <f t="shared" si="953"/>
        <v>0</v>
      </c>
      <c r="AA1448">
        <f t="shared" si="954"/>
        <v>0</v>
      </c>
      <c r="AB1448">
        <f t="shared" si="955"/>
        <v>0</v>
      </c>
      <c r="AC1448">
        <f t="shared" si="956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50"/>
        <v>d</v>
      </c>
      <c r="M1449">
        <v>8</v>
      </c>
      <c r="N1449" s="23" t="str">
        <f t="shared" si="941"/>
        <v/>
      </c>
      <c r="O1449" s="7" t="str">
        <f t="shared" si="942"/>
        <v>#</v>
      </c>
      <c r="P1449" s="7" t="str">
        <f t="shared" si="943"/>
        <v/>
      </c>
      <c r="Q1449" s="7" t="str">
        <f t="shared" si="944"/>
        <v/>
      </c>
      <c r="R1449" s="17" t="str">
        <f t="shared" si="945"/>
        <v>#</v>
      </c>
      <c r="S1449" s="8" t="str">
        <f t="shared" si="946"/>
        <v/>
      </c>
      <c r="T1449" s="2" t="str">
        <f t="shared" si="947"/>
        <v/>
      </c>
      <c r="U1449" s="2" t="str">
        <f t="shared" si="948"/>
        <v/>
      </c>
      <c r="V1449" t="str">
        <f t="shared" si="924"/>
        <v/>
      </c>
      <c r="X1449">
        <f t="shared" si="951"/>
        <v>0</v>
      </c>
      <c r="Y1449">
        <f t="shared" si="952"/>
        <v>0</v>
      </c>
      <c r="Z1449">
        <f t="shared" si="953"/>
        <v>0</v>
      </c>
      <c r="AA1449">
        <f t="shared" si="954"/>
        <v>0</v>
      </c>
      <c r="AB1449">
        <f t="shared" si="955"/>
        <v>0</v>
      </c>
      <c r="AC1449">
        <f t="shared" si="956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50"/>
        <v>d</v>
      </c>
      <c r="M1450">
        <v>9</v>
      </c>
      <c r="N1450" s="23" t="str">
        <f t="shared" si="941"/>
        <v/>
      </c>
      <c r="O1450" s="7" t="str">
        <f t="shared" si="942"/>
        <v>#</v>
      </c>
      <c r="P1450" s="7" t="str">
        <f t="shared" si="943"/>
        <v/>
      </c>
      <c r="Q1450" s="7" t="str">
        <f t="shared" si="944"/>
        <v/>
      </c>
      <c r="R1450" s="17" t="str">
        <f t="shared" si="945"/>
        <v>#</v>
      </c>
      <c r="S1450" s="8" t="str">
        <f t="shared" si="946"/>
        <v/>
      </c>
      <c r="T1450" s="2" t="str">
        <f t="shared" si="947"/>
        <v/>
      </c>
      <c r="U1450" s="2" t="str">
        <f t="shared" si="948"/>
        <v/>
      </c>
      <c r="V1450" t="str">
        <f t="shared" si="924"/>
        <v/>
      </c>
      <c r="X1450">
        <f t="shared" si="951"/>
        <v>0</v>
      </c>
      <c r="Y1450">
        <f t="shared" si="952"/>
        <v>0</v>
      </c>
      <c r="Z1450">
        <f t="shared" si="953"/>
        <v>0</v>
      </c>
      <c r="AA1450">
        <f t="shared" si="954"/>
        <v>0</v>
      </c>
      <c r="AB1450">
        <f t="shared" si="955"/>
        <v>0</v>
      </c>
      <c r="AC1450">
        <f t="shared" si="956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50"/>
        <v>d</v>
      </c>
      <c r="M1451">
        <v>10</v>
      </c>
      <c r="N1451" s="23" t="str">
        <f t="shared" si="941"/>
        <v/>
      </c>
      <c r="O1451" s="7" t="str">
        <f t="shared" si="942"/>
        <v>#</v>
      </c>
      <c r="P1451" s="7" t="str">
        <f t="shared" si="943"/>
        <v/>
      </c>
      <c r="Q1451" s="7" t="str">
        <f t="shared" si="944"/>
        <v/>
      </c>
      <c r="R1451" s="17" t="str">
        <f t="shared" si="945"/>
        <v>#</v>
      </c>
      <c r="S1451" s="8" t="str">
        <f t="shared" si="946"/>
        <v/>
      </c>
      <c r="T1451" s="2" t="str">
        <f t="shared" si="947"/>
        <v/>
      </c>
      <c r="U1451" s="2" t="str">
        <f t="shared" si="948"/>
        <v/>
      </c>
      <c r="V1451" t="str">
        <f t="shared" si="924"/>
        <v/>
      </c>
      <c r="X1451">
        <f t="shared" si="951"/>
        <v>0</v>
      </c>
      <c r="Y1451">
        <f t="shared" si="952"/>
        <v>0</v>
      </c>
      <c r="Z1451">
        <f t="shared" si="953"/>
        <v>0</v>
      </c>
      <c r="AA1451">
        <f t="shared" si="954"/>
        <v>0</v>
      </c>
      <c r="AB1451">
        <f t="shared" si="955"/>
        <v>0</v>
      </c>
      <c r="AC1451">
        <f t="shared" si="956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50"/>
        <v>d</v>
      </c>
      <c r="M1452">
        <v>11</v>
      </c>
      <c r="N1452" s="23" t="str">
        <f t="shared" si="941"/>
        <v/>
      </c>
      <c r="O1452" s="7" t="str">
        <f t="shared" si="942"/>
        <v>#</v>
      </c>
      <c r="P1452" s="7" t="str">
        <f t="shared" si="943"/>
        <v/>
      </c>
      <c r="Q1452" s="7" t="str">
        <f t="shared" si="944"/>
        <v/>
      </c>
      <c r="R1452" s="17" t="str">
        <f t="shared" si="945"/>
        <v>#</v>
      </c>
      <c r="S1452" s="8" t="str">
        <f t="shared" si="946"/>
        <v/>
      </c>
      <c r="T1452" s="2" t="str">
        <f t="shared" si="947"/>
        <v/>
      </c>
      <c r="U1452" s="2" t="str">
        <f t="shared" si="948"/>
        <v/>
      </c>
      <c r="V1452" t="str">
        <f t="shared" si="924"/>
        <v/>
      </c>
      <c r="X1452">
        <f t="shared" si="951"/>
        <v>0</v>
      </c>
      <c r="Y1452">
        <f t="shared" si="952"/>
        <v>0</v>
      </c>
      <c r="Z1452">
        <f t="shared" si="953"/>
        <v>0</v>
      </c>
      <c r="AA1452">
        <f t="shared" si="954"/>
        <v>0</v>
      </c>
      <c r="AB1452">
        <f t="shared" si="955"/>
        <v>0</v>
      </c>
      <c r="AC1452">
        <f t="shared" si="956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50"/>
        <v>d</v>
      </c>
      <c r="M1453">
        <v>12</v>
      </c>
      <c r="N1453" s="23" t="str">
        <f t="shared" si="941"/>
        <v/>
      </c>
      <c r="O1453" s="7" t="str">
        <f t="shared" si="942"/>
        <v>#</v>
      </c>
      <c r="P1453" s="7" t="str">
        <f t="shared" si="943"/>
        <v/>
      </c>
      <c r="Q1453" s="7" t="str">
        <f t="shared" si="944"/>
        <v/>
      </c>
      <c r="R1453" s="17" t="str">
        <f t="shared" si="945"/>
        <v>#</v>
      </c>
      <c r="S1453" s="8" t="str">
        <f t="shared" si="946"/>
        <v/>
      </c>
      <c r="T1453" s="2" t="str">
        <f t="shared" si="947"/>
        <v/>
      </c>
      <c r="U1453" s="2" t="str">
        <f t="shared" si="948"/>
        <v/>
      </c>
      <c r="V1453" t="str">
        <f t="shared" si="924"/>
        <v/>
      </c>
      <c r="X1453">
        <f t="shared" si="951"/>
        <v>0</v>
      </c>
      <c r="Y1453">
        <f t="shared" si="952"/>
        <v>0</v>
      </c>
      <c r="Z1453">
        <f t="shared" si="953"/>
        <v>0</v>
      </c>
      <c r="AA1453">
        <f t="shared" si="954"/>
        <v>0</v>
      </c>
      <c r="AB1453">
        <f t="shared" si="955"/>
        <v>0</v>
      </c>
      <c r="AC1453">
        <f t="shared" si="956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50"/>
        <v>d</v>
      </c>
      <c r="M1454">
        <v>13</v>
      </c>
      <c r="N1454" s="6" t="str">
        <f t="shared" si="941"/>
        <v>#</v>
      </c>
      <c r="O1454" s="7" t="str">
        <f t="shared" si="942"/>
        <v>#</v>
      </c>
      <c r="P1454" s="7" t="str">
        <f t="shared" si="943"/>
        <v>#</v>
      </c>
      <c r="Q1454" s="7" t="str">
        <f t="shared" si="944"/>
        <v>#</v>
      </c>
      <c r="R1454" s="17" t="str">
        <f t="shared" si="945"/>
        <v>#</v>
      </c>
      <c r="S1454" s="8" t="str">
        <f t="shared" si="946"/>
        <v/>
      </c>
      <c r="T1454" s="2" t="str">
        <f t="shared" si="947"/>
        <v/>
      </c>
      <c r="U1454" s="2" t="str">
        <f t="shared" si="948"/>
        <v/>
      </c>
      <c r="V1454" t="str">
        <f t="shared" si="924"/>
        <v/>
      </c>
      <c r="X1454">
        <f t="shared" si="951"/>
        <v>1</v>
      </c>
      <c r="Y1454">
        <f t="shared" si="952"/>
        <v>0</v>
      </c>
      <c r="Z1454">
        <f t="shared" si="953"/>
        <v>1</v>
      </c>
      <c r="AA1454">
        <f t="shared" si="954"/>
        <v>1</v>
      </c>
      <c r="AB1454">
        <f t="shared" si="955"/>
        <v>0</v>
      </c>
      <c r="AC1454">
        <f t="shared" si="956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50"/>
        <v>d</v>
      </c>
      <c r="M1455">
        <v>14</v>
      </c>
      <c r="N1455" s="18" t="str">
        <f t="shared" si="941"/>
        <v>#</v>
      </c>
      <c r="O1455" s="19" t="str">
        <f t="shared" si="942"/>
        <v>#</v>
      </c>
      <c r="P1455" s="19" t="str">
        <f t="shared" si="943"/>
        <v>#</v>
      </c>
      <c r="Q1455" s="19" t="str">
        <f t="shared" si="944"/>
        <v>#</v>
      </c>
      <c r="R1455" s="20" t="str">
        <f t="shared" si="945"/>
        <v/>
      </c>
      <c r="S1455" s="8" t="str">
        <f t="shared" si="946"/>
        <v/>
      </c>
      <c r="T1455" s="2" t="str">
        <f t="shared" si="947"/>
        <v/>
      </c>
      <c r="U1455" s="2" t="str">
        <f t="shared" si="948"/>
        <v/>
      </c>
      <c r="V1455" t="str">
        <f t="shared" si="924"/>
        <v/>
      </c>
      <c r="X1455">
        <f t="shared" si="951"/>
        <v>0</v>
      </c>
      <c r="Y1455">
        <f t="shared" si="952"/>
        <v>0</v>
      </c>
      <c r="Z1455">
        <f t="shared" si="953"/>
        <v>0</v>
      </c>
      <c r="AA1455">
        <f t="shared" si="954"/>
        <v>0</v>
      </c>
      <c r="AB1455">
        <f t="shared" si="955"/>
        <v>0</v>
      </c>
      <c r="AC1455">
        <f t="shared" si="956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50"/>
        <v>d</v>
      </c>
      <c r="M1456">
        <v>15</v>
      </c>
      <c r="N1456" s="9" t="str">
        <f t="shared" si="941"/>
        <v/>
      </c>
      <c r="O1456" s="10" t="str">
        <f t="shared" si="942"/>
        <v/>
      </c>
      <c r="P1456" s="10" t="str">
        <f t="shared" si="943"/>
        <v/>
      </c>
      <c r="Q1456" s="10" t="str">
        <f t="shared" si="944"/>
        <v/>
      </c>
      <c r="R1456" s="10" t="str">
        <f t="shared" si="945"/>
        <v/>
      </c>
      <c r="S1456" s="11" t="str">
        <f t="shared" si="946"/>
        <v/>
      </c>
      <c r="T1456" s="2" t="str">
        <f t="shared" si="947"/>
        <v/>
      </c>
      <c r="U1456" s="2" t="str">
        <f t="shared" si="948"/>
        <v/>
      </c>
      <c r="V1456" t="str">
        <f t="shared" si="924"/>
        <v/>
      </c>
      <c r="X1456">
        <f t="shared" si="951"/>
        <v>0</v>
      </c>
      <c r="Y1456">
        <f t="shared" si="952"/>
        <v>0</v>
      </c>
      <c r="Z1456">
        <f t="shared" si="953"/>
        <v>0</v>
      </c>
      <c r="AA1456">
        <f t="shared" si="954"/>
        <v>0</v>
      </c>
      <c r="AB1456">
        <f t="shared" si="955"/>
        <v>0</v>
      </c>
      <c r="AC1456">
        <f t="shared" si="956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50"/>
        <v>d</v>
      </c>
      <c r="M1457">
        <v>16</v>
      </c>
      <c r="N1457" s="12" t="str">
        <f t="shared" si="941"/>
        <v/>
      </c>
      <c r="O1457" s="13" t="str">
        <f t="shared" si="942"/>
        <v/>
      </c>
      <c r="P1457" s="13" t="str">
        <f t="shared" si="943"/>
        <v/>
      </c>
      <c r="Q1457" s="13" t="str">
        <f t="shared" si="944"/>
        <v/>
      </c>
      <c r="R1457" s="13" t="str">
        <f t="shared" si="945"/>
        <v/>
      </c>
      <c r="S1457" s="14" t="str">
        <f t="shared" si="946"/>
        <v/>
      </c>
      <c r="T1457" s="2" t="str">
        <f t="shared" si="947"/>
        <v/>
      </c>
      <c r="U1457" s="2" t="str">
        <f t="shared" si="948"/>
        <v/>
      </c>
      <c r="V1457" t="str">
        <f t="shared" si="924"/>
        <v/>
      </c>
      <c r="X1457">
        <f t="shared" si="951"/>
        <v>0</v>
      </c>
      <c r="Y1457">
        <f t="shared" si="952"/>
        <v>0</v>
      </c>
      <c r="Z1457">
        <f t="shared" si="953"/>
        <v>0</v>
      </c>
      <c r="AA1457">
        <f t="shared" si="954"/>
        <v>0</v>
      </c>
      <c r="AB1457">
        <f t="shared" si="955"/>
        <v>0</v>
      </c>
      <c r="AC1457">
        <f t="shared" si="956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41"/>
        <v/>
      </c>
      <c r="O1458" t="str">
        <f t="shared" si="942"/>
        <v/>
      </c>
      <c r="P1458" t="str">
        <f t="shared" si="943"/>
        <v/>
      </c>
      <c r="Q1458" t="str">
        <f t="shared" si="944"/>
        <v/>
      </c>
      <c r="R1458" t="str">
        <f t="shared" si="945"/>
        <v/>
      </c>
      <c r="S1458" t="str">
        <f t="shared" si="946"/>
        <v/>
      </c>
      <c r="T1458" s="2" t="str">
        <f t="shared" si="947"/>
        <v/>
      </c>
      <c r="U1458" s="2" t="str">
        <f t="shared" si="948"/>
        <v/>
      </c>
      <c r="V1458" t="str">
        <f t="shared" si="924"/>
        <v/>
      </c>
      <c r="W1458">
        <f>SUM(B1460:G1473)</f>
        <v>30</v>
      </c>
      <c r="AD1458">
        <f t="shared" ref="AD1458" si="957">SUM(X1460:AC1473)</f>
        <v>11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8">L1458</f>
        <v>e</v>
      </c>
      <c r="M1459">
        <v>2</v>
      </c>
      <c r="N1459" t="str">
        <f t="shared" si="941"/>
        <v/>
      </c>
      <c r="O1459" t="str">
        <f t="shared" si="942"/>
        <v/>
      </c>
      <c r="P1459" t="str">
        <f t="shared" si="943"/>
        <v/>
      </c>
      <c r="Q1459" t="str">
        <f t="shared" si="944"/>
        <v/>
      </c>
      <c r="R1459" t="str">
        <f t="shared" si="945"/>
        <v/>
      </c>
      <c r="S1459" t="str">
        <f t="shared" si="946"/>
        <v/>
      </c>
      <c r="T1459" s="2" t="str">
        <f t="shared" si="947"/>
        <v/>
      </c>
      <c r="U1459" s="2" t="str">
        <f t="shared" si="948"/>
        <v/>
      </c>
      <c r="V1459" t="str">
        <f t="shared" si="924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8"/>
        <v>e</v>
      </c>
      <c r="M1460">
        <v>3</v>
      </c>
      <c r="N1460" s="3" t="str">
        <f t="shared" si="941"/>
        <v/>
      </c>
      <c r="O1460" s="4" t="str">
        <f t="shared" si="942"/>
        <v/>
      </c>
      <c r="P1460" s="4" t="str">
        <f t="shared" si="943"/>
        <v/>
      </c>
      <c r="Q1460" s="4" t="str">
        <f t="shared" si="944"/>
        <v/>
      </c>
      <c r="R1460" s="4" t="str">
        <f t="shared" si="945"/>
        <v/>
      </c>
      <c r="S1460" s="5" t="str">
        <f t="shared" si="946"/>
        <v/>
      </c>
      <c r="T1460" s="2" t="str">
        <f t="shared" si="947"/>
        <v/>
      </c>
      <c r="U1460" s="2" t="str">
        <f t="shared" si="948"/>
        <v/>
      </c>
      <c r="V1460" t="str">
        <f t="shared" si="924"/>
        <v/>
      </c>
      <c r="X1460">
        <f t="shared" ref="X1460:X1473" si="959">MAX(B1460-B1459,0)</f>
        <v>0</v>
      </c>
      <c r="Y1460">
        <f t="shared" ref="Y1460:Y1473" si="960">MAX(C1460-C1459,0)</f>
        <v>0</v>
      </c>
      <c r="Z1460">
        <f t="shared" ref="Z1460:Z1473" si="961">MAX(D1460-D1459,0)</f>
        <v>0</v>
      </c>
      <c r="AA1460">
        <f t="shared" ref="AA1460:AA1473" si="962">MAX(E1460-E1459,0)</f>
        <v>0</v>
      </c>
      <c r="AB1460">
        <f t="shared" ref="AB1460:AB1473" si="963">MAX(F1460-F1459,0)</f>
        <v>0</v>
      </c>
      <c r="AC1460">
        <f t="shared" ref="AC1460:AC1473" si="964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8"/>
        <v>e</v>
      </c>
      <c r="M1461">
        <v>4</v>
      </c>
      <c r="N1461" s="6" t="str">
        <f t="shared" si="941"/>
        <v/>
      </c>
      <c r="O1461" s="7" t="str">
        <f t="shared" si="942"/>
        <v/>
      </c>
      <c r="P1461" s="7" t="str">
        <f t="shared" si="943"/>
        <v/>
      </c>
      <c r="Q1461" s="7" t="str">
        <f t="shared" si="944"/>
        <v/>
      </c>
      <c r="R1461" s="7" t="str">
        <f t="shared" si="945"/>
        <v/>
      </c>
      <c r="S1461" s="8" t="str">
        <f t="shared" si="946"/>
        <v/>
      </c>
      <c r="T1461" s="2" t="str">
        <f t="shared" si="947"/>
        <v/>
      </c>
      <c r="U1461" s="2" t="str">
        <f t="shared" si="948"/>
        <v/>
      </c>
      <c r="V1461" t="str">
        <f t="shared" si="924"/>
        <v/>
      </c>
      <c r="X1461">
        <f t="shared" si="959"/>
        <v>0</v>
      </c>
      <c r="Y1461">
        <f t="shared" si="960"/>
        <v>0</v>
      </c>
      <c r="Z1461">
        <f t="shared" si="961"/>
        <v>0</v>
      </c>
      <c r="AA1461">
        <f t="shared" si="962"/>
        <v>0</v>
      </c>
      <c r="AB1461">
        <f t="shared" si="963"/>
        <v>0</v>
      </c>
      <c r="AC1461">
        <f t="shared" si="964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8"/>
        <v>e</v>
      </c>
      <c r="M1462">
        <v>5</v>
      </c>
      <c r="N1462" s="22" t="str">
        <f t="shared" si="941"/>
        <v>#</v>
      </c>
      <c r="O1462" s="15" t="str">
        <f t="shared" si="942"/>
        <v>#</v>
      </c>
      <c r="P1462" s="15" t="str">
        <f t="shared" si="943"/>
        <v>#</v>
      </c>
      <c r="Q1462" s="15" t="str">
        <f t="shared" si="944"/>
        <v>#</v>
      </c>
      <c r="R1462" s="16" t="str">
        <f t="shared" si="945"/>
        <v>#</v>
      </c>
      <c r="S1462" s="8" t="str">
        <f t="shared" si="946"/>
        <v/>
      </c>
      <c r="T1462" s="2" t="str">
        <f t="shared" si="947"/>
        <v/>
      </c>
      <c r="U1462" s="2" t="str">
        <f t="shared" si="948"/>
        <v/>
      </c>
      <c r="V1462" t="str">
        <f t="shared" si="924"/>
        <v/>
      </c>
      <c r="X1462">
        <f t="shared" si="959"/>
        <v>1</v>
      </c>
      <c r="Y1462">
        <f t="shared" si="960"/>
        <v>1</v>
      </c>
      <c r="Z1462">
        <f t="shared" si="961"/>
        <v>1</v>
      </c>
      <c r="AA1462">
        <f t="shared" si="962"/>
        <v>1</v>
      </c>
      <c r="AB1462">
        <f t="shared" si="963"/>
        <v>1</v>
      </c>
      <c r="AC1462">
        <f t="shared" si="964"/>
        <v>0</v>
      </c>
      <c r="AE1462" t="str">
        <f>(E1473*128+E1472*64+E1471*32+E1470*16+E1469*8+E1468*4+E1467*2+E1466)*256+E1465*128+E1464*64+E1463*32+E1462*16+E1461*8+E1460*4+E1459*2+E1458&amp;","</f>
        <v>12336,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8"/>
        <v>e</v>
      </c>
      <c r="M1463">
        <v>6</v>
      </c>
      <c r="N1463" s="23" t="str">
        <f t="shared" si="941"/>
        <v>#</v>
      </c>
      <c r="O1463" s="7" t="str">
        <f t="shared" si="942"/>
        <v>#</v>
      </c>
      <c r="P1463" s="7" t="str">
        <f t="shared" si="943"/>
        <v>#</v>
      </c>
      <c r="Q1463" s="7" t="str">
        <f t="shared" si="944"/>
        <v>#</v>
      </c>
      <c r="R1463" s="17" t="str">
        <f t="shared" si="945"/>
        <v>#</v>
      </c>
      <c r="S1463" s="8" t="str">
        <f t="shared" si="946"/>
        <v/>
      </c>
      <c r="T1463" s="2" t="str">
        <f t="shared" si="947"/>
        <v/>
      </c>
      <c r="U1463" s="2" t="str">
        <f t="shared" si="948"/>
        <v/>
      </c>
      <c r="V1463" t="str">
        <f t="shared" si="924"/>
        <v/>
      </c>
      <c r="X1463">
        <f t="shared" si="959"/>
        <v>0</v>
      </c>
      <c r="Y1463">
        <f t="shared" si="960"/>
        <v>0</v>
      </c>
      <c r="Z1463">
        <f t="shared" si="961"/>
        <v>0</v>
      </c>
      <c r="AA1463">
        <f t="shared" si="962"/>
        <v>0</v>
      </c>
      <c r="AB1463">
        <f t="shared" si="963"/>
        <v>0</v>
      </c>
      <c r="AC1463">
        <f t="shared" si="964"/>
        <v>0</v>
      </c>
      <c r="AE1463" t="str">
        <f>(F1473*128+F1472*64+F1471*32+F1470*16+F1469*8+F1468*4+F1467*2+F1466)*256+F1465*128+F1464*64+F1463*32+F1462*16+F1461*8+F1460*4+F1459*2+F1458&amp;","</f>
        <v>12336,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8"/>
        <v>e</v>
      </c>
      <c r="M1464">
        <v>7</v>
      </c>
      <c r="N1464" s="23" t="str">
        <f t="shared" si="941"/>
        <v>#</v>
      </c>
      <c r="O1464" s="7" t="str">
        <f t="shared" si="942"/>
        <v/>
      </c>
      <c r="P1464" s="7" t="str">
        <f t="shared" si="943"/>
        <v/>
      </c>
      <c r="Q1464" s="7" t="str">
        <f t="shared" si="944"/>
        <v/>
      </c>
      <c r="R1464" s="17" t="str">
        <f t="shared" si="945"/>
        <v/>
      </c>
      <c r="S1464" s="8" t="str">
        <f t="shared" si="946"/>
        <v/>
      </c>
      <c r="T1464" s="2" t="str">
        <f t="shared" si="947"/>
        <v/>
      </c>
      <c r="U1464" s="2" t="str">
        <f t="shared" si="948"/>
        <v/>
      </c>
      <c r="V1464" t="str">
        <f t="shared" si="924"/>
        <v/>
      </c>
      <c r="X1464">
        <f t="shared" si="959"/>
        <v>0</v>
      </c>
      <c r="Y1464">
        <f t="shared" si="960"/>
        <v>0</v>
      </c>
      <c r="Z1464">
        <f t="shared" si="961"/>
        <v>0</v>
      </c>
      <c r="AA1464">
        <f t="shared" si="962"/>
        <v>0</v>
      </c>
      <c r="AB1464">
        <f t="shared" si="963"/>
        <v>0</v>
      </c>
      <c r="AC1464">
        <f t="shared" si="964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8"/>
        <v>e</v>
      </c>
      <c r="M1465">
        <v>8</v>
      </c>
      <c r="N1465" s="23" t="str">
        <f t="shared" si="941"/>
        <v>#</v>
      </c>
      <c r="O1465" s="7" t="str">
        <f t="shared" si="942"/>
        <v/>
      </c>
      <c r="P1465" s="7" t="str">
        <f t="shared" si="943"/>
        <v/>
      </c>
      <c r="Q1465" s="7" t="str">
        <f t="shared" si="944"/>
        <v/>
      </c>
      <c r="R1465" s="17" t="str">
        <f t="shared" si="945"/>
        <v/>
      </c>
      <c r="S1465" s="8" t="str">
        <f t="shared" si="946"/>
        <v/>
      </c>
      <c r="T1465" s="2" t="str">
        <f t="shared" si="947"/>
        <v/>
      </c>
      <c r="U1465" s="2" t="str">
        <f t="shared" si="948"/>
        <v/>
      </c>
      <c r="V1465" t="str">
        <f t="shared" si="924"/>
        <v/>
      </c>
      <c r="X1465">
        <f t="shared" si="959"/>
        <v>0</v>
      </c>
      <c r="Y1465">
        <f t="shared" si="960"/>
        <v>0</v>
      </c>
      <c r="Z1465">
        <f t="shared" si="961"/>
        <v>0</v>
      </c>
      <c r="AA1465">
        <f t="shared" si="962"/>
        <v>0</v>
      </c>
      <c r="AB1465">
        <f t="shared" si="963"/>
        <v>0</v>
      </c>
      <c r="AC1465">
        <f t="shared" si="964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0</v>
      </c>
      <c r="F1466" s="21">
        <v>0</v>
      </c>
      <c r="G1466" s="21">
        <v>0</v>
      </c>
      <c r="H1466" s="21">
        <v>0</v>
      </c>
      <c r="I1466" s="21">
        <v>0</v>
      </c>
      <c r="L1466" t="str">
        <f t="shared" si="958"/>
        <v>e</v>
      </c>
      <c r="M1466">
        <v>9</v>
      </c>
      <c r="N1466" s="23" t="str">
        <f t="shared" si="941"/>
        <v>#</v>
      </c>
      <c r="O1466" s="7" t="str">
        <f t="shared" si="942"/>
        <v>#</v>
      </c>
      <c r="P1466" s="7" t="str">
        <f t="shared" si="943"/>
        <v>#</v>
      </c>
      <c r="Q1466" s="7" t="str">
        <f t="shared" si="944"/>
        <v/>
      </c>
      <c r="R1466" s="17" t="str">
        <f t="shared" si="945"/>
        <v/>
      </c>
      <c r="S1466" s="8" t="str">
        <f t="shared" si="946"/>
        <v/>
      </c>
      <c r="T1466" s="2" t="str">
        <f t="shared" si="947"/>
        <v/>
      </c>
      <c r="U1466" s="2" t="str">
        <f t="shared" si="948"/>
        <v/>
      </c>
      <c r="V1466" t="str">
        <f t="shared" si="924"/>
        <v/>
      </c>
      <c r="X1466">
        <f t="shared" si="959"/>
        <v>0</v>
      </c>
      <c r="Y1466">
        <f t="shared" si="960"/>
        <v>1</v>
      </c>
      <c r="Z1466">
        <f t="shared" si="961"/>
        <v>1</v>
      </c>
      <c r="AA1466">
        <f t="shared" si="962"/>
        <v>0</v>
      </c>
      <c r="AB1466">
        <f t="shared" si="963"/>
        <v>0</v>
      </c>
      <c r="AC1466">
        <f t="shared" si="964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0</v>
      </c>
      <c r="F1467" s="21">
        <v>0</v>
      </c>
      <c r="G1467" s="21">
        <v>0</v>
      </c>
      <c r="H1467" s="21">
        <v>0</v>
      </c>
      <c r="I1467" s="21">
        <v>0</v>
      </c>
      <c r="L1467" t="str">
        <f t="shared" si="958"/>
        <v>e</v>
      </c>
      <c r="M1467">
        <v>10</v>
      </c>
      <c r="N1467" s="23" t="str">
        <f t="shared" si="941"/>
        <v>#</v>
      </c>
      <c r="O1467" s="7" t="str">
        <f t="shared" si="942"/>
        <v>#</v>
      </c>
      <c r="P1467" s="7" t="str">
        <f t="shared" si="943"/>
        <v>#</v>
      </c>
      <c r="Q1467" s="7" t="str">
        <f t="shared" si="944"/>
        <v/>
      </c>
      <c r="R1467" s="17" t="str">
        <f t="shared" si="945"/>
        <v/>
      </c>
      <c r="S1467" s="8" t="str">
        <f t="shared" si="946"/>
        <v/>
      </c>
      <c r="T1467" s="2" t="str">
        <f t="shared" si="947"/>
        <v/>
      </c>
      <c r="U1467" s="2" t="str">
        <f t="shared" si="948"/>
        <v/>
      </c>
      <c r="V1467" t="str">
        <f t="shared" si="924"/>
        <v/>
      </c>
      <c r="X1467">
        <f t="shared" si="959"/>
        <v>0</v>
      </c>
      <c r="Y1467">
        <f t="shared" si="960"/>
        <v>0</v>
      </c>
      <c r="Z1467">
        <f t="shared" si="961"/>
        <v>0</v>
      </c>
      <c r="AA1467">
        <f t="shared" si="962"/>
        <v>0</v>
      </c>
      <c r="AB1467">
        <f t="shared" si="963"/>
        <v>0</v>
      </c>
      <c r="AC1467">
        <f t="shared" si="964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8"/>
        <v>e</v>
      </c>
      <c r="M1468">
        <v>11</v>
      </c>
      <c r="N1468" s="23" t="str">
        <f t="shared" si="941"/>
        <v>#</v>
      </c>
      <c r="O1468" s="7" t="str">
        <f t="shared" si="942"/>
        <v/>
      </c>
      <c r="P1468" s="7" t="str">
        <f t="shared" si="943"/>
        <v/>
      </c>
      <c r="Q1468" s="7" t="str">
        <f t="shared" si="944"/>
        <v/>
      </c>
      <c r="R1468" s="17" t="str">
        <f t="shared" si="945"/>
        <v/>
      </c>
      <c r="S1468" s="8" t="str">
        <f t="shared" si="946"/>
        <v/>
      </c>
      <c r="T1468" s="2" t="str">
        <f t="shared" si="947"/>
        <v/>
      </c>
      <c r="U1468" s="2" t="str">
        <f t="shared" si="948"/>
        <v/>
      </c>
      <c r="V1468" t="str">
        <f t="shared" si="924"/>
        <v/>
      </c>
      <c r="X1468">
        <f t="shared" si="959"/>
        <v>0</v>
      </c>
      <c r="Y1468">
        <f t="shared" si="960"/>
        <v>0</v>
      </c>
      <c r="Z1468">
        <f t="shared" si="961"/>
        <v>0</v>
      </c>
      <c r="AA1468">
        <f t="shared" si="962"/>
        <v>0</v>
      </c>
      <c r="AB1468">
        <f t="shared" si="963"/>
        <v>0</v>
      </c>
      <c r="AC1468">
        <f t="shared" si="964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8"/>
        <v>e</v>
      </c>
      <c r="M1469">
        <v>12</v>
      </c>
      <c r="N1469" s="23" t="str">
        <f t="shared" si="941"/>
        <v>#</v>
      </c>
      <c r="O1469" s="7" t="str">
        <f t="shared" si="942"/>
        <v/>
      </c>
      <c r="P1469" s="7" t="str">
        <f t="shared" si="943"/>
        <v/>
      </c>
      <c r="Q1469" s="7" t="str">
        <f t="shared" si="944"/>
        <v/>
      </c>
      <c r="R1469" s="17" t="str">
        <f t="shared" si="945"/>
        <v/>
      </c>
      <c r="S1469" s="8" t="str">
        <f t="shared" si="946"/>
        <v/>
      </c>
      <c r="T1469" s="2" t="str">
        <f t="shared" si="947"/>
        <v/>
      </c>
      <c r="U1469" s="2" t="str">
        <f t="shared" si="948"/>
        <v/>
      </c>
      <c r="V1469" t="str">
        <f t="shared" si="924"/>
        <v/>
      </c>
      <c r="X1469">
        <f t="shared" si="959"/>
        <v>0</v>
      </c>
      <c r="Y1469">
        <f t="shared" si="960"/>
        <v>0</v>
      </c>
      <c r="Z1469">
        <f t="shared" si="961"/>
        <v>0</v>
      </c>
      <c r="AA1469">
        <f t="shared" si="962"/>
        <v>0</v>
      </c>
      <c r="AB1469">
        <f t="shared" si="963"/>
        <v>0</v>
      </c>
      <c r="AC1469">
        <f t="shared" si="964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8"/>
        <v>e</v>
      </c>
      <c r="M1470">
        <v>13</v>
      </c>
      <c r="N1470" s="6" t="str">
        <f t="shared" si="941"/>
        <v>#</v>
      </c>
      <c r="O1470" s="7" t="str">
        <f t="shared" si="942"/>
        <v>#</v>
      </c>
      <c r="P1470" s="7" t="str">
        <f t="shared" si="943"/>
        <v>#</v>
      </c>
      <c r="Q1470" s="7" t="str">
        <f t="shared" si="944"/>
        <v>#</v>
      </c>
      <c r="R1470" s="17" t="str">
        <f t="shared" si="945"/>
        <v>#</v>
      </c>
      <c r="S1470" s="8" t="str">
        <f t="shared" si="946"/>
        <v/>
      </c>
      <c r="T1470" s="2" t="str">
        <f t="shared" si="947"/>
        <v/>
      </c>
      <c r="U1470" s="2" t="str">
        <f t="shared" si="948"/>
        <v/>
      </c>
      <c r="V1470" t="str">
        <f t="shared" si="924"/>
        <v/>
      </c>
      <c r="X1470">
        <f t="shared" si="959"/>
        <v>0</v>
      </c>
      <c r="Y1470">
        <f t="shared" si="960"/>
        <v>1</v>
      </c>
      <c r="Z1470">
        <f t="shared" si="961"/>
        <v>1</v>
      </c>
      <c r="AA1470">
        <f t="shared" si="962"/>
        <v>1</v>
      </c>
      <c r="AB1470">
        <f t="shared" si="963"/>
        <v>1</v>
      </c>
      <c r="AC1470">
        <f t="shared" si="964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8"/>
        <v>e</v>
      </c>
      <c r="M1471">
        <v>14</v>
      </c>
      <c r="N1471" s="18" t="str">
        <f t="shared" si="941"/>
        <v>#</v>
      </c>
      <c r="O1471" s="19" t="str">
        <f t="shared" si="942"/>
        <v>#</v>
      </c>
      <c r="P1471" s="19" t="str">
        <f t="shared" si="943"/>
        <v>#</v>
      </c>
      <c r="Q1471" s="19" t="str">
        <f t="shared" si="944"/>
        <v>#</v>
      </c>
      <c r="R1471" s="20" t="str">
        <f t="shared" si="945"/>
        <v>#</v>
      </c>
      <c r="S1471" s="8" t="str">
        <f t="shared" si="946"/>
        <v/>
      </c>
      <c r="T1471" s="2" t="str">
        <f t="shared" si="947"/>
        <v/>
      </c>
      <c r="U1471" s="2" t="str">
        <f t="shared" si="948"/>
        <v/>
      </c>
      <c r="V1471" t="str">
        <f t="shared" si="924"/>
        <v/>
      </c>
      <c r="X1471">
        <f t="shared" si="959"/>
        <v>0</v>
      </c>
      <c r="Y1471">
        <f t="shared" si="960"/>
        <v>0</v>
      </c>
      <c r="Z1471">
        <f t="shared" si="961"/>
        <v>0</v>
      </c>
      <c r="AA1471">
        <f t="shared" si="962"/>
        <v>0</v>
      </c>
      <c r="AB1471">
        <f t="shared" si="963"/>
        <v>0</v>
      </c>
      <c r="AC1471">
        <f t="shared" si="964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8"/>
        <v>e</v>
      </c>
      <c r="M1472">
        <v>15</v>
      </c>
      <c r="N1472" s="9" t="str">
        <f t="shared" si="941"/>
        <v/>
      </c>
      <c r="O1472" s="10" t="str">
        <f t="shared" si="942"/>
        <v/>
      </c>
      <c r="P1472" s="10" t="str">
        <f t="shared" si="943"/>
        <v/>
      </c>
      <c r="Q1472" s="10" t="str">
        <f t="shared" si="944"/>
        <v/>
      </c>
      <c r="R1472" s="10" t="str">
        <f t="shared" si="945"/>
        <v/>
      </c>
      <c r="S1472" s="11" t="str">
        <f t="shared" si="946"/>
        <v/>
      </c>
      <c r="T1472" s="2" t="str">
        <f t="shared" si="947"/>
        <v/>
      </c>
      <c r="U1472" s="2" t="str">
        <f t="shared" si="948"/>
        <v/>
      </c>
      <c r="V1472" t="str">
        <f t="shared" si="924"/>
        <v/>
      </c>
      <c r="X1472">
        <f t="shared" si="959"/>
        <v>0</v>
      </c>
      <c r="Y1472">
        <f t="shared" si="960"/>
        <v>0</v>
      </c>
      <c r="Z1472">
        <f t="shared" si="961"/>
        <v>0</v>
      </c>
      <c r="AA1472">
        <f t="shared" si="962"/>
        <v>0</v>
      </c>
      <c r="AB1472">
        <f t="shared" si="963"/>
        <v>0</v>
      </c>
      <c r="AC1472">
        <f t="shared" si="964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8"/>
        <v>e</v>
      </c>
      <c r="M1473">
        <v>16</v>
      </c>
      <c r="N1473" s="12" t="str">
        <f t="shared" si="941"/>
        <v/>
      </c>
      <c r="O1473" s="13" t="str">
        <f t="shared" si="942"/>
        <v/>
      </c>
      <c r="P1473" s="13" t="str">
        <f t="shared" si="943"/>
        <v/>
      </c>
      <c r="Q1473" s="13" t="str">
        <f t="shared" si="944"/>
        <v/>
      </c>
      <c r="R1473" s="13" t="str">
        <f t="shared" si="945"/>
        <v/>
      </c>
      <c r="S1473" s="14" t="str">
        <f t="shared" si="946"/>
        <v/>
      </c>
      <c r="T1473" s="2" t="str">
        <f t="shared" si="947"/>
        <v/>
      </c>
      <c r="U1473" s="2" t="str">
        <f t="shared" si="948"/>
        <v/>
      </c>
      <c r="V1473" t="str">
        <f t="shared" si="924"/>
        <v/>
      </c>
      <c r="X1473">
        <f t="shared" si="959"/>
        <v>0</v>
      </c>
      <c r="Y1473">
        <f t="shared" si="960"/>
        <v>0</v>
      </c>
      <c r="Z1473">
        <f t="shared" si="961"/>
        <v>0</v>
      </c>
      <c r="AA1473">
        <f t="shared" si="962"/>
        <v>0</v>
      </c>
      <c r="AB1473">
        <f t="shared" si="963"/>
        <v>0</v>
      </c>
      <c r="AC1473">
        <f t="shared" si="964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41"/>
        <v/>
      </c>
      <c r="O1474" t="str">
        <f t="shared" si="942"/>
        <v/>
      </c>
      <c r="P1474" t="str">
        <f t="shared" si="943"/>
        <v/>
      </c>
      <c r="Q1474" t="str">
        <f t="shared" si="944"/>
        <v/>
      </c>
      <c r="R1474" t="str">
        <f t="shared" si="945"/>
        <v/>
      </c>
      <c r="S1474" t="str">
        <f t="shared" si="946"/>
        <v/>
      </c>
      <c r="T1474" s="2" t="str">
        <f t="shared" si="947"/>
        <v/>
      </c>
      <c r="U1474" s="2" t="str">
        <f t="shared" si="948"/>
        <v/>
      </c>
      <c r="V1474" t="str">
        <f t="shared" ref="V1474:V1537" si="965">IF(A1474=0,"",M1474)</f>
        <v/>
      </c>
      <c r="W1474">
        <f>SUM(B1476:G1489)</f>
        <v>22</v>
      </c>
      <c r="AD1474">
        <f t="shared" ref="AD1474" si="966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7">L1474</f>
        <v>f</v>
      </c>
      <c r="M1475">
        <v>2</v>
      </c>
      <c r="N1475" t="str">
        <f t="shared" si="941"/>
        <v/>
      </c>
      <c r="O1475" t="str">
        <f t="shared" si="942"/>
        <v/>
      </c>
      <c r="P1475" t="str">
        <f t="shared" si="943"/>
        <v/>
      </c>
      <c r="Q1475" t="str">
        <f t="shared" si="944"/>
        <v/>
      </c>
      <c r="R1475" t="str">
        <f t="shared" si="945"/>
        <v/>
      </c>
      <c r="S1475" t="str">
        <f t="shared" si="946"/>
        <v/>
      </c>
      <c r="T1475" s="2" t="str">
        <f t="shared" si="947"/>
        <v/>
      </c>
      <c r="U1475" s="2" t="str">
        <f t="shared" si="948"/>
        <v/>
      </c>
      <c r="V1475" t="str">
        <f t="shared" si="965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7"/>
        <v>f</v>
      </c>
      <c r="M1476">
        <v>3</v>
      </c>
      <c r="N1476" s="3" t="str">
        <f t="shared" si="941"/>
        <v/>
      </c>
      <c r="O1476" s="4" t="str">
        <f t="shared" si="942"/>
        <v/>
      </c>
      <c r="P1476" s="4" t="str">
        <f t="shared" si="943"/>
        <v/>
      </c>
      <c r="Q1476" s="4" t="str">
        <f t="shared" si="944"/>
        <v/>
      </c>
      <c r="R1476" s="4" t="str">
        <f t="shared" si="945"/>
        <v/>
      </c>
      <c r="S1476" s="5" t="str">
        <f t="shared" si="946"/>
        <v/>
      </c>
      <c r="T1476" s="2" t="str">
        <f t="shared" si="947"/>
        <v/>
      </c>
      <c r="U1476" s="2" t="str">
        <f t="shared" si="948"/>
        <v/>
      </c>
      <c r="V1476" t="str">
        <f t="shared" si="965"/>
        <v/>
      </c>
      <c r="X1476">
        <f t="shared" ref="X1476:X1489" si="968">MAX(B1476-B1475,0)</f>
        <v>0</v>
      </c>
      <c r="Y1476">
        <f t="shared" ref="Y1476:Y1489" si="969">MAX(C1476-C1475,0)</f>
        <v>0</v>
      </c>
      <c r="Z1476">
        <f t="shared" ref="Z1476:Z1489" si="970">MAX(D1476-D1475,0)</f>
        <v>0</v>
      </c>
      <c r="AA1476">
        <f t="shared" ref="AA1476:AA1489" si="971">MAX(E1476-E1475,0)</f>
        <v>0</v>
      </c>
      <c r="AB1476">
        <f t="shared" ref="AB1476:AB1489" si="972">MAX(F1476-F1475,0)</f>
        <v>0</v>
      </c>
      <c r="AC1476">
        <f t="shared" ref="AC1476:AC1489" si="973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7"/>
        <v>f</v>
      </c>
      <c r="M1477">
        <v>4</v>
      </c>
      <c r="N1477" s="6" t="str">
        <f t="shared" si="941"/>
        <v/>
      </c>
      <c r="O1477" s="7" t="str">
        <f t="shared" si="942"/>
        <v/>
      </c>
      <c r="P1477" s="7" t="str">
        <f t="shared" si="943"/>
        <v/>
      </c>
      <c r="Q1477" s="7" t="str">
        <f t="shared" si="944"/>
        <v/>
      </c>
      <c r="R1477" s="7" t="str">
        <f t="shared" si="945"/>
        <v/>
      </c>
      <c r="S1477" s="8" t="str">
        <f t="shared" si="946"/>
        <v/>
      </c>
      <c r="T1477" s="2" t="str">
        <f t="shared" si="947"/>
        <v/>
      </c>
      <c r="U1477" s="2" t="str">
        <f t="shared" si="948"/>
        <v/>
      </c>
      <c r="V1477" t="str">
        <f t="shared" si="965"/>
        <v/>
      </c>
      <c r="X1477">
        <f t="shared" si="968"/>
        <v>0</v>
      </c>
      <c r="Y1477">
        <f t="shared" si="969"/>
        <v>0</v>
      </c>
      <c r="Z1477">
        <f t="shared" si="970"/>
        <v>0</v>
      </c>
      <c r="AA1477">
        <f t="shared" si="971"/>
        <v>0</v>
      </c>
      <c r="AB1477">
        <f t="shared" si="972"/>
        <v>0</v>
      </c>
      <c r="AC1477">
        <f t="shared" si="973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7"/>
        <v>f</v>
      </c>
      <c r="M1478">
        <v>5</v>
      </c>
      <c r="N1478" s="22" t="str">
        <f t="shared" si="941"/>
        <v>#</v>
      </c>
      <c r="O1478" s="15" t="str">
        <f t="shared" si="942"/>
        <v>#</v>
      </c>
      <c r="P1478" s="15" t="str">
        <f t="shared" si="943"/>
        <v>#</v>
      </c>
      <c r="Q1478" s="15" t="str">
        <f t="shared" si="944"/>
        <v>#</v>
      </c>
      <c r="R1478" s="16" t="str">
        <f t="shared" si="945"/>
        <v>#</v>
      </c>
      <c r="S1478" s="8" t="str">
        <f t="shared" si="946"/>
        <v/>
      </c>
      <c r="T1478" s="2" t="str">
        <f t="shared" si="947"/>
        <v/>
      </c>
      <c r="U1478" s="2" t="str">
        <f t="shared" si="948"/>
        <v/>
      </c>
      <c r="V1478" t="str">
        <f t="shared" si="965"/>
        <v/>
      </c>
      <c r="X1478">
        <f t="shared" si="968"/>
        <v>1</v>
      </c>
      <c r="Y1478">
        <f t="shared" si="969"/>
        <v>1</v>
      </c>
      <c r="Z1478">
        <f t="shared" si="970"/>
        <v>1</v>
      </c>
      <c r="AA1478">
        <f t="shared" si="971"/>
        <v>1</v>
      </c>
      <c r="AB1478">
        <f t="shared" si="972"/>
        <v>1</v>
      </c>
      <c r="AC1478">
        <f t="shared" si="973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7"/>
        <v>f</v>
      </c>
      <c r="M1479">
        <v>6</v>
      </c>
      <c r="N1479" s="23" t="str">
        <f t="shared" si="941"/>
        <v>#</v>
      </c>
      <c r="O1479" s="7" t="str">
        <f t="shared" si="942"/>
        <v>#</v>
      </c>
      <c r="P1479" s="7" t="str">
        <f t="shared" si="943"/>
        <v>#</v>
      </c>
      <c r="Q1479" s="7" t="str">
        <f t="shared" si="944"/>
        <v>#</v>
      </c>
      <c r="R1479" s="17" t="str">
        <f t="shared" si="945"/>
        <v>#</v>
      </c>
      <c r="S1479" s="8" t="str">
        <f t="shared" si="946"/>
        <v/>
      </c>
      <c r="T1479" s="2" t="str">
        <f t="shared" si="947"/>
        <v/>
      </c>
      <c r="U1479" s="2" t="str">
        <f t="shared" si="948"/>
        <v/>
      </c>
      <c r="V1479" t="str">
        <f t="shared" si="965"/>
        <v/>
      </c>
      <c r="X1479">
        <f t="shared" si="968"/>
        <v>0</v>
      </c>
      <c r="Y1479">
        <f t="shared" si="969"/>
        <v>0</v>
      </c>
      <c r="Z1479">
        <f t="shared" si="970"/>
        <v>0</v>
      </c>
      <c r="AA1479">
        <f t="shared" si="971"/>
        <v>0</v>
      </c>
      <c r="AB1479">
        <f t="shared" si="972"/>
        <v>0</v>
      </c>
      <c r="AC1479">
        <f t="shared" si="973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7"/>
        <v>f</v>
      </c>
      <c r="M1480">
        <v>7</v>
      </c>
      <c r="N1480" s="23" t="str">
        <f t="shared" si="941"/>
        <v>#</v>
      </c>
      <c r="O1480" s="7" t="str">
        <f t="shared" si="942"/>
        <v/>
      </c>
      <c r="P1480" s="7" t="str">
        <f t="shared" si="943"/>
        <v/>
      </c>
      <c r="Q1480" s="7" t="str">
        <f t="shared" si="944"/>
        <v/>
      </c>
      <c r="R1480" s="17" t="str">
        <f t="shared" si="945"/>
        <v/>
      </c>
      <c r="S1480" s="8" t="str">
        <f t="shared" si="946"/>
        <v/>
      </c>
      <c r="T1480" s="2" t="str">
        <f t="shared" si="947"/>
        <v/>
      </c>
      <c r="U1480" s="2" t="str">
        <f t="shared" si="948"/>
        <v/>
      </c>
      <c r="V1480" t="str">
        <f t="shared" si="965"/>
        <v/>
      </c>
      <c r="X1480">
        <f t="shared" si="968"/>
        <v>0</v>
      </c>
      <c r="Y1480">
        <f t="shared" si="969"/>
        <v>0</v>
      </c>
      <c r="Z1480">
        <f t="shared" si="970"/>
        <v>0</v>
      </c>
      <c r="AA1480">
        <f t="shared" si="971"/>
        <v>0</v>
      </c>
      <c r="AB1480">
        <f t="shared" si="972"/>
        <v>0</v>
      </c>
      <c r="AC1480">
        <f t="shared" si="973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7"/>
        <v>f</v>
      </c>
      <c r="M1481">
        <v>8</v>
      </c>
      <c r="N1481" s="23" t="str">
        <f t="shared" si="941"/>
        <v>#</v>
      </c>
      <c r="O1481" s="7" t="str">
        <f t="shared" si="942"/>
        <v/>
      </c>
      <c r="P1481" s="7" t="str">
        <f t="shared" si="943"/>
        <v/>
      </c>
      <c r="Q1481" s="7" t="str">
        <f t="shared" si="944"/>
        <v/>
      </c>
      <c r="R1481" s="17" t="str">
        <f t="shared" si="945"/>
        <v/>
      </c>
      <c r="S1481" s="8" t="str">
        <f t="shared" si="946"/>
        <v/>
      </c>
      <c r="T1481" s="2" t="str">
        <f t="shared" si="947"/>
        <v/>
      </c>
      <c r="U1481" s="2" t="str">
        <f t="shared" si="948"/>
        <v/>
      </c>
      <c r="V1481" t="str">
        <f t="shared" si="965"/>
        <v/>
      </c>
      <c r="X1481">
        <f t="shared" si="968"/>
        <v>0</v>
      </c>
      <c r="Y1481">
        <f t="shared" si="969"/>
        <v>0</v>
      </c>
      <c r="Z1481">
        <f t="shared" si="970"/>
        <v>0</v>
      </c>
      <c r="AA1481">
        <f t="shared" si="971"/>
        <v>0</v>
      </c>
      <c r="AB1481">
        <f t="shared" si="972"/>
        <v>0</v>
      </c>
      <c r="AC1481">
        <f t="shared" si="973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7"/>
        <v>f</v>
      </c>
      <c r="M1482">
        <v>9</v>
      </c>
      <c r="N1482" s="23" t="str">
        <f t="shared" si="941"/>
        <v>#</v>
      </c>
      <c r="O1482" s="7" t="str">
        <f t="shared" si="942"/>
        <v>#</v>
      </c>
      <c r="P1482" s="7" t="str">
        <f t="shared" si="943"/>
        <v>#</v>
      </c>
      <c r="Q1482" s="7" t="str">
        <f t="shared" si="944"/>
        <v/>
      </c>
      <c r="R1482" s="17" t="str">
        <f t="shared" si="945"/>
        <v/>
      </c>
      <c r="S1482" s="8" t="str">
        <f t="shared" si="946"/>
        <v/>
      </c>
      <c r="T1482" s="2" t="str">
        <f t="shared" si="947"/>
        <v/>
      </c>
      <c r="U1482" s="2" t="str">
        <f t="shared" si="948"/>
        <v/>
      </c>
      <c r="V1482" t="str">
        <f t="shared" si="965"/>
        <v/>
      </c>
      <c r="X1482">
        <f t="shared" si="968"/>
        <v>0</v>
      </c>
      <c r="Y1482">
        <f t="shared" si="969"/>
        <v>1</v>
      </c>
      <c r="Z1482">
        <f t="shared" si="970"/>
        <v>1</v>
      </c>
      <c r="AA1482">
        <f t="shared" si="971"/>
        <v>0</v>
      </c>
      <c r="AB1482">
        <f t="shared" si="972"/>
        <v>0</v>
      </c>
      <c r="AC1482">
        <f t="shared" si="973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7"/>
        <v>f</v>
      </c>
      <c r="M1483">
        <v>10</v>
      </c>
      <c r="N1483" s="23" t="str">
        <f t="shared" si="941"/>
        <v>#</v>
      </c>
      <c r="O1483" s="7" t="str">
        <f t="shared" si="942"/>
        <v>#</v>
      </c>
      <c r="P1483" s="7" t="str">
        <f t="shared" si="943"/>
        <v>#</v>
      </c>
      <c r="Q1483" s="7" t="str">
        <f t="shared" si="944"/>
        <v/>
      </c>
      <c r="R1483" s="17" t="str">
        <f t="shared" si="945"/>
        <v/>
      </c>
      <c r="S1483" s="8" t="str">
        <f t="shared" si="946"/>
        <v/>
      </c>
      <c r="T1483" s="2" t="str">
        <f t="shared" si="947"/>
        <v/>
      </c>
      <c r="U1483" s="2" t="str">
        <f t="shared" si="948"/>
        <v/>
      </c>
      <c r="V1483" t="str">
        <f t="shared" si="965"/>
        <v/>
      </c>
      <c r="X1483">
        <f t="shared" si="968"/>
        <v>0</v>
      </c>
      <c r="Y1483">
        <f t="shared" si="969"/>
        <v>0</v>
      </c>
      <c r="Z1483">
        <f t="shared" si="970"/>
        <v>0</v>
      </c>
      <c r="AA1483">
        <f t="shared" si="971"/>
        <v>0</v>
      </c>
      <c r="AB1483">
        <f t="shared" si="972"/>
        <v>0</v>
      </c>
      <c r="AC1483">
        <f t="shared" si="973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7"/>
        <v>f</v>
      </c>
      <c r="M1484">
        <v>11</v>
      </c>
      <c r="N1484" s="23" t="str">
        <f t="shared" si="941"/>
        <v>#</v>
      </c>
      <c r="O1484" s="7" t="str">
        <f t="shared" si="942"/>
        <v/>
      </c>
      <c r="P1484" s="7" t="str">
        <f t="shared" si="943"/>
        <v/>
      </c>
      <c r="Q1484" s="7" t="str">
        <f t="shared" si="944"/>
        <v/>
      </c>
      <c r="R1484" s="17" t="str">
        <f t="shared" si="945"/>
        <v/>
      </c>
      <c r="S1484" s="8" t="str">
        <f t="shared" si="946"/>
        <v/>
      </c>
      <c r="T1484" s="2" t="str">
        <f t="shared" si="947"/>
        <v/>
      </c>
      <c r="U1484" s="2" t="str">
        <f t="shared" si="948"/>
        <v/>
      </c>
      <c r="V1484" t="str">
        <f t="shared" si="965"/>
        <v/>
      </c>
      <c r="X1484">
        <f t="shared" si="968"/>
        <v>0</v>
      </c>
      <c r="Y1484">
        <f t="shared" si="969"/>
        <v>0</v>
      </c>
      <c r="Z1484">
        <f t="shared" si="970"/>
        <v>0</v>
      </c>
      <c r="AA1484">
        <f t="shared" si="971"/>
        <v>0</v>
      </c>
      <c r="AB1484">
        <f t="shared" si="972"/>
        <v>0</v>
      </c>
      <c r="AC1484">
        <f t="shared" si="973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7"/>
        <v>f</v>
      </c>
      <c r="M1485">
        <v>12</v>
      </c>
      <c r="N1485" s="23" t="str">
        <f t="shared" si="941"/>
        <v>#</v>
      </c>
      <c r="O1485" s="7" t="str">
        <f t="shared" si="942"/>
        <v/>
      </c>
      <c r="P1485" s="7" t="str">
        <f t="shared" si="943"/>
        <v/>
      </c>
      <c r="Q1485" s="7" t="str">
        <f t="shared" si="944"/>
        <v/>
      </c>
      <c r="R1485" s="17" t="str">
        <f t="shared" si="945"/>
        <v/>
      </c>
      <c r="S1485" s="8" t="str">
        <f t="shared" si="946"/>
        <v/>
      </c>
      <c r="T1485" s="2" t="str">
        <f t="shared" si="947"/>
        <v/>
      </c>
      <c r="U1485" s="2" t="str">
        <f t="shared" si="948"/>
        <v/>
      </c>
      <c r="V1485" t="str">
        <f t="shared" si="965"/>
        <v/>
      </c>
      <c r="X1485">
        <f t="shared" si="968"/>
        <v>0</v>
      </c>
      <c r="Y1485">
        <f t="shared" si="969"/>
        <v>0</v>
      </c>
      <c r="Z1485">
        <f t="shared" si="970"/>
        <v>0</v>
      </c>
      <c r="AA1485">
        <f t="shared" si="971"/>
        <v>0</v>
      </c>
      <c r="AB1485">
        <f t="shared" si="972"/>
        <v>0</v>
      </c>
      <c r="AC1485">
        <f t="shared" si="973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7"/>
        <v>f</v>
      </c>
      <c r="M1486">
        <v>13</v>
      </c>
      <c r="N1486" s="6" t="str">
        <f t="shared" si="941"/>
        <v>#</v>
      </c>
      <c r="O1486" s="7" t="str">
        <f t="shared" si="942"/>
        <v/>
      </c>
      <c r="P1486" s="7" t="str">
        <f t="shared" si="943"/>
        <v/>
      </c>
      <c r="Q1486" s="7" t="str">
        <f t="shared" si="944"/>
        <v/>
      </c>
      <c r="R1486" s="17" t="str">
        <f t="shared" si="945"/>
        <v/>
      </c>
      <c r="S1486" s="8" t="str">
        <f t="shared" si="946"/>
        <v/>
      </c>
      <c r="T1486" s="2" t="str">
        <f t="shared" si="947"/>
        <v/>
      </c>
      <c r="U1486" s="2" t="str">
        <f t="shared" si="948"/>
        <v/>
      </c>
      <c r="V1486" t="str">
        <f t="shared" si="965"/>
        <v/>
      </c>
      <c r="X1486">
        <f t="shared" si="968"/>
        <v>0</v>
      </c>
      <c r="Y1486">
        <f t="shared" si="969"/>
        <v>0</v>
      </c>
      <c r="Z1486">
        <f t="shared" si="970"/>
        <v>0</v>
      </c>
      <c r="AA1486">
        <f t="shared" si="971"/>
        <v>0</v>
      </c>
      <c r="AB1486">
        <f t="shared" si="972"/>
        <v>0</v>
      </c>
      <c r="AC1486">
        <f t="shared" si="973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7"/>
        <v>f</v>
      </c>
      <c r="M1487">
        <v>14</v>
      </c>
      <c r="N1487" s="18" t="str">
        <f t="shared" si="941"/>
        <v>#</v>
      </c>
      <c r="O1487" s="19" t="str">
        <f t="shared" si="942"/>
        <v/>
      </c>
      <c r="P1487" s="19" t="str">
        <f t="shared" si="943"/>
        <v/>
      </c>
      <c r="Q1487" s="19" t="str">
        <f t="shared" si="944"/>
        <v/>
      </c>
      <c r="R1487" s="20" t="str">
        <f t="shared" si="945"/>
        <v/>
      </c>
      <c r="S1487" s="8" t="str">
        <f t="shared" si="946"/>
        <v/>
      </c>
      <c r="T1487" s="2" t="str">
        <f t="shared" si="947"/>
        <v/>
      </c>
      <c r="U1487" s="2" t="str">
        <f t="shared" si="948"/>
        <v/>
      </c>
      <c r="V1487" t="str">
        <f t="shared" si="965"/>
        <v/>
      </c>
      <c r="X1487">
        <f t="shared" si="968"/>
        <v>0</v>
      </c>
      <c r="Y1487">
        <f t="shared" si="969"/>
        <v>0</v>
      </c>
      <c r="Z1487">
        <f t="shared" si="970"/>
        <v>0</v>
      </c>
      <c r="AA1487">
        <f t="shared" si="971"/>
        <v>0</v>
      </c>
      <c r="AB1487">
        <f t="shared" si="972"/>
        <v>0</v>
      </c>
      <c r="AC1487">
        <f t="shared" si="973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7"/>
        <v>f</v>
      </c>
      <c r="M1488">
        <v>15</v>
      </c>
      <c r="N1488" s="9" t="str">
        <f t="shared" si="941"/>
        <v/>
      </c>
      <c r="O1488" s="10" t="str">
        <f t="shared" si="942"/>
        <v/>
      </c>
      <c r="P1488" s="10" t="str">
        <f t="shared" si="943"/>
        <v/>
      </c>
      <c r="Q1488" s="10" t="str">
        <f t="shared" si="944"/>
        <v/>
      </c>
      <c r="R1488" s="10" t="str">
        <f t="shared" si="945"/>
        <v/>
      </c>
      <c r="S1488" s="11" t="str">
        <f t="shared" si="946"/>
        <v/>
      </c>
      <c r="T1488" s="2" t="str">
        <f t="shared" si="947"/>
        <v/>
      </c>
      <c r="U1488" s="2" t="str">
        <f t="shared" si="948"/>
        <v/>
      </c>
      <c r="V1488" t="str">
        <f t="shared" si="965"/>
        <v/>
      </c>
      <c r="X1488">
        <f t="shared" si="968"/>
        <v>0</v>
      </c>
      <c r="Y1488">
        <f t="shared" si="969"/>
        <v>0</v>
      </c>
      <c r="Z1488">
        <f t="shared" si="970"/>
        <v>0</v>
      </c>
      <c r="AA1488">
        <f t="shared" si="971"/>
        <v>0</v>
      </c>
      <c r="AB1488">
        <f t="shared" si="972"/>
        <v>0</v>
      </c>
      <c r="AC1488">
        <f t="shared" si="973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7"/>
        <v>f</v>
      </c>
      <c r="M1489">
        <v>16</v>
      </c>
      <c r="N1489" s="12" t="str">
        <f t="shared" si="941"/>
        <v/>
      </c>
      <c r="O1489" s="13" t="str">
        <f t="shared" si="942"/>
        <v/>
      </c>
      <c r="P1489" s="13" t="str">
        <f t="shared" si="943"/>
        <v/>
      </c>
      <c r="Q1489" s="13" t="str">
        <f t="shared" si="944"/>
        <v/>
      </c>
      <c r="R1489" s="13" t="str">
        <f t="shared" si="945"/>
        <v/>
      </c>
      <c r="S1489" s="14" t="str">
        <f t="shared" si="946"/>
        <v/>
      </c>
      <c r="T1489" s="2" t="str">
        <f t="shared" si="947"/>
        <v/>
      </c>
      <c r="U1489" s="2" t="str">
        <f t="shared" si="948"/>
        <v/>
      </c>
      <c r="V1489" t="str">
        <f t="shared" si="965"/>
        <v/>
      </c>
      <c r="X1489">
        <f t="shared" si="968"/>
        <v>0</v>
      </c>
      <c r="Y1489">
        <f t="shared" si="969"/>
        <v>0</v>
      </c>
      <c r="Z1489">
        <f t="shared" si="970"/>
        <v>0</v>
      </c>
      <c r="AA1489">
        <f t="shared" si="971"/>
        <v>0</v>
      </c>
      <c r="AB1489">
        <f t="shared" si="972"/>
        <v>0</v>
      </c>
      <c r="AC1489">
        <f t="shared" si="973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41"/>
        <v/>
      </c>
      <c r="O1490" t="str">
        <f t="shared" si="942"/>
        <v/>
      </c>
      <c r="P1490" t="str">
        <f t="shared" si="943"/>
        <v/>
      </c>
      <c r="Q1490" t="str">
        <f t="shared" si="944"/>
        <v/>
      </c>
      <c r="R1490" t="str">
        <f t="shared" si="945"/>
        <v/>
      </c>
      <c r="S1490" t="str">
        <f t="shared" si="946"/>
        <v/>
      </c>
      <c r="T1490" s="2" t="str">
        <f t="shared" si="947"/>
        <v/>
      </c>
      <c r="U1490" s="2" t="str">
        <f t="shared" si="948"/>
        <v/>
      </c>
      <c r="V1490" t="str">
        <f t="shared" si="965"/>
        <v/>
      </c>
      <c r="W1490">
        <f>SUM(B1492:G1505)</f>
        <v>30</v>
      </c>
      <c r="AD1490">
        <f t="shared" ref="AD1490" si="974">SUM(X1492:AC1505)</f>
        <v>9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75">L1490</f>
        <v>g</v>
      </c>
      <c r="M1491">
        <v>2</v>
      </c>
      <c r="N1491" t="str">
        <f t="shared" si="941"/>
        <v/>
      </c>
      <c r="O1491" t="str">
        <f t="shared" si="942"/>
        <v/>
      </c>
      <c r="P1491" t="str">
        <f t="shared" si="943"/>
        <v/>
      </c>
      <c r="Q1491" t="str">
        <f t="shared" si="944"/>
        <v/>
      </c>
      <c r="R1491" t="str">
        <f t="shared" si="945"/>
        <v/>
      </c>
      <c r="S1491" t="str">
        <f t="shared" si="946"/>
        <v/>
      </c>
      <c r="T1491" s="2" t="str">
        <f t="shared" si="947"/>
        <v/>
      </c>
      <c r="U1491" s="2" t="str">
        <f t="shared" si="948"/>
        <v/>
      </c>
      <c r="V1491" t="str">
        <f t="shared" si="965"/>
        <v/>
      </c>
      <c r="AE1491" t="str">
        <f>(B1505*128+B1504*64+B1503*32+B1502*16+B1501*8+B1500*4+B1499*2+B1498)*256+B1497*128+B1496*64+B1495*32+B1494*16+B1493*8+B1492*4+B1491*2+B1490&amp;","</f>
        <v>16368,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75"/>
        <v>g</v>
      </c>
      <c r="M1492">
        <v>3</v>
      </c>
      <c r="N1492" s="3" t="str">
        <f t="shared" si="941"/>
        <v/>
      </c>
      <c r="O1492" s="4" t="str">
        <f t="shared" si="942"/>
        <v/>
      </c>
      <c r="P1492" s="4" t="str">
        <f t="shared" si="943"/>
        <v/>
      </c>
      <c r="Q1492" s="4" t="str">
        <f t="shared" si="944"/>
        <v/>
      </c>
      <c r="R1492" s="4" t="str">
        <f t="shared" si="945"/>
        <v/>
      </c>
      <c r="S1492" s="5" t="str">
        <f t="shared" si="946"/>
        <v/>
      </c>
      <c r="T1492" s="2" t="str">
        <f t="shared" si="947"/>
        <v/>
      </c>
      <c r="U1492" s="2" t="str">
        <f t="shared" si="948"/>
        <v/>
      </c>
      <c r="V1492" t="str">
        <f t="shared" si="965"/>
        <v/>
      </c>
      <c r="X1492">
        <f t="shared" ref="X1492:X1505" si="976">MAX(B1492-B1491,0)</f>
        <v>0</v>
      </c>
      <c r="Y1492">
        <f t="shared" ref="Y1492:Y1505" si="977">MAX(C1492-C1491,0)</f>
        <v>0</v>
      </c>
      <c r="Z1492">
        <f t="shared" ref="Z1492:Z1505" si="978">MAX(D1492-D1491,0)</f>
        <v>0</v>
      </c>
      <c r="AA1492">
        <f t="shared" ref="AA1492:AA1505" si="979">MAX(E1492-E1491,0)</f>
        <v>0</v>
      </c>
      <c r="AB1492">
        <f t="shared" ref="AB1492:AB1505" si="980">MAX(F1492-F1491,0)</f>
        <v>0</v>
      </c>
      <c r="AC1492">
        <f t="shared" ref="AC1492:AC1505" si="981">MAX(G1492-G1491,0)</f>
        <v>0</v>
      </c>
      <c r="AE1492" t="str">
        <f>(C1505*128+C1504*64+C1503*32+C1502*16+C1501*8+C1500*4+C1499*2+C1498)*256+C1497*128+C1496*64+C1495*32+C1494*16+C1493*8+C1492*4+C1491*2+C1490&amp;","</f>
        <v>12336,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75"/>
        <v>g</v>
      </c>
      <c r="M1493">
        <v>4</v>
      </c>
      <c r="N1493" s="6" t="str">
        <f t="shared" si="941"/>
        <v/>
      </c>
      <c r="O1493" s="7" t="str">
        <f t="shared" si="942"/>
        <v/>
      </c>
      <c r="P1493" s="7" t="str">
        <f t="shared" si="943"/>
        <v/>
      </c>
      <c r="Q1493" s="7" t="str">
        <f t="shared" si="944"/>
        <v/>
      </c>
      <c r="R1493" s="7" t="str">
        <f t="shared" si="945"/>
        <v/>
      </c>
      <c r="S1493" s="8" t="str">
        <f t="shared" si="946"/>
        <v/>
      </c>
      <c r="T1493" s="2" t="str">
        <f t="shared" si="947"/>
        <v/>
      </c>
      <c r="U1493" s="2" t="str">
        <f t="shared" si="948"/>
        <v/>
      </c>
      <c r="V1493" t="str">
        <f t="shared" si="965"/>
        <v/>
      </c>
      <c r="X1493">
        <f t="shared" si="976"/>
        <v>0</v>
      </c>
      <c r="Y1493">
        <f t="shared" si="977"/>
        <v>0</v>
      </c>
      <c r="Z1493">
        <f t="shared" si="978"/>
        <v>0</v>
      </c>
      <c r="AA1493">
        <f t="shared" si="979"/>
        <v>0</v>
      </c>
      <c r="AB1493">
        <f t="shared" si="980"/>
        <v>0</v>
      </c>
      <c r="AC1493">
        <f t="shared" si="981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1</v>
      </c>
      <c r="C1494" s="21">
        <v>1</v>
      </c>
      <c r="D1494" s="21">
        <v>1</v>
      </c>
      <c r="E1494" s="21">
        <v>1</v>
      </c>
      <c r="F1494" s="21">
        <v>0</v>
      </c>
      <c r="G1494" s="21">
        <v>0</v>
      </c>
      <c r="H1494" s="21">
        <v>0</v>
      </c>
      <c r="I1494" s="21">
        <v>0</v>
      </c>
      <c r="L1494" t="str">
        <f t="shared" si="975"/>
        <v>g</v>
      </c>
      <c r="M1494">
        <v>5</v>
      </c>
      <c r="N1494" s="22" t="str">
        <f t="shared" si="941"/>
        <v>#</v>
      </c>
      <c r="O1494" s="15" t="str">
        <f t="shared" si="942"/>
        <v>#</v>
      </c>
      <c r="P1494" s="15" t="str">
        <f t="shared" si="943"/>
        <v>#</v>
      </c>
      <c r="Q1494" s="15" t="str">
        <f t="shared" si="944"/>
        <v>#</v>
      </c>
      <c r="R1494" s="16" t="str">
        <f t="shared" si="945"/>
        <v/>
      </c>
      <c r="S1494" s="8" t="str">
        <f t="shared" si="946"/>
        <v/>
      </c>
      <c r="T1494" s="2" t="str">
        <f t="shared" si="947"/>
        <v/>
      </c>
      <c r="U1494" s="2" t="str">
        <f t="shared" si="948"/>
        <v/>
      </c>
      <c r="V1494" t="str">
        <f t="shared" si="965"/>
        <v/>
      </c>
      <c r="X1494">
        <f t="shared" si="976"/>
        <v>1</v>
      </c>
      <c r="Y1494">
        <f t="shared" si="977"/>
        <v>1</v>
      </c>
      <c r="Z1494">
        <f t="shared" si="978"/>
        <v>1</v>
      </c>
      <c r="AA1494">
        <f t="shared" si="979"/>
        <v>1</v>
      </c>
      <c r="AB1494">
        <f t="shared" si="980"/>
        <v>0</v>
      </c>
      <c r="AC1494">
        <f t="shared" si="981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0</v>
      </c>
      <c r="G1495" s="21">
        <v>0</v>
      </c>
      <c r="H1495" s="21">
        <v>0</v>
      </c>
      <c r="I1495" s="21">
        <v>0</v>
      </c>
      <c r="L1495" t="str">
        <f t="shared" si="975"/>
        <v>g</v>
      </c>
      <c r="M1495">
        <v>6</v>
      </c>
      <c r="N1495" s="23" t="str">
        <f t="shared" si="941"/>
        <v>#</v>
      </c>
      <c r="O1495" s="7" t="str">
        <f t="shared" si="942"/>
        <v>#</v>
      </c>
      <c r="P1495" s="7" t="str">
        <f t="shared" si="943"/>
        <v>#</v>
      </c>
      <c r="Q1495" s="7" t="str">
        <f t="shared" si="944"/>
        <v>#</v>
      </c>
      <c r="R1495" s="17" t="str">
        <f t="shared" si="945"/>
        <v/>
      </c>
      <c r="S1495" s="8" t="str">
        <f t="shared" si="946"/>
        <v/>
      </c>
      <c r="T1495" s="2" t="str">
        <f t="shared" si="947"/>
        <v/>
      </c>
      <c r="U1495" s="2" t="str">
        <f t="shared" si="948"/>
        <v/>
      </c>
      <c r="V1495" t="str">
        <f t="shared" si="965"/>
        <v/>
      </c>
      <c r="X1495">
        <f t="shared" si="976"/>
        <v>0</v>
      </c>
      <c r="Y1495">
        <f t="shared" si="977"/>
        <v>0</v>
      </c>
      <c r="Z1495">
        <f t="shared" si="978"/>
        <v>0</v>
      </c>
      <c r="AA1495">
        <f t="shared" si="979"/>
        <v>0</v>
      </c>
      <c r="AB1495">
        <f t="shared" si="980"/>
        <v>0</v>
      </c>
      <c r="AC1495">
        <f t="shared" si="981"/>
        <v>0</v>
      </c>
      <c r="AE1495" t="str">
        <f>(F1505*128+F1504*64+F1503*32+F1502*16+F1501*8+F1500*4+F1499*2+F1498)*256+F1497*128+F1496*64+F1495*32+F1494*16+F1493*8+F1492*4+F1491*2+F1490&amp;","</f>
        <v>16128,</v>
      </c>
    </row>
    <row r="1496" spans="1:31" x14ac:dyDescent="0.2">
      <c r="A1496" s="21"/>
      <c r="B1496" s="21">
        <v>1</v>
      </c>
      <c r="C1496" s="21">
        <v>0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75"/>
        <v>g</v>
      </c>
      <c r="M1496">
        <v>7</v>
      </c>
      <c r="N1496" s="23" t="str">
        <f t="shared" si="941"/>
        <v>#</v>
      </c>
      <c r="O1496" s="7" t="str">
        <f t="shared" si="942"/>
        <v/>
      </c>
      <c r="P1496" s="7" t="str">
        <f t="shared" si="943"/>
        <v/>
      </c>
      <c r="Q1496" s="7" t="str">
        <f t="shared" si="944"/>
        <v/>
      </c>
      <c r="R1496" s="17" t="str">
        <f t="shared" si="945"/>
        <v/>
      </c>
      <c r="S1496" s="8" t="str">
        <f t="shared" si="946"/>
        <v/>
      </c>
      <c r="T1496" s="2" t="str">
        <f t="shared" si="947"/>
        <v/>
      </c>
      <c r="U1496" s="2" t="str">
        <f t="shared" si="948"/>
        <v/>
      </c>
      <c r="V1496" t="str">
        <f t="shared" si="965"/>
        <v/>
      </c>
      <c r="X1496">
        <f t="shared" si="976"/>
        <v>0</v>
      </c>
      <c r="Y1496">
        <f t="shared" si="977"/>
        <v>0</v>
      </c>
      <c r="Z1496">
        <f t="shared" si="978"/>
        <v>0</v>
      </c>
      <c r="AA1496">
        <f t="shared" si="979"/>
        <v>0</v>
      </c>
      <c r="AB1496">
        <f t="shared" si="980"/>
        <v>0</v>
      </c>
      <c r="AC1496">
        <f t="shared" si="981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75"/>
        <v>g</v>
      </c>
      <c r="M1497">
        <v>8</v>
      </c>
      <c r="N1497" s="23" t="str">
        <f t="shared" si="941"/>
        <v>#</v>
      </c>
      <c r="O1497" s="7" t="str">
        <f t="shared" si="942"/>
        <v/>
      </c>
      <c r="P1497" s="7" t="str">
        <f t="shared" si="943"/>
        <v/>
      </c>
      <c r="Q1497" s="7" t="str">
        <f t="shared" si="944"/>
        <v/>
      </c>
      <c r="R1497" s="17" t="str">
        <f t="shared" si="945"/>
        <v/>
      </c>
      <c r="S1497" s="8" t="str">
        <f t="shared" si="946"/>
        <v/>
      </c>
      <c r="T1497" s="2" t="str">
        <f t="shared" si="947"/>
        <v/>
      </c>
      <c r="U1497" s="2" t="str">
        <f t="shared" si="948"/>
        <v/>
      </c>
      <c r="V1497" t="str">
        <f t="shared" si="965"/>
        <v/>
      </c>
      <c r="X1497">
        <f t="shared" si="976"/>
        <v>0</v>
      </c>
      <c r="Y1497">
        <f t="shared" si="977"/>
        <v>0</v>
      </c>
      <c r="Z1497">
        <f t="shared" si="978"/>
        <v>0</v>
      </c>
      <c r="AA1497">
        <f t="shared" si="979"/>
        <v>0</v>
      </c>
      <c r="AB1497">
        <f t="shared" si="980"/>
        <v>0</v>
      </c>
      <c r="AC1497">
        <f t="shared" si="981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75"/>
        <v>g</v>
      </c>
      <c r="M1498">
        <v>9</v>
      </c>
      <c r="N1498" s="23" t="str">
        <f t="shared" si="941"/>
        <v>#</v>
      </c>
      <c r="O1498" s="7" t="str">
        <f t="shared" si="942"/>
        <v/>
      </c>
      <c r="P1498" s="7" t="str">
        <f t="shared" si="943"/>
        <v/>
      </c>
      <c r="Q1498" s="7" t="str">
        <f t="shared" si="944"/>
        <v>#</v>
      </c>
      <c r="R1498" s="17" t="str">
        <f t="shared" si="945"/>
        <v>#</v>
      </c>
      <c r="S1498" s="8" t="str">
        <f t="shared" si="946"/>
        <v/>
      </c>
      <c r="T1498" s="2" t="str">
        <f t="shared" si="947"/>
        <v/>
      </c>
      <c r="U1498" s="2" t="str">
        <f t="shared" si="948"/>
        <v/>
      </c>
      <c r="V1498" t="str">
        <f t="shared" si="965"/>
        <v/>
      </c>
      <c r="X1498">
        <f t="shared" si="976"/>
        <v>0</v>
      </c>
      <c r="Y1498">
        <f t="shared" si="977"/>
        <v>0</v>
      </c>
      <c r="Z1498">
        <f t="shared" si="978"/>
        <v>0</v>
      </c>
      <c r="AA1498">
        <f t="shared" si="979"/>
        <v>1</v>
      </c>
      <c r="AB1498">
        <f t="shared" si="980"/>
        <v>1</v>
      </c>
      <c r="AC1498">
        <f t="shared" si="981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75"/>
        <v>g</v>
      </c>
      <c r="M1499">
        <v>10</v>
      </c>
      <c r="N1499" s="23" t="str">
        <f t="shared" si="941"/>
        <v>#</v>
      </c>
      <c r="O1499" s="7" t="str">
        <f t="shared" si="942"/>
        <v/>
      </c>
      <c r="P1499" s="7" t="str">
        <f t="shared" si="943"/>
        <v/>
      </c>
      <c r="Q1499" s="7" t="str">
        <f t="shared" si="944"/>
        <v>#</v>
      </c>
      <c r="R1499" s="17" t="str">
        <f t="shared" si="945"/>
        <v>#</v>
      </c>
      <c r="S1499" s="8" t="str">
        <f t="shared" si="946"/>
        <v/>
      </c>
      <c r="T1499" s="2" t="str">
        <f t="shared" si="947"/>
        <v/>
      </c>
      <c r="U1499" s="2" t="str">
        <f t="shared" si="948"/>
        <v/>
      </c>
      <c r="V1499" t="str">
        <f t="shared" si="965"/>
        <v/>
      </c>
      <c r="X1499">
        <f t="shared" si="976"/>
        <v>0</v>
      </c>
      <c r="Y1499">
        <f t="shared" si="977"/>
        <v>0</v>
      </c>
      <c r="Z1499">
        <f t="shared" si="978"/>
        <v>0</v>
      </c>
      <c r="AA1499">
        <f t="shared" si="979"/>
        <v>0</v>
      </c>
      <c r="AB1499">
        <f t="shared" si="980"/>
        <v>0</v>
      </c>
      <c r="AC1499">
        <f t="shared" si="981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75"/>
        <v>g</v>
      </c>
      <c r="M1500">
        <v>11</v>
      </c>
      <c r="N1500" s="23" t="str">
        <f t="shared" si="941"/>
        <v>#</v>
      </c>
      <c r="O1500" s="7" t="str">
        <f t="shared" si="942"/>
        <v/>
      </c>
      <c r="P1500" s="7" t="str">
        <f t="shared" si="943"/>
        <v/>
      </c>
      <c r="Q1500" s="7" t="str">
        <f t="shared" si="944"/>
        <v/>
      </c>
      <c r="R1500" s="17" t="str">
        <f t="shared" si="945"/>
        <v>#</v>
      </c>
      <c r="S1500" s="8" t="str">
        <f t="shared" si="946"/>
        <v/>
      </c>
      <c r="T1500" s="2" t="str">
        <f t="shared" si="947"/>
        <v/>
      </c>
      <c r="U1500" s="2" t="str">
        <f t="shared" si="948"/>
        <v/>
      </c>
      <c r="V1500" t="str">
        <f t="shared" si="965"/>
        <v/>
      </c>
      <c r="X1500">
        <f t="shared" si="976"/>
        <v>0</v>
      </c>
      <c r="Y1500">
        <f t="shared" si="977"/>
        <v>0</v>
      </c>
      <c r="Z1500">
        <f t="shared" si="978"/>
        <v>0</v>
      </c>
      <c r="AA1500">
        <f t="shared" si="979"/>
        <v>0</v>
      </c>
      <c r="AB1500">
        <f t="shared" si="980"/>
        <v>0</v>
      </c>
      <c r="AC1500">
        <f t="shared" si="981"/>
        <v>0</v>
      </c>
    </row>
    <row r="1501" spans="1:31" x14ac:dyDescent="0.2">
      <c r="A1501" s="21"/>
      <c r="B1501" s="21">
        <v>1</v>
      </c>
      <c r="C1501" s="21">
        <v>0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75"/>
        <v>g</v>
      </c>
      <c r="M1501">
        <v>12</v>
      </c>
      <c r="N1501" s="23" t="str">
        <f t="shared" si="941"/>
        <v>#</v>
      </c>
      <c r="O1501" s="7" t="str">
        <f t="shared" si="942"/>
        <v/>
      </c>
      <c r="P1501" s="7" t="str">
        <f t="shared" si="943"/>
        <v/>
      </c>
      <c r="Q1501" s="7" t="str">
        <f t="shared" si="944"/>
        <v/>
      </c>
      <c r="R1501" s="17" t="str">
        <f t="shared" si="945"/>
        <v>#</v>
      </c>
      <c r="S1501" s="8" t="str">
        <f t="shared" si="946"/>
        <v/>
      </c>
      <c r="T1501" s="2" t="str">
        <f t="shared" si="947"/>
        <v/>
      </c>
      <c r="U1501" s="2" t="str">
        <f t="shared" si="948"/>
        <v/>
      </c>
      <c r="V1501" t="str">
        <f t="shared" si="965"/>
        <v/>
      </c>
      <c r="X1501">
        <f t="shared" si="976"/>
        <v>0</v>
      </c>
      <c r="Y1501">
        <f t="shared" si="977"/>
        <v>0</v>
      </c>
      <c r="Z1501">
        <f t="shared" si="978"/>
        <v>0</v>
      </c>
      <c r="AA1501">
        <f t="shared" si="979"/>
        <v>0</v>
      </c>
      <c r="AB1501">
        <f t="shared" si="980"/>
        <v>0</v>
      </c>
      <c r="AC1501">
        <f t="shared" si="981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75"/>
        <v>g</v>
      </c>
      <c r="M1502">
        <v>13</v>
      </c>
      <c r="N1502" s="6" t="str">
        <f t="shared" si="941"/>
        <v>#</v>
      </c>
      <c r="O1502" s="7" t="str">
        <f t="shared" si="942"/>
        <v>#</v>
      </c>
      <c r="P1502" s="7" t="str">
        <f t="shared" si="943"/>
        <v>#</v>
      </c>
      <c r="Q1502" s="7" t="str">
        <f t="shared" si="944"/>
        <v>#</v>
      </c>
      <c r="R1502" s="17" t="str">
        <f t="shared" si="945"/>
        <v>#</v>
      </c>
      <c r="S1502" s="8" t="str">
        <f t="shared" si="946"/>
        <v/>
      </c>
      <c r="T1502" s="2" t="str">
        <f t="shared" si="947"/>
        <v/>
      </c>
      <c r="U1502" s="2" t="str">
        <f t="shared" si="948"/>
        <v/>
      </c>
      <c r="V1502" t="str">
        <f t="shared" si="965"/>
        <v/>
      </c>
      <c r="X1502">
        <f t="shared" si="976"/>
        <v>0</v>
      </c>
      <c r="Y1502">
        <f t="shared" si="977"/>
        <v>1</v>
      </c>
      <c r="Z1502">
        <f t="shared" si="978"/>
        <v>1</v>
      </c>
      <c r="AA1502">
        <f t="shared" si="979"/>
        <v>1</v>
      </c>
      <c r="AB1502">
        <f t="shared" si="980"/>
        <v>0</v>
      </c>
      <c r="AC1502">
        <f t="shared" si="981"/>
        <v>0</v>
      </c>
    </row>
    <row r="1503" spans="1:31" ht="13.5" thickBot="1" x14ac:dyDescent="0.25">
      <c r="A1503" s="21"/>
      <c r="B1503" s="21">
        <v>1</v>
      </c>
      <c r="C1503" s="21">
        <v>1</v>
      </c>
      <c r="D1503" s="21">
        <v>1</v>
      </c>
      <c r="E1503" s="21">
        <v>1</v>
      </c>
      <c r="F1503" s="21">
        <v>1</v>
      </c>
      <c r="G1503" s="21">
        <v>0</v>
      </c>
      <c r="H1503" s="21">
        <v>0</v>
      </c>
      <c r="I1503" s="21">
        <v>0</v>
      </c>
      <c r="L1503" t="str">
        <f t="shared" si="975"/>
        <v>g</v>
      </c>
      <c r="M1503">
        <v>14</v>
      </c>
      <c r="N1503" s="18" t="str">
        <f t="shared" si="941"/>
        <v>#</v>
      </c>
      <c r="O1503" s="19" t="str">
        <f t="shared" si="942"/>
        <v>#</v>
      </c>
      <c r="P1503" s="19" t="str">
        <f t="shared" si="943"/>
        <v>#</v>
      </c>
      <c r="Q1503" s="19" t="str">
        <f t="shared" si="944"/>
        <v>#</v>
      </c>
      <c r="R1503" s="20" t="str">
        <f t="shared" si="945"/>
        <v>#</v>
      </c>
      <c r="S1503" s="8" t="str">
        <f t="shared" si="946"/>
        <v/>
      </c>
      <c r="T1503" s="2" t="str">
        <f t="shared" si="947"/>
        <v/>
      </c>
      <c r="U1503" s="2" t="str">
        <f t="shared" si="948"/>
        <v/>
      </c>
      <c r="V1503" t="str">
        <f t="shared" si="965"/>
        <v/>
      </c>
      <c r="X1503">
        <f t="shared" si="976"/>
        <v>0</v>
      </c>
      <c r="Y1503">
        <f t="shared" si="977"/>
        <v>0</v>
      </c>
      <c r="Z1503">
        <f t="shared" si="978"/>
        <v>0</v>
      </c>
      <c r="AA1503">
        <f t="shared" si="979"/>
        <v>0</v>
      </c>
      <c r="AB1503">
        <f t="shared" si="980"/>
        <v>0</v>
      </c>
      <c r="AC1503">
        <f t="shared" si="981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75"/>
        <v>g</v>
      </c>
      <c r="M1504">
        <v>15</v>
      </c>
      <c r="N1504" s="9" t="str">
        <f t="shared" si="941"/>
        <v/>
      </c>
      <c r="O1504" s="10" t="str">
        <f t="shared" si="942"/>
        <v/>
      </c>
      <c r="P1504" s="10" t="str">
        <f t="shared" si="943"/>
        <v/>
      </c>
      <c r="Q1504" s="10" t="str">
        <f t="shared" si="944"/>
        <v/>
      </c>
      <c r="R1504" s="10" t="str">
        <f t="shared" si="945"/>
        <v/>
      </c>
      <c r="S1504" s="11" t="str">
        <f t="shared" si="946"/>
        <v/>
      </c>
      <c r="T1504" s="2" t="str">
        <f t="shared" si="947"/>
        <v/>
      </c>
      <c r="U1504" s="2" t="str">
        <f t="shared" si="948"/>
        <v/>
      </c>
      <c r="V1504" t="str">
        <f t="shared" si="965"/>
        <v/>
      </c>
      <c r="X1504">
        <f t="shared" si="976"/>
        <v>0</v>
      </c>
      <c r="Y1504">
        <f t="shared" si="977"/>
        <v>0</v>
      </c>
      <c r="Z1504">
        <f t="shared" si="978"/>
        <v>0</v>
      </c>
      <c r="AA1504">
        <f t="shared" si="979"/>
        <v>0</v>
      </c>
      <c r="AB1504">
        <f t="shared" si="980"/>
        <v>0</v>
      </c>
      <c r="AC1504">
        <f t="shared" si="981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75"/>
        <v>g</v>
      </c>
      <c r="M1505">
        <v>16</v>
      </c>
      <c r="N1505" s="12" t="str">
        <f t="shared" si="941"/>
        <v/>
      </c>
      <c r="O1505" s="13" t="str">
        <f t="shared" si="942"/>
        <v/>
      </c>
      <c r="P1505" s="13" t="str">
        <f t="shared" si="943"/>
        <v/>
      </c>
      <c r="Q1505" s="13" t="str">
        <f t="shared" si="944"/>
        <v/>
      </c>
      <c r="R1505" s="13" t="str">
        <f t="shared" si="945"/>
        <v/>
      </c>
      <c r="S1505" s="14" t="str">
        <f t="shared" si="946"/>
        <v/>
      </c>
      <c r="T1505" s="2" t="str">
        <f t="shared" si="947"/>
        <v/>
      </c>
      <c r="U1505" s="2" t="str">
        <f t="shared" si="948"/>
        <v/>
      </c>
      <c r="V1505" t="str">
        <f t="shared" si="965"/>
        <v/>
      </c>
      <c r="X1505">
        <f t="shared" si="976"/>
        <v>0</v>
      </c>
      <c r="Y1505">
        <f t="shared" si="977"/>
        <v>0</v>
      </c>
      <c r="Z1505">
        <f t="shared" si="978"/>
        <v>0</v>
      </c>
      <c r="AA1505">
        <f t="shared" si="979"/>
        <v>0</v>
      </c>
      <c r="AB1505">
        <f t="shared" si="980"/>
        <v>0</v>
      </c>
      <c r="AC1505">
        <f t="shared" si="981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82">IF(B1506&gt;0,"#","")</f>
        <v/>
      </c>
      <c r="O1506" t="str">
        <f t="shared" ref="O1506:O1569" si="983">IF(C1506&gt;0,"#","")</f>
        <v/>
      </c>
      <c r="P1506" t="str">
        <f t="shared" ref="P1506:P1569" si="984">IF(D1506&gt;0,"#","")</f>
        <v/>
      </c>
      <c r="Q1506" t="str">
        <f t="shared" ref="Q1506:Q1569" si="985">IF(E1506&gt;0,"#","")</f>
        <v/>
      </c>
      <c r="R1506" t="str">
        <f t="shared" ref="R1506:R1569" si="986">IF(F1506&gt;0,"#","")</f>
        <v/>
      </c>
      <c r="S1506" t="str">
        <f t="shared" ref="S1506:S1569" si="987">IF(G1506&gt;0,"#","")</f>
        <v/>
      </c>
      <c r="T1506" s="2" t="str">
        <f t="shared" ref="T1506:T1569" si="988">IF(H1506&gt;0,"#","")</f>
        <v/>
      </c>
      <c r="U1506" s="2" t="str">
        <f t="shared" ref="U1506:U1569" si="989">IF(I1506&gt;0,"#","")</f>
        <v/>
      </c>
      <c r="V1506" t="str">
        <f t="shared" si="965"/>
        <v/>
      </c>
      <c r="W1506">
        <f>SUM(B1508:G1521)</f>
        <v>26</v>
      </c>
      <c r="AD1506">
        <f t="shared" ref="AD1506" si="990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91">L1506</f>
        <v>h</v>
      </c>
      <c r="M1507">
        <v>2</v>
      </c>
      <c r="N1507" t="str">
        <f t="shared" si="982"/>
        <v/>
      </c>
      <c r="O1507" t="str">
        <f t="shared" si="983"/>
        <v/>
      </c>
      <c r="P1507" t="str">
        <f t="shared" si="984"/>
        <v/>
      </c>
      <c r="Q1507" t="str">
        <f t="shared" si="985"/>
        <v/>
      </c>
      <c r="R1507" t="str">
        <f t="shared" si="986"/>
        <v/>
      </c>
      <c r="S1507" t="str">
        <f t="shared" si="987"/>
        <v/>
      </c>
      <c r="T1507" s="2" t="str">
        <f t="shared" si="988"/>
        <v/>
      </c>
      <c r="U1507" s="2" t="str">
        <f t="shared" si="989"/>
        <v/>
      </c>
      <c r="V1507" t="str">
        <f t="shared" si="965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91"/>
        <v>h</v>
      </c>
      <c r="M1508">
        <v>3</v>
      </c>
      <c r="N1508" s="3" t="str">
        <f t="shared" si="982"/>
        <v/>
      </c>
      <c r="O1508" s="4" t="str">
        <f t="shared" si="983"/>
        <v/>
      </c>
      <c r="P1508" s="4" t="str">
        <f t="shared" si="984"/>
        <v/>
      </c>
      <c r="Q1508" s="4" t="str">
        <f t="shared" si="985"/>
        <v/>
      </c>
      <c r="R1508" s="4" t="str">
        <f t="shared" si="986"/>
        <v/>
      </c>
      <c r="S1508" s="5" t="str">
        <f t="shared" si="987"/>
        <v/>
      </c>
      <c r="T1508" s="2" t="str">
        <f t="shared" si="988"/>
        <v/>
      </c>
      <c r="U1508" s="2" t="str">
        <f t="shared" si="989"/>
        <v/>
      </c>
      <c r="V1508" t="str">
        <f t="shared" si="965"/>
        <v/>
      </c>
      <c r="X1508">
        <f t="shared" ref="X1508:X1521" si="992">MAX(B1508-B1507,0)</f>
        <v>0</v>
      </c>
      <c r="Y1508">
        <f t="shared" ref="Y1508:Y1521" si="993">MAX(C1508-C1507,0)</f>
        <v>0</v>
      </c>
      <c r="Z1508">
        <f t="shared" ref="Z1508:Z1521" si="994">MAX(D1508-D1507,0)</f>
        <v>0</v>
      </c>
      <c r="AA1508">
        <f t="shared" ref="AA1508:AA1521" si="995">MAX(E1508-E1507,0)</f>
        <v>0</v>
      </c>
      <c r="AB1508">
        <f t="shared" ref="AB1508:AB1521" si="996">MAX(F1508-F1507,0)</f>
        <v>0</v>
      </c>
      <c r="AC1508">
        <f t="shared" ref="AC1508:AC1521" si="997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91"/>
        <v>h</v>
      </c>
      <c r="M1509">
        <v>4</v>
      </c>
      <c r="N1509" s="6" t="str">
        <f t="shared" si="982"/>
        <v/>
      </c>
      <c r="O1509" s="7" t="str">
        <f t="shared" si="983"/>
        <v/>
      </c>
      <c r="P1509" s="7" t="str">
        <f t="shared" si="984"/>
        <v/>
      </c>
      <c r="Q1509" s="7" t="str">
        <f t="shared" si="985"/>
        <v/>
      </c>
      <c r="R1509" s="7" t="str">
        <f t="shared" si="986"/>
        <v/>
      </c>
      <c r="S1509" s="8" t="str">
        <f t="shared" si="987"/>
        <v/>
      </c>
      <c r="T1509" s="2" t="str">
        <f t="shared" si="988"/>
        <v/>
      </c>
      <c r="U1509" s="2" t="str">
        <f t="shared" si="989"/>
        <v/>
      </c>
      <c r="V1509" t="str">
        <f t="shared" si="965"/>
        <v/>
      </c>
      <c r="X1509">
        <f t="shared" si="992"/>
        <v>0</v>
      </c>
      <c r="Y1509">
        <f t="shared" si="993"/>
        <v>0</v>
      </c>
      <c r="Z1509">
        <f t="shared" si="994"/>
        <v>0</v>
      </c>
      <c r="AA1509">
        <f t="shared" si="995"/>
        <v>0</v>
      </c>
      <c r="AB1509">
        <f t="shared" si="996"/>
        <v>0</v>
      </c>
      <c r="AC1509">
        <f t="shared" si="997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91"/>
        <v>h</v>
      </c>
      <c r="M1510">
        <v>5</v>
      </c>
      <c r="N1510" s="22" t="str">
        <f t="shared" si="982"/>
        <v>#</v>
      </c>
      <c r="O1510" s="15" t="str">
        <f t="shared" si="983"/>
        <v/>
      </c>
      <c r="P1510" s="15" t="str">
        <f t="shared" si="984"/>
        <v/>
      </c>
      <c r="Q1510" s="15" t="str">
        <f t="shared" si="985"/>
        <v/>
      </c>
      <c r="R1510" s="16" t="str">
        <f t="shared" si="986"/>
        <v>#</v>
      </c>
      <c r="S1510" s="8" t="str">
        <f t="shared" si="987"/>
        <v/>
      </c>
      <c r="T1510" s="2" t="str">
        <f t="shared" si="988"/>
        <v/>
      </c>
      <c r="U1510" s="2" t="str">
        <f t="shared" si="989"/>
        <v/>
      </c>
      <c r="V1510" t="str">
        <f t="shared" si="965"/>
        <v/>
      </c>
      <c r="X1510">
        <f t="shared" si="992"/>
        <v>1</v>
      </c>
      <c r="Y1510">
        <f t="shared" si="993"/>
        <v>0</v>
      </c>
      <c r="Z1510">
        <f t="shared" si="994"/>
        <v>0</v>
      </c>
      <c r="AA1510">
        <f t="shared" si="995"/>
        <v>0</v>
      </c>
      <c r="AB1510">
        <f t="shared" si="996"/>
        <v>1</v>
      </c>
      <c r="AC1510">
        <f t="shared" si="997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91"/>
        <v>h</v>
      </c>
      <c r="M1511">
        <v>6</v>
      </c>
      <c r="N1511" s="23" t="str">
        <f t="shared" si="982"/>
        <v>#</v>
      </c>
      <c r="O1511" s="7" t="str">
        <f t="shared" si="983"/>
        <v/>
      </c>
      <c r="P1511" s="7" t="str">
        <f t="shared" si="984"/>
        <v/>
      </c>
      <c r="Q1511" s="7" t="str">
        <f t="shared" si="985"/>
        <v/>
      </c>
      <c r="R1511" s="17" t="str">
        <f t="shared" si="986"/>
        <v>#</v>
      </c>
      <c r="S1511" s="8" t="str">
        <f t="shared" si="987"/>
        <v/>
      </c>
      <c r="T1511" s="2" t="str">
        <f t="shared" si="988"/>
        <v/>
      </c>
      <c r="U1511" s="2" t="str">
        <f t="shared" si="989"/>
        <v/>
      </c>
      <c r="V1511" t="str">
        <f t="shared" si="965"/>
        <v/>
      </c>
      <c r="X1511">
        <f t="shared" si="992"/>
        <v>0</v>
      </c>
      <c r="Y1511">
        <f t="shared" si="993"/>
        <v>0</v>
      </c>
      <c r="Z1511">
        <f t="shared" si="994"/>
        <v>0</v>
      </c>
      <c r="AA1511">
        <f t="shared" si="995"/>
        <v>0</v>
      </c>
      <c r="AB1511">
        <f t="shared" si="996"/>
        <v>0</v>
      </c>
      <c r="AC1511">
        <f t="shared" si="997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91"/>
        <v>h</v>
      </c>
      <c r="M1512">
        <v>7</v>
      </c>
      <c r="N1512" s="23" t="str">
        <f t="shared" si="982"/>
        <v>#</v>
      </c>
      <c r="O1512" s="7" t="str">
        <f t="shared" si="983"/>
        <v/>
      </c>
      <c r="P1512" s="7" t="str">
        <f t="shared" si="984"/>
        <v/>
      </c>
      <c r="Q1512" s="7" t="str">
        <f t="shared" si="985"/>
        <v/>
      </c>
      <c r="R1512" s="17" t="str">
        <f t="shared" si="986"/>
        <v>#</v>
      </c>
      <c r="S1512" s="8" t="str">
        <f t="shared" si="987"/>
        <v/>
      </c>
      <c r="T1512" s="2" t="str">
        <f t="shared" si="988"/>
        <v/>
      </c>
      <c r="U1512" s="2" t="str">
        <f t="shared" si="989"/>
        <v/>
      </c>
      <c r="V1512" t="str">
        <f t="shared" si="965"/>
        <v/>
      </c>
      <c r="X1512">
        <f t="shared" si="992"/>
        <v>0</v>
      </c>
      <c r="Y1512">
        <f t="shared" si="993"/>
        <v>0</v>
      </c>
      <c r="Z1512">
        <f t="shared" si="994"/>
        <v>0</v>
      </c>
      <c r="AA1512">
        <f t="shared" si="995"/>
        <v>0</v>
      </c>
      <c r="AB1512">
        <f t="shared" si="996"/>
        <v>0</v>
      </c>
      <c r="AC1512">
        <f t="shared" si="997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91"/>
        <v>h</v>
      </c>
      <c r="M1513">
        <v>8</v>
      </c>
      <c r="N1513" s="23" t="str">
        <f t="shared" si="982"/>
        <v>#</v>
      </c>
      <c r="O1513" s="7" t="str">
        <f t="shared" si="983"/>
        <v/>
      </c>
      <c r="P1513" s="7" t="str">
        <f t="shared" si="984"/>
        <v/>
      </c>
      <c r="Q1513" s="7" t="str">
        <f t="shared" si="985"/>
        <v/>
      </c>
      <c r="R1513" s="17" t="str">
        <f t="shared" si="986"/>
        <v>#</v>
      </c>
      <c r="S1513" s="8" t="str">
        <f t="shared" si="987"/>
        <v/>
      </c>
      <c r="T1513" s="2" t="str">
        <f t="shared" si="988"/>
        <v/>
      </c>
      <c r="U1513" s="2" t="str">
        <f t="shared" si="989"/>
        <v/>
      </c>
      <c r="V1513" t="str">
        <f t="shared" si="965"/>
        <v/>
      </c>
      <c r="X1513">
        <f t="shared" si="992"/>
        <v>0</v>
      </c>
      <c r="Y1513">
        <f t="shared" si="993"/>
        <v>0</v>
      </c>
      <c r="Z1513">
        <f t="shared" si="994"/>
        <v>0</v>
      </c>
      <c r="AA1513">
        <f t="shared" si="995"/>
        <v>0</v>
      </c>
      <c r="AB1513">
        <f t="shared" si="996"/>
        <v>0</v>
      </c>
      <c r="AC1513">
        <f t="shared" si="997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91"/>
        <v>h</v>
      </c>
      <c r="M1514">
        <v>9</v>
      </c>
      <c r="N1514" s="23" t="str">
        <f t="shared" si="982"/>
        <v>#</v>
      </c>
      <c r="O1514" s="7" t="str">
        <f t="shared" si="983"/>
        <v>#</v>
      </c>
      <c r="P1514" s="7" t="str">
        <f t="shared" si="984"/>
        <v>#</v>
      </c>
      <c r="Q1514" s="7" t="str">
        <f t="shared" si="985"/>
        <v>#</v>
      </c>
      <c r="R1514" s="17" t="str">
        <f t="shared" si="986"/>
        <v>#</v>
      </c>
      <c r="S1514" s="8" t="str">
        <f t="shared" si="987"/>
        <v/>
      </c>
      <c r="T1514" s="2" t="str">
        <f t="shared" si="988"/>
        <v/>
      </c>
      <c r="U1514" s="2" t="str">
        <f t="shared" si="989"/>
        <v/>
      </c>
      <c r="V1514" t="str">
        <f t="shared" si="965"/>
        <v/>
      </c>
      <c r="X1514">
        <f t="shared" si="992"/>
        <v>0</v>
      </c>
      <c r="Y1514">
        <f t="shared" si="993"/>
        <v>1</v>
      </c>
      <c r="Z1514">
        <f t="shared" si="994"/>
        <v>1</v>
      </c>
      <c r="AA1514">
        <f t="shared" si="995"/>
        <v>1</v>
      </c>
      <c r="AB1514">
        <f t="shared" si="996"/>
        <v>0</v>
      </c>
      <c r="AC1514">
        <f t="shared" si="997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91"/>
        <v>h</v>
      </c>
      <c r="M1515">
        <v>10</v>
      </c>
      <c r="N1515" s="23" t="str">
        <f t="shared" si="982"/>
        <v>#</v>
      </c>
      <c r="O1515" s="7" t="str">
        <f t="shared" si="983"/>
        <v>#</v>
      </c>
      <c r="P1515" s="7" t="str">
        <f t="shared" si="984"/>
        <v>#</v>
      </c>
      <c r="Q1515" s="7" t="str">
        <f t="shared" si="985"/>
        <v>#</v>
      </c>
      <c r="R1515" s="17" t="str">
        <f t="shared" si="986"/>
        <v>#</v>
      </c>
      <c r="S1515" s="8" t="str">
        <f t="shared" si="987"/>
        <v/>
      </c>
      <c r="T1515" s="2" t="str">
        <f t="shared" si="988"/>
        <v/>
      </c>
      <c r="U1515" s="2" t="str">
        <f t="shared" si="989"/>
        <v/>
      </c>
      <c r="V1515" t="str">
        <f t="shared" si="965"/>
        <v/>
      </c>
      <c r="X1515">
        <f t="shared" si="992"/>
        <v>0</v>
      </c>
      <c r="Y1515">
        <f t="shared" si="993"/>
        <v>0</v>
      </c>
      <c r="Z1515">
        <f t="shared" si="994"/>
        <v>0</v>
      </c>
      <c r="AA1515">
        <f t="shared" si="995"/>
        <v>0</v>
      </c>
      <c r="AB1515">
        <f t="shared" si="996"/>
        <v>0</v>
      </c>
      <c r="AC1515">
        <f t="shared" si="997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91"/>
        <v>h</v>
      </c>
      <c r="M1516">
        <v>11</v>
      </c>
      <c r="N1516" s="23" t="str">
        <f t="shared" si="982"/>
        <v>#</v>
      </c>
      <c r="O1516" s="7" t="str">
        <f t="shared" si="983"/>
        <v/>
      </c>
      <c r="P1516" s="7" t="str">
        <f t="shared" si="984"/>
        <v/>
      </c>
      <c r="Q1516" s="7" t="str">
        <f t="shared" si="985"/>
        <v/>
      </c>
      <c r="R1516" s="17" t="str">
        <f t="shared" si="986"/>
        <v>#</v>
      </c>
      <c r="S1516" s="8" t="str">
        <f t="shared" si="987"/>
        <v/>
      </c>
      <c r="T1516" s="2" t="str">
        <f t="shared" si="988"/>
        <v/>
      </c>
      <c r="U1516" s="2" t="str">
        <f t="shared" si="989"/>
        <v/>
      </c>
      <c r="V1516" t="str">
        <f t="shared" si="965"/>
        <v/>
      </c>
      <c r="X1516">
        <f t="shared" si="992"/>
        <v>0</v>
      </c>
      <c r="Y1516">
        <f t="shared" si="993"/>
        <v>0</v>
      </c>
      <c r="Z1516">
        <f t="shared" si="994"/>
        <v>0</v>
      </c>
      <c r="AA1516">
        <f t="shared" si="995"/>
        <v>0</v>
      </c>
      <c r="AB1516">
        <f t="shared" si="996"/>
        <v>0</v>
      </c>
      <c r="AC1516">
        <f t="shared" si="997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91"/>
        <v>h</v>
      </c>
      <c r="M1517">
        <v>12</v>
      </c>
      <c r="N1517" s="23" t="str">
        <f t="shared" si="982"/>
        <v>#</v>
      </c>
      <c r="O1517" s="7" t="str">
        <f t="shared" si="983"/>
        <v/>
      </c>
      <c r="P1517" s="7" t="str">
        <f t="shared" si="984"/>
        <v/>
      </c>
      <c r="Q1517" s="7" t="str">
        <f t="shared" si="985"/>
        <v/>
      </c>
      <c r="R1517" s="17" t="str">
        <f t="shared" si="986"/>
        <v>#</v>
      </c>
      <c r="S1517" s="8" t="str">
        <f t="shared" si="987"/>
        <v/>
      </c>
      <c r="T1517" s="2" t="str">
        <f t="shared" si="988"/>
        <v/>
      </c>
      <c r="U1517" s="2" t="str">
        <f t="shared" si="989"/>
        <v/>
      </c>
      <c r="V1517" t="str">
        <f t="shared" si="965"/>
        <v/>
      </c>
      <c r="X1517">
        <f t="shared" si="992"/>
        <v>0</v>
      </c>
      <c r="Y1517">
        <f t="shared" si="993"/>
        <v>0</v>
      </c>
      <c r="Z1517">
        <f t="shared" si="994"/>
        <v>0</v>
      </c>
      <c r="AA1517">
        <f t="shared" si="995"/>
        <v>0</v>
      </c>
      <c r="AB1517">
        <f t="shared" si="996"/>
        <v>0</v>
      </c>
      <c r="AC1517">
        <f t="shared" si="997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91"/>
        <v>h</v>
      </c>
      <c r="M1518">
        <v>13</v>
      </c>
      <c r="N1518" s="6" t="str">
        <f t="shared" si="982"/>
        <v>#</v>
      </c>
      <c r="O1518" s="7" t="str">
        <f t="shared" si="983"/>
        <v/>
      </c>
      <c r="P1518" s="7" t="str">
        <f t="shared" si="984"/>
        <v/>
      </c>
      <c r="Q1518" s="7" t="str">
        <f t="shared" si="985"/>
        <v/>
      </c>
      <c r="R1518" s="17" t="str">
        <f t="shared" si="986"/>
        <v>#</v>
      </c>
      <c r="S1518" s="8" t="str">
        <f t="shared" si="987"/>
        <v/>
      </c>
      <c r="T1518" s="2" t="str">
        <f t="shared" si="988"/>
        <v/>
      </c>
      <c r="U1518" s="2" t="str">
        <f t="shared" si="989"/>
        <v/>
      </c>
      <c r="V1518" t="str">
        <f t="shared" si="965"/>
        <v/>
      </c>
      <c r="X1518">
        <f t="shared" si="992"/>
        <v>0</v>
      </c>
      <c r="Y1518">
        <f t="shared" si="993"/>
        <v>0</v>
      </c>
      <c r="Z1518">
        <f t="shared" si="994"/>
        <v>0</v>
      </c>
      <c r="AA1518">
        <f t="shared" si="995"/>
        <v>0</v>
      </c>
      <c r="AB1518">
        <f t="shared" si="996"/>
        <v>0</v>
      </c>
      <c r="AC1518">
        <f t="shared" si="997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91"/>
        <v>h</v>
      </c>
      <c r="M1519">
        <v>14</v>
      </c>
      <c r="N1519" s="18" t="str">
        <f t="shared" si="982"/>
        <v>#</v>
      </c>
      <c r="O1519" s="19" t="str">
        <f t="shared" si="983"/>
        <v/>
      </c>
      <c r="P1519" s="19" t="str">
        <f t="shared" si="984"/>
        <v/>
      </c>
      <c r="Q1519" s="19" t="str">
        <f t="shared" si="985"/>
        <v/>
      </c>
      <c r="R1519" s="20" t="str">
        <f t="shared" si="986"/>
        <v>#</v>
      </c>
      <c r="S1519" s="8" t="str">
        <f t="shared" si="987"/>
        <v/>
      </c>
      <c r="T1519" s="2" t="str">
        <f t="shared" si="988"/>
        <v/>
      </c>
      <c r="U1519" s="2" t="str">
        <f t="shared" si="989"/>
        <v/>
      </c>
      <c r="V1519" t="str">
        <f t="shared" si="965"/>
        <v/>
      </c>
      <c r="X1519">
        <f t="shared" si="992"/>
        <v>0</v>
      </c>
      <c r="Y1519">
        <f t="shared" si="993"/>
        <v>0</v>
      </c>
      <c r="Z1519">
        <f t="shared" si="994"/>
        <v>0</v>
      </c>
      <c r="AA1519">
        <f t="shared" si="995"/>
        <v>0</v>
      </c>
      <c r="AB1519">
        <f t="shared" si="996"/>
        <v>0</v>
      </c>
      <c r="AC1519">
        <f t="shared" si="997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91"/>
        <v>h</v>
      </c>
      <c r="M1520">
        <v>15</v>
      </c>
      <c r="N1520" s="9" t="str">
        <f t="shared" si="982"/>
        <v/>
      </c>
      <c r="O1520" s="10" t="str">
        <f t="shared" si="983"/>
        <v/>
      </c>
      <c r="P1520" s="10" t="str">
        <f t="shared" si="984"/>
        <v/>
      </c>
      <c r="Q1520" s="10" t="str">
        <f t="shared" si="985"/>
        <v/>
      </c>
      <c r="R1520" s="10" t="str">
        <f t="shared" si="986"/>
        <v/>
      </c>
      <c r="S1520" s="11" t="str">
        <f t="shared" si="987"/>
        <v/>
      </c>
      <c r="T1520" s="2" t="str">
        <f t="shared" si="988"/>
        <v/>
      </c>
      <c r="U1520" s="2" t="str">
        <f t="shared" si="989"/>
        <v/>
      </c>
      <c r="V1520" t="str">
        <f t="shared" si="965"/>
        <v/>
      </c>
      <c r="X1520">
        <f t="shared" si="992"/>
        <v>0</v>
      </c>
      <c r="Y1520">
        <f t="shared" si="993"/>
        <v>0</v>
      </c>
      <c r="Z1520">
        <f t="shared" si="994"/>
        <v>0</v>
      </c>
      <c r="AA1520">
        <f t="shared" si="995"/>
        <v>0</v>
      </c>
      <c r="AB1520">
        <f t="shared" si="996"/>
        <v>0</v>
      </c>
      <c r="AC1520">
        <f t="shared" si="997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91"/>
        <v>h</v>
      </c>
      <c r="M1521">
        <v>16</v>
      </c>
      <c r="N1521" s="12" t="str">
        <f t="shared" si="982"/>
        <v/>
      </c>
      <c r="O1521" s="13" t="str">
        <f t="shared" si="983"/>
        <v/>
      </c>
      <c r="P1521" s="13" t="str">
        <f t="shared" si="984"/>
        <v/>
      </c>
      <c r="Q1521" s="13" t="str">
        <f t="shared" si="985"/>
        <v/>
      </c>
      <c r="R1521" s="13" t="str">
        <f t="shared" si="986"/>
        <v/>
      </c>
      <c r="S1521" s="14" t="str">
        <f t="shared" si="987"/>
        <v/>
      </c>
      <c r="T1521" s="2" t="str">
        <f t="shared" si="988"/>
        <v/>
      </c>
      <c r="U1521" s="2" t="str">
        <f t="shared" si="989"/>
        <v/>
      </c>
      <c r="V1521" t="str">
        <f t="shared" si="965"/>
        <v/>
      </c>
      <c r="X1521">
        <f t="shared" si="992"/>
        <v>0</v>
      </c>
      <c r="Y1521">
        <f t="shared" si="993"/>
        <v>0</v>
      </c>
      <c r="Z1521">
        <f t="shared" si="994"/>
        <v>0</v>
      </c>
      <c r="AA1521">
        <f t="shared" si="995"/>
        <v>0</v>
      </c>
      <c r="AB1521">
        <f t="shared" si="996"/>
        <v>0</v>
      </c>
      <c r="AC1521">
        <f t="shared" si="997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82"/>
        <v/>
      </c>
      <c r="O1522" t="str">
        <f t="shared" si="983"/>
        <v/>
      </c>
      <c r="P1522" t="str">
        <f t="shared" si="984"/>
        <v/>
      </c>
      <c r="Q1522" t="str">
        <f t="shared" si="985"/>
        <v/>
      </c>
      <c r="R1522" t="str">
        <f t="shared" si="986"/>
        <v/>
      </c>
      <c r="S1522" t="str">
        <f t="shared" si="987"/>
        <v/>
      </c>
      <c r="T1522" s="2" t="str">
        <f t="shared" si="988"/>
        <v/>
      </c>
      <c r="U1522" s="2" t="str">
        <f t="shared" si="989"/>
        <v/>
      </c>
      <c r="V1522" t="str">
        <f t="shared" si="965"/>
        <v/>
      </c>
      <c r="W1522">
        <f>SUM(B1524:G1537)</f>
        <v>10</v>
      </c>
      <c r="AD1522">
        <f t="shared" ref="AD1522" si="998">SUM(X1524:AC1537)</f>
        <v>1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9">L1522</f>
        <v>i</v>
      </c>
      <c r="M1523">
        <v>2</v>
      </c>
      <c r="N1523" t="str">
        <f t="shared" si="982"/>
        <v/>
      </c>
      <c r="O1523" t="str">
        <f t="shared" si="983"/>
        <v/>
      </c>
      <c r="P1523" t="str">
        <f t="shared" si="984"/>
        <v/>
      </c>
      <c r="Q1523" t="str">
        <f t="shared" si="985"/>
        <v/>
      </c>
      <c r="R1523" t="str">
        <f t="shared" si="986"/>
        <v/>
      </c>
      <c r="S1523" t="str">
        <f t="shared" si="987"/>
        <v/>
      </c>
      <c r="T1523" s="2" t="str">
        <f t="shared" si="988"/>
        <v/>
      </c>
      <c r="U1523" s="2" t="str">
        <f t="shared" si="989"/>
        <v/>
      </c>
      <c r="V1523" t="str">
        <f t="shared" si="965"/>
        <v/>
      </c>
      <c r="AE1523" t="str">
        <f>(B1537*128+B1536*64+B1535*32+B1534*16+B1533*8+B1532*4+B1531*2+B1530)*256+B1529*128+B1528*64+B1527*32+B1526*16+B1525*8+B1524*4+B1523*2+B1522&amp;","</f>
        <v>0,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9"/>
        <v>i</v>
      </c>
      <c r="M1524">
        <v>3</v>
      </c>
      <c r="N1524" s="3" t="str">
        <f t="shared" si="982"/>
        <v/>
      </c>
      <c r="O1524" s="4" t="str">
        <f t="shared" si="983"/>
        <v/>
      </c>
      <c r="P1524" s="4" t="str">
        <f t="shared" si="984"/>
        <v/>
      </c>
      <c r="Q1524" s="4" t="str">
        <f t="shared" si="985"/>
        <v/>
      </c>
      <c r="R1524" s="4" t="str">
        <f t="shared" si="986"/>
        <v/>
      </c>
      <c r="S1524" s="5" t="str">
        <f t="shared" si="987"/>
        <v/>
      </c>
      <c r="T1524" s="2" t="str">
        <f t="shared" si="988"/>
        <v/>
      </c>
      <c r="U1524" s="2" t="str">
        <f t="shared" si="989"/>
        <v/>
      </c>
      <c r="V1524" t="str">
        <f t="shared" si="965"/>
        <v/>
      </c>
      <c r="X1524">
        <f t="shared" ref="X1524:X1537" si="1000">MAX(B1524-B1523,0)</f>
        <v>0</v>
      </c>
      <c r="Y1524">
        <f t="shared" ref="Y1524:Y1537" si="1001">MAX(C1524-C1523,0)</f>
        <v>0</v>
      </c>
      <c r="Z1524">
        <f t="shared" ref="Z1524:Z1537" si="1002">MAX(D1524-D1523,0)</f>
        <v>0</v>
      </c>
      <c r="AA1524">
        <f t="shared" ref="AA1524:AA1537" si="1003">MAX(E1524-E1523,0)</f>
        <v>0</v>
      </c>
      <c r="AB1524">
        <f t="shared" ref="AB1524:AB1537" si="1004">MAX(F1524-F1523,0)</f>
        <v>0</v>
      </c>
      <c r="AC1524">
        <f t="shared" ref="AC1524:AC1537" si="1005">MAX(G1524-G1523,0)</f>
        <v>0</v>
      </c>
      <c r="AE1524" t="str">
        <f>(C1537*128+C1536*64+C1535*32+C1534*16+C1533*8+C1532*4+C1531*2+C1530)*256+C1529*128+C1528*64+C1527*32+C1526*16+C1525*8+C1524*4+C1523*2+C1522&amp;","</f>
        <v>0,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9"/>
        <v>i</v>
      </c>
      <c r="M1525">
        <v>4</v>
      </c>
      <c r="N1525" s="6" t="str">
        <f t="shared" si="982"/>
        <v/>
      </c>
      <c r="O1525" s="7" t="str">
        <f t="shared" si="983"/>
        <v/>
      </c>
      <c r="P1525" s="7" t="str">
        <f t="shared" si="984"/>
        <v/>
      </c>
      <c r="Q1525" s="7" t="str">
        <f t="shared" si="985"/>
        <v/>
      </c>
      <c r="R1525" s="7" t="str">
        <f t="shared" si="986"/>
        <v/>
      </c>
      <c r="S1525" s="8" t="str">
        <f t="shared" si="987"/>
        <v/>
      </c>
      <c r="T1525" s="2" t="str">
        <f t="shared" si="988"/>
        <v/>
      </c>
      <c r="U1525" s="2" t="str">
        <f t="shared" si="989"/>
        <v/>
      </c>
      <c r="V1525" t="str">
        <f t="shared" si="965"/>
        <v/>
      </c>
      <c r="X1525">
        <f t="shared" si="1000"/>
        <v>0</v>
      </c>
      <c r="Y1525">
        <f t="shared" si="1001"/>
        <v>0</v>
      </c>
      <c r="Z1525">
        <f t="shared" si="1002"/>
        <v>0</v>
      </c>
      <c r="AA1525">
        <f t="shared" si="1003"/>
        <v>0</v>
      </c>
      <c r="AB1525">
        <f t="shared" si="1004"/>
        <v>0</v>
      </c>
      <c r="AC1525">
        <f t="shared" si="1005"/>
        <v>0</v>
      </c>
      <c r="AE1525" t="str">
        <f>(D1537*128+D1536*64+D1535*32+D1534*16+D1533*8+D1532*4+D1531*2+D1530)*256+D1529*128+D1528*64+D1527*32+D1526*16+D1525*8+D1524*4+D1523*2+D1522&amp;","</f>
        <v>16368,</v>
      </c>
    </row>
    <row r="1526" spans="1:31" x14ac:dyDescent="0.2">
      <c r="A1526" s="21"/>
      <c r="B1526" s="21">
        <v>0</v>
      </c>
      <c r="C1526" s="21">
        <v>0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9"/>
        <v>i</v>
      </c>
      <c r="M1526">
        <v>5</v>
      </c>
      <c r="N1526" s="22" t="str">
        <f t="shared" si="982"/>
        <v/>
      </c>
      <c r="O1526" s="15" t="str">
        <f t="shared" si="983"/>
        <v/>
      </c>
      <c r="P1526" s="15" t="str">
        <f t="shared" si="984"/>
        <v>#</v>
      </c>
      <c r="Q1526" s="15" t="str">
        <f t="shared" si="985"/>
        <v/>
      </c>
      <c r="R1526" s="16" t="str">
        <f t="shared" si="986"/>
        <v/>
      </c>
      <c r="S1526" s="8" t="str">
        <f t="shared" si="987"/>
        <v/>
      </c>
      <c r="T1526" s="2" t="str">
        <f t="shared" si="988"/>
        <v/>
      </c>
      <c r="U1526" s="2" t="str">
        <f t="shared" si="989"/>
        <v/>
      </c>
      <c r="V1526" t="str">
        <f t="shared" si="965"/>
        <v/>
      </c>
      <c r="X1526">
        <f t="shared" si="1000"/>
        <v>0</v>
      </c>
      <c r="Y1526">
        <f t="shared" si="1001"/>
        <v>0</v>
      </c>
      <c r="Z1526">
        <f t="shared" si="1002"/>
        <v>1</v>
      </c>
      <c r="AA1526">
        <f t="shared" si="1003"/>
        <v>0</v>
      </c>
      <c r="AB1526">
        <f t="shared" si="1004"/>
        <v>0</v>
      </c>
      <c r="AC1526">
        <f t="shared" si="1005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0</v>
      </c>
      <c r="C1527" s="21">
        <v>0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9"/>
        <v>i</v>
      </c>
      <c r="M1527">
        <v>6</v>
      </c>
      <c r="N1527" s="23" t="str">
        <f t="shared" si="982"/>
        <v/>
      </c>
      <c r="O1527" s="7" t="str">
        <f t="shared" si="983"/>
        <v/>
      </c>
      <c r="P1527" s="7" t="str">
        <f t="shared" si="984"/>
        <v>#</v>
      </c>
      <c r="Q1527" s="7" t="str">
        <f t="shared" si="985"/>
        <v/>
      </c>
      <c r="R1527" s="17" t="str">
        <f t="shared" si="986"/>
        <v/>
      </c>
      <c r="S1527" s="8" t="str">
        <f t="shared" si="987"/>
        <v/>
      </c>
      <c r="T1527" s="2" t="str">
        <f t="shared" si="988"/>
        <v/>
      </c>
      <c r="U1527" s="2" t="str">
        <f t="shared" si="989"/>
        <v/>
      </c>
      <c r="V1527" t="str">
        <f t="shared" si="965"/>
        <v/>
      </c>
      <c r="X1527">
        <f t="shared" si="1000"/>
        <v>0</v>
      </c>
      <c r="Y1527">
        <f t="shared" si="1001"/>
        <v>0</v>
      </c>
      <c r="Z1527">
        <f t="shared" si="1002"/>
        <v>0</v>
      </c>
      <c r="AA1527">
        <f t="shared" si="1003"/>
        <v>0</v>
      </c>
      <c r="AB1527">
        <f t="shared" si="1004"/>
        <v>0</v>
      </c>
      <c r="AC1527">
        <f t="shared" si="1005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0</v>
      </c>
      <c r="D1528" s="21">
        <v>1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9"/>
        <v>i</v>
      </c>
      <c r="M1528">
        <v>7</v>
      </c>
      <c r="N1528" s="23" t="str">
        <f t="shared" si="982"/>
        <v/>
      </c>
      <c r="O1528" s="7" t="str">
        <f t="shared" si="983"/>
        <v/>
      </c>
      <c r="P1528" s="7" t="str">
        <f t="shared" si="984"/>
        <v>#</v>
      </c>
      <c r="Q1528" s="7" t="str">
        <f t="shared" si="985"/>
        <v/>
      </c>
      <c r="R1528" s="17" t="str">
        <f t="shared" si="986"/>
        <v/>
      </c>
      <c r="S1528" s="8" t="str">
        <f t="shared" si="987"/>
        <v/>
      </c>
      <c r="T1528" s="2" t="str">
        <f t="shared" si="988"/>
        <v/>
      </c>
      <c r="U1528" s="2" t="str">
        <f t="shared" si="989"/>
        <v/>
      </c>
      <c r="V1528" t="str">
        <f t="shared" si="965"/>
        <v/>
      </c>
      <c r="X1528">
        <f t="shared" si="1000"/>
        <v>0</v>
      </c>
      <c r="Y1528">
        <f t="shared" si="1001"/>
        <v>0</v>
      </c>
      <c r="Z1528">
        <f t="shared" si="1002"/>
        <v>0</v>
      </c>
      <c r="AA1528">
        <f t="shared" si="1003"/>
        <v>0</v>
      </c>
      <c r="AB1528">
        <f t="shared" si="1004"/>
        <v>0</v>
      </c>
      <c r="AC1528">
        <f t="shared" si="1005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0</v>
      </c>
      <c r="D1529" s="21">
        <v>1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9"/>
        <v>i</v>
      </c>
      <c r="M1529">
        <v>8</v>
      </c>
      <c r="N1529" s="23" t="str">
        <f t="shared" si="982"/>
        <v/>
      </c>
      <c r="O1529" s="7" t="str">
        <f t="shared" si="983"/>
        <v/>
      </c>
      <c r="P1529" s="7" t="str">
        <f t="shared" si="984"/>
        <v>#</v>
      </c>
      <c r="Q1529" s="7" t="str">
        <f t="shared" si="985"/>
        <v/>
      </c>
      <c r="R1529" s="17" t="str">
        <f t="shared" si="986"/>
        <v/>
      </c>
      <c r="S1529" s="8" t="str">
        <f t="shared" si="987"/>
        <v/>
      </c>
      <c r="T1529" s="2" t="str">
        <f t="shared" si="988"/>
        <v/>
      </c>
      <c r="U1529" s="2" t="str">
        <f t="shared" si="989"/>
        <v/>
      </c>
      <c r="V1529" t="str">
        <f t="shared" si="965"/>
        <v/>
      </c>
      <c r="X1529">
        <f t="shared" si="1000"/>
        <v>0</v>
      </c>
      <c r="Y1529">
        <f t="shared" si="1001"/>
        <v>0</v>
      </c>
      <c r="Z1529">
        <f t="shared" si="1002"/>
        <v>0</v>
      </c>
      <c r="AA1529">
        <f t="shared" si="1003"/>
        <v>0</v>
      </c>
      <c r="AB1529">
        <f t="shared" si="1004"/>
        <v>0</v>
      </c>
      <c r="AC1529">
        <f t="shared" si="1005"/>
        <v>0</v>
      </c>
    </row>
    <row r="1530" spans="1:31" x14ac:dyDescent="0.2">
      <c r="A1530" s="21"/>
      <c r="B1530" s="21">
        <v>0</v>
      </c>
      <c r="C1530" s="21">
        <v>0</v>
      </c>
      <c r="D1530" s="21">
        <v>1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9"/>
        <v>i</v>
      </c>
      <c r="M1530">
        <v>9</v>
      </c>
      <c r="N1530" s="23" t="str">
        <f t="shared" si="982"/>
        <v/>
      </c>
      <c r="O1530" s="7" t="str">
        <f t="shared" si="983"/>
        <v/>
      </c>
      <c r="P1530" s="7" t="str">
        <f t="shared" si="984"/>
        <v>#</v>
      </c>
      <c r="Q1530" s="7" t="str">
        <f t="shared" si="985"/>
        <v/>
      </c>
      <c r="R1530" s="17" t="str">
        <f t="shared" si="986"/>
        <v/>
      </c>
      <c r="S1530" s="8" t="str">
        <f t="shared" si="987"/>
        <v/>
      </c>
      <c r="T1530" s="2" t="str">
        <f t="shared" si="988"/>
        <v/>
      </c>
      <c r="U1530" s="2" t="str">
        <f t="shared" si="989"/>
        <v/>
      </c>
      <c r="V1530" t="str">
        <f t="shared" si="965"/>
        <v/>
      </c>
      <c r="X1530">
        <f t="shared" si="1000"/>
        <v>0</v>
      </c>
      <c r="Y1530">
        <f t="shared" si="1001"/>
        <v>0</v>
      </c>
      <c r="Z1530">
        <f t="shared" si="1002"/>
        <v>0</v>
      </c>
      <c r="AA1530">
        <f t="shared" si="1003"/>
        <v>0</v>
      </c>
      <c r="AB1530">
        <f t="shared" si="1004"/>
        <v>0</v>
      </c>
      <c r="AC1530">
        <f t="shared" si="1005"/>
        <v>0</v>
      </c>
    </row>
    <row r="1531" spans="1:31" x14ac:dyDescent="0.2">
      <c r="A1531" s="21"/>
      <c r="B1531" s="21">
        <v>0</v>
      </c>
      <c r="C1531" s="21">
        <v>0</v>
      </c>
      <c r="D1531" s="21">
        <v>1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9"/>
        <v>i</v>
      </c>
      <c r="M1531">
        <v>10</v>
      </c>
      <c r="N1531" s="23" t="str">
        <f t="shared" si="982"/>
        <v/>
      </c>
      <c r="O1531" s="7" t="str">
        <f t="shared" si="983"/>
        <v/>
      </c>
      <c r="P1531" s="7" t="str">
        <f t="shared" si="984"/>
        <v>#</v>
      </c>
      <c r="Q1531" s="7" t="str">
        <f t="shared" si="985"/>
        <v/>
      </c>
      <c r="R1531" s="17" t="str">
        <f t="shared" si="986"/>
        <v/>
      </c>
      <c r="S1531" s="8" t="str">
        <f t="shared" si="987"/>
        <v/>
      </c>
      <c r="T1531" s="2" t="str">
        <f t="shared" si="988"/>
        <v/>
      </c>
      <c r="U1531" s="2" t="str">
        <f t="shared" si="989"/>
        <v/>
      </c>
      <c r="V1531" t="str">
        <f t="shared" si="965"/>
        <v/>
      </c>
      <c r="X1531">
        <f t="shared" si="1000"/>
        <v>0</v>
      </c>
      <c r="Y1531">
        <f t="shared" si="1001"/>
        <v>0</v>
      </c>
      <c r="Z1531">
        <f t="shared" si="1002"/>
        <v>0</v>
      </c>
      <c r="AA1531">
        <f t="shared" si="1003"/>
        <v>0</v>
      </c>
      <c r="AB1531">
        <f t="shared" si="1004"/>
        <v>0</v>
      </c>
      <c r="AC1531">
        <f t="shared" si="1005"/>
        <v>0</v>
      </c>
    </row>
    <row r="1532" spans="1:31" x14ac:dyDescent="0.2">
      <c r="A1532" s="21"/>
      <c r="B1532" s="21">
        <v>0</v>
      </c>
      <c r="C1532" s="21">
        <v>0</v>
      </c>
      <c r="D1532" s="21">
        <v>1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9"/>
        <v>i</v>
      </c>
      <c r="M1532">
        <v>11</v>
      </c>
      <c r="N1532" s="23" t="str">
        <f t="shared" si="982"/>
        <v/>
      </c>
      <c r="O1532" s="7" t="str">
        <f t="shared" si="983"/>
        <v/>
      </c>
      <c r="P1532" s="7" t="str">
        <f t="shared" si="984"/>
        <v>#</v>
      </c>
      <c r="Q1532" s="7" t="str">
        <f t="shared" si="985"/>
        <v/>
      </c>
      <c r="R1532" s="17" t="str">
        <f t="shared" si="986"/>
        <v/>
      </c>
      <c r="S1532" s="8" t="str">
        <f t="shared" si="987"/>
        <v/>
      </c>
      <c r="T1532" s="2" t="str">
        <f t="shared" si="988"/>
        <v/>
      </c>
      <c r="U1532" s="2" t="str">
        <f t="shared" si="989"/>
        <v/>
      </c>
      <c r="V1532" t="str">
        <f t="shared" si="965"/>
        <v/>
      </c>
      <c r="X1532">
        <f t="shared" si="1000"/>
        <v>0</v>
      </c>
      <c r="Y1532">
        <f t="shared" si="1001"/>
        <v>0</v>
      </c>
      <c r="Z1532">
        <f t="shared" si="1002"/>
        <v>0</v>
      </c>
      <c r="AA1532">
        <f t="shared" si="1003"/>
        <v>0</v>
      </c>
      <c r="AB1532">
        <f t="shared" si="1004"/>
        <v>0</v>
      </c>
      <c r="AC1532">
        <f t="shared" si="1005"/>
        <v>0</v>
      </c>
    </row>
    <row r="1533" spans="1:31" x14ac:dyDescent="0.2">
      <c r="A1533" s="21"/>
      <c r="B1533" s="21">
        <v>0</v>
      </c>
      <c r="C1533" s="21">
        <v>0</v>
      </c>
      <c r="D1533" s="21">
        <v>1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9"/>
        <v>i</v>
      </c>
      <c r="M1533">
        <v>12</v>
      </c>
      <c r="N1533" s="23" t="str">
        <f t="shared" si="982"/>
        <v/>
      </c>
      <c r="O1533" s="7" t="str">
        <f t="shared" si="983"/>
        <v/>
      </c>
      <c r="P1533" s="7" t="str">
        <f t="shared" si="984"/>
        <v>#</v>
      </c>
      <c r="Q1533" s="7" t="str">
        <f t="shared" si="985"/>
        <v/>
      </c>
      <c r="R1533" s="17" t="str">
        <f t="shared" si="986"/>
        <v/>
      </c>
      <c r="S1533" s="8" t="str">
        <f t="shared" si="987"/>
        <v/>
      </c>
      <c r="T1533" s="2" t="str">
        <f t="shared" si="988"/>
        <v/>
      </c>
      <c r="U1533" s="2" t="str">
        <f t="shared" si="989"/>
        <v/>
      </c>
      <c r="V1533" t="str">
        <f t="shared" si="965"/>
        <v/>
      </c>
      <c r="X1533">
        <f t="shared" si="1000"/>
        <v>0</v>
      </c>
      <c r="Y1533">
        <f t="shared" si="1001"/>
        <v>0</v>
      </c>
      <c r="Z1533">
        <f t="shared" si="1002"/>
        <v>0</v>
      </c>
      <c r="AA1533">
        <f t="shared" si="1003"/>
        <v>0</v>
      </c>
      <c r="AB1533">
        <f t="shared" si="1004"/>
        <v>0</v>
      </c>
      <c r="AC1533">
        <f t="shared" si="1005"/>
        <v>0</v>
      </c>
    </row>
    <row r="1534" spans="1:31" x14ac:dyDescent="0.2">
      <c r="A1534" s="21"/>
      <c r="B1534" s="21">
        <v>0</v>
      </c>
      <c r="C1534" s="21">
        <v>0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9"/>
        <v>i</v>
      </c>
      <c r="M1534">
        <v>13</v>
      </c>
      <c r="N1534" s="6" t="str">
        <f t="shared" si="982"/>
        <v/>
      </c>
      <c r="O1534" s="7" t="str">
        <f t="shared" si="983"/>
        <v/>
      </c>
      <c r="P1534" s="7" t="str">
        <f t="shared" si="984"/>
        <v>#</v>
      </c>
      <c r="Q1534" s="7" t="str">
        <f t="shared" si="985"/>
        <v/>
      </c>
      <c r="R1534" s="17" t="str">
        <f t="shared" si="986"/>
        <v/>
      </c>
      <c r="S1534" s="8" t="str">
        <f t="shared" si="987"/>
        <v/>
      </c>
      <c r="T1534" s="2" t="str">
        <f t="shared" si="988"/>
        <v/>
      </c>
      <c r="U1534" s="2" t="str">
        <f t="shared" si="989"/>
        <v/>
      </c>
      <c r="V1534" t="str">
        <f t="shared" si="965"/>
        <v/>
      </c>
      <c r="X1534">
        <f t="shared" si="1000"/>
        <v>0</v>
      </c>
      <c r="Y1534">
        <f t="shared" si="1001"/>
        <v>0</v>
      </c>
      <c r="Z1534">
        <f t="shared" si="1002"/>
        <v>0</v>
      </c>
      <c r="AA1534">
        <f t="shared" si="1003"/>
        <v>0</v>
      </c>
      <c r="AB1534">
        <f t="shared" si="1004"/>
        <v>0</v>
      </c>
      <c r="AC1534">
        <f t="shared" si="1005"/>
        <v>0</v>
      </c>
    </row>
    <row r="1535" spans="1:31" ht="13.5" thickBot="1" x14ac:dyDescent="0.25">
      <c r="A1535" s="21"/>
      <c r="B1535" s="21">
        <v>0</v>
      </c>
      <c r="C1535" s="21">
        <v>0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9"/>
        <v>i</v>
      </c>
      <c r="M1535">
        <v>14</v>
      </c>
      <c r="N1535" s="18" t="str">
        <f t="shared" si="982"/>
        <v/>
      </c>
      <c r="O1535" s="19" t="str">
        <f t="shared" si="983"/>
        <v/>
      </c>
      <c r="P1535" s="19" t="str">
        <f t="shared" si="984"/>
        <v>#</v>
      </c>
      <c r="Q1535" s="19" t="str">
        <f t="shared" si="985"/>
        <v/>
      </c>
      <c r="R1535" s="20" t="str">
        <f t="shared" si="986"/>
        <v/>
      </c>
      <c r="S1535" s="8" t="str">
        <f t="shared" si="987"/>
        <v/>
      </c>
      <c r="T1535" s="2" t="str">
        <f t="shared" si="988"/>
        <v/>
      </c>
      <c r="U1535" s="2" t="str">
        <f t="shared" si="989"/>
        <v/>
      </c>
      <c r="V1535" t="str">
        <f t="shared" si="965"/>
        <v/>
      </c>
      <c r="X1535">
        <f t="shared" si="1000"/>
        <v>0</v>
      </c>
      <c r="Y1535">
        <f t="shared" si="1001"/>
        <v>0</v>
      </c>
      <c r="Z1535">
        <f t="shared" si="1002"/>
        <v>0</v>
      </c>
      <c r="AA1535">
        <f t="shared" si="1003"/>
        <v>0</v>
      </c>
      <c r="AB1535">
        <f t="shared" si="1004"/>
        <v>0</v>
      </c>
      <c r="AC1535">
        <f t="shared" si="1005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9"/>
        <v>i</v>
      </c>
      <c r="M1536">
        <v>15</v>
      </c>
      <c r="N1536" s="9" t="str">
        <f t="shared" si="982"/>
        <v/>
      </c>
      <c r="O1536" s="10" t="str">
        <f t="shared" si="983"/>
        <v/>
      </c>
      <c r="P1536" s="10" t="str">
        <f t="shared" si="984"/>
        <v/>
      </c>
      <c r="Q1536" s="10" t="str">
        <f t="shared" si="985"/>
        <v/>
      </c>
      <c r="R1536" s="10" t="str">
        <f t="shared" si="986"/>
        <v/>
      </c>
      <c r="S1536" s="11" t="str">
        <f t="shared" si="987"/>
        <v/>
      </c>
      <c r="T1536" s="2" t="str">
        <f t="shared" si="988"/>
        <v/>
      </c>
      <c r="U1536" s="2" t="str">
        <f t="shared" si="989"/>
        <v/>
      </c>
      <c r="V1536" t="str">
        <f t="shared" si="965"/>
        <v/>
      </c>
      <c r="X1536">
        <f t="shared" si="1000"/>
        <v>0</v>
      </c>
      <c r="Y1536">
        <f t="shared" si="1001"/>
        <v>0</v>
      </c>
      <c r="Z1536">
        <f t="shared" si="1002"/>
        <v>0</v>
      </c>
      <c r="AA1536">
        <f t="shared" si="1003"/>
        <v>0</v>
      </c>
      <c r="AB1536">
        <f t="shared" si="1004"/>
        <v>0</v>
      </c>
      <c r="AC1536">
        <f t="shared" si="1005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9"/>
        <v>i</v>
      </c>
      <c r="M1537">
        <v>16</v>
      </c>
      <c r="N1537" s="12" t="str">
        <f t="shared" si="982"/>
        <v/>
      </c>
      <c r="O1537" s="13" t="str">
        <f t="shared" si="983"/>
        <v/>
      </c>
      <c r="P1537" s="13" t="str">
        <f t="shared" si="984"/>
        <v/>
      </c>
      <c r="Q1537" s="13" t="str">
        <f t="shared" si="985"/>
        <v/>
      </c>
      <c r="R1537" s="13" t="str">
        <f t="shared" si="986"/>
        <v/>
      </c>
      <c r="S1537" s="14" t="str">
        <f t="shared" si="987"/>
        <v/>
      </c>
      <c r="T1537" s="2" t="str">
        <f t="shared" si="988"/>
        <v/>
      </c>
      <c r="U1537" s="2" t="str">
        <f t="shared" si="989"/>
        <v/>
      </c>
      <c r="V1537" t="str">
        <f t="shared" si="965"/>
        <v/>
      </c>
      <c r="X1537">
        <f t="shared" si="1000"/>
        <v>0</v>
      </c>
      <c r="Y1537">
        <f t="shared" si="1001"/>
        <v>0</v>
      </c>
      <c r="Z1537">
        <f t="shared" si="1002"/>
        <v>0</v>
      </c>
      <c r="AA1537">
        <f t="shared" si="1003"/>
        <v>0</v>
      </c>
      <c r="AB1537">
        <f t="shared" si="1004"/>
        <v>0</v>
      </c>
      <c r="AC1537">
        <f t="shared" si="1005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82"/>
        <v/>
      </c>
      <c r="O1538" t="str">
        <f t="shared" si="983"/>
        <v/>
      </c>
      <c r="P1538" t="str">
        <f t="shared" si="984"/>
        <v/>
      </c>
      <c r="Q1538" t="str">
        <f t="shared" si="985"/>
        <v/>
      </c>
      <c r="R1538" t="str">
        <f t="shared" si="986"/>
        <v/>
      </c>
      <c r="S1538" t="str">
        <f t="shared" si="987"/>
        <v/>
      </c>
      <c r="T1538" s="2" t="str">
        <f t="shared" si="988"/>
        <v/>
      </c>
      <c r="U1538" s="2" t="str">
        <f t="shared" si="989"/>
        <v/>
      </c>
      <c r="V1538" t="str">
        <f t="shared" ref="V1538:V1601" si="1006">IF(A1538=0,"",M1538)</f>
        <v/>
      </c>
      <c r="W1538">
        <f>SUM(B1540:G1553)</f>
        <v>20</v>
      </c>
      <c r="AD1538">
        <f t="shared" ref="AD1538" si="1007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8">L1538</f>
        <v>j</v>
      </c>
      <c r="M1539">
        <v>2</v>
      </c>
      <c r="N1539" t="str">
        <f t="shared" si="982"/>
        <v/>
      </c>
      <c r="O1539" t="str">
        <f t="shared" si="983"/>
        <v/>
      </c>
      <c r="P1539" t="str">
        <f t="shared" si="984"/>
        <v/>
      </c>
      <c r="Q1539" t="str">
        <f t="shared" si="985"/>
        <v/>
      </c>
      <c r="R1539" t="str">
        <f t="shared" si="986"/>
        <v/>
      </c>
      <c r="S1539" t="str">
        <f t="shared" si="987"/>
        <v/>
      </c>
      <c r="T1539" s="2" t="str">
        <f t="shared" si="988"/>
        <v/>
      </c>
      <c r="U1539" s="2" t="str">
        <f t="shared" si="989"/>
        <v/>
      </c>
      <c r="V1539" t="str">
        <f t="shared" si="1006"/>
        <v/>
      </c>
      <c r="AE1539" t="str">
        <f>(B1553*128+B1552*64+B1551*32+B1550*16+B1549*8+B1548*4+B1547*2+B1546)*256+B1545*128+B1544*64+B1543*32+B1542*16+B1541*8+B1540*4+B1539*2+B1538&amp;","</f>
        <v>15360,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8"/>
        <v>j</v>
      </c>
      <c r="M1540">
        <v>3</v>
      </c>
      <c r="N1540" s="3" t="str">
        <f t="shared" si="982"/>
        <v/>
      </c>
      <c r="O1540" s="4" t="str">
        <f t="shared" si="983"/>
        <v/>
      </c>
      <c r="P1540" s="4" t="str">
        <f t="shared" si="984"/>
        <v/>
      </c>
      <c r="Q1540" s="4" t="str">
        <f t="shared" si="985"/>
        <v/>
      </c>
      <c r="R1540" s="4" t="str">
        <f t="shared" si="986"/>
        <v/>
      </c>
      <c r="S1540" s="5" t="str">
        <f t="shared" si="987"/>
        <v/>
      </c>
      <c r="T1540" s="2" t="str">
        <f t="shared" si="988"/>
        <v/>
      </c>
      <c r="U1540" s="2" t="str">
        <f t="shared" si="989"/>
        <v/>
      </c>
      <c r="V1540" t="str">
        <f t="shared" si="1006"/>
        <v/>
      </c>
      <c r="X1540">
        <f t="shared" ref="X1540:X1553" si="1009">MAX(B1540-B1539,0)</f>
        <v>0</v>
      </c>
      <c r="Y1540">
        <f t="shared" ref="Y1540:Y1553" si="1010">MAX(C1540-C1539,0)</f>
        <v>0</v>
      </c>
      <c r="Z1540">
        <f t="shared" ref="Z1540:Z1553" si="1011">MAX(D1540-D1539,0)</f>
        <v>0</v>
      </c>
      <c r="AA1540">
        <f t="shared" ref="AA1540:AA1553" si="1012">MAX(E1540-E1539,0)</f>
        <v>0</v>
      </c>
      <c r="AB1540">
        <f t="shared" ref="AB1540:AB1553" si="1013">MAX(F1540-F1539,0)</f>
        <v>0</v>
      </c>
      <c r="AC1540">
        <f t="shared" ref="AC1540:AC1553" si="1014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8"/>
        <v>j</v>
      </c>
      <c r="M1541">
        <v>4</v>
      </c>
      <c r="N1541" s="6" t="str">
        <f t="shared" si="982"/>
        <v/>
      </c>
      <c r="O1541" s="7" t="str">
        <f t="shared" si="983"/>
        <v/>
      </c>
      <c r="P1541" s="7" t="str">
        <f t="shared" si="984"/>
        <v/>
      </c>
      <c r="Q1541" s="7" t="str">
        <f t="shared" si="985"/>
        <v/>
      </c>
      <c r="R1541" s="7" t="str">
        <f t="shared" si="986"/>
        <v/>
      </c>
      <c r="S1541" s="8" t="str">
        <f t="shared" si="987"/>
        <v/>
      </c>
      <c r="T1541" s="2" t="str">
        <f t="shared" si="988"/>
        <v/>
      </c>
      <c r="U1541" s="2" t="str">
        <f t="shared" si="989"/>
        <v/>
      </c>
      <c r="V1541" t="str">
        <f t="shared" si="1006"/>
        <v/>
      </c>
      <c r="X1541">
        <f t="shared" si="1009"/>
        <v>0</v>
      </c>
      <c r="Y1541">
        <f t="shared" si="1010"/>
        <v>0</v>
      </c>
      <c r="Z1541">
        <f t="shared" si="1011"/>
        <v>0</v>
      </c>
      <c r="AA1541">
        <f t="shared" si="1012"/>
        <v>0</v>
      </c>
      <c r="AB1541">
        <f t="shared" si="1013"/>
        <v>0</v>
      </c>
      <c r="AC1541">
        <f t="shared" si="1014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8"/>
        <v>j</v>
      </c>
      <c r="M1542">
        <v>5</v>
      </c>
      <c r="N1542" s="22" t="str">
        <f t="shared" si="982"/>
        <v/>
      </c>
      <c r="O1542" s="15" t="str">
        <f t="shared" si="983"/>
        <v/>
      </c>
      <c r="P1542" s="15" t="str">
        <f t="shared" si="984"/>
        <v/>
      </c>
      <c r="Q1542" s="15" t="str">
        <f t="shared" si="985"/>
        <v/>
      </c>
      <c r="R1542" s="16" t="str">
        <f t="shared" si="986"/>
        <v>#</v>
      </c>
      <c r="S1542" s="8" t="str">
        <f t="shared" si="987"/>
        <v/>
      </c>
      <c r="T1542" s="2" t="str">
        <f t="shared" si="988"/>
        <v/>
      </c>
      <c r="U1542" s="2" t="str">
        <f t="shared" si="989"/>
        <v/>
      </c>
      <c r="V1542" t="str">
        <f t="shared" si="1006"/>
        <v/>
      </c>
      <c r="X1542">
        <f t="shared" si="1009"/>
        <v>0</v>
      </c>
      <c r="Y1542">
        <f t="shared" si="1010"/>
        <v>0</v>
      </c>
      <c r="Z1542">
        <f t="shared" si="1011"/>
        <v>0</v>
      </c>
      <c r="AA1542">
        <f t="shared" si="1012"/>
        <v>0</v>
      </c>
      <c r="AB1542">
        <f t="shared" si="1013"/>
        <v>1</v>
      </c>
      <c r="AC1542">
        <f t="shared" si="1014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8"/>
        <v>j</v>
      </c>
      <c r="M1543">
        <v>6</v>
      </c>
      <c r="N1543" s="23" t="str">
        <f t="shared" si="982"/>
        <v/>
      </c>
      <c r="O1543" s="7" t="str">
        <f t="shared" si="983"/>
        <v/>
      </c>
      <c r="P1543" s="7" t="str">
        <f t="shared" si="984"/>
        <v/>
      </c>
      <c r="Q1543" s="7" t="str">
        <f t="shared" si="985"/>
        <v/>
      </c>
      <c r="R1543" s="17" t="str">
        <f t="shared" si="986"/>
        <v>#</v>
      </c>
      <c r="S1543" s="8" t="str">
        <f t="shared" si="987"/>
        <v/>
      </c>
      <c r="T1543" s="2" t="str">
        <f t="shared" si="988"/>
        <v/>
      </c>
      <c r="U1543" s="2" t="str">
        <f t="shared" si="989"/>
        <v/>
      </c>
      <c r="V1543" t="str">
        <f t="shared" si="1006"/>
        <v/>
      </c>
      <c r="X1543">
        <f t="shared" si="1009"/>
        <v>0</v>
      </c>
      <c r="Y1543">
        <f t="shared" si="1010"/>
        <v>0</v>
      </c>
      <c r="Z1543">
        <f t="shared" si="1011"/>
        <v>0</v>
      </c>
      <c r="AA1543">
        <f t="shared" si="1012"/>
        <v>0</v>
      </c>
      <c r="AB1543">
        <f t="shared" si="1013"/>
        <v>0</v>
      </c>
      <c r="AC1543">
        <f t="shared" si="1014"/>
        <v>0</v>
      </c>
      <c r="AE1543" t="str">
        <f>(F1553*128+F1552*64+F1551*32+F1550*16+F1549*8+F1548*4+F1547*2+F1546)*256+F1545*128+F1544*64+F1543*32+F1542*16+F1541*8+F1540*4+F1539*2+F1538&amp;","</f>
        <v>16368,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8"/>
        <v>j</v>
      </c>
      <c r="M1544">
        <v>7</v>
      </c>
      <c r="N1544" s="23" t="str">
        <f t="shared" si="982"/>
        <v/>
      </c>
      <c r="O1544" s="7" t="str">
        <f t="shared" si="983"/>
        <v/>
      </c>
      <c r="P1544" s="7" t="str">
        <f t="shared" si="984"/>
        <v/>
      </c>
      <c r="Q1544" s="7" t="str">
        <f t="shared" si="985"/>
        <v/>
      </c>
      <c r="R1544" s="17" t="str">
        <f t="shared" si="986"/>
        <v>#</v>
      </c>
      <c r="S1544" s="8" t="str">
        <f t="shared" si="987"/>
        <v/>
      </c>
      <c r="T1544" s="2" t="str">
        <f t="shared" si="988"/>
        <v/>
      </c>
      <c r="U1544" s="2" t="str">
        <f t="shared" si="989"/>
        <v/>
      </c>
      <c r="V1544" t="str">
        <f t="shared" si="1006"/>
        <v/>
      </c>
      <c r="X1544">
        <f t="shared" si="1009"/>
        <v>0</v>
      </c>
      <c r="Y1544">
        <f t="shared" si="1010"/>
        <v>0</v>
      </c>
      <c r="Z1544">
        <f t="shared" si="1011"/>
        <v>0</v>
      </c>
      <c r="AA1544">
        <f t="shared" si="1012"/>
        <v>0</v>
      </c>
      <c r="AB1544">
        <f t="shared" si="1013"/>
        <v>0</v>
      </c>
      <c r="AC1544">
        <f t="shared" si="1014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8"/>
        <v>j</v>
      </c>
      <c r="M1545">
        <v>8</v>
      </c>
      <c r="N1545" s="23" t="str">
        <f t="shared" si="982"/>
        <v/>
      </c>
      <c r="O1545" s="7" t="str">
        <f t="shared" si="983"/>
        <v/>
      </c>
      <c r="P1545" s="7" t="str">
        <f t="shared" si="984"/>
        <v/>
      </c>
      <c r="Q1545" s="7" t="str">
        <f t="shared" si="985"/>
        <v/>
      </c>
      <c r="R1545" s="17" t="str">
        <f t="shared" si="986"/>
        <v>#</v>
      </c>
      <c r="S1545" s="8" t="str">
        <f t="shared" si="987"/>
        <v/>
      </c>
      <c r="T1545" s="2" t="str">
        <f t="shared" si="988"/>
        <v/>
      </c>
      <c r="U1545" s="2" t="str">
        <f t="shared" si="989"/>
        <v/>
      </c>
      <c r="V1545" t="str">
        <f t="shared" si="1006"/>
        <v/>
      </c>
      <c r="X1545">
        <f t="shared" si="1009"/>
        <v>0</v>
      </c>
      <c r="Y1545">
        <f t="shared" si="1010"/>
        <v>0</v>
      </c>
      <c r="Z1545">
        <f t="shared" si="1011"/>
        <v>0</v>
      </c>
      <c r="AA1545">
        <f t="shared" si="1012"/>
        <v>0</v>
      </c>
      <c r="AB1545">
        <f t="shared" si="1013"/>
        <v>0</v>
      </c>
      <c r="AC1545">
        <f t="shared" si="1014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8"/>
        <v>j</v>
      </c>
      <c r="M1546">
        <v>9</v>
      </c>
      <c r="N1546" s="23" t="str">
        <f t="shared" si="982"/>
        <v/>
      </c>
      <c r="O1546" s="7" t="str">
        <f t="shared" si="983"/>
        <v/>
      </c>
      <c r="P1546" s="7" t="str">
        <f t="shared" si="984"/>
        <v/>
      </c>
      <c r="Q1546" s="7" t="str">
        <f t="shared" si="985"/>
        <v/>
      </c>
      <c r="R1546" s="17" t="str">
        <f t="shared" si="986"/>
        <v>#</v>
      </c>
      <c r="S1546" s="8" t="str">
        <f t="shared" si="987"/>
        <v/>
      </c>
      <c r="T1546" s="2" t="str">
        <f t="shared" si="988"/>
        <v/>
      </c>
      <c r="U1546" s="2" t="str">
        <f t="shared" si="989"/>
        <v/>
      </c>
      <c r="V1546" t="str">
        <f t="shared" si="1006"/>
        <v/>
      </c>
      <c r="X1546">
        <f t="shared" si="1009"/>
        <v>0</v>
      </c>
      <c r="Y1546">
        <f t="shared" si="1010"/>
        <v>0</v>
      </c>
      <c r="Z1546">
        <f t="shared" si="1011"/>
        <v>0</v>
      </c>
      <c r="AA1546">
        <f t="shared" si="1012"/>
        <v>0</v>
      </c>
      <c r="AB1546">
        <f t="shared" si="1013"/>
        <v>0</v>
      </c>
      <c r="AC1546">
        <f t="shared" si="1014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8"/>
        <v>j</v>
      </c>
      <c r="M1547">
        <v>10</v>
      </c>
      <c r="N1547" s="23" t="str">
        <f t="shared" si="982"/>
        <v/>
      </c>
      <c r="O1547" s="7" t="str">
        <f t="shared" si="983"/>
        <v/>
      </c>
      <c r="P1547" s="7" t="str">
        <f t="shared" si="984"/>
        <v/>
      </c>
      <c r="Q1547" s="7" t="str">
        <f t="shared" si="985"/>
        <v/>
      </c>
      <c r="R1547" s="17" t="str">
        <f t="shared" si="986"/>
        <v>#</v>
      </c>
      <c r="S1547" s="8" t="str">
        <f t="shared" si="987"/>
        <v/>
      </c>
      <c r="T1547" s="2" t="str">
        <f t="shared" si="988"/>
        <v/>
      </c>
      <c r="U1547" s="2" t="str">
        <f t="shared" si="989"/>
        <v/>
      </c>
      <c r="V1547" t="str">
        <f t="shared" si="1006"/>
        <v/>
      </c>
      <c r="X1547">
        <f t="shared" si="1009"/>
        <v>0</v>
      </c>
      <c r="Y1547">
        <f t="shared" si="1010"/>
        <v>0</v>
      </c>
      <c r="Z1547">
        <f t="shared" si="1011"/>
        <v>0</v>
      </c>
      <c r="AA1547">
        <f t="shared" si="1012"/>
        <v>0</v>
      </c>
      <c r="AB1547">
        <f t="shared" si="1013"/>
        <v>0</v>
      </c>
      <c r="AC1547">
        <f t="shared" si="1014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8"/>
        <v>j</v>
      </c>
      <c r="M1548">
        <v>11</v>
      </c>
      <c r="N1548" s="23" t="str">
        <f t="shared" si="982"/>
        <v>#</v>
      </c>
      <c r="O1548" s="7" t="str">
        <f t="shared" si="983"/>
        <v/>
      </c>
      <c r="P1548" s="7" t="str">
        <f t="shared" si="984"/>
        <v/>
      </c>
      <c r="Q1548" s="7" t="str">
        <f t="shared" si="985"/>
        <v/>
      </c>
      <c r="R1548" s="17" t="str">
        <f t="shared" si="986"/>
        <v>#</v>
      </c>
      <c r="S1548" s="8" t="str">
        <f t="shared" si="987"/>
        <v/>
      </c>
      <c r="T1548" s="2" t="str">
        <f t="shared" si="988"/>
        <v/>
      </c>
      <c r="U1548" s="2" t="str">
        <f t="shared" si="989"/>
        <v/>
      </c>
      <c r="V1548" t="str">
        <f t="shared" si="1006"/>
        <v/>
      </c>
      <c r="X1548">
        <f t="shared" si="1009"/>
        <v>1</v>
      </c>
      <c r="Y1548">
        <f t="shared" si="1010"/>
        <v>0</v>
      </c>
      <c r="Z1548">
        <f t="shared" si="1011"/>
        <v>0</v>
      </c>
      <c r="AA1548">
        <f t="shared" si="1012"/>
        <v>0</v>
      </c>
      <c r="AB1548">
        <f t="shared" si="1013"/>
        <v>0</v>
      </c>
      <c r="AC1548">
        <f t="shared" si="1014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8"/>
        <v>j</v>
      </c>
      <c r="M1549">
        <v>12</v>
      </c>
      <c r="N1549" s="23" t="str">
        <f t="shared" si="982"/>
        <v>#</v>
      </c>
      <c r="O1549" s="7" t="str">
        <f t="shared" si="983"/>
        <v/>
      </c>
      <c r="P1549" s="7" t="str">
        <f t="shared" si="984"/>
        <v/>
      </c>
      <c r="Q1549" s="7" t="str">
        <f t="shared" si="985"/>
        <v/>
      </c>
      <c r="R1549" s="17" t="str">
        <f t="shared" si="986"/>
        <v>#</v>
      </c>
      <c r="S1549" s="8" t="str">
        <f t="shared" si="987"/>
        <v/>
      </c>
      <c r="T1549" s="2" t="str">
        <f t="shared" si="988"/>
        <v/>
      </c>
      <c r="U1549" s="2" t="str">
        <f t="shared" si="989"/>
        <v/>
      </c>
      <c r="V1549" t="str">
        <f t="shared" si="1006"/>
        <v/>
      </c>
      <c r="X1549">
        <f t="shared" si="1009"/>
        <v>0</v>
      </c>
      <c r="Y1549">
        <f t="shared" si="1010"/>
        <v>0</v>
      </c>
      <c r="Z1549">
        <f t="shared" si="1011"/>
        <v>0</v>
      </c>
      <c r="AA1549">
        <f t="shared" si="1012"/>
        <v>0</v>
      </c>
      <c r="AB1549">
        <f t="shared" si="1013"/>
        <v>0</v>
      </c>
      <c r="AC1549">
        <f t="shared" si="1014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8"/>
        <v>j</v>
      </c>
      <c r="M1550">
        <v>13</v>
      </c>
      <c r="N1550" s="6" t="str">
        <f t="shared" si="982"/>
        <v>#</v>
      </c>
      <c r="O1550" s="7" t="str">
        <f t="shared" si="983"/>
        <v>#</v>
      </c>
      <c r="P1550" s="7" t="str">
        <f t="shared" si="984"/>
        <v>#</v>
      </c>
      <c r="Q1550" s="7" t="str">
        <f t="shared" si="985"/>
        <v>#</v>
      </c>
      <c r="R1550" s="17" t="str">
        <f t="shared" si="986"/>
        <v>#</v>
      </c>
      <c r="S1550" s="8" t="str">
        <f t="shared" si="987"/>
        <v/>
      </c>
      <c r="T1550" s="2" t="str">
        <f t="shared" si="988"/>
        <v/>
      </c>
      <c r="U1550" s="2" t="str">
        <f t="shared" si="989"/>
        <v/>
      </c>
      <c r="V1550" t="str">
        <f t="shared" si="1006"/>
        <v/>
      </c>
      <c r="X1550">
        <f t="shared" si="1009"/>
        <v>0</v>
      </c>
      <c r="Y1550">
        <f t="shared" si="1010"/>
        <v>1</v>
      </c>
      <c r="Z1550">
        <f t="shared" si="1011"/>
        <v>1</v>
      </c>
      <c r="AA1550">
        <f t="shared" si="1012"/>
        <v>1</v>
      </c>
      <c r="AB1550">
        <f t="shared" si="1013"/>
        <v>0</v>
      </c>
      <c r="AC1550">
        <f t="shared" si="1014"/>
        <v>0</v>
      </c>
    </row>
    <row r="1551" spans="1:31" ht="13.5" thickBot="1" x14ac:dyDescent="0.25">
      <c r="A1551" s="21"/>
      <c r="B1551" s="21">
        <v>1</v>
      </c>
      <c r="C1551" s="21">
        <v>1</v>
      </c>
      <c r="D1551" s="21">
        <v>1</v>
      </c>
      <c r="E1551" s="21">
        <v>1</v>
      </c>
      <c r="F1551" s="21">
        <v>1</v>
      </c>
      <c r="G1551" s="21">
        <v>0</v>
      </c>
      <c r="H1551" s="21">
        <v>0</v>
      </c>
      <c r="I1551" s="21">
        <v>0</v>
      </c>
      <c r="L1551" t="str">
        <f t="shared" si="1008"/>
        <v>j</v>
      </c>
      <c r="M1551">
        <v>14</v>
      </c>
      <c r="N1551" s="18" t="str">
        <f t="shared" si="982"/>
        <v>#</v>
      </c>
      <c r="O1551" s="19" t="str">
        <f t="shared" si="983"/>
        <v>#</v>
      </c>
      <c r="P1551" s="19" t="str">
        <f t="shared" si="984"/>
        <v>#</v>
      </c>
      <c r="Q1551" s="19" t="str">
        <f t="shared" si="985"/>
        <v>#</v>
      </c>
      <c r="R1551" s="20" t="str">
        <f t="shared" si="986"/>
        <v>#</v>
      </c>
      <c r="S1551" s="8" t="str">
        <f t="shared" si="987"/>
        <v/>
      </c>
      <c r="T1551" s="2" t="str">
        <f t="shared" si="988"/>
        <v/>
      </c>
      <c r="U1551" s="2" t="str">
        <f t="shared" si="989"/>
        <v/>
      </c>
      <c r="V1551" t="str">
        <f t="shared" si="1006"/>
        <v/>
      </c>
      <c r="X1551">
        <f t="shared" si="1009"/>
        <v>0</v>
      </c>
      <c r="Y1551">
        <f t="shared" si="1010"/>
        <v>0</v>
      </c>
      <c r="Z1551">
        <f t="shared" si="1011"/>
        <v>0</v>
      </c>
      <c r="AA1551">
        <f t="shared" si="1012"/>
        <v>0</v>
      </c>
      <c r="AB1551">
        <f t="shared" si="1013"/>
        <v>0</v>
      </c>
      <c r="AC1551">
        <f t="shared" si="1014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8"/>
        <v>j</v>
      </c>
      <c r="M1552">
        <v>15</v>
      </c>
      <c r="N1552" s="9" t="str">
        <f t="shared" si="982"/>
        <v/>
      </c>
      <c r="O1552" s="10" t="str">
        <f t="shared" si="983"/>
        <v/>
      </c>
      <c r="P1552" s="10" t="str">
        <f t="shared" si="984"/>
        <v/>
      </c>
      <c r="Q1552" s="10" t="str">
        <f t="shared" si="985"/>
        <v/>
      </c>
      <c r="R1552" s="10" t="str">
        <f t="shared" si="986"/>
        <v/>
      </c>
      <c r="S1552" s="11" t="str">
        <f t="shared" si="987"/>
        <v/>
      </c>
      <c r="T1552" s="2" t="str">
        <f t="shared" si="988"/>
        <v/>
      </c>
      <c r="U1552" s="2" t="str">
        <f t="shared" si="989"/>
        <v/>
      </c>
      <c r="V1552" t="str">
        <f t="shared" si="1006"/>
        <v/>
      </c>
      <c r="X1552">
        <f t="shared" si="1009"/>
        <v>0</v>
      </c>
      <c r="Y1552">
        <f t="shared" si="1010"/>
        <v>0</v>
      </c>
      <c r="Z1552">
        <f t="shared" si="1011"/>
        <v>0</v>
      </c>
      <c r="AA1552">
        <f t="shared" si="1012"/>
        <v>0</v>
      </c>
      <c r="AB1552">
        <f t="shared" si="1013"/>
        <v>0</v>
      </c>
      <c r="AC1552">
        <f t="shared" si="1014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8"/>
        <v>j</v>
      </c>
      <c r="M1553">
        <v>16</v>
      </c>
      <c r="N1553" s="12" t="str">
        <f t="shared" si="982"/>
        <v/>
      </c>
      <c r="O1553" s="13" t="str">
        <f t="shared" si="983"/>
        <v/>
      </c>
      <c r="P1553" s="13" t="str">
        <f t="shared" si="984"/>
        <v/>
      </c>
      <c r="Q1553" s="13" t="str">
        <f t="shared" si="985"/>
        <v/>
      </c>
      <c r="R1553" s="13" t="str">
        <f t="shared" si="986"/>
        <v/>
      </c>
      <c r="S1553" s="14" t="str">
        <f t="shared" si="987"/>
        <v/>
      </c>
      <c r="T1553" s="2" t="str">
        <f t="shared" si="988"/>
        <v/>
      </c>
      <c r="U1553" s="2" t="str">
        <f t="shared" si="989"/>
        <v/>
      </c>
      <c r="V1553" t="str">
        <f t="shared" si="1006"/>
        <v/>
      </c>
      <c r="X1553">
        <f t="shared" si="1009"/>
        <v>0</v>
      </c>
      <c r="Y1553">
        <f t="shared" si="1010"/>
        <v>0</v>
      </c>
      <c r="Z1553">
        <f t="shared" si="1011"/>
        <v>0</v>
      </c>
      <c r="AA1553">
        <f t="shared" si="1012"/>
        <v>0</v>
      </c>
      <c r="AB1553">
        <f t="shared" si="1013"/>
        <v>0</v>
      </c>
      <c r="AC1553">
        <f t="shared" si="1014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82"/>
        <v/>
      </c>
      <c r="O1554" t="str">
        <f t="shared" si="983"/>
        <v/>
      </c>
      <c r="P1554" t="str">
        <f t="shared" si="984"/>
        <v/>
      </c>
      <c r="Q1554" t="str">
        <f t="shared" si="985"/>
        <v/>
      </c>
      <c r="R1554" t="str">
        <f t="shared" si="986"/>
        <v/>
      </c>
      <c r="S1554" t="str">
        <f t="shared" si="987"/>
        <v/>
      </c>
      <c r="T1554" s="2" t="str">
        <f t="shared" si="988"/>
        <v/>
      </c>
      <c r="U1554" s="2" t="str">
        <f t="shared" si="989"/>
        <v/>
      </c>
      <c r="V1554" t="str">
        <f t="shared" si="1006"/>
        <v/>
      </c>
      <c r="W1554">
        <f>SUM(B1556:G1569)</f>
        <v>25</v>
      </c>
      <c r="AD1554">
        <f t="shared" ref="AD1554" si="1015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6">L1554</f>
        <v>k</v>
      </c>
      <c r="M1555">
        <v>2</v>
      </c>
      <c r="N1555" t="str">
        <f t="shared" si="982"/>
        <v/>
      </c>
      <c r="O1555" t="str">
        <f t="shared" si="983"/>
        <v/>
      </c>
      <c r="P1555" t="str">
        <f t="shared" si="984"/>
        <v/>
      </c>
      <c r="Q1555" t="str">
        <f t="shared" si="985"/>
        <v/>
      </c>
      <c r="R1555" t="str">
        <f t="shared" si="986"/>
        <v/>
      </c>
      <c r="S1555" t="str">
        <f t="shared" si="987"/>
        <v/>
      </c>
      <c r="T1555" s="2" t="str">
        <f t="shared" si="988"/>
        <v/>
      </c>
      <c r="U1555" s="2" t="str">
        <f t="shared" si="989"/>
        <v/>
      </c>
      <c r="V1555" t="str">
        <f t="shared" si="1006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6"/>
        <v>k</v>
      </c>
      <c r="M1556">
        <v>3</v>
      </c>
      <c r="N1556" s="3" t="str">
        <f t="shared" si="982"/>
        <v/>
      </c>
      <c r="O1556" s="4" t="str">
        <f t="shared" si="983"/>
        <v/>
      </c>
      <c r="P1556" s="4" t="str">
        <f t="shared" si="984"/>
        <v/>
      </c>
      <c r="Q1556" s="4" t="str">
        <f t="shared" si="985"/>
        <v/>
      </c>
      <c r="R1556" s="4" t="str">
        <f t="shared" si="986"/>
        <v/>
      </c>
      <c r="S1556" s="5" t="str">
        <f t="shared" si="987"/>
        <v/>
      </c>
      <c r="T1556" s="2" t="str">
        <f t="shared" si="988"/>
        <v/>
      </c>
      <c r="U1556" s="2" t="str">
        <f t="shared" si="989"/>
        <v/>
      </c>
      <c r="V1556" t="str">
        <f t="shared" si="1006"/>
        <v/>
      </c>
      <c r="X1556">
        <f t="shared" ref="X1556:X1569" si="1017">MAX(B1556-B1555,0)</f>
        <v>0</v>
      </c>
      <c r="Y1556">
        <f t="shared" ref="Y1556:Y1569" si="1018">MAX(C1556-C1555,0)</f>
        <v>0</v>
      </c>
      <c r="Z1556">
        <f t="shared" ref="Z1556:Z1569" si="1019">MAX(D1556-D1555,0)</f>
        <v>0</v>
      </c>
      <c r="AA1556">
        <f t="shared" ref="AA1556:AA1569" si="1020">MAX(E1556-E1555,0)</f>
        <v>0</v>
      </c>
      <c r="AB1556">
        <f t="shared" ref="AB1556:AB1569" si="1021">MAX(F1556-F1555,0)</f>
        <v>0</v>
      </c>
      <c r="AC1556">
        <f t="shared" ref="AC1556:AC1569" si="1022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6"/>
        <v>k</v>
      </c>
      <c r="M1557">
        <v>4</v>
      </c>
      <c r="N1557" s="6" t="str">
        <f t="shared" si="982"/>
        <v/>
      </c>
      <c r="O1557" s="7" t="str">
        <f t="shared" si="983"/>
        <v/>
      </c>
      <c r="P1557" s="7" t="str">
        <f t="shared" si="984"/>
        <v/>
      </c>
      <c r="Q1557" s="7" t="str">
        <f t="shared" si="985"/>
        <v/>
      </c>
      <c r="R1557" s="7" t="str">
        <f t="shared" si="986"/>
        <v/>
      </c>
      <c r="S1557" s="8" t="str">
        <f t="shared" si="987"/>
        <v/>
      </c>
      <c r="T1557" s="2" t="str">
        <f t="shared" si="988"/>
        <v/>
      </c>
      <c r="U1557" s="2" t="str">
        <f t="shared" si="989"/>
        <v/>
      </c>
      <c r="V1557" t="str">
        <f t="shared" si="1006"/>
        <v/>
      </c>
      <c r="X1557">
        <f t="shared" si="1017"/>
        <v>0</v>
      </c>
      <c r="Y1557">
        <f t="shared" si="1018"/>
        <v>0</v>
      </c>
      <c r="Z1557">
        <f t="shared" si="1019"/>
        <v>0</v>
      </c>
      <c r="AA1557">
        <f t="shared" si="1020"/>
        <v>0</v>
      </c>
      <c r="AB1557">
        <f t="shared" si="1021"/>
        <v>0</v>
      </c>
      <c r="AC1557">
        <f t="shared" si="1022"/>
        <v>0</v>
      </c>
      <c r="AE1557" t="str">
        <f>(D1569*128+D1568*64+D1567*32+D1566*16+D1565*8+D1564*4+D1563*2+D1562)*256+D1561*128+D1560*64+D1559*32+D1558*16+D1557*8+D1556*4+D1555*2+D1554&amp;","</f>
        <v>1792,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0</v>
      </c>
      <c r="G1558" s="21">
        <v>0</v>
      </c>
      <c r="H1558" s="21">
        <v>0</v>
      </c>
      <c r="I1558" s="21">
        <v>0</v>
      </c>
      <c r="L1558" t="str">
        <f t="shared" si="1016"/>
        <v>k</v>
      </c>
      <c r="M1558">
        <v>5</v>
      </c>
      <c r="N1558" s="22" t="str">
        <f t="shared" si="982"/>
        <v>#</v>
      </c>
      <c r="O1558" s="15" t="str">
        <f t="shared" si="983"/>
        <v/>
      </c>
      <c r="P1558" s="15" t="str">
        <f t="shared" si="984"/>
        <v/>
      </c>
      <c r="Q1558" s="15" t="str">
        <f t="shared" si="985"/>
        <v/>
      </c>
      <c r="R1558" s="16" t="str">
        <f t="shared" si="986"/>
        <v/>
      </c>
      <c r="S1558" s="8" t="str">
        <f t="shared" si="987"/>
        <v/>
      </c>
      <c r="T1558" s="2" t="str">
        <f t="shared" si="988"/>
        <v/>
      </c>
      <c r="U1558" s="2" t="str">
        <f t="shared" si="989"/>
        <v/>
      </c>
      <c r="V1558" t="str">
        <f t="shared" si="1006"/>
        <v/>
      </c>
      <c r="X1558">
        <f t="shared" si="1017"/>
        <v>1</v>
      </c>
      <c r="Y1558">
        <f t="shared" si="1018"/>
        <v>0</v>
      </c>
      <c r="Z1558">
        <f t="shared" si="1019"/>
        <v>0</v>
      </c>
      <c r="AA1558">
        <f t="shared" si="1020"/>
        <v>0</v>
      </c>
      <c r="AB1558">
        <f t="shared" si="1021"/>
        <v>0</v>
      </c>
      <c r="AC1558">
        <f t="shared" si="1022"/>
        <v>0</v>
      </c>
      <c r="AE1558" t="str">
        <f>(E1569*128+E1568*64+E1567*32+E1566*16+E1565*8+E1564*4+E1563*2+E1562)*256+E1561*128+E1560*64+E1559*32+E1558*16+E1557*8+E1556*4+E1555*2+E1554&amp;","</f>
        <v>3264,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0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6"/>
        <v>k</v>
      </c>
      <c r="M1559">
        <v>6</v>
      </c>
      <c r="N1559" s="23" t="str">
        <f t="shared" si="982"/>
        <v>#</v>
      </c>
      <c r="O1559" s="7" t="str">
        <f t="shared" si="983"/>
        <v/>
      </c>
      <c r="P1559" s="7" t="str">
        <f t="shared" si="984"/>
        <v/>
      </c>
      <c r="Q1559" s="7" t="str">
        <f t="shared" si="985"/>
        <v/>
      </c>
      <c r="R1559" s="17" t="str">
        <f t="shared" si="986"/>
        <v>#</v>
      </c>
      <c r="S1559" s="8" t="str">
        <f t="shared" si="987"/>
        <v/>
      </c>
      <c r="T1559" s="2" t="str">
        <f t="shared" si="988"/>
        <v/>
      </c>
      <c r="U1559" s="2" t="str">
        <f t="shared" si="989"/>
        <v/>
      </c>
      <c r="V1559" t="str">
        <f t="shared" si="1006"/>
        <v/>
      </c>
      <c r="X1559">
        <f t="shared" si="1017"/>
        <v>0</v>
      </c>
      <c r="Y1559">
        <f t="shared" si="1018"/>
        <v>0</v>
      </c>
      <c r="Z1559">
        <f t="shared" si="1019"/>
        <v>0</v>
      </c>
      <c r="AA1559">
        <f t="shared" si="1020"/>
        <v>0</v>
      </c>
      <c r="AB1559">
        <f t="shared" si="1021"/>
        <v>1</v>
      </c>
      <c r="AC1559">
        <f t="shared" si="1022"/>
        <v>0</v>
      </c>
      <c r="AE1559" t="str">
        <f>(F1569*128+F1568*64+F1567*32+F1566*16+F1565*8+F1564*4+F1563*2+F1562)*256+F1561*128+F1560*64+F1559*32+F1558*16+F1557*8+F1556*4+F1555*2+F1554&amp;","</f>
        <v>14560,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6"/>
        <v>k</v>
      </c>
      <c r="M1560">
        <v>7</v>
      </c>
      <c r="N1560" s="23" t="str">
        <f t="shared" si="982"/>
        <v>#</v>
      </c>
      <c r="O1560" s="7" t="str">
        <f t="shared" si="983"/>
        <v/>
      </c>
      <c r="P1560" s="7" t="str">
        <f t="shared" si="984"/>
        <v/>
      </c>
      <c r="Q1560" s="7" t="str">
        <f t="shared" si="985"/>
        <v>#</v>
      </c>
      <c r="R1560" s="17" t="str">
        <f t="shared" si="986"/>
        <v>#</v>
      </c>
      <c r="S1560" s="8" t="str">
        <f t="shared" si="987"/>
        <v/>
      </c>
      <c r="T1560" s="2" t="str">
        <f t="shared" si="988"/>
        <v/>
      </c>
      <c r="U1560" s="2" t="str">
        <f t="shared" si="989"/>
        <v/>
      </c>
      <c r="V1560" t="str">
        <f t="shared" si="1006"/>
        <v/>
      </c>
      <c r="X1560">
        <f t="shared" si="1017"/>
        <v>0</v>
      </c>
      <c r="Y1560">
        <f t="shared" si="1018"/>
        <v>0</v>
      </c>
      <c r="Z1560">
        <f t="shared" si="1019"/>
        <v>0</v>
      </c>
      <c r="AA1560">
        <f t="shared" si="1020"/>
        <v>1</v>
      </c>
      <c r="AB1560">
        <f t="shared" si="1021"/>
        <v>0</v>
      </c>
      <c r="AC1560">
        <f t="shared" si="1022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0</v>
      </c>
      <c r="E1561" s="21">
        <v>1</v>
      </c>
      <c r="F1561" s="21">
        <v>1</v>
      </c>
      <c r="G1561" s="21">
        <v>0</v>
      </c>
      <c r="H1561" s="21">
        <v>0</v>
      </c>
      <c r="I1561" s="21">
        <v>0</v>
      </c>
      <c r="L1561" t="str">
        <f t="shared" si="1016"/>
        <v>k</v>
      </c>
      <c r="M1561">
        <v>8</v>
      </c>
      <c r="N1561" s="23" t="str">
        <f t="shared" si="982"/>
        <v>#</v>
      </c>
      <c r="O1561" s="7" t="str">
        <f t="shared" si="983"/>
        <v/>
      </c>
      <c r="P1561" s="7" t="str">
        <f t="shared" si="984"/>
        <v/>
      </c>
      <c r="Q1561" s="7" t="str">
        <f t="shared" si="985"/>
        <v>#</v>
      </c>
      <c r="R1561" s="17" t="str">
        <f t="shared" si="986"/>
        <v>#</v>
      </c>
      <c r="S1561" s="8" t="str">
        <f t="shared" si="987"/>
        <v/>
      </c>
      <c r="T1561" s="2" t="str">
        <f t="shared" si="988"/>
        <v/>
      </c>
      <c r="U1561" s="2" t="str">
        <f t="shared" si="989"/>
        <v/>
      </c>
      <c r="V1561" t="str">
        <f t="shared" si="1006"/>
        <v/>
      </c>
      <c r="X1561">
        <f t="shared" si="1017"/>
        <v>0</v>
      </c>
      <c r="Y1561">
        <f t="shared" si="1018"/>
        <v>0</v>
      </c>
      <c r="Z1561">
        <f t="shared" si="1019"/>
        <v>0</v>
      </c>
      <c r="AA1561">
        <f t="shared" si="1020"/>
        <v>0</v>
      </c>
      <c r="AB1561">
        <f t="shared" si="1021"/>
        <v>0</v>
      </c>
      <c r="AC1561">
        <f t="shared" si="1022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6"/>
        <v>k</v>
      </c>
      <c r="M1562">
        <v>9</v>
      </c>
      <c r="N1562" s="23" t="str">
        <f t="shared" si="982"/>
        <v>#</v>
      </c>
      <c r="O1562" s="7" t="str">
        <f t="shared" si="983"/>
        <v>#</v>
      </c>
      <c r="P1562" s="7" t="str">
        <f t="shared" si="984"/>
        <v>#</v>
      </c>
      <c r="Q1562" s="7" t="str">
        <f t="shared" si="985"/>
        <v/>
      </c>
      <c r="R1562" s="17" t="str">
        <f t="shared" si="986"/>
        <v/>
      </c>
      <c r="S1562" s="8" t="str">
        <f t="shared" si="987"/>
        <v/>
      </c>
      <c r="T1562" s="2" t="str">
        <f t="shared" si="988"/>
        <v/>
      </c>
      <c r="U1562" s="2" t="str">
        <f t="shared" si="989"/>
        <v/>
      </c>
      <c r="V1562" t="str">
        <f t="shared" si="1006"/>
        <v/>
      </c>
      <c r="X1562">
        <f t="shared" si="1017"/>
        <v>0</v>
      </c>
      <c r="Y1562">
        <f t="shared" si="1018"/>
        <v>1</v>
      </c>
      <c r="Z1562">
        <f t="shared" si="1019"/>
        <v>1</v>
      </c>
      <c r="AA1562">
        <f t="shared" si="1020"/>
        <v>0</v>
      </c>
      <c r="AB1562">
        <f t="shared" si="1021"/>
        <v>0</v>
      </c>
      <c r="AC1562">
        <f t="shared" si="1022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6"/>
        <v>k</v>
      </c>
      <c r="M1563">
        <v>10</v>
      </c>
      <c r="N1563" s="23" t="str">
        <f t="shared" si="982"/>
        <v>#</v>
      </c>
      <c r="O1563" s="7" t="str">
        <f t="shared" si="983"/>
        <v>#</v>
      </c>
      <c r="P1563" s="7" t="str">
        <f t="shared" si="984"/>
        <v>#</v>
      </c>
      <c r="Q1563" s="7" t="str">
        <f t="shared" si="985"/>
        <v/>
      </c>
      <c r="R1563" s="17" t="str">
        <f t="shared" si="986"/>
        <v/>
      </c>
      <c r="S1563" s="8" t="str">
        <f t="shared" si="987"/>
        <v/>
      </c>
      <c r="T1563" s="2" t="str">
        <f t="shared" si="988"/>
        <v/>
      </c>
      <c r="U1563" s="2" t="str">
        <f t="shared" si="989"/>
        <v/>
      </c>
      <c r="V1563" t="str">
        <f t="shared" si="1006"/>
        <v/>
      </c>
      <c r="X1563">
        <f t="shared" si="1017"/>
        <v>0</v>
      </c>
      <c r="Y1563">
        <f t="shared" si="1018"/>
        <v>0</v>
      </c>
      <c r="Z1563">
        <f t="shared" si="1019"/>
        <v>0</v>
      </c>
      <c r="AA1563">
        <f t="shared" si="1020"/>
        <v>0</v>
      </c>
      <c r="AB1563">
        <f t="shared" si="1021"/>
        <v>0</v>
      </c>
      <c r="AC1563">
        <f t="shared" si="1022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6"/>
        <v>k</v>
      </c>
      <c r="M1564">
        <v>11</v>
      </c>
      <c r="N1564" s="23" t="str">
        <f t="shared" si="982"/>
        <v>#</v>
      </c>
      <c r="O1564" s="7" t="str">
        <f t="shared" si="983"/>
        <v/>
      </c>
      <c r="P1564" s="7" t="str">
        <f t="shared" si="984"/>
        <v>#</v>
      </c>
      <c r="Q1564" s="7" t="str">
        <f t="shared" si="985"/>
        <v>#</v>
      </c>
      <c r="R1564" s="17" t="str">
        <f t="shared" si="986"/>
        <v/>
      </c>
      <c r="S1564" s="8" t="str">
        <f t="shared" si="987"/>
        <v/>
      </c>
      <c r="T1564" s="2" t="str">
        <f t="shared" si="988"/>
        <v/>
      </c>
      <c r="U1564" s="2" t="str">
        <f t="shared" si="989"/>
        <v/>
      </c>
      <c r="V1564" t="str">
        <f t="shared" si="1006"/>
        <v/>
      </c>
      <c r="X1564">
        <f t="shared" si="1017"/>
        <v>0</v>
      </c>
      <c r="Y1564">
        <f t="shared" si="1018"/>
        <v>0</v>
      </c>
      <c r="Z1564">
        <f t="shared" si="1019"/>
        <v>0</v>
      </c>
      <c r="AA1564">
        <f t="shared" si="1020"/>
        <v>1</v>
      </c>
      <c r="AB1564">
        <f t="shared" si="1021"/>
        <v>0</v>
      </c>
      <c r="AC1564">
        <f t="shared" si="1022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6"/>
        <v>k</v>
      </c>
      <c r="M1565">
        <v>12</v>
      </c>
      <c r="N1565" s="23" t="str">
        <f t="shared" si="982"/>
        <v>#</v>
      </c>
      <c r="O1565" s="7" t="str">
        <f t="shared" si="983"/>
        <v/>
      </c>
      <c r="P1565" s="7" t="str">
        <f t="shared" si="984"/>
        <v/>
      </c>
      <c r="Q1565" s="7" t="str">
        <f t="shared" si="985"/>
        <v>#</v>
      </c>
      <c r="R1565" s="17" t="str">
        <f t="shared" si="986"/>
        <v>#</v>
      </c>
      <c r="S1565" s="8" t="str">
        <f t="shared" si="987"/>
        <v/>
      </c>
      <c r="T1565" s="2" t="str">
        <f t="shared" si="988"/>
        <v/>
      </c>
      <c r="U1565" s="2" t="str">
        <f t="shared" si="989"/>
        <v/>
      </c>
      <c r="V1565" t="str">
        <f t="shared" si="1006"/>
        <v/>
      </c>
      <c r="X1565">
        <f t="shared" si="1017"/>
        <v>0</v>
      </c>
      <c r="Y1565">
        <f t="shared" si="1018"/>
        <v>0</v>
      </c>
      <c r="Z1565">
        <f t="shared" si="1019"/>
        <v>0</v>
      </c>
      <c r="AA1565">
        <f t="shared" si="1020"/>
        <v>0</v>
      </c>
      <c r="AB1565">
        <f t="shared" si="1021"/>
        <v>1</v>
      </c>
      <c r="AC1565">
        <f t="shared" si="1022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0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6"/>
        <v>k</v>
      </c>
      <c r="M1566">
        <v>13</v>
      </c>
      <c r="N1566" s="6" t="str">
        <f t="shared" si="982"/>
        <v>#</v>
      </c>
      <c r="O1566" s="7" t="str">
        <f t="shared" si="983"/>
        <v/>
      </c>
      <c r="P1566" s="7" t="str">
        <f t="shared" si="984"/>
        <v/>
      </c>
      <c r="Q1566" s="7" t="str">
        <f t="shared" si="985"/>
        <v/>
      </c>
      <c r="R1566" s="17" t="str">
        <f t="shared" si="986"/>
        <v>#</v>
      </c>
      <c r="S1566" s="8" t="str">
        <f t="shared" si="987"/>
        <v/>
      </c>
      <c r="T1566" s="2" t="str">
        <f t="shared" si="988"/>
        <v/>
      </c>
      <c r="U1566" s="2" t="str">
        <f t="shared" si="989"/>
        <v/>
      </c>
      <c r="V1566" t="str">
        <f t="shared" si="1006"/>
        <v/>
      </c>
      <c r="X1566">
        <f t="shared" si="1017"/>
        <v>0</v>
      </c>
      <c r="Y1566">
        <f t="shared" si="1018"/>
        <v>0</v>
      </c>
      <c r="Z1566">
        <f t="shared" si="1019"/>
        <v>0</v>
      </c>
      <c r="AA1566">
        <f t="shared" si="1020"/>
        <v>0</v>
      </c>
      <c r="AB1566">
        <f t="shared" si="1021"/>
        <v>0</v>
      </c>
      <c r="AC1566">
        <f t="shared" si="1022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6"/>
        <v>k</v>
      </c>
      <c r="M1567">
        <v>14</v>
      </c>
      <c r="N1567" s="18" t="str">
        <f t="shared" si="982"/>
        <v>#</v>
      </c>
      <c r="O1567" s="19" t="str">
        <f t="shared" si="983"/>
        <v/>
      </c>
      <c r="P1567" s="19" t="str">
        <f t="shared" si="984"/>
        <v/>
      </c>
      <c r="Q1567" s="19" t="str">
        <f t="shared" si="985"/>
        <v/>
      </c>
      <c r="R1567" s="20" t="str">
        <f t="shared" si="986"/>
        <v>#</v>
      </c>
      <c r="S1567" s="8" t="str">
        <f t="shared" si="987"/>
        <v/>
      </c>
      <c r="T1567" s="2" t="str">
        <f t="shared" si="988"/>
        <v/>
      </c>
      <c r="U1567" s="2" t="str">
        <f t="shared" si="989"/>
        <v/>
      </c>
      <c r="V1567" t="str">
        <f t="shared" si="1006"/>
        <v/>
      </c>
      <c r="X1567">
        <f t="shared" si="1017"/>
        <v>0</v>
      </c>
      <c r="Y1567">
        <f t="shared" si="1018"/>
        <v>0</v>
      </c>
      <c r="Z1567">
        <f t="shared" si="1019"/>
        <v>0</v>
      </c>
      <c r="AA1567">
        <f t="shared" si="1020"/>
        <v>0</v>
      </c>
      <c r="AB1567">
        <f t="shared" si="1021"/>
        <v>0</v>
      </c>
      <c r="AC1567">
        <f t="shared" si="1022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6"/>
        <v>k</v>
      </c>
      <c r="M1568">
        <v>15</v>
      </c>
      <c r="N1568" s="9" t="str">
        <f t="shared" si="982"/>
        <v/>
      </c>
      <c r="O1568" s="10" t="str">
        <f t="shared" si="983"/>
        <v/>
      </c>
      <c r="P1568" s="10" t="str">
        <f t="shared" si="984"/>
        <v/>
      </c>
      <c r="Q1568" s="10" t="str">
        <f t="shared" si="985"/>
        <v/>
      </c>
      <c r="R1568" s="10" t="str">
        <f t="shared" si="986"/>
        <v/>
      </c>
      <c r="S1568" s="11" t="str">
        <f t="shared" si="987"/>
        <v/>
      </c>
      <c r="T1568" s="2" t="str">
        <f t="shared" si="988"/>
        <v/>
      </c>
      <c r="U1568" s="2" t="str">
        <f t="shared" si="989"/>
        <v/>
      </c>
      <c r="V1568" t="str">
        <f t="shared" si="1006"/>
        <v/>
      </c>
      <c r="X1568">
        <f t="shared" si="1017"/>
        <v>0</v>
      </c>
      <c r="Y1568">
        <f t="shared" si="1018"/>
        <v>0</v>
      </c>
      <c r="Z1568">
        <f t="shared" si="1019"/>
        <v>0</v>
      </c>
      <c r="AA1568">
        <f t="shared" si="1020"/>
        <v>0</v>
      </c>
      <c r="AB1568">
        <f t="shared" si="1021"/>
        <v>0</v>
      </c>
      <c r="AC1568">
        <f t="shared" si="1022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6"/>
        <v>k</v>
      </c>
      <c r="M1569">
        <v>16</v>
      </c>
      <c r="N1569" s="12" t="str">
        <f t="shared" si="982"/>
        <v/>
      </c>
      <c r="O1569" s="13" t="str">
        <f t="shared" si="983"/>
        <v/>
      </c>
      <c r="P1569" s="13" t="str">
        <f t="shared" si="984"/>
        <v/>
      </c>
      <c r="Q1569" s="13" t="str">
        <f t="shared" si="985"/>
        <v/>
      </c>
      <c r="R1569" s="13" t="str">
        <f t="shared" si="986"/>
        <v/>
      </c>
      <c r="S1569" s="14" t="str">
        <f t="shared" si="987"/>
        <v/>
      </c>
      <c r="T1569" s="2" t="str">
        <f t="shared" si="988"/>
        <v/>
      </c>
      <c r="U1569" s="2" t="str">
        <f t="shared" si="989"/>
        <v/>
      </c>
      <c r="V1569" t="str">
        <f t="shared" si="1006"/>
        <v/>
      </c>
      <c r="X1569">
        <f t="shared" si="1017"/>
        <v>0</v>
      </c>
      <c r="Y1569">
        <f t="shared" si="1018"/>
        <v>0</v>
      </c>
      <c r="Z1569">
        <f t="shared" si="1019"/>
        <v>0</v>
      </c>
      <c r="AA1569">
        <f t="shared" si="1020"/>
        <v>0</v>
      </c>
      <c r="AB1569">
        <f t="shared" si="1021"/>
        <v>0</v>
      </c>
      <c r="AC1569">
        <f t="shared" si="1022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23">IF(B1570&gt;0,"#","")</f>
        <v/>
      </c>
      <c r="O1570" t="str">
        <f t="shared" ref="O1570:O1633" si="1024">IF(C1570&gt;0,"#","")</f>
        <v/>
      </c>
      <c r="P1570" t="str">
        <f t="shared" ref="P1570:P1633" si="1025">IF(D1570&gt;0,"#","")</f>
        <v/>
      </c>
      <c r="Q1570" t="str">
        <f t="shared" ref="Q1570:Q1633" si="1026">IF(E1570&gt;0,"#","")</f>
        <v/>
      </c>
      <c r="R1570" t="str">
        <f t="shared" ref="R1570:R1633" si="1027">IF(F1570&gt;0,"#","")</f>
        <v/>
      </c>
      <c r="S1570" t="str">
        <f t="shared" ref="S1570:S1633" si="1028">IF(G1570&gt;0,"#","")</f>
        <v/>
      </c>
      <c r="T1570" s="2" t="str">
        <f t="shared" ref="T1570:T1633" si="1029">IF(H1570&gt;0,"#","")</f>
        <v/>
      </c>
      <c r="U1570" s="2" t="str">
        <f t="shared" ref="U1570:U1633" si="1030">IF(I1570&gt;0,"#","")</f>
        <v/>
      </c>
      <c r="V1570" t="str">
        <f t="shared" si="1006"/>
        <v/>
      </c>
      <c r="W1570">
        <f>SUM(B1572:G1585)</f>
        <v>18</v>
      </c>
      <c r="AD1570">
        <f t="shared" ref="AD1570" si="1031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32">L1570</f>
        <v>l</v>
      </c>
      <c r="M1571">
        <v>2</v>
      </c>
      <c r="N1571" t="str">
        <f t="shared" si="1023"/>
        <v/>
      </c>
      <c r="O1571" t="str">
        <f t="shared" si="1024"/>
        <v/>
      </c>
      <c r="P1571" t="str">
        <f t="shared" si="1025"/>
        <v/>
      </c>
      <c r="Q1571" t="str">
        <f t="shared" si="1026"/>
        <v/>
      </c>
      <c r="R1571" t="str">
        <f t="shared" si="1027"/>
        <v/>
      </c>
      <c r="S1571" t="str">
        <f t="shared" si="1028"/>
        <v/>
      </c>
      <c r="T1571" s="2" t="str">
        <f t="shared" si="1029"/>
        <v/>
      </c>
      <c r="U1571" s="2" t="str">
        <f t="shared" si="1030"/>
        <v/>
      </c>
      <c r="V1571" t="str">
        <f t="shared" si="1006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32"/>
        <v>l</v>
      </c>
      <c r="M1572">
        <v>3</v>
      </c>
      <c r="N1572" s="3" t="str">
        <f t="shared" si="1023"/>
        <v/>
      </c>
      <c r="O1572" s="4" t="str">
        <f t="shared" si="1024"/>
        <v/>
      </c>
      <c r="P1572" s="4" t="str">
        <f t="shared" si="1025"/>
        <v/>
      </c>
      <c r="Q1572" s="4" t="str">
        <f t="shared" si="1026"/>
        <v/>
      </c>
      <c r="R1572" s="4" t="str">
        <f t="shared" si="1027"/>
        <v/>
      </c>
      <c r="S1572" s="5" t="str">
        <f t="shared" si="1028"/>
        <v/>
      </c>
      <c r="T1572" s="2" t="str">
        <f t="shared" si="1029"/>
        <v/>
      </c>
      <c r="U1572" s="2" t="str">
        <f t="shared" si="1030"/>
        <v/>
      </c>
      <c r="V1572" t="str">
        <f t="shared" si="1006"/>
        <v/>
      </c>
      <c r="X1572">
        <f t="shared" ref="X1572:X1585" si="1033">MAX(B1572-B1571,0)</f>
        <v>0</v>
      </c>
      <c r="Y1572">
        <f t="shared" ref="Y1572:Y1585" si="1034">MAX(C1572-C1571,0)</f>
        <v>0</v>
      </c>
      <c r="Z1572">
        <f t="shared" ref="Z1572:Z1585" si="1035">MAX(D1572-D1571,0)</f>
        <v>0</v>
      </c>
      <c r="AA1572">
        <f t="shared" ref="AA1572:AA1585" si="1036">MAX(E1572-E1571,0)</f>
        <v>0</v>
      </c>
      <c r="AB1572">
        <f t="shared" ref="AB1572:AB1585" si="1037">MAX(F1572-F1571,0)</f>
        <v>0</v>
      </c>
      <c r="AC1572">
        <f t="shared" ref="AC1572:AC1585" si="1038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32"/>
        <v>l</v>
      </c>
      <c r="M1573">
        <v>4</v>
      </c>
      <c r="N1573" s="6" t="str">
        <f t="shared" si="1023"/>
        <v/>
      </c>
      <c r="O1573" s="7" t="str">
        <f t="shared" si="1024"/>
        <v/>
      </c>
      <c r="P1573" s="7" t="str">
        <f t="shared" si="1025"/>
        <v/>
      </c>
      <c r="Q1573" s="7" t="str">
        <f t="shared" si="1026"/>
        <v/>
      </c>
      <c r="R1573" s="7" t="str">
        <f t="shared" si="1027"/>
        <v/>
      </c>
      <c r="S1573" s="8" t="str">
        <f t="shared" si="1028"/>
        <v/>
      </c>
      <c r="T1573" s="2" t="str">
        <f t="shared" si="1029"/>
        <v/>
      </c>
      <c r="U1573" s="2" t="str">
        <f t="shared" si="1030"/>
        <v/>
      </c>
      <c r="V1573" t="str">
        <f t="shared" si="1006"/>
        <v/>
      </c>
      <c r="X1573">
        <f t="shared" si="1033"/>
        <v>0</v>
      </c>
      <c r="Y1573">
        <f t="shared" si="1034"/>
        <v>0</v>
      </c>
      <c r="Z1573">
        <f t="shared" si="1035"/>
        <v>0</v>
      </c>
      <c r="AA1573">
        <f t="shared" si="1036"/>
        <v>0</v>
      </c>
      <c r="AB1573">
        <f t="shared" si="1037"/>
        <v>0</v>
      </c>
      <c r="AC1573">
        <f t="shared" si="1038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32"/>
        <v>l</v>
      </c>
      <c r="M1574">
        <v>5</v>
      </c>
      <c r="N1574" s="22" t="str">
        <f t="shared" si="1023"/>
        <v>#</v>
      </c>
      <c r="O1574" s="15" t="str">
        <f t="shared" si="1024"/>
        <v/>
      </c>
      <c r="P1574" s="15" t="str">
        <f t="shared" si="1025"/>
        <v/>
      </c>
      <c r="Q1574" s="15" t="str">
        <f t="shared" si="1026"/>
        <v/>
      </c>
      <c r="R1574" s="16" t="str">
        <f t="shared" si="1027"/>
        <v/>
      </c>
      <c r="S1574" s="8" t="str">
        <f t="shared" si="1028"/>
        <v/>
      </c>
      <c r="T1574" s="2" t="str">
        <f t="shared" si="1029"/>
        <v/>
      </c>
      <c r="U1574" s="2" t="str">
        <f t="shared" si="1030"/>
        <v/>
      </c>
      <c r="V1574" t="str">
        <f t="shared" si="1006"/>
        <v/>
      </c>
      <c r="X1574">
        <f t="shared" si="1033"/>
        <v>1</v>
      </c>
      <c r="Y1574">
        <f t="shared" si="1034"/>
        <v>0</v>
      </c>
      <c r="Z1574">
        <f t="shared" si="1035"/>
        <v>0</v>
      </c>
      <c r="AA1574">
        <f t="shared" si="1036"/>
        <v>0</v>
      </c>
      <c r="AB1574">
        <f t="shared" si="1037"/>
        <v>0</v>
      </c>
      <c r="AC1574">
        <f t="shared" si="1038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32"/>
        <v>l</v>
      </c>
      <c r="M1575">
        <v>6</v>
      </c>
      <c r="N1575" s="23" t="str">
        <f t="shared" si="1023"/>
        <v>#</v>
      </c>
      <c r="O1575" s="7" t="str">
        <f t="shared" si="1024"/>
        <v/>
      </c>
      <c r="P1575" s="7" t="str">
        <f t="shared" si="1025"/>
        <v/>
      </c>
      <c r="Q1575" s="7" t="str">
        <f t="shared" si="1026"/>
        <v/>
      </c>
      <c r="R1575" s="17" t="str">
        <f t="shared" si="1027"/>
        <v/>
      </c>
      <c r="S1575" s="8" t="str">
        <f t="shared" si="1028"/>
        <v/>
      </c>
      <c r="T1575" s="2" t="str">
        <f t="shared" si="1029"/>
        <v/>
      </c>
      <c r="U1575" s="2" t="str">
        <f t="shared" si="1030"/>
        <v/>
      </c>
      <c r="V1575" t="str">
        <f t="shared" si="1006"/>
        <v/>
      </c>
      <c r="X1575">
        <f t="shared" si="1033"/>
        <v>0</v>
      </c>
      <c r="Y1575">
        <f t="shared" si="1034"/>
        <v>0</v>
      </c>
      <c r="Z1575">
        <f t="shared" si="1035"/>
        <v>0</v>
      </c>
      <c r="AA1575">
        <f t="shared" si="1036"/>
        <v>0</v>
      </c>
      <c r="AB1575">
        <f t="shared" si="1037"/>
        <v>0</v>
      </c>
      <c r="AC1575">
        <f t="shared" si="1038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32"/>
        <v>l</v>
      </c>
      <c r="M1576">
        <v>7</v>
      </c>
      <c r="N1576" s="23" t="str">
        <f t="shared" si="1023"/>
        <v>#</v>
      </c>
      <c r="O1576" s="7" t="str">
        <f t="shared" si="1024"/>
        <v/>
      </c>
      <c r="P1576" s="7" t="str">
        <f t="shared" si="1025"/>
        <v/>
      </c>
      <c r="Q1576" s="7" t="str">
        <f t="shared" si="1026"/>
        <v/>
      </c>
      <c r="R1576" s="17" t="str">
        <f t="shared" si="1027"/>
        <v/>
      </c>
      <c r="S1576" s="8" t="str">
        <f t="shared" si="1028"/>
        <v/>
      </c>
      <c r="T1576" s="2" t="str">
        <f t="shared" si="1029"/>
        <v/>
      </c>
      <c r="U1576" s="2" t="str">
        <f t="shared" si="1030"/>
        <v/>
      </c>
      <c r="V1576" t="str">
        <f t="shared" si="1006"/>
        <v/>
      </c>
      <c r="X1576">
        <f t="shared" si="1033"/>
        <v>0</v>
      </c>
      <c r="Y1576">
        <f t="shared" si="1034"/>
        <v>0</v>
      </c>
      <c r="Z1576">
        <f t="shared" si="1035"/>
        <v>0</v>
      </c>
      <c r="AA1576">
        <f t="shared" si="1036"/>
        <v>0</v>
      </c>
      <c r="AB1576">
        <f t="shared" si="1037"/>
        <v>0</v>
      </c>
      <c r="AC1576">
        <f t="shared" si="1038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32"/>
        <v>l</v>
      </c>
      <c r="M1577">
        <v>8</v>
      </c>
      <c r="N1577" s="23" t="str">
        <f t="shared" si="1023"/>
        <v>#</v>
      </c>
      <c r="O1577" s="7" t="str">
        <f t="shared" si="1024"/>
        <v/>
      </c>
      <c r="P1577" s="7" t="str">
        <f t="shared" si="1025"/>
        <v/>
      </c>
      <c r="Q1577" s="7" t="str">
        <f t="shared" si="1026"/>
        <v/>
      </c>
      <c r="R1577" s="17" t="str">
        <f t="shared" si="1027"/>
        <v/>
      </c>
      <c r="S1577" s="8" t="str">
        <f t="shared" si="1028"/>
        <v/>
      </c>
      <c r="T1577" s="2" t="str">
        <f t="shared" si="1029"/>
        <v/>
      </c>
      <c r="U1577" s="2" t="str">
        <f t="shared" si="1030"/>
        <v/>
      </c>
      <c r="V1577" t="str">
        <f t="shared" si="1006"/>
        <v/>
      </c>
      <c r="X1577">
        <f t="shared" si="1033"/>
        <v>0</v>
      </c>
      <c r="Y1577">
        <f t="shared" si="1034"/>
        <v>0</v>
      </c>
      <c r="Z1577">
        <f t="shared" si="1035"/>
        <v>0</v>
      </c>
      <c r="AA1577">
        <f t="shared" si="1036"/>
        <v>0</v>
      </c>
      <c r="AB1577">
        <f t="shared" si="1037"/>
        <v>0</v>
      </c>
      <c r="AC1577">
        <f t="shared" si="1038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32"/>
        <v>l</v>
      </c>
      <c r="M1578">
        <v>9</v>
      </c>
      <c r="N1578" s="23" t="str">
        <f t="shared" si="1023"/>
        <v>#</v>
      </c>
      <c r="O1578" s="7" t="str">
        <f t="shared" si="1024"/>
        <v/>
      </c>
      <c r="P1578" s="7" t="str">
        <f t="shared" si="1025"/>
        <v/>
      </c>
      <c r="Q1578" s="7" t="str">
        <f t="shared" si="1026"/>
        <v/>
      </c>
      <c r="R1578" s="17" t="str">
        <f t="shared" si="1027"/>
        <v/>
      </c>
      <c r="S1578" s="8" t="str">
        <f t="shared" si="1028"/>
        <v/>
      </c>
      <c r="T1578" s="2" t="str">
        <f t="shared" si="1029"/>
        <v/>
      </c>
      <c r="U1578" s="2" t="str">
        <f t="shared" si="1030"/>
        <v/>
      </c>
      <c r="V1578" t="str">
        <f t="shared" si="1006"/>
        <v/>
      </c>
      <c r="X1578">
        <f t="shared" si="1033"/>
        <v>0</v>
      </c>
      <c r="Y1578">
        <f t="shared" si="1034"/>
        <v>0</v>
      </c>
      <c r="Z1578">
        <f t="shared" si="1035"/>
        <v>0</v>
      </c>
      <c r="AA1578">
        <f t="shared" si="1036"/>
        <v>0</v>
      </c>
      <c r="AB1578">
        <f t="shared" si="1037"/>
        <v>0</v>
      </c>
      <c r="AC1578">
        <f t="shared" si="1038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32"/>
        <v>l</v>
      </c>
      <c r="M1579">
        <v>10</v>
      </c>
      <c r="N1579" s="23" t="str">
        <f t="shared" si="1023"/>
        <v>#</v>
      </c>
      <c r="O1579" s="7" t="str">
        <f t="shared" si="1024"/>
        <v/>
      </c>
      <c r="P1579" s="7" t="str">
        <f t="shared" si="1025"/>
        <v/>
      </c>
      <c r="Q1579" s="7" t="str">
        <f t="shared" si="1026"/>
        <v/>
      </c>
      <c r="R1579" s="17" t="str">
        <f t="shared" si="1027"/>
        <v/>
      </c>
      <c r="S1579" s="8" t="str">
        <f t="shared" si="1028"/>
        <v/>
      </c>
      <c r="T1579" s="2" t="str">
        <f t="shared" si="1029"/>
        <v/>
      </c>
      <c r="U1579" s="2" t="str">
        <f t="shared" si="1030"/>
        <v/>
      </c>
      <c r="V1579" t="str">
        <f t="shared" si="1006"/>
        <v/>
      </c>
      <c r="X1579">
        <f t="shared" si="1033"/>
        <v>0</v>
      </c>
      <c r="Y1579">
        <f t="shared" si="1034"/>
        <v>0</v>
      </c>
      <c r="Z1579">
        <f t="shared" si="1035"/>
        <v>0</v>
      </c>
      <c r="AA1579">
        <f t="shared" si="1036"/>
        <v>0</v>
      </c>
      <c r="AB1579">
        <f t="shared" si="1037"/>
        <v>0</v>
      </c>
      <c r="AC1579">
        <f t="shared" si="1038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32"/>
        <v>l</v>
      </c>
      <c r="M1580">
        <v>11</v>
      </c>
      <c r="N1580" s="23" t="str">
        <f t="shared" si="1023"/>
        <v>#</v>
      </c>
      <c r="O1580" s="7" t="str">
        <f t="shared" si="1024"/>
        <v/>
      </c>
      <c r="P1580" s="7" t="str">
        <f t="shared" si="1025"/>
        <v/>
      </c>
      <c r="Q1580" s="7" t="str">
        <f t="shared" si="1026"/>
        <v/>
      </c>
      <c r="R1580" s="17" t="str">
        <f t="shared" si="1027"/>
        <v/>
      </c>
      <c r="S1580" s="8" t="str">
        <f t="shared" si="1028"/>
        <v/>
      </c>
      <c r="T1580" s="2" t="str">
        <f t="shared" si="1029"/>
        <v/>
      </c>
      <c r="U1580" s="2" t="str">
        <f t="shared" si="1030"/>
        <v/>
      </c>
      <c r="V1580" t="str">
        <f t="shared" si="1006"/>
        <v/>
      </c>
      <c r="X1580">
        <f t="shared" si="1033"/>
        <v>0</v>
      </c>
      <c r="Y1580">
        <f t="shared" si="1034"/>
        <v>0</v>
      </c>
      <c r="Z1580">
        <f t="shared" si="1035"/>
        <v>0</v>
      </c>
      <c r="AA1580">
        <f t="shared" si="1036"/>
        <v>0</v>
      </c>
      <c r="AB1580">
        <f t="shared" si="1037"/>
        <v>0</v>
      </c>
      <c r="AC1580">
        <f t="shared" si="1038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32"/>
        <v>l</v>
      </c>
      <c r="M1581">
        <v>12</v>
      </c>
      <c r="N1581" s="23" t="str">
        <f t="shared" si="1023"/>
        <v>#</v>
      </c>
      <c r="O1581" s="7" t="str">
        <f t="shared" si="1024"/>
        <v/>
      </c>
      <c r="P1581" s="7" t="str">
        <f t="shared" si="1025"/>
        <v/>
      </c>
      <c r="Q1581" s="7" t="str">
        <f t="shared" si="1026"/>
        <v/>
      </c>
      <c r="R1581" s="17" t="str">
        <f t="shared" si="1027"/>
        <v/>
      </c>
      <c r="S1581" s="8" t="str">
        <f t="shared" si="1028"/>
        <v/>
      </c>
      <c r="T1581" s="2" t="str">
        <f t="shared" si="1029"/>
        <v/>
      </c>
      <c r="U1581" s="2" t="str">
        <f t="shared" si="1030"/>
        <v/>
      </c>
      <c r="V1581" t="str">
        <f t="shared" si="1006"/>
        <v/>
      </c>
      <c r="X1581">
        <f t="shared" si="1033"/>
        <v>0</v>
      </c>
      <c r="Y1581">
        <f t="shared" si="1034"/>
        <v>0</v>
      </c>
      <c r="Z1581">
        <f t="shared" si="1035"/>
        <v>0</v>
      </c>
      <c r="AA1581">
        <f t="shared" si="1036"/>
        <v>0</v>
      </c>
      <c r="AB1581">
        <f t="shared" si="1037"/>
        <v>0</v>
      </c>
      <c r="AC1581">
        <f t="shared" si="1038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32"/>
        <v>l</v>
      </c>
      <c r="M1582">
        <v>13</v>
      </c>
      <c r="N1582" s="6" t="str">
        <f t="shared" si="1023"/>
        <v>#</v>
      </c>
      <c r="O1582" s="7" t="str">
        <f t="shared" si="1024"/>
        <v>#</v>
      </c>
      <c r="P1582" s="7" t="str">
        <f t="shared" si="1025"/>
        <v>#</v>
      </c>
      <c r="Q1582" s="7" t="str">
        <f t="shared" si="1026"/>
        <v>#</v>
      </c>
      <c r="R1582" s="17" t="str">
        <f t="shared" si="1027"/>
        <v>#</v>
      </c>
      <c r="S1582" s="8" t="str">
        <f t="shared" si="1028"/>
        <v/>
      </c>
      <c r="T1582" s="2" t="str">
        <f t="shared" si="1029"/>
        <v/>
      </c>
      <c r="U1582" s="2" t="str">
        <f t="shared" si="1030"/>
        <v/>
      </c>
      <c r="V1582" t="str">
        <f t="shared" si="1006"/>
        <v/>
      </c>
      <c r="X1582">
        <f t="shared" si="1033"/>
        <v>0</v>
      </c>
      <c r="Y1582">
        <f t="shared" si="1034"/>
        <v>1</v>
      </c>
      <c r="Z1582">
        <f t="shared" si="1035"/>
        <v>1</v>
      </c>
      <c r="AA1582">
        <f t="shared" si="1036"/>
        <v>1</v>
      </c>
      <c r="AB1582">
        <f t="shared" si="1037"/>
        <v>1</v>
      </c>
      <c r="AC1582">
        <f t="shared" si="1038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32"/>
        <v>l</v>
      </c>
      <c r="M1583">
        <v>14</v>
      </c>
      <c r="N1583" s="18" t="str">
        <f t="shared" si="1023"/>
        <v>#</v>
      </c>
      <c r="O1583" s="19" t="str">
        <f t="shared" si="1024"/>
        <v>#</v>
      </c>
      <c r="P1583" s="19" t="str">
        <f t="shared" si="1025"/>
        <v>#</v>
      </c>
      <c r="Q1583" s="19" t="str">
        <f t="shared" si="1026"/>
        <v>#</v>
      </c>
      <c r="R1583" s="20" t="str">
        <f t="shared" si="1027"/>
        <v>#</v>
      </c>
      <c r="S1583" s="8" t="str">
        <f t="shared" si="1028"/>
        <v/>
      </c>
      <c r="T1583" s="2" t="str">
        <f t="shared" si="1029"/>
        <v/>
      </c>
      <c r="U1583" s="2" t="str">
        <f t="shared" si="1030"/>
        <v/>
      </c>
      <c r="V1583" t="str">
        <f t="shared" si="1006"/>
        <v/>
      </c>
      <c r="X1583">
        <f t="shared" si="1033"/>
        <v>0</v>
      </c>
      <c r="Y1583">
        <f t="shared" si="1034"/>
        <v>0</v>
      </c>
      <c r="Z1583">
        <f t="shared" si="1035"/>
        <v>0</v>
      </c>
      <c r="AA1583">
        <f t="shared" si="1036"/>
        <v>0</v>
      </c>
      <c r="AB1583">
        <f t="shared" si="1037"/>
        <v>0</v>
      </c>
      <c r="AC1583">
        <f t="shared" si="1038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32"/>
        <v>l</v>
      </c>
      <c r="M1584">
        <v>15</v>
      </c>
      <c r="N1584" s="9" t="str">
        <f t="shared" si="1023"/>
        <v/>
      </c>
      <c r="O1584" s="10" t="str">
        <f t="shared" si="1024"/>
        <v/>
      </c>
      <c r="P1584" s="10" t="str">
        <f t="shared" si="1025"/>
        <v/>
      </c>
      <c r="Q1584" s="10" t="str">
        <f t="shared" si="1026"/>
        <v/>
      </c>
      <c r="R1584" s="10" t="str">
        <f t="shared" si="1027"/>
        <v/>
      </c>
      <c r="S1584" s="11" t="str">
        <f t="shared" si="1028"/>
        <v/>
      </c>
      <c r="T1584" s="2" t="str">
        <f t="shared" si="1029"/>
        <v/>
      </c>
      <c r="U1584" s="2" t="str">
        <f t="shared" si="1030"/>
        <v/>
      </c>
      <c r="V1584" t="str">
        <f t="shared" si="1006"/>
        <v/>
      </c>
      <c r="X1584">
        <f t="shared" si="1033"/>
        <v>0</v>
      </c>
      <c r="Y1584">
        <f t="shared" si="1034"/>
        <v>0</v>
      </c>
      <c r="Z1584">
        <f t="shared" si="1035"/>
        <v>0</v>
      </c>
      <c r="AA1584">
        <f t="shared" si="1036"/>
        <v>0</v>
      </c>
      <c r="AB1584">
        <f t="shared" si="1037"/>
        <v>0</v>
      </c>
      <c r="AC1584">
        <f t="shared" si="1038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32"/>
        <v>l</v>
      </c>
      <c r="M1585">
        <v>16</v>
      </c>
      <c r="N1585" s="12" t="str">
        <f t="shared" si="1023"/>
        <v/>
      </c>
      <c r="O1585" s="13" t="str">
        <f t="shared" si="1024"/>
        <v/>
      </c>
      <c r="P1585" s="13" t="str">
        <f t="shared" si="1025"/>
        <v/>
      </c>
      <c r="Q1585" s="13" t="str">
        <f t="shared" si="1026"/>
        <v/>
      </c>
      <c r="R1585" s="13" t="str">
        <f t="shared" si="1027"/>
        <v/>
      </c>
      <c r="S1585" s="14" t="str">
        <f t="shared" si="1028"/>
        <v/>
      </c>
      <c r="T1585" s="2" t="str">
        <f t="shared" si="1029"/>
        <v/>
      </c>
      <c r="U1585" s="2" t="str">
        <f t="shared" si="1030"/>
        <v/>
      </c>
      <c r="V1585" t="str">
        <f t="shared" si="1006"/>
        <v/>
      </c>
      <c r="X1585">
        <f t="shared" si="1033"/>
        <v>0</v>
      </c>
      <c r="Y1585">
        <f t="shared" si="1034"/>
        <v>0</v>
      </c>
      <c r="Z1585">
        <f t="shared" si="1035"/>
        <v>0</v>
      </c>
      <c r="AA1585">
        <f t="shared" si="1036"/>
        <v>0</v>
      </c>
      <c r="AB1585">
        <f t="shared" si="1037"/>
        <v>0</v>
      </c>
      <c r="AC1585">
        <f t="shared" si="1038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23"/>
        <v/>
      </c>
      <c r="O1586" t="str">
        <f t="shared" si="1024"/>
        <v/>
      </c>
      <c r="P1586" t="str">
        <f t="shared" si="1025"/>
        <v/>
      </c>
      <c r="Q1586" t="str">
        <f t="shared" si="1026"/>
        <v/>
      </c>
      <c r="R1586" t="str">
        <f t="shared" si="1027"/>
        <v/>
      </c>
      <c r="S1586" t="str">
        <f t="shared" si="1028"/>
        <v/>
      </c>
      <c r="T1586" s="2" t="str">
        <f t="shared" si="1029"/>
        <v/>
      </c>
      <c r="U1586" s="2" t="str">
        <f t="shared" si="1030"/>
        <v/>
      </c>
      <c r="V1586" t="str">
        <f t="shared" si="1006"/>
        <v/>
      </c>
      <c r="W1586">
        <f>SUM(B1588:G1601)</f>
        <v>26</v>
      </c>
      <c r="AD1586">
        <f t="shared" ref="AD1586" si="1039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40">L1586</f>
        <v>m</v>
      </c>
      <c r="M1587">
        <v>2</v>
      </c>
      <c r="N1587" t="str">
        <f t="shared" si="1023"/>
        <v/>
      </c>
      <c r="O1587" t="str">
        <f t="shared" si="1024"/>
        <v/>
      </c>
      <c r="P1587" t="str">
        <f t="shared" si="1025"/>
        <v/>
      </c>
      <c r="Q1587" t="str">
        <f t="shared" si="1026"/>
        <v/>
      </c>
      <c r="R1587" t="str">
        <f t="shared" si="1027"/>
        <v/>
      </c>
      <c r="S1587" t="str">
        <f t="shared" si="1028"/>
        <v/>
      </c>
      <c r="T1587" s="2" t="str">
        <f t="shared" si="1029"/>
        <v/>
      </c>
      <c r="U1587" s="2" t="str">
        <f t="shared" si="1030"/>
        <v/>
      </c>
      <c r="V1587" t="str">
        <f t="shared" si="1006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40"/>
        <v>m</v>
      </c>
      <c r="M1588">
        <v>3</v>
      </c>
      <c r="N1588" s="3" t="str">
        <f t="shared" si="1023"/>
        <v/>
      </c>
      <c r="O1588" s="4" t="str">
        <f t="shared" si="1024"/>
        <v/>
      </c>
      <c r="P1588" s="4" t="str">
        <f t="shared" si="1025"/>
        <v/>
      </c>
      <c r="Q1588" s="4" t="str">
        <f t="shared" si="1026"/>
        <v/>
      </c>
      <c r="R1588" s="4" t="str">
        <f t="shared" si="1027"/>
        <v/>
      </c>
      <c r="S1588" s="5" t="str">
        <f t="shared" si="1028"/>
        <v/>
      </c>
      <c r="T1588" s="2" t="str">
        <f t="shared" si="1029"/>
        <v/>
      </c>
      <c r="U1588" s="2" t="str">
        <f t="shared" si="1030"/>
        <v/>
      </c>
      <c r="V1588" t="str">
        <f t="shared" si="1006"/>
        <v/>
      </c>
      <c r="X1588">
        <f t="shared" ref="X1588:X1601" si="1041">MAX(B1588-B1587,0)</f>
        <v>0</v>
      </c>
      <c r="Y1588">
        <f t="shared" ref="Y1588:Y1601" si="1042">MAX(C1588-C1587,0)</f>
        <v>0</v>
      </c>
      <c r="Z1588">
        <f t="shared" ref="Z1588:Z1601" si="1043">MAX(D1588-D1587,0)</f>
        <v>0</v>
      </c>
      <c r="AA1588">
        <f t="shared" ref="AA1588:AA1601" si="1044">MAX(E1588-E1587,0)</f>
        <v>0</v>
      </c>
      <c r="AB1588">
        <f t="shared" ref="AB1588:AB1601" si="1045">MAX(F1588-F1587,0)</f>
        <v>0</v>
      </c>
      <c r="AC1588">
        <f t="shared" ref="AC1588:AC1601" si="1046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40"/>
        <v>m</v>
      </c>
      <c r="M1589">
        <v>4</v>
      </c>
      <c r="N1589" s="6" t="str">
        <f t="shared" si="1023"/>
        <v/>
      </c>
      <c r="O1589" s="7" t="str">
        <f t="shared" si="1024"/>
        <v/>
      </c>
      <c r="P1589" s="7" t="str">
        <f t="shared" si="1025"/>
        <v/>
      </c>
      <c r="Q1589" s="7" t="str">
        <f t="shared" si="1026"/>
        <v/>
      </c>
      <c r="R1589" s="7" t="str">
        <f t="shared" si="1027"/>
        <v/>
      </c>
      <c r="S1589" s="8" t="str">
        <f t="shared" si="1028"/>
        <v/>
      </c>
      <c r="T1589" s="2" t="str">
        <f t="shared" si="1029"/>
        <v/>
      </c>
      <c r="U1589" s="2" t="str">
        <f t="shared" si="1030"/>
        <v/>
      </c>
      <c r="V1589" t="str">
        <f t="shared" si="1006"/>
        <v/>
      </c>
      <c r="X1589">
        <f t="shared" si="1041"/>
        <v>0</v>
      </c>
      <c r="Y1589">
        <f t="shared" si="1042"/>
        <v>0</v>
      </c>
      <c r="Z1589">
        <f t="shared" si="1043"/>
        <v>0</v>
      </c>
      <c r="AA1589">
        <f t="shared" si="1044"/>
        <v>0</v>
      </c>
      <c r="AB1589">
        <f t="shared" si="1045"/>
        <v>0</v>
      </c>
      <c r="AC1589">
        <f t="shared" si="1046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40"/>
        <v>m</v>
      </c>
      <c r="M1590">
        <v>5</v>
      </c>
      <c r="N1590" s="22" t="str">
        <f t="shared" si="1023"/>
        <v>#</v>
      </c>
      <c r="O1590" s="15" t="str">
        <f t="shared" si="1024"/>
        <v/>
      </c>
      <c r="P1590" s="15" t="str">
        <f t="shared" si="1025"/>
        <v/>
      </c>
      <c r="Q1590" s="15" t="str">
        <f t="shared" si="1026"/>
        <v/>
      </c>
      <c r="R1590" s="16" t="str">
        <f t="shared" si="1027"/>
        <v>#</v>
      </c>
      <c r="S1590" s="8" t="str">
        <f t="shared" si="1028"/>
        <v/>
      </c>
      <c r="T1590" s="2" t="str">
        <f t="shared" si="1029"/>
        <v/>
      </c>
      <c r="U1590" s="2" t="str">
        <f t="shared" si="1030"/>
        <v/>
      </c>
      <c r="V1590" t="str">
        <f t="shared" si="1006"/>
        <v/>
      </c>
      <c r="X1590">
        <f t="shared" si="1041"/>
        <v>1</v>
      </c>
      <c r="Y1590">
        <f t="shared" si="1042"/>
        <v>0</v>
      </c>
      <c r="Z1590">
        <f t="shared" si="1043"/>
        <v>0</v>
      </c>
      <c r="AA1590">
        <f t="shared" si="1044"/>
        <v>0</v>
      </c>
      <c r="AB1590">
        <f t="shared" si="1045"/>
        <v>1</v>
      </c>
      <c r="AC1590">
        <f t="shared" si="1046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40"/>
        <v>m</v>
      </c>
      <c r="M1591">
        <v>6</v>
      </c>
      <c r="N1591" s="23" t="str">
        <f t="shared" si="1023"/>
        <v>#</v>
      </c>
      <c r="O1591" s="7" t="str">
        <f t="shared" si="1024"/>
        <v>#</v>
      </c>
      <c r="P1591" s="7" t="str">
        <f t="shared" si="1025"/>
        <v/>
      </c>
      <c r="Q1591" s="7" t="str">
        <f t="shared" si="1026"/>
        <v>#</v>
      </c>
      <c r="R1591" s="17" t="str">
        <f t="shared" si="1027"/>
        <v>#</v>
      </c>
      <c r="S1591" s="8" t="str">
        <f t="shared" si="1028"/>
        <v/>
      </c>
      <c r="T1591" s="2" t="str">
        <f t="shared" si="1029"/>
        <v/>
      </c>
      <c r="U1591" s="2" t="str">
        <f t="shared" si="1030"/>
        <v/>
      </c>
      <c r="V1591" t="str">
        <f t="shared" si="1006"/>
        <v/>
      </c>
      <c r="X1591">
        <f t="shared" si="1041"/>
        <v>0</v>
      </c>
      <c r="Y1591">
        <f t="shared" si="1042"/>
        <v>1</v>
      </c>
      <c r="Z1591">
        <f t="shared" si="1043"/>
        <v>0</v>
      </c>
      <c r="AA1591">
        <f t="shared" si="1044"/>
        <v>1</v>
      </c>
      <c r="AB1591">
        <f t="shared" si="1045"/>
        <v>0</v>
      </c>
      <c r="AC1591">
        <f t="shared" si="1046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40"/>
        <v>m</v>
      </c>
      <c r="M1592">
        <v>7</v>
      </c>
      <c r="N1592" s="23" t="str">
        <f t="shared" si="1023"/>
        <v>#</v>
      </c>
      <c r="O1592" s="7" t="str">
        <f t="shared" si="1024"/>
        <v>#</v>
      </c>
      <c r="P1592" s="7" t="str">
        <f t="shared" si="1025"/>
        <v>#</v>
      </c>
      <c r="Q1592" s="7" t="str">
        <f t="shared" si="1026"/>
        <v>#</v>
      </c>
      <c r="R1592" s="17" t="str">
        <f t="shared" si="1027"/>
        <v>#</v>
      </c>
      <c r="S1592" s="8" t="str">
        <f t="shared" si="1028"/>
        <v/>
      </c>
      <c r="T1592" s="2" t="str">
        <f t="shared" si="1029"/>
        <v/>
      </c>
      <c r="U1592" s="2" t="str">
        <f t="shared" si="1030"/>
        <v/>
      </c>
      <c r="V1592" t="str">
        <f t="shared" si="1006"/>
        <v/>
      </c>
      <c r="X1592">
        <f t="shared" si="1041"/>
        <v>0</v>
      </c>
      <c r="Y1592">
        <f t="shared" si="1042"/>
        <v>0</v>
      </c>
      <c r="Z1592">
        <f t="shared" si="1043"/>
        <v>1</v>
      </c>
      <c r="AA1592">
        <f t="shared" si="1044"/>
        <v>0</v>
      </c>
      <c r="AB1592">
        <f t="shared" si="1045"/>
        <v>0</v>
      </c>
      <c r="AC1592">
        <f t="shared" si="1046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40"/>
        <v>m</v>
      </c>
      <c r="M1593">
        <v>8</v>
      </c>
      <c r="N1593" s="23" t="str">
        <f t="shared" si="1023"/>
        <v>#</v>
      </c>
      <c r="O1593" s="7" t="str">
        <f t="shared" si="1024"/>
        <v/>
      </c>
      <c r="P1593" s="7" t="str">
        <f t="shared" si="1025"/>
        <v>#</v>
      </c>
      <c r="Q1593" s="7" t="str">
        <f t="shared" si="1026"/>
        <v/>
      </c>
      <c r="R1593" s="17" t="str">
        <f t="shared" si="1027"/>
        <v>#</v>
      </c>
      <c r="S1593" s="8" t="str">
        <f t="shared" si="1028"/>
        <v/>
      </c>
      <c r="T1593" s="2" t="str">
        <f t="shared" si="1029"/>
        <v/>
      </c>
      <c r="U1593" s="2" t="str">
        <f t="shared" si="1030"/>
        <v/>
      </c>
      <c r="V1593" t="str">
        <f t="shared" si="1006"/>
        <v/>
      </c>
      <c r="X1593">
        <f t="shared" si="1041"/>
        <v>0</v>
      </c>
      <c r="Y1593">
        <f t="shared" si="1042"/>
        <v>0</v>
      </c>
      <c r="Z1593">
        <f t="shared" si="1043"/>
        <v>0</v>
      </c>
      <c r="AA1593">
        <f t="shared" si="1044"/>
        <v>0</v>
      </c>
      <c r="AB1593">
        <f t="shared" si="1045"/>
        <v>0</v>
      </c>
      <c r="AC1593">
        <f t="shared" si="1046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40"/>
        <v>m</v>
      </c>
      <c r="M1594">
        <v>9</v>
      </c>
      <c r="N1594" s="23" t="str">
        <f t="shared" si="1023"/>
        <v>#</v>
      </c>
      <c r="O1594" s="7" t="str">
        <f t="shared" si="1024"/>
        <v/>
      </c>
      <c r="P1594" s="7" t="str">
        <f t="shared" si="1025"/>
        <v/>
      </c>
      <c r="Q1594" s="7" t="str">
        <f t="shared" si="1026"/>
        <v/>
      </c>
      <c r="R1594" s="17" t="str">
        <f t="shared" si="1027"/>
        <v>#</v>
      </c>
      <c r="S1594" s="8" t="str">
        <f t="shared" si="1028"/>
        <v/>
      </c>
      <c r="T1594" s="2" t="str">
        <f t="shared" si="1029"/>
        <v/>
      </c>
      <c r="U1594" s="2" t="str">
        <f t="shared" si="1030"/>
        <v/>
      </c>
      <c r="V1594" t="str">
        <f t="shared" si="1006"/>
        <v/>
      </c>
      <c r="X1594">
        <f t="shared" si="1041"/>
        <v>0</v>
      </c>
      <c r="Y1594">
        <f t="shared" si="1042"/>
        <v>0</v>
      </c>
      <c r="Z1594">
        <f t="shared" si="1043"/>
        <v>0</v>
      </c>
      <c r="AA1594">
        <f t="shared" si="1044"/>
        <v>0</v>
      </c>
      <c r="AB1594">
        <f t="shared" si="1045"/>
        <v>0</v>
      </c>
      <c r="AC1594">
        <f t="shared" si="1046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40"/>
        <v>m</v>
      </c>
      <c r="M1595">
        <v>10</v>
      </c>
      <c r="N1595" s="23" t="str">
        <f t="shared" si="1023"/>
        <v>#</v>
      </c>
      <c r="O1595" s="7" t="str">
        <f t="shared" si="1024"/>
        <v/>
      </c>
      <c r="P1595" s="7" t="str">
        <f t="shared" si="1025"/>
        <v/>
      </c>
      <c r="Q1595" s="7" t="str">
        <f t="shared" si="1026"/>
        <v/>
      </c>
      <c r="R1595" s="17" t="str">
        <f t="shared" si="1027"/>
        <v>#</v>
      </c>
      <c r="S1595" s="8" t="str">
        <f t="shared" si="1028"/>
        <v/>
      </c>
      <c r="T1595" s="2" t="str">
        <f t="shared" si="1029"/>
        <v/>
      </c>
      <c r="U1595" s="2" t="str">
        <f t="shared" si="1030"/>
        <v/>
      </c>
      <c r="V1595" t="str">
        <f t="shared" si="1006"/>
        <v/>
      </c>
      <c r="X1595">
        <f t="shared" si="1041"/>
        <v>0</v>
      </c>
      <c r="Y1595">
        <f t="shared" si="1042"/>
        <v>0</v>
      </c>
      <c r="Z1595">
        <f t="shared" si="1043"/>
        <v>0</v>
      </c>
      <c r="AA1595">
        <f t="shared" si="1044"/>
        <v>0</v>
      </c>
      <c r="AB1595">
        <f t="shared" si="1045"/>
        <v>0</v>
      </c>
      <c r="AC1595">
        <f t="shared" si="1046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40"/>
        <v>m</v>
      </c>
      <c r="M1596">
        <v>11</v>
      </c>
      <c r="N1596" s="23" t="str">
        <f t="shared" si="1023"/>
        <v>#</v>
      </c>
      <c r="O1596" s="7" t="str">
        <f t="shared" si="1024"/>
        <v/>
      </c>
      <c r="P1596" s="7" t="str">
        <f t="shared" si="1025"/>
        <v/>
      </c>
      <c r="Q1596" s="7" t="str">
        <f t="shared" si="1026"/>
        <v/>
      </c>
      <c r="R1596" s="17" t="str">
        <f t="shared" si="1027"/>
        <v>#</v>
      </c>
      <c r="S1596" s="8" t="str">
        <f t="shared" si="1028"/>
        <v/>
      </c>
      <c r="T1596" s="2" t="str">
        <f t="shared" si="1029"/>
        <v/>
      </c>
      <c r="U1596" s="2" t="str">
        <f t="shared" si="1030"/>
        <v/>
      </c>
      <c r="V1596" t="str">
        <f t="shared" si="1006"/>
        <v/>
      </c>
      <c r="X1596">
        <f t="shared" si="1041"/>
        <v>0</v>
      </c>
      <c r="Y1596">
        <f t="shared" si="1042"/>
        <v>0</v>
      </c>
      <c r="Z1596">
        <f t="shared" si="1043"/>
        <v>0</v>
      </c>
      <c r="AA1596">
        <f t="shared" si="1044"/>
        <v>0</v>
      </c>
      <c r="AB1596">
        <f t="shared" si="1045"/>
        <v>0</v>
      </c>
      <c r="AC1596">
        <f t="shared" si="1046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40"/>
        <v>m</v>
      </c>
      <c r="M1597">
        <v>12</v>
      </c>
      <c r="N1597" s="23" t="str">
        <f t="shared" si="1023"/>
        <v>#</v>
      </c>
      <c r="O1597" s="7" t="str">
        <f t="shared" si="1024"/>
        <v/>
      </c>
      <c r="P1597" s="7" t="str">
        <f t="shared" si="1025"/>
        <v/>
      </c>
      <c r="Q1597" s="7" t="str">
        <f t="shared" si="1026"/>
        <v/>
      </c>
      <c r="R1597" s="17" t="str">
        <f t="shared" si="1027"/>
        <v>#</v>
      </c>
      <c r="S1597" s="8" t="str">
        <f t="shared" si="1028"/>
        <v/>
      </c>
      <c r="T1597" s="2" t="str">
        <f t="shared" si="1029"/>
        <v/>
      </c>
      <c r="U1597" s="2" t="str">
        <f t="shared" si="1030"/>
        <v/>
      </c>
      <c r="V1597" t="str">
        <f t="shared" si="1006"/>
        <v/>
      </c>
      <c r="X1597">
        <f t="shared" si="1041"/>
        <v>0</v>
      </c>
      <c r="Y1597">
        <f t="shared" si="1042"/>
        <v>0</v>
      </c>
      <c r="Z1597">
        <f t="shared" si="1043"/>
        <v>0</v>
      </c>
      <c r="AA1597">
        <f t="shared" si="1044"/>
        <v>0</v>
      </c>
      <c r="AB1597">
        <f t="shared" si="1045"/>
        <v>0</v>
      </c>
      <c r="AC1597">
        <f t="shared" si="1046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40"/>
        <v>m</v>
      </c>
      <c r="M1598">
        <v>13</v>
      </c>
      <c r="N1598" s="6" t="str">
        <f t="shared" si="1023"/>
        <v>#</v>
      </c>
      <c r="O1598" s="7" t="str">
        <f t="shared" si="1024"/>
        <v/>
      </c>
      <c r="P1598" s="7" t="str">
        <f t="shared" si="1025"/>
        <v/>
      </c>
      <c r="Q1598" s="7" t="str">
        <f t="shared" si="1026"/>
        <v/>
      </c>
      <c r="R1598" s="17" t="str">
        <f t="shared" si="1027"/>
        <v>#</v>
      </c>
      <c r="S1598" s="8" t="str">
        <f t="shared" si="1028"/>
        <v/>
      </c>
      <c r="T1598" s="2" t="str">
        <f t="shared" si="1029"/>
        <v/>
      </c>
      <c r="U1598" s="2" t="str">
        <f t="shared" si="1030"/>
        <v/>
      </c>
      <c r="V1598" t="str">
        <f t="shared" si="1006"/>
        <v/>
      </c>
      <c r="X1598">
        <f t="shared" si="1041"/>
        <v>0</v>
      </c>
      <c r="Y1598">
        <f t="shared" si="1042"/>
        <v>0</v>
      </c>
      <c r="Z1598">
        <f t="shared" si="1043"/>
        <v>0</v>
      </c>
      <c r="AA1598">
        <f t="shared" si="1044"/>
        <v>0</v>
      </c>
      <c r="AB1598">
        <f t="shared" si="1045"/>
        <v>0</v>
      </c>
      <c r="AC1598">
        <f t="shared" si="1046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40"/>
        <v>m</v>
      </c>
      <c r="M1599">
        <v>14</v>
      </c>
      <c r="N1599" s="18" t="str">
        <f t="shared" si="1023"/>
        <v>#</v>
      </c>
      <c r="O1599" s="19" t="str">
        <f t="shared" si="1024"/>
        <v/>
      </c>
      <c r="P1599" s="19" t="str">
        <f t="shared" si="1025"/>
        <v/>
      </c>
      <c r="Q1599" s="19" t="str">
        <f t="shared" si="1026"/>
        <v/>
      </c>
      <c r="R1599" s="20" t="str">
        <f t="shared" si="1027"/>
        <v>#</v>
      </c>
      <c r="S1599" s="8" t="str">
        <f t="shared" si="1028"/>
        <v/>
      </c>
      <c r="T1599" s="2" t="str">
        <f t="shared" si="1029"/>
        <v/>
      </c>
      <c r="U1599" s="2" t="str">
        <f t="shared" si="1030"/>
        <v/>
      </c>
      <c r="V1599" t="str">
        <f t="shared" si="1006"/>
        <v/>
      </c>
      <c r="X1599">
        <f t="shared" si="1041"/>
        <v>0</v>
      </c>
      <c r="Y1599">
        <f t="shared" si="1042"/>
        <v>0</v>
      </c>
      <c r="Z1599">
        <f t="shared" si="1043"/>
        <v>0</v>
      </c>
      <c r="AA1599">
        <f t="shared" si="1044"/>
        <v>0</v>
      </c>
      <c r="AB1599">
        <f t="shared" si="1045"/>
        <v>0</v>
      </c>
      <c r="AC1599">
        <f t="shared" si="1046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40"/>
        <v>m</v>
      </c>
      <c r="M1600">
        <v>15</v>
      </c>
      <c r="N1600" s="9" t="str">
        <f t="shared" si="1023"/>
        <v/>
      </c>
      <c r="O1600" s="10" t="str">
        <f t="shared" si="1024"/>
        <v/>
      </c>
      <c r="P1600" s="10" t="str">
        <f t="shared" si="1025"/>
        <v/>
      </c>
      <c r="Q1600" s="10" t="str">
        <f t="shared" si="1026"/>
        <v/>
      </c>
      <c r="R1600" s="10" t="str">
        <f t="shared" si="1027"/>
        <v/>
      </c>
      <c r="S1600" s="11" t="str">
        <f t="shared" si="1028"/>
        <v/>
      </c>
      <c r="T1600" s="2" t="str">
        <f t="shared" si="1029"/>
        <v/>
      </c>
      <c r="U1600" s="2" t="str">
        <f t="shared" si="1030"/>
        <v/>
      </c>
      <c r="V1600" t="str">
        <f t="shared" si="1006"/>
        <v/>
      </c>
      <c r="X1600">
        <f t="shared" si="1041"/>
        <v>0</v>
      </c>
      <c r="Y1600">
        <f t="shared" si="1042"/>
        <v>0</v>
      </c>
      <c r="Z1600">
        <f t="shared" si="1043"/>
        <v>0</v>
      </c>
      <c r="AA1600">
        <f t="shared" si="1044"/>
        <v>0</v>
      </c>
      <c r="AB1600">
        <f t="shared" si="1045"/>
        <v>0</v>
      </c>
      <c r="AC1600">
        <f t="shared" si="1046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40"/>
        <v>m</v>
      </c>
      <c r="M1601">
        <v>16</v>
      </c>
      <c r="N1601" s="12" t="str">
        <f t="shared" si="1023"/>
        <v/>
      </c>
      <c r="O1601" s="13" t="str">
        <f t="shared" si="1024"/>
        <v/>
      </c>
      <c r="P1601" s="13" t="str">
        <f t="shared" si="1025"/>
        <v/>
      </c>
      <c r="Q1601" s="13" t="str">
        <f t="shared" si="1026"/>
        <v/>
      </c>
      <c r="R1601" s="13" t="str">
        <f t="shared" si="1027"/>
        <v/>
      </c>
      <c r="S1601" s="14" t="str">
        <f t="shared" si="1028"/>
        <v/>
      </c>
      <c r="T1601" s="2" t="str">
        <f t="shared" si="1029"/>
        <v/>
      </c>
      <c r="U1601" s="2" t="str">
        <f t="shared" si="1030"/>
        <v/>
      </c>
      <c r="V1601" t="str">
        <f t="shared" si="1006"/>
        <v/>
      </c>
      <c r="X1601">
        <f t="shared" si="1041"/>
        <v>0</v>
      </c>
      <c r="Y1601">
        <f t="shared" si="1042"/>
        <v>0</v>
      </c>
      <c r="Z1601">
        <f t="shared" si="1043"/>
        <v>0</v>
      </c>
      <c r="AA1601">
        <f t="shared" si="1044"/>
        <v>0</v>
      </c>
      <c r="AB1601">
        <f t="shared" si="1045"/>
        <v>0</v>
      </c>
      <c r="AC1601">
        <f t="shared" si="1046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23"/>
        <v/>
      </c>
      <c r="O1602" t="str">
        <f t="shared" si="1024"/>
        <v/>
      </c>
      <c r="P1602" t="str">
        <f t="shared" si="1025"/>
        <v/>
      </c>
      <c r="Q1602" t="str">
        <f t="shared" si="1026"/>
        <v/>
      </c>
      <c r="R1602" t="str">
        <f t="shared" si="1027"/>
        <v/>
      </c>
      <c r="S1602" t="str">
        <f t="shared" si="1028"/>
        <v/>
      </c>
      <c r="T1602" s="2" t="str">
        <f t="shared" si="1029"/>
        <v/>
      </c>
      <c r="U1602" s="2" t="str">
        <f t="shared" si="1030"/>
        <v/>
      </c>
      <c r="V1602" t="str">
        <f t="shared" ref="V1602:V1665" si="1047">IF(A1602=0,"",M1602)</f>
        <v/>
      </c>
      <c r="W1602">
        <f>SUM(B1604:G1617)</f>
        <v>29</v>
      </c>
      <c r="AD1602">
        <f t="shared" ref="AD1602" si="1048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9">L1602</f>
        <v>n</v>
      </c>
      <c r="M1603">
        <v>2</v>
      </c>
      <c r="N1603" t="str">
        <f t="shared" si="1023"/>
        <v/>
      </c>
      <c r="O1603" t="str">
        <f t="shared" si="1024"/>
        <v/>
      </c>
      <c r="P1603" t="str">
        <f t="shared" si="1025"/>
        <v/>
      </c>
      <c r="Q1603" t="str">
        <f t="shared" si="1026"/>
        <v/>
      </c>
      <c r="R1603" t="str">
        <f t="shared" si="1027"/>
        <v/>
      </c>
      <c r="S1603" t="str">
        <f t="shared" si="1028"/>
        <v/>
      </c>
      <c r="T1603" s="2" t="str">
        <f t="shared" si="1029"/>
        <v/>
      </c>
      <c r="U1603" s="2" t="str">
        <f t="shared" si="1030"/>
        <v/>
      </c>
      <c r="V1603" t="str">
        <f t="shared" si="1047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9"/>
        <v>n</v>
      </c>
      <c r="M1604">
        <v>3</v>
      </c>
      <c r="N1604" s="3" t="str">
        <f t="shared" si="1023"/>
        <v/>
      </c>
      <c r="O1604" s="4" t="str">
        <f t="shared" si="1024"/>
        <v/>
      </c>
      <c r="P1604" s="4" t="str">
        <f t="shared" si="1025"/>
        <v/>
      </c>
      <c r="Q1604" s="4" t="str">
        <f t="shared" si="1026"/>
        <v/>
      </c>
      <c r="R1604" s="4" t="str">
        <f t="shared" si="1027"/>
        <v/>
      </c>
      <c r="S1604" s="5" t="str">
        <f t="shared" si="1028"/>
        <v/>
      </c>
      <c r="T1604" s="2" t="str">
        <f t="shared" si="1029"/>
        <v/>
      </c>
      <c r="U1604" s="2" t="str">
        <f t="shared" si="1030"/>
        <v/>
      </c>
      <c r="V1604" t="str">
        <f t="shared" si="1047"/>
        <v/>
      </c>
      <c r="X1604">
        <f t="shared" ref="X1604:X1617" si="1050">MAX(B1604-B1603,0)</f>
        <v>0</v>
      </c>
      <c r="Y1604">
        <f t="shared" ref="Y1604:Y1617" si="1051">MAX(C1604-C1603,0)</f>
        <v>0</v>
      </c>
      <c r="Z1604">
        <f t="shared" ref="Z1604:Z1617" si="1052">MAX(D1604-D1603,0)</f>
        <v>0</v>
      </c>
      <c r="AA1604">
        <f t="shared" ref="AA1604:AA1617" si="1053">MAX(E1604-E1603,0)</f>
        <v>0</v>
      </c>
      <c r="AB1604">
        <f t="shared" ref="AB1604:AB1617" si="1054">MAX(F1604-F1603,0)</f>
        <v>0</v>
      </c>
      <c r="AC1604">
        <f t="shared" ref="AC1604:AC1617" si="1055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9"/>
        <v>n</v>
      </c>
      <c r="M1605">
        <v>4</v>
      </c>
      <c r="N1605" s="6" t="str">
        <f t="shared" si="1023"/>
        <v/>
      </c>
      <c r="O1605" s="7" t="str">
        <f t="shared" si="1024"/>
        <v/>
      </c>
      <c r="P1605" s="7" t="str">
        <f t="shared" si="1025"/>
        <v/>
      </c>
      <c r="Q1605" s="7" t="str">
        <f t="shared" si="1026"/>
        <v/>
      </c>
      <c r="R1605" s="7" t="str">
        <f t="shared" si="1027"/>
        <v/>
      </c>
      <c r="S1605" s="8" t="str">
        <f t="shared" si="1028"/>
        <v/>
      </c>
      <c r="T1605" s="2" t="str">
        <f t="shared" si="1029"/>
        <v/>
      </c>
      <c r="U1605" s="2" t="str">
        <f t="shared" si="1030"/>
        <v/>
      </c>
      <c r="V1605" t="str">
        <f t="shared" si="1047"/>
        <v/>
      </c>
      <c r="X1605">
        <f t="shared" si="1050"/>
        <v>0</v>
      </c>
      <c r="Y1605">
        <f t="shared" si="1051"/>
        <v>0</v>
      </c>
      <c r="Z1605">
        <f t="shared" si="1052"/>
        <v>0</v>
      </c>
      <c r="AA1605">
        <f t="shared" si="1053"/>
        <v>0</v>
      </c>
      <c r="AB1605">
        <f t="shared" si="1054"/>
        <v>0</v>
      </c>
      <c r="AC1605">
        <f t="shared" si="1055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9"/>
        <v>n</v>
      </c>
      <c r="M1606">
        <v>5</v>
      </c>
      <c r="N1606" s="22" t="str">
        <f t="shared" si="1023"/>
        <v>#</v>
      </c>
      <c r="O1606" s="15" t="str">
        <f t="shared" si="1024"/>
        <v/>
      </c>
      <c r="P1606" s="15" t="str">
        <f t="shared" si="1025"/>
        <v/>
      </c>
      <c r="Q1606" s="15" t="str">
        <f t="shared" si="1026"/>
        <v/>
      </c>
      <c r="R1606" s="16" t="str">
        <f t="shared" si="1027"/>
        <v>#</v>
      </c>
      <c r="S1606" s="8" t="str">
        <f t="shared" si="1028"/>
        <v/>
      </c>
      <c r="T1606" s="2" t="str">
        <f t="shared" si="1029"/>
        <v/>
      </c>
      <c r="U1606" s="2" t="str">
        <f t="shared" si="1030"/>
        <v/>
      </c>
      <c r="V1606" t="str">
        <f t="shared" si="1047"/>
        <v/>
      </c>
      <c r="X1606">
        <f t="shared" si="1050"/>
        <v>1</v>
      </c>
      <c r="Y1606">
        <f t="shared" si="1051"/>
        <v>0</v>
      </c>
      <c r="Z1606">
        <f t="shared" si="1052"/>
        <v>0</v>
      </c>
      <c r="AA1606">
        <f t="shared" si="1053"/>
        <v>0</v>
      </c>
      <c r="AB1606">
        <f t="shared" si="1054"/>
        <v>1</v>
      </c>
      <c r="AC1606">
        <f t="shared" si="1055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9"/>
        <v>n</v>
      </c>
      <c r="M1607">
        <v>6</v>
      </c>
      <c r="N1607" s="23" t="str">
        <f t="shared" si="1023"/>
        <v>#</v>
      </c>
      <c r="O1607" s="7" t="str">
        <f t="shared" si="1024"/>
        <v>#</v>
      </c>
      <c r="P1607" s="7" t="str">
        <f t="shared" si="1025"/>
        <v/>
      </c>
      <c r="Q1607" s="7" t="str">
        <f t="shared" si="1026"/>
        <v/>
      </c>
      <c r="R1607" s="17" t="str">
        <f t="shared" si="1027"/>
        <v>#</v>
      </c>
      <c r="S1607" s="8" t="str">
        <f t="shared" si="1028"/>
        <v/>
      </c>
      <c r="T1607" s="2" t="str">
        <f t="shared" si="1029"/>
        <v/>
      </c>
      <c r="U1607" s="2" t="str">
        <f t="shared" si="1030"/>
        <v/>
      </c>
      <c r="V1607" t="str">
        <f t="shared" si="1047"/>
        <v/>
      </c>
      <c r="X1607">
        <f t="shared" si="1050"/>
        <v>0</v>
      </c>
      <c r="Y1607">
        <f t="shared" si="1051"/>
        <v>1</v>
      </c>
      <c r="Z1607">
        <f t="shared" si="1052"/>
        <v>0</v>
      </c>
      <c r="AA1607">
        <f t="shared" si="1053"/>
        <v>0</v>
      </c>
      <c r="AB1607">
        <f t="shared" si="1054"/>
        <v>0</v>
      </c>
      <c r="AC1607">
        <f t="shared" si="1055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9"/>
        <v>n</v>
      </c>
      <c r="M1608">
        <v>7</v>
      </c>
      <c r="N1608" s="23" t="str">
        <f t="shared" si="1023"/>
        <v>#</v>
      </c>
      <c r="O1608" s="7" t="str">
        <f t="shared" si="1024"/>
        <v>#</v>
      </c>
      <c r="P1608" s="7" t="str">
        <f t="shared" si="1025"/>
        <v/>
      </c>
      <c r="Q1608" s="7" t="str">
        <f t="shared" si="1026"/>
        <v/>
      </c>
      <c r="R1608" s="17" t="str">
        <f t="shared" si="1027"/>
        <v>#</v>
      </c>
      <c r="S1608" s="8" t="str">
        <f t="shared" si="1028"/>
        <v/>
      </c>
      <c r="T1608" s="2" t="str">
        <f t="shared" si="1029"/>
        <v/>
      </c>
      <c r="U1608" s="2" t="str">
        <f t="shared" si="1030"/>
        <v/>
      </c>
      <c r="V1608" t="str">
        <f t="shared" si="1047"/>
        <v/>
      </c>
      <c r="X1608">
        <f t="shared" si="1050"/>
        <v>0</v>
      </c>
      <c r="Y1608">
        <f t="shared" si="1051"/>
        <v>0</v>
      </c>
      <c r="Z1608">
        <f t="shared" si="1052"/>
        <v>0</v>
      </c>
      <c r="AA1608">
        <f t="shared" si="1053"/>
        <v>0</v>
      </c>
      <c r="AB1608">
        <f t="shared" si="1054"/>
        <v>0</v>
      </c>
      <c r="AC1608">
        <f t="shared" si="1055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9"/>
        <v>n</v>
      </c>
      <c r="M1609">
        <v>8</v>
      </c>
      <c r="N1609" s="23" t="str">
        <f t="shared" si="1023"/>
        <v>#</v>
      </c>
      <c r="O1609" s="7" t="str">
        <f t="shared" si="1024"/>
        <v>#</v>
      </c>
      <c r="P1609" s="7" t="str">
        <f t="shared" si="1025"/>
        <v>#</v>
      </c>
      <c r="Q1609" s="7" t="str">
        <f t="shared" si="1026"/>
        <v/>
      </c>
      <c r="R1609" s="17" t="str">
        <f t="shared" si="1027"/>
        <v>#</v>
      </c>
      <c r="S1609" s="8" t="str">
        <f t="shared" si="1028"/>
        <v/>
      </c>
      <c r="T1609" s="2" t="str">
        <f t="shared" si="1029"/>
        <v/>
      </c>
      <c r="U1609" s="2" t="str">
        <f t="shared" si="1030"/>
        <v/>
      </c>
      <c r="V1609" t="str">
        <f t="shared" si="1047"/>
        <v/>
      </c>
      <c r="X1609">
        <f t="shared" si="1050"/>
        <v>0</v>
      </c>
      <c r="Y1609">
        <f t="shared" si="1051"/>
        <v>0</v>
      </c>
      <c r="Z1609">
        <f t="shared" si="1052"/>
        <v>1</v>
      </c>
      <c r="AA1609">
        <f t="shared" si="1053"/>
        <v>0</v>
      </c>
      <c r="AB1609">
        <f t="shared" si="1054"/>
        <v>0</v>
      </c>
      <c r="AC1609">
        <f t="shared" si="1055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9"/>
        <v>n</v>
      </c>
      <c r="M1610">
        <v>9</v>
      </c>
      <c r="N1610" s="23" t="str">
        <f t="shared" si="1023"/>
        <v>#</v>
      </c>
      <c r="O1610" s="7" t="str">
        <f t="shared" si="1024"/>
        <v/>
      </c>
      <c r="P1610" s="7" t="str">
        <f t="shared" si="1025"/>
        <v>#</v>
      </c>
      <c r="Q1610" s="7" t="str">
        <f t="shared" si="1026"/>
        <v/>
      </c>
      <c r="R1610" s="17" t="str">
        <f t="shared" si="1027"/>
        <v>#</v>
      </c>
      <c r="S1610" s="8" t="str">
        <f t="shared" si="1028"/>
        <v/>
      </c>
      <c r="T1610" s="2" t="str">
        <f t="shared" si="1029"/>
        <v/>
      </c>
      <c r="U1610" s="2" t="str">
        <f t="shared" si="1030"/>
        <v/>
      </c>
      <c r="V1610" t="str">
        <f t="shared" si="1047"/>
        <v/>
      </c>
      <c r="X1610">
        <f t="shared" si="1050"/>
        <v>0</v>
      </c>
      <c r="Y1610">
        <f t="shared" si="1051"/>
        <v>0</v>
      </c>
      <c r="Z1610">
        <f t="shared" si="1052"/>
        <v>0</v>
      </c>
      <c r="AA1610">
        <f t="shared" si="1053"/>
        <v>0</v>
      </c>
      <c r="AB1610">
        <f t="shared" si="1054"/>
        <v>0</v>
      </c>
      <c r="AC1610">
        <f t="shared" si="1055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9"/>
        <v>n</v>
      </c>
      <c r="M1611">
        <v>10</v>
      </c>
      <c r="N1611" s="23" t="str">
        <f t="shared" si="1023"/>
        <v>#</v>
      </c>
      <c r="O1611" s="7" t="str">
        <f t="shared" si="1024"/>
        <v/>
      </c>
      <c r="P1611" s="7" t="str">
        <f t="shared" si="1025"/>
        <v>#</v>
      </c>
      <c r="Q1611" s="7" t="str">
        <f t="shared" si="1026"/>
        <v>#</v>
      </c>
      <c r="R1611" s="17" t="str">
        <f t="shared" si="1027"/>
        <v>#</v>
      </c>
      <c r="S1611" s="8" t="str">
        <f t="shared" si="1028"/>
        <v/>
      </c>
      <c r="T1611" s="2" t="str">
        <f t="shared" si="1029"/>
        <v/>
      </c>
      <c r="U1611" s="2" t="str">
        <f t="shared" si="1030"/>
        <v/>
      </c>
      <c r="V1611" t="str">
        <f t="shared" si="1047"/>
        <v/>
      </c>
      <c r="X1611">
        <f t="shared" si="1050"/>
        <v>0</v>
      </c>
      <c r="Y1611">
        <f t="shared" si="1051"/>
        <v>0</v>
      </c>
      <c r="Z1611">
        <f t="shared" si="1052"/>
        <v>0</v>
      </c>
      <c r="AA1611">
        <f t="shared" si="1053"/>
        <v>1</v>
      </c>
      <c r="AB1611">
        <f t="shared" si="1054"/>
        <v>0</v>
      </c>
      <c r="AC1611">
        <f t="shared" si="1055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9"/>
        <v>n</v>
      </c>
      <c r="M1612">
        <v>11</v>
      </c>
      <c r="N1612" s="23" t="str">
        <f t="shared" si="1023"/>
        <v>#</v>
      </c>
      <c r="O1612" s="7" t="str">
        <f t="shared" si="1024"/>
        <v/>
      </c>
      <c r="P1612" s="7" t="str">
        <f t="shared" si="1025"/>
        <v/>
      </c>
      <c r="Q1612" s="7" t="str">
        <f t="shared" si="1026"/>
        <v>#</v>
      </c>
      <c r="R1612" s="17" t="str">
        <f t="shared" si="1027"/>
        <v>#</v>
      </c>
      <c r="S1612" s="8" t="str">
        <f t="shared" si="1028"/>
        <v/>
      </c>
      <c r="T1612" s="2" t="str">
        <f t="shared" si="1029"/>
        <v/>
      </c>
      <c r="U1612" s="2" t="str">
        <f t="shared" si="1030"/>
        <v/>
      </c>
      <c r="V1612" t="str">
        <f t="shared" si="1047"/>
        <v/>
      </c>
      <c r="X1612">
        <f t="shared" si="1050"/>
        <v>0</v>
      </c>
      <c r="Y1612">
        <f t="shared" si="1051"/>
        <v>0</v>
      </c>
      <c r="Z1612">
        <f t="shared" si="1052"/>
        <v>0</v>
      </c>
      <c r="AA1612">
        <f t="shared" si="1053"/>
        <v>0</v>
      </c>
      <c r="AB1612">
        <f t="shared" si="1054"/>
        <v>0</v>
      </c>
      <c r="AC1612">
        <f t="shared" si="1055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9"/>
        <v>n</v>
      </c>
      <c r="M1613">
        <v>12</v>
      </c>
      <c r="N1613" s="23" t="str">
        <f t="shared" si="1023"/>
        <v>#</v>
      </c>
      <c r="O1613" s="7" t="str">
        <f t="shared" si="1024"/>
        <v/>
      </c>
      <c r="P1613" s="7" t="str">
        <f t="shared" si="1025"/>
        <v/>
      </c>
      <c r="Q1613" s="7" t="str">
        <f t="shared" si="1026"/>
        <v>#</v>
      </c>
      <c r="R1613" s="17" t="str">
        <f t="shared" si="1027"/>
        <v>#</v>
      </c>
      <c r="S1613" s="8" t="str">
        <f t="shared" si="1028"/>
        <v/>
      </c>
      <c r="T1613" s="2" t="str">
        <f t="shared" si="1029"/>
        <v/>
      </c>
      <c r="U1613" s="2" t="str">
        <f t="shared" si="1030"/>
        <v/>
      </c>
      <c r="V1613" t="str">
        <f t="shared" si="1047"/>
        <v/>
      </c>
      <c r="X1613">
        <f t="shared" si="1050"/>
        <v>0</v>
      </c>
      <c r="Y1613">
        <f t="shared" si="1051"/>
        <v>0</v>
      </c>
      <c r="Z1613">
        <f t="shared" si="1052"/>
        <v>0</v>
      </c>
      <c r="AA1613">
        <f t="shared" si="1053"/>
        <v>0</v>
      </c>
      <c r="AB1613">
        <f t="shared" si="1054"/>
        <v>0</v>
      </c>
      <c r="AC1613">
        <f t="shared" si="1055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9"/>
        <v>n</v>
      </c>
      <c r="M1614">
        <v>13</v>
      </c>
      <c r="N1614" s="6" t="str">
        <f t="shared" si="1023"/>
        <v>#</v>
      </c>
      <c r="O1614" s="7" t="str">
        <f t="shared" si="1024"/>
        <v/>
      </c>
      <c r="P1614" s="7" t="str">
        <f t="shared" si="1025"/>
        <v/>
      </c>
      <c r="Q1614" s="7" t="str">
        <f t="shared" si="1026"/>
        <v/>
      </c>
      <c r="R1614" s="17" t="str">
        <f t="shared" si="1027"/>
        <v>#</v>
      </c>
      <c r="S1614" s="8" t="str">
        <f t="shared" si="1028"/>
        <v/>
      </c>
      <c r="T1614" s="2" t="str">
        <f t="shared" si="1029"/>
        <v/>
      </c>
      <c r="U1614" s="2" t="str">
        <f t="shared" si="1030"/>
        <v/>
      </c>
      <c r="V1614" t="str">
        <f t="shared" si="1047"/>
        <v/>
      </c>
      <c r="X1614">
        <f t="shared" si="1050"/>
        <v>0</v>
      </c>
      <c r="Y1614">
        <f t="shared" si="1051"/>
        <v>0</v>
      </c>
      <c r="Z1614">
        <f t="shared" si="1052"/>
        <v>0</v>
      </c>
      <c r="AA1614">
        <f t="shared" si="1053"/>
        <v>0</v>
      </c>
      <c r="AB1614">
        <f t="shared" si="1054"/>
        <v>0</v>
      </c>
      <c r="AC1614">
        <f t="shared" si="1055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9"/>
        <v>n</v>
      </c>
      <c r="M1615">
        <v>14</v>
      </c>
      <c r="N1615" s="18" t="str">
        <f t="shared" si="1023"/>
        <v>#</v>
      </c>
      <c r="O1615" s="19" t="str">
        <f t="shared" si="1024"/>
        <v/>
      </c>
      <c r="P1615" s="19" t="str">
        <f t="shared" si="1025"/>
        <v/>
      </c>
      <c r="Q1615" s="19" t="str">
        <f t="shared" si="1026"/>
        <v/>
      </c>
      <c r="R1615" s="20" t="str">
        <f t="shared" si="1027"/>
        <v>#</v>
      </c>
      <c r="S1615" s="8" t="str">
        <f t="shared" si="1028"/>
        <v/>
      </c>
      <c r="T1615" s="2" t="str">
        <f t="shared" si="1029"/>
        <v/>
      </c>
      <c r="U1615" s="2" t="str">
        <f t="shared" si="1030"/>
        <v/>
      </c>
      <c r="V1615" t="str">
        <f t="shared" si="1047"/>
        <v/>
      </c>
      <c r="X1615">
        <f t="shared" si="1050"/>
        <v>0</v>
      </c>
      <c r="Y1615">
        <f t="shared" si="1051"/>
        <v>0</v>
      </c>
      <c r="Z1615">
        <f t="shared" si="1052"/>
        <v>0</v>
      </c>
      <c r="AA1615">
        <f t="shared" si="1053"/>
        <v>0</v>
      </c>
      <c r="AB1615">
        <f t="shared" si="1054"/>
        <v>0</v>
      </c>
      <c r="AC1615">
        <f t="shared" si="1055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9"/>
        <v>n</v>
      </c>
      <c r="M1616">
        <v>15</v>
      </c>
      <c r="N1616" s="9" t="str">
        <f t="shared" si="1023"/>
        <v/>
      </c>
      <c r="O1616" s="10" t="str">
        <f t="shared" si="1024"/>
        <v/>
      </c>
      <c r="P1616" s="10" t="str">
        <f t="shared" si="1025"/>
        <v/>
      </c>
      <c r="Q1616" s="10" t="str">
        <f t="shared" si="1026"/>
        <v/>
      </c>
      <c r="R1616" s="10" t="str">
        <f t="shared" si="1027"/>
        <v/>
      </c>
      <c r="S1616" s="11" t="str">
        <f t="shared" si="1028"/>
        <v/>
      </c>
      <c r="T1616" s="2" t="str">
        <f t="shared" si="1029"/>
        <v/>
      </c>
      <c r="U1616" s="2" t="str">
        <f t="shared" si="1030"/>
        <v/>
      </c>
      <c r="V1616" t="str">
        <f t="shared" si="1047"/>
        <v/>
      </c>
      <c r="X1616">
        <f t="shared" si="1050"/>
        <v>0</v>
      </c>
      <c r="Y1616">
        <f t="shared" si="1051"/>
        <v>0</v>
      </c>
      <c r="Z1616">
        <f t="shared" si="1052"/>
        <v>0</v>
      </c>
      <c r="AA1616">
        <f t="shared" si="1053"/>
        <v>0</v>
      </c>
      <c r="AB1616">
        <f t="shared" si="1054"/>
        <v>0</v>
      </c>
      <c r="AC1616">
        <f t="shared" si="1055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9"/>
        <v>n</v>
      </c>
      <c r="M1617">
        <v>16</v>
      </c>
      <c r="N1617" s="12" t="str">
        <f t="shared" si="1023"/>
        <v/>
      </c>
      <c r="O1617" s="13" t="str">
        <f t="shared" si="1024"/>
        <v/>
      </c>
      <c r="P1617" s="13" t="str">
        <f t="shared" si="1025"/>
        <v/>
      </c>
      <c r="Q1617" s="13" t="str">
        <f t="shared" si="1026"/>
        <v/>
      </c>
      <c r="R1617" s="13" t="str">
        <f t="shared" si="1027"/>
        <v/>
      </c>
      <c r="S1617" s="14" t="str">
        <f t="shared" si="1028"/>
        <v/>
      </c>
      <c r="T1617" s="2" t="str">
        <f t="shared" si="1029"/>
        <v/>
      </c>
      <c r="U1617" s="2" t="str">
        <f t="shared" si="1030"/>
        <v/>
      </c>
      <c r="V1617" t="str">
        <f t="shared" si="1047"/>
        <v/>
      </c>
      <c r="X1617">
        <f t="shared" si="1050"/>
        <v>0</v>
      </c>
      <c r="Y1617">
        <f t="shared" si="1051"/>
        <v>0</v>
      </c>
      <c r="Z1617">
        <f t="shared" si="1052"/>
        <v>0</v>
      </c>
      <c r="AA1617">
        <f t="shared" si="1053"/>
        <v>0</v>
      </c>
      <c r="AB1617">
        <f t="shared" si="1054"/>
        <v>0</v>
      </c>
      <c r="AC1617">
        <f t="shared" si="1055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23"/>
        <v/>
      </c>
      <c r="O1618" t="str">
        <f t="shared" si="1024"/>
        <v/>
      </c>
      <c r="P1618" t="str">
        <f t="shared" si="1025"/>
        <v/>
      </c>
      <c r="Q1618" t="str">
        <f t="shared" si="1026"/>
        <v/>
      </c>
      <c r="R1618" t="str">
        <f t="shared" si="1027"/>
        <v/>
      </c>
      <c r="S1618" t="str">
        <f t="shared" si="1028"/>
        <v/>
      </c>
      <c r="T1618" s="2" t="str">
        <f t="shared" si="1029"/>
        <v/>
      </c>
      <c r="U1618" s="2" t="str">
        <f t="shared" si="1030"/>
        <v/>
      </c>
      <c r="V1618" t="str">
        <f t="shared" si="1047"/>
        <v/>
      </c>
      <c r="W1618">
        <f>SUM(B1620:G1633)</f>
        <v>32</v>
      </c>
      <c r="AD1618">
        <f t="shared" ref="AD1618" si="1056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7">L1618</f>
        <v>o</v>
      </c>
      <c r="M1619">
        <v>2</v>
      </c>
      <c r="N1619" t="str">
        <f t="shared" si="1023"/>
        <v/>
      </c>
      <c r="O1619" t="str">
        <f t="shared" si="1024"/>
        <v/>
      </c>
      <c r="P1619" t="str">
        <f t="shared" si="1025"/>
        <v/>
      </c>
      <c r="Q1619" t="str">
        <f t="shared" si="1026"/>
        <v/>
      </c>
      <c r="R1619" t="str">
        <f t="shared" si="1027"/>
        <v/>
      </c>
      <c r="S1619" t="str">
        <f t="shared" si="1028"/>
        <v/>
      </c>
      <c r="T1619" s="2" t="str">
        <f t="shared" si="1029"/>
        <v/>
      </c>
      <c r="U1619" s="2" t="str">
        <f t="shared" si="1030"/>
        <v/>
      </c>
      <c r="V1619" t="str">
        <f t="shared" si="1047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7"/>
        <v>o</v>
      </c>
      <c r="M1620">
        <v>3</v>
      </c>
      <c r="N1620" s="3" t="str">
        <f t="shared" si="1023"/>
        <v/>
      </c>
      <c r="O1620" s="4" t="str">
        <f t="shared" si="1024"/>
        <v/>
      </c>
      <c r="P1620" s="4" t="str">
        <f t="shared" si="1025"/>
        <v/>
      </c>
      <c r="Q1620" s="4" t="str">
        <f t="shared" si="1026"/>
        <v/>
      </c>
      <c r="R1620" s="4" t="str">
        <f t="shared" si="1027"/>
        <v/>
      </c>
      <c r="S1620" s="5" t="str">
        <f t="shared" si="1028"/>
        <v/>
      </c>
      <c r="T1620" s="2" t="str">
        <f t="shared" si="1029"/>
        <v/>
      </c>
      <c r="U1620" s="2" t="str">
        <f t="shared" si="1030"/>
        <v/>
      </c>
      <c r="V1620" t="str">
        <f t="shared" si="1047"/>
        <v/>
      </c>
      <c r="X1620">
        <f t="shared" ref="X1620:X1633" si="1058">MAX(B1620-B1619,0)</f>
        <v>0</v>
      </c>
      <c r="Y1620">
        <f t="shared" ref="Y1620:Y1633" si="1059">MAX(C1620-C1619,0)</f>
        <v>0</v>
      </c>
      <c r="Z1620">
        <f t="shared" ref="Z1620:Z1633" si="1060">MAX(D1620-D1619,0)</f>
        <v>0</v>
      </c>
      <c r="AA1620">
        <f t="shared" ref="AA1620:AA1633" si="1061">MAX(E1620-E1619,0)</f>
        <v>0</v>
      </c>
      <c r="AB1620">
        <f t="shared" ref="AB1620:AB1633" si="1062">MAX(F1620-F1619,0)</f>
        <v>0</v>
      </c>
      <c r="AC1620">
        <f t="shared" ref="AC1620:AC1633" si="1063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7"/>
        <v>o</v>
      </c>
      <c r="M1621">
        <v>4</v>
      </c>
      <c r="N1621" s="6" t="str">
        <f t="shared" si="1023"/>
        <v/>
      </c>
      <c r="O1621" s="7" t="str">
        <f t="shared" si="1024"/>
        <v/>
      </c>
      <c r="P1621" s="7" t="str">
        <f t="shared" si="1025"/>
        <v/>
      </c>
      <c r="Q1621" s="7" t="str">
        <f t="shared" si="1026"/>
        <v/>
      </c>
      <c r="R1621" s="7" t="str">
        <f t="shared" si="1027"/>
        <v/>
      </c>
      <c r="S1621" s="8" t="str">
        <f t="shared" si="1028"/>
        <v/>
      </c>
      <c r="T1621" s="2" t="str">
        <f t="shared" si="1029"/>
        <v/>
      </c>
      <c r="U1621" s="2" t="str">
        <f t="shared" si="1030"/>
        <v/>
      </c>
      <c r="V1621" t="str">
        <f t="shared" si="1047"/>
        <v/>
      </c>
      <c r="X1621">
        <f t="shared" si="1058"/>
        <v>0</v>
      </c>
      <c r="Y1621">
        <f t="shared" si="1059"/>
        <v>0</v>
      </c>
      <c r="Z1621">
        <f t="shared" si="1060"/>
        <v>0</v>
      </c>
      <c r="AA1621">
        <f t="shared" si="1061"/>
        <v>0</v>
      </c>
      <c r="AB1621">
        <f t="shared" si="1062"/>
        <v>0</v>
      </c>
      <c r="AC1621">
        <f t="shared" si="1063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7"/>
        <v>o</v>
      </c>
      <c r="M1622">
        <v>5</v>
      </c>
      <c r="N1622" s="22" t="str">
        <f t="shared" si="1023"/>
        <v>#</v>
      </c>
      <c r="O1622" s="15" t="str">
        <f t="shared" si="1024"/>
        <v>#</v>
      </c>
      <c r="P1622" s="15" t="str">
        <f t="shared" si="1025"/>
        <v>#</v>
      </c>
      <c r="Q1622" s="15" t="str">
        <f t="shared" si="1026"/>
        <v>#</v>
      </c>
      <c r="R1622" s="16" t="str">
        <f t="shared" si="1027"/>
        <v>#</v>
      </c>
      <c r="S1622" s="8" t="str">
        <f t="shared" si="1028"/>
        <v/>
      </c>
      <c r="T1622" s="2" t="str">
        <f t="shared" si="1029"/>
        <v/>
      </c>
      <c r="U1622" s="2" t="str">
        <f t="shared" si="1030"/>
        <v/>
      </c>
      <c r="V1622" t="str">
        <f t="shared" si="1047"/>
        <v/>
      </c>
      <c r="X1622">
        <f t="shared" si="1058"/>
        <v>1</v>
      </c>
      <c r="Y1622">
        <f t="shared" si="1059"/>
        <v>1</v>
      </c>
      <c r="Z1622">
        <f t="shared" si="1060"/>
        <v>1</v>
      </c>
      <c r="AA1622">
        <f t="shared" si="1061"/>
        <v>1</v>
      </c>
      <c r="AB1622">
        <f t="shared" si="1062"/>
        <v>1</v>
      </c>
      <c r="AC1622">
        <f t="shared" si="1063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7"/>
        <v>o</v>
      </c>
      <c r="M1623">
        <v>6</v>
      </c>
      <c r="N1623" s="23" t="str">
        <f t="shared" si="1023"/>
        <v>#</v>
      </c>
      <c r="O1623" s="7" t="str">
        <f t="shared" si="1024"/>
        <v>#</v>
      </c>
      <c r="P1623" s="7" t="str">
        <f t="shared" si="1025"/>
        <v>#</v>
      </c>
      <c r="Q1623" s="7" t="str">
        <f t="shared" si="1026"/>
        <v>#</v>
      </c>
      <c r="R1623" s="17" t="str">
        <f t="shared" si="1027"/>
        <v>#</v>
      </c>
      <c r="S1623" s="8" t="str">
        <f t="shared" si="1028"/>
        <v/>
      </c>
      <c r="T1623" s="2" t="str">
        <f t="shared" si="1029"/>
        <v/>
      </c>
      <c r="U1623" s="2" t="str">
        <f t="shared" si="1030"/>
        <v/>
      </c>
      <c r="V1623" t="str">
        <f t="shared" si="1047"/>
        <v/>
      </c>
      <c r="X1623">
        <f t="shared" si="1058"/>
        <v>0</v>
      </c>
      <c r="Y1623">
        <f t="shared" si="1059"/>
        <v>0</v>
      </c>
      <c r="Z1623">
        <f t="shared" si="1060"/>
        <v>0</v>
      </c>
      <c r="AA1623">
        <f t="shared" si="1061"/>
        <v>0</v>
      </c>
      <c r="AB1623">
        <f t="shared" si="1062"/>
        <v>0</v>
      </c>
      <c r="AC1623">
        <f t="shared" si="1063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7"/>
        <v>o</v>
      </c>
      <c r="M1624">
        <v>7</v>
      </c>
      <c r="N1624" s="23" t="str">
        <f t="shared" si="1023"/>
        <v>#</v>
      </c>
      <c r="O1624" s="7" t="str">
        <f t="shared" si="1024"/>
        <v/>
      </c>
      <c r="P1624" s="7" t="str">
        <f t="shared" si="1025"/>
        <v/>
      </c>
      <c r="Q1624" s="7" t="str">
        <f t="shared" si="1026"/>
        <v/>
      </c>
      <c r="R1624" s="17" t="str">
        <f t="shared" si="1027"/>
        <v>#</v>
      </c>
      <c r="S1624" s="8" t="str">
        <f t="shared" si="1028"/>
        <v/>
      </c>
      <c r="T1624" s="2" t="str">
        <f t="shared" si="1029"/>
        <v/>
      </c>
      <c r="U1624" s="2" t="str">
        <f t="shared" si="1030"/>
        <v/>
      </c>
      <c r="V1624" t="str">
        <f t="shared" si="1047"/>
        <v/>
      </c>
      <c r="X1624">
        <f t="shared" si="1058"/>
        <v>0</v>
      </c>
      <c r="Y1624">
        <f t="shared" si="1059"/>
        <v>0</v>
      </c>
      <c r="Z1624">
        <f t="shared" si="1060"/>
        <v>0</v>
      </c>
      <c r="AA1624">
        <f t="shared" si="1061"/>
        <v>0</v>
      </c>
      <c r="AB1624">
        <f t="shared" si="1062"/>
        <v>0</v>
      </c>
      <c r="AC1624">
        <f t="shared" si="1063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7"/>
        <v>o</v>
      </c>
      <c r="M1625">
        <v>8</v>
      </c>
      <c r="N1625" s="23" t="str">
        <f t="shared" si="1023"/>
        <v>#</v>
      </c>
      <c r="O1625" s="7" t="str">
        <f t="shared" si="1024"/>
        <v/>
      </c>
      <c r="P1625" s="7" t="str">
        <f t="shared" si="1025"/>
        <v/>
      </c>
      <c r="Q1625" s="7" t="str">
        <f t="shared" si="1026"/>
        <v/>
      </c>
      <c r="R1625" s="17" t="str">
        <f t="shared" si="1027"/>
        <v>#</v>
      </c>
      <c r="S1625" s="8" t="str">
        <f t="shared" si="1028"/>
        <v/>
      </c>
      <c r="T1625" s="2" t="str">
        <f t="shared" si="1029"/>
        <v/>
      </c>
      <c r="U1625" s="2" t="str">
        <f t="shared" si="1030"/>
        <v/>
      </c>
      <c r="V1625" t="str">
        <f t="shared" si="1047"/>
        <v/>
      </c>
      <c r="X1625">
        <f t="shared" si="1058"/>
        <v>0</v>
      </c>
      <c r="Y1625">
        <f t="shared" si="1059"/>
        <v>0</v>
      </c>
      <c r="Z1625">
        <f t="shared" si="1060"/>
        <v>0</v>
      </c>
      <c r="AA1625">
        <f t="shared" si="1061"/>
        <v>0</v>
      </c>
      <c r="AB1625">
        <f t="shared" si="1062"/>
        <v>0</v>
      </c>
      <c r="AC1625">
        <f t="shared" si="1063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7"/>
        <v>o</v>
      </c>
      <c r="M1626">
        <v>9</v>
      </c>
      <c r="N1626" s="23" t="str">
        <f t="shared" si="1023"/>
        <v>#</v>
      </c>
      <c r="O1626" s="7" t="str">
        <f t="shared" si="1024"/>
        <v/>
      </c>
      <c r="P1626" s="7" t="str">
        <f t="shared" si="1025"/>
        <v/>
      </c>
      <c r="Q1626" s="7" t="str">
        <f t="shared" si="1026"/>
        <v/>
      </c>
      <c r="R1626" s="17" t="str">
        <f t="shared" si="1027"/>
        <v>#</v>
      </c>
      <c r="S1626" s="8" t="str">
        <f t="shared" si="1028"/>
        <v/>
      </c>
      <c r="T1626" s="2" t="str">
        <f t="shared" si="1029"/>
        <v/>
      </c>
      <c r="U1626" s="2" t="str">
        <f t="shared" si="1030"/>
        <v/>
      </c>
      <c r="V1626" t="str">
        <f t="shared" si="1047"/>
        <v/>
      </c>
      <c r="X1626">
        <f t="shared" si="1058"/>
        <v>0</v>
      </c>
      <c r="Y1626">
        <f t="shared" si="1059"/>
        <v>0</v>
      </c>
      <c r="Z1626">
        <f t="shared" si="1060"/>
        <v>0</v>
      </c>
      <c r="AA1626">
        <f t="shared" si="1061"/>
        <v>0</v>
      </c>
      <c r="AB1626">
        <f t="shared" si="1062"/>
        <v>0</v>
      </c>
      <c r="AC1626">
        <f t="shared" si="1063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7"/>
        <v>o</v>
      </c>
      <c r="M1627">
        <v>10</v>
      </c>
      <c r="N1627" s="23" t="str">
        <f t="shared" si="1023"/>
        <v>#</v>
      </c>
      <c r="O1627" s="7" t="str">
        <f t="shared" si="1024"/>
        <v/>
      </c>
      <c r="P1627" s="7" t="str">
        <f t="shared" si="1025"/>
        <v/>
      </c>
      <c r="Q1627" s="7" t="str">
        <f t="shared" si="1026"/>
        <v/>
      </c>
      <c r="R1627" s="17" t="str">
        <f t="shared" si="1027"/>
        <v>#</v>
      </c>
      <c r="S1627" s="8" t="str">
        <f t="shared" si="1028"/>
        <v/>
      </c>
      <c r="T1627" s="2" t="str">
        <f t="shared" si="1029"/>
        <v/>
      </c>
      <c r="U1627" s="2" t="str">
        <f t="shared" si="1030"/>
        <v/>
      </c>
      <c r="V1627" t="str">
        <f t="shared" si="1047"/>
        <v/>
      </c>
      <c r="X1627">
        <f t="shared" si="1058"/>
        <v>0</v>
      </c>
      <c r="Y1627">
        <f t="shared" si="1059"/>
        <v>0</v>
      </c>
      <c r="Z1627">
        <f t="shared" si="1060"/>
        <v>0</v>
      </c>
      <c r="AA1627">
        <f t="shared" si="1061"/>
        <v>0</v>
      </c>
      <c r="AB1627">
        <f t="shared" si="1062"/>
        <v>0</v>
      </c>
      <c r="AC1627">
        <f t="shared" si="1063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7"/>
        <v>o</v>
      </c>
      <c r="M1628">
        <v>11</v>
      </c>
      <c r="N1628" s="23" t="str">
        <f t="shared" si="1023"/>
        <v>#</v>
      </c>
      <c r="O1628" s="7" t="str">
        <f t="shared" si="1024"/>
        <v/>
      </c>
      <c r="P1628" s="7" t="str">
        <f t="shared" si="1025"/>
        <v/>
      </c>
      <c r="Q1628" s="7" t="str">
        <f t="shared" si="1026"/>
        <v/>
      </c>
      <c r="R1628" s="17" t="str">
        <f t="shared" si="1027"/>
        <v>#</v>
      </c>
      <c r="S1628" s="8" t="str">
        <f t="shared" si="1028"/>
        <v/>
      </c>
      <c r="T1628" s="2" t="str">
        <f t="shared" si="1029"/>
        <v/>
      </c>
      <c r="U1628" s="2" t="str">
        <f t="shared" si="1030"/>
        <v/>
      </c>
      <c r="V1628" t="str">
        <f t="shared" si="1047"/>
        <v/>
      </c>
      <c r="X1628">
        <f t="shared" si="1058"/>
        <v>0</v>
      </c>
      <c r="Y1628">
        <f t="shared" si="1059"/>
        <v>0</v>
      </c>
      <c r="Z1628">
        <f t="shared" si="1060"/>
        <v>0</v>
      </c>
      <c r="AA1628">
        <f t="shared" si="1061"/>
        <v>0</v>
      </c>
      <c r="AB1628">
        <f t="shared" si="1062"/>
        <v>0</v>
      </c>
      <c r="AC1628">
        <f t="shared" si="1063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7"/>
        <v>o</v>
      </c>
      <c r="M1629">
        <v>12</v>
      </c>
      <c r="N1629" s="23" t="str">
        <f t="shared" si="1023"/>
        <v>#</v>
      </c>
      <c r="O1629" s="7" t="str">
        <f t="shared" si="1024"/>
        <v/>
      </c>
      <c r="P1629" s="7" t="str">
        <f t="shared" si="1025"/>
        <v/>
      </c>
      <c r="Q1629" s="7" t="str">
        <f t="shared" si="1026"/>
        <v/>
      </c>
      <c r="R1629" s="17" t="str">
        <f t="shared" si="1027"/>
        <v>#</v>
      </c>
      <c r="S1629" s="8" t="str">
        <f t="shared" si="1028"/>
        <v/>
      </c>
      <c r="T1629" s="2" t="str">
        <f t="shared" si="1029"/>
        <v/>
      </c>
      <c r="U1629" s="2" t="str">
        <f t="shared" si="1030"/>
        <v/>
      </c>
      <c r="V1629" t="str">
        <f t="shared" si="1047"/>
        <v/>
      </c>
      <c r="X1629">
        <f t="shared" si="1058"/>
        <v>0</v>
      </c>
      <c r="Y1629">
        <f t="shared" si="1059"/>
        <v>0</v>
      </c>
      <c r="Z1629">
        <f t="shared" si="1060"/>
        <v>0</v>
      </c>
      <c r="AA1629">
        <f t="shared" si="1061"/>
        <v>0</v>
      </c>
      <c r="AB1629">
        <f t="shared" si="1062"/>
        <v>0</v>
      </c>
      <c r="AC1629">
        <f t="shared" si="1063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7"/>
        <v>o</v>
      </c>
      <c r="M1630">
        <v>13</v>
      </c>
      <c r="N1630" s="6" t="str">
        <f t="shared" si="1023"/>
        <v>#</v>
      </c>
      <c r="O1630" s="7" t="str">
        <f t="shared" si="1024"/>
        <v>#</v>
      </c>
      <c r="P1630" s="7" t="str">
        <f t="shared" si="1025"/>
        <v>#</v>
      </c>
      <c r="Q1630" s="7" t="str">
        <f t="shared" si="1026"/>
        <v>#</v>
      </c>
      <c r="R1630" s="17" t="str">
        <f t="shared" si="1027"/>
        <v>#</v>
      </c>
      <c r="S1630" s="8" t="str">
        <f t="shared" si="1028"/>
        <v/>
      </c>
      <c r="T1630" s="2" t="str">
        <f t="shared" si="1029"/>
        <v/>
      </c>
      <c r="U1630" s="2" t="str">
        <f t="shared" si="1030"/>
        <v/>
      </c>
      <c r="V1630" t="str">
        <f t="shared" si="1047"/>
        <v/>
      </c>
      <c r="X1630">
        <f t="shared" si="1058"/>
        <v>0</v>
      </c>
      <c r="Y1630">
        <f t="shared" si="1059"/>
        <v>1</v>
      </c>
      <c r="Z1630">
        <f t="shared" si="1060"/>
        <v>1</v>
      </c>
      <c r="AA1630">
        <f t="shared" si="1061"/>
        <v>1</v>
      </c>
      <c r="AB1630">
        <f t="shared" si="1062"/>
        <v>0</v>
      </c>
      <c r="AC1630">
        <f t="shared" si="1063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7"/>
        <v>o</v>
      </c>
      <c r="M1631">
        <v>14</v>
      </c>
      <c r="N1631" s="18" t="str">
        <f t="shared" si="1023"/>
        <v>#</v>
      </c>
      <c r="O1631" s="19" t="str">
        <f t="shared" si="1024"/>
        <v>#</v>
      </c>
      <c r="P1631" s="19" t="str">
        <f t="shared" si="1025"/>
        <v>#</v>
      </c>
      <c r="Q1631" s="19" t="str">
        <f t="shared" si="1026"/>
        <v>#</v>
      </c>
      <c r="R1631" s="20" t="str">
        <f t="shared" si="1027"/>
        <v>#</v>
      </c>
      <c r="S1631" s="8" t="str">
        <f t="shared" si="1028"/>
        <v/>
      </c>
      <c r="T1631" s="2" t="str">
        <f t="shared" si="1029"/>
        <v/>
      </c>
      <c r="U1631" s="2" t="str">
        <f t="shared" si="1030"/>
        <v/>
      </c>
      <c r="V1631" t="str">
        <f t="shared" si="1047"/>
        <v/>
      </c>
      <c r="X1631">
        <f t="shared" si="1058"/>
        <v>0</v>
      </c>
      <c r="Y1631">
        <f t="shared" si="1059"/>
        <v>0</v>
      </c>
      <c r="Z1631">
        <f t="shared" si="1060"/>
        <v>0</v>
      </c>
      <c r="AA1631">
        <f t="shared" si="1061"/>
        <v>0</v>
      </c>
      <c r="AB1631">
        <f t="shared" si="1062"/>
        <v>0</v>
      </c>
      <c r="AC1631">
        <f t="shared" si="1063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7"/>
        <v>o</v>
      </c>
      <c r="M1632">
        <v>15</v>
      </c>
      <c r="N1632" s="9" t="str">
        <f t="shared" si="1023"/>
        <v/>
      </c>
      <c r="O1632" s="10" t="str">
        <f t="shared" si="1024"/>
        <v/>
      </c>
      <c r="P1632" s="10" t="str">
        <f t="shared" si="1025"/>
        <v/>
      </c>
      <c r="Q1632" s="10" t="str">
        <f t="shared" si="1026"/>
        <v/>
      </c>
      <c r="R1632" s="10" t="str">
        <f t="shared" si="1027"/>
        <v/>
      </c>
      <c r="S1632" s="11" t="str">
        <f t="shared" si="1028"/>
        <v/>
      </c>
      <c r="T1632" s="2" t="str">
        <f t="shared" si="1029"/>
        <v/>
      </c>
      <c r="U1632" s="2" t="str">
        <f t="shared" si="1030"/>
        <v/>
      </c>
      <c r="V1632" t="str">
        <f t="shared" si="1047"/>
        <v/>
      </c>
      <c r="X1632">
        <f t="shared" si="1058"/>
        <v>0</v>
      </c>
      <c r="Y1632">
        <f t="shared" si="1059"/>
        <v>0</v>
      </c>
      <c r="Z1632">
        <f t="shared" si="1060"/>
        <v>0</v>
      </c>
      <c r="AA1632">
        <f t="shared" si="1061"/>
        <v>0</v>
      </c>
      <c r="AB1632">
        <f t="shared" si="1062"/>
        <v>0</v>
      </c>
      <c r="AC1632">
        <f t="shared" si="1063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7"/>
        <v>o</v>
      </c>
      <c r="M1633">
        <v>16</v>
      </c>
      <c r="N1633" s="12" t="str">
        <f t="shared" si="1023"/>
        <v/>
      </c>
      <c r="O1633" s="13" t="str">
        <f t="shared" si="1024"/>
        <v/>
      </c>
      <c r="P1633" s="13" t="str">
        <f t="shared" si="1025"/>
        <v/>
      </c>
      <c r="Q1633" s="13" t="str">
        <f t="shared" si="1026"/>
        <v/>
      </c>
      <c r="R1633" s="13" t="str">
        <f t="shared" si="1027"/>
        <v/>
      </c>
      <c r="S1633" s="14" t="str">
        <f t="shared" si="1028"/>
        <v/>
      </c>
      <c r="T1633" s="2" t="str">
        <f t="shared" si="1029"/>
        <v/>
      </c>
      <c r="U1633" s="2" t="str">
        <f t="shared" si="1030"/>
        <v/>
      </c>
      <c r="V1633" t="str">
        <f t="shared" si="1047"/>
        <v/>
      </c>
      <c r="X1633">
        <f t="shared" si="1058"/>
        <v>0</v>
      </c>
      <c r="Y1633">
        <f t="shared" si="1059"/>
        <v>0</v>
      </c>
      <c r="Z1633">
        <f t="shared" si="1060"/>
        <v>0</v>
      </c>
      <c r="AA1633">
        <f t="shared" si="1061"/>
        <v>0</v>
      </c>
      <c r="AB1633">
        <f t="shared" si="1062"/>
        <v>0</v>
      </c>
      <c r="AC1633">
        <f t="shared" si="1063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64">IF(B1634&gt;0,"#","")</f>
        <v/>
      </c>
      <c r="O1634" t="str">
        <f t="shared" ref="O1634:O1697" si="1065">IF(C1634&gt;0,"#","")</f>
        <v/>
      </c>
      <c r="P1634" t="str">
        <f t="shared" ref="P1634:P1697" si="1066">IF(D1634&gt;0,"#","")</f>
        <v/>
      </c>
      <c r="Q1634" t="str">
        <f t="shared" ref="Q1634:Q1697" si="1067">IF(E1634&gt;0,"#","")</f>
        <v/>
      </c>
      <c r="R1634" t="str">
        <f t="shared" ref="R1634:R1697" si="1068">IF(F1634&gt;0,"#","")</f>
        <v/>
      </c>
      <c r="S1634" t="str">
        <f t="shared" ref="S1634:S1697" si="1069">IF(G1634&gt;0,"#","")</f>
        <v/>
      </c>
      <c r="T1634" s="2" t="str">
        <f t="shared" ref="T1634:T1697" si="1070">IF(H1634&gt;0,"#","")</f>
        <v/>
      </c>
      <c r="U1634" s="2" t="str">
        <f t="shared" ref="U1634:U1697" si="1071">IF(I1634&gt;0,"#","")</f>
        <v/>
      </c>
      <c r="V1634" t="str">
        <f t="shared" si="1047"/>
        <v/>
      </c>
      <c r="W1634">
        <f>SUM(B1636:G1649)</f>
        <v>30</v>
      </c>
      <c r="AD1634">
        <f t="shared" ref="AD1634" si="1072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73">L1634</f>
        <v>p</v>
      </c>
      <c r="M1635">
        <v>2</v>
      </c>
      <c r="N1635" t="str">
        <f t="shared" si="1064"/>
        <v/>
      </c>
      <c r="O1635" t="str">
        <f t="shared" si="1065"/>
        <v/>
      </c>
      <c r="P1635" t="str">
        <f t="shared" si="1066"/>
        <v/>
      </c>
      <c r="Q1635" t="str">
        <f t="shared" si="1067"/>
        <v/>
      </c>
      <c r="R1635" t="str">
        <f t="shared" si="1068"/>
        <v/>
      </c>
      <c r="S1635" t="str">
        <f t="shared" si="1069"/>
        <v/>
      </c>
      <c r="T1635" s="2" t="str">
        <f t="shared" si="1070"/>
        <v/>
      </c>
      <c r="U1635" s="2" t="str">
        <f t="shared" si="1071"/>
        <v/>
      </c>
      <c r="V1635" t="str">
        <f t="shared" si="1047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73"/>
        <v>p</v>
      </c>
      <c r="M1636">
        <v>3</v>
      </c>
      <c r="N1636" s="3" t="str">
        <f t="shared" si="1064"/>
        <v/>
      </c>
      <c r="O1636" s="4" t="str">
        <f t="shared" si="1065"/>
        <v/>
      </c>
      <c r="P1636" s="4" t="str">
        <f t="shared" si="1066"/>
        <v/>
      </c>
      <c r="Q1636" s="4" t="str">
        <f t="shared" si="1067"/>
        <v/>
      </c>
      <c r="R1636" s="4" t="str">
        <f t="shared" si="1068"/>
        <v/>
      </c>
      <c r="S1636" s="5" t="str">
        <f t="shared" si="1069"/>
        <v/>
      </c>
      <c r="T1636" s="2" t="str">
        <f t="shared" si="1070"/>
        <v/>
      </c>
      <c r="U1636" s="2" t="str">
        <f t="shared" si="1071"/>
        <v/>
      </c>
      <c r="V1636" t="str">
        <f t="shared" si="1047"/>
        <v/>
      </c>
      <c r="X1636">
        <f t="shared" ref="X1636:X1649" si="1074">MAX(B1636-B1635,0)</f>
        <v>0</v>
      </c>
      <c r="Y1636">
        <f t="shared" ref="Y1636:Y1649" si="1075">MAX(C1636-C1635,0)</f>
        <v>0</v>
      </c>
      <c r="Z1636">
        <f t="shared" ref="Z1636:Z1649" si="1076">MAX(D1636-D1635,0)</f>
        <v>0</v>
      </c>
      <c r="AA1636">
        <f t="shared" ref="AA1636:AA1649" si="1077">MAX(E1636-E1635,0)</f>
        <v>0</v>
      </c>
      <c r="AB1636">
        <f t="shared" ref="AB1636:AB1649" si="1078">MAX(F1636-F1635,0)</f>
        <v>0</v>
      </c>
      <c r="AC1636">
        <f t="shared" ref="AC1636:AC1649" si="1079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73"/>
        <v>p</v>
      </c>
      <c r="M1637">
        <v>4</v>
      </c>
      <c r="N1637" s="6" t="str">
        <f t="shared" si="1064"/>
        <v/>
      </c>
      <c r="O1637" s="7" t="str">
        <f t="shared" si="1065"/>
        <v/>
      </c>
      <c r="P1637" s="7" t="str">
        <f t="shared" si="1066"/>
        <v/>
      </c>
      <c r="Q1637" s="7" t="str">
        <f t="shared" si="1067"/>
        <v/>
      </c>
      <c r="R1637" s="7" t="str">
        <f t="shared" si="1068"/>
        <v/>
      </c>
      <c r="S1637" s="8" t="str">
        <f t="shared" si="1069"/>
        <v/>
      </c>
      <c r="T1637" s="2" t="str">
        <f t="shared" si="1070"/>
        <v/>
      </c>
      <c r="U1637" s="2" t="str">
        <f t="shared" si="1071"/>
        <v/>
      </c>
      <c r="V1637" t="str">
        <f t="shared" si="1047"/>
        <v/>
      </c>
      <c r="X1637">
        <f t="shared" si="1074"/>
        <v>0</v>
      </c>
      <c r="Y1637">
        <f t="shared" si="1075"/>
        <v>0</v>
      </c>
      <c r="Z1637">
        <f t="shared" si="1076"/>
        <v>0</v>
      </c>
      <c r="AA1637">
        <f t="shared" si="1077"/>
        <v>0</v>
      </c>
      <c r="AB1637">
        <f t="shared" si="1078"/>
        <v>0</v>
      </c>
      <c r="AC1637">
        <f t="shared" si="1079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1</v>
      </c>
      <c r="G1638" s="21">
        <v>0</v>
      </c>
      <c r="H1638" s="21">
        <v>0</v>
      </c>
      <c r="I1638" s="21">
        <v>0</v>
      </c>
      <c r="L1638" t="str">
        <f t="shared" si="1073"/>
        <v>p</v>
      </c>
      <c r="M1638">
        <v>5</v>
      </c>
      <c r="N1638" s="22" t="str">
        <f t="shared" si="1064"/>
        <v>#</v>
      </c>
      <c r="O1638" s="15" t="str">
        <f t="shared" si="1065"/>
        <v>#</v>
      </c>
      <c r="P1638" s="15" t="str">
        <f t="shared" si="1066"/>
        <v>#</v>
      </c>
      <c r="Q1638" s="15" t="str">
        <f t="shared" si="1067"/>
        <v>#</v>
      </c>
      <c r="R1638" s="16" t="str">
        <f t="shared" si="1068"/>
        <v>#</v>
      </c>
      <c r="S1638" s="8" t="str">
        <f t="shared" si="1069"/>
        <v/>
      </c>
      <c r="T1638" s="2" t="str">
        <f t="shared" si="1070"/>
        <v/>
      </c>
      <c r="U1638" s="2" t="str">
        <f t="shared" si="1071"/>
        <v/>
      </c>
      <c r="V1638" t="str">
        <f t="shared" si="1047"/>
        <v/>
      </c>
      <c r="X1638">
        <f t="shared" si="1074"/>
        <v>1</v>
      </c>
      <c r="Y1638">
        <f t="shared" si="1075"/>
        <v>1</v>
      </c>
      <c r="Z1638">
        <f t="shared" si="1076"/>
        <v>1</v>
      </c>
      <c r="AA1638">
        <f t="shared" si="1077"/>
        <v>1</v>
      </c>
      <c r="AB1638">
        <f t="shared" si="1078"/>
        <v>1</v>
      </c>
      <c r="AC1638">
        <f t="shared" si="1079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73"/>
        <v>p</v>
      </c>
      <c r="M1639">
        <v>6</v>
      </c>
      <c r="N1639" s="23" t="str">
        <f t="shared" si="1064"/>
        <v>#</v>
      </c>
      <c r="O1639" s="7" t="str">
        <f t="shared" si="1065"/>
        <v>#</v>
      </c>
      <c r="P1639" s="7" t="str">
        <f t="shared" si="1066"/>
        <v>#</v>
      </c>
      <c r="Q1639" s="7" t="str">
        <f t="shared" si="1067"/>
        <v>#</v>
      </c>
      <c r="R1639" s="17" t="str">
        <f t="shared" si="1068"/>
        <v>#</v>
      </c>
      <c r="S1639" s="8" t="str">
        <f t="shared" si="1069"/>
        <v/>
      </c>
      <c r="T1639" s="2" t="str">
        <f t="shared" si="1070"/>
        <v/>
      </c>
      <c r="U1639" s="2" t="str">
        <f t="shared" si="1071"/>
        <v/>
      </c>
      <c r="V1639" t="str">
        <f t="shared" si="1047"/>
        <v/>
      </c>
      <c r="X1639">
        <f t="shared" si="1074"/>
        <v>0</v>
      </c>
      <c r="Y1639">
        <f t="shared" si="1075"/>
        <v>0</v>
      </c>
      <c r="Z1639">
        <f t="shared" si="1076"/>
        <v>0</v>
      </c>
      <c r="AA1639">
        <f t="shared" si="1077"/>
        <v>0</v>
      </c>
      <c r="AB1639">
        <f t="shared" si="1078"/>
        <v>0</v>
      </c>
      <c r="AC1639">
        <f t="shared" si="1079"/>
        <v>0</v>
      </c>
      <c r="AE1639" t="str">
        <f>(F1649*128+F1648*64+F1647*32+F1646*16+F1645*8+F1644*4+F1643*2+F1642)*256+F1641*128+F1640*64+F1639*32+F1638*16+F1637*8+F1636*4+F1635*2+F1634&amp;","</f>
        <v>1008,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73"/>
        <v>p</v>
      </c>
      <c r="M1640">
        <v>7</v>
      </c>
      <c r="N1640" s="23" t="str">
        <f t="shared" si="1064"/>
        <v/>
      </c>
      <c r="O1640" s="7" t="str">
        <f t="shared" si="1065"/>
        <v>#</v>
      </c>
      <c r="P1640" s="7" t="str">
        <f t="shared" si="1066"/>
        <v/>
      </c>
      <c r="Q1640" s="7" t="str">
        <f t="shared" si="1067"/>
        <v/>
      </c>
      <c r="R1640" s="17" t="str">
        <f t="shared" si="1068"/>
        <v>#</v>
      </c>
      <c r="S1640" s="8" t="str">
        <f t="shared" si="1069"/>
        <v/>
      </c>
      <c r="T1640" s="2" t="str">
        <f t="shared" si="1070"/>
        <v/>
      </c>
      <c r="U1640" s="2" t="str">
        <f t="shared" si="1071"/>
        <v/>
      </c>
      <c r="V1640" t="str">
        <f t="shared" si="1047"/>
        <v/>
      </c>
      <c r="X1640">
        <f t="shared" si="1074"/>
        <v>0</v>
      </c>
      <c r="Y1640">
        <f t="shared" si="1075"/>
        <v>0</v>
      </c>
      <c r="Z1640">
        <f t="shared" si="1076"/>
        <v>0</v>
      </c>
      <c r="AA1640">
        <f t="shared" si="1077"/>
        <v>0</v>
      </c>
      <c r="AB1640">
        <f t="shared" si="1078"/>
        <v>0</v>
      </c>
      <c r="AC1640">
        <f t="shared" si="1079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73"/>
        <v>p</v>
      </c>
      <c r="M1641">
        <v>8</v>
      </c>
      <c r="N1641" s="23" t="str">
        <f t="shared" si="1064"/>
        <v/>
      </c>
      <c r="O1641" s="7" t="str">
        <f t="shared" si="1065"/>
        <v>#</v>
      </c>
      <c r="P1641" s="7" t="str">
        <f t="shared" si="1066"/>
        <v/>
      </c>
      <c r="Q1641" s="7" t="str">
        <f t="shared" si="1067"/>
        <v/>
      </c>
      <c r="R1641" s="17" t="str">
        <f t="shared" si="1068"/>
        <v>#</v>
      </c>
      <c r="S1641" s="8" t="str">
        <f t="shared" si="1069"/>
        <v/>
      </c>
      <c r="T1641" s="2" t="str">
        <f t="shared" si="1070"/>
        <v/>
      </c>
      <c r="U1641" s="2" t="str">
        <f t="shared" si="1071"/>
        <v/>
      </c>
      <c r="V1641" t="str">
        <f t="shared" si="1047"/>
        <v/>
      </c>
      <c r="X1641">
        <f t="shared" si="1074"/>
        <v>0</v>
      </c>
      <c r="Y1641">
        <f t="shared" si="1075"/>
        <v>0</v>
      </c>
      <c r="Z1641">
        <f t="shared" si="1076"/>
        <v>0</v>
      </c>
      <c r="AA1641">
        <f t="shared" si="1077"/>
        <v>0</v>
      </c>
      <c r="AB1641">
        <f t="shared" si="1078"/>
        <v>0</v>
      </c>
      <c r="AC1641">
        <f t="shared" si="1079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73"/>
        <v>p</v>
      </c>
      <c r="M1642">
        <v>9</v>
      </c>
      <c r="N1642" s="23" t="str">
        <f t="shared" si="1064"/>
        <v/>
      </c>
      <c r="O1642" s="7" t="str">
        <f t="shared" si="1065"/>
        <v>#</v>
      </c>
      <c r="P1642" s="7" t="str">
        <f t="shared" si="1066"/>
        <v>#</v>
      </c>
      <c r="Q1642" s="7" t="str">
        <f t="shared" si="1067"/>
        <v>#</v>
      </c>
      <c r="R1642" s="17" t="str">
        <f t="shared" si="1068"/>
        <v>#</v>
      </c>
      <c r="S1642" s="8" t="str">
        <f t="shared" si="1069"/>
        <v/>
      </c>
      <c r="T1642" s="2" t="str">
        <f t="shared" si="1070"/>
        <v/>
      </c>
      <c r="U1642" s="2" t="str">
        <f t="shared" si="1071"/>
        <v/>
      </c>
      <c r="V1642" t="str">
        <f t="shared" si="1047"/>
        <v/>
      </c>
      <c r="X1642">
        <f t="shared" si="1074"/>
        <v>0</v>
      </c>
      <c r="Y1642">
        <f t="shared" si="1075"/>
        <v>0</v>
      </c>
      <c r="Z1642">
        <f t="shared" si="1076"/>
        <v>1</v>
      </c>
      <c r="AA1642">
        <f t="shared" si="1077"/>
        <v>1</v>
      </c>
      <c r="AB1642">
        <f t="shared" si="1078"/>
        <v>0</v>
      </c>
      <c r="AC1642">
        <f t="shared" si="1079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1</v>
      </c>
      <c r="G1643" s="21">
        <v>0</v>
      </c>
      <c r="H1643" s="21">
        <v>0</v>
      </c>
      <c r="I1643" s="21">
        <v>0</v>
      </c>
      <c r="L1643" t="str">
        <f t="shared" si="1073"/>
        <v>p</v>
      </c>
      <c r="M1643">
        <v>10</v>
      </c>
      <c r="N1643" s="23" t="str">
        <f t="shared" si="1064"/>
        <v/>
      </c>
      <c r="O1643" s="7" t="str">
        <f t="shared" si="1065"/>
        <v>#</v>
      </c>
      <c r="P1643" s="7" t="str">
        <f t="shared" si="1066"/>
        <v>#</v>
      </c>
      <c r="Q1643" s="7" t="str">
        <f t="shared" si="1067"/>
        <v>#</v>
      </c>
      <c r="R1643" s="17" t="str">
        <f t="shared" si="1068"/>
        <v>#</v>
      </c>
      <c r="S1643" s="8" t="str">
        <f t="shared" si="1069"/>
        <v/>
      </c>
      <c r="T1643" s="2" t="str">
        <f t="shared" si="1070"/>
        <v/>
      </c>
      <c r="U1643" s="2" t="str">
        <f t="shared" si="1071"/>
        <v/>
      </c>
      <c r="V1643" t="str">
        <f t="shared" si="1047"/>
        <v/>
      </c>
      <c r="X1643">
        <f t="shared" si="1074"/>
        <v>0</v>
      </c>
      <c r="Y1643">
        <f t="shared" si="1075"/>
        <v>0</v>
      </c>
      <c r="Z1643">
        <f t="shared" si="1076"/>
        <v>0</v>
      </c>
      <c r="AA1643">
        <f t="shared" si="1077"/>
        <v>0</v>
      </c>
      <c r="AB1643">
        <f t="shared" si="1078"/>
        <v>0</v>
      </c>
      <c r="AC1643">
        <f t="shared" si="1079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73"/>
        <v>p</v>
      </c>
      <c r="M1644">
        <v>11</v>
      </c>
      <c r="N1644" s="23" t="str">
        <f t="shared" si="1064"/>
        <v/>
      </c>
      <c r="O1644" s="7" t="str">
        <f t="shared" si="1065"/>
        <v>#</v>
      </c>
      <c r="P1644" s="7" t="str">
        <f t="shared" si="1066"/>
        <v/>
      </c>
      <c r="Q1644" s="7" t="str">
        <f t="shared" si="1067"/>
        <v/>
      </c>
      <c r="R1644" s="17" t="str">
        <f t="shared" si="1068"/>
        <v/>
      </c>
      <c r="S1644" s="8" t="str">
        <f t="shared" si="1069"/>
        <v/>
      </c>
      <c r="T1644" s="2" t="str">
        <f t="shared" si="1070"/>
        <v/>
      </c>
      <c r="U1644" s="2" t="str">
        <f t="shared" si="1071"/>
        <v/>
      </c>
      <c r="V1644" t="str">
        <f t="shared" si="1047"/>
        <v/>
      </c>
      <c r="X1644">
        <f t="shared" si="1074"/>
        <v>0</v>
      </c>
      <c r="Y1644">
        <f t="shared" si="1075"/>
        <v>0</v>
      </c>
      <c r="Z1644">
        <f t="shared" si="1076"/>
        <v>0</v>
      </c>
      <c r="AA1644">
        <f t="shared" si="1077"/>
        <v>0</v>
      </c>
      <c r="AB1644">
        <f t="shared" si="1078"/>
        <v>0</v>
      </c>
      <c r="AC1644">
        <f t="shared" si="1079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73"/>
        <v>p</v>
      </c>
      <c r="M1645">
        <v>12</v>
      </c>
      <c r="N1645" s="23" t="str">
        <f t="shared" si="1064"/>
        <v/>
      </c>
      <c r="O1645" s="7" t="str">
        <f t="shared" si="1065"/>
        <v>#</v>
      </c>
      <c r="P1645" s="7" t="str">
        <f t="shared" si="1066"/>
        <v/>
      </c>
      <c r="Q1645" s="7" t="str">
        <f t="shared" si="1067"/>
        <v/>
      </c>
      <c r="R1645" s="17" t="str">
        <f t="shared" si="1068"/>
        <v/>
      </c>
      <c r="S1645" s="8" t="str">
        <f t="shared" si="1069"/>
        <v/>
      </c>
      <c r="T1645" s="2" t="str">
        <f t="shared" si="1070"/>
        <v/>
      </c>
      <c r="U1645" s="2" t="str">
        <f t="shared" si="1071"/>
        <v/>
      </c>
      <c r="V1645" t="str">
        <f t="shared" si="1047"/>
        <v/>
      </c>
      <c r="X1645">
        <f t="shared" si="1074"/>
        <v>0</v>
      </c>
      <c r="Y1645">
        <f t="shared" si="1075"/>
        <v>0</v>
      </c>
      <c r="Z1645">
        <f t="shared" si="1076"/>
        <v>0</v>
      </c>
      <c r="AA1645">
        <f t="shared" si="1077"/>
        <v>0</v>
      </c>
      <c r="AB1645">
        <f t="shared" si="1078"/>
        <v>0</v>
      </c>
      <c r="AC1645">
        <f t="shared" si="1079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73"/>
        <v>p</v>
      </c>
      <c r="M1646">
        <v>13</v>
      </c>
      <c r="N1646" s="6" t="str">
        <f t="shared" si="1064"/>
        <v>#</v>
      </c>
      <c r="O1646" s="7" t="str">
        <f t="shared" si="1065"/>
        <v>#</v>
      </c>
      <c r="P1646" s="7" t="str">
        <f t="shared" si="1066"/>
        <v>#</v>
      </c>
      <c r="Q1646" s="7" t="str">
        <f t="shared" si="1067"/>
        <v/>
      </c>
      <c r="R1646" s="17" t="str">
        <f t="shared" si="1068"/>
        <v/>
      </c>
      <c r="S1646" s="8" t="str">
        <f t="shared" si="1069"/>
        <v/>
      </c>
      <c r="T1646" s="2" t="str">
        <f t="shared" si="1070"/>
        <v/>
      </c>
      <c r="U1646" s="2" t="str">
        <f t="shared" si="1071"/>
        <v/>
      </c>
      <c r="V1646" t="str">
        <f t="shared" si="1047"/>
        <v/>
      </c>
      <c r="X1646">
        <f t="shared" si="1074"/>
        <v>1</v>
      </c>
      <c r="Y1646">
        <f t="shared" si="1075"/>
        <v>0</v>
      </c>
      <c r="Z1646">
        <f t="shared" si="1076"/>
        <v>1</v>
      </c>
      <c r="AA1646">
        <f t="shared" si="1077"/>
        <v>0</v>
      </c>
      <c r="AB1646">
        <f t="shared" si="1078"/>
        <v>0</v>
      </c>
      <c r="AC1646">
        <f t="shared" si="1079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73"/>
        <v>p</v>
      </c>
      <c r="M1647">
        <v>14</v>
      </c>
      <c r="N1647" s="18" t="str">
        <f t="shared" si="1064"/>
        <v>#</v>
      </c>
      <c r="O1647" s="19" t="str">
        <f t="shared" si="1065"/>
        <v>#</v>
      </c>
      <c r="P1647" s="19" t="str">
        <f t="shared" si="1066"/>
        <v>#</v>
      </c>
      <c r="Q1647" s="19" t="str">
        <f t="shared" si="1067"/>
        <v/>
      </c>
      <c r="R1647" s="20" t="str">
        <f t="shared" si="1068"/>
        <v/>
      </c>
      <c r="S1647" s="8" t="str">
        <f t="shared" si="1069"/>
        <v/>
      </c>
      <c r="T1647" s="2" t="str">
        <f t="shared" si="1070"/>
        <v/>
      </c>
      <c r="U1647" s="2" t="str">
        <f t="shared" si="1071"/>
        <v/>
      </c>
      <c r="V1647" t="str">
        <f t="shared" si="1047"/>
        <v/>
      </c>
      <c r="X1647">
        <f t="shared" si="1074"/>
        <v>0</v>
      </c>
      <c r="Y1647">
        <f t="shared" si="1075"/>
        <v>0</v>
      </c>
      <c r="Z1647">
        <f t="shared" si="1076"/>
        <v>0</v>
      </c>
      <c r="AA1647">
        <f t="shared" si="1077"/>
        <v>0</v>
      </c>
      <c r="AB1647">
        <f t="shared" si="1078"/>
        <v>0</v>
      </c>
      <c r="AC1647">
        <f t="shared" si="1079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73"/>
        <v>p</v>
      </c>
      <c r="M1648">
        <v>15</v>
      </c>
      <c r="N1648" s="9" t="str">
        <f t="shared" si="1064"/>
        <v/>
      </c>
      <c r="O1648" s="10" t="str">
        <f t="shared" si="1065"/>
        <v/>
      </c>
      <c r="P1648" s="10" t="str">
        <f t="shared" si="1066"/>
        <v/>
      </c>
      <c r="Q1648" s="10" t="str">
        <f t="shared" si="1067"/>
        <v/>
      </c>
      <c r="R1648" s="10" t="str">
        <f t="shared" si="1068"/>
        <v/>
      </c>
      <c r="S1648" s="11" t="str">
        <f t="shared" si="1069"/>
        <v/>
      </c>
      <c r="T1648" s="2" t="str">
        <f t="shared" si="1070"/>
        <v/>
      </c>
      <c r="U1648" s="2" t="str">
        <f t="shared" si="1071"/>
        <v/>
      </c>
      <c r="V1648" t="str">
        <f t="shared" si="1047"/>
        <v/>
      </c>
      <c r="X1648">
        <f t="shared" si="1074"/>
        <v>0</v>
      </c>
      <c r="Y1648">
        <f t="shared" si="1075"/>
        <v>0</v>
      </c>
      <c r="Z1648">
        <f t="shared" si="1076"/>
        <v>0</v>
      </c>
      <c r="AA1648">
        <f t="shared" si="1077"/>
        <v>0</v>
      </c>
      <c r="AB1648">
        <f t="shared" si="1078"/>
        <v>0</v>
      </c>
      <c r="AC1648">
        <f t="shared" si="1079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73"/>
        <v>p</v>
      </c>
      <c r="M1649">
        <v>16</v>
      </c>
      <c r="N1649" s="12" t="str">
        <f t="shared" si="1064"/>
        <v/>
      </c>
      <c r="O1649" s="13" t="str">
        <f t="shared" si="1065"/>
        <v/>
      </c>
      <c r="P1649" s="13" t="str">
        <f t="shared" si="1066"/>
        <v/>
      </c>
      <c r="Q1649" s="13" t="str">
        <f t="shared" si="1067"/>
        <v/>
      </c>
      <c r="R1649" s="13" t="str">
        <f t="shared" si="1068"/>
        <v/>
      </c>
      <c r="S1649" s="14" t="str">
        <f t="shared" si="1069"/>
        <v/>
      </c>
      <c r="T1649" s="2" t="str">
        <f t="shared" si="1070"/>
        <v/>
      </c>
      <c r="U1649" s="2" t="str">
        <f t="shared" si="1071"/>
        <v/>
      </c>
      <c r="V1649" t="str">
        <f t="shared" si="1047"/>
        <v/>
      </c>
      <c r="X1649">
        <f t="shared" si="1074"/>
        <v>0</v>
      </c>
      <c r="Y1649">
        <f t="shared" si="1075"/>
        <v>0</v>
      </c>
      <c r="Z1649">
        <f t="shared" si="1076"/>
        <v>0</v>
      </c>
      <c r="AA1649">
        <f t="shared" si="1077"/>
        <v>0</v>
      </c>
      <c r="AB1649">
        <f t="shared" si="1078"/>
        <v>0</v>
      </c>
      <c r="AC1649">
        <f t="shared" si="1079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64"/>
        <v/>
      </c>
      <c r="O1650" t="str">
        <f t="shared" si="1065"/>
        <v/>
      </c>
      <c r="P1650" t="str">
        <f t="shared" si="1066"/>
        <v/>
      </c>
      <c r="Q1650" t="str">
        <f t="shared" si="1067"/>
        <v/>
      </c>
      <c r="R1650" t="str">
        <f t="shared" si="1068"/>
        <v/>
      </c>
      <c r="S1650" t="str">
        <f t="shared" si="1069"/>
        <v/>
      </c>
      <c r="T1650" s="2" t="str">
        <f t="shared" si="1070"/>
        <v/>
      </c>
      <c r="U1650" s="2" t="str">
        <f t="shared" si="1071"/>
        <v/>
      </c>
      <c r="V1650" t="str">
        <f t="shared" si="1047"/>
        <v/>
      </c>
      <c r="W1650">
        <f>SUM(B1652:G1665)</f>
        <v>34</v>
      </c>
      <c r="AD1650">
        <f t="shared" ref="AD1650" si="1080">SUM(X1652:AC1665)</f>
        <v>7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81">L1650</f>
        <v>q</v>
      </c>
      <c r="M1651">
        <v>2</v>
      </c>
      <c r="N1651" t="str">
        <f t="shared" si="1064"/>
        <v/>
      </c>
      <c r="O1651" t="str">
        <f t="shared" si="1065"/>
        <v/>
      </c>
      <c r="P1651" t="str">
        <f t="shared" si="1066"/>
        <v/>
      </c>
      <c r="Q1651" t="str">
        <f t="shared" si="1067"/>
        <v/>
      </c>
      <c r="R1651" t="str">
        <f t="shared" si="1068"/>
        <v/>
      </c>
      <c r="S1651" t="str">
        <f t="shared" si="1069"/>
        <v/>
      </c>
      <c r="T1651" s="2" t="str">
        <f t="shared" si="1070"/>
        <v/>
      </c>
      <c r="U1651" s="2" t="str">
        <f t="shared" si="1071"/>
        <v/>
      </c>
      <c r="V1651" t="str">
        <f t="shared" si="1047"/>
        <v/>
      </c>
      <c r="AE1651" t="str">
        <f>(B1665*128+B1664*64+B1663*32+B1662*16+B1661*8+B1660*4+B1659*2+B1658)*256+B1657*128+B1656*64+B1655*32+B1654*16+B1653*8+B1652*4+B1651*2+B1650&amp;","</f>
        <v>16368,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81"/>
        <v>q</v>
      </c>
      <c r="M1652">
        <v>3</v>
      </c>
      <c r="N1652" s="3" t="str">
        <f t="shared" si="1064"/>
        <v/>
      </c>
      <c r="O1652" s="4" t="str">
        <f t="shared" si="1065"/>
        <v/>
      </c>
      <c r="P1652" s="4" t="str">
        <f t="shared" si="1066"/>
        <v/>
      </c>
      <c r="Q1652" s="4" t="str">
        <f t="shared" si="1067"/>
        <v/>
      </c>
      <c r="R1652" s="4" t="str">
        <f t="shared" si="1068"/>
        <v/>
      </c>
      <c r="S1652" s="5" t="str">
        <f t="shared" si="1069"/>
        <v/>
      </c>
      <c r="T1652" s="2" t="str">
        <f t="shared" si="1070"/>
        <v/>
      </c>
      <c r="U1652" s="2" t="str">
        <f t="shared" si="1071"/>
        <v/>
      </c>
      <c r="V1652" t="str">
        <f t="shared" si="1047"/>
        <v/>
      </c>
      <c r="X1652">
        <f t="shared" ref="X1652:X1665" si="1082">MAX(B1652-B1651,0)</f>
        <v>0</v>
      </c>
      <c r="Y1652">
        <f t="shared" ref="Y1652:Y1665" si="1083">MAX(C1652-C1651,0)</f>
        <v>0</v>
      </c>
      <c r="Z1652">
        <f t="shared" ref="Z1652:Z1665" si="1084">MAX(D1652-D1651,0)</f>
        <v>0</v>
      </c>
      <c r="AA1652">
        <f t="shared" ref="AA1652:AA1665" si="1085">MAX(E1652-E1651,0)</f>
        <v>0</v>
      </c>
      <c r="AB1652">
        <f t="shared" ref="AB1652:AB1665" si="1086">MAX(F1652-F1651,0)</f>
        <v>0</v>
      </c>
      <c r="AC1652">
        <f t="shared" ref="AC1652:AC1665" si="1087">MAX(G1652-G1651,0)</f>
        <v>0</v>
      </c>
      <c r="AE1652" t="str">
        <f>(C1665*128+C1664*64+C1663*32+C1662*16+C1661*8+C1660*4+C1659*2+C1658)*256+C1657*128+C1656*64+C1655*32+C1654*16+C1653*8+C1652*4+C1651*2+C1650&amp;","</f>
        <v>12336,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81"/>
        <v>q</v>
      </c>
      <c r="M1653">
        <v>4</v>
      </c>
      <c r="N1653" s="6" t="str">
        <f t="shared" si="1064"/>
        <v/>
      </c>
      <c r="O1653" s="7" t="str">
        <f t="shared" si="1065"/>
        <v/>
      </c>
      <c r="P1653" s="7" t="str">
        <f t="shared" si="1066"/>
        <v/>
      </c>
      <c r="Q1653" s="7" t="str">
        <f t="shared" si="1067"/>
        <v/>
      </c>
      <c r="R1653" s="7" t="str">
        <f t="shared" si="1068"/>
        <v/>
      </c>
      <c r="S1653" s="8" t="str">
        <f t="shared" si="1069"/>
        <v/>
      </c>
      <c r="T1653" s="2" t="str">
        <f t="shared" si="1070"/>
        <v/>
      </c>
      <c r="U1653" s="2" t="str">
        <f t="shared" si="1071"/>
        <v/>
      </c>
      <c r="V1653" t="str">
        <f t="shared" si="1047"/>
        <v/>
      </c>
      <c r="X1653">
        <f t="shared" si="1082"/>
        <v>0</v>
      </c>
      <c r="Y1653">
        <f t="shared" si="1083"/>
        <v>0</v>
      </c>
      <c r="Z1653">
        <f t="shared" si="1084"/>
        <v>0</v>
      </c>
      <c r="AA1653">
        <f t="shared" si="1085"/>
        <v>0</v>
      </c>
      <c r="AB1653">
        <f t="shared" si="1086"/>
        <v>0</v>
      </c>
      <c r="AC1653">
        <f t="shared" si="1087"/>
        <v>0</v>
      </c>
      <c r="AE1653" t="str">
        <f>(D1665*128+D1664*64+D1663*32+D1662*16+D1661*8+D1660*4+D1659*2+D1658)*256+D1657*128+D1656*64+D1655*32+D1654*16+D1653*8+D1652*4+D1651*2+D1650&amp;","</f>
        <v>15408,</v>
      </c>
    </row>
    <row r="1654" spans="1:31" x14ac:dyDescent="0.2">
      <c r="A1654" s="21"/>
      <c r="B1654" s="21">
        <v>1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81"/>
        <v>q</v>
      </c>
      <c r="M1654">
        <v>5</v>
      </c>
      <c r="N1654" s="22" t="str">
        <f t="shared" si="1064"/>
        <v>#</v>
      </c>
      <c r="O1654" s="15" t="str">
        <f t="shared" si="1065"/>
        <v>#</v>
      </c>
      <c r="P1654" s="15" t="str">
        <f t="shared" si="1066"/>
        <v>#</v>
      </c>
      <c r="Q1654" s="15" t="str">
        <f t="shared" si="1067"/>
        <v>#</v>
      </c>
      <c r="R1654" s="16" t="str">
        <f t="shared" si="1068"/>
        <v/>
      </c>
      <c r="S1654" s="8" t="str">
        <f t="shared" si="1069"/>
        <v/>
      </c>
      <c r="T1654" s="2" t="str">
        <f t="shared" si="1070"/>
        <v/>
      </c>
      <c r="U1654" s="2" t="str">
        <f t="shared" si="1071"/>
        <v/>
      </c>
      <c r="V1654" t="str">
        <f t="shared" si="1047"/>
        <v/>
      </c>
      <c r="X1654">
        <f t="shared" si="1082"/>
        <v>1</v>
      </c>
      <c r="Y1654">
        <f t="shared" si="1083"/>
        <v>1</v>
      </c>
      <c r="Z1654">
        <f t="shared" si="1084"/>
        <v>1</v>
      </c>
      <c r="AA1654">
        <f t="shared" si="1085"/>
        <v>1</v>
      </c>
      <c r="AB1654">
        <f t="shared" si="1086"/>
        <v>0</v>
      </c>
      <c r="AC1654">
        <f t="shared" si="1087"/>
        <v>0</v>
      </c>
      <c r="AE1654" t="str">
        <f>(E1665*128+E1664*64+E1663*32+E1662*16+E1661*8+E1660*4+E1659*2+E1658)*256+E1657*128+E1656*64+E1655*32+E1654*16+E1653*8+E1652*4+E1651*2+E1650&amp;","</f>
        <v>16368,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0</v>
      </c>
      <c r="G1655" s="21">
        <v>0</v>
      </c>
      <c r="H1655" s="21">
        <v>0</v>
      </c>
      <c r="I1655" s="21">
        <v>0</v>
      </c>
      <c r="L1655" t="str">
        <f t="shared" si="1081"/>
        <v>q</v>
      </c>
      <c r="M1655">
        <v>6</v>
      </c>
      <c r="N1655" s="23" t="str">
        <f t="shared" si="1064"/>
        <v>#</v>
      </c>
      <c r="O1655" s="7" t="str">
        <f t="shared" si="1065"/>
        <v>#</v>
      </c>
      <c r="P1655" s="7" t="str">
        <f t="shared" si="1066"/>
        <v>#</v>
      </c>
      <c r="Q1655" s="7" t="str">
        <f t="shared" si="1067"/>
        <v>#</v>
      </c>
      <c r="R1655" s="17" t="str">
        <f t="shared" si="1068"/>
        <v/>
      </c>
      <c r="S1655" s="8" t="str">
        <f t="shared" si="1069"/>
        <v/>
      </c>
      <c r="T1655" s="2" t="str">
        <f t="shared" si="1070"/>
        <v/>
      </c>
      <c r="U1655" s="2" t="str">
        <f t="shared" si="1071"/>
        <v/>
      </c>
      <c r="V1655" t="str">
        <f t="shared" si="1047"/>
        <v/>
      </c>
      <c r="X1655">
        <f t="shared" si="1082"/>
        <v>0</v>
      </c>
      <c r="Y1655">
        <f t="shared" si="1083"/>
        <v>0</v>
      </c>
      <c r="Z1655">
        <f t="shared" si="1084"/>
        <v>0</v>
      </c>
      <c r="AA1655">
        <f t="shared" si="1085"/>
        <v>0</v>
      </c>
      <c r="AB1655">
        <f t="shared" si="1086"/>
        <v>0</v>
      </c>
      <c r="AC1655">
        <f t="shared" si="1087"/>
        <v>0</v>
      </c>
      <c r="AE1655" t="str">
        <f>(F1665*128+F1664*64+F1663*32+F1662*16+F1661*8+F1660*4+F1659*2+F1658)*256+F1657*128+F1656*64+F1655*32+F1654*16+F1653*8+F1652*4+F1651*2+F1650&amp;","</f>
        <v>61440,</v>
      </c>
    </row>
    <row r="1656" spans="1:31" x14ac:dyDescent="0.2">
      <c r="A1656" s="21"/>
      <c r="B1656" s="21">
        <v>1</v>
      </c>
      <c r="C1656" s="21">
        <v>0</v>
      </c>
      <c r="D1656" s="21">
        <v>0</v>
      </c>
      <c r="E1656" s="21">
        <v>1</v>
      </c>
      <c r="F1656" s="21">
        <v>0</v>
      </c>
      <c r="G1656" s="21">
        <v>0</v>
      </c>
      <c r="H1656" s="21">
        <v>0</v>
      </c>
      <c r="I1656" s="21">
        <v>0</v>
      </c>
      <c r="L1656" t="str">
        <f t="shared" si="1081"/>
        <v>q</v>
      </c>
      <c r="M1656">
        <v>7</v>
      </c>
      <c r="N1656" s="23" t="str">
        <f t="shared" si="1064"/>
        <v>#</v>
      </c>
      <c r="O1656" s="7" t="str">
        <f t="shared" si="1065"/>
        <v/>
      </c>
      <c r="P1656" s="7" t="str">
        <f t="shared" si="1066"/>
        <v/>
      </c>
      <c r="Q1656" s="7" t="str">
        <f t="shared" si="1067"/>
        <v>#</v>
      </c>
      <c r="R1656" s="17" t="str">
        <f t="shared" si="1068"/>
        <v/>
      </c>
      <c r="S1656" s="8" t="str">
        <f t="shared" si="1069"/>
        <v/>
      </c>
      <c r="T1656" s="2" t="str">
        <f t="shared" si="1070"/>
        <v/>
      </c>
      <c r="U1656" s="2" t="str">
        <f t="shared" si="1071"/>
        <v/>
      </c>
      <c r="V1656" t="str">
        <f t="shared" si="1047"/>
        <v/>
      </c>
      <c r="X1656">
        <f t="shared" si="1082"/>
        <v>0</v>
      </c>
      <c r="Y1656">
        <f t="shared" si="1083"/>
        <v>0</v>
      </c>
      <c r="Z1656">
        <f t="shared" si="1084"/>
        <v>0</v>
      </c>
      <c r="AA1656">
        <f t="shared" si="1085"/>
        <v>0</v>
      </c>
      <c r="AB1656">
        <f t="shared" si="1086"/>
        <v>0</v>
      </c>
      <c r="AC1656">
        <f t="shared" si="1087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1</v>
      </c>
      <c r="F1657" s="21">
        <v>0</v>
      </c>
      <c r="G1657" s="21">
        <v>0</v>
      </c>
      <c r="H1657" s="21">
        <v>0</v>
      </c>
      <c r="I1657" s="21">
        <v>0</v>
      </c>
      <c r="L1657" t="str">
        <f t="shared" si="1081"/>
        <v>q</v>
      </c>
      <c r="M1657">
        <v>8</v>
      </c>
      <c r="N1657" s="23" t="str">
        <f t="shared" si="1064"/>
        <v>#</v>
      </c>
      <c r="O1657" s="7" t="str">
        <f t="shared" si="1065"/>
        <v/>
      </c>
      <c r="P1657" s="7" t="str">
        <f t="shared" si="1066"/>
        <v/>
      </c>
      <c r="Q1657" s="7" t="str">
        <f t="shared" si="1067"/>
        <v>#</v>
      </c>
      <c r="R1657" s="17" t="str">
        <f t="shared" si="1068"/>
        <v/>
      </c>
      <c r="S1657" s="8" t="str">
        <f t="shared" si="1069"/>
        <v/>
      </c>
      <c r="T1657" s="2" t="str">
        <f t="shared" si="1070"/>
        <v/>
      </c>
      <c r="U1657" s="2" t="str">
        <f t="shared" si="1071"/>
        <v/>
      </c>
      <c r="V1657" t="str">
        <f t="shared" si="1047"/>
        <v/>
      </c>
      <c r="X1657">
        <f t="shared" si="1082"/>
        <v>0</v>
      </c>
      <c r="Y1657">
        <f t="shared" si="1083"/>
        <v>0</v>
      </c>
      <c r="Z1657">
        <f t="shared" si="1084"/>
        <v>0</v>
      </c>
      <c r="AA1657">
        <f t="shared" si="1085"/>
        <v>0</v>
      </c>
      <c r="AB1657">
        <f t="shared" si="1086"/>
        <v>0</v>
      </c>
      <c r="AC1657">
        <f t="shared" si="1087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1</v>
      </c>
      <c r="F1658" s="21">
        <v>0</v>
      </c>
      <c r="G1658" s="21">
        <v>0</v>
      </c>
      <c r="H1658" s="21">
        <v>0</v>
      </c>
      <c r="I1658" s="21">
        <v>0</v>
      </c>
      <c r="L1658" t="str">
        <f t="shared" si="1081"/>
        <v>q</v>
      </c>
      <c r="M1658">
        <v>9</v>
      </c>
      <c r="N1658" s="23" t="str">
        <f t="shared" si="1064"/>
        <v>#</v>
      </c>
      <c r="O1658" s="7" t="str">
        <f t="shared" si="1065"/>
        <v/>
      </c>
      <c r="P1658" s="7" t="str">
        <f t="shared" si="1066"/>
        <v/>
      </c>
      <c r="Q1658" s="7" t="str">
        <f t="shared" si="1067"/>
        <v>#</v>
      </c>
      <c r="R1658" s="17" t="str">
        <f t="shared" si="1068"/>
        <v/>
      </c>
      <c r="S1658" s="8" t="str">
        <f t="shared" si="1069"/>
        <v/>
      </c>
      <c r="T1658" s="2" t="str">
        <f t="shared" si="1070"/>
        <v/>
      </c>
      <c r="U1658" s="2" t="str">
        <f t="shared" si="1071"/>
        <v/>
      </c>
      <c r="V1658" t="str">
        <f t="shared" si="1047"/>
        <v/>
      </c>
      <c r="X1658">
        <f t="shared" si="1082"/>
        <v>0</v>
      </c>
      <c r="Y1658">
        <f t="shared" si="1083"/>
        <v>0</v>
      </c>
      <c r="Z1658">
        <f t="shared" si="1084"/>
        <v>0</v>
      </c>
      <c r="AA1658">
        <f t="shared" si="1085"/>
        <v>0</v>
      </c>
      <c r="AB1658">
        <f t="shared" si="1086"/>
        <v>0</v>
      </c>
      <c r="AC1658">
        <f t="shared" si="1087"/>
        <v>0</v>
      </c>
    </row>
    <row r="1659" spans="1:31" x14ac:dyDescent="0.2">
      <c r="A1659" s="21"/>
      <c r="B1659" s="21">
        <v>1</v>
      </c>
      <c r="C1659" s="21">
        <v>0</v>
      </c>
      <c r="D1659" s="21">
        <v>0</v>
      </c>
      <c r="E1659" s="21">
        <v>1</v>
      </c>
      <c r="F1659" s="21">
        <v>0</v>
      </c>
      <c r="G1659" s="21">
        <v>0</v>
      </c>
      <c r="H1659" s="21">
        <v>0</v>
      </c>
      <c r="I1659" s="21">
        <v>0</v>
      </c>
      <c r="L1659" t="str">
        <f t="shared" si="1081"/>
        <v>q</v>
      </c>
      <c r="M1659">
        <v>10</v>
      </c>
      <c r="N1659" s="23" t="str">
        <f t="shared" si="1064"/>
        <v>#</v>
      </c>
      <c r="O1659" s="7" t="str">
        <f t="shared" si="1065"/>
        <v/>
      </c>
      <c r="P1659" s="7" t="str">
        <f t="shared" si="1066"/>
        <v/>
      </c>
      <c r="Q1659" s="7" t="str">
        <f t="shared" si="1067"/>
        <v>#</v>
      </c>
      <c r="R1659" s="17" t="str">
        <f t="shared" si="1068"/>
        <v/>
      </c>
      <c r="S1659" s="8" t="str">
        <f t="shared" si="1069"/>
        <v/>
      </c>
      <c r="T1659" s="2" t="str">
        <f t="shared" si="1070"/>
        <v/>
      </c>
      <c r="U1659" s="2" t="str">
        <f t="shared" si="1071"/>
        <v/>
      </c>
      <c r="V1659" t="str">
        <f t="shared" si="1047"/>
        <v/>
      </c>
      <c r="X1659">
        <f t="shared" si="1082"/>
        <v>0</v>
      </c>
      <c r="Y1659">
        <f t="shared" si="1083"/>
        <v>0</v>
      </c>
      <c r="Z1659">
        <f t="shared" si="1084"/>
        <v>0</v>
      </c>
      <c r="AA1659">
        <f t="shared" si="1085"/>
        <v>0</v>
      </c>
      <c r="AB1659">
        <f t="shared" si="1086"/>
        <v>0</v>
      </c>
      <c r="AC1659">
        <f t="shared" si="1087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1</v>
      </c>
      <c r="F1660" s="21">
        <v>0</v>
      </c>
      <c r="G1660" s="21">
        <v>0</v>
      </c>
      <c r="H1660" s="21">
        <v>0</v>
      </c>
      <c r="I1660" s="21">
        <v>0</v>
      </c>
      <c r="L1660" t="str">
        <f t="shared" si="1081"/>
        <v>q</v>
      </c>
      <c r="M1660">
        <v>11</v>
      </c>
      <c r="N1660" s="23" t="str">
        <f t="shared" si="1064"/>
        <v>#</v>
      </c>
      <c r="O1660" s="7" t="str">
        <f t="shared" si="1065"/>
        <v/>
      </c>
      <c r="P1660" s="7" t="str">
        <f t="shared" si="1066"/>
        <v>#</v>
      </c>
      <c r="Q1660" s="7" t="str">
        <f t="shared" si="1067"/>
        <v>#</v>
      </c>
      <c r="R1660" s="17" t="str">
        <f t="shared" si="1068"/>
        <v/>
      </c>
      <c r="S1660" s="8" t="str">
        <f t="shared" si="1069"/>
        <v/>
      </c>
      <c r="T1660" s="2" t="str">
        <f t="shared" si="1070"/>
        <v/>
      </c>
      <c r="U1660" s="2" t="str">
        <f t="shared" si="1071"/>
        <v/>
      </c>
      <c r="V1660" t="str">
        <f t="shared" si="1047"/>
        <v/>
      </c>
      <c r="X1660">
        <f t="shared" si="1082"/>
        <v>0</v>
      </c>
      <c r="Y1660">
        <f t="shared" si="1083"/>
        <v>0</v>
      </c>
      <c r="Z1660">
        <f t="shared" si="1084"/>
        <v>1</v>
      </c>
      <c r="AA1660">
        <f t="shared" si="1085"/>
        <v>0</v>
      </c>
      <c r="AB1660">
        <f t="shared" si="1086"/>
        <v>0</v>
      </c>
      <c r="AC1660">
        <f t="shared" si="1087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0</v>
      </c>
      <c r="G1661" s="21">
        <v>0</v>
      </c>
      <c r="H1661" s="21">
        <v>0</v>
      </c>
      <c r="I1661" s="21">
        <v>0</v>
      </c>
      <c r="L1661" t="str">
        <f t="shared" si="1081"/>
        <v>q</v>
      </c>
      <c r="M1661">
        <v>12</v>
      </c>
      <c r="N1661" s="23" t="str">
        <f t="shared" si="1064"/>
        <v>#</v>
      </c>
      <c r="O1661" s="7" t="str">
        <f t="shared" si="1065"/>
        <v/>
      </c>
      <c r="P1661" s="7" t="str">
        <f t="shared" si="1066"/>
        <v>#</v>
      </c>
      <c r="Q1661" s="7" t="str">
        <f t="shared" si="1067"/>
        <v>#</v>
      </c>
      <c r="R1661" s="17" t="str">
        <f t="shared" si="1068"/>
        <v/>
      </c>
      <c r="S1661" s="8" t="str">
        <f t="shared" si="1069"/>
        <v/>
      </c>
      <c r="T1661" s="2" t="str">
        <f t="shared" si="1070"/>
        <v/>
      </c>
      <c r="U1661" s="2" t="str">
        <f t="shared" si="1071"/>
        <v/>
      </c>
      <c r="V1661" t="str">
        <f t="shared" si="1047"/>
        <v/>
      </c>
      <c r="X1661">
        <f t="shared" si="1082"/>
        <v>0</v>
      </c>
      <c r="Y1661">
        <f t="shared" si="1083"/>
        <v>0</v>
      </c>
      <c r="Z1661">
        <f t="shared" si="1084"/>
        <v>0</v>
      </c>
      <c r="AA1661">
        <f t="shared" si="1085"/>
        <v>0</v>
      </c>
      <c r="AB1661">
        <f t="shared" si="1086"/>
        <v>0</v>
      </c>
      <c r="AC1661">
        <f t="shared" si="1087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1</v>
      </c>
      <c r="G1662" s="21">
        <v>0</v>
      </c>
      <c r="H1662" s="21">
        <v>0</v>
      </c>
      <c r="I1662" s="21">
        <v>0</v>
      </c>
      <c r="L1662" t="str">
        <f t="shared" si="1081"/>
        <v>q</v>
      </c>
      <c r="M1662">
        <v>13</v>
      </c>
      <c r="N1662" s="6" t="str">
        <f t="shared" si="1064"/>
        <v>#</v>
      </c>
      <c r="O1662" s="7" t="str">
        <f t="shared" si="1065"/>
        <v>#</v>
      </c>
      <c r="P1662" s="7" t="str">
        <f t="shared" si="1066"/>
        <v>#</v>
      </c>
      <c r="Q1662" s="7" t="str">
        <f t="shared" si="1067"/>
        <v>#</v>
      </c>
      <c r="R1662" s="17" t="str">
        <f t="shared" si="1068"/>
        <v>#</v>
      </c>
      <c r="S1662" s="8" t="str">
        <f t="shared" si="1069"/>
        <v/>
      </c>
      <c r="T1662" s="2" t="str">
        <f t="shared" si="1070"/>
        <v/>
      </c>
      <c r="U1662" s="2" t="str">
        <f t="shared" si="1071"/>
        <v/>
      </c>
      <c r="V1662" t="str">
        <f t="shared" si="1047"/>
        <v/>
      </c>
      <c r="X1662">
        <f t="shared" si="1082"/>
        <v>0</v>
      </c>
      <c r="Y1662">
        <f t="shared" si="1083"/>
        <v>1</v>
      </c>
      <c r="Z1662">
        <f t="shared" si="1084"/>
        <v>0</v>
      </c>
      <c r="AA1662">
        <f t="shared" si="1085"/>
        <v>0</v>
      </c>
      <c r="AB1662">
        <f t="shared" si="1086"/>
        <v>1</v>
      </c>
      <c r="AC1662">
        <f t="shared" si="1087"/>
        <v>0</v>
      </c>
    </row>
    <row r="1663" spans="1:31" ht="13.5" thickBot="1" x14ac:dyDescent="0.25">
      <c r="A1663" s="21"/>
      <c r="B1663" s="21">
        <v>1</v>
      </c>
      <c r="C1663" s="21">
        <v>1</v>
      </c>
      <c r="D1663" s="21">
        <v>1</v>
      </c>
      <c r="E1663" s="21">
        <v>1</v>
      </c>
      <c r="F1663" s="21">
        <v>1</v>
      </c>
      <c r="G1663" s="21">
        <v>0</v>
      </c>
      <c r="H1663" s="21">
        <v>0</v>
      </c>
      <c r="I1663" s="21">
        <v>0</v>
      </c>
      <c r="L1663" t="str">
        <f t="shared" si="1081"/>
        <v>q</v>
      </c>
      <c r="M1663">
        <v>14</v>
      </c>
      <c r="N1663" s="18" t="str">
        <f t="shared" si="1064"/>
        <v>#</v>
      </c>
      <c r="O1663" s="19" t="str">
        <f t="shared" si="1065"/>
        <v>#</v>
      </c>
      <c r="P1663" s="19" t="str">
        <f t="shared" si="1066"/>
        <v>#</v>
      </c>
      <c r="Q1663" s="19" t="str">
        <f t="shared" si="1067"/>
        <v>#</v>
      </c>
      <c r="R1663" s="20" t="str">
        <f t="shared" si="1068"/>
        <v>#</v>
      </c>
      <c r="S1663" s="8" t="str">
        <f t="shared" si="1069"/>
        <v/>
      </c>
      <c r="T1663" s="2" t="str">
        <f t="shared" si="1070"/>
        <v/>
      </c>
      <c r="U1663" s="2" t="str">
        <f t="shared" si="1071"/>
        <v/>
      </c>
      <c r="V1663" t="str">
        <f t="shared" si="1047"/>
        <v/>
      </c>
      <c r="X1663">
        <f t="shared" si="1082"/>
        <v>0</v>
      </c>
      <c r="Y1663">
        <f t="shared" si="1083"/>
        <v>0</v>
      </c>
      <c r="Z1663">
        <f t="shared" si="1084"/>
        <v>0</v>
      </c>
      <c r="AA1663">
        <f t="shared" si="1085"/>
        <v>0</v>
      </c>
      <c r="AB1663">
        <f t="shared" si="1086"/>
        <v>0</v>
      </c>
      <c r="AC1663">
        <f t="shared" si="1087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0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81"/>
        <v>q</v>
      </c>
      <c r="M1664">
        <v>15</v>
      </c>
      <c r="N1664" s="9" t="str">
        <f t="shared" si="1064"/>
        <v/>
      </c>
      <c r="O1664" s="10" t="str">
        <f t="shared" si="1065"/>
        <v/>
      </c>
      <c r="P1664" s="10" t="str">
        <f t="shared" si="1066"/>
        <v/>
      </c>
      <c r="Q1664" s="10" t="str">
        <f t="shared" si="1067"/>
        <v/>
      </c>
      <c r="R1664" s="10" t="str">
        <f t="shared" si="1068"/>
        <v>#</v>
      </c>
      <c r="S1664" s="11" t="str">
        <f t="shared" si="1069"/>
        <v/>
      </c>
      <c r="T1664" s="2" t="str">
        <f t="shared" si="1070"/>
        <v/>
      </c>
      <c r="U1664" s="2" t="str">
        <f t="shared" si="1071"/>
        <v/>
      </c>
      <c r="V1664" t="str">
        <f t="shared" si="1047"/>
        <v/>
      </c>
      <c r="X1664">
        <f t="shared" si="1082"/>
        <v>0</v>
      </c>
      <c r="Y1664">
        <f t="shared" si="1083"/>
        <v>0</v>
      </c>
      <c r="Z1664">
        <f t="shared" si="1084"/>
        <v>0</v>
      </c>
      <c r="AA1664">
        <f t="shared" si="1085"/>
        <v>0</v>
      </c>
      <c r="AB1664">
        <f t="shared" si="1086"/>
        <v>0</v>
      </c>
      <c r="AC1664">
        <f t="shared" si="1087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81"/>
        <v>q</v>
      </c>
      <c r="M1665">
        <v>16</v>
      </c>
      <c r="N1665" s="12" t="str">
        <f t="shared" si="1064"/>
        <v/>
      </c>
      <c r="O1665" s="13" t="str">
        <f t="shared" si="1065"/>
        <v/>
      </c>
      <c r="P1665" s="13" t="str">
        <f t="shared" si="1066"/>
        <v/>
      </c>
      <c r="Q1665" s="13" t="str">
        <f t="shared" si="1067"/>
        <v/>
      </c>
      <c r="R1665" s="13" t="str">
        <f t="shared" si="1068"/>
        <v>#</v>
      </c>
      <c r="S1665" s="14" t="str">
        <f t="shared" si="1069"/>
        <v/>
      </c>
      <c r="T1665" s="2" t="str">
        <f t="shared" si="1070"/>
        <v/>
      </c>
      <c r="U1665" s="2" t="str">
        <f t="shared" si="1071"/>
        <v/>
      </c>
      <c r="V1665" t="str">
        <f t="shared" si="1047"/>
        <v/>
      </c>
      <c r="X1665">
        <f t="shared" si="1082"/>
        <v>0</v>
      </c>
      <c r="Y1665">
        <f t="shared" si="1083"/>
        <v>0</v>
      </c>
      <c r="Z1665">
        <f t="shared" si="1084"/>
        <v>0</v>
      </c>
      <c r="AA1665">
        <f t="shared" si="1085"/>
        <v>0</v>
      </c>
      <c r="AB1665">
        <f t="shared" si="1086"/>
        <v>0</v>
      </c>
      <c r="AC1665">
        <f t="shared" si="1087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64"/>
        <v/>
      </c>
      <c r="O1666" t="str">
        <f t="shared" si="1065"/>
        <v/>
      </c>
      <c r="P1666" t="str">
        <f t="shared" si="1066"/>
        <v/>
      </c>
      <c r="Q1666" t="str">
        <f t="shared" si="1067"/>
        <v/>
      </c>
      <c r="R1666" t="str">
        <f t="shared" si="1068"/>
        <v/>
      </c>
      <c r="S1666" t="str">
        <f t="shared" si="1069"/>
        <v/>
      </c>
      <c r="T1666" s="2" t="str">
        <f t="shared" si="1070"/>
        <v/>
      </c>
      <c r="U1666" s="2" t="str">
        <f t="shared" si="1071"/>
        <v/>
      </c>
      <c r="V1666" t="str">
        <f t="shared" ref="V1666:V1729" si="1088">IF(A1666=0,"",M1666)</f>
        <v/>
      </c>
      <c r="W1666">
        <f>SUM(B1668:G1681)</f>
        <v>31</v>
      </c>
      <c r="AD1666">
        <f t="shared" ref="AD1666" si="1089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90">L1666</f>
        <v>r</v>
      </c>
      <c r="M1667">
        <v>2</v>
      </c>
      <c r="N1667" t="str">
        <f t="shared" si="1064"/>
        <v/>
      </c>
      <c r="O1667" t="str">
        <f t="shared" si="1065"/>
        <v/>
      </c>
      <c r="P1667" t="str">
        <f t="shared" si="1066"/>
        <v/>
      </c>
      <c r="Q1667" t="str">
        <f t="shared" si="1067"/>
        <v/>
      </c>
      <c r="R1667" t="str">
        <f t="shared" si="1068"/>
        <v/>
      </c>
      <c r="S1667" t="str">
        <f t="shared" si="1069"/>
        <v/>
      </c>
      <c r="T1667" s="2" t="str">
        <f t="shared" si="1070"/>
        <v/>
      </c>
      <c r="U1667" s="2" t="str">
        <f t="shared" si="1071"/>
        <v/>
      </c>
      <c r="V1667" t="str">
        <f t="shared" si="1088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90"/>
        <v>r</v>
      </c>
      <c r="M1668">
        <v>3</v>
      </c>
      <c r="N1668" s="3" t="str">
        <f t="shared" si="1064"/>
        <v/>
      </c>
      <c r="O1668" s="4" t="str">
        <f t="shared" si="1065"/>
        <v/>
      </c>
      <c r="P1668" s="4" t="str">
        <f t="shared" si="1066"/>
        <v/>
      </c>
      <c r="Q1668" s="4" t="str">
        <f t="shared" si="1067"/>
        <v/>
      </c>
      <c r="R1668" s="4" t="str">
        <f t="shared" si="1068"/>
        <v/>
      </c>
      <c r="S1668" s="5" t="str">
        <f t="shared" si="1069"/>
        <v/>
      </c>
      <c r="T1668" s="2" t="str">
        <f t="shared" si="1070"/>
        <v/>
      </c>
      <c r="U1668" s="2" t="str">
        <f t="shared" si="1071"/>
        <v/>
      </c>
      <c r="V1668" t="str">
        <f t="shared" si="1088"/>
        <v/>
      </c>
      <c r="X1668">
        <f t="shared" ref="X1668:X1681" si="1091">MAX(B1668-B1667,0)</f>
        <v>0</v>
      </c>
      <c r="Y1668">
        <f t="shared" ref="Y1668:Y1681" si="1092">MAX(C1668-C1667,0)</f>
        <v>0</v>
      </c>
      <c r="Z1668">
        <f t="shared" ref="Z1668:Z1681" si="1093">MAX(D1668-D1667,0)</f>
        <v>0</v>
      </c>
      <c r="AA1668">
        <f t="shared" ref="AA1668:AA1681" si="1094">MAX(E1668-E1667,0)</f>
        <v>0</v>
      </c>
      <c r="AB1668">
        <f t="shared" ref="AB1668:AB1681" si="1095">MAX(F1668-F1667,0)</f>
        <v>0</v>
      </c>
      <c r="AC1668">
        <f t="shared" ref="AC1668:AC1681" si="1096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90"/>
        <v>r</v>
      </c>
      <c r="M1669">
        <v>4</v>
      </c>
      <c r="N1669" s="6" t="str">
        <f t="shared" si="1064"/>
        <v/>
      </c>
      <c r="O1669" s="7" t="str">
        <f t="shared" si="1065"/>
        <v/>
      </c>
      <c r="P1669" s="7" t="str">
        <f t="shared" si="1066"/>
        <v/>
      </c>
      <c r="Q1669" s="7" t="str">
        <f t="shared" si="1067"/>
        <v/>
      </c>
      <c r="R1669" s="7" t="str">
        <f t="shared" si="1068"/>
        <v/>
      </c>
      <c r="S1669" s="8" t="str">
        <f t="shared" si="1069"/>
        <v/>
      </c>
      <c r="T1669" s="2" t="str">
        <f t="shared" si="1070"/>
        <v/>
      </c>
      <c r="U1669" s="2" t="str">
        <f t="shared" si="1071"/>
        <v/>
      </c>
      <c r="V1669" t="str">
        <f t="shared" si="1088"/>
        <v/>
      </c>
      <c r="X1669">
        <f t="shared" si="1091"/>
        <v>0</v>
      </c>
      <c r="Y1669">
        <f t="shared" si="1092"/>
        <v>0</v>
      </c>
      <c r="Z1669">
        <f t="shared" si="1093"/>
        <v>0</v>
      </c>
      <c r="AA1669">
        <f t="shared" si="1094"/>
        <v>0</v>
      </c>
      <c r="AB1669">
        <f t="shared" si="1095"/>
        <v>0</v>
      </c>
      <c r="AC1669">
        <f t="shared" si="1096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90"/>
        <v>r</v>
      </c>
      <c r="M1670">
        <v>5</v>
      </c>
      <c r="N1670" s="22" t="str">
        <f t="shared" si="1064"/>
        <v>#</v>
      </c>
      <c r="O1670" s="15" t="str">
        <f t="shared" si="1065"/>
        <v>#</v>
      </c>
      <c r="P1670" s="15" t="str">
        <f t="shared" si="1066"/>
        <v>#</v>
      </c>
      <c r="Q1670" s="15" t="str">
        <f t="shared" si="1067"/>
        <v>#</v>
      </c>
      <c r="R1670" s="16" t="str">
        <f t="shared" si="1068"/>
        <v/>
      </c>
      <c r="S1670" s="8" t="str">
        <f t="shared" si="1069"/>
        <v/>
      </c>
      <c r="T1670" s="2" t="str">
        <f t="shared" si="1070"/>
        <v/>
      </c>
      <c r="U1670" s="2" t="str">
        <f t="shared" si="1071"/>
        <v/>
      </c>
      <c r="V1670" t="str">
        <f t="shared" si="1088"/>
        <v/>
      </c>
      <c r="X1670">
        <f t="shared" si="1091"/>
        <v>1</v>
      </c>
      <c r="Y1670">
        <f t="shared" si="1092"/>
        <v>1</v>
      </c>
      <c r="Z1670">
        <f t="shared" si="1093"/>
        <v>1</v>
      </c>
      <c r="AA1670">
        <f t="shared" si="1094"/>
        <v>1</v>
      </c>
      <c r="AB1670">
        <f t="shared" si="1095"/>
        <v>0</v>
      </c>
      <c r="AC1670">
        <f t="shared" si="1096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90"/>
        <v>r</v>
      </c>
      <c r="M1671">
        <v>6</v>
      </c>
      <c r="N1671" s="23" t="str">
        <f t="shared" si="1064"/>
        <v>#</v>
      </c>
      <c r="O1671" s="7" t="str">
        <f t="shared" si="1065"/>
        <v>#</v>
      </c>
      <c r="P1671" s="7" t="str">
        <f t="shared" si="1066"/>
        <v>#</v>
      </c>
      <c r="Q1671" s="7" t="str">
        <f t="shared" si="1067"/>
        <v>#</v>
      </c>
      <c r="R1671" s="17" t="str">
        <f t="shared" si="1068"/>
        <v>#</v>
      </c>
      <c r="S1671" s="8" t="str">
        <f t="shared" si="1069"/>
        <v/>
      </c>
      <c r="T1671" s="2" t="str">
        <f t="shared" si="1070"/>
        <v/>
      </c>
      <c r="U1671" s="2" t="str">
        <f t="shared" si="1071"/>
        <v/>
      </c>
      <c r="V1671" t="str">
        <f t="shared" si="1088"/>
        <v/>
      </c>
      <c r="X1671">
        <f t="shared" si="1091"/>
        <v>0</v>
      </c>
      <c r="Y1671">
        <f t="shared" si="1092"/>
        <v>0</v>
      </c>
      <c r="Z1671">
        <f t="shared" si="1093"/>
        <v>0</v>
      </c>
      <c r="AA1671">
        <f t="shared" si="1094"/>
        <v>0</v>
      </c>
      <c r="AB1671">
        <f t="shared" si="1095"/>
        <v>1</v>
      </c>
      <c r="AC1671">
        <f t="shared" si="1096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90"/>
        <v>r</v>
      </c>
      <c r="M1672">
        <v>7</v>
      </c>
      <c r="N1672" s="23" t="str">
        <f t="shared" si="1064"/>
        <v>#</v>
      </c>
      <c r="O1672" s="7" t="str">
        <f t="shared" si="1065"/>
        <v/>
      </c>
      <c r="P1672" s="7" t="str">
        <f t="shared" si="1066"/>
        <v/>
      </c>
      <c r="Q1672" s="7" t="str">
        <f t="shared" si="1067"/>
        <v/>
      </c>
      <c r="R1672" s="17" t="str">
        <f t="shared" si="1068"/>
        <v>#</v>
      </c>
      <c r="S1672" s="8" t="str">
        <f t="shared" si="1069"/>
        <v/>
      </c>
      <c r="T1672" s="2" t="str">
        <f t="shared" si="1070"/>
        <v/>
      </c>
      <c r="U1672" s="2" t="str">
        <f t="shared" si="1071"/>
        <v/>
      </c>
      <c r="V1672" t="str">
        <f t="shared" si="1088"/>
        <v/>
      </c>
      <c r="X1672">
        <f t="shared" si="1091"/>
        <v>0</v>
      </c>
      <c r="Y1672">
        <f t="shared" si="1092"/>
        <v>0</v>
      </c>
      <c r="Z1672">
        <f t="shared" si="1093"/>
        <v>0</v>
      </c>
      <c r="AA1672">
        <f t="shared" si="1094"/>
        <v>0</v>
      </c>
      <c r="AB1672">
        <f t="shared" si="1095"/>
        <v>0</v>
      </c>
      <c r="AC1672">
        <f t="shared" si="1096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90"/>
        <v>r</v>
      </c>
      <c r="M1673">
        <v>8</v>
      </c>
      <c r="N1673" s="23" t="str">
        <f t="shared" si="1064"/>
        <v>#</v>
      </c>
      <c r="O1673" s="7" t="str">
        <f t="shared" si="1065"/>
        <v/>
      </c>
      <c r="P1673" s="7" t="str">
        <f t="shared" si="1066"/>
        <v/>
      </c>
      <c r="Q1673" s="7" t="str">
        <f t="shared" si="1067"/>
        <v/>
      </c>
      <c r="R1673" s="17" t="str">
        <f t="shared" si="1068"/>
        <v>#</v>
      </c>
      <c r="S1673" s="8" t="str">
        <f t="shared" si="1069"/>
        <v/>
      </c>
      <c r="T1673" s="2" t="str">
        <f t="shared" si="1070"/>
        <v/>
      </c>
      <c r="U1673" s="2" t="str">
        <f t="shared" si="1071"/>
        <v/>
      </c>
      <c r="V1673" t="str">
        <f t="shared" si="1088"/>
        <v/>
      </c>
      <c r="X1673">
        <f t="shared" si="1091"/>
        <v>0</v>
      </c>
      <c r="Y1673">
        <f t="shared" si="1092"/>
        <v>0</v>
      </c>
      <c r="Z1673">
        <f t="shared" si="1093"/>
        <v>0</v>
      </c>
      <c r="AA1673">
        <f t="shared" si="1094"/>
        <v>0</v>
      </c>
      <c r="AB1673">
        <f t="shared" si="1095"/>
        <v>0</v>
      </c>
      <c r="AC1673">
        <f t="shared" si="1096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90"/>
        <v>r</v>
      </c>
      <c r="M1674">
        <v>9</v>
      </c>
      <c r="N1674" s="23" t="str">
        <f t="shared" si="1064"/>
        <v>#</v>
      </c>
      <c r="O1674" s="7" t="str">
        <f t="shared" si="1065"/>
        <v>#</v>
      </c>
      <c r="P1674" s="7" t="str">
        <f t="shared" si="1066"/>
        <v>#</v>
      </c>
      <c r="Q1674" s="7" t="str">
        <f t="shared" si="1067"/>
        <v>#</v>
      </c>
      <c r="R1674" s="17" t="str">
        <f t="shared" si="1068"/>
        <v>#</v>
      </c>
      <c r="S1674" s="8" t="str">
        <f t="shared" si="1069"/>
        <v/>
      </c>
      <c r="T1674" s="2" t="str">
        <f t="shared" si="1070"/>
        <v/>
      </c>
      <c r="U1674" s="2" t="str">
        <f t="shared" si="1071"/>
        <v/>
      </c>
      <c r="V1674" t="str">
        <f t="shared" si="1088"/>
        <v/>
      </c>
      <c r="X1674">
        <f t="shared" si="1091"/>
        <v>0</v>
      </c>
      <c r="Y1674">
        <f t="shared" si="1092"/>
        <v>1</v>
      </c>
      <c r="Z1674">
        <f t="shared" si="1093"/>
        <v>1</v>
      </c>
      <c r="AA1674">
        <f t="shared" si="1094"/>
        <v>1</v>
      </c>
      <c r="AB1674">
        <f t="shared" si="1095"/>
        <v>0</v>
      </c>
      <c r="AC1674">
        <f t="shared" si="1096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90"/>
        <v>r</v>
      </c>
      <c r="M1675">
        <v>10</v>
      </c>
      <c r="N1675" s="23" t="str">
        <f t="shared" si="1064"/>
        <v>#</v>
      </c>
      <c r="O1675" s="7" t="str">
        <f t="shared" si="1065"/>
        <v>#</v>
      </c>
      <c r="P1675" s="7" t="str">
        <f t="shared" si="1066"/>
        <v>#</v>
      </c>
      <c r="Q1675" s="7" t="str">
        <f t="shared" si="1067"/>
        <v>#</v>
      </c>
      <c r="R1675" s="17" t="str">
        <f t="shared" si="1068"/>
        <v/>
      </c>
      <c r="S1675" s="8" t="str">
        <f t="shared" si="1069"/>
        <v/>
      </c>
      <c r="T1675" s="2" t="str">
        <f t="shared" si="1070"/>
        <v/>
      </c>
      <c r="U1675" s="2" t="str">
        <f t="shared" si="1071"/>
        <v/>
      </c>
      <c r="V1675" t="str">
        <f t="shared" si="1088"/>
        <v/>
      </c>
      <c r="X1675">
        <f t="shared" si="1091"/>
        <v>0</v>
      </c>
      <c r="Y1675">
        <f t="shared" si="1092"/>
        <v>0</v>
      </c>
      <c r="Z1675">
        <f t="shared" si="1093"/>
        <v>0</v>
      </c>
      <c r="AA1675">
        <f t="shared" si="1094"/>
        <v>0</v>
      </c>
      <c r="AB1675">
        <f t="shared" si="1095"/>
        <v>0</v>
      </c>
      <c r="AC1675">
        <f t="shared" si="1096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90"/>
        <v>r</v>
      </c>
      <c r="M1676">
        <v>11</v>
      </c>
      <c r="N1676" s="23" t="str">
        <f t="shared" si="1064"/>
        <v>#</v>
      </c>
      <c r="O1676" s="7" t="str">
        <f t="shared" si="1065"/>
        <v/>
      </c>
      <c r="P1676" s="7" t="str">
        <f t="shared" si="1066"/>
        <v/>
      </c>
      <c r="Q1676" s="7" t="str">
        <f t="shared" si="1067"/>
        <v>#</v>
      </c>
      <c r="R1676" s="17" t="str">
        <f t="shared" si="1068"/>
        <v/>
      </c>
      <c r="S1676" s="8" t="str">
        <f t="shared" si="1069"/>
        <v/>
      </c>
      <c r="T1676" s="2" t="str">
        <f t="shared" si="1070"/>
        <v/>
      </c>
      <c r="U1676" s="2" t="str">
        <f t="shared" si="1071"/>
        <v/>
      </c>
      <c r="V1676" t="str">
        <f t="shared" si="1088"/>
        <v/>
      </c>
      <c r="X1676">
        <f t="shared" si="1091"/>
        <v>0</v>
      </c>
      <c r="Y1676">
        <f t="shared" si="1092"/>
        <v>0</v>
      </c>
      <c r="Z1676">
        <f t="shared" si="1093"/>
        <v>0</v>
      </c>
      <c r="AA1676">
        <f t="shared" si="1094"/>
        <v>0</v>
      </c>
      <c r="AB1676">
        <f t="shared" si="1095"/>
        <v>0</v>
      </c>
      <c r="AC1676">
        <f t="shared" si="1096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90"/>
        <v>r</v>
      </c>
      <c r="M1677">
        <v>12</v>
      </c>
      <c r="N1677" s="23" t="str">
        <f t="shared" si="1064"/>
        <v>#</v>
      </c>
      <c r="O1677" s="7" t="str">
        <f t="shared" si="1065"/>
        <v/>
      </c>
      <c r="P1677" s="7" t="str">
        <f t="shared" si="1066"/>
        <v/>
      </c>
      <c r="Q1677" s="7" t="str">
        <f t="shared" si="1067"/>
        <v>#</v>
      </c>
      <c r="R1677" s="17" t="str">
        <f t="shared" si="1068"/>
        <v>#</v>
      </c>
      <c r="S1677" s="8" t="str">
        <f t="shared" si="1069"/>
        <v/>
      </c>
      <c r="T1677" s="2" t="str">
        <f t="shared" si="1070"/>
        <v/>
      </c>
      <c r="U1677" s="2" t="str">
        <f t="shared" si="1071"/>
        <v/>
      </c>
      <c r="V1677" t="str">
        <f t="shared" si="1088"/>
        <v/>
      </c>
      <c r="X1677">
        <f t="shared" si="1091"/>
        <v>0</v>
      </c>
      <c r="Y1677">
        <f t="shared" si="1092"/>
        <v>0</v>
      </c>
      <c r="Z1677">
        <f t="shared" si="1093"/>
        <v>0</v>
      </c>
      <c r="AA1677">
        <f t="shared" si="1094"/>
        <v>0</v>
      </c>
      <c r="AB1677">
        <f t="shared" si="1095"/>
        <v>1</v>
      </c>
      <c r="AC1677">
        <f t="shared" si="1096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90"/>
        <v>r</v>
      </c>
      <c r="M1678">
        <v>13</v>
      </c>
      <c r="N1678" s="6" t="str">
        <f t="shared" si="1064"/>
        <v>#</v>
      </c>
      <c r="O1678" s="7" t="str">
        <f t="shared" si="1065"/>
        <v/>
      </c>
      <c r="P1678" s="7" t="str">
        <f t="shared" si="1066"/>
        <v/>
      </c>
      <c r="Q1678" s="7" t="str">
        <f t="shared" si="1067"/>
        <v/>
      </c>
      <c r="R1678" s="17" t="str">
        <f t="shared" si="1068"/>
        <v>#</v>
      </c>
      <c r="S1678" s="8" t="str">
        <f t="shared" si="1069"/>
        <v/>
      </c>
      <c r="T1678" s="2" t="str">
        <f t="shared" si="1070"/>
        <v/>
      </c>
      <c r="U1678" s="2" t="str">
        <f t="shared" si="1071"/>
        <v/>
      </c>
      <c r="V1678" t="str">
        <f t="shared" si="1088"/>
        <v/>
      </c>
      <c r="X1678">
        <f t="shared" si="1091"/>
        <v>0</v>
      </c>
      <c r="Y1678">
        <f t="shared" si="1092"/>
        <v>0</v>
      </c>
      <c r="Z1678">
        <f t="shared" si="1093"/>
        <v>0</v>
      </c>
      <c r="AA1678">
        <f t="shared" si="1094"/>
        <v>0</v>
      </c>
      <c r="AB1678">
        <f t="shared" si="1095"/>
        <v>0</v>
      </c>
      <c r="AC1678">
        <f t="shared" si="1096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90"/>
        <v>r</v>
      </c>
      <c r="M1679">
        <v>14</v>
      </c>
      <c r="N1679" s="18" t="str">
        <f t="shared" si="1064"/>
        <v>#</v>
      </c>
      <c r="O1679" s="19" t="str">
        <f t="shared" si="1065"/>
        <v/>
      </c>
      <c r="P1679" s="19" t="str">
        <f t="shared" si="1066"/>
        <v/>
      </c>
      <c r="Q1679" s="19" t="str">
        <f t="shared" si="1067"/>
        <v/>
      </c>
      <c r="R1679" s="20" t="str">
        <f t="shared" si="1068"/>
        <v>#</v>
      </c>
      <c r="S1679" s="8" t="str">
        <f t="shared" si="1069"/>
        <v/>
      </c>
      <c r="T1679" s="2" t="str">
        <f t="shared" si="1070"/>
        <v/>
      </c>
      <c r="U1679" s="2" t="str">
        <f t="shared" si="1071"/>
        <v/>
      </c>
      <c r="V1679" t="str">
        <f t="shared" si="1088"/>
        <v/>
      </c>
      <c r="X1679">
        <f t="shared" si="1091"/>
        <v>0</v>
      </c>
      <c r="Y1679">
        <f t="shared" si="1092"/>
        <v>0</v>
      </c>
      <c r="Z1679">
        <f t="shared" si="1093"/>
        <v>0</v>
      </c>
      <c r="AA1679">
        <f t="shared" si="1094"/>
        <v>0</v>
      </c>
      <c r="AB1679">
        <f t="shared" si="1095"/>
        <v>0</v>
      </c>
      <c r="AC1679">
        <f t="shared" si="1096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90"/>
        <v>r</v>
      </c>
      <c r="M1680">
        <v>15</v>
      </c>
      <c r="N1680" s="9" t="str">
        <f t="shared" si="1064"/>
        <v/>
      </c>
      <c r="O1680" s="10" t="str">
        <f t="shared" si="1065"/>
        <v/>
      </c>
      <c r="P1680" s="10" t="str">
        <f t="shared" si="1066"/>
        <v/>
      </c>
      <c r="Q1680" s="10" t="str">
        <f t="shared" si="1067"/>
        <v/>
      </c>
      <c r="R1680" s="10" t="str">
        <f t="shared" si="1068"/>
        <v/>
      </c>
      <c r="S1680" s="11" t="str">
        <f t="shared" si="1069"/>
        <v/>
      </c>
      <c r="T1680" s="2" t="str">
        <f t="shared" si="1070"/>
        <v/>
      </c>
      <c r="U1680" s="2" t="str">
        <f t="shared" si="1071"/>
        <v/>
      </c>
      <c r="V1680" t="str">
        <f t="shared" si="1088"/>
        <v/>
      </c>
      <c r="X1680">
        <f t="shared" si="1091"/>
        <v>0</v>
      </c>
      <c r="Y1680">
        <f t="shared" si="1092"/>
        <v>0</v>
      </c>
      <c r="Z1680">
        <f t="shared" si="1093"/>
        <v>0</v>
      </c>
      <c r="AA1680">
        <f t="shared" si="1094"/>
        <v>0</v>
      </c>
      <c r="AB1680">
        <f t="shared" si="1095"/>
        <v>0</v>
      </c>
      <c r="AC1680">
        <f t="shared" si="1096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90"/>
        <v>r</v>
      </c>
      <c r="M1681">
        <v>16</v>
      </c>
      <c r="N1681" s="12" t="str">
        <f t="shared" si="1064"/>
        <v/>
      </c>
      <c r="O1681" s="13" t="str">
        <f t="shared" si="1065"/>
        <v/>
      </c>
      <c r="P1681" s="13" t="str">
        <f t="shared" si="1066"/>
        <v/>
      </c>
      <c r="Q1681" s="13" t="str">
        <f t="shared" si="1067"/>
        <v/>
      </c>
      <c r="R1681" s="13" t="str">
        <f t="shared" si="1068"/>
        <v/>
      </c>
      <c r="S1681" s="14" t="str">
        <f t="shared" si="1069"/>
        <v/>
      </c>
      <c r="T1681" s="2" t="str">
        <f t="shared" si="1070"/>
        <v/>
      </c>
      <c r="U1681" s="2" t="str">
        <f t="shared" si="1071"/>
        <v/>
      </c>
      <c r="V1681" t="str">
        <f t="shared" si="1088"/>
        <v/>
      </c>
      <c r="X1681">
        <f t="shared" si="1091"/>
        <v>0</v>
      </c>
      <c r="Y1681">
        <f t="shared" si="1092"/>
        <v>0</v>
      </c>
      <c r="Z1681">
        <f t="shared" si="1093"/>
        <v>0</v>
      </c>
      <c r="AA1681">
        <f t="shared" si="1094"/>
        <v>0</v>
      </c>
      <c r="AB1681">
        <f t="shared" si="1095"/>
        <v>0</v>
      </c>
      <c r="AC1681">
        <f t="shared" si="1096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64"/>
        <v/>
      </c>
      <c r="O1682" t="str">
        <f t="shared" si="1065"/>
        <v/>
      </c>
      <c r="P1682" t="str">
        <f t="shared" si="1066"/>
        <v/>
      </c>
      <c r="Q1682" t="str">
        <f t="shared" si="1067"/>
        <v/>
      </c>
      <c r="R1682" t="str">
        <f t="shared" si="1068"/>
        <v/>
      </c>
      <c r="S1682" t="str">
        <f t="shared" si="1069"/>
        <v/>
      </c>
      <c r="T1682" s="2" t="str">
        <f t="shared" si="1070"/>
        <v/>
      </c>
      <c r="U1682" s="2" t="str">
        <f t="shared" si="1071"/>
        <v/>
      </c>
      <c r="V1682" t="str">
        <f t="shared" si="1088"/>
        <v/>
      </c>
      <c r="W1682">
        <f>SUM(B1684:G1697)</f>
        <v>30</v>
      </c>
      <c r="AD1682">
        <f t="shared" ref="AD1682" si="1097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8">L1682</f>
        <v>s</v>
      </c>
      <c r="M1683">
        <v>2</v>
      </c>
      <c r="N1683" t="str">
        <f t="shared" si="1064"/>
        <v/>
      </c>
      <c r="O1683" t="str">
        <f t="shared" si="1065"/>
        <v/>
      </c>
      <c r="P1683" t="str">
        <f t="shared" si="1066"/>
        <v/>
      </c>
      <c r="Q1683" t="str">
        <f t="shared" si="1067"/>
        <v/>
      </c>
      <c r="R1683" t="str">
        <f t="shared" si="1068"/>
        <v/>
      </c>
      <c r="S1683" t="str">
        <f t="shared" si="1069"/>
        <v/>
      </c>
      <c r="T1683" s="2" t="str">
        <f t="shared" si="1070"/>
        <v/>
      </c>
      <c r="U1683" s="2" t="str">
        <f t="shared" si="1071"/>
        <v/>
      </c>
      <c r="V1683" t="str">
        <f t="shared" si="1088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8"/>
        <v>s</v>
      </c>
      <c r="M1684">
        <v>3</v>
      </c>
      <c r="N1684" s="3" t="str">
        <f t="shared" si="1064"/>
        <v/>
      </c>
      <c r="O1684" s="4" t="str">
        <f t="shared" si="1065"/>
        <v/>
      </c>
      <c r="P1684" s="4" t="str">
        <f t="shared" si="1066"/>
        <v/>
      </c>
      <c r="Q1684" s="4" t="str">
        <f t="shared" si="1067"/>
        <v/>
      </c>
      <c r="R1684" s="4" t="str">
        <f t="shared" si="1068"/>
        <v/>
      </c>
      <c r="S1684" s="5" t="str">
        <f t="shared" si="1069"/>
        <v/>
      </c>
      <c r="T1684" s="2" t="str">
        <f t="shared" si="1070"/>
        <v/>
      </c>
      <c r="U1684" s="2" t="str">
        <f t="shared" si="1071"/>
        <v/>
      </c>
      <c r="V1684" t="str">
        <f t="shared" si="1088"/>
        <v/>
      </c>
      <c r="X1684">
        <f t="shared" ref="X1684:X1697" si="1099">MAX(B1684-B1683,0)</f>
        <v>0</v>
      </c>
      <c r="Y1684">
        <f t="shared" ref="Y1684:Y1697" si="1100">MAX(C1684-C1683,0)</f>
        <v>0</v>
      </c>
      <c r="Z1684">
        <f t="shared" ref="Z1684:Z1697" si="1101">MAX(D1684-D1683,0)</f>
        <v>0</v>
      </c>
      <c r="AA1684">
        <f t="shared" ref="AA1684:AA1697" si="1102">MAX(E1684-E1683,0)</f>
        <v>0</v>
      </c>
      <c r="AB1684">
        <f t="shared" ref="AB1684:AB1697" si="1103">MAX(F1684-F1683,0)</f>
        <v>0</v>
      </c>
      <c r="AC1684">
        <f t="shared" ref="AC1684:AC1697" si="1104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8"/>
        <v>s</v>
      </c>
      <c r="M1685">
        <v>4</v>
      </c>
      <c r="N1685" s="6" t="str">
        <f t="shared" si="1064"/>
        <v/>
      </c>
      <c r="O1685" s="7" t="str">
        <f t="shared" si="1065"/>
        <v/>
      </c>
      <c r="P1685" s="7" t="str">
        <f t="shared" si="1066"/>
        <v/>
      </c>
      <c r="Q1685" s="7" t="str">
        <f t="shared" si="1067"/>
        <v/>
      </c>
      <c r="R1685" s="7" t="str">
        <f t="shared" si="1068"/>
        <v/>
      </c>
      <c r="S1685" s="8" t="str">
        <f t="shared" si="1069"/>
        <v/>
      </c>
      <c r="T1685" s="2" t="str">
        <f t="shared" si="1070"/>
        <v/>
      </c>
      <c r="U1685" s="2" t="str">
        <f t="shared" si="1071"/>
        <v/>
      </c>
      <c r="V1685" t="str">
        <f t="shared" si="1088"/>
        <v/>
      </c>
      <c r="X1685">
        <f t="shared" si="1099"/>
        <v>0</v>
      </c>
      <c r="Y1685">
        <f t="shared" si="1100"/>
        <v>0</v>
      </c>
      <c r="Z1685">
        <f t="shared" si="1101"/>
        <v>0</v>
      </c>
      <c r="AA1685">
        <f t="shared" si="1102"/>
        <v>0</v>
      </c>
      <c r="AB1685">
        <f t="shared" si="1103"/>
        <v>0</v>
      </c>
      <c r="AC1685">
        <f t="shared" si="1104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8"/>
        <v>s</v>
      </c>
      <c r="M1686">
        <v>5</v>
      </c>
      <c r="N1686" s="22" t="str">
        <f t="shared" si="1064"/>
        <v/>
      </c>
      <c r="O1686" s="15" t="str">
        <f t="shared" si="1065"/>
        <v>#</v>
      </c>
      <c r="P1686" s="15" t="str">
        <f t="shared" si="1066"/>
        <v>#</v>
      </c>
      <c r="Q1686" s="15" t="str">
        <f t="shared" si="1067"/>
        <v>#</v>
      </c>
      <c r="R1686" s="16" t="str">
        <f t="shared" si="1068"/>
        <v>#</v>
      </c>
      <c r="S1686" s="8" t="str">
        <f t="shared" si="1069"/>
        <v/>
      </c>
      <c r="T1686" s="2" t="str">
        <f t="shared" si="1070"/>
        <v/>
      </c>
      <c r="U1686" s="2" t="str">
        <f t="shared" si="1071"/>
        <v/>
      </c>
      <c r="V1686" t="str">
        <f t="shared" si="1088"/>
        <v/>
      </c>
      <c r="X1686">
        <f t="shared" si="1099"/>
        <v>0</v>
      </c>
      <c r="Y1686">
        <f t="shared" si="1100"/>
        <v>1</v>
      </c>
      <c r="Z1686">
        <f t="shared" si="1101"/>
        <v>1</v>
      </c>
      <c r="AA1686">
        <f t="shared" si="1102"/>
        <v>1</v>
      </c>
      <c r="AB1686">
        <f t="shared" si="1103"/>
        <v>1</v>
      </c>
      <c r="AC1686">
        <f t="shared" si="1104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8"/>
        <v>s</v>
      </c>
      <c r="M1687">
        <v>6</v>
      </c>
      <c r="N1687" s="23" t="str">
        <f t="shared" si="1064"/>
        <v>#</v>
      </c>
      <c r="O1687" s="7" t="str">
        <f t="shared" si="1065"/>
        <v>#</v>
      </c>
      <c r="P1687" s="7" t="str">
        <f t="shared" si="1066"/>
        <v>#</v>
      </c>
      <c r="Q1687" s="7" t="str">
        <f t="shared" si="1067"/>
        <v>#</v>
      </c>
      <c r="R1687" s="17" t="str">
        <f t="shared" si="1068"/>
        <v>#</v>
      </c>
      <c r="S1687" s="8" t="str">
        <f t="shared" si="1069"/>
        <v/>
      </c>
      <c r="T1687" s="2" t="str">
        <f t="shared" si="1070"/>
        <v/>
      </c>
      <c r="U1687" s="2" t="str">
        <f t="shared" si="1071"/>
        <v/>
      </c>
      <c r="V1687" t="str">
        <f t="shared" si="1088"/>
        <v/>
      </c>
      <c r="X1687">
        <f t="shared" si="1099"/>
        <v>1</v>
      </c>
      <c r="Y1687">
        <f t="shared" si="1100"/>
        <v>0</v>
      </c>
      <c r="Z1687">
        <f t="shared" si="1101"/>
        <v>0</v>
      </c>
      <c r="AA1687">
        <f t="shared" si="1102"/>
        <v>0</v>
      </c>
      <c r="AB1687">
        <f t="shared" si="1103"/>
        <v>0</v>
      </c>
      <c r="AC1687">
        <f t="shared" si="1104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8"/>
        <v>s</v>
      </c>
      <c r="M1688">
        <v>7</v>
      </c>
      <c r="N1688" s="23" t="str">
        <f t="shared" si="1064"/>
        <v>#</v>
      </c>
      <c r="O1688" s="7" t="str">
        <f t="shared" si="1065"/>
        <v/>
      </c>
      <c r="P1688" s="7" t="str">
        <f t="shared" si="1066"/>
        <v/>
      </c>
      <c r="Q1688" s="7" t="str">
        <f t="shared" si="1067"/>
        <v/>
      </c>
      <c r="R1688" s="17" t="str">
        <f t="shared" si="1068"/>
        <v/>
      </c>
      <c r="S1688" s="8" t="str">
        <f t="shared" si="1069"/>
        <v/>
      </c>
      <c r="T1688" s="2" t="str">
        <f t="shared" si="1070"/>
        <v/>
      </c>
      <c r="U1688" s="2" t="str">
        <f t="shared" si="1071"/>
        <v/>
      </c>
      <c r="V1688" t="str">
        <f t="shared" si="1088"/>
        <v/>
      </c>
      <c r="X1688">
        <f t="shared" si="1099"/>
        <v>0</v>
      </c>
      <c r="Y1688">
        <f t="shared" si="1100"/>
        <v>0</v>
      </c>
      <c r="Z1688">
        <f t="shared" si="1101"/>
        <v>0</v>
      </c>
      <c r="AA1688">
        <f t="shared" si="1102"/>
        <v>0</v>
      </c>
      <c r="AB1688">
        <f t="shared" si="1103"/>
        <v>0</v>
      </c>
      <c r="AC1688">
        <f t="shared" si="1104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8"/>
        <v>s</v>
      </c>
      <c r="M1689">
        <v>8</v>
      </c>
      <c r="N1689" s="23" t="str">
        <f t="shared" si="1064"/>
        <v>#</v>
      </c>
      <c r="O1689" s="7" t="str">
        <f t="shared" si="1065"/>
        <v/>
      </c>
      <c r="P1689" s="7" t="str">
        <f t="shared" si="1066"/>
        <v/>
      </c>
      <c r="Q1689" s="7" t="str">
        <f t="shared" si="1067"/>
        <v/>
      </c>
      <c r="R1689" s="17" t="str">
        <f t="shared" si="1068"/>
        <v/>
      </c>
      <c r="S1689" s="8" t="str">
        <f t="shared" si="1069"/>
        <v/>
      </c>
      <c r="T1689" s="2" t="str">
        <f t="shared" si="1070"/>
        <v/>
      </c>
      <c r="U1689" s="2" t="str">
        <f t="shared" si="1071"/>
        <v/>
      </c>
      <c r="V1689" t="str">
        <f t="shared" si="1088"/>
        <v/>
      </c>
      <c r="X1689">
        <f t="shared" si="1099"/>
        <v>0</v>
      </c>
      <c r="Y1689">
        <f t="shared" si="1100"/>
        <v>0</v>
      </c>
      <c r="Z1689">
        <f t="shared" si="1101"/>
        <v>0</v>
      </c>
      <c r="AA1689">
        <f t="shared" si="1102"/>
        <v>0</v>
      </c>
      <c r="AB1689">
        <f t="shared" si="1103"/>
        <v>0</v>
      </c>
      <c r="AC1689">
        <f t="shared" si="1104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8"/>
        <v>s</v>
      </c>
      <c r="M1690">
        <v>9</v>
      </c>
      <c r="N1690" s="23" t="str">
        <f t="shared" si="1064"/>
        <v>#</v>
      </c>
      <c r="O1690" s="7" t="str">
        <f t="shared" si="1065"/>
        <v>#</v>
      </c>
      <c r="P1690" s="7" t="str">
        <f t="shared" si="1066"/>
        <v>#</v>
      </c>
      <c r="Q1690" s="7" t="str">
        <f t="shared" si="1067"/>
        <v>#</v>
      </c>
      <c r="R1690" s="17" t="str">
        <f t="shared" si="1068"/>
        <v/>
      </c>
      <c r="S1690" s="8" t="str">
        <f t="shared" si="1069"/>
        <v/>
      </c>
      <c r="T1690" s="2" t="str">
        <f t="shared" si="1070"/>
        <v/>
      </c>
      <c r="U1690" s="2" t="str">
        <f t="shared" si="1071"/>
        <v/>
      </c>
      <c r="V1690" t="str">
        <f t="shared" si="1088"/>
        <v/>
      </c>
      <c r="X1690">
        <f t="shared" si="1099"/>
        <v>0</v>
      </c>
      <c r="Y1690">
        <f t="shared" si="1100"/>
        <v>1</v>
      </c>
      <c r="Z1690">
        <f t="shared" si="1101"/>
        <v>1</v>
      </c>
      <c r="AA1690">
        <f t="shared" si="1102"/>
        <v>1</v>
      </c>
      <c r="AB1690">
        <f t="shared" si="1103"/>
        <v>0</v>
      </c>
      <c r="AC1690">
        <f t="shared" si="1104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8"/>
        <v>s</v>
      </c>
      <c r="M1691">
        <v>10</v>
      </c>
      <c r="N1691" s="23" t="str">
        <f t="shared" si="1064"/>
        <v/>
      </c>
      <c r="O1691" s="7" t="str">
        <f t="shared" si="1065"/>
        <v>#</v>
      </c>
      <c r="P1691" s="7" t="str">
        <f t="shared" si="1066"/>
        <v>#</v>
      </c>
      <c r="Q1691" s="7" t="str">
        <f t="shared" si="1067"/>
        <v>#</v>
      </c>
      <c r="R1691" s="17" t="str">
        <f t="shared" si="1068"/>
        <v>#</v>
      </c>
      <c r="S1691" s="8" t="str">
        <f t="shared" si="1069"/>
        <v/>
      </c>
      <c r="T1691" s="2" t="str">
        <f t="shared" si="1070"/>
        <v/>
      </c>
      <c r="U1691" s="2" t="str">
        <f t="shared" si="1071"/>
        <v/>
      </c>
      <c r="V1691" t="str">
        <f t="shared" si="1088"/>
        <v/>
      </c>
      <c r="X1691">
        <f t="shared" si="1099"/>
        <v>0</v>
      </c>
      <c r="Y1691">
        <f t="shared" si="1100"/>
        <v>0</v>
      </c>
      <c r="Z1691">
        <f t="shared" si="1101"/>
        <v>0</v>
      </c>
      <c r="AA1691">
        <f t="shared" si="1102"/>
        <v>0</v>
      </c>
      <c r="AB1691">
        <f t="shared" si="1103"/>
        <v>1</v>
      </c>
      <c r="AC1691">
        <f t="shared" si="1104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8"/>
        <v>s</v>
      </c>
      <c r="M1692">
        <v>11</v>
      </c>
      <c r="N1692" s="23" t="str">
        <f t="shared" si="1064"/>
        <v/>
      </c>
      <c r="O1692" s="7" t="str">
        <f t="shared" si="1065"/>
        <v/>
      </c>
      <c r="P1692" s="7" t="str">
        <f t="shared" si="1066"/>
        <v/>
      </c>
      <c r="Q1692" s="7" t="str">
        <f t="shared" si="1067"/>
        <v/>
      </c>
      <c r="R1692" s="17" t="str">
        <f t="shared" si="1068"/>
        <v>#</v>
      </c>
      <c r="S1692" s="8" t="str">
        <f t="shared" si="1069"/>
        <v/>
      </c>
      <c r="T1692" s="2" t="str">
        <f t="shared" si="1070"/>
        <v/>
      </c>
      <c r="U1692" s="2" t="str">
        <f t="shared" si="1071"/>
        <v/>
      </c>
      <c r="V1692" t="str">
        <f t="shared" si="1088"/>
        <v/>
      </c>
      <c r="X1692">
        <f t="shared" si="1099"/>
        <v>0</v>
      </c>
      <c r="Y1692">
        <f t="shared" si="1100"/>
        <v>0</v>
      </c>
      <c r="Z1692">
        <f t="shared" si="1101"/>
        <v>0</v>
      </c>
      <c r="AA1692">
        <f t="shared" si="1102"/>
        <v>0</v>
      </c>
      <c r="AB1692">
        <f t="shared" si="1103"/>
        <v>0</v>
      </c>
      <c r="AC1692">
        <f t="shared" si="1104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8"/>
        <v>s</v>
      </c>
      <c r="M1693">
        <v>12</v>
      </c>
      <c r="N1693" s="23" t="str">
        <f t="shared" si="1064"/>
        <v/>
      </c>
      <c r="O1693" s="7" t="str">
        <f t="shared" si="1065"/>
        <v/>
      </c>
      <c r="P1693" s="7" t="str">
        <f t="shared" si="1066"/>
        <v/>
      </c>
      <c r="Q1693" s="7" t="str">
        <f t="shared" si="1067"/>
        <v/>
      </c>
      <c r="R1693" s="17" t="str">
        <f t="shared" si="1068"/>
        <v>#</v>
      </c>
      <c r="S1693" s="8" t="str">
        <f t="shared" si="1069"/>
        <v/>
      </c>
      <c r="T1693" s="2" t="str">
        <f t="shared" si="1070"/>
        <v/>
      </c>
      <c r="U1693" s="2" t="str">
        <f t="shared" si="1071"/>
        <v/>
      </c>
      <c r="V1693" t="str">
        <f t="shared" si="1088"/>
        <v/>
      </c>
      <c r="X1693">
        <f t="shared" si="1099"/>
        <v>0</v>
      </c>
      <c r="Y1693">
        <f t="shared" si="1100"/>
        <v>0</v>
      </c>
      <c r="Z1693">
        <f t="shared" si="1101"/>
        <v>0</v>
      </c>
      <c r="AA1693">
        <f t="shared" si="1102"/>
        <v>0</v>
      </c>
      <c r="AB1693">
        <f t="shared" si="1103"/>
        <v>0</v>
      </c>
      <c r="AC1693">
        <f t="shared" si="1104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8"/>
        <v>s</v>
      </c>
      <c r="M1694">
        <v>13</v>
      </c>
      <c r="N1694" s="6" t="str">
        <f t="shared" si="1064"/>
        <v>#</v>
      </c>
      <c r="O1694" s="7" t="str">
        <f t="shared" si="1065"/>
        <v>#</v>
      </c>
      <c r="P1694" s="7" t="str">
        <f t="shared" si="1066"/>
        <v>#</v>
      </c>
      <c r="Q1694" s="7" t="str">
        <f t="shared" si="1067"/>
        <v>#</v>
      </c>
      <c r="R1694" s="17" t="str">
        <f t="shared" si="1068"/>
        <v>#</v>
      </c>
      <c r="S1694" s="8" t="str">
        <f t="shared" si="1069"/>
        <v/>
      </c>
      <c r="T1694" s="2" t="str">
        <f t="shared" si="1070"/>
        <v/>
      </c>
      <c r="U1694" s="2" t="str">
        <f t="shared" si="1071"/>
        <v/>
      </c>
      <c r="V1694" t="str">
        <f t="shared" si="1088"/>
        <v/>
      </c>
      <c r="X1694">
        <f t="shared" si="1099"/>
        <v>1</v>
      </c>
      <c r="Y1694">
        <f t="shared" si="1100"/>
        <v>1</v>
      </c>
      <c r="Z1694">
        <f t="shared" si="1101"/>
        <v>1</v>
      </c>
      <c r="AA1694">
        <f t="shared" si="1102"/>
        <v>1</v>
      </c>
      <c r="AB1694">
        <f t="shared" si="1103"/>
        <v>0</v>
      </c>
      <c r="AC1694">
        <f t="shared" si="1104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8"/>
        <v>s</v>
      </c>
      <c r="M1695">
        <v>14</v>
      </c>
      <c r="N1695" s="18" t="str">
        <f t="shared" si="1064"/>
        <v>#</v>
      </c>
      <c r="O1695" s="19" t="str">
        <f t="shared" si="1065"/>
        <v>#</v>
      </c>
      <c r="P1695" s="19" t="str">
        <f t="shared" si="1066"/>
        <v>#</v>
      </c>
      <c r="Q1695" s="19" t="str">
        <f t="shared" si="1067"/>
        <v>#</v>
      </c>
      <c r="R1695" s="20" t="str">
        <f t="shared" si="1068"/>
        <v/>
      </c>
      <c r="S1695" s="8" t="str">
        <f t="shared" si="1069"/>
        <v/>
      </c>
      <c r="T1695" s="2" t="str">
        <f t="shared" si="1070"/>
        <v/>
      </c>
      <c r="U1695" s="2" t="str">
        <f t="shared" si="1071"/>
        <v/>
      </c>
      <c r="V1695" t="str">
        <f t="shared" si="1088"/>
        <v/>
      </c>
      <c r="X1695">
        <f t="shared" si="1099"/>
        <v>0</v>
      </c>
      <c r="Y1695">
        <f t="shared" si="1100"/>
        <v>0</v>
      </c>
      <c r="Z1695">
        <f t="shared" si="1101"/>
        <v>0</v>
      </c>
      <c r="AA1695">
        <f t="shared" si="1102"/>
        <v>0</v>
      </c>
      <c r="AB1695">
        <f t="shared" si="1103"/>
        <v>0</v>
      </c>
      <c r="AC1695">
        <f t="shared" si="1104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8"/>
        <v>s</v>
      </c>
      <c r="M1696">
        <v>15</v>
      </c>
      <c r="N1696" s="9" t="str">
        <f t="shared" si="1064"/>
        <v/>
      </c>
      <c r="O1696" s="10" t="str">
        <f t="shared" si="1065"/>
        <v/>
      </c>
      <c r="P1696" s="10" t="str">
        <f t="shared" si="1066"/>
        <v/>
      </c>
      <c r="Q1696" s="10" t="str">
        <f t="shared" si="1067"/>
        <v/>
      </c>
      <c r="R1696" s="10" t="str">
        <f t="shared" si="1068"/>
        <v/>
      </c>
      <c r="S1696" s="11" t="str">
        <f t="shared" si="1069"/>
        <v/>
      </c>
      <c r="T1696" s="2" t="str">
        <f t="shared" si="1070"/>
        <v/>
      </c>
      <c r="U1696" s="2" t="str">
        <f t="shared" si="1071"/>
        <v/>
      </c>
      <c r="V1696" t="str">
        <f t="shared" si="1088"/>
        <v/>
      </c>
      <c r="X1696">
        <f t="shared" si="1099"/>
        <v>0</v>
      </c>
      <c r="Y1696">
        <f t="shared" si="1100"/>
        <v>0</v>
      </c>
      <c r="Z1696">
        <f t="shared" si="1101"/>
        <v>0</v>
      </c>
      <c r="AA1696">
        <f t="shared" si="1102"/>
        <v>0</v>
      </c>
      <c r="AB1696">
        <f t="shared" si="1103"/>
        <v>0</v>
      </c>
      <c r="AC1696">
        <f t="shared" si="1104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8"/>
        <v>s</v>
      </c>
      <c r="M1697">
        <v>16</v>
      </c>
      <c r="N1697" s="12" t="str">
        <f t="shared" si="1064"/>
        <v/>
      </c>
      <c r="O1697" s="13" t="str">
        <f t="shared" si="1065"/>
        <v/>
      </c>
      <c r="P1697" s="13" t="str">
        <f t="shared" si="1066"/>
        <v/>
      </c>
      <c r="Q1697" s="13" t="str">
        <f t="shared" si="1067"/>
        <v/>
      </c>
      <c r="R1697" s="13" t="str">
        <f t="shared" si="1068"/>
        <v/>
      </c>
      <c r="S1697" s="14" t="str">
        <f t="shared" si="1069"/>
        <v/>
      </c>
      <c r="T1697" s="2" t="str">
        <f t="shared" si="1070"/>
        <v/>
      </c>
      <c r="U1697" s="2" t="str">
        <f t="shared" si="1071"/>
        <v/>
      </c>
      <c r="V1697" t="str">
        <f t="shared" si="1088"/>
        <v/>
      </c>
      <c r="X1697">
        <f t="shared" si="1099"/>
        <v>0</v>
      </c>
      <c r="Y1697">
        <f t="shared" si="1100"/>
        <v>0</v>
      </c>
      <c r="Z1697">
        <f t="shared" si="1101"/>
        <v>0</v>
      </c>
      <c r="AA1697">
        <f t="shared" si="1102"/>
        <v>0</v>
      </c>
      <c r="AB1697">
        <f t="shared" si="1103"/>
        <v>0</v>
      </c>
      <c r="AC1697">
        <f t="shared" si="1104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105">IF(B1698&gt;0,"#","")</f>
        <v/>
      </c>
      <c r="O1698" t="str">
        <f t="shared" ref="O1698:O1761" si="1106">IF(C1698&gt;0,"#","")</f>
        <v/>
      </c>
      <c r="P1698" t="str">
        <f t="shared" ref="P1698:P1761" si="1107">IF(D1698&gt;0,"#","")</f>
        <v/>
      </c>
      <c r="Q1698" t="str">
        <f t="shared" ref="Q1698:Q1761" si="1108">IF(E1698&gt;0,"#","")</f>
        <v/>
      </c>
      <c r="R1698" t="str">
        <f t="shared" ref="R1698:R1761" si="1109">IF(F1698&gt;0,"#","")</f>
        <v/>
      </c>
      <c r="S1698" t="str">
        <f t="shared" ref="S1698:S1761" si="1110">IF(G1698&gt;0,"#","")</f>
        <v/>
      </c>
      <c r="T1698" s="2" t="str">
        <f t="shared" ref="T1698:T1761" si="1111">IF(H1698&gt;0,"#","")</f>
        <v/>
      </c>
      <c r="U1698" s="2" t="str">
        <f t="shared" ref="U1698:U1761" si="1112">IF(I1698&gt;0,"#","")</f>
        <v/>
      </c>
      <c r="V1698" t="str">
        <f t="shared" si="1088"/>
        <v/>
      </c>
      <c r="W1698">
        <f>SUM(B1700:G1713)</f>
        <v>18</v>
      </c>
      <c r="AD1698">
        <f t="shared" ref="AD1698" si="1113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14">L1698</f>
        <v>t</v>
      </c>
      <c r="M1699">
        <v>2</v>
      </c>
      <c r="N1699" t="str">
        <f t="shared" si="1105"/>
        <v/>
      </c>
      <c r="O1699" t="str">
        <f t="shared" si="1106"/>
        <v/>
      </c>
      <c r="P1699" t="str">
        <f t="shared" si="1107"/>
        <v/>
      </c>
      <c r="Q1699" t="str">
        <f t="shared" si="1108"/>
        <v/>
      </c>
      <c r="R1699" t="str">
        <f t="shared" si="1109"/>
        <v/>
      </c>
      <c r="S1699" t="str">
        <f t="shared" si="1110"/>
        <v/>
      </c>
      <c r="T1699" s="2" t="str">
        <f t="shared" si="1111"/>
        <v/>
      </c>
      <c r="U1699" s="2" t="str">
        <f t="shared" si="1112"/>
        <v/>
      </c>
      <c r="V1699" t="str">
        <f t="shared" si="1088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14"/>
        <v>t</v>
      </c>
      <c r="M1700">
        <v>3</v>
      </c>
      <c r="N1700" s="3" t="str">
        <f t="shared" si="1105"/>
        <v/>
      </c>
      <c r="O1700" s="4" t="str">
        <f t="shared" si="1106"/>
        <v/>
      </c>
      <c r="P1700" s="4" t="str">
        <f t="shared" si="1107"/>
        <v/>
      </c>
      <c r="Q1700" s="4" t="str">
        <f t="shared" si="1108"/>
        <v/>
      </c>
      <c r="R1700" s="4" t="str">
        <f t="shared" si="1109"/>
        <v/>
      </c>
      <c r="S1700" s="5" t="str">
        <f t="shared" si="1110"/>
        <v/>
      </c>
      <c r="T1700" s="2" t="str">
        <f t="shared" si="1111"/>
        <v/>
      </c>
      <c r="U1700" s="2" t="str">
        <f t="shared" si="1112"/>
        <v/>
      </c>
      <c r="V1700" t="str">
        <f t="shared" si="1088"/>
        <v/>
      </c>
      <c r="X1700">
        <f t="shared" ref="X1700:X1713" si="1115">MAX(B1700-B1699,0)</f>
        <v>0</v>
      </c>
      <c r="Y1700">
        <f t="shared" ref="Y1700:Y1713" si="1116">MAX(C1700-C1699,0)</f>
        <v>0</v>
      </c>
      <c r="Z1700">
        <f t="shared" ref="Z1700:Z1713" si="1117">MAX(D1700-D1699,0)</f>
        <v>0</v>
      </c>
      <c r="AA1700">
        <f t="shared" ref="AA1700:AA1713" si="1118">MAX(E1700-E1699,0)</f>
        <v>0</v>
      </c>
      <c r="AB1700">
        <f t="shared" ref="AB1700:AB1713" si="1119">MAX(F1700-F1699,0)</f>
        <v>0</v>
      </c>
      <c r="AC1700">
        <f t="shared" ref="AC1700:AC1713" si="1120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14"/>
        <v>t</v>
      </c>
      <c r="M1701">
        <v>4</v>
      </c>
      <c r="N1701" s="6" t="str">
        <f t="shared" si="1105"/>
        <v/>
      </c>
      <c r="O1701" s="7" t="str">
        <f t="shared" si="1106"/>
        <v/>
      </c>
      <c r="P1701" s="7" t="str">
        <f t="shared" si="1107"/>
        <v/>
      </c>
      <c r="Q1701" s="7" t="str">
        <f t="shared" si="1108"/>
        <v/>
      </c>
      <c r="R1701" s="7" t="str">
        <f t="shared" si="1109"/>
        <v/>
      </c>
      <c r="S1701" s="8" t="str">
        <f t="shared" si="1110"/>
        <v/>
      </c>
      <c r="T1701" s="2" t="str">
        <f t="shared" si="1111"/>
        <v/>
      </c>
      <c r="U1701" s="2" t="str">
        <f t="shared" si="1112"/>
        <v/>
      </c>
      <c r="V1701" t="str">
        <f t="shared" si="1088"/>
        <v/>
      </c>
      <c r="X1701">
        <f t="shared" si="1115"/>
        <v>0</v>
      </c>
      <c r="Y1701">
        <f t="shared" si="1116"/>
        <v>0</v>
      </c>
      <c r="Z1701">
        <f t="shared" si="1117"/>
        <v>0</v>
      </c>
      <c r="AA1701">
        <f t="shared" si="1118"/>
        <v>0</v>
      </c>
      <c r="AB1701">
        <f t="shared" si="1119"/>
        <v>0</v>
      </c>
      <c r="AC1701">
        <f t="shared" si="1120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14"/>
        <v>t</v>
      </c>
      <c r="M1702">
        <v>5</v>
      </c>
      <c r="N1702" s="22" t="str">
        <f t="shared" si="1105"/>
        <v>#</v>
      </c>
      <c r="O1702" s="15" t="str">
        <f t="shared" si="1106"/>
        <v>#</v>
      </c>
      <c r="P1702" s="15" t="str">
        <f t="shared" si="1107"/>
        <v>#</v>
      </c>
      <c r="Q1702" s="15" t="str">
        <f t="shared" si="1108"/>
        <v>#</v>
      </c>
      <c r="R1702" s="16" t="str">
        <f t="shared" si="1109"/>
        <v>#</v>
      </c>
      <c r="S1702" s="8" t="str">
        <f t="shared" si="1110"/>
        <v/>
      </c>
      <c r="T1702" s="2" t="str">
        <f t="shared" si="1111"/>
        <v/>
      </c>
      <c r="U1702" s="2" t="str">
        <f t="shared" si="1112"/>
        <v/>
      </c>
      <c r="V1702" t="str">
        <f t="shared" si="1088"/>
        <v/>
      </c>
      <c r="X1702">
        <f t="shared" si="1115"/>
        <v>1</v>
      </c>
      <c r="Y1702">
        <f t="shared" si="1116"/>
        <v>1</v>
      </c>
      <c r="Z1702">
        <f t="shared" si="1117"/>
        <v>1</v>
      </c>
      <c r="AA1702">
        <f t="shared" si="1118"/>
        <v>1</v>
      </c>
      <c r="AB1702">
        <f t="shared" si="1119"/>
        <v>1</v>
      </c>
      <c r="AC1702">
        <f t="shared" si="1120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14"/>
        <v>t</v>
      </c>
      <c r="M1703">
        <v>6</v>
      </c>
      <c r="N1703" s="23" t="str">
        <f t="shared" si="1105"/>
        <v>#</v>
      </c>
      <c r="O1703" s="7" t="str">
        <f t="shared" si="1106"/>
        <v>#</v>
      </c>
      <c r="P1703" s="7" t="str">
        <f t="shared" si="1107"/>
        <v>#</v>
      </c>
      <c r="Q1703" s="7" t="str">
        <f t="shared" si="1108"/>
        <v>#</v>
      </c>
      <c r="R1703" s="17" t="str">
        <f t="shared" si="1109"/>
        <v>#</v>
      </c>
      <c r="S1703" s="8" t="str">
        <f t="shared" si="1110"/>
        <v/>
      </c>
      <c r="T1703" s="2" t="str">
        <f t="shared" si="1111"/>
        <v/>
      </c>
      <c r="U1703" s="2" t="str">
        <f t="shared" si="1112"/>
        <v/>
      </c>
      <c r="V1703" t="str">
        <f t="shared" si="1088"/>
        <v/>
      </c>
      <c r="X1703">
        <f t="shared" si="1115"/>
        <v>0</v>
      </c>
      <c r="Y1703">
        <f t="shared" si="1116"/>
        <v>0</v>
      </c>
      <c r="Z1703">
        <f t="shared" si="1117"/>
        <v>0</v>
      </c>
      <c r="AA1703">
        <f t="shared" si="1118"/>
        <v>0</v>
      </c>
      <c r="AB1703">
        <f t="shared" si="1119"/>
        <v>0</v>
      </c>
      <c r="AC1703">
        <f t="shared" si="1120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14"/>
        <v>t</v>
      </c>
      <c r="M1704">
        <v>7</v>
      </c>
      <c r="N1704" s="23" t="str">
        <f t="shared" si="1105"/>
        <v/>
      </c>
      <c r="O1704" s="7" t="str">
        <f t="shared" si="1106"/>
        <v/>
      </c>
      <c r="P1704" s="7" t="str">
        <f t="shared" si="1107"/>
        <v>#</v>
      </c>
      <c r="Q1704" s="7" t="str">
        <f t="shared" si="1108"/>
        <v/>
      </c>
      <c r="R1704" s="17" t="str">
        <f t="shared" si="1109"/>
        <v/>
      </c>
      <c r="S1704" s="8" t="str">
        <f t="shared" si="1110"/>
        <v/>
      </c>
      <c r="T1704" s="2" t="str">
        <f t="shared" si="1111"/>
        <v/>
      </c>
      <c r="U1704" s="2" t="str">
        <f t="shared" si="1112"/>
        <v/>
      </c>
      <c r="V1704" t="str">
        <f t="shared" si="1088"/>
        <v/>
      </c>
      <c r="X1704">
        <f t="shared" si="1115"/>
        <v>0</v>
      </c>
      <c r="Y1704">
        <f t="shared" si="1116"/>
        <v>0</v>
      </c>
      <c r="Z1704">
        <f t="shared" si="1117"/>
        <v>0</v>
      </c>
      <c r="AA1704">
        <f t="shared" si="1118"/>
        <v>0</v>
      </c>
      <c r="AB1704">
        <f t="shared" si="1119"/>
        <v>0</v>
      </c>
      <c r="AC1704">
        <f t="shared" si="1120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14"/>
        <v>t</v>
      </c>
      <c r="M1705">
        <v>8</v>
      </c>
      <c r="N1705" s="23" t="str">
        <f t="shared" si="1105"/>
        <v/>
      </c>
      <c r="O1705" s="7" t="str">
        <f t="shared" si="1106"/>
        <v/>
      </c>
      <c r="P1705" s="7" t="str">
        <f t="shared" si="1107"/>
        <v>#</v>
      </c>
      <c r="Q1705" s="7" t="str">
        <f t="shared" si="1108"/>
        <v/>
      </c>
      <c r="R1705" s="17" t="str">
        <f t="shared" si="1109"/>
        <v/>
      </c>
      <c r="S1705" s="8" t="str">
        <f t="shared" si="1110"/>
        <v/>
      </c>
      <c r="T1705" s="2" t="str">
        <f t="shared" si="1111"/>
        <v/>
      </c>
      <c r="U1705" s="2" t="str">
        <f t="shared" si="1112"/>
        <v/>
      </c>
      <c r="V1705" t="str">
        <f t="shared" si="1088"/>
        <v/>
      </c>
      <c r="X1705">
        <f t="shared" si="1115"/>
        <v>0</v>
      </c>
      <c r="Y1705">
        <f t="shared" si="1116"/>
        <v>0</v>
      </c>
      <c r="Z1705">
        <f t="shared" si="1117"/>
        <v>0</v>
      </c>
      <c r="AA1705">
        <f t="shared" si="1118"/>
        <v>0</v>
      </c>
      <c r="AB1705">
        <f t="shared" si="1119"/>
        <v>0</v>
      </c>
      <c r="AC1705">
        <f t="shared" si="1120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14"/>
        <v>t</v>
      </c>
      <c r="M1706">
        <v>9</v>
      </c>
      <c r="N1706" s="23" t="str">
        <f t="shared" si="1105"/>
        <v/>
      </c>
      <c r="O1706" s="7" t="str">
        <f t="shared" si="1106"/>
        <v/>
      </c>
      <c r="P1706" s="7" t="str">
        <f t="shared" si="1107"/>
        <v>#</v>
      </c>
      <c r="Q1706" s="7" t="str">
        <f t="shared" si="1108"/>
        <v/>
      </c>
      <c r="R1706" s="17" t="str">
        <f t="shared" si="1109"/>
        <v/>
      </c>
      <c r="S1706" s="8" t="str">
        <f t="shared" si="1110"/>
        <v/>
      </c>
      <c r="T1706" s="2" t="str">
        <f t="shared" si="1111"/>
        <v/>
      </c>
      <c r="U1706" s="2" t="str">
        <f t="shared" si="1112"/>
        <v/>
      </c>
      <c r="V1706" t="str">
        <f t="shared" si="1088"/>
        <v/>
      </c>
      <c r="X1706">
        <f t="shared" si="1115"/>
        <v>0</v>
      </c>
      <c r="Y1706">
        <f t="shared" si="1116"/>
        <v>0</v>
      </c>
      <c r="Z1706">
        <f t="shared" si="1117"/>
        <v>0</v>
      </c>
      <c r="AA1706">
        <f t="shared" si="1118"/>
        <v>0</v>
      </c>
      <c r="AB1706">
        <f t="shared" si="1119"/>
        <v>0</v>
      </c>
      <c r="AC1706">
        <f t="shared" si="1120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14"/>
        <v>t</v>
      </c>
      <c r="M1707">
        <v>10</v>
      </c>
      <c r="N1707" s="23" t="str">
        <f t="shared" si="1105"/>
        <v/>
      </c>
      <c r="O1707" s="7" t="str">
        <f t="shared" si="1106"/>
        <v/>
      </c>
      <c r="P1707" s="7" t="str">
        <f t="shared" si="1107"/>
        <v>#</v>
      </c>
      <c r="Q1707" s="7" t="str">
        <f t="shared" si="1108"/>
        <v/>
      </c>
      <c r="R1707" s="17" t="str">
        <f t="shared" si="1109"/>
        <v/>
      </c>
      <c r="S1707" s="8" t="str">
        <f t="shared" si="1110"/>
        <v/>
      </c>
      <c r="T1707" s="2" t="str">
        <f t="shared" si="1111"/>
        <v/>
      </c>
      <c r="U1707" s="2" t="str">
        <f t="shared" si="1112"/>
        <v/>
      </c>
      <c r="V1707" t="str">
        <f t="shared" si="1088"/>
        <v/>
      </c>
      <c r="X1707">
        <f t="shared" si="1115"/>
        <v>0</v>
      </c>
      <c r="Y1707">
        <f t="shared" si="1116"/>
        <v>0</v>
      </c>
      <c r="Z1707">
        <f t="shared" si="1117"/>
        <v>0</v>
      </c>
      <c r="AA1707">
        <f t="shared" si="1118"/>
        <v>0</v>
      </c>
      <c r="AB1707">
        <f t="shared" si="1119"/>
        <v>0</v>
      </c>
      <c r="AC1707">
        <f t="shared" si="1120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14"/>
        <v>t</v>
      </c>
      <c r="M1708">
        <v>11</v>
      </c>
      <c r="N1708" s="23" t="str">
        <f t="shared" si="1105"/>
        <v/>
      </c>
      <c r="O1708" s="7" t="str">
        <f t="shared" si="1106"/>
        <v/>
      </c>
      <c r="P1708" s="7" t="str">
        <f t="shared" si="1107"/>
        <v>#</v>
      </c>
      <c r="Q1708" s="7" t="str">
        <f t="shared" si="1108"/>
        <v/>
      </c>
      <c r="R1708" s="17" t="str">
        <f t="shared" si="1109"/>
        <v/>
      </c>
      <c r="S1708" s="8" t="str">
        <f t="shared" si="1110"/>
        <v/>
      </c>
      <c r="T1708" s="2" t="str">
        <f t="shared" si="1111"/>
        <v/>
      </c>
      <c r="U1708" s="2" t="str">
        <f t="shared" si="1112"/>
        <v/>
      </c>
      <c r="V1708" t="str">
        <f t="shared" si="1088"/>
        <v/>
      </c>
      <c r="X1708">
        <f t="shared" si="1115"/>
        <v>0</v>
      </c>
      <c r="Y1708">
        <f t="shared" si="1116"/>
        <v>0</v>
      </c>
      <c r="Z1708">
        <f t="shared" si="1117"/>
        <v>0</v>
      </c>
      <c r="AA1708">
        <f t="shared" si="1118"/>
        <v>0</v>
      </c>
      <c r="AB1708">
        <f t="shared" si="1119"/>
        <v>0</v>
      </c>
      <c r="AC1708">
        <f t="shared" si="1120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14"/>
        <v>t</v>
      </c>
      <c r="M1709">
        <v>12</v>
      </c>
      <c r="N1709" s="23" t="str">
        <f t="shared" si="1105"/>
        <v/>
      </c>
      <c r="O1709" s="7" t="str">
        <f t="shared" si="1106"/>
        <v/>
      </c>
      <c r="P1709" s="7" t="str">
        <f t="shared" si="1107"/>
        <v>#</v>
      </c>
      <c r="Q1709" s="7" t="str">
        <f t="shared" si="1108"/>
        <v/>
      </c>
      <c r="R1709" s="17" t="str">
        <f t="shared" si="1109"/>
        <v/>
      </c>
      <c r="S1709" s="8" t="str">
        <f t="shared" si="1110"/>
        <v/>
      </c>
      <c r="T1709" s="2" t="str">
        <f t="shared" si="1111"/>
        <v/>
      </c>
      <c r="U1709" s="2" t="str">
        <f t="shared" si="1112"/>
        <v/>
      </c>
      <c r="V1709" t="str">
        <f t="shared" si="1088"/>
        <v/>
      </c>
      <c r="X1709">
        <f t="shared" si="1115"/>
        <v>0</v>
      </c>
      <c r="Y1709">
        <f t="shared" si="1116"/>
        <v>0</v>
      </c>
      <c r="Z1709">
        <f t="shared" si="1117"/>
        <v>0</v>
      </c>
      <c r="AA1709">
        <f t="shared" si="1118"/>
        <v>0</v>
      </c>
      <c r="AB1709">
        <f t="shared" si="1119"/>
        <v>0</v>
      </c>
      <c r="AC1709">
        <f t="shared" si="1120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14"/>
        <v>t</v>
      </c>
      <c r="M1710">
        <v>13</v>
      </c>
      <c r="N1710" s="6" t="str">
        <f t="shared" si="1105"/>
        <v/>
      </c>
      <c r="O1710" s="7" t="str">
        <f t="shared" si="1106"/>
        <v/>
      </c>
      <c r="P1710" s="7" t="str">
        <f t="shared" si="1107"/>
        <v>#</v>
      </c>
      <c r="Q1710" s="7" t="str">
        <f t="shared" si="1108"/>
        <v/>
      </c>
      <c r="R1710" s="17" t="str">
        <f t="shared" si="1109"/>
        <v/>
      </c>
      <c r="S1710" s="8" t="str">
        <f t="shared" si="1110"/>
        <v/>
      </c>
      <c r="T1710" s="2" t="str">
        <f t="shared" si="1111"/>
        <v/>
      </c>
      <c r="U1710" s="2" t="str">
        <f t="shared" si="1112"/>
        <v/>
      </c>
      <c r="V1710" t="str">
        <f t="shared" si="1088"/>
        <v/>
      </c>
      <c r="X1710">
        <f t="shared" si="1115"/>
        <v>0</v>
      </c>
      <c r="Y1710">
        <f t="shared" si="1116"/>
        <v>0</v>
      </c>
      <c r="Z1710">
        <f t="shared" si="1117"/>
        <v>0</v>
      </c>
      <c r="AA1710">
        <f t="shared" si="1118"/>
        <v>0</v>
      </c>
      <c r="AB1710">
        <f t="shared" si="1119"/>
        <v>0</v>
      </c>
      <c r="AC1710">
        <f t="shared" si="1120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14"/>
        <v>t</v>
      </c>
      <c r="M1711">
        <v>14</v>
      </c>
      <c r="N1711" s="18" t="str">
        <f t="shared" si="1105"/>
        <v/>
      </c>
      <c r="O1711" s="19" t="str">
        <f t="shared" si="1106"/>
        <v/>
      </c>
      <c r="P1711" s="19" t="str">
        <f t="shared" si="1107"/>
        <v>#</v>
      </c>
      <c r="Q1711" s="19" t="str">
        <f t="shared" si="1108"/>
        <v/>
      </c>
      <c r="R1711" s="20" t="str">
        <f t="shared" si="1109"/>
        <v/>
      </c>
      <c r="S1711" s="8" t="str">
        <f t="shared" si="1110"/>
        <v/>
      </c>
      <c r="T1711" s="2" t="str">
        <f t="shared" si="1111"/>
        <v/>
      </c>
      <c r="U1711" s="2" t="str">
        <f t="shared" si="1112"/>
        <v/>
      </c>
      <c r="V1711" t="str">
        <f t="shared" si="1088"/>
        <v/>
      </c>
      <c r="X1711">
        <f t="shared" si="1115"/>
        <v>0</v>
      </c>
      <c r="Y1711">
        <f t="shared" si="1116"/>
        <v>0</v>
      </c>
      <c r="Z1711">
        <f t="shared" si="1117"/>
        <v>0</v>
      </c>
      <c r="AA1711">
        <f t="shared" si="1118"/>
        <v>0</v>
      </c>
      <c r="AB1711">
        <f t="shared" si="1119"/>
        <v>0</v>
      </c>
      <c r="AC1711">
        <f t="shared" si="1120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14"/>
        <v>t</v>
      </c>
      <c r="M1712">
        <v>15</v>
      </c>
      <c r="N1712" s="9" t="str">
        <f t="shared" si="1105"/>
        <v/>
      </c>
      <c r="O1712" s="10" t="str">
        <f t="shared" si="1106"/>
        <v/>
      </c>
      <c r="P1712" s="10" t="str">
        <f t="shared" si="1107"/>
        <v/>
      </c>
      <c r="Q1712" s="10" t="str">
        <f t="shared" si="1108"/>
        <v/>
      </c>
      <c r="R1712" s="10" t="str">
        <f t="shared" si="1109"/>
        <v/>
      </c>
      <c r="S1712" s="11" t="str">
        <f t="shared" si="1110"/>
        <v/>
      </c>
      <c r="T1712" s="2" t="str">
        <f t="shared" si="1111"/>
        <v/>
      </c>
      <c r="U1712" s="2" t="str">
        <f t="shared" si="1112"/>
        <v/>
      </c>
      <c r="V1712" t="str">
        <f t="shared" si="1088"/>
        <v/>
      </c>
      <c r="X1712">
        <f t="shared" si="1115"/>
        <v>0</v>
      </c>
      <c r="Y1712">
        <f t="shared" si="1116"/>
        <v>0</v>
      </c>
      <c r="Z1712">
        <f t="shared" si="1117"/>
        <v>0</v>
      </c>
      <c r="AA1712">
        <f t="shared" si="1118"/>
        <v>0</v>
      </c>
      <c r="AB1712">
        <f t="shared" si="1119"/>
        <v>0</v>
      </c>
      <c r="AC1712">
        <f t="shared" si="1120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14"/>
        <v>t</v>
      </c>
      <c r="M1713">
        <v>16</v>
      </c>
      <c r="N1713" s="12" t="str">
        <f t="shared" si="1105"/>
        <v/>
      </c>
      <c r="O1713" s="13" t="str">
        <f t="shared" si="1106"/>
        <v/>
      </c>
      <c r="P1713" s="13" t="str">
        <f t="shared" si="1107"/>
        <v/>
      </c>
      <c r="Q1713" s="13" t="str">
        <f t="shared" si="1108"/>
        <v/>
      </c>
      <c r="R1713" s="13" t="str">
        <f t="shared" si="1109"/>
        <v/>
      </c>
      <c r="S1713" s="14" t="str">
        <f t="shared" si="1110"/>
        <v/>
      </c>
      <c r="T1713" s="2" t="str">
        <f t="shared" si="1111"/>
        <v/>
      </c>
      <c r="U1713" s="2" t="str">
        <f t="shared" si="1112"/>
        <v/>
      </c>
      <c r="V1713" t="str">
        <f t="shared" si="1088"/>
        <v/>
      </c>
      <c r="X1713">
        <f t="shared" si="1115"/>
        <v>0</v>
      </c>
      <c r="Y1713">
        <f t="shared" si="1116"/>
        <v>0</v>
      </c>
      <c r="Z1713">
        <f t="shared" si="1117"/>
        <v>0</v>
      </c>
      <c r="AA1713">
        <f t="shared" si="1118"/>
        <v>0</v>
      </c>
      <c r="AB1713">
        <f t="shared" si="1119"/>
        <v>0</v>
      </c>
      <c r="AC1713">
        <f t="shared" si="1120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105"/>
        <v/>
      </c>
      <c r="O1714" t="str">
        <f t="shared" si="1106"/>
        <v/>
      </c>
      <c r="P1714" t="str">
        <f t="shared" si="1107"/>
        <v/>
      </c>
      <c r="Q1714" t="str">
        <f t="shared" si="1108"/>
        <v/>
      </c>
      <c r="R1714" t="str">
        <f t="shared" si="1109"/>
        <v/>
      </c>
      <c r="S1714" t="str">
        <f t="shared" si="1110"/>
        <v/>
      </c>
      <c r="T1714" s="2" t="str">
        <f t="shared" si="1111"/>
        <v/>
      </c>
      <c r="U1714" s="2" t="str">
        <f t="shared" si="1112"/>
        <v/>
      </c>
      <c r="V1714" t="str">
        <f t="shared" si="1088"/>
        <v/>
      </c>
      <c r="W1714">
        <f>SUM(B1716:G1729)</f>
        <v>26</v>
      </c>
      <c r="AD1714">
        <f t="shared" ref="AD1714" si="1121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22">L1714</f>
        <v>u</v>
      </c>
      <c r="M1715">
        <v>2</v>
      </c>
      <c r="N1715" t="str">
        <f t="shared" si="1105"/>
        <v/>
      </c>
      <c r="O1715" t="str">
        <f t="shared" si="1106"/>
        <v/>
      </c>
      <c r="P1715" t="str">
        <f t="shared" si="1107"/>
        <v/>
      </c>
      <c r="Q1715" t="str">
        <f t="shared" si="1108"/>
        <v/>
      </c>
      <c r="R1715" t="str">
        <f t="shared" si="1109"/>
        <v/>
      </c>
      <c r="S1715" t="str">
        <f t="shared" si="1110"/>
        <v/>
      </c>
      <c r="T1715" s="2" t="str">
        <f t="shared" si="1111"/>
        <v/>
      </c>
      <c r="U1715" s="2" t="str">
        <f t="shared" si="1112"/>
        <v/>
      </c>
      <c r="V1715" t="str">
        <f t="shared" si="1088"/>
        <v/>
      </c>
      <c r="AE1715" t="str">
        <f>(B1729*128+B1728*64+B1727*32+B1726*16+B1725*8+B1724*4+B1723*2+B1722)*256+B1721*128+B1720*64+B1719*32+B1718*16+B1717*8+B1716*4+B1715*2+B1714&amp;","</f>
        <v>16368,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22"/>
        <v>u</v>
      </c>
      <c r="M1716">
        <v>3</v>
      </c>
      <c r="N1716" s="3" t="str">
        <f t="shared" si="1105"/>
        <v/>
      </c>
      <c r="O1716" s="4" t="str">
        <f t="shared" si="1106"/>
        <v/>
      </c>
      <c r="P1716" s="4" t="str">
        <f t="shared" si="1107"/>
        <v/>
      </c>
      <c r="Q1716" s="4" t="str">
        <f t="shared" si="1108"/>
        <v/>
      </c>
      <c r="R1716" s="4" t="str">
        <f t="shared" si="1109"/>
        <v/>
      </c>
      <c r="S1716" s="5" t="str">
        <f t="shared" si="1110"/>
        <v/>
      </c>
      <c r="T1716" s="2" t="str">
        <f t="shared" si="1111"/>
        <v/>
      </c>
      <c r="U1716" s="2" t="str">
        <f t="shared" si="1112"/>
        <v/>
      </c>
      <c r="V1716" t="str">
        <f t="shared" si="1088"/>
        <v/>
      </c>
      <c r="X1716">
        <f t="shared" ref="X1716:X1729" si="1123">MAX(B1716-B1715,0)</f>
        <v>0</v>
      </c>
      <c r="Y1716">
        <f t="shared" ref="Y1716:Y1729" si="1124">MAX(C1716-C1715,0)</f>
        <v>0</v>
      </c>
      <c r="Z1716">
        <f t="shared" ref="Z1716:Z1729" si="1125">MAX(D1716-D1715,0)</f>
        <v>0</v>
      </c>
      <c r="AA1716">
        <f t="shared" ref="AA1716:AA1729" si="1126">MAX(E1716-E1715,0)</f>
        <v>0</v>
      </c>
      <c r="AB1716">
        <f t="shared" ref="AB1716:AB1729" si="1127">MAX(F1716-F1715,0)</f>
        <v>0</v>
      </c>
      <c r="AC1716">
        <f t="shared" ref="AC1716:AC1729" si="1128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22"/>
        <v>u</v>
      </c>
      <c r="M1717">
        <v>4</v>
      </c>
      <c r="N1717" s="6" t="str">
        <f t="shared" si="1105"/>
        <v/>
      </c>
      <c r="O1717" s="7" t="str">
        <f t="shared" si="1106"/>
        <v/>
      </c>
      <c r="P1717" s="7" t="str">
        <f t="shared" si="1107"/>
        <v/>
      </c>
      <c r="Q1717" s="7" t="str">
        <f t="shared" si="1108"/>
        <v/>
      </c>
      <c r="R1717" s="7" t="str">
        <f t="shared" si="1109"/>
        <v/>
      </c>
      <c r="S1717" s="8" t="str">
        <f t="shared" si="1110"/>
        <v/>
      </c>
      <c r="T1717" s="2" t="str">
        <f t="shared" si="1111"/>
        <v/>
      </c>
      <c r="U1717" s="2" t="str">
        <f t="shared" si="1112"/>
        <v/>
      </c>
      <c r="V1717" t="str">
        <f t="shared" si="1088"/>
        <v/>
      </c>
      <c r="X1717">
        <f t="shared" si="1123"/>
        <v>0</v>
      </c>
      <c r="Y1717">
        <f t="shared" si="1124"/>
        <v>0</v>
      </c>
      <c r="Z1717">
        <f t="shared" si="1125"/>
        <v>0</v>
      </c>
      <c r="AA1717">
        <f t="shared" si="1126"/>
        <v>0</v>
      </c>
      <c r="AB1717">
        <f t="shared" si="1127"/>
        <v>0</v>
      </c>
      <c r="AC1717">
        <f t="shared" si="1128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22"/>
        <v>u</v>
      </c>
      <c r="M1718">
        <v>5</v>
      </c>
      <c r="N1718" s="22" t="str">
        <f t="shared" si="1105"/>
        <v>#</v>
      </c>
      <c r="O1718" s="15" t="str">
        <f t="shared" si="1106"/>
        <v/>
      </c>
      <c r="P1718" s="15" t="str">
        <f t="shared" si="1107"/>
        <v/>
      </c>
      <c r="Q1718" s="15" t="str">
        <f t="shared" si="1108"/>
        <v/>
      </c>
      <c r="R1718" s="16" t="str">
        <f t="shared" si="1109"/>
        <v>#</v>
      </c>
      <c r="S1718" s="8" t="str">
        <f t="shared" si="1110"/>
        <v/>
      </c>
      <c r="T1718" s="2" t="str">
        <f t="shared" si="1111"/>
        <v/>
      </c>
      <c r="U1718" s="2" t="str">
        <f t="shared" si="1112"/>
        <v/>
      </c>
      <c r="V1718" t="str">
        <f t="shared" si="1088"/>
        <v/>
      </c>
      <c r="X1718">
        <f t="shared" si="1123"/>
        <v>1</v>
      </c>
      <c r="Y1718">
        <f t="shared" si="1124"/>
        <v>0</v>
      </c>
      <c r="Z1718">
        <f t="shared" si="1125"/>
        <v>0</v>
      </c>
      <c r="AA1718">
        <f t="shared" si="1126"/>
        <v>0</v>
      </c>
      <c r="AB1718">
        <f t="shared" si="1127"/>
        <v>1</v>
      </c>
      <c r="AC1718">
        <f t="shared" si="1128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22"/>
        <v>u</v>
      </c>
      <c r="M1719">
        <v>6</v>
      </c>
      <c r="N1719" s="23" t="str">
        <f t="shared" si="1105"/>
        <v>#</v>
      </c>
      <c r="O1719" s="7" t="str">
        <f t="shared" si="1106"/>
        <v/>
      </c>
      <c r="P1719" s="7" t="str">
        <f t="shared" si="1107"/>
        <v/>
      </c>
      <c r="Q1719" s="7" t="str">
        <f t="shared" si="1108"/>
        <v/>
      </c>
      <c r="R1719" s="17" t="str">
        <f t="shared" si="1109"/>
        <v>#</v>
      </c>
      <c r="S1719" s="8" t="str">
        <f t="shared" si="1110"/>
        <v/>
      </c>
      <c r="T1719" s="2" t="str">
        <f t="shared" si="1111"/>
        <v/>
      </c>
      <c r="U1719" s="2" t="str">
        <f t="shared" si="1112"/>
        <v/>
      </c>
      <c r="V1719" t="str">
        <f t="shared" si="1088"/>
        <v/>
      </c>
      <c r="X1719">
        <f t="shared" si="1123"/>
        <v>0</v>
      </c>
      <c r="Y1719">
        <f t="shared" si="1124"/>
        <v>0</v>
      </c>
      <c r="Z1719">
        <f t="shared" si="1125"/>
        <v>0</v>
      </c>
      <c r="AA1719">
        <f t="shared" si="1126"/>
        <v>0</v>
      </c>
      <c r="AB1719">
        <f t="shared" si="1127"/>
        <v>0</v>
      </c>
      <c r="AC1719">
        <f t="shared" si="1128"/>
        <v>0</v>
      </c>
      <c r="AE1719" t="str">
        <f>(F1729*128+F1728*64+F1727*32+F1726*16+F1725*8+F1724*4+F1723*2+F1722)*256+F1721*128+F1720*64+F1719*32+F1718*16+F1717*8+F1716*4+F1715*2+F1714&amp;","</f>
        <v>16368,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22"/>
        <v>u</v>
      </c>
      <c r="M1720">
        <v>7</v>
      </c>
      <c r="N1720" s="23" t="str">
        <f t="shared" si="1105"/>
        <v>#</v>
      </c>
      <c r="O1720" s="7" t="str">
        <f t="shared" si="1106"/>
        <v/>
      </c>
      <c r="P1720" s="7" t="str">
        <f t="shared" si="1107"/>
        <v/>
      </c>
      <c r="Q1720" s="7" t="str">
        <f t="shared" si="1108"/>
        <v/>
      </c>
      <c r="R1720" s="17" t="str">
        <f t="shared" si="1109"/>
        <v>#</v>
      </c>
      <c r="S1720" s="8" t="str">
        <f t="shared" si="1110"/>
        <v/>
      </c>
      <c r="T1720" s="2" t="str">
        <f t="shared" si="1111"/>
        <v/>
      </c>
      <c r="U1720" s="2" t="str">
        <f t="shared" si="1112"/>
        <v/>
      </c>
      <c r="V1720" t="str">
        <f t="shared" si="1088"/>
        <v/>
      </c>
      <c r="X1720">
        <f t="shared" si="1123"/>
        <v>0</v>
      </c>
      <c r="Y1720">
        <f t="shared" si="1124"/>
        <v>0</v>
      </c>
      <c r="Z1720">
        <f t="shared" si="1125"/>
        <v>0</v>
      </c>
      <c r="AA1720">
        <f t="shared" si="1126"/>
        <v>0</v>
      </c>
      <c r="AB1720">
        <f t="shared" si="1127"/>
        <v>0</v>
      </c>
      <c r="AC1720">
        <f t="shared" si="1128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22"/>
        <v>u</v>
      </c>
      <c r="M1721">
        <v>8</v>
      </c>
      <c r="N1721" s="23" t="str">
        <f t="shared" si="1105"/>
        <v>#</v>
      </c>
      <c r="O1721" s="7" t="str">
        <f t="shared" si="1106"/>
        <v/>
      </c>
      <c r="P1721" s="7" t="str">
        <f t="shared" si="1107"/>
        <v/>
      </c>
      <c r="Q1721" s="7" t="str">
        <f t="shared" si="1108"/>
        <v/>
      </c>
      <c r="R1721" s="17" t="str">
        <f t="shared" si="1109"/>
        <v>#</v>
      </c>
      <c r="S1721" s="8" t="str">
        <f t="shared" si="1110"/>
        <v/>
      </c>
      <c r="T1721" s="2" t="str">
        <f t="shared" si="1111"/>
        <v/>
      </c>
      <c r="U1721" s="2" t="str">
        <f t="shared" si="1112"/>
        <v/>
      </c>
      <c r="V1721" t="str">
        <f t="shared" si="1088"/>
        <v/>
      </c>
      <c r="X1721">
        <f t="shared" si="1123"/>
        <v>0</v>
      </c>
      <c r="Y1721">
        <f t="shared" si="1124"/>
        <v>0</v>
      </c>
      <c r="Z1721">
        <f t="shared" si="1125"/>
        <v>0</v>
      </c>
      <c r="AA1721">
        <f t="shared" si="1126"/>
        <v>0</v>
      </c>
      <c r="AB1721">
        <f t="shared" si="1127"/>
        <v>0</v>
      </c>
      <c r="AC1721">
        <f t="shared" si="1128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22"/>
        <v>u</v>
      </c>
      <c r="M1722">
        <v>9</v>
      </c>
      <c r="N1722" s="23" t="str">
        <f t="shared" si="1105"/>
        <v>#</v>
      </c>
      <c r="O1722" s="7" t="str">
        <f t="shared" si="1106"/>
        <v/>
      </c>
      <c r="P1722" s="7" t="str">
        <f t="shared" si="1107"/>
        <v/>
      </c>
      <c r="Q1722" s="7" t="str">
        <f t="shared" si="1108"/>
        <v/>
      </c>
      <c r="R1722" s="17" t="str">
        <f t="shared" si="1109"/>
        <v>#</v>
      </c>
      <c r="S1722" s="8" t="str">
        <f t="shared" si="1110"/>
        <v/>
      </c>
      <c r="T1722" s="2" t="str">
        <f t="shared" si="1111"/>
        <v/>
      </c>
      <c r="U1722" s="2" t="str">
        <f t="shared" si="1112"/>
        <v/>
      </c>
      <c r="V1722" t="str">
        <f t="shared" si="1088"/>
        <v/>
      </c>
      <c r="X1722">
        <f t="shared" si="1123"/>
        <v>0</v>
      </c>
      <c r="Y1722">
        <f t="shared" si="1124"/>
        <v>0</v>
      </c>
      <c r="Z1722">
        <f t="shared" si="1125"/>
        <v>0</v>
      </c>
      <c r="AA1722">
        <f t="shared" si="1126"/>
        <v>0</v>
      </c>
      <c r="AB1722">
        <f t="shared" si="1127"/>
        <v>0</v>
      </c>
      <c r="AC1722">
        <f t="shared" si="1128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22"/>
        <v>u</v>
      </c>
      <c r="M1723">
        <v>10</v>
      </c>
      <c r="N1723" s="23" t="str">
        <f t="shared" si="1105"/>
        <v>#</v>
      </c>
      <c r="O1723" s="7" t="str">
        <f t="shared" si="1106"/>
        <v/>
      </c>
      <c r="P1723" s="7" t="str">
        <f t="shared" si="1107"/>
        <v/>
      </c>
      <c r="Q1723" s="7" t="str">
        <f t="shared" si="1108"/>
        <v/>
      </c>
      <c r="R1723" s="17" t="str">
        <f t="shared" si="1109"/>
        <v>#</v>
      </c>
      <c r="S1723" s="8" t="str">
        <f t="shared" si="1110"/>
        <v/>
      </c>
      <c r="T1723" s="2" t="str">
        <f t="shared" si="1111"/>
        <v/>
      </c>
      <c r="U1723" s="2" t="str">
        <f t="shared" si="1112"/>
        <v/>
      </c>
      <c r="V1723" t="str">
        <f t="shared" si="1088"/>
        <v/>
      </c>
      <c r="X1723">
        <f t="shared" si="1123"/>
        <v>0</v>
      </c>
      <c r="Y1723">
        <f t="shared" si="1124"/>
        <v>0</v>
      </c>
      <c r="Z1723">
        <f t="shared" si="1125"/>
        <v>0</v>
      </c>
      <c r="AA1723">
        <f t="shared" si="1126"/>
        <v>0</v>
      </c>
      <c r="AB1723">
        <f t="shared" si="1127"/>
        <v>0</v>
      </c>
      <c r="AC1723">
        <f t="shared" si="1128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22"/>
        <v>u</v>
      </c>
      <c r="M1724">
        <v>11</v>
      </c>
      <c r="N1724" s="23" t="str">
        <f t="shared" si="1105"/>
        <v>#</v>
      </c>
      <c r="O1724" s="7" t="str">
        <f t="shared" si="1106"/>
        <v/>
      </c>
      <c r="P1724" s="7" t="str">
        <f t="shared" si="1107"/>
        <v/>
      </c>
      <c r="Q1724" s="7" t="str">
        <f t="shared" si="1108"/>
        <v/>
      </c>
      <c r="R1724" s="17" t="str">
        <f t="shared" si="1109"/>
        <v>#</v>
      </c>
      <c r="S1724" s="8" t="str">
        <f t="shared" si="1110"/>
        <v/>
      </c>
      <c r="T1724" s="2" t="str">
        <f t="shared" si="1111"/>
        <v/>
      </c>
      <c r="U1724" s="2" t="str">
        <f t="shared" si="1112"/>
        <v/>
      </c>
      <c r="V1724" t="str">
        <f t="shared" si="1088"/>
        <v/>
      </c>
      <c r="X1724">
        <f t="shared" si="1123"/>
        <v>0</v>
      </c>
      <c r="Y1724">
        <f t="shared" si="1124"/>
        <v>0</v>
      </c>
      <c r="Z1724">
        <f t="shared" si="1125"/>
        <v>0</v>
      </c>
      <c r="AA1724">
        <f t="shared" si="1126"/>
        <v>0</v>
      </c>
      <c r="AB1724">
        <f t="shared" si="1127"/>
        <v>0</v>
      </c>
      <c r="AC1724">
        <f t="shared" si="1128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22"/>
        <v>u</v>
      </c>
      <c r="M1725">
        <v>12</v>
      </c>
      <c r="N1725" s="23" t="str">
        <f t="shared" si="1105"/>
        <v>#</v>
      </c>
      <c r="O1725" s="7" t="str">
        <f t="shared" si="1106"/>
        <v/>
      </c>
      <c r="P1725" s="7" t="str">
        <f t="shared" si="1107"/>
        <v/>
      </c>
      <c r="Q1725" s="7" t="str">
        <f t="shared" si="1108"/>
        <v/>
      </c>
      <c r="R1725" s="17" t="str">
        <f t="shared" si="1109"/>
        <v>#</v>
      </c>
      <c r="S1725" s="8" t="str">
        <f t="shared" si="1110"/>
        <v/>
      </c>
      <c r="T1725" s="2" t="str">
        <f t="shared" si="1111"/>
        <v/>
      </c>
      <c r="U1725" s="2" t="str">
        <f t="shared" si="1112"/>
        <v/>
      </c>
      <c r="V1725" t="str">
        <f t="shared" si="1088"/>
        <v/>
      </c>
      <c r="X1725">
        <f t="shared" si="1123"/>
        <v>0</v>
      </c>
      <c r="Y1725">
        <f t="shared" si="1124"/>
        <v>0</v>
      </c>
      <c r="Z1725">
        <f t="shared" si="1125"/>
        <v>0</v>
      </c>
      <c r="AA1725">
        <f t="shared" si="1126"/>
        <v>0</v>
      </c>
      <c r="AB1725">
        <f t="shared" si="1127"/>
        <v>0</v>
      </c>
      <c r="AC1725">
        <f t="shared" si="1128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22"/>
        <v>u</v>
      </c>
      <c r="M1726">
        <v>13</v>
      </c>
      <c r="N1726" s="6" t="str">
        <f t="shared" si="1105"/>
        <v>#</v>
      </c>
      <c r="O1726" s="7" t="str">
        <f t="shared" si="1106"/>
        <v>#</v>
      </c>
      <c r="P1726" s="7" t="str">
        <f t="shared" si="1107"/>
        <v>#</v>
      </c>
      <c r="Q1726" s="7" t="str">
        <f t="shared" si="1108"/>
        <v>#</v>
      </c>
      <c r="R1726" s="17" t="str">
        <f t="shared" si="1109"/>
        <v>#</v>
      </c>
      <c r="S1726" s="8" t="str">
        <f t="shared" si="1110"/>
        <v/>
      </c>
      <c r="T1726" s="2" t="str">
        <f t="shared" si="1111"/>
        <v/>
      </c>
      <c r="U1726" s="2" t="str">
        <f t="shared" si="1112"/>
        <v/>
      </c>
      <c r="V1726" t="str">
        <f t="shared" si="1088"/>
        <v/>
      </c>
      <c r="X1726">
        <f t="shared" si="1123"/>
        <v>0</v>
      </c>
      <c r="Y1726">
        <f t="shared" si="1124"/>
        <v>1</v>
      </c>
      <c r="Z1726">
        <f t="shared" si="1125"/>
        <v>1</v>
      </c>
      <c r="AA1726">
        <f t="shared" si="1126"/>
        <v>1</v>
      </c>
      <c r="AB1726">
        <f t="shared" si="1127"/>
        <v>0</v>
      </c>
      <c r="AC1726">
        <f t="shared" si="1128"/>
        <v>0</v>
      </c>
    </row>
    <row r="1727" spans="1:31" ht="13.5" thickBot="1" x14ac:dyDescent="0.25">
      <c r="A1727" s="21"/>
      <c r="B1727" s="21">
        <v>1</v>
      </c>
      <c r="C1727" s="21">
        <v>1</v>
      </c>
      <c r="D1727" s="21">
        <v>1</v>
      </c>
      <c r="E1727" s="21">
        <v>1</v>
      </c>
      <c r="F1727" s="21">
        <v>1</v>
      </c>
      <c r="G1727" s="21">
        <v>0</v>
      </c>
      <c r="H1727" s="21">
        <v>0</v>
      </c>
      <c r="I1727" s="21">
        <v>0</v>
      </c>
      <c r="L1727" t="str">
        <f t="shared" si="1122"/>
        <v>u</v>
      </c>
      <c r="M1727">
        <v>14</v>
      </c>
      <c r="N1727" s="18" t="str">
        <f t="shared" si="1105"/>
        <v>#</v>
      </c>
      <c r="O1727" s="19" t="str">
        <f t="shared" si="1106"/>
        <v>#</v>
      </c>
      <c r="P1727" s="19" t="str">
        <f t="shared" si="1107"/>
        <v>#</v>
      </c>
      <c r="Q1727" s="19" t="str">
        <f t="shared" si="1108"/>
        <v>#</v>
      </c>
      <c r="R1727" s="20" t="str">
        <f t="shared" si="1109"/>
        <v>#</v>
      </c>
      <c r="S1727" s="8" t="str">
        <f t="shared" si="1110"/>
        <v/>
      </c>
      <c r="T1727" s="2" t="str">
        <f t="shared" si="1111"/>
        <v/>
      </c>
      <c r="U1727" s="2" t="str">
        <f t="shared" si="1112"/>
        <v/>
      </c>
      <c r="V1727" t="str">
        <f t="shared" si="1088"/>
        <v/>
      </c>
      <c r="X1727">
        <f t="shared" si="1123"/>
        <v>0</v>
      </c>
      <c r="Y1727">
        <f t="shared" si="1124"/>
        <v>0</v>
      </c>
      <c r="Z1727">
        <f t="shared" si="1125"/>
        <v>0</v>
      </c>
      <c r="AA1727">
        <f t="shared" si="1126"/>
        <v>0</v>
      </c>
      <c r="AB1727">
        <f t="shared" si="1127"/>
        <v>0</v>
      </c>
      <c r="AC1727">
        <f t="shared" si="1128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22"/>
        <v>u</v>
      </c>
      <c r="M1728">
        <v>15</v>
      </c>
      <c r="N1728" s="9" t="str">
        <f t="shared" si="1105"/>
        <v/>
      </c>
      <c r="O1728" s="10" t="str">
        <f t="shared" si="1106"/>
        <v/>
      </c>
      <c r="P1728" s="10" t="str">
        <f t="shared" si="1107"/>
        <v/>
      </c>
      <c r="Q1728" s="10" t="str">
        <f t="shared" si="1108"/>
        <v/>
      </c>
      <c r="R1728" s="10" t="str">
        <f t="shared" si="1109"/>
        <v/>
      </c>
      <c r="S1728" s="11" t="str">
        <f t="shared" si="1110"/>
        <v/>
      </c>
      <c r="T1728" s="2" t="str">
        <f t="shared" si="1111"/>
        <v/>
      </c>
      <c r="U1728" s="2" t="str">
        <f t="shared" si="1112"/>
        <v/>
      </c>
      <c r="V1728" t="str">
        <f t="shared" si="1088"/>
        <v/>
      </c>
      <c r="X1728">
        <f t="shared" si="1123"/>
        <v>0</v>
      </c>
      <c r="Y1728">
        <f t="shared" si="1124"/>
        <v>0</v>
      </c>
      <c r="Z1728">
        <f t="shared" si="1125"/>
        <v>0</v>
      </c>
      <c r="AA1728">
        <f t="shared" si="1126"/>
        <v>0</v>
      </c>
      <c r="AB1728">
        <f t="shared" si="1127"/>
        <v>0</v>
      </c>
      <c r="AC1728">
        <f t="shared" si="1128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22"/>
        <v>u</v>
      </c>
      <c r="M1729">
        <v>16</v>
      </c>
      <c r="N1729" s="12" t="str">
        <f t="shared" si="1105"/>
        <v/>
      </c>
      <c r="O1729" s="13" t="str">
        <f t="shared" si="1106"/>
        <v/>
      </c>
      <c r="P1729" s="13" t="str">
        <f t="shared" si="1107"/>
        <v/>
      </c>
      <c r="Q1729" s="13" t="str">
        <f t="shared" si="1108"/>
        <v/>
      </c>
      <c r="R1729" s="13" t="str">
        <f t="shared" si="1109"/>
        <v/>
      </c>
      <c r="S1729" s="14" t="str">
        <f t="shared" si="1110"/>
        <v/>
      </c>
      <c r="T1729" s="2" t="str">
        <f t="shared" si="1111"/>
        <v/>
      </c>
      <c r="U1729" s="2" t="str">
        <f t="shared" si="1112"/>
        <v/>
      </c>
      <c r="V1729" t="str">
        <f t="shared" si="1088"/>
        <v/>
      </c>
      <c r="X1729">
        <f t="shared" si="1123"/>
        <v>0</v>
      </c>
      <c r="Y1729">
        <f t="shared" si="1124"/>
        <v>0</v>
      </c>
      <c r="Z1729">
        <f t="shared" si="1125"/>
        <v>0</v>
      </c>
      <c r="AA1729">
        <f t="shared" si="1126"/>
        <v>0</v>
      </c>
      <c r="AB1729">
        <f t="shared" si="1127"/>
        <v>0</v>
      </c>
      <c r="AC1729">
        <f t="shared" si="1128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105"/>
        <v/>
      </c>
      <c r="O1730" t="str">
        <f t="shared" si="1106"/>
        <v/>
      </c>
      <c r="P1730" t="str">
        <f t="shared" si="1107"/>
        <v/>
      </c>
      <c r="Q1730" t="str">
        <f t="shared" si="1108"/>
        <v/>
      </c>
      <c r="R1730" t="str">
        <f t="shared" si="1109"/>
        <v/>
      </c>
      <c r="S1730" t="str">
        <f t="shared" si="1110"/>
        <v/>
      </c>
      <c r="T1730" s="2" t="str">
        <f t="shared" si="1111"/>
        <v/>
      </c>
      <c r="U1730" s="2" t="str">
        <f t="shared" si="1112"/>
        <v/>
      </c>
      <c r="V1730" t="str">
        <f t="shared" ref="V1730:V1793" si="1129">IF(A1730=0,"",M1730)</f>
        <v/>
      </c>
      <c r="W1730">
        <f>SUM(B1732:G1745)</f>
        <v>22</v>
      </c>
      <c r="AD1730">
        <f t="shared" ref="AD1730" si="1130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31">L1730</f>
        <v>v</v>
      </c>
      <c r="M1731">
        <v>2</v>
      </c>
      <c r="N1731" t="str">
        <f t="shared" si="1105"/>
        <v/>
      </c>
      <c r="O1731" t="str">
        <f t="shared" si="1106"/>
        <v/>
      </c>
      <c r="P1731" t="str">
        <f t="shared" si="1107"/>
        <v/>
      </c>
      <c r="Q1731" t="str">
        <f t="shared" si="1108"/>
        <v/>
      </c>
      <c r="R1731" t="str">
        <f t="shared" si="1109"/>
        <v/>
      </c>
      <c r="S1731" t="str">
        <f t="shared" si="1110"/>
        <v/>
      </c>
      <c r="T1731" s="2" t="str">
        <f t="shared" si="1111"/>
        <v/>
      </c>
      <c r="U1731" s="2" t="str">
        <f t="shared" si="1112"/>
        <v/>
      </c>
      <c r="V1731" t="str">
        <f t="shared" si="1129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31"/>
        <v>v</v>
      </c>
      <c r="M1732">
        <v>3</v>
      </c>
      <c r="N1732" s="3" t="str">
        <f t="shared" si="1105"/>
        <v/>
      </c>
      <c r="O1732" s="4" t="str">
        <f t="shared" si="1106"/>
        <v/>
      </c>
      <c r="P1732" s="4" t="str">
        <f t="shared" si="1107"/>
        <v/>
      </c>
      <c r="Q1732" s="4" t="str">
        <f t="shared" si="1108"/>
        <v/>
      </c>
      <c r="R1732" s="4" t="str">
        <f t="shared" si="1109"/>
        <v/>
      </c>
      <c r="S1732" s="5" t="str">
        <f t="shared" si="1110"/>
        <v/>
      </c>
      <c r="T1732" s="2" t="str">
        <f t="shared" si="1111"/>
        <v/>
      </c>
      <c r="U1732" s="2" t="str">
        <f t="shared" si="1112"/>
        <v/>
      </c>
      <c r="V1732" t="str">
        <f t="shared" si="1129"/>
        <v/>
      </c>
      <c r="X1732">
        <f t="shared" ref="X1732:X1745" si="1132">MAX(B1732-B1731,0)</f>
        <v>0</v>
      </c>
      <c r="Y1732">
        <f t="shared" ref="Y1732:Y1745" si="1133">MAX(C1732-C1731,0)</f>
        <v>0</v>
      </c>
      <c r="Z1732">
        <f t="shared" ref="Z1732:Z1745" si="1134">MAX(D1732-D1731,0)</f>
        <v>0</v>
      </c>
      <c r="AA1732">
        <f t="shared" ref="AA1732:AA1745" si="1135">MAX(E1732-E1731,0)</f>
        <v>0</v>
      </c>
      <c r="AB1732">
        <f t="shared" ref="AB1732:AB1745" si="1136">MAX(F1732-F1731,0)</f>
        <v>0</v>
      </c>
      <c r="AC1732">
        <f t="shared" ref="AC1732:AC1745" si="1137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31"/>
        <v>v</v>
      </c>
      <c r="M1733">
        <v>4</v>
      </c>
      <c r="N1733" s="6" t="str">
        <f t="shared" si="1105"/>
        <v/>
      </c>
      <c r="O1733" s="7" t="str">
        <f t="shared" si="1106"/>
        <v/>
      </c>
      <c r="P1733" s="7" t="str">
        <f t="shared" si="1107"/>
        <v/>
      </c>
      <c r="Q1733" s="7" t="str">
        <f t="shared" si="1108"/>
        <v/>
      </c>
      <c r="R1733" s="7" t="str">
        <f t="shared" si="1109"/>
        <v/>
      </c>
      <c r="S1733" s="8" t="str">
        <f t="shared" si="1110"/>
        <v/>
      </c>
      <c r="T1733" s="2" t="str">
        <f t="shared" si="1111"/>
        <v/>
      </c>
      <c r="U1733" s="2" t="str">
        <f t="shared" si="1112"/>
        <v/>
      </c>
      <c r="V1733" t="str">
        <f t="shared" si="1129"/>
        <v/>
      </c>
      <c r="X1733">
        <f t="shared" si="1132"/>
        <v>0</v>
      </c>
      <c r="Y1733">
        <f t="shared" si="1133"/>
        <v>0</v>
      </c>
      <c r="Z1733">
        <f t="shared" si="1134"/>
        <v>0</v>
      </c>
      <c r="AA1733">
        <f t="shared" si="1135"/>
        <v>0</v>
      </c>
      <c r="AB1733">
        <f t="shared" si="1136"/>
        <v>0</v>
      </c>
      <c r="AC1733">
        <f t="shared" si="1137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31"/>
        <v>v</v>
      </c>
      <c r="M1734">
        <v>5</v>
      </c>
      <c r="N1734" s="22" t="str">
        <f t="shared" si="1105"/>
        <v>#</v>
      </c>
      <c r="O1734" s="15" t="str">
        <f t="shared" si="1106"/>
        <v/>
      </c>
      <c r="P1734" s="15" t="str">
        <f t="shared" si="1107"/>
        <v/>
      </c>
      <c r="Q1734" s="15" t="str">
        <f t="shared" si="1108"/>
        <v/>
      </c>
      <c r="R1734" s="16" t="str">
        <f t="shared" si="1109"/>
        <v>#</v>
      </c>
      <c r="S1734" s="8" t="str">
        <f t="shared" si="1110"/>
        <v/>
      </c>
      <c r="T1734" s="2" t="str">
        <f t="shared" si="1111"/>
        <v/>
      </c>
      <c r="U1734" s="2" t="str">
        <f t="shared" si="1112"/>
        <v/>
      </c>
      <c r="V1734" t="str">
        <f t="shared" si="1129"/>
        <v/>
      </c>
      <c r="X1734">
        <f t="shared" si="1132"/>
        <v>1</v>
      </c>
      <c r="Y1734">
        <f t="shared" si="1133"/>
        <v>0</v>
      </c>
      <c r="Z1734">
        <f t="shared" si="1134"/>
        <v>0</v>
      </c>
      <c r="AA1734">
        <f t="shared" si="1135"/>
        <v>0</v>
      </c>
      <c r="AB1734">
        <f t="shared" si="1136"/>
        <v>1</v>
      </c>
      <c r="AC1734">
        <f t="shared" si="1137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31"/>
        <v>v</v>
      </c>
      <c r="M1735">
        <v>6</v>
      </c>
      <c r="N1735" s="23" t="str">
        <f t="shared" si="1105"/>
        <v>#</v>
      </c>
      <c r="O1735" s="7" t="str">
        <f t="shared" si="1106"/>
        <v/>
      </c>
      <c r="P1735" s="7" t="str">
        <f t="shared" si="1107"/>
        <v/>
      </c>
      <c r="Q1735" s="7" t="str">
        <f t="shared" si="1108"/>
        <v/>
      </c>
      <c r="R1735" s="17" t="str">
        <f t="shared" si="1109"/>
        <v>#</v>
      </c>
      <c r="S1735" s="8" t="str">
        <f t="shared" si="1110"/>
        <v/>
      </c>
      <c r="T1735" s="2" t="str">
        <f t="shared" si="1111"/>
        <v/>
      </c>
      <c r="U1735" s="2" t="str">
        <f t="shared" si="1112"/>
        <v/>
      </c>
      <c r="V1735" t="str">
        <f t="shared" si="1129"/>
        <v/>
      </c>
      <c r="X1735">
        <f t="shared" si="1132"/>
        <v>0</v>
      </c>
      <c r="Y1735">
        <f t="shared" si="1133"/>
        <v>0</v>
      </c>
      <c r="Z1735">
        <f t="shared" si="1134"/>
        <v>0</v>
      </c>
      <c r="AA1735">
        <f t="shared" si="1135"/>
        <v>0</v>
      </c>
      <c r="AB1735">
        <f t="shared" si="1136"/>
        <v>0</v>
      </c>
      <c r="AC1735">
        <f t="shared" si="1137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31"/>
        <v>v</v>
      </c>
      <c r="M1736">
        <v>7</v>
      </c>
      <c r="N1736" s="23" t="str">
        <f t="shared" si="1105"/>
        <v>#</v>
      </c>
      <c r="O1736" s="7" t="str">
        <f t="shared" si="1106"/>
        <v/>
      </c>
      <c r="P1736" s="7" t="str">
        <f t="shared" si="1107"/>
        <v/>
      </c>
      <c r="Q1736" s="7" t="str">
        <f t="shared" si="1108"/>
        <v>#</v>
      </c>
      <c r="R1736" s="17" t="str">
        <f t="shared" si="1109"/>
        <v>#</v>
      </c>
      <c r="S1736" s="8" t="str">
        <f t="shared" si="1110"/>
        <v/>
      </c>
      <c r="T1736" s="2" t="str">
        <f t="shared" si="1111"/>
        <v/>
      </c>
      <c r="U1736" s="2" t="str">
        <f t="shared" si="1112"/>
        <v/>
      </c>
      <c r="V1736" t="str">
        <f t="shared" si="1129"/>
        <v/>
      </c>
      <c r="X1736">
        <f t="shared" si="1132"/>
        <v>0</v>
      </c>
      <c r="Y1736">
        <f t="shared" si="1133"/>
        <v>0</v>
      </c>
      <c r="Z1736">
        <f t="shared" si="1134"/>
        <v>0</v>
      </c>
      <c r="AA1736">
        <f t="shared" si="1135"/>
        <v>1</v>
      </c>
      <c r="AB1736">
        <f t="shared" si="1136"/>
        <v>0</v>
      </c>
      <c r="AC1736">
        <f t="shared" si="1137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31"/>
        <v>v</v>
      </c>
      <c r="M1737">
        <v>8</v>
      </c>
      <c r="N1737" s="23" t="str">
        <f t="shared" si="1105"/>
        <v>#</v>
      </c>
      <c r="O1737" s="7" t="str">
        <f t="shared" si="1106"/>
        <v/>
      </c>
      <c r="P1737" s="7" t="str">
        <f t="shared" si="1107"/>
        <v/>
      </c>
      <c r="Q1737" s="7" t="str">
        <f t="shared" si="1108"/>
        <v>#</v>
      </c>
      <c r="R1737" s="17" t="str">
        <f t="shared" si="1109"/>
        <v/>
      </c>
      <c r="S1737" s="8" t="str">
        <f t="shared" si="1110"/>
        <v/>
      </c>
      <c r="T1737" s="2" t="str">
        <f t="shared" si="1111"/>
        <v/>
      </c>
      <c r="U1737" s="2" t="str">
        <f t="shared" si="1112"/>
        <v/>
      </c>
      <c r="V1737" t="str">
        <f t="shared" si="1129"/>
        <v/>
      </c>
      <c r="X1737">
        <f t="shared" si="1132"/>
        <v>0</v>
      </c>
      <c r="Y1737">
        <f t="shared" si="1133"/>
        <v>0</v>
      </c>
      <c r="Z1737">
        <f t="shared" si="1134"/>
        <v>0</v>
      </c>
      <c r="AA1737">
        <f t="shared" si="1135"/>
        <v>0</v>
      </c>
      <c r="AB1737">
        <f t="shared" si="1136"/>
        <v>0</v>
      </c>
      <c r="AC1737">
        <f t="shared" si="1137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31"/>
        <v>v</v>
      </c>
      <c r="M1738">
        <v>9</v>
      </c>
      <c r="N1738" s="23" t="str">
        <f t="shared" si="1105"/>
        <v>#</v>
      </c>
      <c r="O1738" s="7" t="str">
        <f t="shared" si="1106"/>
        <v/>
      </c>
      <c r="P1738" s="7" t="str">
        <f t="shared" si="1107"/>
        <v>#</v>
      </c>
      <c r="Q1738" s="7" t="str">
        <f t="shared" si="1108"/>
        <v>#</v>
      </c>
      <c r="R1738" s="17" t="str">
        <f t="shared" si="1109"/>
        <v/>
      </c>
      <c r="S1738" s="8" t="str">
        <f t="shared" si="1110"/>
        <v/>
      </c>
      <c r="T1738" s="2" t="str">
        <f t="shared" si="1111"/>
        <v/>
      </c>
      <c r="U1738" s="2" t="str">
        <f t="shared" si="1112"/>
        <v/>
      </c>
      <c r="V1738" t="str">
        <f t="shared" si="1129"/>
        <v/>
      </c>
      <c r="X1738">
        <f t="shared" si="1132"/>
        <v>0</v>
      </c>
      <c r="Y1738">
        <f t="shared" si="1133"/>
        <v>0</v>
      </c>
      <c r="Z1738">
        <f t="shared" si="1134"/>
        <v>1</v>
      </c>
      <c r="AA1738">
        <f t="shared" si="1135"/>
        <v>0</v>
      </c>
      <c r="AB1738">
        <f t="shared" si="1136"/>
        <v>0</v>
      </c>
      <c r="AC1738">
        <f t="shared" si="1137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31"/>
        <v>v</v>
      </c>
      <c r="M1739">
        <v>10</v>
      </c>
      <c r="N1739" s="23" t="str">
        <f t="shared" si="1105"/>
        <v>#</v>
      </c>
      <c r="O1739" s="7" t="str">
        <f t="shared" si="1106"/>
        <v/>
      </c>
      <c r="P1739" s="7" t="str">
        <f t="shared" si="1107"/>
        <v>#</v>
      </c>
      <c r="Q1739" s="7" t="str">
        <f t="shared" si="1108"/>
        <v/>
      </c>
      <c r="R1739" s="17" t="str">
        <f t="shared" si="1109"/>
        <v/>
      </c>
      <c r="S1739" s="8" t="str">
        <f t="shared" si="1110"/>
        <v/>
      </c>
      <c r="T1739" s="2" t="str">
        <f t="shared" si="1111"/>
        <v/>
      </c>
      <c r="U1739" s="2" t="str">
        <f t="shared" si="1112"/>
        <v/>
      </c>
      <c r="V1739" t="str">
        <f t="shared" si="1129"/>
        <v/>
      </c>
      <c r="X1739">
        <f t="shared" si="1132"/>
        <v>0</v>
      </c>
      <c r="Y1739">
        <f t="shared" si="1133"/>
        <v>0</v>
      </c>
      <c r="Z1739">
        <f t="shared" si="1134"/>
        <v>0</v>
      </c>
      <c r="AA1739">
        <f t="shared" si="1135"/>
        <v>0</v>
      </c>
      <c r="AB1739">
        <f t="shared" si="1136"/>
        <v>0</v>
      </c>
      <c r="AC1739">
        <f t="shared" si="1137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31"/>
        <v>v</v>
      </c>
      <c r="M1740">
        <v>11</v>
      </c>
      <c r="N1740" s="23" t="str">
        <f t="shared" si="1105"/>
        <v>#</v>
      </c>
      <c r="O1740" s="7" t="str">
        <f t="shared" si="1106"/>
        <v>#</v>
      </c>
      <c r="P1740" s="7" t="str">
        <f t="shared" si="1107"/>
        <v>#</v>
      </c>
      <c r="Q1740" s="7" t="str">
        <f t="shared" si="1108"/>
        <v/>
      </c>
      <c r="R1740" s="17" t="str">
        <f t="shared" si="1109"/>
        <v/>
      </c>
      <c r="S1740" s="8" t="str">
        <f t="shared" si="1110"/>
        <v/>
      </c>
      <c r="T1740" s="2" t="str">
        <f t="shared" si="1111"/>
        <v/>
      </c>
      <c r="U1740" s="2" t="str">
        <f t="shared" si="1112"/>
        <v/>
      </c>
      <c r="V1740" t="str">
        <f t="shared" si="1129"/>
        <v/>
      </c>
      <c r="X1740">
        <f t="shared" si="1132"/>
        <v>0</v>
      </c>
      <c r="Y1740">
        <f t="shared" si="1133"/>
        <v>1</v>
      </c>
      <c r="Z1740">
        <f t="shared" si="1134"/>
        <v>0</v>
      </c>
      <c r="AA1740">
        <f t="shared" si="1135"/>
        <v>0</v>
      </c>
      <c r="AB1740">
        <f t="shared" si="1136"/>
        <v>0</v>
      </c>
      <c r="AC1740">
        <f t="shared" si="1137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31"/>
        <v>v</v>
      </c>
      <c r="M1741">
        <v>12</v>
      </c>
      <c r="N1741" s="23" t="str">
        <f t="shared" si="1105"/>
        <v>#</v>
      </c>
      <c r="O1741" s="7" t="str">
        <f t="shared" si="1106"/>
        <v>#</v>
      </c>
      <c r="P1741" s="7" t="str">
        <f t="shared" si="1107"/>
        <v/>
      </c>
      <c r="Q1741" s="7" t="str">
        <f t="shared" si="1108"/>
        <v/>
      </c>
      <c r="R1741" s="17" t="str">
        <f t="shared" si="1109"/>
        <v/>
      </c>
      <c r="S1741" s="8" t="str">
        <f t="shared" si="1110"/>
        <v/>
      </c>
      <c r="T1741" s="2" t="str">
        <f t="shared" si="1111"/>
        <v/>
      </c>
      <c r="U1741" s="2" t="str">
        <f t="shared" si="1112"/>
        <v/>
      </c>
      <c r="V1741" t="str">
        <f t="shared" si="1129"/>
        <v/>
      </c>
      <c r="X1741">
        <f t="shared" si="1132"/>
        <v>0</v>
      </c>
      <c r="Y1741">
        <f t="shared" si="1133"/>
        <v>0</v>
      </c>
      <c r="Z1741">
        <f t="shared" si="1134"/>
        <v>0</v>
      </c>
      <c r="AA1741">
        <f t="shared" si="1135"/>
        <v>0</v>
      </c>
      <c r="AB1741">
        <f t="shared" si="1136"/>
        <v>0</v>
      </c>
      <c r="AC1741">
        <f t="shared" si="1137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31"/>
        <v>v</v>
      </c>
      <c r="M1742">
        <v>13</v>
      </c>
      <c r="N1742" s="6" t="str">
        <f t="shared" si="1105"/>
        <v>#</v>
      </c>
      <c r="O1742" s="7" t="str">
        <f t="shared" si="1106"/>
        <v>#</v>
      </c>
      <c r="P1742" s="7" t="str">
        <f t="shared" si="1107"/>
        <v/>
      </c>
      <c r="Q1742" s="7" t="str">
        <f t="shared" si="1108"/>
        <v/>
      </c>
      <c r="R1742" s="17" t="str">
        <f t="shared" si="1109"/>
        <v/>
      </c>
      <c r="S1742" s="8" t="str">
        <f t="shared" si="1110"/>
        <v/>
      </c>
      <c r="T1742" s="2" t="str">
        <f t="shared" si="1111"/>
        <v/>
      </c>
      <c r="U1742" s="2" t="str">
        <f t="shared" si="1112"/>
        <v/>
      </c>
      <c r="V1742" t="str">
        <f t="shared" si="1129"/>
        <v/>
      </c>
      <c r="X1742">
        <f t="shared" si="1132"/>
        <v>0</v>
      </c>
      <c r="Y1742">
        <f t="shared" si="1133"/>
        <v>0</v>
      </c>
      <c r="Z1742">
        <f t="shared" si="1134"/>
        <v>0</v>
      </c>
      <c r="AA1742">
        <f t="shared" si="1135"/>
        <v>0</v>
      </c>
      <c r="AB1742">
        <f t="shared" si="1136"/>
        <v>0</v>
      </c>
      <c r="AC1742">
        <f t="shared" si="1137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31"/>
        <v>v</v>
      </c>
      <c r="M1743">
        <v>14</v>
      </c>
      <c r="N1743" s="18" t="str">
        <f t="shared" si="1105"/>
        <v>#</v>
      </c>
      <c r="O1743" s="19" t="str">
        <f t="shared" si="1106"/>
        <v/>
      </c>
      <c r="P1743" s="19" t="str">
        <f t="shared" si="1107"/>
        <v/>
      </c>
      <c r="Q1743" s="19" t="str">
        <f t="shared" si="1108"/>
        <v/>
      </c>
      <c r="R1743" s="20" t="str">
        <f t="shared" si="1109"/>
        <v/>
      </c>
      <c r="S1743" s="8" t="str">
        <f t="shared" si="1110"/>
        <v/>
      </c>
      <c r="T1743" s="2" t="str">
        <f t="shared" si="1111"/>
        <v/>
      </c>
      <c r="U1743" s="2" t="str">
        <f t="shared" si="1112"/>
        <v/>
      </c>
      <c r="V1743" t="str">
        <f t="shared" si="1129"/>
        <v/>
      </c>
      <c r="X1743">
        <f t="shared" si="1132"/>
        <v>0</v>
      </c>
      <c r="Y1743">
        <f t="shared" si="1133"/>
        <v>0</v>
      </c>
      <c r="Z1743">
        <f t="shared" si="1134"/>
        <v>0</v>
      </c>
      <c r="AA1743">
        <f t="shared" si="1135"/>
        <v>0</v>
      </c>
      <c r="AB1743">
        <f t="shared" si="1136"/>
        <v>0</v>
      </c>
      <c r="AC1743">
        <f t="shared" si="1137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31"/>
        <v>v</v>
      </c>
      <c r="M1744">
        <v>15</v>
      </c>
      <c r="N1744" s="9" t="str">
        <f t="shared" si="1105"/>
        <v/>
      </c>
      <c r="O1744" s="10" t="str">
        <f t="shared" si="1106"/>
        <v/>
      </c>
      <c r="P1744" s="10" t="str">
        <f t="shared" si="1107"/>
        <v/>
      </c>
      <c r="Q1744" s="10" t="str">
        <f t="shared" si="1108"/>
        <v/>
      </c>
      <c r="R1744" s="10" t="str">
        <f t="shared" si="1109"/>
        <v/>
      </c>
      <c r="S1744" s="11" t="str">
        <f t="shared" si="1110"/>
        <v/>
      </c>
      <c r="T1744" s="2" t="str">
        <f t="shared" si="1111"/>
        <v/>
      </c>
      <c r="U1744" s="2" t="str">
        <f t="shared" si="1112"/>
        <v/>
      </c>
      <c r="V1744" t="str">
        <f t="shared" si="1129"/>
        <v/>
      </c>
      <c r="X1744">
        <f t="shared" si="1132"/>
        <v>0</v>
      </c>
      <c r="Y1744">
        <f t="shared" si="1133"/>
        <v>0</v>
      </c>
      <c r="Z1744">
        <f t="shared" si="1134"/>
        <v>0</v>
      </c>
      <c r="AA1744">
        <f t="shared" si="1135"/>
        <v>0</v>
      </c>
      <c r="AB1744">
        <f t="shared" si="1136"/>
        <v>0</v>
      </c>
      <c r="AC1744">
        <f t="shared" si="1137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31"/>
        <v>v</v>
      </c>
      <c r="M1745">
        <v>16</v>
      </c>
      <c r="N1745" s="12" t="str">
        <f t="shared" si="1105"/>
        <v/>
      </c>
      <c r="O1745" s="13" t="str">
        <f t="shared" si="1106"/>
        <v/>
      </c>
      <c r="P1745" s="13" t="str">
        <f t="shared" si="1107"/>
        <v/>
      </c>
      <c r="Q1745" s="13" t="str">
        <f t="shared" si="1108"/>
        <v/>
      </c>
      <c r="R1745" s="13" t="str">
        <f t="shared" si="1109"/>
        <v/>
      </c>
      <c r="S1745" s="14" t="str">
        <f t="shared" si="1110"/>
        <v/>
      </c>
      <c r="T1745" s="2" t="str">
        <f t="shared" si="1111"/>
        <v/>
      </c>
      <c r="U1745" s="2" t="str">
        <f t="shared" si="1112"/>
        <v/>
      </c>
      <c r="V1745" t="str">
        <f t="shared" si="1129"/>
        <v/>
      </c>
      <c r="X1745">
        <f t="shared" si="1132"/>
        <v>0</v>
      </c>
      <c r="Y1745">
        <f t="shared" si="1133"/>
        <v>0</v>
      </c>
      <c r="Z1745">
        <f t="shared" si="1134"/>
        <v>0</v>
      </c>
      <c r="AA1745">
        <f t="shared" si="1135"/>
        <v>0</v>
      </c>
      <c r="AB1745">
        <f t="shared" si="1136"/>
        <v>0</v>
      </c>
      <c r="AC1745">
        <f t="shared" si="1137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105"/>
        <v/>
      </c>
      <c r="O1746" t="str">
        <f t="shared" si="1106"/>
        <v/>
      </c>
      <c r="P1746" t="str">
        <f t="shared" si="1107"/>
        <v/>
      </c>
      <c r="Q1746" t="str">
        <f t="shared" si="1108"/>
        <v/>
      </c>
      <c r="R1746" t="str">
        <f t="shared" si="1109"/>
        <v/>
      </c>
      <c r="S1746" t="str">
        <f t="shared" si="1110"/>
        <v/>
      </c>
      <c r="T1746" s="2" t="str">
        <f t="shared" si="1111"/>
        <v/>
      </c>
      <c r="U1746" s="2" t="str">
        <f t="shared" si="1112"/>
        <v/>
      </c>
      <c r="V1746" t="str">
        <f t="shared" si="1129"/>
        <v/>
      </c>
      <c r="W1746">
        <f>SUM(B1748:G1761)</f>
        <v>27</v>
      </c>
      <c r="AD1746">
        <f t="shared" ref="AD1746" si="1138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9">L1746</f>
        <v>w</v>
      </c>
      <c r="M1747">
        <v>2</v>
      </c>
      <c r="N1747" t="str">
        <f t="shared" si="1105"/>
        <v/>
      </c>
      <c r="O1747" t="str">
        <f t="shared" si="1106"/>
        <v/>
      </c>
      <c r="P1747" t="str">
        <f t="shared" si="1107"/>
        <v/>
      </c>
      <c r="Q1747" t="str">
        <f t="shared" si="1108"/>
        <v/>
      </c>
      <c r="R1747" t="str">
        <f t="shared" si="1109"/>
        <v/>
      </c>
      <c r="S1747" t="str">
        <f t="shared" si="1110"/>
        <v/>
      </c>
      <c r="T1747" s="2" t="str">
        <f t="shared" si="1111"/>
        <v/>
      </c>
      <c r="U1747" s="2" t="str">
        <f t="shared" si="1112"/>
        <v/>
      </c>
      <c r="V1747" t="str">
        <f t="shared" si="1129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9"/>
        <v>w</v>
      </c>
      <c r="M1748">
        <v>3</v>
      </c>
      <c r="N1748" s="3" t="str">
        <f t="shared" si="1105"/>
        <v/>
      </c>
      <c r="O1748" s="4" t="str">
        <f t="shared" si="1106"/>
        <v/>
      </c>
      <c r="P1748" s="4" t="str">
        <f t="shared" si="1107"/>
        <v/>
      </c>
      <c r="Q1748" s="4" t="str">
        <f t="shared" si="1108"/>
        <v/>
      </c>
      <c r="R1748" s="4" t="str">
        <f t="shared" si="1109"/>
        <v/>
      </c>
      <c r="S1748" s="5" t="str">
        <f t="shared" si="1110"/>
        <v/>
      </c>
      <c r="T1748" s="2" t="str">
        <f t="shared" si="1111"/>
        <v/>
      </c>
      <c r="U1748" s="2" t="str">
        <f t="shared" si="1112"/>
        <v/>
      </c>
      <c r="V1748" t="str">
        <f t="shared" si="1129"/>
        <v/>
      </c>
      <c r="X1748">
        <f t="shared" ref="X1748:X1761" si="1140">MAX(B1748-B1747,0)</f>
        <v>0</v>
      </c>
      <c r="Y1748">
        <f t="shared" ref="Y1748:Y1761" si="1141">MAX(C1748-C1747,0)</f>
        <v>0</v>
      </c>
      <c r="Z1748">
        <f t="shared" ref="Z1748:Z1761" si="1142">MAX(D1748-D1747,0)</f>
        <v>0</v>
      </c>
      <c r="AA1748">
        <f t="shared" ref="AA1748:AA1761" si="1143">MAX(E1748-E1747,0)</f>
        <v>0</v>
      </c>
      <c r="AB1748">
        <f t="shared" ref="AB1748:AB1761" si="1144">MAX(F1748-F1747,0)</f>
        <v>0</v>
      </c>
      <c r="AC1748">
        <f t="shared" ref="AC1748:AC1761" si="1145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9"/>
        <v>w</v>
      </c>
      <c r="M1749">
        <v>4</v>
      </c>
      <c r="N1749" s="6" t="str">
        <f t="shared" si="1105"/>
        <v/>
      </c>
      <c r="O1749" s="7" t="str">
        <f t="shared" si="1106"/>
        <v/>
      </c>
      <c r="P1749" s="7" t="str">
        <f t="shared" si="1107"/>
        <v/>
      </c>
      <c r="Q1749" s="7" t="str">
        <f t="shared" si="1108"/>
        <v/>
      </c>
      <c r="R1749" s="7" t="str">
        <f t="shared" si="1109"/>
        <v/>
      </c>
      <c r="S1749" s="8" t="str">
        <f t="shared" si="1110"/>
        <v/>
      </c>
      <c r="T1749" s="2" t="str">
        <f t="shared" si="1111"/>
        <v/>
      </c>
      <c r="U1749" s="2" t="str">
        <f t="shared" si="1112"/>
        <v/>
      </c>
      <c r="V1749" t="str">
        <f t="shared" si="1129"/>
        <v/>
      </c>
      <c r="X1749">
        <f t="shared" si="1140"/>
        <v>0</v>
      </c>
      <c r="Y1749">
        <f t="shared" si="1141"/>
        <v>0</v>
      </c>
      <c r="Z1749">
        <f t="shared" si="1142"/>
        <v>0</v>
      </c>
      <c r="AA1749">
        <f t="shared" si="1143"/>
        <v>0</v>
      </c>
      <c r="AB1749">
        <f t="shared" si="1144"/>
        <v>0</v>
      </c>
      <c r="AC1749">
        <f t="shared" si="1145"/>
        <v>0</v>
      </c>
      <c r="AE1749" t="str">
        <f>(D1761*128+D1760*64+D1759*32+D1758*16+D1757*8+D1756*4+D1755*2+D1754)*256+D1753*128+D1752*64+D1751*32+D1750*16+D1749*8+D1748*4+D1747*2+D1746&amp;","</f>
        <v>7936,</v>
      </c>
    </row>
    <row r="1750" spans="1:31" x14ac:dyDescent="0.2">
      <c r="A1750" s="21"/>
      <c r="B1750" s="21">
        <v>1</v>
      </c>
      <c r="C1750" s="21">
        <v>0</v>
      </c>
      <c r="D1750" s="21">
        <v>0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9"/>
        <v>w</v>
      </c>
      <c r="M1750">
        <v>5</v>
      </c>
      <c r="N1750" s="22" t="str">
        <f t="shared" si="1105"/>
        <v>#</v>
      </c>
      <c r="O1750" s="15" t="str">
        <f t="shared" si="1106"/>
        <v/>
      </c>
      <c r="P1750" s="15" t="str">
        <f t="shared" si="1107"/>
        <v/>
      </c>
      <c r="Q1750" s="15" t="str">
        <f t="shared" si="1108"/>
        <v/>
      </c>
      <c r="R1750" s="16" t="str">
        <f t="shared" si="1109"/>
        <v>#</v>
      </c>
      <c r="S1750" s="8" t="str">
        <f t="shared" si="1110"/>
        <v/>
      </c>
      <c r="T1750" s="2" t="str">
        <f t="shared" si="1111"/>
        <v/>
      </c>
      <c r="U1750" s="2" t="str">
        <f t="shared" si="1112"/>
        <v/>
      </c>
      <c r="V1750" t="str">
        <f t="shared" si="1129"/>
        <v/>
      </c>
      <c r="X1750">
        <f t="shared" si="1140"/>
        <v>1</v>
      </c>
      <c r="Y1750">
        <f t="shared" si="1141"/>
        <v>0</v>
      </c>
      <c r="Z1750">
        <f t="shared" si="1142"/>
        <v>0</v>
      </c>
      <c r="AA1750">
        <f t="shared" si="1143"/>
        <v>0</v>
      </c>
      <c r="AB1750">
        <f t="shared" si="1144"/>
        <v>1</v>
      </c>
      <c r="AC1750">
        <f t="shared" si="1145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0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9"/>
        <v>w</v>
      </c>
      <c r="M1751">
        <v>6</v>
      </c>
      <c r="N1751" s="23" t="str">
        <f t="shared" si="1105"/>
        <v>#</v>
      </c>
      <c r="O1751" s="7" t="str">
        <f t="shared" si="1106"/>
        <v/>
      </c>
      <c r="P1751" s="7" t="str">
        <f t="shared" si="1107"/>
        <v/>
      </c>
      <c r="Q1751" s="7" t="str">
        <f t="shared" si="1108"/>
        <v/>
      </c>
      <c r="R1751" s="17" t="str">
        <f t="shared" si="1109"/>
        <v>#</v>
      </c>
      <c r="S1751" s="8" t="str">
        <f t="shared" si="1110"/>
        <v/>
      </c>
      <c r="T1751" s="2" t="str">
        <f t="shared" si="1111"/>
        <v/>
      </c>
      <c r="U1751" s="2" t="str">
        <f t="shared" si="1112"/>
        <v/>
      </c>
      <c r="V1751" t="str">
        <f t="shared" si="1129"/>
        <v/>
      </c>
      <c r="X1751">
        <f t="shared" si="1140"/>
        <v>0</v>
      </c>
      <c r="Y1751">
        <f t="shared" si="1141"/>
        <v>0</v>
      </c>
      <c r="Z1751">
        <f t="shared" si="1142"/>
        <v>0</v>
      </c>
      <c r="AA1751">
        <f t="shared" si="1143"/>
        <v>0</v>
      </c>
      <c r="AB1751">
        <f t="shared" si="1144"/>
        <v>0</v>
      </c>
      <c r="AC1751">
        <f t="shared" si="1145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0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9"/>
        <v>w</v>
      </c>
      <c r="M1752">
        <v>7</v>
      </c>
      <c r="N1752" s="23" t="str">
        <f t="shared" si="1105"/>
        <v>#</v>
      </c>
      <c r="O1752" s="7" t="str">
        <f t="shared" si="1106"/>
        <v/>
      </c>
      <c r="P1752" s="7" t="str">
        <f t="shared" si="1107"/>
        <v/>
      </c>
      <c r="Q1752" s="7" t="str">
        <f t="shared" si="1108"/>
        <v/>
      </c>
      <c r="R1752" s="17" t="str">
        <f t="shared" si="1109"/>
        <v>#</v>
      </c>
      <c r="S1752" s="8" t="str">
        <f t="shared" si="1110"/>
        <v/>
      </c>
      <c r="T1752" s="2" t="str">
        <f t="shared" si="1111"/>
        <v/>
      </c>
      <c r="U1752" s="2" t="str">
        <f t="shared" si="1112"/>
        <v/>
      </c>
      <c r="V1752" t="str">
        <f t="shared" si="1129"/>
        <v/>
      </c>
      <c r="X1752">
        <f t="shared" si="1140"/>
        <v>0</v>
      </c>
      <c r="Y1752">
        <f t="shared" si="1141"/>
        <v>0</v>
      </c>
      <c r="Z1752">
        <f t="shared" si="1142"/>
        <v>0</v>
      </c>
      <c r="AA1752">
        <f t="shared" si="1143"/>
        <v>0</v>
      </c>
      <c r="AB1752">
        <f t="shared" si="1144"/>
        <v>0</v>
      </c>
      <c r="AC1752">
        <f t="shared" si="1145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0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9"/>
        <v>w</v>
      </c>
      <c r="M1753">
        <v>8</v>
      </c>
      <c r="N1753" s="23" t="str">
        <f t="shared" si="1105"/>
        <v>#</v>
      </c>
      <c r="O1753" s="7" t="str">
        <f t="shared" si="1106"/>
        <v/>
      </c>
      <c r="P1753" s="7" t="str">
        <f t="shared" si="1107"/>
        <v/>
      </c>
      <c r="Q1753" s="7" t="str">
        <f t="shared" si="1108"/>
        <v/>
      </c>
      <c r="R1753" s="17" t="str">
        <f t="shared" si="1109"/>
        <v>#</v>
      </c>
      <c r="S1753" s="8" t="str">
        <f t="shared" si="1110"/>
        <v/>
      </c>
      <c r="T1753" s="2" t="str">
        <f t="shared" si="1111"/>
        <v/>
      </c>
      <c r="U1753" s="2" t="str">
        <f t="shared" si="1112"/>
        <v/>
      </c>
      <c r="V1753" t="str">
        <f t="shared" si="1129"/>
        <v/>
      </c>
      <c r="X1753">
        <f t="shared" si="1140"/>
        <v>0</v>
      </c>
      <c r="Y1753">
        <f t="shared" si="1141"/>
        <v>0</v>
      </c>
      <c r="Z1753">
        <f t="shared" si="1142"/>
        <v>0</v>
      </c>
      <c r="AA1753">
        <f t="shared" si="1143"/>
        <v>0</v>
      </c>
      <c r="AB1753">
        <f t="shared" si="1144"/>
        <v>0</v>
      </c>
      <c r="AC1753">
        <f t="shared" si="1145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9"/>
        <v>w</v>
      </c>
      <c r="M1754">
        <v>9</v>
      </c>
      <c r="N1754" s="23" t="str">
        <f t="shared" si="1105"/>
        <v>#</v>
      </c>
      <c r="O1754" s="7" t="str">
        <f t="shared" si="1106"/>
        <v/>
      </c>
      <c r="P1754" s="7" t="str">
        <f t="shared" si="1107"/>
        <v>#</v>
      </c>
      <c r="Q1754" s="7" t="str">
        <f t="shared" si="1108"/>
        <v/>
      </c>
      <c r="R1754" s="17" t="str">
        <f t="shared" si="1109"/>
        <v>#</v>
      </c>
      <c r="S1754" s="8" t="str">
        <f t="shared" si="1110"/>
        <v/>
      </c>
      <c r="T1754" s="2" t="str">
        <f t="shared" si="1111"/>
        <v/>
      </c>
      <c r="U1754" s="2" t="str">
        <f t="shared" si="1112"/>
        <v/>
      </c>
      <c r="V1754" t="str">
        <f t="shared" si="1129"/>
        <v/>
      </c>
      <c r="X1754">
        <f t="shared" si="1140"/>
        <v>0</v>
      </c>
      <c r="Y1754">
        <f t="shared" si="1141"/>
        <v>0</v>
      </c>
      <c r="Z1754">
        <f t="shared" si="1142"/>
        <v>1</v>
      </c>
      <c r="AA1754">
        <f t="shared" si="1143"/>
        <v>0</v>
      </c>
      <c r="AB1754">
        <f t="shared" si="1144"/>
        <v>0</v>
      </c>
      <c r="AC1754">
        <f t="shared" si="1145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9"/>
        <v>w</v>
      </c>
      <c r="M1755">
        <v>10</v>
      </c>
      <c r="N1755" s="23" t="str">
        <f t="shared" si="1105"/>
        <v>#</v>
      </c>
      <c r="O1755" s="7" t="str">
        <f t="shared" si="1106"/>
        <v/>
      </c>
      <c r="P1755" s="7" t="str">
        <f t="shared" si="1107"/>
        <v>#</v>
      </c>
      <c r="Q1755" s="7" t="str">
        <f t="shared" si="1108"/>
        <v/>
      </c>
      <c r="R1755" s="17" t="str">
        <f t="shared" si="1109"/>
        <v>#</v>
      </c>
      <c r="S1755" s="8" t="str">
        <f t="shared" si="1110"/>
        <v/>
      </c>
      <c r="T1755" s="2" t="str">
        <f t="shared" si="1111"/>
        <v/>
      </c>
      <c r="U1755" s="2" t="str">
        <f t="shared" si="1112"/>
        <v/>
      </c>
      <c r="V1755" t="str">
        <f t="shared" si="1129"/>
        <v/>
      </c>
      <c r="X1755">
        <f t="shared" si="1140"/>
        <v>0</v>
      </c>
      <c r="Y1755">
        <f t="shared" si="1141"/>
        <v>0</v>
      </c>
      <c r="Z1755">
        <f t="shared" si="1142"/>
        <v>0</v>
      </c>
      <c r="AA1755">
        <f t="shared" si="1143"/>
        <v>0</v>
      </c>
      <c r="AB1755">
        <f t="shared" si="1144"/>
        <v>0</v>
      </c>
      <c r="AC1755">
        <f t="shared" si="1145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9"/>
        <v>w</v>
      </c>
      <c r="M1756">
        <v>11</v>
      </c>
      <c r="N1756" s="23" t="str">
        <f t="shared" si="1105"/>
        <v>#</v>
      </c>
      <c r="O1756" s="7" t="str">
        <f t="shared" si="1106"/>
        <v/>
      </c>
      <c r="P1756" s="7" t="str">
        <f t="shared" si="1107"/>
        <v>#</v>
      </c>
      <c r="Q1756" s="7" t="str">
        <f t="shared" si="1108"/>
        <v/>
      </c>
      <c r="R1756" s="17" t="str">
        <f t="shared" si="1109"/>
        <v>#</v>
      </c>
      <c r="S1756" s="8" t="str">
        <f t="shared" si="1110"/>
        <v/>
      </c>
      <c r="T1756" s="2" t="str">
        <f t="shared" si="1111"/>
        <v/>
      </c>
      <c r="U1756" s="2" t="str">
        <f t="shared" si="1112"/>
        <v/>
      </c>
      <c r="V1756" t="str">
        <f t="shared" si="1129"/>
        <v/>
      </c>
      <c r="X1756">
        <f t="shared" si="1140"/>
        <v>0</v>
      </c>
      <c r="Y1756">
        <f t="shared" si="1141"/>
        <v>0</v>
      </c>
      <c r="Z1756">
        <f t="shared" si="1142"/>
        <v>0</v>
      </c>
      <c r="AA1756">
        <f t="shared" si="1143"/>
        <v>0</v>
      </c>
      <c r="AB1756">
        <f t="shared" si="1144"/>
        <v>0</v>
      </c>
      <c r="AC1756">
        <f t="shared" si="1145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9"/>
        <v>w</v>
      </c>
      <c r="M1757">
        <v>12</v>
      </c>
      <c r="N1757" s="23" t="str">
        <f t="shared" si="1105"/>
        <v>#</v>
      </c>
      <c r="O1757" s="7" t="str">
        <f t="shared" si="1106"/>
        <v/>
      </c>
      <c r="P1757" s="7" t="str">
        <f t="shared" si="1107"/>
        <v>#</v>
      </c>
      <c r="Q1757" s="7" t="str">
        <f t="shared" si="1108"/>
        <v/>
      </c>
      <c r="R1757" s="17" t="str">
        <f t="shared" si="1109"/>
        <v>#</v>
      </c>
      <c r="S1757" s="8" t="str">
        <f t="shared" si="1110"/>
        <v/>
      </c>
      <c r="T1757" s="2" t="str">
        <f t="shared" si="1111"/>
        <v/>
      </c>
      <c r="U1757" s="2" t="str">
        <f t="shared" si="1112"/>
        <v/>
      </c>
      <c r="V1757" t="str">
        <f t="shared" si="1129"/>
        <v/>
      </c>
      <c r="X1757">
        <f t="shared" si="1140"/>
        <v>0</v>
      </c>
      <c r="Y1757">
        <f t="shared" si="1141"/>
        <v>0</v>
      </c>
      <c r="Z1757">
        <f t="shared" si="1142"/>
        <v>0</v>
      </c>
      <c r="AA1757">
        <f t="shared" si="1143"/>
        <v>0</v>
      </c>
      <c r="AB1757">
        <f t="shared" si="1144"/>
        <v>0</v>
      </c>
      <c r="AC1757">
        <f t="shared" si="1145"/>
        <v>0</v>
      </c>
    </row>
    <row r="1758" spans="1:31" x14ac:dyDescent="0.2">
      <c r="A1758" s="21"/>
      <c r="B1758" s="21">
        <v>1</v>
      </c>
      <c r="C1758" s="21">
        <v>1</v>
      </c>
      <c r="D1758" s="21">
        <v>1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9"/>
        <v>w</v>
      </c>
      <c r="M1758">
        <v>13</v>
      </c>
      <c r="N1758" s="6" t="str">
        <f t="shared" si="1105"/>
        <v>#</v>
      </c>
      <c r="O1758" s="7" t="str">
        <f t="shared" si="1106"/>
        <v>#</v>
      </c>
      <c r="P1758" s="7" t="str">
        <f t="shared" si="1107"/>
        <v>#</v>
      </c>
      <c r="Q1758" s="7" t="str">
        <f t="shared" si="1108"/>
        <v>#</v>
      </c>
      <c r="R1758" s="17" t="str">
        <f t="shared" si="1109"/>
        <v>#</v>
      </c>
      <c r="S1758" s="8" t="str">
        <f t="shared" si="1110"/>
        <v/>
      </c>
      <c r="T1758" s="2" t="str">
        <f t="shared" si="1111"/>
        <v/>
      </c>
      <c r="U1758" s="2" t="str">
        <f t="shared" si="1112"/>
        <v/>
      </c>
      <c r="V1758" t="str">
        <f t="shared" si="1129"/>
        <v/>
      </c>
      <c r="X1758">
        <f t="shared" si="1140"/>
        <v>0</v>
      </c>
      <c r="Y1758">
        <f t="shared" si="1141"/>
        <v>1</v>
      </c>
      <c r="Z1758">
        <f t="shared" si="1142"/>
        <v>0</v>
      </c>
      <c r="AA1758">
        <f t="shared" si="1143"/>
        <v>1</v>
      </c>
      <c r="AB1758">
        <f t="shared" si="1144"/>
        <v>0</v>
      </c>
      <c r="AC1758">
        <f t="shared" si="1145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9"/>
        <v>w</v>
      </c>
      <c r="M1759">
        <v>14</v>
      </c>
      <c r="N1759" s="18" t="str">
        <f t="shared" si="1105"/>
        <v/>
      </c>
      <c r="O1759" s="19" t="str">
        <f t="shared" si="1106"/>
        <v>#</v>
      </c>
      <c r="P1759" s="19" t="str">
        <f t="shared" si="1107"/>
        <v/>
      </c>
      <c r="Q1759" s="19" t="str">
        <f t="shared" si="1108"/>
        <v>#</v>
      </c>
      <c r="R1759" s="20" t="str">
        <f t="shared" si="1109"/>
        <v/>
      </c>
      <c r="S1759" s="8" t="str">
        <f t="shared" si="1110"/>
        <v/>
      </c>
      <c r="T1759" s="2" t="str">
        <f t="shared" si="1111"/>
        <v/>
      </c>
      <c r="U1759" s="2" t="str">
        <f t="shared" si="1112"/>
        <v/>
      </c>
      <c r="V1759" t="str">
        <f t="shared" si="1129"/>
        <v/>
      </c>
      <c r="X1759">
        <f t="shared" si="1140"/>
        <v>0</v>
      </c>
      <c r="Y1759">
        <f t="shared" si="1141"/>
        <v>0</v>
      </c>
      <c r="Z1759">
        <f t="shared" si="1142"/>
        <v>0</v>
      </c>
      <c r="AA1759">
        <f t="shared" si="1143"/>
        <v>0</v>
      </c>
      <c r="AB1759">
        <f t="shared" si="1144"/>
        <v>0</v>
      </c>
      <c r="AC1759">
        <f t="shared" si="1145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9"/>
        <v>w</v>
      </c>
      <c r="M1760">
        <v>15</v>
      </c>
      <c r="N1760" s="9" t="str">
        <f t="shared" si="1105"/>
        <v/>
      </c>
      <c r="O1760" s="10" t="str">
        <f t="shared" si="1106"/>
        <v/>
      </c>
      <c r="P1760" s="10" t="str">
        <f t="shared" si="1107"/>
        <v/>
      </c>
      <c r="Q1760" s="10" t="str">
        <f t="shared" si="1108"/>
        <v/>
      </c>
      <c r="R1760" s="10" t="str">
        <f t="shared" si="1109"/>
        <v/>
      </c>
      <c r="S1760" s="11" t="str">
        <f t="shared" si="1110"/>
        <v/>
      </c>
      <c r="T1760" s="2" t="str">
        <f t="shared" si="1111"/>
        <v/>
      </c>
      <c r="U1760" s="2" t="str">
        <f t="shared" si="1112"/>
        <v/>
      </c>
      <c r="V1760" t="str">
        <f t="shared" si="1129"/>
        <v/>
      </c>
      <c r="X1760">
        <f t="shared" si="1140"/>
        <v>0</v>
      </c>
      <c r="Y1760">
        <f t="shared" si="1141"/>
        <v>0</v>
      </c>
      <c r="Z1760">
        <f t="shared" si="1142"/>
        <v>0</v>
      </c>
      <c r="AA1760">
        <f t="shared" si="1143"/>
        <v>0</v>
      </c>
      <c r="AB1760">
        <f t="shared" si="1144"/>
        <v>0</v>
      </c>
      <c r="AC1760">
        <f t="shared" si="1145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9"/>
        <v>w</v>
      </c>
      <c r="M1761">
        <v>16</v>
      </c>
      <c r="N1761" s="12" t="str">
        <f t="shared" si="1105"/>
        <v/>
      </c>
      <c r="O1761" s="13" t="str">
        <f t="shared" si="1106"/>
        <v/>
      </c>
      <c r="P1761" s="13" t="str">
        <f t="shared" si="1107"/>
        <v/>
      </c>
      <c r="Q1761" s="13" t="str">
        <f t="shared" si="1108"/>
        <v/>
      </c>
      <c r="R1761" s="13" t="str">
        <f t="shared" si="1109"/>
        <v/>
      </c>
      <c r="S1761" s="14" t="str">
        <f t="shared" si="1110"/>
        <v/>
      </c>
      <c r="T1761" s="2" t="str">
        <f t="shared" si="1111"/>
        <v/>
      </c>
      <c r="U1761" s="2" t="str">
        <f t="shared" si="1112"/>
        <v/>
      </c>
      <c r="V1761" t="str">
        <f t="shared" si="1129"/>
        <v/>
      </c>
      <c r="X1761">
        <f t="shared" si="1140"/>
        <v>0</v>
      </c>
      <c r="Y1761">
        <f t="shared" si="1141"/>
        <v>0</v>
      </c>
      <c r="Z1761">
        <f t="shared" si="1142"/>
        <v>0</v>
      </c>
      <c r="AA1761">
        <f t="shared" si="1143"/>
        <v>0</v>
      </c>
      <c r="AB1761">
        <f t="shared" si="1144"/>
        <v>0</v>
      </c>
      <c r="AC1761">
        <f t="shared" si="1145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6">IF(B1762&gt;0,"#","")</f>
        <v/>
      </c>
      <c r="O1762" t="str">
        <f t="shared" ref="O1762:O1825" si="1147">IF(C1762&gt;0,"#","")</f>
        <v/>
      </c>
      <c r="P1762" t="str">
        <f t="shared" ref="P1762:P1825" si="1148">IF(D1762&gt;0,"#","")</f>
        <v/>
      </c>
      <c r="Q1762" t="str">
        <f t="shared" ref="Q1762:Q1825" si="1149">IF(E1762&gt;0,"#","")</f>
        <v/>
      </c>
      <c r="R1762" t="str">
        <f t="shared" ref="R1762:R1825" si="1150">IF(F1762&gt;0,"#","")</f>
        <v/>
      </c>
      <c r="S1762" t="str">
        <f t="shared" ref="S1762:S1825" si="1151">IF(G1762&gt;0,"#","")</f>
        <v/>
      </c>
      <c r="T1762" s="2" t="str">
        <f t="shared" ref="T1762:T1825" si="1152">IF(H1762&gt;0,"#","")</f>
        <v/>
      </c>
      <c r="U1762" s="2" t="str">
        <f t="shared" ref="U1762:U1825" si="1153">IF(I1762&gt;0,"#","")</f>
        <v/>
      </c>
      <c r="V1762" t="str">
        <f t="shared" si="1129"/>
        <v/>
      </c>
      <c r="W1762">
        <f>SUM(B1764:G1777)</f>
        <v>24</v>
      </c>
      <c r="AD1762">
        <f t="shared" ref="AD1762" si="1154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55">L1762</f>
        <v>x</v>
      </c>
      <c r="M1763">
        <v>2</v>
      </c>
      <c r="N1763" t="str">
        <f t="shared" si="1146"/>
        <v/>
      </c>
      <c r="O1763" t="str">
        <f t="shared" si="1147"/>
        <v/>
      </c>
      <c r="P1763" t="str">
        <f t="shared" si="1148"/>
        <v/>
      </c>
      <c r="Q1763" t="str">
        <f t="shared" si="1149"/>
        <v/>
      </c>
      <c r="R1763" t="str">
        <f t="shared" si="1150"/>
        <v/>
      </c>
      <c r="S1763" t="str">
        <f t="shared" si="1151"/>
        <v/>
      </c>
      <c r="T1763" s="2" t="str">
        <f t="shared" si="1152"/>
        <v/>
      </c>
      <c r="U1763" s="2" t="str">
        <f t="shared" si="1153"/>
        <v/>
      </c>
      <c r="V1763" t="str">
        <f t="shared" si="1129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55"/>
        <v>x</v>
      </c>
      <c r="M1764">
        <v>3</v>
      </c>
      <c r="N1764" s="3" t="str">
        <f t="shared" si="1146"/>
        <v/>
      </c>
      <c r="O1764" s="4" t="str">
        <f t="shared" si="1147"/>
        <v/>
      </c>
      <c r="P1764" s="4" t="str">
        <f t="shared" si="1148"/>
        <v/>
      </c>
      <c r="Q1764" s="4" t="str">
        <f t="shared" si="1149"/>
        <v/>
      </c>
      <c r="R1764" s="4" t="str">
        <f t="shared" si="1150"/>
        <v/>
      </c>
      <c r="S1764" s="5" t="str">
        <f t="shared" si="1151"/>
        <v/>
      </c>
      <c r="T1764" s="2" t="str">
        <f t="shared" si="1152"/>
        <v/>
      </c>
      <c r="U1764" s="2" t="str">
        <f t="shared" si="1153"/>
        <v/>
      </c>
      <c r="V1764" t="str">
        <f t="shared" si="1129"/>
        <v/>
      </c>
      <c r="X1764">
        <f t="shared" ref="X1764:X1777" si="1156">MAX(B1764-B1763,0)</f>
        <v>0</v>
      </c>
      <c r="Y1764">
        <f t="shared" ref="Y1764:Y1777" si="1157">MAX(C1764-C1763,0)</f>
        <v>0</v>
      </c>
      <c r="Z1764">
        <f t="shared" ref="Z1764:Z1777" si="1158">MAX(D1764-D1763,0)</f>
        <v>0</v>
      </c>
      <c r="AA1764">
        <f t="shared" ref="AA1764:AA1777" si="1159">MAX(E1764-E1763,0)</f>
        <v>0</v>
      </c>
      <c r="AB1764">
        <f t="shared" ref="AB1764:AB1777" si="1160">MAX(F1764-F1763,0)</f>
        <v>0</v>
      </c>
      <c r="AC1764">
        <f t="shared" ref="AC1764:AC1777" si="1161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55"/>
        <v>x</v>
      </c>
      <c r="M1765">
        <v>4</v>
      </c>
      <c r="N1765" s="6" t="str">
        <f t="shared" si="1146"/>
        <v/>
      </c>
      <c r="O1765" s="7" t="str">
        <f t="shared" si="1147"/>
        <v/>
      </c>
      <c r="P1765" s="7" t="str">
        <f t="shared" si="1148"/>
        <v/>
      </c>
      <c r="Q1765" s="7" t="str">
        <f t="shared" si="1149"/>
        <v/>
      </c>
      <c r="R1765" s="7" t="str">
        <f t="shared" si="1150"/>
        <v/>
      </c>
      <c r="S1765" s="8" t="str">
        <f t="shared" si="1151"/>
        <v/>
      </c>
      <c r="T1765" s="2" t="str">
        <f t="shared" si="1152"/>
        <v/>
      </c>
      <c r="U1765" s="2" t="str">
        <f t="shared" si="1153"/>
        <v/>
      </c>
      <c r="V1765" t="str">
        <f t="shared" si="1129"/>
        <v/>
      </c>
      <c r="X1765">
        <f t="shared" si="1156"/>
        <v>0</v>
      </c>
      <c r="Y1765">
        <f t="shared" si="1157"/>
        <v>0</v>
      </c>
      <c r="Z1765">
        <f t="shared" si="1158"/>
        <v>0</v>
      </c>
      <c r="AA1765">
        <f t="shared" si="1159"/>
        <v>0</v>
      </c>
      <c r="AB1765">
        <f t="shared" si="1160"/>
        <v>0</v>
      </c>
      <c r="AC1765">
        <f t="shared" si="1161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55"/>
        <v>x</v>
      </c>
      <c r="M1766">
        <v>5</v>
      </c>
      <c r="N1766" s="22" t="str">
        <f t="shared" si="1146"/>
        <v>#</v>
      </c>
      <c r="O1766" s="15" t="str">
        <f t="shared" si="1147"/>
        <v/>
      </c>
      <c r="P1766" s="15" t="str">
        <f t="shared" si="1148"/>
        <v/>
      </c>
      <c r="Q1766" s="15" t="str">
        <f t="shared" si="1149"/>
        <v/>
      </c>
      <c r="R1766" s="16" t="str">
        <f t="shared" si="1150"/>
        <v>#</v>
      </c>
      <c r="S1766" s="8" t="str">
        <f t="shared" si="1151"/>
        <v/>
      </c>
      <c r="T1766" s="2" t="str">
        <f t="shared" si="1152"/>
        <v/>
      </c>
      <c r="U1766" s="2" t="str">
        <f t="shared" si="1153"/>
        <v/>
      </c>
      <c r="V1766" t="str">
        <f t="shared" si="1129"/>
        <v/>
      </c>
      <c r="X1766">
        <f t="shared" si="1156"/>
        <v>1</v>
      </c>
      <c r="Y1766">
        <f t="shared" si="1157"/>
        <v>0</v>
      </c>
      <c r="Z1766">
        <f t="shared" si="1158"/>
        <v>0</v>
      </c>
      <c r="AA1766">
        <f t="shared" si="1159"/>
        <v>0</v>
      </c>
      <c r="AB1766">
        <f t="shared" si="1160"/>
        <v>1</v>
      </c>
      <c r="AC1766">
        <f t="shared" si="1161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55"/>
        <v>x</v>
      </c>
      <c r="M1767">
        <v>6</v>
      </c>
      <c r="N1767" s="23" t="str">
        <f t="shared" si="1146"/>
        <v>#</v>
      </c>
      <c r="O1767" s="7" t="str">
        <f t="shared" si="1147"/>
        <v/>
      </c>
      <c r="P1767" s="7" t="str">
        <f t="shared" si="1148"/>
        <v/>
      </c>
      <c r="Q1767" s="7" t="str">
        <f t="shared" si="1149"/>
        <v/>
      </c>
      <c r="R1767" s="17" t="str">
        <f t="shared" si="1150"/>
        <v>#</v>
      </c>
      <c r="S1767" s="8" t="str">
        <f t="shared" si="1151"/>
        <v/>
      </c>
      <c r="T1767" s="2" t="str">
        <f t="shared" si="1152"/>
        <v/>
      </c>
      <c r="U1767" s="2" t="str">
        <f t="shared" si="1153"/>
        <v/>
      </c>
      <c r="V1767" t="str">
        <f t="shared" si="1129"/>
        <v/>
      </c>
      <c r="X1767">
        <f t="shared" si="1156"/>
        <v>0</v>
      </c>
      <c r="Y1767">
        <f t="shared" si="1157"/>
        <v>0</v>
      </c>
      <c r="Z1767">
        <f t="shared" si="1158"/>
        <v>0</v>
      </c>
      <c r="AA1767">
        <f t="shared" si="1159"/>
        <v>0</v>
      </c>
      <c r="AB1767">
        <f t="shared" si="1160"/>
        <v>0</v>
      </c>
      <c r="AC1767">
        <f t="shared" si="1161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55"/>
        <v>x</v>
      </c>
      <c r="M1768">
        <v>7</v>
      </c>
      <c r="N1768" s="23" t="str">
        <f t="shared" si="1146"/>
        <v>#</v>
      </c>
      <c r="O1768" s="7" t="str">
        <f t="shared" si="1147"/>
        <v>#</v>
      </c>
      <c r="P1768" s="7" t="str">
        <f t="shared" si="1148"/>
        <v/>
      </c>
      <c r="Q1768" s="7" t="str">
        <f t="shared" si="1149"/>
        <v>#</v>
      </c>
      <c r="R1768" s="17" t="str">
        <f t="shared" si="1150"/>
        <v>#</v>
      </c>
      <c r="S1768" s="8" t="str">
        <f t="shared" si="1151"/>
        <v/>
      </c>
      <c r="T1768" s="2" t="str">
        <f t="shared" si="1152"/>
        <v/>
      </c>
      <c r="U1768" s="2" t="str">
        <f t="shared" si="1153"/>
        <v/>
      </c>
      <c r="V1768" t="str">
        <f t="shared" si="1129"/>
        <v/>
      </c>
      <c r="X1768">
        <f t="shared" si="1156"/>
        <v>0</v>
      </c>
      <c r="Y1768">
        <f t="shared" si="1157"/>
        <v>1</v>
      </c>
      <c r="Z1768">
        <f t="shared" si="1158"/>
        <v>0</v>
      </c>
      <c r="AA1768">
        <f t="shared" si="1159"/>
        <v>1</v>
      </c>
      <c r="AB1768">
        <f t="shared" si="1160"/>
        <v>0</v>
      </c>
      <c r="AC1768">
        <f t="shared" si="1161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55"/>
        <v>x</v>
      </c>
      <c r="M1769">
        <v>8</v>
      </c>
      <c r="N1769" s="23" t="str">
        <f t="shared" si="1146"/>
        <v/>
      </c>
      <c r="O1769" s="7" t="str">
        <f t="shared" si="1147"/>
        <v>#</v>
      </c>
      <c r="P1769" s="7" t="str">
        <f t="shared" si="1148"/>
        <v>#</v>
      </c>
      <c r="Q1769" s="7" t="str">
        <f t="shared" si="1149"/>
        <v>#</v>
      </c>
      <c r="R1769" s="17" t="str">
        <f t="shared" si="1150"/>
        <v/>
      </c>
      <c r="S1769" s="8" t="str">
        <f t="shared" si="1151"/>
        <v/>
      </c>
      <c r="T1769" s="2" t="str">
        <f t="shared" si="1152"/>
        <v/>
      </c>
      <c r="U1769" s="2" t="str">
        <f t="shared" si="1153"/>
        <v/>
      </c>
      <c r="V1769" t="str">
        <f t="shared" si="1129"/>
        <v/>
      </c>
      <c r="X1769">
        <f t="shared" si="1156"/>
        <v>0</v>
      </c>
      <c r="Y1769">
        <f t="shared" si="1157"/>
        <v>0</v>
      </c>
      <c r="Z1769">
        <f t="shared" si="1158"/>
        <v>1</v>
      </c>
      <c r="AA1769">
        <f t="shared" si="1159"/>
        <v>0</v>
      </c>
      <c r="AB1769">
        <f t="shared" si="1160"/>
        <v>0</v>
      </c>
      <c r="AC1769">
        <f t="shared" si="1161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55"/>
        <v>x</v>
      </c>
      <c r="M1770">
        <v>9</v>
      </c>
      <c r="N1770" s="23" t="str">
        <f t="shared" si="1146"/>
        <v/>
      </c>
      <c r="O1770" s="7" t="str">
        <f t="shared" si="1147"/>
        <v/>
      </c>
      <c r="P1770" s="7" t="str">
        <f t="shared" si="1148"/>
        <v>#</v>
      </c>
      <c r="Q1770" s="7" t="str">
        <f t="shared" si="1149"/>
        <v/>
      </c>
      <c r="R1770" s="17" t="str">
        <f t="shared" si="1150"/>
        <v/>
      </c>
      <c r="S1770" s="8" t="str">
        <f t="shared" si="1151"/>
        <v/>
      </c>
      <c r="T1770" s="2" t="str">
        <f t="shared" si="1152"/>
        <v/>
      </c>
      <c r="U1770" s="2" t="str">
        <f t="shared" si="1153"/>
        <v/>
      </c>
      <c r="V1770" t="str">
        <f t="shared" si="1129"/>
        <v/>
      </c>
      <c r="X1770">
        <f t="shared" si="1156"/>
        <v>0</v>
      </c>
      <c r="Y1770">
        <f t="shared" si="1157"/>
        <v>0</v>
      </c>
      <c r="Z1770">
        <f t="shared" si="1158"/>
        <v>0</v>
      </c>
      <c r="AA1770">
        <f t="shared" si="1159"/>
        <v>0</v>
      </c>
      <c r="AB1770">
        <f t="shared" si="1160"/>
        <v>0</v>
      </c>
      <c r="AC1770">
        <f t="shared" si="1161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55"/>
        <v>x</v>
      </c>
      <c r="M1771">
        <v>10</v>
      </c>
      <c r="N1771" s="23" t="str">
        <f t="shared" si="1146"/>
        <v/>
      </c>
      <c r="O1771" s="7" t="str">
        <f t="shared" si="1147"/>
        <v/>
      </c>
      <c r="P1771" s="7" t="str">
        <f t="shared" si="1148"/>
        <v>#</v>
      </c>
      <c r="Q1771" s="7" t="str">
        <f t="shared" si="1149"/>
        <v/>
      </c>
      <c r="R1771" s="17" t="str">
        <f t="shared" si="1150"/>
        <v/>
      </c>
      <c r="S1771" s="8" t="str">
        <f t="shared" si="1151"/>
        <v/>
      </c>
      <c r="T1771" s="2" t="str">
        <f t="shared" si="1152"/>
        <v/>
      </c>
      <c r="U1771" s="2" t="str">
        <f t="shared" si="1153"/>
        <v/>
      </c>
      <c r="V1771" t="str">
        <f t="shared" si="1129"/>
        <v/>
      </c>
      <c r="X1771">
        <f t="shared" si="1156"/>
        <v>0</v>
      </c>
      <c r="Y1771">
        <f t="shared" si="1157"/>
        <v>0</v>
      </c>
      <c r="Z1771">
        <f t="shared" si="1158"/>
        <v>0</v>
      </c>
      <c r="AA1771">
        <f t="shared" si="1159"/>
        <v>0</v>
      </c>
      <c r="AB1771">
        <f t="shared" si="1160"/>
        <v>0</v>
      </c>
      <c r="AC1771">
        <f t="shared" si="1161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55"/>
        <v>x</v>
      </c>
      <c r="M1772">
        <v>11</v>
      </c>
      <c r="N1772" s="23" t="str">
        <f t="shared" si="1146"/>
        <v/>
      </c>
      <c r="O1772" s="7" t="str">
        <f t="shared" si="1147"/>
        <v>#</v>
      </c>
      <c r="P1772" s="7" t="str">
        <f t="shared" si="1148"/>
        <v>#</v>
      </c>
      <c r="Q1772" s="7" t="str">
        <f t="shared" si="1149"/>
        <v>#</v>
      </c>
      <c r="R1772" s="17" t="str">
        <f t="shared" si="1150"/>
        <v/>
      </c>
      <c r="S1772" s="8" t="str">
        <f t="shared" si="1151"/>
        <v/>
      </c>
      <c r="T1772" s="2" t="str">
        <f t="shared" si="1152"/>
        <v/>
      </c>
      <c r="U1772" s="2" t="str">
        <f t="shared" si="1153"/>
        <v/>
      </c>
      <c r="V1772" t="str">
        <f t="shared" si="1129"/>
        <v/>
      </c>
      <c r="X1772">
        <f t="shared" si="1156"/>
        <v>0</v>
      </c>
      <c r="Y1772">
        <f t="shared" si="1157"/>
        <v>1</v>
      </c>
      <c r="Z1772">
        <f t="shared" si="1158"/>
        <v>0</v>
      </c>
      <c r="AA1772">
        <f t="shared" si="1159"/>
        <v>1</v>
      </c>
      <c r="AB1772">
        <f t="shared" si="1160"/>
        <v>0</v>
      </c>
      <c r="AC1772">
        <f t="shared" si="1161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55"/>
        <v>x</v>
      </c>
      <c r="M1773">
        <v>12</v>
      </c>
      <c r="N1773" s="23" t="str">
        <f t="shared" si="1146"/>
        <v>#</v>
      </c>
      <c r="O1773" s="7" t="str">
        <f t="shared" si="1147"/>
        <v>#</v>
      </c>
      <c r="P1773" s="7" t="str">
        <f t="shared" si="1148"/>
        <v/>
      </c>
      <c r="Q1773" s="7" t="str">
        <f t="shared" si="1149"/>
        <v>#</v>
      </c>
      <c r="R1773" s="17" t="str">
        <f t="shared" si="1150"/>
        <v>#</v>
      </c>
      <c r="S1773" s="8" t="str">
        <f t="shared" si="1151"/>
        <v/>
      </c>
      <c r="T1773" s="2" t="str">
        <f t="shared" si="1152"/>
        <v/>
      </c>
      <c r="U1773" s="2" t="str">
        <f t="shared" si="1153"/>
        <v/>
      </c>
      <c r="V1773" t="str">
        <f t="shared" si="1129"/>
        <v/>
      </c>
      <c r="X1773">
        <f t="shared" si="1156"/>
        <v>1</v>
      </c>
      <c r="Y1773">
        <f t="shared" si="1157"/>
        <v>0</v>
      </c>
      <c r="Z1773">
        <f t="shared" si="1158"/>
        <v>0</v>
      </c>
      <c r="AA1773">
        <f t="shared" si="1159"/>
        <v>0</v>
      </c>
      <c r="AB1773">
        <f t="shared" si="1160"/>
        <v>1</v>
      </c>
      <c r="AC1773">
        <f t="shared" si="1161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55"/>
        <v>x</v>
      </c>
      <c r="M1774">
        <v>13</v>
      </c>
      <c r="N1774" s="6" t="str">
        <f t="shared" si="1146"/>
        <v>#</v>
      </c>
      <c r="O1774" s="7" t="str">
        <f t="shared" si="1147"/>
        <v/>
      </c>
      <c r="P1774" s="7" t="str">
        <f t="shared" si="1148"/>
        <v/>
      </c>
      <c r="Q1774" s="7" t="str">
        <f t="shared" si="1149"/>
        <v/>
      </c>
      <c r="R1774" s="17" t="str">
        <f t="shared" si="1150"/>
        <v>#</v>
      </c>
      <c r="S1774" s="8" t="str">
        <f t="shared" si="1151"/>
        <v/>
      </c>
      <c r="T1774" s="2" t="str">
        <f t="shared" si="1152"/>
        <v/>
      </c>
      <c r="U1774" s="2" t="str">
        <f t="shared" si="1153"/>
        <v/>
      </c>
      <c r="V1774" t="str">
        <f t="shared" si="1129"/>
        <v/>
      </c>
      <c r="X1774">
        <f t="shared" si="1156"/>
        <v>0</v>
      </c>
      <c r="Y1774">
        <f t="shared" si="1157"/>
        <v>0</v>
      </c>
      <c r="Z1774">
        <f t="shared" si="1158"/>
        <v>0</v>
      </c>
      <c r="AA1774">
        <f t="shared" si="1159"/>
        <v>0</v>
      </c>
      <c r="AB1774">
        <f t="shared" si="1160"/>
        <v>0</v>
      </c>
      <c r="AC1774">
        <f t="shared" si="1161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55"/>
        <v>x</v>
      </c>
      <c r="M1775">
        <v>14</v>
      </c>
      <c r="N1775" s="18" t="str">
        <f t="shared" si="1146"/>
        <v>#</v>
      </c>
      <c r="O1775" s="19" t="str">
        <f t="shared" si="1147"/>
        <v/>
      </c>
      <c r="P1775" s="19" t="str">
        <f t="shared" si="1148"/>
        <v/>
      </c>
      <c r="Q1775" s="19" t="str">
        <f t="shared" si="1149"/>
        <v/>
      </c>
      <c r="R1775" s="20" t="str">
        <f t="shared" si="1150"/>
        <v>#</v>
      </c>
      <c r="S1775" s="8" t="str">
        <f t="shared" si="1151"/>
        <v/>
      </c>
      <c r="T1775" s="2" t="str">
        <f t="shared" si="1152"/>
        <v/>
      </c>
      <c r="U1775" s="2" t="str">
        <f t="shared" si="1153"/>
        <v/>
      </c>
      <c r="V1775" t="str">
        <f t="shared" si="1129"/>
        <v/>
      </c>
      <c r="X1775">
        <f t="shared" si="1156"/>
        <v>0</v>
      </c>
      <c r="Y1775">
        <f t="shared" si="1157"/>
        <v>0</v>
      </c>
      <c r="Z1775">
        <f t="shared" si="1158"/>
        <v>0</v>
      </c>
      <c r="AA1775">
        <f t="shared" si="1159"/>
        <v>0</v>
      </c>
      <c r="AB1775">
        <f t="shared" si="1160"/>
        <v>0</v>
      </c>
      <c r="AC1775">
        <f t="shared" si="1161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55"/>
        <v>x</v>
      </c>
      <c r="M1776">
        <v>15</v>
      </c>
      <c r="N1776" s="9" t="str">
        <f t="shared" si="1146"/>
        <v/>
      </c>
      <c r="O1776" s="10" t="str">
        <f t="shared" si="1147"/>
        <v/>
      </c>
      <c r="P1776" s="10" t="str">
        <f t="shared" si="1148"/>
        <v/>
      </c>
      <c r="Q1776" s="10" t="str">
        <f t="shared" si="1149"/>
        <v/>
      </c>
      <c r="R1776" s="10" t="str">
        <f t="shared" si="1150"/>
        <v/>
      </c>
      <c r="S1776" s="11" t="str">
        <f t="shared" si="1151"/>
        <v/>
      </c>
      <c r="T1776" s="2" t="str">
        <f t="shared" si="1152"/>
        <v/>
      </c>
      <c r="U1776" s="2" t="str">
        <f t="shared" si="1153"/>
        <v/>
      </c>
      <c r="V1776" t="str">
        <f t="shared" si="1129"/>
        <v/>
      </c>
      <c r="X1776">
        <f t="shared" si="1156"/>
        <v>0</v>
      </c>
      <c r="Y1776">
        <f t="shared" si="1157"/>
        <v>0</v>
      </c>
      <c r="Z1776">
        <f t="shared" si="1158"/>
        <v>0</v>
      </c>
      <c r="AA1776">
        <f t="shared" si="1159"/>
        <v>0</v>
      </c>
      <c r="AB1776">
        <f t="shared" si="1160"/>
        <v>0</v>
      </c>
      <c r="AC1776">
        <f t="shared" si="1161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55"/>
        <v>x</v>
      </c>
      <c r="M1777">
        <v>16</v>
      </c>
      <c r="N1777" s="12" t="str">
        <f t="shared" si="1146"/>
        <v/>
      </c>
      <c r="O1777" s="13" t="str">
        <f t="shared" si="1147"/>
        <v/>
      </c>
      <c r="P1777" s="13" t="str">
        <f t="shared" si="1148"/>
        <v/>
      </c>
      <c r="Q1777" s="13" t="str">
        <f t="shared" si="1149"/>
        <v/>
      </c>
      <c r="R1777" s="13" t="str">
        <f t="shared" si="1150"/>
        <v/>
      </c>
      <c r="S1777" s="14" t="str">
        <f t="shared" si="1151"/>
        <v/>
      </c>
      <c r="T1777" s="2" t="str">
        <f t="shared" si="1152"/>
        <v/>
      </c>
      <c r="U1777" s="2" t="str">
        <f t="shared" si="1153"/>
        <v/>
      </c>
      <c r="V1777" t="str">
        <f t="shared" si="1129"/>
        <v/>
      </c>
      <c r="X1777">
        <f t="shared" si="1156"/>
        <v>0</v>
      </c>
      <c r="Y1777">
        <f t="shared" si="1157"/>
        <v>0</v>
      </c>
      <c r="Z1777">
        <f t="shared" si="1158"/>
        <v>0</v>
      </c>
      <c r="AA1777">
        <f t="shared" si="1159"/>
        <v>0</v>
      </c>
      <c r="AB1777">
        <f t="shared" si="1160"/>
        <v>0</v>
      </c>
      <c r="AC1777">
        <f t="shared" si="1161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6"/>
        <v/>
      </c>
      <c r="O1778" t="str">
        <f t="shared" si="1147"/>
        <v/>
      </c>
      <c r="P1778" t="str">
        <f t="shared" si="1148"/>
        <v/>
      </c>
      <c r="Q1778" t="str">
        <f t="shared" si="1149"/>
        <v/>
      </c>
      <c r="R1778" t="str">
        <f t="shared" si="1150"/>
        <v/>
      </c>
      <c r="S1778" t="str">
        <f t="shared" si="1151"/>
        <v/>
      </c>
      <c r="T1778" s="2" t="str">
        <f t="shared" si="1152"/>
        <v/>
      </c>
      <c r="U1778" s="2" t="str">
        <f t="shared" si="1153"/>
        <v/>
      </c>
      <c r="V1778" t="str">
        <f t="shared" si="1129"/>
        <v/>
      </c>
      <c r="W1778">
        <f>SUM(B1780:G1793)</f>
        <v>18</v>
      </c>
      <c r="AD1778">
        <f t="shared" ref="AD1778" si="1162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63">L1778</f>
        <v>y</v>
      </c>
      <c r="M1779">
        <v>2</v>
      </c>
      <c r="N1779" t="str">
        <f t="shared" si="1146"/>
        <v/>
      </c>
      <c r="O1779" t="str">
        <f t="shared" si="1147"/>
        <v/>
      </c>
      <c r="P1779" t="str">
        <f t="shared" si="1148"/>
        <v/>
      </c>
      <c r="Q1779" t="str">
        <f t="shared" si="1149"/>
        <v/>
      </c>
      <c r="R1779" t="str">
        <f t="shared" si="1150"/>
        <v/>
      </c>
      <c r="S1779" t="str">
        <f t="shared" si="1151"/>
        <v/>
      </c>
      <c r="T1779" s="2" t="str">
        <f t="shared" si="1152"/>
        <v/>
      </c>
      <c r="U1779" s="2" t="str">
        <f t="shared" si="1153"/>
        <v/>
      </c>
      <c r="V1779" t="str">
        <f t="shared" si="1129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63"/>
        <v>y</v>
      </c>
      <c r="M1780">
        <v>3</v>
      </c>
      <c r="N1780" s="3" t="str">
        <f t="shared" si="1146"/>
        <v/>
      </c>
      <c r="O1780" s="4" t="str">
        <f t="shared" si="1147"/>
        <v/>
      </c>
      <c r="P1780" s="4" t="str">
        <f t="shared" si="1148"/>
        <v/>
      </c>
      <c r="Q1780" s="4" t="str">
        <f t="shared" si="1149"/>
        <v/>
      </c>
      <c r="R1780" s="4" t="str">
        <f t="shared" si="1150"/>
        <v/>
      </c>
      <c r="S1780" s="5" t="str">
        <f t="shared" si="1151"/>
        <v/>
      </c>
      <c r="T1780" s="2" t="str">
        <f t="shared" si="1152"/>
        <v/>
      </c>
      <c r="U1780" s="2" t="str">
        <f t="shared" si="1153"/>
        <v/>
      </c>
      <c r="V1780" t="str">
        <f t="shared" si="1129"/>
        <v/>
      </c>
      <c r="X1780">
        <f t="shared" ref="X1780:X1793" si="1164">MAX(B1780-B1779,0)</f>
        <v>0</v>
      </c>
      <c r="Y1780">
        <f t="shared" ref="Y1780:Y1793" si="1165">MAX(C1780-C1779,0)</f>
        <v>0</v>
      </c>
      <c r="Z1780">
        <f t="shared" ref="Z1780:Z1793" si="1166">MAX(D1780-D1779,0)</f>
        <v>0</v>
      </c>
      <c r="AA1780">
        <f t="shared" ref="AA1780:AA1793" si="1167">MAX(E1780-E1779,0)</f>
        <v>0</v>
      </c>
      <c r="AB1780">
        <f t="shared" ref="AB1780:AB1793" si="1168">MAX(F1780-F1779,0)</f>
        <v>0</v>
      </c>
      <c r="AC1780">
        <f t="shared" ref="AC1780:AC1793" si="1169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63"/>
        <v>y</v>
      </c>
      <c r="M1781">
        <v>4</v>
      </c>
      <c r="N1781" s="6" t="str">
        <f t="shared" si="1146"/>
        <v/>
      </c>
      <c r="O1781" s="7" t="str">
        <f t="shared" si="1147"/>
        <v/>
      </c>
      <c r="P1781" s="7" t="str">
        <f t="shared" si="1148"/>
        <v/>
      </c>
      <c r="Q1781" s="7" t="str">
        <f t="shared" si="1149"/>
        <v/>
      </c>
      <c r="R1781" s="7" t="str">
        <f t="shared" si="1150"/>
        <v/>
      </c>
      <c r="S1781" s="8" t="str">
        <f t="shared" si="1151"/>
        <v/>
      </c>
      <c r="T1781" s="2" t="str">
        <f t="shared" si="1152"/>
        <v/>
      </c>
      <c r="U1781" s="2" t="str">
        <f t="shared" si="1153"/>
        <v/>
      </c>
      <c r="V1781" t="str">
        <f t="shared" si="1129"/>
        <v/>
      </c>
      <c r="X1781">
        <f t="shared" si="1164"/>
        <v>0</v>
      </c>
      <c r="Y1781">
        <f t="shared" si="1165"/>
        <v>0</v>
      </c>
      <c r="Z1781">
        <f t="shared" si="1166"/>
        <v>0</v>
      </c>
      <c r="AA1781">
        <f t="shared" si="1167"/>
        <v>0</v>
      </c>
      <c r="AB1781">
        <f t="shared" si="1168"/>
        <v>0</v>
      </c>
      <c r="AC1781">
        <f t="shared" si="1169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63"/>
        <v>y</v>
      </c>
      <c r="M1782">
        <v>5</v>
      </c>
      <c r="N1782" s="22" t="str">
        <f t="shared" si="1146"/>
        <v>#</v>
      </c>
      <c r="O1782" s="15" t="str">
        <f t="shared" si="1147"/>
        <v/>
      </c>
      <c r="P1782" s="15" t="str">
        <f t="shared" si="1148"/>
        <v/>
      </c>
      <c r="Q1782" s="15" t="str">
        <f t="shared" si="1149"/>
        <v/>
      </c>
      <c r="R1782" s="16" t="str">
        <f t="shared" si="1150"/>
        <v>#</v>
      </c>
      <c r="S1782" s="8" t="str">
        <f t="shared" si="1151"/>
        <v/>
      </c>
      <c r="T1782" s="2" t="str">
        <f t="shared" si="1152"/>
        <v/>
      </c>
      <c r="U1782" s="2" t="str">
        <f t="shared" si="1153"/>
        <v/>
      </c>
      <c r="V1782" t="str">
        <f t="shared" si="1129"/>
        <v/>
      </c>
      <c r="X1782">
        <f t="shared" si="1164"/>
        <v>1</v>
      </c>
      <c r="Y1782">
        <f t="shared" si="1165"/>
        <v>0</v>
      </c>
      <c r="Z1782">
        <f t="shared" si="1166"/>
        <v>0</v>
      </c>
      <c r="AA1782">
        <f t="shared" si="1167"/>
        <v>0</v>
      </c>
      <c r="AB1782">
        <f t="shared" si="1168"/>
        <v>1</v>
      </c>
      <c r="AC1782">
        <f t="shared" si="1169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63"/>
        <v>y</v>
      </c>
      <c r="M1783">
        <v>6</v>
      </c>
      <c r="N1783" s="23" t="str">
        <f t="shared" si="1146"/>
        <v>#</v>
      </c>
      <c r="O1783" s="7" t="str">
        <f t="shared" si="1147"/>
        <v/>
      </c>
      <c r="P1783" s="7" t="str">
        <f t="shared" si="1148"/>
        <v/>
      </c>
      <c r="Q1783" s="7" t="str">
        <f t="shared" si="1149"/>
        <v/>
      </c>
      <c r="R1783" s="17" t="str">
        <f t="shared" si="1150"/>
        <v>#</v>
      </c>
      <c r="S1783" s="8" t="str">
        <f t="shared" si="1151"/>
        <v/>
      </c>
      <c r="T1783" s="2" t="str">
        <f t="shared" si="1152"/>
        <v/>
      </c>
      <c r="U1783" s="2" t="str">
        <f t="shared" si="1153"/>
        <v/>
      </c>
      <c r="V1783" t="str">
        <f t="shared" si="1129"/>
        <v/>
      </c>
      <c r="X1783">
        <f t="shared" si="1164"/>
        <v>0</v>
      </c>
      <c r="Y1783">
        <f t="shared" si="1165"/>
        <v>0</v>
      </c>
      <c r="Z1783">
        <f t="shared" si="1166"/>
        <v>0</v>
      </c>
      <c r="AA1783">
        <f t="shared" si="1167"/>
        <v>0</v>
      </c>
      <c r="AB1783">
        <f t="shared" si="1168"/>
        <v>0</v>
      </c>
      <c r="AC1783">
        <f t="shared" si="1169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63"/>
        <v>y</v>
      </c>
      <c r="M1784">
        <v>7</v>
      </c>
      <c r="N1784" s="23" t="str">
        <f t="shared" si="1146"/>
        <v>#</v>
      </c>
      <c r="O1784" s="7" t="str">
        <f t="shared" si="1147"/>
        <v>#</v>
      </c>
      <c r="P1784" s="7" t="str">
        <f t="shared" si="1148"/>
        <v/>
      </c>
      <c r="Q1784" s="7" t="str">
        <f t="shared" si="1149"/>
        <v>#</v>
      </c>
      <c r="R1784" s="17" t="str">
        <f t="shared" si="1150"/>
        <v>#</v>
      </c>
      <c r="S1784" s="8" t="str">
        <f t="shared" si="1151"/>
        <v/>
      </c>
      <c r="T1784" s="2" t="str">
        <f t="shared" si="1152"/>
        <v/>
      </c>
      <c r="U1784" s="2" t="str">
        <f t="shared" si="1153"/>
        <v/>
      </c>
      <c r="V1784" t="str">
        <f t="shared" si="1129"/>
        <v/>
      </c>
      <c r="X1784">
        <f t="shared" si="1164"/>
        <v>0</v>
      </c>
      <c r="Y1784">
        <f t="shared" si="1165"/>
        <v>1</v>
      </c>
      <c r="Z1784">
        <f t="shared" si="1166"/>
        <v>0</v>
      </c>
      <c r="AA1784">
        <f t="shared" si="1167"/>
        <v>1</v>
      </c>
      <c r="AB1784">
        <f t="shared" si="1168"/>
        <v>0</v>
      </c>
      <c r="AC1784">
        <f t="shared" si="1169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63"/>
        <v>y</v>
      </c>
      <c r="M1785">
        <v>8</v>
      </c>
      <c r="N1785" s="23" t="str">
        <f t="shared" si="1146"/>
        <v/>
      </c>
      <c r="O1785" s="7" t="str">
        <f t="shared" si="1147"/>
        <v>#</v>
      </c>
      <c r="P1785" s="7" t="str">
        <f t="shared" si="1148"/>
        <v/>
      </c>
      <c r="Q1785" s="7" t="str">
        <f t="shared" si="1149"/>
        <v>#</v>
      </c>
      <c r="R1785" s="17" t="str">
        <f t="shared" si="1150"/>
        <v/>
      </c>
      <c r="S1785" s="8" t="str">
        <f t="shared" si="1151"/>
        <v/>
      </c>
      <c r="T1785" s="2" t="str">
        <f t="shared" si="1152"/>
        <v/>
      </c>
      <c r="U1785" s="2" t="str">
        <f t="shared" si="1153"/>
        <v/>
      </c>
      <c r="V1785" t="str">
        <f t="shared" si="1129"/>
        <v/>
      </c>
      <c r="X1785">
        <f t="shared" si="1164"/>
        <v>0</v>
      </c>
      <c r="Y1785">
        <f t="shared" si="1165"/>
        <v>0</v>
      </c>
      <c r="Z1785">
        <f t="shared" si="1166"/>
        <v>0</v>
      </c>
      <c r="AA1785">
        <f t="shared" si="1167"/>
        <v>0</v>
      </c>
      <c r="AB1785">
        <f t="shared" si="1168"/>
        <v>0</v>
      </c>
      <c r="AC1785">
        <f t="shared" si="1169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63"/>
        <v>y</v>
      </c>
      <c r="M1786">
        <v>9</v>
      </c>
      <c r="N1786" s="23" t="str">
        <f t="shared" si="1146"/>
        <v/>
      </c>
      <c r="O1786" s="7" t="str">
        <f t="shared" si="1147"/>
        <v>#</v>
      </c>
      <c r="P1786" s="7" t="str">
        <f t="shared" si="1148"/>
        <v>#</v>
      </c>
      <c r="Q1786" s="7" t="str">
        <f t="shared" si="1149"/>
        <v>#</v>
      </c>
      <c r="R1786" s="17" t="str">
        <f t="shared" si="1150"/>
        <v/>
      </c>
      <c r="S1786" s="8" t="str">
        <f t="shared" si="1151"/>
        <v/>
      </c>
      <c r="T1786" s="2" t="str">
        <f t="shared" si="1152"/>
        <v/>
      </c>
      <c r="U1786" s="2" t="str">
        <f t="shared" si="1153"/>
        <v/>
      </c>
      <c r="V1786" t="str">
        <f t="shared" si="1129"/>
        <v/>
      </c>
      <c r="X1786">
        <f t="shared" si="1164"/>
        <v>0</v>
      </c>
      <c r="Y1786">
        <f t="shared" si="1165"/>
        <v>0</v>
      </c>
      <c r="Z1786">
        <f t="shared" si="1166"/>
        <v>1</v>
      </c>
      <c r="AA1786">
        <f t="shared" si="1167"/>
        <v>0</v>
      </c>
      <c r="AB1786">
        <f t="shared" si="1168"/>
        <v>0</v>
      </c>
      <c r="AC1786">
        <f t="shared" si="1169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63"/>
        <v>y</v>
      </c>
      <c r="M1787">
        <v>10</v>
      </c>
      <c r="N1787" s="23" t="str">
        <f t="shared" si="1146"/>
        <v/>
      </c>
      <c r="O1787" s="7" t="str">
        <f t="shared" si="1147"/>
        <v/>
      </c>
      <c r="P1787" s="7" t="str">
        <f t="shared" si="1148"/>
        <v>#</v>
      </c>
      <c r="Q1787" s="7" t="str">
        <f t="shared" si="1149"/>
        <v/>
      </c>
      <c r="R1787" s="17" t="str">
        <f t="shared" si="1150"/>
        <v/>
      </c>
      <c r="S1787" s="8" t="str">
        <f t="shared" si="1151"/>
        <v/>
      </c>
      <c r="T1787" s="2" t="str">
        <f t="shared" si="1152"/>
        <v/>
      </c>
      <c r="U1787" s="2" t="str">
        <f t="shared" si="1153"/>
        <v/>
      </c>
      <c r="V1787" t="str">
        <f t="shared" si="1129"/>
        <v/>
      </c>
      <c r="X1787">
        <f t="shared" si="1164"/>
        <v>0</v>
      </c>
      <c r="Y1787">
        <f t="shared" si="1165"/>
        <v>0</v>
      </c>
      <c r="Z1787">
        <f t="shared" si="1166"/>
        <v>0</v>
      </c>
      <c r="AA1787">
        <f t="shared" si="1167"/>
        <v>0</v>
      </c>
      <c r="AB1787">
        <f t="shared" si="1168"/>
        <v>0</v>
      </c>
      <c r="AC1787">
        <f t="shared" si="1169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63"/>
        <v>y</v>
      </c>
      <c r="M1788">
        <v>11</v>
      </c>
      <c r="N1788" s="23" t="str">
        <f t="shared" si="1146"/>
        <v/>
      </c>
      <c r="O1788" s="7" t="str">
        <f t="shared" si="1147"/>
        <v/>
      </c>
      <c r="P1788" s="7" t="str">
        <f t="shared" si="1148"/>
        <v>#</v>
      </c>
      <c r="Q1788" s="7" t="str">
        <f t="shared" si="1149"/>
        <v/>
      </c>
      <c r="R1788" s="17" t="str">
        <f t="shared" si="1150"/>
        <v/>
      </c>
      <c r="S1788" s="8" t="str">
        <f t="shared" si="1151"/>
        <v/>
      </c>
      <c r="T1788" s="2" t="str">
        <f t="shared" si="1152"/>
        <v/>
      </c>
      <c r="U1788" s="2" t="str">
        <f t="shared" si="1153"/>
        <v/>
      </c>
      <c r="V1788" t="str">
        <f t="shared" si="1129"/>
        <v/>
      </c>
      <c r="X1788">
        <f t="shared" si="1164"/>
        <v>0</v>
      </c>
      <c r="Y1788">
        <f t="shared" si="1165"/>
        <v>0</v>
      </c>
      <c r="Z1788">
        <f t="shared" si="1166"/>
        <v>0</v>
      </c>
      <c r="AA1788">
        <f t="shared" si="1167"/>
        <v>0</v>
      </c>
      <c r="AB1788">
        <f t="shared" si="1168"/>
        <v>0</v>
      </c>
      <c r="AC1788">
        <f t="shared" si="1169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63"/>
        <v>y</v>
      </c>
      <c r="M1789">
        <v>12</v>
      </c>
      <c r="N1789" s="23" t="str">
        <f t="shared" si="1146"/>
        <v/>
      </c>
      <c r="O1789" s="7" t="str">
        <f t="shared" si="1147"/>
        <v/>
      </c>
      <c r="P1789" s="7" t="str">
        <f t="shared" si="1148"/>
        <v>#</v>
      </c>
      <c r="Q1789" s="7" t="str">
        <f t="shared" si="1149"/>
        <v/>
      </c>
      <c r="R1789" s="17" t="str">
        <f t="shared" si="1150"/>
        <v/>
      </c>
      <c r="S1789" s="8" t="str">
        <f t="shared" si="1151"/>
        <v/>
      </c>
      <c r="T1789" s="2" t="str">
        <f t="shared" si="1152"/>
        <v/>
      </c>
      <c r="U1789" s="2" t="str">
        <f t="shared" si="1153"/>
        <v/>
      </c>
      <c r="V1789" t="str">
        <f t="shared" si="1129"/>
        <v/>
      </c>
      <c r="X1789">
        <f t="shared" si="1164"/>
        <v>0</v>
      </c>
      <c r="Y1789">
        <f t="shared" si="1165"/>
        <v>0</v>
      </c>
      <c r="Z1789">
        <f t="shared" si="1166"/>
        <v>0</v>
      </c>
      <c r="AA1789">
        <f t="shared" si="1167"/>
        <v>0</v>
      </c>
      <c r="AB1789">
        <f t="shared" si="1168"/>
        <v>0</v>
      </c>
      <c r="AC1789">
        <f t="shared" si="1169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63"/>
        <v>y</v>
      </c>
      <c r="M1790">
        <v>13</v>
      </c>
      <c r="N1790" s="6" t="str">
        <f t="shared" si="1146"/>
        <v/>
      </c>
      <c r="O1790" s="7" t="str">
        <f t="shared" si="1147"/>
        <v/>
      </c>
      <c r="P1790" s="7" t="str">
        <f t="shared" si="1148"/>
        <v>#</v>
      </c>
      <c r="Q1790" s="7" t="str">
        <f t="shared" si="1149"/>
        <v/>
      </c>
      <c r="R1790" s="17" t="str">
        <f t="shared" si="1150"/>
        <v/>
      </c>
      <c r="S1790" s="8" t="str">
        <f t="shared" si="1151"/>
        <v/>
      </c>
      <c r="T1790" s="2" t="str">
        <f t="shared" si="1152"/>
        <v/>
      </c>
      <c r="U1790" s="2" t="str">
        <f t="shared" si="1153"/>
        <v/>
      </c>
      <c r="V1790" t="str">
        <f t="shared" si="1129"/>
        <v/>
      </c>
      <c r="X1790">
        <f t="shared" si="1164"/>
        <v>0</v>
      </c>
      <c r="Y1790">
        <f t="shared" si="1165"/>
        <v>0</v>
      </c>
      <c r="Z1790">
        <f t="shared" si="1166"/>
        <v>0</v>
      </c>
      <c r="AA1790">
        <f t="shared" si="1167"/>
        <v>0</v>
      </c>
      <c r="AB1790">
        <f t="shared" si="1168"/>
        <v>0</v>
      </c>
      <c r="AC1790">
        <f t="shared" si="1169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63"/>
        <v>y</v>
      </c>
      <c r="M1791">
        <v>14</v>
      </c>
      <c r="N1791" s="18" t="str">
        <f t="shared" si="1146"/>
        <v/>
      </c>
      <c r="O1791" s="19" t="str">
        <f t="shared" si="1147"/>
        <v/>
      </c>
      <c r="P1791" s="19" t="str">
        <f t="shared" si="1148"/>
        <v>#</v>
      </c>
      <c r="Q1791" s="19" t="str">
        <f t="shared" si="1149"/>
        <v/>
      </c>
      <c r="R1791" s="20" t="str">
        <f t="shared" si="1150"/>
        <v/>
      </c>
      <c r="S1791" s="8" t="str">
        <f t="shared" si="1151"/>
        <v/>
      </c>
      <c r="T1791" s="2" t="str">
        <f t="shared" si="1152"/>
        <v/>
      </c>
      <c r="U1791" s="2" t="str">
        <f t="shared" si="1153"/>
        <v/>
      </c>
      <c r="V1791" t="str">
        <f t="shared" si="1129"/>
        <v/>
      </c>
      <c r="X1791">
        <f t="shared" si="1164"/>
        <v>0</v>
      </c>
      <c r="Y1791">
        <f t="shared" si="1165"/>
        <v>0</v>
      </c>
      <c r="Z1791">
        <f t="shared" si="1166"/>
        <v>0</v>
      </c>
      <c r="AA1791">
        <f t="shared" si="1167"/>
        <v>0</v>
      </c>
      <c r="AB1791">
        <f t="shared" si="1168"/>
        <v>0</v>
      </c>
      <c r="AC1791">
        <f t="shared" si="1169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63"/>
        <v>y</v>
      </c>
      <c r="M1792">
        <v>15</v>
      </c>
      <c r="N1792" s="9" t="str">
        <f t="shared" si="1146"/>
        <v/>
      </c>
      <c r="O1792" s="10" t="str">
        <f t="shared" si="1147"/>
        <v/>
      </c>
      <c r="P1792" s="10" t="str">
        <f t="shared" si="1148"/>
        <v/>
      </c>
      <c r="Q1792" s="10" t="str">
        <f t="shared" si="1149"/>
        <v/>
      </c>
      <c r="R1792" s="10" t="str">
        <f t="shared" si="1150"/>
        <v/>
      </c>
      <c r="S1792" s="11" t="str">
        <f t="shared" si="1151"/>
        <v/>
      </c>
      <c r="T1792" s="2" t="str">
        <f t="shared" si="1152"/>
        <v/>
      </c>
      <c r="U1792" s="2" t="str">
        <f t="shared" si="1153"/>
        <v/>
      </c>
      <c r="V1792" t="str">
        <f t="shared" si="1129"/>
        <v/>
      </c>
      <c r="X1792">
        <f t="shared" si="1164"/>
        <v>0</v>
      </c>
      <c r="Y1792">
        <f t="shared" si="1165"/>
        <v>0</v>
      </c>
      <c r="Z1792">
        <f t="shared" si="1166"/>
        <v>0</v>
      </c>
      <c r="AA1792">
        <f t="shared" si="1167"/>
        <v>0</v>
      </c>
      <c r="AB1792">
        <f t="shared" si="1168"/>
        <v>0</v>
      </c>
      <c r="AC1792">
        <f t="shared" si="1169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63"/>
        <v>y</v>
      </c>
      <c r="M1793">
        <v>16</v>
      </c>
      <c r="N1793" s="12" t="str">
        <f t="shared" si="1146"/>
        <v/>
      </c>
      <c r="O1793" s="13" t="str">
        <f t="shared" si="1147"/>
        <v/>
      </c>
      <c r="P1793" s="13" t="str">
        <f t="shared" si="1148"/>
        <v/>
      </c>
      <c r="Q1793" s="13" t="str">
        <f t="shared" si="1149"/>
        <v/>
      </c>
      <c r="R1793" s="13" t="str">
        <f t="shared" si="1150"/>
        <v/>
      </c>
      <c r="S1793" s="14" t="str">
        <f t="shared" si="1151"/>
        <v/>
      </c>
      <c r="T1793" s="2" t="str">
        <f t="shared" si="1152"/>
        <v/>
      </c>
      <c r="U1793" s="2" t="str">
        <f t="shared" si="1153"/>
        <v/>
      </c>
      <c r="V1793" t="str">
        <f t="shared" si="1129"/>
        <v/>
      </c>
      <c r="X1793">
        <f t="shared" si="1164"/>
        <v>0</v>
      </c>
      <c r="Y1793">
        <f t="shared" si="1165"/>
        <v>0</v>
      </c>
      <c r="Z1793">
        <f t="shared" si="1166"/>
        <v>0</v>
      </c>
      <c r="AA1793">
        <f t="shared" si="1167"/>
        <v>0</v>
      </c>
      <c r="AB1793">
        <f t="shared" si="1168"/>
        <v>0</v>
      </c>
      <c r="AC1793">
        <f t="shared" si="1169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6"/>
        <v/>
      </c>
      <c r="O1794" t="str">
        <f t="shared" si="1147"/>
        <v/>
      </c>
      <c r="P1794" t="str">
        <f t="shared" si="1148"/>
        <v/>
      </c>
      <c r="Q1794" t="str">
        <f t="shared" si="1149"/>
        <v/>
      </c>
      <c r="R1794" t="str">
        <f t="shared" si="1150"/>
        <v/>
      </c>
      <c r="S1794" t="str">
        <f t="shared" si="1151"/>
        <v/>
      </c>
      <c r="T1794" s="2" t="str">
        <f t="shared" si="1152"/>
        <v/>
      </c>
      <c r="U1794" s="2" t="str">
        <f t="shared" si="1153"/>
        <v/>
      </c>
      <c r="V1794" t="str">
        <f t="shared" ref="V1794:V1857" si="1170">IF(A1794=0,"",M1794)</f>
        <v/>
      </c>
      <c r="W1794">
        <f>SUM(B1796:G1809)</f>
        <v>28</v>
      </c>
      <c r="AD1794">
        <f t="shared" ref="AD1794" si="1171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72">L1794</f>
        <v>z</v>
      </c>
      <c r="M1795">
        <v>2</v>
      </c>
      <c r="N1795" t="str">
        <f t="shared" si="1146"/>
        <v/>
      </c>
      <c r="O1795" t="str">
        <f t="shared" si="1147"/>
        <v/>
      </c>
      <c r="P1795" t="str">
        <f t="shared" si="1148"/>
        <v/>
      </c>
      <c r="Q1795" t="str">
        <f t="shared" si="1149"/>
        <v/>
      </c>
      <c r="R1795" t="str">
        <f t="shared" si="1150"/>
        <v/>
      </c>
      <c r="S1795" t="str">
        <f t="shared" si="1151"/>
        <v/>
      </c>
      <c r="T1795" s="2" t="str">
        <f t="shared" si="1152"/>
        <v/>
      </c>
      <c r="U1795" s="2" t="str">
        <f t="shared" si="1153"/>
        <v/>
      </c>
      <c r="V1795" t="str">
        <f t="shared" si="1170"/>
        <v/>
      </c>
      <c r="AE1795" t="str">
        <f>(B1809*128+B1808*64+B1807*32+B1806*16+B1805*8+B1804*4+B1803*2+B1802)*256+B1801*128+B1800*64+B1799*32+B1798*16+B1797*8+B1796*4+B1795*2+B1794&amp;","</f>
        <v>12336,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72"/>
        <v>z</v>
      </c>
      <c r="M1796">
        <v>3</v>
      </c>
      <c r="N1796" s="3" t="str">
        <f t="shared" si="1146"/>
        <v/>
      </c>
      <c r="O1796" s="4" t="str">
        <f t="shared" si="1147"/>
        <v/>
      </c>
      <c r="P1796" s="4" t="str">
        <f t="shared" si="1148"/>
        <v/>
      </c>
      <c r="Q1796" s="4" t="str">
        <f t="shared" si="1149"/>
        <v/>
      </c>
      <c r="R1796" s="4" t="str">
        <f t="shared" si="1150"/>
        <v/>
      </c>
      <c r="S1796" s="5" t="str">
        <f t="shared" si="1151"/>
        <v/>
      </c>
      <c r="T1796" s="2" t="str">
        <f t="shared" si="1152"/>
        <v/>
      </c>
      <c r="U1796" s="2" t="str">
        <f t="shared" si="1153"/>
        <v/>
      </c>
      <c r="V1796" t="str">
        <f t="shared" si="1170"/>
        <v/>
      </c>
      <c r="X1796">
        <f t="shared" ref="X1796:X1809" si="1173">MAX(B1796-B1795,0)</f>
        <v>0</v>
      </c>
      <c r="Y1796">
        <f t="shared" ref="Y1796:Y1809" si="1174">MAX(C1796-C1795,0)</f>
        <v>0</v>
      </c>
      <c r="Z1796">
        <f t="shared" ref="Z1796:Z1809" si="1175">MAX(D1796-D1795,0)</f>
        <v>0</v>
      </c>
      <c r="AA1796">
        <f t="shared" ref="AA1796:AA1809" si="1176">MAX(E1796-E1795,0)</f>
        <v>0</v>
      </c>
      <c r="AB1796">
        <f t="shared" ref="AB1796:AB1809" si="1177">MAX(F1796-F1795,0)</f>
        <v>0</v>
      </c>
      <c r="AC1796">
        <f t="shared" ref="AC1796:AC1809" si="1178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72"/>
        <v>z</v>
      </c>
      <c r="M1797">
        <v>4</v>
      </c>
      <c r="N1797" s="6" t="str">
        <f t="shared" si="1146"/>
        <v/>
      </c>
      <c r="O1797" s="7" t="str">
        <f t="shared" si="1147"/>
        <v/>
      </c>
      <c r="P1797" s="7" t="str">
        <f t="shared" si="1148"/>
        <v/>
      </c>
      <c r="Q1797" s="7" t="str">
        <f t="shared" si="1149"/>
        <v/>
      </c>
      <c r="R1797" s="7" t="str">
        <f t="shared" si="1150"/>
        <v/>
      </c>
      <c r="S1797" s="8" t="str">
        <f t="shared" si="1151"/>
        <v/>
      </c>
      <c r="T1797" s="2" t="str">
        <f t="shared" si="1152"/>
        <v/>
      </c>
      <c r="U1797" s="2" t="str">
        <f t="shared" si="1153"/>
        <v/>
      </c>
      <c r="V1797" t="str">
        <f t="shared" si="1170"/>
        <v/>
      </c>
      <c r="X1797">
        <f t="shared" si="1173"/>
        <v>0</v>
      </c>
      <c r="Y1797">
        <f t="shared" si="1174"/>
        <v>0</v>
      </c>
      <c r="Z1797">
        <f t="shared" si="1175"/>
        <v>0</v>
      </c>
      <c r="AA1797">
        <f t="shared" si="1176"/>
        <v>0</v>
      </c>
      <c r="AB1797">
        <f t="shared" si="1177"/>
        <v>0</v>
      </c>
      <c r="AC1797">
        <f t="shared" si="1178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72"/>
        <v>z</v>
      </c>
      <c r="M1798">
        <v>5</v>
      </c>
      <c r="N1798" s="22" t="str">
        <f t="shared" si="1146"/>
        <v>#</v>
      </c>
      <c r="O1798" s="15" t="str">
        <f t="shared" si="1147"/>
        <v>#</v>
      </c>
      <c r="P1798" s="15" t="str">
        <f t="shared" si="1148"/>
        <v>#</v>
      </c>
      <c r="Q1798" s="15" t="str">
        <f t="shared" si="1149"/>
        <v>#</v>
      </c>
      <c r="R1798" s="16" t="str">
        <f t="shared" si="1150"/>
        <v>#</v>
      </c>
      <c r="S1798" s="8" t="str">
        <f t="shared" si="1151"/>
        <v/>
      </c>
      <c r="T1798" s="2" t="str">
        <f t="shared" si="1152"/>
        <v/>
      </c>
      <c r="U1798" s="2" t="str">
        <f t="shared" si="1153"/>
        <v/>
      </c>
      <c r="V1798" t="str">
        <f t="shared" si="1170"/>
        <v/>
      </c>
      <c r="X1798">
        <f t="shared" si="1173"/>
        <v>1</v>
      </c>
      <c r="Y1798">
        <f t="shared" si="1174"/>
        <v>1</v>
      </c>
      <c r="Z1798">
        <f t="shared" si="1175"/>
        <v>1</v>
      </c>
      <c r="AA1798">
        <f t="shared" si="1176"/>
        <v>1</v>
      </c>
      <c r="AB1798">
        <f t="shared" si="1177"/>
        <v>1</v>
      </c>
      <c r="AC1798">
        <f t="shared" si="1178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72"/>
        <v>z</v>
      </c>
      <c r="M1799">
        <v>6</v>
      </c>
      <c r="N1799" s="23" t="str">
        <f t="shared" si="1146"/>
        <v>#</v>
      </c>
      <c r="O1799" s="7" t="str">
        <f t="shared" si="1147"/>
        <v>#</v>
      </c>
      <c r="P1799" s="7" t="str">
        <f t="shared" si="1148"/>
        <v>#</v>
      </c>
      <c r="Q1799" s="7" t="str">
        <f t="shared" si="1149"/>
        <v>#</v>
      </c>
      <c r="R1799" s="17" t="str">
        <f t="shared" si="1150"/>
        <v>#</v>
      </c>
      <c r="S1799" s="8" t="str">
        <f t="shared" si="1151"/>
        <v/>
      </c>
      <c r="T1799" s="2" t="str">
        <f t="shared" si="1152"/>
        <v/>
      </c>
      <c r="U1799" s="2" t="str">
        <f t="shared" si="1153"/>
        <v/>
      </c>
      <c r="V1799" t="str">
        <f t="shared" si="1170"/>
        <v/>
      </c>
      <c r="X1799">
        <f t="shared" si="1173"/>
        <v>0</v>
      </c>
      <c r="Y1799">
        <f t="shared" si="1174"/>
        <v>0</v>
      </c>
      <c r="Z1799">
        <f t="shared" si="1175"/>
        <v>0</v>
      </c>
      <c r="AA1799">
        <f t="shared" si="1176"/>
        <v>0</v>
      </c>
      <c r="AB1799">
        <f t="shared" si="1177"/>
        <v>0</v>
      </c>
      <c r="AC1799">
        <f t="shared" si="1178"/>
        <v>0</v>
      </c>
      <c r="AE1799" t="str">
        <f>(F1809*128+F1808*64+F1807*32+F1806*16+F1805*8+F1804*4+F1803*2+F1802)*256+F1801*128+F1800*64+F1799*32+F1798*16+F1797*8+F1796*4+F1795*2+F1794&amp;","</f>
        <v>12336,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0</v>
      </c>
      <c r="G1800" s="21">
        <v>0</v>
      </c>
      <c r="H1800" s="21">
        <v>0</v>
      </c>
      <c r="I1800" s="21">
        <v>0</v>
      </c>
      <c r="L1800" t="str">
        <f t="shared" si="1172"/>
        <v>z</v>
      </c>
      <c r="M1800">
        <v>7</v>
      </c>
      <c r="N1800" s="23" t="str">
        <f t="shared" si="1146"/>
        <v/>
      </c>
      <c r="O1800" s="7" t="str">
        <f t="shared" si="1147"/>
        <v/>
      </c>
      <c r="P1800" s="7" t="str">
        <f t="shared" si="1148"/>
        <v/>
      </c>
      <c r="Q1800" s="7" t="str">
        <f t="shared" si="1149"/>
        <v>#</v>
      </c>
      <c r="R1800" s="17" t="str">
        <f t="shared" si="1150"/>
        <v/>
      </c>
      <c r="S1800" s="8" t="str">
        <f t="shared" si="1151"/>
        <v/>
      </c>
      <c r="T1800" s="2" t="str">
        <f t="shared" si="1152"/>
        <v/>
      </c>
      <c r="U1800" s="2" t="str">
        <f t="shared" si="1153"/>
        <v/>
      </c>
      <c r="V1800" t="str">
        <f t="shared" si="1170"/>
        <v/>
      </c>
      <c r="X1800">
        <f t="shared" si="1173"/>
        <v>0</v>
      </c>
      <c r="Y1800">
        <f t="shared" si="1174"/>
        <v>0</v>
      </c>
      <c r="Z1800">
        <f t="shared" si="1175"/>
        <v>0</v>
      </c>
      <c r="AA1800">
        <f t="shared" si="1176"/>
        <v>0</v>
      </c>
      <c r="AB1800">
        <f t="shared" si="1177"/>
        <v>0</v>
      </c>
      <c r="AC1800">
        <f t="shared" si="1178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72"/>
        <v>z</v>
      </c>
      <c r="M1801">
        <v>8</v>
      </c>
      <c r="N1801" s="23" t="str">
        <f t="shared" si="1146"/>
        <v/>
      </c>
      <c r="O1801" s="7" t="str">
        <f t="shared" si="1147"/>
        <v/>
      </c>
      <c r="P1801" s="7" t="str">
        <f t="shared" si="1148"/>
        <v/>
      </c>
      <c r="Q1801" s="7" t="str">
        <f t="shared" si="1149"/>
        <v>#</v>
      </c>
      <c r="R1801" s="17" t="str">
        <f t="shared" si="1150"/>
        <v/>
      </c>
      <c r="S1801" s="8" t="str">
        <f t="shared" si="1151"/>
        <v/>
      </c>
      <c r="T1801" s="2" t="str">
        <f t="shared" si="1152"/>
        <v/>
      </c>
      <c r="U1801" s="2" t="str">
        <f t="shared" si="1153"/>
        <v/>
      </c>
      <c r="V1801" t="str">
        <f t="shared" si="1170"/>
        <v/>
      </c>
      <c r="X1801">
        <f t="shared" si="1173"/>
        <v>0</v>
      </c>
      <c r="Y1801">
        <f t="shared" si="1174"/>
        <v>0</v>
      </c>
      <c r="Z1801">
        <f t="shared" si="1175"/>
        <v>0</v>
      </c>
      <c r="AA1801">
        <f t="shared" si="1176"/>
        <v>0</v>
      </c>
      <c r="AB1801">
        <f t="shared" si="1177"/>
        <v>0</v>
      </c>
      <c r="AC1801">
        <f t="shared" si="1178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72"/>
        <v>z</v>
      </c>
      <c r="M1802">
        <v>9</v>
      </c>
      <c r="N1802" s="23" t="str">
        <f t="shared" si="1146"/>
        <v/>
      </c>
      <c r="O1802" s="7" t="str">
        <f t="shared" si="1147"/>
        <v/>
      </c>
      <c r="P1802" s="7" t="str">
        <f t="shared" si="1148"/>
        <v>#</v>
      </c>
      <c r="Q1802" s="7" t="str">
        <f t="shared" si="1149"/>
        <v>#</v>
      </c>
      <c r="R1802" s="17" t="str">
        <f t="shared" si="1150"/>
        <v/>
      </c>
      <c r="S1802" s="8" t="str">
        <f t="shared" si="1151"/>
        <v/>
      </c>
      <c r="T1802" s="2" t="str">
        <f t="shared" si="1152"/>
        <v/>
      </c>
      <c r="U1802" s="2" t="str">
        <f t="shared" si="1153"/>
        <v/>
      </c>
      <c r="V1802" t="str">
        <f t="shared" si="1170"/>
        <v/>
      </c>
      <c r="X1802">
        <f t="shared" si="1173"/>
        <v>0</v>
      </c>
      <c r="Y1802">
        <f t="shared" si="1174"/>
        <v>0</v>
      </c>
      <c r="Z1802">
        <f t="shared" si="1175"/>
        <v>1</v>
      </c>
      <c r="AA1802">
        <f t="shared" si="1176"/>
        <v>0</v>
      </c>
      <c r="AB1802">
        <f t="shared" si="1177"/>
        <v>0</v>
      </c>
      <c r="AC1802">
        <f t="shared" si="1178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72"/>
        <v>z</v>
      </c>
      <c r="M1803">
        <v>10</v>
      </c>
      <c r="N1803" s="23" t="str">
        <f t="shared" si="1146"/>
        <v/>
      </c>
      <c r="O1803" s="7" t="str">
        <f t="shared" si="1147"/>
        <v>#</v>
      </c>
      <c r="P1803" s="7" t="str">
        <f t="shared" si="1148"/>
        <v>#</v>
      </c>
      <c r="Q1803" s="7" t="str">
        <f t="shared" si="1149"/>
        <v/>
      </c>
      <c r="R1803" s="17" t="str">
        <f t="shared" si="1150"/>
        <v/>
      </c>
      <c r="S1803" s="8" t="str">
        <f t="shared" si="1151"/>
        <v/>
      </c>
      <c r="T1803" s="2" t="str">
        <f t="shared" si="1152"/>
        <v/>
      </c>
      <c r="U1803" s="2" t="str">
        <f t="shared" si="1153"/>
        <v/>
      </c>
      <c r="V1803" t="str">
        <f t="shared" si="1170"/>
        <v/>
      </c>
      <c r="X1803">
        <f t="shared" si="1173"/>
        <v>0</v>
      </c>
      <c r="Y1803">
        <f t="shared" si="1174"/>
        <v>1</v>
      </c>
      <c r="Z1803">
        <f t="shared" si="1175"/>
        <v>0</v>
      </c>
      <c r="AA1803">
        <f t="shared" si="1176"/>
        <v>0</v>
      </c>
      <c r="AB1803">
        <f t="shared" si="1177"/>
        <v>0</v>
      </c>
      <c r="AC1803">
        <f t="shared" si="1178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0</v>
      </c>
      <c r="G1804" s="21">
        <v>0</v>
      </c>
      <c r="H1804" s="21">
        <v>0</v>
      </c>
      <c r="I1804" s="21">
        <v>0</v>
      </c>
      <c r="L1804" t="str">
        <f t="shared" si="1172"/>
        <v>z</v>
      </c>
      <c r="M1804">
        <v>11</v>
      </c>
      <c r="N1804" s="23" t="str">
        <f t="shared" si="1146"/>
        <v/>
      </c>
      <c r="O1804" s="7" t="str">
        <f t="shared" si="1147"/>
        <v>#</v>
      </c>
      <c r="P1804" s="7" t="str">
        <f t="shared" si="1148"/>
        <v/>
      </c>
      <c r="Q1804" s="7" t="str">
        <f t="shared" si="1149"/>
        <v/>
      </c>
      <c r="R1804" s="17" t="str">
        <f t="shared" si="1150"/>
        <v/>
      </c>
      <c r="S1804" s="8" t="str">
        <f t="shared" si="1151"/>
        <v/>
      </c>
      <c r="T1804" s="2" t="str">
        <f t="shared" si="1152"/>
        <v/>
      </c>
      <c r="U1804" s="2" t="str">
        <f t="shared" si="1153"/>
        <v/>
      </c>
      <c r="V1804" t="str">
        <f t="shared" si="1170"/>
        <v/>
      </c>
      <c r="X1804">
        <f t="shared" si="1173"/>
        <v>0</v>
      </c>
      <c r="Y1804">
        <f t="shared" si="1174"/>
        <v>0</v>
      </c>
      <c r="Z1804">
        <f t="shared" si="1175"/>
        <v>0</v>
      </c>
      <c r="AA1804">
        <f t="shared" si="1176"/>
        <v>0</v>
      </c>
      <c r="AB1804">
        <f t="shared" si="1177"/>
        <v>0</v>
      </c>
      <c r="AC1804">
        <f t="shared" si="1178"/>
        <v>0</v>
      </c>
    </row>
    <row r="1805" spans="1:31" x14ac:dyDescent="0.2">
      <c r="A1805" s="21"/>
      <c r="B1805" s="21">
        <v>0</v>
      </c>
      <c r="C1805" s="21">
        <v>1</v>
      </c>
      <c r="D1805" s="21">
        <v>0</v>
      </c>
      <c r="E1805" s="21">
        <v>0</v>
      </c>
      <c r="F1805" s="21">
        <v>0</v>
      </c>
      <c r="G1805" s="21">
        <v>0</v>
      </c>
      <c r="H1805" s="21">
        <v>0</v>
      </c>
      <c r="I1805" s="21">
        <v>0</v>
      </c>
      <c r="L1805" t="str">
        <f t="shared" si="1172"/>
        <v>z</v>
      </c>
      <c r="M1805">
        <v>12</v>
      </c>
      <c r="N1805" s="23" t="str">
        <f t="shared" si="1146"/>
        <v/>
      </c>
      <c r="O1805" s="7" t="str">
        <f t="shared" si="1147"/>
        <v>#</v>
      </c>
      <c r="P1805" s="7" t="str">
        <f t="shared" si="1148"/>
        <v/>
      </c>
      <c r="Q1805" s="7" t="str">
        <f t="shared" si="1149"/>
        <v/>
      </c>
      <c r="R1805" s="17" t="str">
        <f t="shared" si="1150"/>
        <v/>
      </c>
      <c r="S1805" s="8" t="str">
        <f t="shared" si="1151"/>
        <v/>
      </c>
      <c r="T1805" s="2" t="str">
        <f t="shared" si="1152"/>
        <v/>
      </c>
      <c r="U1805" s="2" t="str">
        <f t="shared" si="1153"/>
        <v/>
      </c>
      <c r="V1805" t="str">
        <f t="shared" si="1170"/>
        <v/>
      </c>
      <c r="X1805">
        <f t="shared" si="1173"/>
        <v>0</v>
      </c>
      <c r="Y1805">
        <f t="shared" si="1174"/>
        <v>0</v>
      </c>
      <c r="Z1805">
        <f t="shared" si="1175"/>
        <v>0</v>
      </c>
      <c r="AA1805">
        <f t="shared" si="1176"/>
        <v>0</v>
      </c>
      <c r="AB1805">
        <f t="shared" si="1177"/>
        <v>0</v>
      </c>
      <c r="AC1805">
        <f t="shared" si="1178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72"/>
        <v>z</v>
      </c>
      <c r="M1806">
        <v>13</v>
      </c>
      <c r="N1806" s="6" t="str">
        <f t="shared" si="1146"/>
        <v>#</v>
      </c>
      <c r="O1806" s="7" t="str">
        <f t="shared" si="1147"/>
        <v>#</v>
      </c>
      <c r="P1806" s="7" t="str">
        <f t="shared" si="1148"/>
        <v>#</v>
      </c>
      <c r="Q1806" s="7" t="str">
        <f t="shared" si="1149"/>
        <v>#</v>
      </c>
      <c r="R1806" s="17" t="str">
        <f t="shared" si="1150"/>
        <v>#</v>
      </c>
      <c r="S1806" s="8" t="str">
        <f t="shared" si="1151"/>
        <v/>
      </c>
      <c r="T1806" s="2" t="str">
        <f t="shared" si="1152"/>
        <v/>
      </c>
      <c r="U1806" s="2" t="str">
        <f t="shared" si="1153"/>
        <v/>
      </c>
      <c r="V1806" t="str">
        <f t="shared" si="1170"/>
        <v/>
      </c>
      <c r="X1806">
        <f t="shared" si="1173"/>
        <v>1</v>
      </c>
      <c r="Y1806">
        <f t="shared" si="1174"/>
        <v>0</v>
      </c>
      <c r="Z1806">
        <f t="shared" si="1175"/>
        <v>1</v>
      </c>
      <c r="AA1806">
        <f t="shared" si="1176"/>
        <v>1</v>
      </c>
      <c r="AB1806">
        <f t="shared" si="1177"/>
        <v>1</v>
      </c>
      <c r="AC1806">
        <f t="shared" si="1178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72"/>
        <v>z</v>
      </c>
      <c r="M1807">
        <v>14</v>
      </c>
      <c r="N1807" s="18" t="str">
        <f t="shared" si="1146"/>
        <v>#</v>
      </c>
      <c r="O1807" s="19" t="str">
        <f t="shared" si="1147"/>
        <v>#</v>
      </c>
      <c r="P1807" s="19" t="str">
        <f t="shared" si="1148"/>
        <v>#</v>
      </c>
      <c r="Q1807" s="19" t="str">
        <f t="shared" si="1149"/>
        <v>#</v>
      </c>
      <c r="R1807" s="20" t="str">
        <f t="shared" si="1150"/>
        <v>#</v>
      </c>
      <c r="S1807" s="8" t="str">
        <f t="shared" si="1151"/>
        <v/>
      </c>
      <c r="T1807" s="2" t="str">
        <f t="shared" si="1152"/>
        <v/>
      </c>
      <c r="U1807" s="2" t="str">
        <f t="shared" si="1153"/>
        <v/>
      </c>
      <c r="V1807" t="str">
        <f t="shared" si="1170"/>
        <v/>
      </c>
      <c r="X1807">
        <f t="shared" si="1173"/>
        <v>0</v>
      </c>
      <c r="Y1807">
        <f t="shared" si="1174"/>
        <v>0</v>
      </c>
      <c r="Z1807">
        <f t="shared" si="1175"/>
        <v>0</v>
      </c>
      <c r="AA1807">
        <f t="shared" si="1176"/>
        <v>0</v>
      </c>
      <c r="AB1807">
        <f t="shared" si="1177"/>
        <v>0</v>
      </c>
      <c r="AC1807">
        <f t="shared" si="1178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72"/>
        <v>z</v>
      </c>
      <c r="M1808">
        <v>15</v>
      </c>
      <c r="N1808" s="9" t="str">
        <f t="shared" si="1146"/>
        <v/>
      </c>
      <c r="O1808" s="10" t="str">
        <f t="shared" si="1147"/>
        <v/>
      </c>
      <c r="P1808" s="10" t="str">
        <f t="shared" si="1148"/>
        <v/>
      </c>
      <c r="Q1808" s="10" t="str">
        <f t="shared" si="1149"/>
        <v/>
      </c>
      <c r="R1808" s="10" t="str">
        <f t="shared" si="1150"/>
        <v/>
      </c>
      <c r="S1808" s="11" t="str">
        <f t="shared" si="1151"/>
        <v/>
      </c>
      <c r="T1808" s="2" t="str">
        <f t="shared" si="1152"/>
        <v/>
      </c>
      <c r="U1808" s="2" t="str">
        <f t="shared" si="1153"/>
        <v/>
      </c>
      <c r="V1808" t="str">
        <f t="shared" si="1170"/>
        <v/>
      </c>
      <c r="X1808">
        <f t="shared" si="1173"/>
        <v>0</v>
      </c>
      <c r="Y1808">
        <f t="shared" si="1174"/>
        <v>0</v>
      </c>
      <c r="Z1808">
        <f t="shared" si="1175"/>
        <v>0</v>
      </c>
      <c r="AA1808">
        <f t="shared" si="1176"/>
        <v>0</v>
      </c>
      <c r="AB1808">
        <f t="shared" si="1177"/>
        <v>0</v>
      </c>
      <c r="AC1808">
        <f t="shared" si="1178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72"/>
        <v>z</v>
      </c>
      <c r="M1809">
        <v>16</v>
      </c>
      <c r="N1809" s="12" t="str">
        <f t="shared" si="1146"/>
        <v/>
      </c>
      <c r="O1809" s="13" t="str">
        <f t="shared" si="1147"/>
        <v/>
      </c>
      <c r="P1809" s="13" t="str">
        <f t="shared" si="1148"/>
        <v/>
      </c>
      <c r="Q1809" s="13" t="str">
        <f t="shared" si="1149"/>
        <v/>
      </c>
      <c r="R1809" s="13" t="str">
        <f t="shared" si="1150"/>
        <v/>
      </c>
      <c r="S1809" s="14" t="str">
        <f t="shared" si="1151"/>
        <v/>
      </c>
      <c r="T1809" s="2" t="str">
        <f t="shared" si="1152"/>
        <v/>
      </c>
      <c r="U1809" s="2" t="str">
        <f t="shared" si="1153"/>
        <v/>
      </c>
      <c r="V1809" t="str">
        <f t="shared" si="1170"/>
        <v/>
      </c>
      <c r="X1809">
        <f t="shared" si="1173"/>
        <v>0</v>
      </c>
      <c r="Y1809">
        <f t="shared" si="1174"/>
        <v>0</v>
      </c>
      <c r="Z1809">
        <f t="shared" si="1175"/>
        <v>0</v>
      </c>
      <c r="AA1809">
        <f t="shared" si="1176"/>
        <v>0</v>
      </c>
      <c r="AB1809">
        <f t="shared" si="1177"/>
        <v>0</v>
      </c>
      <c r="AC1809">
        <f t="shared" si="1178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6"/>
        <v/>
      </c>
      <c r="O1810" t="str">
        <f t="shared" si="1147"/>
        <v/>
      </c>
      <c r="P1810" t="str">
        <f t="shared" si="1148"/>
        <v/>
      </c>
      <c r="Q1810" t="str">
        <f t="shared" si="1149"/>
        <v/>
      </c>
      <c r="R1810" t="str">
        <f t="shared" si="1150"/>
        <v/>
      </c>
      <c r="S1810" t="str">
        <f t="shared" si="1151"/>
        <v/>
      </c>
      <c r="T1810" s="2" t="str">
        <f t="shared" si="1152"/>
        <v/>
      </c>
      <c r="U1810" s="2" t="str">
        <f t="shared" si="1153"/>
        <v/>
      </c>
      <c r="V1810" t="str">
        <f t="shared" si="1170"/>
        <v/>
      </c>
      <c r="W1810">
        <f>SUM(B1812:G1825)</f>
        <v>16</v>
      </c>
      <c r="AD1810">
        <f t="shared" ref="AD1810" si="1179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80">L1810</f>
        <v>{</v>
      </c>
      <c r="M1811">
        <v>2</v>
      </c>
      <c r="N1811" t="str">
        <f t="shared" si="1146"/>
        <v/>
      </c>
      <c r="O1811" t="str">
        <f t="shared" si="1147"/>
        <v/>
      </c>
      <c r="P1811" t="str">
        <f t="shared" si="1148"/>
        <v/>
      </c>
      <c r="Q1811" t="str">
        <f t="shared" si="1149"/>
        <v/>
      </c>
      <c r="R1811" t="str">
        <f t="shared" si="1150"/>
        <v/>
      </c>
      <c r="S1811" t="str">
        <f t="shared" si="1151"/>
        <v/>
      </c>
      <c r="T1811" s="2" t="str">
        <f t="shared" si="1152"/>
        <v/>
      </c>
      <c r="U1811" s="2" t="str">
        <f t="shared" si="1153"/>
        <v/>
      </c>
      <c r="V1811" t="str">
        <f t="shared" si="1170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80"/>
        <v>{</v>
      </c>
      <c r="M1812">
        <v>3</v>
      </c>
      <c r="N1812" s="3" t="str">
        <f t="shared" si="1146"/>
        <v/>
      </c>
      <c r="O1812" s="4" t="str">
        <f t="shared" si="1147"/>
        <v/>
      </c>
      <c r="P1812" s="4" t="str">
        <f t="shared" si="1148"/>
        <v/>
      </c>
      <c r="Q1812" s="4" t="str">
        <f t="shared" si="1149"/>
        <v/>
      </c>
      <c r="R1812" s="4" t="str">
        <f t="shared" si="1150"/>
        <v/>
      </c>
      <c r="S1812" s="5" t="str">
        <f t="shared" si="1151"/>
        <v/>
      </c>
      <c r="T1812" s="2" t="str">
        <f t="shared" si="1152"/>
        <v/>
      </c>
      <c r="U1812" s="2" t="str">
        <f t="shared" si="1153"/>
        <v/>
      </c>
      <c r="V1812" t="str">
        <f t="shared" si="1170"/>
        <v/>
      </c>
      <c r="X1812">
        <f t="shared" ref="X1812:X1825" si="1181">MAX(B1812-B1811,0)</f>
        <v>0</v>
      </c>
      <c r="Y1812">
        <f t="shared" ref="Y1812:Y1825" si="1182">MAX(C1812-C1811,0)</f>
        <v>0</v>
      </c>
      <c r="Z1812">
        <f t="shared" ref="Z1812:Z1825" si="1183">MAX(D1812-D1811,0)</f>
        <v>0</v>
      </c>
      <c r="AA1812">
        <f t="shared" ref="AA1812:AA1825" si="1184">MAX(E1812-E1811,0)</f>
        <v>0</v>
      </c>
      <c r="AB1812">
        <f t="shared" ref="AB1812:AB1825" si="1185">MAX(F1812-F1811,0)</f>
        <v>0</v>
      </c>
      <c r="AC1812">
        <f t="shared" ref="AC1812:AC1825" si="1186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80"/>
        <v>{</v>
      </c>
      <c r="M1813">
        <v>4</v>
      </c>
      <c r="N1813" s="6" t="str">
        <f t="shared" si="1146"/>
        <v/>
      </c>
      <c r="O1813" s="7" t="str">
        <f t="shared" si="1147"/>
        <v/>
      </c>
      <c r="P1813" s="7" t="str">
        <f t="shared" si="1148"/>
        <v>#</v>
      </c>
      <c r="Q1813" s="7" t="str">
        <f t="shared" si="1149"/>
        <v/>
      </c>
      <c r="R1813" s="7" t="str">
        <f t="shared" si="1150"/>
        <v/>
      </c>
      <c r="S1813" s="8" t="str">
        <f t="shared" si="1151"/>
        <v/>
      </c>
      <c r="T1813" s="2" t="str">
        <f t="shared" si="1152"/>
        <v/>
      </c>
      <c r="U1813" s="2" t="str">
        <f t="shared" si="1153"/>
        <v/>
      </c>
      <c r="V1813" t="str">
        <f t="shared" si="1170"/>
        <v/>
      </c>
      <c r="X1813">
        <f t="shared" si="1181"/>
        <v>0</v>
      </c>
      <c r="Y1813">
        <f t="shared" si="1182"/>
        <v>0</v>
      </c>
      <c r="Z1813">
        <f t="shared" si="1183"/>
        <v>1</v>
      </c>
      <c r="AA1813">
        <f t="shared" si="1184"/>
        <v>0</v>
      </c>
      <c r="AB1813">
        <f t="shared" si="1185"/>
        <v>0</v>
      </c>
      <c r="AC1813">
        <f t="shared" si="1186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80"/>
        <v>{</v>
      </c>
      <c r="M1814">
        <v>5</v>
      </c>
      <c r="N1814" s="22" t="str">
        <f t="shared" si="1146"/>
        <v/>
      </c>
      <c r="O1814" s="15" t="str">
        <f t="shared" si="1147"/>
        <v>#</v>
      </c>
      <c r="P1814" s="15" t="str">
        <f t="shared" si="1148"/>
        <v>#</v>
      </c>
      <c r="Q1814" s="15" t="str">
        <f t="shared" si="1149"/>
        <v/>
      </c>
      <c r="R1814" s="16" t="str">
        <f t="shared" si="1150"/>
        <v/>
      </c>
      <c r="S1814" s="8" t="str">
        <f t="shared" si="1151"/>
        <v/>
      </c>
      <c r="T1814" s="2" t="str">
        <f t="shared" si="1152"/>
        <v/>
      </c>
      <c r="U1814" s="2" t="str">
        <f t="shared" si="1153"/>
        <v/>
      </c>
      <c r="V1814" t="str">
        <f t="shared" si="1170"/>
        <v/>
      </c>
      <c r="X1814">
        <f t="shared" si="1181"/>
        <v>0</v>
      </c>
      <c r="Y1814">
        <f t="shared" si="1182"/>
        <v>1</v>
      </c>
      <c r="Z1814">
        <f t="shared" si="1183"/>
        <v>0</v>
      </c>
      <c r="AA1814">
        <f t="shared" si="1184"/>
        <v>0</v>
      </c>
      <c r="AB1814">
        <f t="shared" si="1185"/>
        <v>0</v>
      </c>
      <c r="AC1814">
        <f t="shared" si="1186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80"/>
        <v>{</v>
      </c>
      <c r="M1815">
        <v>6</v>
      </c>
      <c r="N1815" s="23" t="str">
        <f t="shared" si="1146"/>
        <v/>
      </c>
      <c r="O1815" s="7" t="str">
        <f t="shared" si="1147"/>
        <v>#</v>
      </c>
      <c r="P1815" s="7" t="str">
        <f t="shared" si="1148"/>
        <v/>
      </c>
      <c r="Q1815" s="7" t="str">
        <f t="shared" si="1149"/>
        <v/>
      </c>
      <c r="R1815" s="17" t="str">
        <f t="shared" si="1150"/>
        <v/>
      </c>
      <c r="S1815" s="8" t="str">
        <f t="shared" si="1151"/>
        <v/>
      </c>
      <c r="T1815" s="2" t="str">
        <f t="shared" si="1152"/>
        <v/>
      </c>
      <c r="U1815" s="2" t="str">
        <f t="shared" si="1153"/>
        <v/>
      </c>
      <c r="V1815" t="str">
        <f t="shared" si="1170"/>
        <v/>
      </c>
      <c r="X1815">
        <f t="shared" si="1181"/>
        <v>0</v>
      </c>
      <c r="Y1815">
        <f t="shared" si="1182"/>
        <v>0</v>
      </c>
      <c r="Z1815">
        <f t="shared" si="1183"/>
        <v>0</v>
      </c>
      <c r="AA1815">
        <f t="shared" si="1184"/>
        <v>0</v>
      </c>
      <c r="AB1815">
        <f t="shared" si="1185"/>
        <v>0</v>
      </c>
      <c r="AC1815">
        <f t="shared" si="1186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80"/>
        <v>{</v>
      </c>
      <c r="M1816">
        <v>7</v>
      </c>
      <c r="N1816" s="23" t="str">
        <f t="shared" si="1146"/>
        <v/>
      </c>
      <c r="O1816" s="7" t="str">
        <f t="shared" si="1147"/>
        <v>#</v>
      </c>
      <c r="P1816" s="7" t="str">
        <f t="shared" si="1148"/>
        <v/>
      </c>
      <c r="Q1816" s="7" t="str">
        <f t="shared" si="1149"/>
        <v/>
      </c>
      <c r="R1816" s="17" t="str">
        <f t="shared" si="1150"/>
        <v/>
      </c>
      <c r="S1816" s="8" t="str">
        <f t="shared" si="1151"/>
        <v/>
      </c>
      <c r="T1816" s="2" t="str">
        <f t="shared" si="1152"/>
        <v/>
      </c>
      <c r="U1816" s="2" t="str">
        <f t="shared" si="1153"/>
        <v/>
      </c>
      <c r="V1816" t="str">
        <f t="shared" si="1170"/>
        <v/>
      </c>
      <c r="X1816">
        <f t="shared" si="1181"/>
        <v>0</v>
      </c>
      <c r="Y1816">
        <f t="shared" si="1182"/>
        <v>0</v>
      </c>
      <c r="Z1816">
        <f t="shared" si="1183"/>
        <v>0</v>
      </c>
      <c r="AA1816">
        <f t="shared" si="1184"/>
        <v>0</v>
      </c>
      <c r="AB1816">
        <f t="shared" si="1185"/>
        <v>0</v>
      </c>
      <c r="AC1816">
        <f t="shared" si="1186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80"/>
        <v>{</v>
      </c>
      <c r="M1817">
        <v>8</v>
      </c>
      <c r="N1817" s="23" t="str">
        <f t="shared" si="1146"/>
        <v/>
      </c>
      <c r="O1817" s="7" t="str">
        <f t="shared" si="1147"/>
        <v>#</v>
      </c>
      <c r="P1817" s="7" t="str">
        <f t="shared" si="1148"/>
        <v/>
      </c>
      <c r="Q1817" s="7" t="str">
        <f t="shared" si="1149"/>
        <v/>
      </c>
      <c r="R1817" s="17" t="str">
        <f t="shared" si="1150"/>
        <v/>
      </c>
      <c r="S1817" s="8" t="str">
        <f t="shared" si="1151"/>
        <v/>
      </c>
      <c r="T1817" s="2" t="str">
        <f t="shared" si="1152"/>
        <v/>
      </c>
      <c r="U1817" s="2" t="str">
        <f t="shared" si="1153"/>
        <v/>
      </c>
      <c r="V1817" t="str">
        <f t="shared" si="1170"/>
        <v/>
      </c>
      <c r="X1817">
        <f t="shared" si="1181"/>
        <v>0</v>
      </c>
      <c r="Y1817">
        <f t="shared" si="1182"/>
        <v>0</v>
      </c>
      <c r="Z1817">
        <f t="shared" si="1183"/>
        <v>0</v>
      </c>
      <c r="AA1817">
        <f t="shared" si="1184"/>
        <v>0</v>
      </c>
      <c r="AB1817">
        <f t="shared" si="1185"/>
        <v>0</v>
      </c>
      <c r="AC1817">
        <f t="shared" si="1186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80"/>
        <v>{</v>
      </c>
      <c r="M1818">
        <v>9</v>
      </c>
      <c r="N1818" s="23" t="str">
        <f t="shared" si="1146"/>
        <v>#</v>
      </c>
      <c r="O1818" s="7" t="str">
        <f t="shared" si="1147"/>
        <v>#</v>
      </c>
      <c r="P1818" s="7" t="str">
        <f t="shared" si="1148"/>
        <v/>
      </c>
      <c r="Q1818" s="7" t="str">
        <f t="shared" si="1149"/>
        <v/>
      </c>
      <c r="R1818" s="17" t="str">
        <f t="shared" si="1150"/>
        <v/>
      </c>
      <c r="S1818" s="8" t="str">
        <f t="shared" si="1151"/>
        <v/>
      </c>
      <c r="T1818" s="2" t="str">
        <f t="shared" si="1152"/>
        <v/>
      </c>
      <c r="U1818" s="2" t="str">
        <f t="shared" si="1153"/>
        <v/>
      </c>
      <c r="V1818" t="str">
        <f t="shared" si="1170"/>
        <v/>
      </c>
      <c r="X1818">
        <f t="shared" si="1181"/>
        <v>1</v>
      </c>
      <c r="Y1818">
        <f t="shared" si="1182"/>
        <v>0</v>
      </c>
      <c r="Z1818">
        <f t="shared" si="1183"/>
        <v>0</v>
      </c>
      <c r="AA1818">
        <f t="shared" si="1184"/>
        <v>0</v>
      </c>
      <c r="AB1818">
        <f t="shared" si="1185"/>
        <v>0</v>
      </c>
      <c r="AC1818">
        <f t="shared" si="1186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80"/>
        <v>{</v>
      </c>
      <c r="M1819">
        <v>10</v>
      </c>
      <c r="N1819" s="23" t="str">
        <f t="shared" si="1146"/>
        <v>#</v>
      </c>
      <c r="O1819" s="7" t="str">
        <f t="shared" si="1147"/>
        <v>#</v>
      </c>
      <c r="P1819" s="7" t="str">
        <f t="shared" si="1148"/>
        <v/>
      </c>
      <c r="Q1819" s="7" t="str">
        <f t="shared" si="1149"/>
        <v/>
      </c>
      <c r="R1819" s="17" t="str">
        <f t="shared" si="1150"/>
        <v/>
      </c>
      <c r="S1819" s="8" t="str">
        <f t="shared" si="1151"/>
        <v/>
      </c>
      <c r="T1819" s="2" t="str">
        <f t="shared" si="1152"/>
        <v/>
      </c>
      <c r="U1819" s="2" t="str">
        <f t="shared" si="1153"/>
        <v/>
      </c>
      <c r="V1819" t="str">
        <f t="shared" si="1170"/>
        <v/>
      </c>
      <c r="X1819">
        <f t="shared" si="1181"/>
        <v>0</v>
      </c>
      <c r="Y1819">
        <f t="shared" si="1182"/>
        <v>0</v>
      </c>
      <c r="Z1819">
        <f t="shared" si="1183"/>
        <v>0</v>
      </c>
      <c r="AA1819">
        <f t="shared" si="1184"/>
        <v>0</v>
      </c>
      <c r="AB1819">
        <f t="shared" si="1185"/>
        <v>0</v>
      </c>
      <c r="AC1819">
        <f t="shared" si="1186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80"/>
        <v>{</v>
      </c>
      <c r="M1820">
        <v>11</v>
      </c>
      <c r="N1820" s="23" t="str">
        <f t="shared" si="1146"/>
        <v/>
      </c>
      <c r="O1820" s="7" t="str">
        <f t="shared" si="1147"/>
        <v>#</v>
      </c>
      <c r="P1820" s="7" t="str">
        <f t="shared" si="1148"/>
        <v/>
      </c>
      <c r="Q1820" s="7" t="str">
        <f t="shared" si="1149"/>
        <v/>
      </c>
      <c r="R1820" s="17" t="str">
        <f t="shared" si="1150"/>
        <v/>
      </c>
      <c r="S1820" s="8" t="str">
        <f t="shared" si="1151"/>
        <v/>
      </c>
      <c r="T1820" s="2" t="str">
        <f t="shared" si="1152"/>
        <v/>
      </c>
      <c r="U1820" s="2" t="str">
        <f t="shared" si="1153"/>
        <v/>
      </c>
      <c r="V1820" t="str">
        <f t="shared" si="1170"/>
        <v/>
      </c>
      <c r="X1820">
        <f t="shared" si="1181"/>
        <v>0</v>
      </c>
      <c r="Y1820">
        <f t="shared" si="1182"/>
        <v>0</v>
      </c>
      <c r="Z1820">
        <f t="shared" si="1183"/>
        <v>0</v>
      </c>
      <c r="AA1820">
        <f t="shared" si="1184"/>
        <v>0</v>
      </c>
      <c r="AB1820">
        <f t="shared" si="1185"/>
        <v>0</v>
      </c>
      <c r="AC1820">
        <f t="shared" si="1186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80"/>
        <v>{</v>
      </c>
      <c r="M1821">
        <v>12</v>
      </c>
      <c r="N1821" s="23" t="str">
        <f t="shared" si="1146"/>
        <v/>
      </c>
      <c r="O1821" s="7" t="str">
        <f t="shared" si="1147"/>
        <v>#</v>
      </c>
      <c r="P1821" s="7" t="str">
        <f t="shared" si="1148"/>
        <v/>
      </c>
      <c r="Q1821" s="7" t="str">
        <f t="shared" si="1149"/>
        <v/>
      </c>
      <c r="R1821" s="17" t="str">
        <f t="shared" si="1150"/>
        <v/>
      </c>
      <c r="S1821" s="8" t="str">
        <f t="shared" si="1151"/>
        <v/>
      </c>
      <c r="T1821" s="2" t="str">
        <f t="shared" si="1152"/>
        <v/>
      </c>
      <c r="U1821" s="2" t="str">
        <f t="shared" si="1153"/>
        <v/>
      </c>
      <c r="V1821" t="str">
        <f t="shared" si="1170"/>
        <v/>
      </c>
      <c r="X1821">
        <f t="shared" si="1181"/>
        <v>0</v>
      </c>
      <c r="Y1821">
        <f t="shared" si="1182"/>
        <v>0</v>
      </c>
      <c r="Z1821">
        <f t="shared" si="1183"/>
        <v>0</v>
      </c>
      <c r="AA1821">
        <f t="shared" si="1184"/>
        <v>0</v>
      </c>
      <c r="AB1821">
        <f t="shared" si="1185"/>
        <v>0</v>
      </c>
      <c r="AC1821">
        <f t="shared" si="1186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80"/>
        <v>{</v>
      </c>
      <c r="M1822">
        <v>13</v>
      </c>
      <c r="N1822" s="6" t="str">
        <f t="shared" si="1146"/>
        <v/>
      </c>
      <c r="O1822" s="7" t="str">
        <f t="shared" si="1147"/>
        <v>#</v>
      </c>
      <c r="P1822" s="7" t="str">
        <f t="shared" si="1148"/>
        <v/>
      </c>
      <c r="Q1822" s="7" t="str">
        <f t="shared" si="1149"/>
        <v/>
      </c>
      <c r="R1822" s="17" t="str">
        <f t="shared" si="1150"/>
        <v/>
      </c>
      <c r="S1822" s="8" t="str">
        <f t="shared" si="1151"/>
        <v/>
      </c>
      <c r="T1822" s="2" t="str">
        <f t="shared" si="1152"/>
        <v/>
      </c>
      <c r="U1822" s="2" t="str">
        <f t="shared" si="1153"/>
        <v/>
      </c>
      <c r="V1822" t="str">
        <f t="shared" si="1170"/>
        <v/>
      </c>
      <c r="X1822">
        <f t="shared" si="1181"/>
        <v>0</v>
      </c>
      <c r="Y1822">
        <f t="shared" si="1182"/>
        <v>0</v>
      </c>
      <c r="Z1822">
        <f t="shared" si="1183"/>
        <v>0</v>
      </c>
      <c r="AA1822">
        <f t="shared" si="1184"/>
        <v>0</v>
      </c>
      <c r="AB1822">
        <f t="shared" si="1185"/>
        <v>0</v>
      </c>
      <c r="AC1822">
        <f t="shared" si="1186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80"/>
        <v>{</v>
      </c>
      <c r="M1823">
        <v>14</v>
      </c>
      <c r="N1823" s="18" t="str">
        <f t="shared" si="1146"/>
        <v/>
      </c>
      <c r="O1823" s="19" t="str">
        <f t="shared" si="1147"/>
        <v>#</v>
      </c>
      <c r="P1823" s="19" t="str">
        <f t="shared" si="1148"/>
        <v>#</v>
      </c>
      <c r="Q1823" s="19" t="str">
        <f t="shared" si="1149"/>
        <v/>
      </c>
      <c r="R1823" s="20" t="str">
        <f t="shared" si="1150"/>
        <v/>
      </c>
      <c r="S1823" s="8" t="str">
        <f t="shared" si="1151"/>
        <v/>
      </c>
      <c r="T1823" s="2" t="str">
        <f t="shared" si="1152"/>
        <v/>
      </c>
      <c r="U1823" s="2" t="str">
        <f t="shared" si="1153"/>
        <v/>
      </c>
      <c r="V1823" t="str">
        <f t="shared" si="1170"/>
        <v/>
      </c>
      <c r="X1823">
        <f t="shared" si="1181"/>
        <v>0</v>
      </c>
      <c r="Y1823">
        <f t="shared" si="1182"/>
        <v>0</v>
      </c>
      <c r="Z1823">
        <f t="shared" si="1183"/>
        <v>1</v>
      </c>
      <c r="AA1823">
        <f t="shared" si="1184"/>
        <v>0</v>
      </c>
      <c r="AB1823">
        <f t="shared" si="1185"/>
        <v>0</v>
      </c>
      <c r="AC1823">
        <f t="shared" si="1186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80"/>
        <v>{</v>
      </c>
      <c r="M1824">
        <v>15</v>
      </c>
      <c r="N1824" s="9" t="str">
        <f t="shared" si="1146"/>
        <v/>
      </c>
      <c r="O1824" s="10" t="str">
        <f t="shared" si="1147"/>
        <v/>
      </c>
      <c r="P1824" s="10" t="str">
        <f t="shared" si="1148"/>
        <v>#</v>
      </c>
      <c r="Q1824" s="10" t="str">
        <f t="shared" si="1149"/>
        <v/>
      </c>
      <c r="R1824" s="10" t="str">
        <f t="shared" si="1150"/>
        <v/>
      </c>
      <c r="S1824" s="11" t="str">
        <f t="shared" si="1151"/>
        <v/>
      </c>
      <c r="T1824" s="2" t="str">
        <f t="shared" si="1152"/>
        <v/>
      </c>
      <c r="U1824" s="2" t="str">
        <f t="shared" si="1153"/>
        <v/>
      </c>
      <c r="V1824" t="str">
        <f t="shared" si="1170"/>
        <v/>
      </c>
      <c r="X1824">
        <f t="shared" si="1181"/>
        <v>0</v>
      </c>
      <c r="Y1824">
        <f t="shared" si="1182"/>
        <v>0</v>
      </c>
      <c r="Z1824">
        <f t="shared" si="1183"/>
        <v>0</v>
      </c>
      <c r="AA1824">
        <f t="shared" si="1184"/>
        <v>0</v>
      </c>
      <c r="AB1824">
        <f t="shared" si="1185"/>
        <v>0</v>
      </c>
      <c r="AC1824">
        <f t="shared" si="1186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80"/>
        <v>{</v>
      </c>
      <c r="M1825">
        <v>16</v>
      </c>
      <c r="N1825" s="12" t="str">
        <f t="shared" si="1146"/>
        <v/>
      </c>
      <c r="O1825" s="13" t="str">
        <f t="shared" si="1147"/>
        <v/>
      </c>
      <c r="P1825" s="13" t="str">
        <f t="shared" si="1148"/>
        <v/>
      </c>
      <c r="Q1825" s="13" t="str">
        <f t="shared" si="1149"/>
        <v/>
      </c>
      <c r="R1825" s="13" t="str">
        <f t="shared" si="1150"/>
        <v/>
      </c>
      <c r="S1825" s="14" t="str">
        <f t="shared" si="1151"/>
        <v/>
      </c>
      <c r="T1825" s="2" t="str">
        <f t="shared" si="1152"/>
        <v/>
      </c>
      <c r="U1825" s="2" t="str">
        <f t="shared" si="1153"/>
        <v/>
      </c>
      <c r="V1825" t="str">
        <f t="shared" si="1170"/>
        <v/>
      </c>
      <c r="X1825">
        <f t="shared" si="1181"/>
        <v>0</v>
      </c>
      <c r="Y1825">
        <f t="shared" si="1182"/>
        <v>0</v>
      </c>
      <c r="Z1825">
        <f t="shared" si="1183"/>
        <v>0</v>
      </c>
      <c r="AA1825">
        <f t="shared" si="1184"/>
        <v>0</v>
      </c>
      <c r="AB1825">
        <f t="shared" si="1185"/>
        <v>0</v>
      </c>
      <c r="AC1825">
        <f t="shared" si="1186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7">IF(B1826&gt;0,"#","")</f>
        <v/>
      </c>
      <c r="O1826" t="str">
        <f t="shared" ref="O1826:O1889" si="1188">IF(C1826&gt;0,"#","")</f>
        <v/>
      </c>
      <c r="P1826" t="str">
        <f t="shared" ref="P1826:P1889" si="1189">IF(D1826&gt;0,"#","")</f>
        <v/>
      </c>
      <c r="Q1826" t="str">
        <f t="shared" ref="Q1826:Q1889" si="1190">IF(E1826&gt;0,"#","")</f>
        <v/>
      </c>
      <c r="R1826" t="str">
        <f t="shared" ref="R1826:R1889" si="1191">IF(F1826&gt;0,"#","")</f>
        <v/>
      </c>
      <c r="S1826" t="str">
        <f t="shared" ref="S1826:S1889" si="1192">IF(G1826&gt;0,"#","")</f>
        <v/>
      </c>
      <c r="T1826" s="2" t="str">
        <f t="shared" ref="T1826:T1889" si="1193">IF(H1826&gt;0,"#","")</f>
        <v/>
      </c>
      <c r="U1826" s="2" t="str">
        <f t="shared" ref="U1826:U1889" si="1194">IF(I1826&gt;0,"#","")</f>
        <v/>
      </c>
      <c r="V1826" t="str">
        <f t="shared" si="1170"/>
        <v/>
      </c>
      <c r="W1826">
        <f>SUM(B1828:G1841)</f>
        <v>8</v>
      </c>
      <c r="AD1826">
        <f t="shared" ref="AD1826" si="1195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6">L1826</f>
        <v>|</v>
      </c>
      <c r="M1827">
        <v>2</v>
      </c>
      <c r="N1827" t="str">
        <f t="shared" si="1187"/>
        <v/>
      </c>
      <c r="O1827" t="str">
        <f t="shared" si="1188"/>
        <v/>
      </c>
      <c r="P1827" t="str">
        <f t="shared" si="1189"/>
        <v/>
      </c>
      <c r="Q1827" t="str">
        <f t="shared" si="1190"/>
        <v/>
      </c>
      <c r="R1827" t="str">
        <f t="shared" si="1191"/>
        <v/>
      </c>
      <c r="S1827" t="str">
        <f t="shared" si="1192"/>
        <v/>
      </c>
      <c r="T1827" s="2" t="str">
        <f t="shared" si="1193"/>
        <v/>
      </c>
      <c r="U1827" s="2" t="str">
        <f t="shared" si="1194"/>
        <v/>
      </c>
      <c r="V1827" t="str">
        <f t="shared" si="1170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6"/>
        <v>|</v>
      </c>
      <c r="M1828">
        <v>3</v>
      </c>
      <c r="N1828" s="3" t="str">
        <f t="shared" si="1187"/>
        <v/>
      </c>
      <c r="O1828" s="4" t="str">
        <f t="shared" si="1188"/>
        <v/>
      </c>
      <c r="P1828" s="4" t="str">
        <f t="shared" si="1189"/>
        <v/>
      </c>
      <c r="Q1828" s="4" t="str">
        <f t="shared" si="1190"/>
        <v/>
      </c>
      <c r="R1828" s="4" t="str">
        <f t="shared" si="1191"/>
        <v/>
      </c>
      <c r="S1828" s="5" t="str">
        <f t="shared" si="1192"/>
        <v/>
      </c>
      <c r="T1828" s="2" t="str">
        <f t="shared" si="1193"/>
        <v/>
      </c>
      <c r="U1828" s="2" t="str">
        <f t="shared" si="1194"/>
        <v/>
      </c>
      <c r="V1828" t="str">
        <f t="shared" si="1170"/>
        <v/>
      </c>
      <c r="X1828">
        <f t="shared" ref="X1828:X1841" si="1197">MAX(B1828-B1827,0)</f>
        <v>0</v>
      </c>
      <c r="Y1828">
        <f t="shared" ref="Y1828:Y1841" si="1198">MAX(C1828-C1827,0)</f>
        <v>0</v>
      </c>
      <c r="Z1828">
        <f t="shared" ref="Z1828:Z1841" si="1199">MAX(D1828-D1827,0)</f>
        <v>0</v>
      </c>
      <c r="AA1828">
        <f t="shared" ref="AA1828:AA1841" si="1200">MAX(E1828-E1827,0)</f>
        <v>0</v>
      </c>
      <c r="AB1828">
        <f t="shared" ref="AB1828:AB1841" si="1201">MAX(F1828-F1827,0)</f>
        <v>0</v>
      </c>
      <c r="AC1828">
        <f t="shared" ref="AC1828:AC1841" si="1202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6"/>
        <v>|</v>
      </c>
      <c r="M1829">
        <v>4</v>
      </c>
      <c r="N1829" s="6" t="str">
        <f t="shared" si="1187"/>
        <v/>
      </c>
      <c r="O1829" s="7" t="str">
        <f t="shared" si="1188"/>
        <v/>
      </c>
      <c r="P1829" s="7" t="str">
        <f t="shared" si="1189"/>
        <v>#</v>
      </c>
      <c r="Q1829" s="7" t="str">
        <f t="shared" si="1190"/>
        <v/>
      </c>
      <c r="R1829" s="7" t="str">
        <f t="shared" si="1191"/>
        <v/>
      </c>
      <c r="S1829" s="8" t="str">
        <f t="shared" si="1192"/>
        <v/>
      </c>
      <c r="T1829" s="2" t="str">
        <f t="shared" si="1193"/>
        <v/>
      </c>
      <c r="U1829" s="2" t="str">
        <f t="shared" si="1194"/>
        <v/>
      </c>
      <c r="V1829" t="str">
        <f t="shared" si="1170"/>
        <v/>
      </c>
      <c r="X1829">
        <f t="shared" si="1197"/>
        <v>0</v>
      </c>
      <c r="Y1829">
        <f t="shared" si="1198"/>
        <v>0</v>
      </c>
      <c r="Z1829">
        <f t="shared" si="1199"/>
        <v>1</v>
      </c>
      <c r="AA1829">
        <f t="shared" si="1200"/>
        <v>0</v>
      </c>
      <c r="AB1829">
        <f t="shared" si="1201"/>
        <v>0</v>
      </c>
      <c r="AC1829">
        <f t="shared" si="1202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6"/>
        <v>|</v>
      </c>
      <c r="M1830">
        <v>5</v>
      </c>
      <c r="N1830" s="22" t="str">
        <f t="shared" si="1187"/>
        <v/>
      </c>
      <c r="O1830" s="15" t="str">
        <f t="shared" si="1188"/>
        <v/>
      </c>
      <c r="P1830" s="15" t="str">
        <f t="shared" si="1189"/>
        <v>#</v>
      </c>
      <c r="Q1830" s="15" t="str">
        <f t="shared" si="1190"/>
        <v/>
      </c>
      <c r="R1830" s="16" t="str">
        <f t="shared" si="1191"/>
        <v/>
      </c>
      <c r="S1830" s="8" t="str">
        <f t="shared" si="1192"/>
        <v/>
      </c>
      <c r="T1830" s="2" t="str">
        <f t="shared" si="1193"/>
        <v/>
      </c>
      <c r="U1830" s="2" t="str">
        <f t="shared" si="1194"/>
        <v/>
      </c>
      <c r="V1830" t="str">
        <f t="shared" si="1170"/>
        <v/>
      </c>
      <c r="X1830">
        <f t="shared" si="1197"/>
        <v>0</v>
      </c>
      <c r="Y1830">
        <f t="shared" si="1198"/>
        <v>0</v>
      </c>
      <c r="Z1830">
        <f t="shared" si="1199"/>
        <v>0</v>
      </c>
      <c r="AA1830">
        <f t="shared" si="1200"/>
        <v>0</v>
      </c>
      <c r="AB1830">
        <f t="shared" si="1201"/>
        <v>0</v>
      </c>
      <c r="AC1830">
        <f t="shared" si="1202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6"/>
        <v>|</v>
      </c>
      <c r="M1831">
        <v>6</v>
      </c>
      <c r="N1831" s="23" t="str">
        <f t="shared" si="1187"/>
        <v/>
      </c>
      <c r="O1831" s="7" t="str">
        <f t="shared" si="1188"/>
        <v/>
      </c>
      <c r="P1831" s="7" t="str">
        <f t="shared" si="1189"/>
        <v>#</v>
      </c>
      <c r="Q1831" s="7" t="str">
        <f t="shared" si="1190"/>
        <v/>
      </c>
      <c r="R1831" s="17" t="str">
        <f t="shared" si="1191"/>
        <v/>
      </c>
      <c r="S1831" s="8" t="str">
        <f t="shared" si="1192"/>
        <v/>
      </c>
      <c r="T1831" s="2" t="str">
        <f t="shared" si="1193"/>
        <v/>
      </c>
      <c r="U1831" s="2" t="str">
        <f t="shared" si="1194"/>
        <v/>
      </c>
      <c r="V1831" t="str">
        <f t="shared" si="1170"/>
        <v/>
      </c>
      <c r="X1831">
        <f t="shared" si="1197"/>
        <v>0</v>
      </c>
      <c r="Y1831">
        <f t="shared" si="1198"/>
        <v>0</v>
      </c>
      <c r="Z1831">
        <f t="shared" si="1199"/>
        <v>0</v>
      </c>
      <c r="AA1831">
        <f t="shared" si="1200"/>
        <v>0</v>
      </c>
      <c r="AB1831">
        <f t="shared" si="1201"/>
        <v>0</v>
      </c>
      <c r="AC1831">
        <f t="shared" si="1202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6"/>
        <v>|</v>
      </c>
      <c r="M1832">
        <v>7</v>
      </c>
      <c r="N1832" s="23" t="str">
        <f t="shared" si="1187"/>
        <v/>
      </c>
      <c r="O1832" s="7" t="str">
        <f t="shared" si="1188"/>
        <v/>
      </c>
      <c r="P1832" s="7" t="str">
        <f t="shared" si="1189"/>
        <v>#</v>
      </c>
      <c r="Q1832" s="7" t="str">
        <f t="shared" si="1190"/>
        <v/>
      </c>
      <c r="R1832" s="17" t="str">
        <f t="shared" si="1191"/>
        <v/>
      </c>
      <c r="S1832" s="8" t="str">
        <f t="shared" si="1192"/>
        <v/>
      </c>
      <c r="T1832" s="2" t="str">
        <f t="shared" si="1193"/>
        <v/>
      </c>
      <c r="U1832" s="2" t="str">
        <f t="shared" si="1194"/>
        <v/>
      </c>
      <c r="V1832" t="str">
        <f t="shared" si="1170"/>
        <v/>
      </c>
      <c r="X1832">
        <f t="shared" si="1197"/>
        <v>0</v>
      </c>
      <c r="Y1832">
        <f t="shared" si="1198"/>
        <v>0</v>
      </c>
      <c r="Z1832">
        <f t="shared" si="1199"/>
        <v>0</v>
      </c>
      <c r="AA1832">
        <f t="shared" si="1200"/>
        <v>0</v>
      </c>
      <c r="AB1832">
        <f t="shared" si="1201"/>
        <v>0</v>
      </c>
      <c r="AC1832">
        <f t="shared" si="1202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6"/>
        <v>|</v>
      </c>
      <c r="M1833">
        <v>8</v>
      </c>
      <c r="N1833" s="23" t="str">
        <f t="shared" si="1187"/>
        <v/>
      </c>
      <c r="O1833" s="7" t="str">
        <f t="shared" si="1188"/>
        <v/>
      </c>
      <c r="P1833" s="7" t="str">
        <f t="shared" si="1189"/>
        <v/>
      </c>
      <c r="Q1833" s="7" t="str">
        <f t="shared" si="1190"/>
        <v/>
      </c>
      <c r="R1833" s="17" t="str">
        <f t="shared" si="1191"/>
        <v/>
      </c>
      <c r="S1833" s="8" t="str">
        <f t="shared" si="1192"/>
        <v/>
      </c>
      <c r="T1833" s="2" t="str">
        <f t="shared" si="1193"/>
        <v/>
      </c>
      <c r="U1833" s="2" t="str">
        <f t="shared" si="1194"/>
        <v/>
      </c>
      <c r="V1833" t="str">
        <f t="shared" si="1170"/>
        <v/>
      </c>
      <c r="X1833">
        <f t="shared" si="1197"/>
        <v>0</v>
      </c>
      <c r="Y1833">
        <f t="shared" si="1198"/>
        <v>0</v>
      </c>
      <c r="Z1833">
        <f t="shared" si="1199"/>
        <v>0</v>
      </c>
      <c r="AA1833">
        <f t="shared" si="1200"/>
        <v>0</v>
      </c>
      <c r="AB1833">
        <f t="shared" si="1201"/>
        <v>0</v>
      </c>
      <c r="AC1833">
        <f t="shared" si="1202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6"/>
        <v>|</v>
      </c>
      <c r="M1834">
        <v>9</v>
      </c>
      <c r="N1834" s="23" t="str">
        <f t="shared" si="1187"/>
        <v/>
      </c>
      <c r="O1834" s="7" t="str">
        <f t="shared" si="1188"/>
        <v/>
      </c>
      <c r="P1834" s="7" t="str">
        <f t="shared" si="1189"/>
        <v/>
      </c>
      <c r="Q1834" s="7" t="str">
        <f t="shared" si="1190"/>
        <v/>
      </c>
      <c r="R1834" s="17" t="str">
        <f t="shared" si="1191"/>
        <v/>
      </c>
      <c r="S1834" s="8" t="str">
        <f t="shared" si="1192"/>
        <v/>
      </c>
      <c r="T1834" s="2" t="str">
        <f t="shared" si="1193"/>
        <v/>
      </c>
      <c r="U1834" s="2" t="str">
        <f t="shared" si="1194"/>
        <v/>
      </c>
      <c r="V1834" t="str">
        <f t="shared" si="1170"/>
        <v/>
      </c>
      <c r="X1834">
        <f t="shared" si="1197"/>
        <v>0</v>
      </c>
      <c r="Y1834">
        <f t="shared" si="1198"/>
        <v>0</v>
      </c>
      <c r="Z1834">
        <f t="shared" si="1199"/>
        <v>0</v>
      </c>
      <c r="AA1834">
        <f t="shared" si="1200"/>
        <v>0</v>
      </c>
      <c r="AB1834">
        <f t="shared" si="1201"/>
        <v>0</v>
      </c>
      <c r="AC1834">
        <f t="shared" si="1202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6"/>
        <v>|</v>
      </c>
      <c r="M1835">
        <v>10</v>
      </c>
      <c r="N1835" s="23" t="str">
        <f t="shared" si="1187"/>
        <v/>
      </c>
      <c r="O1835" s="7" t="str">
        <f t="shared" si="1188"/>
        <v/>
      </c>
      <c r="P1835" s="7" t="str">
        <f t="shared" si="1189"/>
        <v/>
      </c>
      <c r="Q1835" s="7" t="str">
        <f t="shared" si="1190"/>
        <v/>
      </c>
      <c r="R1835" s="17" t="str">
        <f t="shared" si="1191"/>
        <v/>
      </c>
      <c r="S1835" s="8" t="str">
        <f t="shared" si="1192"/>
        <v/>
      </c>
      <c r="T1835" s="2" t="str">
        <f t="shared" si="1193"/>
        <v/>
      </c>
      <c r="U1835" s="2" t="str">
        <f t="shared" si="1194"/>
        <v/>
      </c>
      <c r="V1835" t="str">
        <f t="shared" si="1170"/>
        <v/>
      </c>
      <c r="X1835">
        <f t="shared" si="1197"/>
        <v>0</v>
      </c>
      <c r="Y1835">
        <f t="shared" si="1198"/>
        <v>0</v>
      </c>
      <c r="Z1835">
        <f t="shared" si="1199"/>
        <v>0</v>
      </c>
      <c r="AA1835">
        <f t="shared" si="1200"/>
        <v>0</v>
      </c>
      <c r="AB1835">
        <f t="shared" si="1201"/>
        <v>0</v>
      </c>
      <c r="AC1835">
        <f t="shared" si="1202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6"/>
        <v>|</v>
      </c>
      <c r="M1836">
        <v>11</v>
      </c>
      <c r="N1836" s="23" t="str">
        <f t="shared" si="1187"/>
        <v/>
      </c>
      <c r="O1836" s="7" t="str">
        <f t="shared" si="1188"/>
        <v/>
      </c>
      <c r="P1836" s="7" t="str">
        <f t="shared" si="1189"/>
        <v/>
      </c>
      <c r="Q1836" s="7" t="str">
        <f t="shared" si="1190"/>
        <v/>
      </c>
      <c r="R1836" s="17" t="str">
        <f t="shared" si="1191"/>
        <v/>
      </c>
      <c r="S1836" s="8" t="str">
        <f t="shared" si="1192"/>
        <v/>
      </c>
      <c r="T1836" s="2" t="str">
        <f t="shared" si="1193"/>
        <v/>
      </c>
      <c r="U1836" s="2" t="str">
        <f t="shared" si="1194"/>
        <v/>
      </c>
      <c r="V1836" t="str">
        <f t="shared" si="1170"/>
        <v/>
      </c>
      <c r="X1836">
        <f t="shared" si="1197"/>
        <v>0</v>
      </c>
      <c r="Y1836">
        <f t="shared" si="1198"/>
        <v>0</v>
      </c>
      <c r="Z1836">
        <f t="shared" si="1199"/>
        <v>0</v>
      </c>
      <c r="AA1836">
        <f t="shared" si="1200"/>
        <v>0</v>
      </c>
      <c r="AB1836">
        <f t="shared" si="1201"/>
        <v>0</v>
      </c>
      <c r="AC1836">
        <f t="shared" si="1202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6"/>
        <v>|</v>
      </c>
      <c r="M1837">
        <v>12</v>
      </c>
      <c r="N1837" s="23" t="str">
        <f t="shared" si="1187"/>
        <v/>
      </c>
      <c r="O1837" s="7" t="str">
        <f t="shared" si="1188"/>
        <v/>
      </c>
      <c r="P1837" s="7" t="str">
        <f t="shared" si="1189"/>
        <v>#</v>
      </c>
      <c r="Q1837" s="7" t="str">
        <f t="shared" si="1190"/>
        <v/>
      </c>
      <c r="R1837" s="17" t="str">
        <f t="shared" si="1191"/>
        <v/>
      </c>
      <c r="S1837" s="8" t="str">
        <f t="shared" si="1192"/>
        <v/>
      </c>
      <c r="T1837" s="2" t="str">
        <f t="shared" si="1193"/>
        <v/>
      </c>
      <c r="U1837" s="2" t="str">
        <f t="shared" si="1194"/>
        <v/>
      </c>
      <c r="V1837" t="str">
        <f t="shared" si="1170"/>
        <v/>
      </c>
      <c r="X1837">
        <f t="shared" si="1197"/>
        <v>0</v>
      </c>
      <c r="Y1837">
        <f t="shared" si="1198"/>
        <v>0</v>
      </c>
      <c r="Z1837">
        <f t="shared" si="1199"/>
        <v>1</v>
      </c>
      <c r="AA1837">
        <f t="shared" si="1200"/>
        <v>0</v>
      </c>
      <c r="AB1837">
        <f t="shared" si="1201"/>
        <v>0</v>
      </c>
      <c r="AC1837">
        <f t="shared" si="1202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6"/>
        <v>|</v>
      </c>
      <c r="M1838">
        <v>13</v>
      </c>
      <c r="N1838" s="6" t="str">
        <f t="shared" si="1187"/>
        <v/>
      </c>
      <c r="O1838" s="7" t="str">
        <f t="shared" si="1188"/>
        <v/>
      </c>
      <c r="P1838" s="7" t="str">
        <f t="shared" si="1189"/>
        <v>#</v>
      </c>
      <c r="Q1838" s="7" t="str">
        <f t="shared" si="1190"/>
        <v/>
      </c>
      <c r="R1838" s="17" t="str">
        <f t="shared" si="1191"/>
        <v/>
      </c>
      <c r="S1838" s="8" t="str">
        <f t="shared" si="1192"/>
        <v/>
      </c>
      <c r="T1838" s="2" t="str">
        <f t="shared" si="1193"/>
        <v/>
      </c>
      <c r="U1838" s="2" t="str">
        <f t="shared" si="1194"/>
        <v/>
      </c>
      <c r="V1838" t="str">
        <f t="shared" si="1170"/>
        <v/>
      </c>
      <c r="X1838">
        <f t="shared" si="1197"/>
        <v>0</v>
      </c>
      <c r="Y1838">
        <f t="shared" si="1198"/>
        <v>0</v>
      </c>
      <c r="Z1838">
        <f t="shared" si="1199"/>
        <v>0</v>
      </c>
      <c r="AA1838">
        <f t="shared" si="1200"/>
        <v>0</v>
      </c>
      <c r="AB1838">
        <f t="shared" si="1201"/>
        <v>0</v>
      </c>
      <c r="AC1838">
        <f t="shared" si="1202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6"/>
        <v>|</v>
      </c>
      <c r="M1839">
        <v>14</v>
      </c>
      <c r="N1839" s="18" t="str">
        <f t="shared" si="1187"/>
        <v/>
      </c>
      <c r="O1839" s="19" t="str">
        <f t="shared" si="1188"/>
        <v/>
      </c>
      <c r="P1839" s="19" t="str">
        <f t="shared" si="1189"/>
        <v>#</v>
      </c>
      <c r="Q1839" s="19" t="str">
        <f t="shared" si="1190"/>
        <v/>
      </c>
      <c r="R1839" s="20" t="str">
        <f t="shared" si="1191"/>
        <v/>
      </c>
      <c r="S1839" s="8" t="str">
        <f t="shared" si="1192"/>
        <v/>
      </c>
      <c r="T1839" s="2" t="str">
        <f t="shared" si="1193"/>
        <v/>
      </c>
      <c r="U1839" s="2" t="str">
        <f t="shared" si="1194"/>
        <v/>
      </c>
      <c r="V1839" t="str">
        <f t="shared" si="1170"/>
        <v/>
      </c>
      <c r="X1839">
        <f t="shared" si="1197"/>
        <v>0</v>
      </c>
      <c r="Y1839">
        <f t="shared" si="1198"/>
        <v>0</v>
      </c>
      <c r="Z1839">
        <f t="shared" si="1199"/>
        <v>0</v>
      </c>
      <c r="AA1839">
        <f t="shared" si="1200"/>
        <v>0</v>
      </c>
      <c r="AB1839">
        <f t="shared" si="1201"/>
        <v>0</v>
      </c>
      <c r="AC1839">
        <f t="shared" si="1202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6"/>
        <v>|</v>
      </c>
      <c r="M1840">
        <v>15</v>
      </c>
      <c r="N1840" s="9" t="str">
        <f t="shared" si="1187"/>
        <v/>
      </c>
      <c r="O1840" s="10" t="str">
        <f t="shared" si="1188"/>
        <v/>
      </c>
      <c r="P1840" s="10" t="str">
        <f t="shared" si="1189"/>
        <v>#</v>
      </c>
      <c r="Q1840" s="10" t="str">
        <f t="shared" si="1190"/>
        <v/>
      </c>
      <c r="R1840" s="10" t="str">
        <f t="shared" si="1191"/>
        <v/>
      </c>
      <c r="S1840" s="11" t="str">
        <f t="shared" si="1192"/>
        <v/>
      </c>
      <c r="T1840" s="2" t="str">
        <f t="shared" si="1193"/>
        <v/>
      </c>
      <c r="U1840" s="2" t="str">
        <f t="shared" si="1194"/>
        <v/>
      </c>
      <c r="V1840" t="str">
        <f t="shared" si="1170"/>
        <v/>
      </c>
      <c r="X1840">
        <f t="shared" si="1197"/>
        <v>0</v>
      </c>
      <c r="Y1840">
        <f t="shared" si="1198"/>
        <v>0</v>
      </c>
      <c r="Z1840">
        <f t="shared" si="1199"/>
        <v>0</v>
      </c>
      <c r="AA1840">
        <f t="shared" si="1200"/>
        <v>0</v>
      </c>
      <c r="AB1840">
        <f t="shared" si="1201"/>
        <v>0</v>
      </c>
      <c r="AC1840">
        <f t="shared" si="1202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6"/>
        <v>|</v>
      </c>
      <c r="M1841">
        <v>16</v>
      </c>
      <c r="N1841" s="12" t="str">
        <f t="shared" si="1187"/>
        <v/>
      </c>
      <c r="O1841" s="13" t="str">
        <f t="shared" si="1188"/>
        <v/>
      </c>
      <c r="P1841" s="13" t="str">
        <f t="shared" si="1189"/>
        <v/>
      </c>
      <c r="Q1841" s="13" t="str">
        <f t="shared" si="1190"/>
        <v/>
      </c>
      <c r="R1841" s="13" t="str">
        <f t="shared" si="1191"/>
        <v/>
      </c>
      <c r="S1841" s="14" t="str">
        <f t="shared" si="1192"/>
        <v/>
      </c>
      <c r="T1841" s="2" t="str">
        <f t="shared" si="1193"/>
        <v/>
      </c>
      <c r="U1841" s="2" t="str">
        <f t="shared" si="1194"/>
        <v/>
      </c>
      <c r="V1841" t="str">
        <f t="shared" si="1170"/>
        <v/>
      </c>
      <c r="X1841">
        <f t="shared" si="1197"/>
        <v>0</v>
      </c>
      <c r="Y1841">
        <f t="shared" si="1198"/>
        <v>0</v>
      </c>
      <c r="Z1841">
        <f t="shared" si="1199"/>
        <v>0</v>
      </c>
      <c r="AA1841">
        <f t="shared" si="1200"/>
        <v>0</v>
      </c>
      <c r="AB1841">
        <f t="shared" si="1201"/>
        <v>0</v>
      </c>
      <c r="AC1841">
        <f t="shared" si="1202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7"/>
        <v/>
      </c>
      <c r="O1842" t="str">
        <f t="shared" si="1188"/>
        <v/>
      </c>
      <c r="P1842" t="str">
        <f t="shared" si="1189"/>
        <v/>
      </c>
      <c r="Q1842" t="str">
        <f t="shared" si="1190"/>
        <v/>
      </c>
      <c r="R1842" t="str">
        <f t="shared" si="1191"/>
        <v/>
      </c>
      <c r="S1842" t="str">
        <f t="shared" si="1192"/>
        <v/>
      </c>
      <c r="T1842" s="2" t="str">
        <f t="shared" si="1193"/>
        <v/>
      </c>
      <c r="U1842" s="2" t="str">
        <f t="shared" si="1194"/>
        <v/>
      </c>
      <c r="V1842" t="str">
        <f t="shared" si="1170"/>
        <v/>
      </c>
      <c r="W1842">
        <f>SUM(B1844:G1857)</f>
        <v>16</v>
      </c>
      <c r="AD1842">
        <f t="shared" ref="AD1842" si="1203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204">L1842</f>
        <v>}</v>
      </c>
      <c r="M1843">
        <v>2</v>
      </c>
      <c r="N1843" t="str">
        <f t="shared" si="1187"/>
        <v/>
      </c>
      <c r="O1843" t="str">
        <f t="shared" si="1188"/>
        <v/>
      </c>
      <c r="P1843" t="str">
        <f t="shared" si="1189"/>
        <v/>
      </c>
      <c r="Q1843" t="str">
        <f t="shared" si="1190"/>
        <v/>
      </c>
      <c r="R1843" t="str">
        <f t="shared" si="1191"/>
        <v/>
      </c>
      <c r="S1843" t="str">
        <f t="shared" si="1192"/>
        <v/>
      </c>
      <c r="T1843" s="2" t="str">
        <f t="shared" si="1193"/>
        <v/>
      </c>
      <c r="U1843" s="2" t="str">
        <f t="shared" si="1194"/>
        <v/>
      </c>
      <c r="V1843" t="str">
        <f t="shared" si="1170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204"/>
        <v>}</v>
      </c>
      <c r="M1844">
        <v>3</v>
      </c>
      <c r="N1844" s="3" t="str">
        <f t="shared" si="1187"/>
        <v/>
      </c>
      <c r="O1844" s="4" t="str">
        <f t="shared" si="1188"/>
        <v/>
      </c>
      <c r="P1844" s="4" t="str">
        <f t="shared" si="1189"/>
        <v/>
      </c>
      <c r="Q1844" s="4" t="str">
        <f t="shared" si="1190"/>
        <v/>
      </c>
      <c r="R1844" s="4" t="str">
        <f t="shared" si="1191"/>
        <v/>
      </c>
      <c r="S1844" s="5" t="str">
        <f t="shared" si="1192"/>
        <v/>
      </c>
      <c r="T1844" s="2" t="str">
        <f t="shared" si="1193"/>
        <v/>
      </c>
      <c r="U1844" s="2" t="str">
        <f t="shared" si="1194"/>
        <v/>
      </c>
      <c r="V1844" t="str">
        <f t="shared" si="1170"/>
        <v/>
      </c>
      <c r="X1844">
        <f t="shared" ref="X1844:X1857" si="1205">MAX(B1844-B1843,0)</f>
        <v>0</v>
      </c>
      <c r="Y1844">
        <f t="shared" ref="Y1844:Y1857" si="1206">MAX(C1844-C1843,0)</f>
        <v>0</v>
      </c>
      <c r="Z1844">
        <f t="shared" ref="Z1844:Z1857" si="1207">MAX(D1844-D1843,0)</f>
        <v>0</v>
      </c>
      <c r="AA1844">
        <f t="shared" ref="AA1844:AA1857" si="1208">MAX(E1844-E1843,0)</f>
        <v>0</v>
      </c>
      <c r="AB1844">
        <f t="shared" ref="AB1844:AB1857" si="1209">MAX(F1844-F1843,0)</f>
        <v>0</v>
      </c>
      <c r="AC1844">
        <f t="shared" ref="AC1844:AC1857" si="1210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204"/>
        <v>}</v>
      </c>
      <c r="M1845">
        <v>4</v>
      </c>
      <c r="N1845" s="6" t="str">
        <f t="shared" si="1187"/>
        <v>#</v>
      </c>
      <c r="O1845" s="7" t="str">
        <f t="shared" si="1188"/>
        <v/>
      </c>
      <c r="P1845" s="7" t="str">
        <f t="shared" si="1189"/>
        <v/>
      </c>
      <c r="Q1845" s="7" t="str">
        <f t="shared" si="1190"/>
        <v/>
      </c>
      <c r="R1845" s="7" t="str">
        <f t="shared" si="1191"/>
        <v/>
      </c>
      <c r="S1845" s="8" t="str">
        <f t="shared" si="1192"/>
        <v/>
      </c>
      <c r="T1845" s="2" t="str">
        <f t="shared" si="1193"/>
        <v/>
      </c>
      <c r="U1845" s="2" t="str">
        <f t="shared" si="1194"/>
        <v/>
      </c>
      <c r="V1845" t="str">
        <f t="shared" si="1170"/>
        <v/>
      </c>
      <c r="X1845">
        <f t="shared" si="1205"/>
        <v>1</v>
      </c>
      <c r="Y1845">
        <f t="shared" si="1206"/>
        <v>0</v>
      </c>
      <c r="Z1845">
        <f t="shared" si="1207"/>
        <v>0</v>
      </c>
      <c r="AA1845">
        <f t="shared" si="1208"/>
        <v>0</v>
      </c>
      <c r="AB1845">
        <f t="shared" si="1209"/>
        <v>0</v>
      </c>
      <c r="AC1845">
        <f t="shared" si="1210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204"/>
        <v>}</v>
      </c>
      <c r="M1846">
        <v>5</v>
      </c>
      <c r="N1846" s="22" t="str">
        <f t="shared" si="1187"/>
        <v>#</v>
      </c>
      <c r="O1846" s="15" t="str">
        <f t="shared" si="1188"/>
        <v>#</v>
      </c>
      <c r="P1846" s="15" t="str">
        <f t="shared" si="1189"/>
        <v/>
      </c>
      <c r="Q1846" s="15" t="str">
        <f t="shared" si="1190"/>
        <v/>
      </c>
      <c r="R1846" s="16" t="str">
        <f t="shared" si="1191"/>
        <v/>
      </c>
      <c r="S1846" s="8" t="str">
        <f t="shared" si="1192"/>
        <v/>
      </c>
      <c r="T1846" s="2" t="str">
        <f t="shared" si="1193"/>
        <v/>
      </c>
      <c r="U1846" s="2" t="str">
        <f t="shared" si="1194"/>
        <v/>
      </c>
      <c r="V1846" t="str">
        <f t="shared" si="1170"/>
        <v/>
      </c>
      <c r="X1846">
        <f t="shared" si="1205"/>
        <v>0</v>
      </c>
      <c r="Y1846">
        <f t="shared" si="1206"/>
        <v>1</v>
      </c>
      <c r="Z1846">
        <f t="shared" si="1207"/>
        <v>0</v>
      </c>
      <c r="AA1846">
        <f t="shared" si="1208"/>
        <v>0</v>
      </c>
      <c r="AB1846">
        <f t="shared" si="1209"/>
        <v>0</v>
      </c>
      <c r="AC1846">
        <f t="shared" si="1210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204"/>
        <v>}</v>
      </c>
      <c r="M1847">
        <v>6</v>
      </c>
      <c r="N1847" s="23" t="str">
        <f t="shared" si="1187"/>
        <v/>
      </c>
      <c r="O1847" s="7" t="str">
        <f t="shared" si="1188"/>
        <v>#</v>
      </c>
      <c r="P1847" s="7" t="str">
        <f t="shared" si="1189"/>
        <v/>
      </c>
      <c r="Q1847" s="7" t="str">
        <f t="shared" si="1190"/>
        <v/>
      </c>
      <c r="R1847" s="17" t="str">
        <f t="shared" si="1191"/>
        <v/>
      </c>
      <c r="S1847" s="8" t="str">
        <f t="shared" si="1192"/>
        <v/>
      </c>
      <c r="T1847" s="2" t="str">
        <f t="shared" si="1193"/>
        <v/>
      </c>
      <c r="U1847" s="2" t="str">
        <f t="shared" si="1194"/>
        <v/>
      </c>
      <c r="V1847" t="str">
        <f t="shared" si="1170"/>
        <v/>
      </c>
      <c r="X1847">
        <f t="shared" si="1205"/>
        <v>0</v>
      </c>
      <c r="Y1847">
        <f t="shared" si="1206"/>
        <v>0</v>
      </c>
      <c r="Z1847">
        <f t="shared" si="1207"/>
        <v>0</v>
      </c>
      <c r="AA1847">
        <f t="shared" si="1208"/>
        <v>0</v>
      </c>
      <c r="AB1847">
        <f t="shared" si="1209"/>
        <v>0</v>
      </c>
      <c r="AC1847">
        <f t="shared" si="1210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204"/>
        <v>}</v>
      </c>
      <c r="M1848">
        <v>7</v>
      </c>
      <c r="N1848" s="23" t="str">
        <f t="shared" si="1187"/>
        <v/>
      </c>
      <c r="O1848" s="7" t="str">
        <f t="shared" si="1188"/>
        <v>#</v>
      </c>
      <c r="P1848" s="7" t="str">
        <f t="shared" si="1189"/>
        <v/>
      </c>
      <c r="Q1848" s="7" t="str">
        <f t="shared" si="1190"/>
        <v/>
      </c>
      <c r="R1848" s="17" t="str">
        <f t="shared" si="1191"/>
        <v/>
      </c>
      <c r="S1848" s="8" t="str">
        <f t="shared" si="1192"/>
        <v/>
      </c>
      <c r="T1848" s="2" t="str">
        <f t="shared" si="1193"/>
        <v/>
      </c>
      <c r="U1848" s="2" t="str">
        <f t="shared" si="1194"/>
        <v/>
      </c>
      <c r="V1848" t="str">
        <f t="shared" si="1170"/>
        <v/>
      </c>
      <c r="X1848">
        <f t="shared" si="1205"/>
        <v>0</v>
      </c>
      <c r="Y1848">
        <f t="shared" si="1206"/>
        <v>0</v>
      </c>
      <c r="Z1848">
        <f t="shared" si="1207"/>
        <v>0</v>
      </c>
      <c r="AA1848">
        <f t="shared" si="1208"/>
        <v>0</v>
      </c>
      <c r="AB1848">
        <f t="shared" si="1209"/>
        <v>0</v>
      </c>
      <c r="AC1848">
        <f t="shared" si="1210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204"/>
        <v>}</v>
      </c>
      <c r="M1849">
        <v>8</v>
      </c>
      <c r="N1849" s="23" t="str">
        <f t="shared" si="1187"/>
        <v/>
      </c>
      <c r="O1849" s="7" t="str">
        <f t="shared" si="1188"/>
        <v>#</v>
      </c>
      <c r="P1849" s="7" t="str">
        <f t="shared" si="1189"/>
        <v/>
      </c>
      <c r="Q1849" s="7" t="str">
        <f t="shared" si="1190"/>
        <v/>
      </c>
      <c r="R1849" s="17" t="str">
        <f t="shared" si="1191"/>
        <v/>
      </c>
      <c r="S1849" s="8" t="str">
        <f t="shared" si="1192"/>
        <v/>
      </c>
      <c r="T1849" s="2" t="str">
        <f t="shared" si="1193"/>
        <v/>
      </c>
      <c r="U1849" s="2" t="str">
        <f t="shared" si="1194"/>
        <v/>
      </c>
      <c r="V1849" t="str">
        <f t="shared" si="1170"/>
        <v/>
      </c>
      <c r="X1849">
        <f t="shared" si="1205"/>
        <v>0</v>
      </c>
      <c r="Y1849">
        <f t="shared" si="1206"/>
        <v>0</v>
      </c>
      <c r="Z1849">
        <f t="shared" si="1207"/>
        <v>0</v>
      </c>
      <c r="AA1849">
        <f t="shared" si="1208"/>
        <v>0</v>
      </c>
      <c r="AB1849">
        <f t="shared" si="1209"/>
        <v>0</v>
      </c>
      <c r="AC1849">
        <f t="shared" si="1210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204"/>
        <v>}</v>
      </c>
      <c r="M1850">
        <v>9</v>
      </c>
      <c r="N1850" s="23" t="str">
        <f t="shared" si="1187"/>
        <v/>
      </c>
      <c r="O1850" s="7" t="str">
        <f t="shared" si="1188"/>
        <v>#</v>
      </c>
      <c r="P1850" s="7" t="str">
        <f t="shared" si="1189"/>
        <v>#</v>
      </c>
      <c r="Q1850" s="7" t="str">
        <f t="shared" si="1190"/>
        <v/>
      </c>
      <c r="R1850" s="17" t="str">
        <f t="shared" si="1191"/>
        <v/>
      </c>
      <c r="S1850" s="8" t="str">
        <f t="shared" si="1192"/>
        <v/>
      </c>
      <c r="T1850" s="2" t="str">
        <f t="shared" si="1193"/>
        <v/>
      </c>
      <c r="U1850" s="2" t="str">
        <f t="shared" si="1194"/>
        <v/>
      </c>
      <c r="V1850" t="str">
        <f t="shared" si="1170"/>
        <v/>
      </c>
      <c r="X1850">
        <f t="shared" si="1205"/>
        <v>0</v>
      </c>
      <c r="Y1850">
        <f t="shared" si="1206"/>
        <v>0</v>
      </c>
      <c r="Z1850">
        <f t="shared" si="1207"/>
        <v>1</v>
      </c>
      <c r="AA1850">
        <f t="shared" si="1208"/>
        <v>0</v>
      </c>
      <c r="AB1850">
        <f t="shared" si="1209"/>
        <v>0</v>
      </c>
      <c r="AC1850">
        <f t="shared" si="1210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204"/>
        <v>}</v>
      </c>
      <c r="M1851">
        <v>10</v>
      </c>
      <c r="N1851" s="23" t="str">
        <f t="shared" si="1187"/>
        <v/>
      </c>
      <c r="O1851" s="7" t="str">
        <f t="shared" si="1188"/>
        <v>#</v>
      </c>
      <c r="P1851" s="7" t="str">
        <f t="shared" si="1189"/>
        <v>#</v>
      </c>
      <c r="Q1851" s="7" t="str">
        <f t="shared" si="1190"/>
        <v/>
      </c>
      <c r="R1851" s="17" t="str">
        <f t="shared" si="1191"/>
        <v/>
      </c>
      <c r="S1851" s="8" t="str">
        <f t="shared" si="1192"/>
        <v/>
      </c>
      <c r="T1851" s="2" t="str">
        <f t="shared" si="1193"/>
        <v/>
      </c>
      <c r="U1851" s="2" t="str">
        <f t="shared" si="1194"/>
        <v/>
      </c>
      <c r="V1851" t="str">
        <f t="shared" si="1170"/>
        <v/>
      </c>
      <c r="X1851">
        <f t="shared" si="1205"/>
        <v>0</v>
      </c>
      <c r="Y1851">
        <f t="shared" si="1206"/>
        <v>0</v>
      </c>
      <c r="Z1851">
        <f t="shared" si="1207"/>
        <v>0</v>
      </c>
      <c r="AA1851">
        <f t="shared" si="1208"/>
        <v>0</v>
      </c>
      <c r="AB1851">
        <f t="shared" si="1209"/>
        <v>0</v>
      </c>
      <c r="AC1851">
        <f t="shared" si="1210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204"/>
        <v>}</v>
      </c>
      <c r="M1852">
        <v>11</v>
      </c>
      <c r="N1852" s="23" t="str">
        <f t="shared" si="1187"/>
        <v/>
      </c>
      <c r="O1852" s="7" t="str">
        <f t="shared" si="1188"/>
        <v>#</v>
      </c>
      <c r="P1852" s="7" t="str">
        <f t="shared" si="1189"/>
        <v/>
      </c>
      <c r="Q1852" s="7" t="str">
        <f t="shared" si="1190"/>
        <v/>
      </c>
      <c r="R1852" s="17" t="str">
        <f t="shared" si="1191"/>
        <v/>
      </c>
      <c r="S1852" s="8" t="str">
        <f t="shared" si="1192"/>
        <v/>
      </c>
      <c r="T1852" s="2" t="str">
        <f t="shared" si="1193"/>
        <v/>
      </c>
      <c r="U1852" s="2" t="str">
        <f t="shared" si="1194"/>
        <v/>
      </c>
      <c r="V1852" t="str">
        <f t="shared" si="1170"/>
        <v/>
      </c>
      <c r="X1852">
        <f t="shared" si="1205"/>
        <v>0</v>
      </c>
      <c r="Y1852">
        <f t="shared" si="1206"/>
        <v>0</v>
      </c>
      <c r="Z1852">
        <f t="shared" si="1207"/>
        <v>0</v>
      </c>
      <c r="AA1852">
        <f t="shared" si="1208"/>
        <v>0</v>
      </c>
      <c r="AB1852">
        <f t="shared" si="1209"/>
        <v>0</v>
      </c>
      <c r="AC1852">
        <f t="shared" si="1210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204"/>
        <v>}</v>
      </c>
      <c r="M1853">
        <v>12</v>
      </c>
      <c r="N1853" s="23" t="str">
        <f t="shared" si="1187"/>
        <v/>
      </c>
      <c r="O1853" s="7" t="str">
        <f t="shared" si="1188"/>
        <v>#</v>
      </c>
      <c r="P1853" s="7" t="str">
        <f t="shared" si="1189"/>
        <v/>
      </c>
      <c r="Q1853" s="7" t="str">
        <f t="shared" si="1190"/>
        <v/>
      </c>
      <c r="R1853" s="17" t="str">
        <f t="shared" si="1191"/>
        <v/>
      </c>
      <c r="S1853" s="8" t="str">
        <f t="shared" si="1192"/>
        <v/>
      </c>
      <c r="T1853" s="2" t="str">
        <f t="shared" si="1193"/>
        <v/>
      </c>
      <c r="U1853" s="2" t="str">
        <f t="shared" si="1194"/>
        <v/>
      </c>
      <c r="V1853" t="str">
        <f t="shared" si="1170"/>
        <v/>
      </c>
      <c r="X1853">
        <f t="shared" si="1205"/>
        <v>0</v>
      </c>
      <c r="Y1853">
        <f t="shared" si="1206"/>
        <v>0</v>
      </c>
      <c r="Z1853">
        <f t="shared" si="1207"/>
        <v>0</v>
      </c>
      <c r="AA1853">
        <f t="shared" si="1208"/>
        <v>0</v>
      </c>
      <c r="AB1853">
        <f t="shared" si="1209"/>
        <v>0</v>
      </c>
      <c r="AC1853">
        <f t="shared" si="1210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204"/>
        <v>}</v>
      </c>
      <c r="M1854">
        <v>13</v>
      </c>
      <c r="N1854" s="6" t="str">
        <f t="shared" si="1187"/>
        <v/>
      </c>
      <c r="O1854" s="7" t="str">
        <f t="shared" si="1188"/>
        <v>#</v>
      </c>
      <c r="P1854" s="7" t="str">
        <f t="shared" si="1189"/>
        <v/>
      </c>
      <c r="Q1854" s="7" t="str">
        <f t="shared" si="1190"/>
        <v/>
      </c>
      <c r="R1854" s="17" t="str">
        <f t="shared" si="1191"/>
        <v/>
      </c>
      <c r="S1854" s="8" t="str">
        <f t="shared" si="1192"/>
        <v/>
      </c>
      <c r="T1854" s="2" t="str">
        <f t="shared" si="1193"/>
        <v/>
      </c>
      <c r="U1854" s="2" t="str">
        <f t="shared" si="1194"/>
        <v/>
      </c>
      <c r="V1854" t="str">
        <f t="shared" si="1170"/>
        <v/>
      </c>
      <c r="X1854">
        <f t="shared" si="1205"/>
        <v>0</v>
      </c>
      <c r="Y1854">
        <f t="shared" si="1206"/>
        <v>0</v>
      </c>
      <c r="Z1854">
        <f t="shared" si="1207"/>
        <v>0</v>
      </c>
      <c r="AA1854">
        <f t="shared" si="1208"/>
        <v>0</v>
      </c>
      <c r="AB1854">
        <f t="shared" si="1209"/>
        <v>0</v>
      </c>
      <c r="AC1854">
        <f t="shared" si="1210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204"/>
        <v>}</v>
      </c>
      <c r="M1855">
        <v>14</v>
      </c>
      <c r="N1855" s="18" t="str">
        <f t="shared" si="1187"/>
        <v>#</v>
      </c>
      <c r="O1855" s="19" t="str">
        <f t="shared" si="1188"/>
        <v>#</v>
      </c>
      <c r="P1855" s="19" t="str">
        <f t="shared" si="1189"/>
        <v/>
      </c>
      <c r="Q1855" s="19" t="str">
        <f t="shared" si="1190"/>
        <v/>
      </c>
      <c r="R1855" s="20" t="str">
        <f t="shared" si="1191"/>
        <v/>
      </c>
      <c r="S1855" s="8" t="str">
        <f t="shared" si="1192"/>
        <v/>
      </c>
      <c r="T1855" s="2" t="str">
        <f t="shared" si="1193"/>
        <v/>
      </c>
      <c r="U1855" s="2" t="str">
        <f t="shared" si="1194"/>
        <v/>
      </c>
      <c r="V1855" t="str">
        <f t="shared" si="1170"/>
        <v/>
      </c>
      <c r="X1855">
        <f t="shared" si="1205"/>
        <v>1</v>
      </c>
      <c r="Y1855">
        <f t="shared" si="1206"/>
        <v>0</v>
      </c>
      <c r="Z1855">
        <f t="shared" si="1207"/>
        <v>0</v>
      </c>
      <c r="AA1855">
        <f t="shared" si="1208"/>
        <v>0</v>
      </c>
      <c r="AB1855">
        <f t="shared" si="1209"/>
        <v>0</v>
      </c>
      <c r="AC1855">
        <f t="shared" si="1210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204"/>
        <v>}</v>
      </c>
      <c r="M1856">
        <v>15</v>
      </c>
      <c r="N1856" s="9" t="str">
        <f t="shared" si="1187"/>
        <v>#</v>
      </c>
      <c r="O1856" s="10" t="str">
        <f t="shared" si="1188"/>
        <v/>
      </c>
      <c r="P1856" s="10" t="str">
        <f t="shared" si="1189"/>
        <v/>
      </c>
      <c r="Q1856" s="10" t="str">
        <f t="shared" si="1190"/>
        <v/>
      </c>
      <c r="R1856" s="10" t="str">
        <f t="shared" si="1191"/>
        <v/>
      </c>
      <c r="S1856" s="11" t="str">
        <f t="shared" si="1192"/>
        <v/>
      </c>
      <c r="T1856" s="2" t="str">
        <f t="shared" si="1193"/>
        <v/>
      </c>
      <c r="U1856" s="2" t="str">
        <f t="shared" si="1194"/>
        <v/>
      </c>
      <c r="V1856" t="str">
        <f t="shared" si="1170"/>
        <v/>
      </c>
      <c r="X1856">
        <f t="shared" si="1205"/>
        <v>0</v>
      </c>
      <c r="Y1856">
        <f t="shared" si="1206"/>
        <v>0</v>
      </c>
      <c r="Z1856">
        <f t="shared" si="1207"/>
        <v>0</v>
      </c>
      <c r="AA1856">
        <f t="shared" si="1208"/>
        <v>0</v>
      </c>
      <c r="AB1856">
        <f t="shared" si="1209"/>
        <v>0</v>
      </c>
      <c r="AC1856">
        <f t="shared" si="1210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204"/>
        <v>}</v>
      </c>
      <c r="M1857">
        <v>16</v>
      </c>
      <c r="N1857" s="12" t="str">
        <f t="shared" si="1187"/>
        <v/>
      </c>
      <c r="O1857" s="13" t="str">
        <f t="shared" si="1188"/>
        <v/>
      </c>
      <c r="P1857" s="13" t="str">
        <f t="shared" si="1189"/>
        <v/>
      </c>
      <c r="Q1857" s="13" t="str">
        <f t="shared" si="1190"/>
        <v/>
      </c>
      <c r="R1857" s="13" t="str">
        <f t="shared" si="1191"/>
        <v/>
      </c>
      <c r="S1857" s="14" t="str">
        <f t="shared" si="1192"/>
        <v/>
      </c>
      <c r="T1857" s="2" t="str">
        <f t="shared" si="1193"/>
        <v/>
      </c>
      <c r="U1857" s="2" t="str">
        <f t="shared" si="1194"/>
        <v/>
      </c>
      <c r="V1857" t="str">
        <f t="shared" si="1170"/>
        <v/>
      </c>
      <c r="X1857">
        <f t="shared" si="1205"/>
        <v>0</v>
      </c>
      <c r="Y1857">
        <f t="shared" si="1206"/>
        <v>0</v>
      </c>
      <c r="Z1857">
        <f t="shared" si="1207"/>
        <v>0</v>
      </c>
      <c r="AA1857">
        <f t="shared" si="1208"/>
        <v>0</v>
      </c>
      <c r="AB1857">
        <f t="shared" si="1209"/>
        <v>0</v>
      </c>
      <c r="AC1857">
        <f t="shared" si="1210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7"/>
        <v/>
      </c>
      <c r="O1858" t="str">
        <f t="shared" si="1188"/>
        <v/>
      </c>
      <c r="P1858" t="str">
        <f t="shared" si="1189"/>
        <v/>
      </c>
      <c r="Q1858" t="str">
        <f t="shared" si="1190"/>
        <v/>
      </c>
      <c r="R1858" t="str">
        <f t="shared" si="1191"/>
        <v/>
      </c>
      <c r="S1858" t="str">
        <f t="shared" si="1192"/>
        <v/>
      </c>
      <c r="T1858" s="2" t="str">
        <f t="shared" si="1193"/>
        <v/>
      </c>
      <c r="U1858" s="2" t="str">
        <f t="shared" si="1194"/>
        <v/>
      </c>
      <c r="V1858" t="str">
        <f t="shared" ref="V1858:V1889" si="1211">IF(A1858=0,"",M1858)</f>
        <v/>
      </c>
      <c r="W1858">
        <f>SUM(B1860:G1873)</f>
        <v>10</v>
      </c>
      <c r="AD1858">
        <f t="shared" ref="AD1858" si="1212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13">L1858</f>
        <v>~</v>
      </c>
      <c r="M1859">
        <v>2</v>
      </c>
      <c r="N1859" t="str">
        <f t="shared" si="1187"/>
        <v/>
      </c>
      <c r="O1859" t="str">
        <f t="shared" si="1188"/>
        <v/>
      </c>
      <c r="P1859" t="str">
        <f t="shared" si="1189"/>
        <v/>
      </c>
      <c r="Q1859" t="str">
        <f t="shared" si="1190"/>
        <v/>
      </c>
      <c r="R1859" t="str">
        <f t="shared" si="1191"/>
        <v/>
      </c>
      <c r="S1859" t="str">
        <f t="shared" si="1192"/>
        <v/>
      </c>
      <c r="T1859" s="2" t="str">
        <f t="shared" si="1193"/>
        <v/>
      </c>
      <c r="U1859" s="2" t="str">
        <f t="shared" si="1194"/>
        <v/>
      </c>
      <c r="V1859" t="str">
        <f t="shared" si="1211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13"/>
        <v>~</v>
      </c>
      <c r="M1860">
        <v>3</v>
      </c>
      <c r="N1860" s="3" t="str">
        <f t="shared" si="1187"/>
        <v/>
      </c>
      <c r="O1860" s="4" t="str">
        <f t="shared" si="1188"/>
        <v/>
      </c>
      <c r="P1860" s="4" t="str">
        <f t="shared" si="1189"/>
        <v/>
      </c>
      <c r="Q1860" s="4" t="str">
        <f t="shared" si="1190"/>
        <v/>
      </c>
      <c r="R1860" s="4" t="str">
        <f t="shared" si="1191"/>
        <v/>
      </c>
      <c r="S1860" s="5" t="str">
        <f t="shared" si="1192"/>
        <v/>
      </c>
      <c r="T1860" s="2" t="str">
        <f t="shared" si="1193"/>
        <v/>
      </c>
      <c r="U1860" s="2" t="str">
        <f t="shared" si="1194"/>
        <v/>
      </c>
      <c r="V1860" t="str">
        <f t="shared" si="1211"/>
        <v/>
      </c>
      <c r="X1860">
        <f t="shared" ref="X1860:X1873" si="1214">MAX(B1860-B1859,0)</f>
        <v>0</v>
      </c>
      <c r="Y1860">
        <f t="shared" ref="Y1860:Y1873" si="1215">MAX(C1860-C1859,0)</f>
        <v>0</v>
      </c>
      <c r="Z1860">
        <f t="shared" ref="Z1860:Z1873" si="1216">MAX(D1860-D1859,0)</f>
        <v>0</v>
      </c>
      <c r="AA1860">
        <f t="shared" ref="AA1860:AA1873" si="1217">MAX(E1860-E1859,0)</f>
        <v>0</v>
      </c>
      <c r="AB1860">
        <f t="shared" ref="AB1860:AB1873" si="1218">MAX(F1860-F1859,0)</f>
        <v>0</v>
      </c>
      <c r="AC1860">
        <f t="shared" ref="AC1860:AC1873" si="1219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13"/>
        <v>~</v>
      </c>
      <c r="M1861">
        <v>4</v>
      </c>
      <c r="N1861" s="6" t="str">
        <f t="shared" si="1187"/>
        <v/>
      </c>
      <c r="O1861" s="7" t="str">
        <f t="shared" si="1188"/>
        <v/>
      </c>
      <c r="P1861" s="7" t="str">
        <f t="shared" si="1189"/>
        <v>#</v>
      </c>
      <c r="Q1861" s="7" t="str">
        <f t="shared" si="1190"/>
        <v/>
      </c>
      <c r="R1861" s="7" t="str">
        <f t="shared" si="1191"/>
        <v/>
      </c>
      <c r="S1861" s="8" t="str">
        <f t="shared" si="1192"/>
        <v/>
      </c>
      <c r="T1861" s="2" t="str">
        <f t="shared" si="1193"/>
        <v/>
      </c>
      <c r="U1861" s="2" t="str">
        <f t="shared" si="1194"/>
        <v/>
      </c>
      <c r="V1861" t="str">
        <f t="shared" si="1211"/>
        <v/>
      </c>
      <c r="X1861">
        <f t="shared" si="1214"/>
        <v>0</v>
      </c>
      <c r="Y1861">
        <f t="shared" si="1215"/>
        <v>0</v>
      </c>
      <c r="Z1861">
        <f t="shared" si="1216"/>
        <v>1</v>
      </c>
      <c r="AA1861">
        <f t="shared" si="1217"/>
        <v>0</v>
      </c>
      <c r="AB1861">
        <f t="shared" si="1218"/>
        <v>0</v>
      </c>
      <c r="AC1861">
        <f t="shared" si="1219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13"/>
        <v>~</v>
      </c>
      <c r="M1862">
        <v>5</v>
      </c>
      <c r="N1862" s="22" t="str">
        <f t="shared" si="1187"/>
        <v/>
      </c>
      <c r="O1862" s="15" t="str">
        <f t="shared" si="1188"/>
        <v>#</v>
      </c>
      <c r="P1862" s="15" t="str">
        <f t="shared" si="1189"/>
        <v>#</v>
      </c>
      <c r="Q1862" s="15" t="str">
        <f t="shared" si="1190"/>
        <v>#</v>
      </c>
      <c r="R1862" s="16" t="str">
        <f t="shared" si="1191"/>
        <v/>
      </c>
      <c r="S1862" s="8" t="str">
        <f t="shared" si="1192"/>
        <v/>
      </c>
      <c r="T1862" s="2" t="str">
        <f t="shared" si="1193"/>
        <v/>
      </c>
      <c r="U1862" s="2" t="str">
        <f t="shared" si="1194"/>
        <v/>
      </c>
      <c r="V1862" t="str">
        <f t="shared" si="1211"/>
        <v/>
      </c>
      <c r="X1862">
        <f t="shared" si="1214"/>
        <v>0</v>
      </c>
      <c r="Y1862">
        <f t="shared" si="1215"/>
        <v>1</v>
      </c>
      <c r="Z1862">
        <f t="shared" si="1216"/>
        <v>0</v>
      </c>
      <c r="AA1862">
        <f t="shared" si="1217"/>
        <v>1</v>
      </c>
      <c r="AB1862">
        <f t="shared" si="1218"/>
        <v>0</v>
      </c>
      <c r="AC1862">
        <f t="shared" si="1219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13"/>
        <v>~</v>
      </c>
      <c r="M1863">
        <v>6</v>
      </c>
      <c r="N1863" s="23" t="str">
        <f t="shared" si="1187"/>
        <v>#</v>
      </c>
      <c r="O1863" s="7" t="str">
        <f t="shared" si="1188"/>
        <v>#</v>
      </c>
      <c r="P1863" s="7" t="str">
        <f t="shared" si="1189"/>
        <v/>
      </c>
      <c r="Q1863" s="7" t="str">
        <f t="shared" si="1190"/>
        <v>#</v>
      </c>
      <c r="R1863" s="17" t="str">
        <f t="shared" si="1191"/>
        <v>#</v>
      </c>
      <c r="S1863" s="8" t="str">
        <f t="shared" si="1192"/>
        <v/>
      </c>
      <c r="T1863" s="2" t="str">
        <f t="shared" si="1193"/>
        <v/>
      </c>
      <c r="U1863" s="2" t="str">
        <f t="shared" si="1194"/>
        <v/>
      </c>
      <c r="V1863" t="str">
        <f t="shared" si="1211"/>
        <v/>
      </c>
      <c r="X1863">
        <f t="shared" si="1214"/>
        <v>1</v>
      </c>
      <c r="Y1863">
        <f t="shared" si="1215"/>
        <v>0</v>
      </c>
      <c r="Z1863">
        <f t="shared" si="1216"/>
        <v>0</v>
      </c>
      <c r="AA1863">
        <f t="shared" si="1217"/>
        <v>0</v>
      </c>
      <c r="AB1863">
        <f t="shared" si="1218"/>
        <v>1</v>
      </c>
      <c r="AC1863">
        <f t="shared" si="1219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13"/>
        <v>~</v>
      </c>
      <c r="M1864">
        <v>7</v>
      </c>
      <c r="N1864" s="23" t="str">
        <f t="shared" si="1187"/>
        <v>#</v>
      </c>
      <c r="O1864" s="7" t="str">
        <f t="shared" si="1188"/>
        <v/>
      </c>
      <c r="P1864" s="7" t="str">
        <f t="shared" si="1189"/>
        <v/>
      </c>
      <c r="Q1864" s="7" t="str">
        <f t="shared" si="1190"/>
        <v/>
      </c>
      <c r="R1864" s="17" t="str">
        <f t="shared" si="1191"/>
        <v>#</v>
      </c>
      <c r="S1864" s="8" t="str">
        <f t="shared" si="1192"/>
        <v/>
      </c>
      <c r="T1864" s="2" t="str">
        <f t="shared" si="1193"/>
        <v/>
      </c>
      <c r="U1864" s="2" t="str">
        <f t="shared" si="1194"/>
        <v/>
      </c>
      <c r="V1864" t="str">
        <f t="shared" si="1211"/>
        <v/>
      </c>
      <c r="X1864">
        <f t="shared" si="1214"/>
        <v>0</v>
      </c>
      <c r="Y1864">
        <f t="shared" si="1215"/>
        <v>0</v>
      </c>
      <c r="Z1864">
        <f t="shared" si="1216"/>
        <v>0</v>
      </c>
      <c r="AA1864">
        <f t="shared" si="1217"/>
        <v>0</v>
      </c>
      <c r="AB1864">
        <f t="shared" si="1218"/>
        <v>0</v>
      </c>
      <c r="AC1864">
        <f t="shared" si="1219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13"/>
        <v>~</v>
      </c>
      <c r="M1865">
        <v>8</v>
      </c>
      <c r="N1865" s="23" t="str">
        <f t="shared" si="1187"/>
        <v/>
      </c>
      <c r="O1865" s="7" t="str">
        <f t="shared" si="1188"/>
        <v/>
      </c>
      <c r="P1865" s="7" t="str">
        <f t="shared" si="1189"/>
        <v/>
      </c>
      <c r="Q1865" s="7" t="str">
        <f t="shared" si="1190"/>
        <v/>
      </c>
      <c r="R1865" s="17" t="str">
        <f t="shared" si="1191"/>
        <v/>
      </c>
      <c r="S1865" s="8" t="str">
        <f t="shared" si="1192"/>
        <v/>
      </c>
      <c r="T1865" s="2" t="str">
        <f t="shared" si="1193"/>
        <v/>
      </c>
      <c r="U1865" s="2" t="str">
        <f t="shared" si="1194"/>
        <v/>
      </c>
      <c r="V1865" t="str">
        <f t="shared" si="1211"/>
        <v/>
      </c>
      <c r="X1865">
        <f t="shared" si="1214"/>
        <v>0</v>
      </c>
      <c r="Y1865">
        <f t="shared" si="1215"/>
        <v>0</v>
      </c>
      <c r="Z1865">
        <f t="shared" si="1216"/>
        <v>0</v>
      </c>
      <c r="AA1865">
        <f t="shared" si="1217"/>
        <v>0</v>
      </c>
      <c r="AB1865">
        <f t="shared" si="1218"/>
        <v>0</v>
      </c>
      <c r="AC1865">
        <f t="shared" si="1219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13"/>
        <v>~</v>
      </c>
      <c r="M1866">
        <v>9</v>
      </c>
      <c r="N1866" s="23" t="str">
        <f t="shared" si="1187"/>
        <v/>
      </c>
      <c r="O1866" s="7" t="str">
        <f t="shared" si="1188"/>
        <v/>
      </c>
      <c r="P1866" s="7" t="str">
        <f t="shared" si="1189"/>
        <v/>
      </c>
      <c r="Q1866" s="7" t="str">
        <f t="shared" si="1190"/>
        <v/>
      </c>
      <c r="R1866" s="17" t="str">
        <f t="shared" si="1191"/>
        <v/>
      </c>
      <c r="S1866" s="8" t="str">
        <f t="shared" si="1192"/>
        <v/>
      </c>
      <c r="T1866" s="2" t="str">
        <f t="shared" si="1193"/>
        <v/>
      </c>
      <c r="U1866" s="2" t="str">
        <f t="shared" si="1194"/>
        <v/>
      </c>
      <c r="V1866" t="str">
        <f t="shared" si="1211"/>
        <v/>
      </c>
      <c r="X1866">
        <f t="shared" si="1214"/>
        <v>0</v>
      </c>
      <c r="Y1866">
        <f t="shared" si="1215"/>
        <v>0</v>
      </c>
      <c r="Z1866">
        <f t="shared" si="1216"/>
        <v>0</v>
      </c>
      <c r="AA1866">
        <f t="shared" si="1217"/>
        <v>0</v>
      </c>
      <c r="AB1866">
        <f t="shared" si="1218"/>
        <v>0</v>
      </c>
      <c r="AC1866">
        <f t="shared" si="1219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13"/>
        <v>~</v>
      </c>
      <c r="M1867">
        <v>10</v>
      </c>
      <c r="N1867" s="23" t="str">
        <f t="shared" si="1187"/>
        <v/>
      </c>
      <c r="O1867" s="7" t="str">
        <f t="shared" si="1188"/>
        <v/>
      </c>
      <c r="P1867" s="7" t="str">
        <f t="shared" si="1189"/>
        <v/>
      </c>
      <c r="Q1867" s="7" t="str">
        <f t="shared" si="1190"/>
        <v/>
      </c>
      <c r="R1867" s="17" t="str">
        <f t="shared" si="1191"/>
        <v/>
      </c>
      <c r="S1867" s="8" t="str">
        <f t="shared" si="1192"/>
        <v/>
      </c>
      <c r="T1867" s="2" t="str">
        <f t="shared" si="1193"/>
        <v/>
      </c>
      <c r="U1867" s="2" t="str">
        <f t="shared" si="1194"/>
        <v/>
      </c>
      <c r="V1867" t="str">
        <f t="shared" si="1211"/>
        <v/>
      </c>
      <c r="X1867">
        <f t="shared" si="1214"/>
        <v>0</v>
      </c>
      <c r="Y1867">
        <f t="shared" si="1215"/>
        <v>0</v>
      </c>
      <c r="Z1867">
        <f t="shared" si="1216"/>
        <v>0</v>
      </c>
      <c r="AA1867">
        <f t="shared" si="1217"/>
        <v>0</v>
      </c>
      <c r="AB1867">
        <f t="shared" si="1218"/>
        <v>0</v>
      </c>
      <c r="AC1867">
        <f t="shared" si="1219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13"/>
        <v>~</v>
      </c>
      <c r="M1868">
        <v>11</v>
      </c>
      <c r="N1868" s="23" t="str">
        <f t="shared" si="1187"/>
        <v/>
      </c>
      <c r="O1868" s="7" t="str">
        <f t="shared" si="1188"/>
        <v/>
      </c>
      <c r="P1868" s="7" t="str">
        <f t="shared" si="1189"/>
        <v/>
      </c>
      <c r="Q1868" s="7" t="str">
        <f t="shared" si="1190"/>
        <v/>
      </c>
      <c r="R1868" s="17" t="str">
        <f t="shared" si="1191"/>
        <v/>
      </c>
      <c r="S1868" s="8" t="str">
        <f t="shared" si="1192"/>
        <v/>
      </c>
      <c r="T1868" s="2" t="str">
        <f t="shared" si="1193"/>
        <v/>
      </c>
      <c r="U1868" s="2" t="str">
        <f t="shared" si="1194"/>
        <v/>
      </c>
      <c r="V1868" t="str">
        <f t="shared" si="1211"/>
        <v/>
      </c>
      <c r="X1868">
        <f t="shared" si="1214"/>
        <v>0</v>
      </c>
      <c r="Y1868">
        <f t="shared" si="1215"/>
        <v>0</v>
      </c>
      <c r="Z1868">
        <f t="shared" si="1216"/>
        <v>0</v>
      </c>
      <c r="AA1868">
        <f t="shared" si="1217"/>
        <v>0</v>
      </c>
      <c r="AB1868">
        <f t="shared" si="1218"/>
        <v>0</v>
      </c>
      <c r="AC1868">
        <f t="shared" si="1219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13"/>
        <v>~</v>
      </c>
      <c r="M1869">
        <v>12</v>
      </c>
      <c r="N1869" s="23" t="str">
        <f t="shared" si="1187"/>
        <v/>
      </c>
      <c r="O1869" s="7" t="str">
        <f t="shared" si="1188"/>
        <v/>
      </c>
      <c r="P1869" s="7" t="str">
        <f t="shared" si="1189"/>
        <v/>
      </c>
      <c r="Q1869" s="7" t="str">
        <f t="shared" si="1190"/>
        <v/>
      </c>
      <c r="R1869" s="17" t="str">
        <f t="shared" si="1191"/>
        <v/>
      </c>
      <c r="S1869" s="8" t="str">
        <f t="shared" si="1192"/>
        <v/>
      </c>
      <c r="T1869" s="2" t="str">
        <f t="shared" si="1193"/>
        <v/>
      </c>
      <c r="U1869" s="2" t="str">
        <f t="shared" si="1194"/>
        <v/>
      </c>
      <c r="V1869" t="str">
        <f t="shared" si="1211"/>
        <v/>
      </c>
      <c r="X1869">
        <f t="shared" si="1214"/>
        <v>0</v>
      </c>
      <c r="Y1869">
        <f t="shared" si="1215"/>
        <v>0</v>
      </c>
      <c r="Z1869">
        <f t="shared" si="1216"/>
        <v>0</v>
      </c>
      <c r="AA1869">
        <f t="shared" si="1217"/>
        <v>0</v>
      </c>
      <c r="AB1869">
        <f t="shared" si="1218"/>
        <v>0</v>
      </c>
      <c r="AC1869">
        <f t="shared" si="1219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13"/>
        <v>~</v>
      </c>
      <c r="M1870">
        <v>13</v>
      </c>
      <c r="N1870" s="6" t="str">
        <f t="shared" si="1187"/>
        <v/>
      </c>
      <c r="O1870" s="7" t="str">
        <f t="shared" si="1188"/>
        <v/>
      </c>
      <c r="P1870" s="7" t="str">
        <f t="shared" si="1189"/>
        <v/>
      </c>
      <c r="Q1870" s="7" t="str">
        <f t="shared" si="1190"/>
        <v/>
      </c>
      <c r="R1870" s="17" t="str">
        <f t="shared" si="1191"/>
        <v/>
      </c>
      <c r="S1870" s="8" t="str">
        <f t="shared" si="1192"/>
        <v/>
      </c>
      <c r="T1870" s="2" t="str">
        <f t="shared" si="1193"/>
        <v/>
      </c>
      <c r="U1870" s="2" t="str">
        <f t="shared" si="1194"/>
        <v/>
      </c>
      <c r="V1870" t="str">
        <f t="shared" si="1211"/>
        <v/>
      </c>
      <c r="X1870">
        <f t="shared" si="1214"/>
        <v>0</v>
      </c>
      <c r="Y1870">
        <f t="shared" si="1215"/>
        <v>0</v>
      </c>
      <c r="Z1870">
        <f t="shared" si="1216"/>
        <v>0</v>
      </c>
      <c r="AA1870">
        <f t="shared" si="1217"/>
        <v>0</v>
      </c>
      <c r="AB1870">
        <f t="shared" si="1218"/>
        <v>0</v>
      </c>
      <c r="AC1870">
        <f t="shared" si="1219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13"/>
        <v>~</v>
      </c>
      <c r="M1871">
        <v>14</v>
      </c>
      <c r="N1871" s="18" t="str">
        <f t="shared" si="1187"/>
        <v/>
      </c>
      <c r="O1871" s="19" t="str">
        <f t="shared" si="1188"/>
        <v/>
      </c>
      <c r="P1871" s="19" t="str">
        <f t="shared" si="1189"/>
        <v/>
      </c>
      <c r="Q1871" s="19" t="str">
        <f t="shared" si="1190"/>
        <v/>
      </c>
      <c r="R1871" s="20" t="str">
        <f t="shared" si="1191"/>
        <v/>
      </c>
      <c r="S1871" s="8" t="str">
        <f t="shared" si="1192"/>
        <v/>
      </c>
      <c r="T1871" s="2" t="str">
        <f t="shared" si="1193"/>
        <v/>
      </c>
      <c r="U1871" s="2" t="str">
        <f t="shared" si="1194"/>
        <v/>
      </c>
      <c r="V1871" t="str">
        <f t="shared" si="1211"/>
        <v/>
      </c>
      <c r="X1871">
        <f t="shared" si="1214"/>
        <v>0</v>
      </c>
      <c r="Y1871">
        <f t="shared" si="1215"/>
        <v>0</v>
      </c>
      <c r="Z1871">
        <f t="shared" si="1216"/>
        <v>0</v>
      </c>
      <c r="AA1871">
        <f t="shared" si="1217"/>
        <v>0</v>
      </c>
      <c r="AB1871">
        <f t="shared" si="1218"/>
        <v>0</v>
      </c>
      <c r="AC1871">
        <f t="shared" si="1219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13"/>
        <v>~</v>
      </c>
      <c r="M1872">
        <v>15</v>
      </c>
      <c r="N1872" s="9" t="str">
        <f t="shared" si="1187"/>
        <v/>
      </c>
      <c r="O1872" s="10" t="str">
        <f t="shared" si="1188"/>
        <v/>
      </c>
      <c r="P1872" s="10" t="str">
        <f t="shared" si="1189"/>
        <v/>
      </c>
      <c r="Q1872" s="10" t="str">
        <f t="shared" si="1190"/>
        <v/>
      </c>
      <c r="R1872" s="10" t="str">
        <f t="shared" si="1191"/>
        <v/>
      </c>
      <c r="S1872" s="11" t="str">
        <f t="shared" si="1192"/>
        <v/>
      </c>
      <c r="T1872" s="2" t="str">
        <f t="shared" si="1193"/>
        <v/>
      </c>
      <c r="U1872" s="2" t="str">
        <f t="shared" si="1194"/>
        <v/>
      </c>
      <c r="V1872" t="str">
        <f t="shared" si="1211"/>
        <v/>
      </c>
      <c r="X1872">
        <f t="shared" si="1214"/>
        <v>0</v>
      </c>
      <c r="Y1872">
        <f t="shared" si="1215"/>
        <v>0</v>
      </c>
      <c r="Z1872">
        <f t="shared" si="1216"/>
        <v>0</v>
      </c>
      <c r="AA1872">
        <f t="shared" si="1217"/>
        <v>0</v>
      </c>
      <c r="AB1872">
        <f t="shared" si="1218"/>
        <v>0</v>
      </c>
      <c r="AC1872">
        <f t="shared" si="1219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13"/>
        <v>~</v>
      </c>
      <c r="M1873">
        <v>16</v>
      </c>
      <c r="N1873" s="12" t="str">
        <f t="shared" si="1187"/>
        <v/>
      </c>
      <c r="O1873" s="13" t="str">
        <f t="shared" si="1188"/>
        <v/>
      </c>
      <c r="P1873" s="13" t="str">
        <f t="shared" si="1189"/>
        <v/>
      </c>
      <c r="Q1873" s="13" t="str">
        <f t="shared" si="1190"/>
        <v/>
      </c>
      <c r="R1873" s="13" t="str">
        <f t="shared" si="1191"/>
        <v/>
      </c>
      <c r="S1873" s="14" t="str">
        <f t="shared" si="1192"/>
        <v/>
      </c>
      <c r="T1873" s="2" t="str">
        <f t="shared" si="1193"/>
        <v/>
      </c>
      <c r="U1873" s="2" t="str">
        <f t="shared" si="1194"/>
        <v/>
      </c>
      <c r="V1873" t="str">
        <f t="shared" si="1211"/>
        <v/>
      </c>
      <c r="X1873">
        <f t="shared" si="1214"/>
        <v>0</v>
      </c>
      <c r="Y1873">
        <f t="shared" si="1215"/>
        <v>0</v>
      </c>
      <c r="Z1873">
        <f t="shared" si="1216"/>
        <v>0</v>
      </c>
      <c r="AA1873">
        <f t="shared" si="1217"/>
        <v>0</v>
      </c>
      <c r="AB1873">
        <f t="shared" si="1218"/>
        <v>0</v>
      </c>
      <c r="AC1873">
        <f t="shared" si="1219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7"/>
        <v/>
      </c>
      <c r="O1874" t="str">
        <f t="shared" si="1188"/>
        <v/>
      </c>
      <c r="P1874" t="str">
        <f t="shared" si="1189"/>
        <v/>
      </c>
      <c r="Q1874" t="str">
        <f t="shared" si="1190"/>
        <v/>
      </c>
      <c r="R1874" t="str">
        <f t="shared" si="1191"/>
        <v/>
      </c>
      <c r="S1874" t="str">
        <f t="shared" si="1192"/>
        <v/>
      </c>
      <c r="T1874" s="2" t="str">
        <f t="shared" si="1193"/>
        <v/>
      </c>
      <c r="U1874" s="2" t="str">
        <f t="shared" si="1194"/>
        <v/>
      </c>
      <c r="V1874" t="str">
        <f t="shared" si="1211"/>
        <v/>
      </c>
      <c r="W1874">
        <f>SUM(B1876:G1889)</f>
        <v>50</v>
      </c>
      <c r="AD1874">
        <f t="shared" ref="AD1874" si="1220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21">L1874</f>
        <v></v>
      </c>
      <c r="M1875">
        <v>2</v>
      </c>
      <c r="N1875" t="str">
        <f t="shared" si="1187"/>
        <v/>
      </c>
      <c r="O1875" t="str">
        <f t="shared" si="1188"/>
        <v/>
      </c>
      <c r="P1875" t="str">
        <f t="shared" si="1189"/>
        <v/>
      </c>
      <c r="Q1875" t="str">
        <f t="shared" si="1190"/>
        <v/>
      </c>
      <c r="R1875" t="str">
        <f t="shared" si="1191"/>
        <v/>
      </c>
      <c r="S1875" t="str">
        <f t="shared" si="1192"/>
        <v/>
      </c>
      <c r="T1875" s="2" t="str">
        <f t="shared" si="1193"/>
        <v/>
      </c>
      <c r="U1875" s="2" t="str">
        <f t="shared" si="1194"/>
        <v/>
      </c>
      <c r="V1875" t="str">
        <f t="shared" si="1211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21"/>
        <v></v>
      </c>
      <c r="M1876">
        <v>3</v>
      </c>
      <c r="N1876" s="3" t="str">
        <f t="shared" si="1187"/>
        <v/>
      </c>
      <c r="O1876" s="4" t="str">
        <f t="shared" si="1188"/>
        <v/>
      </c>
      <c r="P1876" s="4" t="str">
        <f t="shared" si="1189"/>
        <v/>
      </c>
      <c r="Q1876" s="4" t="str">
        <f t="shared" si="1190"/>
        <v/>
      </c>
      <c r="R1876" s="4" t="str">
        <f t="shared" si="1191"/>
        <v/>
      </c>
      <c r="S1876" s="5" t="str">
        <f t="shared" si="1192"/>
        <v/>
      </c>
      <c r="T1876" s="2" t="str">
        <f t="shared" si="1193"/>
        <v/>
      </c>
      <c r="U1876" s="2" t="str">
        <f t="shared" si="1194"/>
        <v/>
      </c>
      <c r="V1876" t="str">
        <f t="shared" si="1211"/>
        <v/>
      </c>
      <c r="X1876">
        <f t="shared" ref="X1876:X1889" si="1222">MAX(B1876-B1875,0)</f>
        <v>0</v>
      </c>
      <c r="Y1876">
        <f t="shared" ref="Y1876:Y1889" si="1223">MAX(C1876-C1875,0)</f>
        <v>0</v>
      </c>
      <c r="Z1876">
        <f t="shared" ref="Z1876:Z1889" si="1224">MAX(D1876-D1875,0)</f>
        <v>0</v>
      </c>
      <c r="AA1876">
        <f t="shared" ref="AA1876:AA1889" si="1225">MAX(E1876-E1875,0)</f>
        <v>0</v>
      </c>
      <c r="AB1876">
        <f t="shared" ref="AB1876:AB1889" si="1226">MAX(F1876-F1875,0)</f>
        <v>0</v>
      </c>
      <c r="AC1876">
        <f t="shared" ref="AC1876:AC1889" si="1227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21"/>
        <v></v>
      </c>
      <c r="M1877">
        <v>4</v>
      </c>
      <c r="N1877" s="6" t="str">
        <f t="shared" si="1187"/>
        <v/>
      </c>
      <c r="O1877" s="7" t="str">
        <f t="shared" si="1188"/>
        <v/>
      </c>
      <c r="P1877" s="7" t="str">
        <f t="shared" si="1189"/>
        <v/>
      </c>
      <c r="Q1877" s="7" t="str">
        <f t="shared" si="1190"/>
        <v/>
      </c>
      <c r="R1877" s="7" t="str">
        <f t="shared" si="1191"/>
        <v/>
      </c>
      <c r="S1877" s="8" t="str">
        <f t="shared" si="1192"/>
        <v/>
      </c>
      <c r="T1877" s="2" t="str">
        <f t="shared" si="1193"/>
        <v/>
      </c>
      <c r="U1877" s="2" t="str">
        <f t="shared" si="1194"/>
        <v/>
      </c>
      <c r="V1877" t="str">
        <f t="shared" si="1211"/>
        <v/>
      </c>
      <c r="X1877">
        <f t="shared" si="1222"/>
        <v>0</v>
      </c>
      <c r="Y1877">
        <f t="shared" si="1223"/>
        <v>0</v>
      </c>
      <c r="Z1877">
        <f t="shared" si="1224"/>
        <v>0</v>
      </c>
      <c r="AA1877">
        <f t="shared" si="1225"/>
        <v>0</v>
      </c>
      <c r="AB1877">
        <f t="shared" si="1226"/>
        <v>0</v>
      </c>
      <c r="AC1877">
        <f t="shared" si="1227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21"/>
        <v></v>
      </c>
      <c r="M1878">
        <v>5</v>
      </c>
      <c r="N1878" s="22" t="str">
        <f t="shared" si="1187"/>
        <v>#</v>
      </c>
      <c r="O1878" s="15" t="str">
        <f t="shared" si="1188"/>
        <v>#</v>
      </c>
      <c r="P1878" s="15" t="str">
        <f t="shared" si="1189"/>
        <v>#</v>
      </c>
      <c r="Q1878" s="15" t="str">
        <f t="shared" si="1190"/>
        <v>#</v>
      </c>
      <c r="R1878" s="16" t="str">
        <f t="shared" si="1191"/>
        <v>#</v>
      </c>
      <c r="S1878" s="8" t="str">
        <f t="shared" si="1192"/>
        <v/>
      </c>
      <c r="T1878" s="2" t="str">
        <f t="shared" si="1193"/>
        <v/>
      </c>
      <c r="U1878" s="2" t="str">
        <f t="shared" si="1194"/>
        <v/>
      </c>
      <c r="V1878" t="str">
        <f t="shared" si="1211"/>
        <v/>
      </c>
      <c r="X1878">
        <f t="shared" si="1222"/>
        <v>1</v>
      </c>
      <c r="Y1878">
        <f t="shared" si="1223"/>
        <v>1</v>
      </c>
      <c r="Z1878">
        <f t="shared" si="1224"/>
        <v>1</v>
      </c>
      <c r="AA1878">
        <f t="shared" si="1225"/>
        <v>1</v>
      </c>
      <c r="AB1878">
        <f t="shared" si="1226"/>
        <v>1</v>
      </c>
      <c r="AC1878">
        <f t="shared" si="1227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21"/>
        <v></v>
      </c>
      <c r="M1879">
        <v>6</v>
      </c>
      <c r="N1879" s="23" t="str">
        <f t="shared" si="1187"/>
        <v>#</v>
      </c>
      <c r="O1879" s="7" t="str">
        <f t="shared" si="1188"/>
        <v>#</v>
      </c>
      <c r="P1879" s="7" t="str">
        <f t="shared" si="1189"/>
        <v>#</v>
      </c>
      <c r="Q1879" s="7" t="str">
        <f t="shared" si="1190"/>
        <v>#</v>
      </c>
      <c r="R1879" s="17" t="str">
        <f t="shared" si="1191"/>
        <v>#</v>
      </c>
      <c r="S1879" s="8" t="str">
        <f t="shared" si="1192"/>
        <v/>
      </c>
      <c r="T1879" s="2" t="str">
        <f t="shared" si="1193"/>
        <v/>
      </c>
      <c r="U1879" s="2" t="str">
        <f t="shared" si="1194"/>
        <v/>
      </c>
      <c r="V1879" t="str">
        <f t="shared" si="1211"/>
        <v/>
      </c>
      <c r="X1879">
        <f t="shared" si="1222"/>
        <v>0</v>
      </c>
      <c r="Y1879">
        <f t="shared" si="1223"/>
        <v>0</v>
      </c>
      <c r="Z1879">
        <f t="shared" si="1224"/>
        <v>0</v>
      </c>
      <c r="AA1879">
        <f t="shared" si="1225"/>
        <v>0</v>
      </c>
      <c r="AB1879">
        <f t="shared" si="1226"/>
        <v>0</v>
      </c>
      <c r="AC1879">
        <f t="shared" si="1227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21"/>
        <v></v>
      </c>
      <c r="M1880">
        <v>7</v>
      </c>
      <c r="N1880" s="23" t="str">
        <f t="shared" si="1187"/>
        <v>#</v>
      </c>
      <c r="O1880" s="7" t="str">
        <f t="shared" si="1188"/>
        <v>#</v>
      </c>
      <c r="P1880" s="7" t="str">
        <f t="shared" si="1189"/>
        <v>#</v>
      </c>
      <c r="Q1880" s="7" t="str">
        <f t="shared" si="1190"/>
        <v>#</v>
      </c>
      <c r="R1880" s="17" t="str">
        <f t="shared" si="1191"/>
        <v>#</v>
      </c>
      <c r="S1880" s="8" t="str">
        <f t="shared" si="1192"/>
        <v/>
      </c>
      <c r="T1880" s="2" t="str">
        <f t="shared" si="1193"/>
        <v/>
      </c>
      <c r="U1880" s="2" t="str">
        <f t="shared" si="1194"/>
        <v/>
      </c>
      <c r="V1880" t="str">
        <f t="shared" si="1211"/>
        <v/>
      </c>
      <c r="X1880">
        <f t="shared" si="1222"/>
        <v>0</v>
      </c>
      <c r="Y1880">
        <f t="shared" si="1223"/>
        <v>0</v>
      </c>
      <c r="Z1880">
        <f t="shared" si="1224"/>
        <v>0</v>
      </c>
      <c r="AA1880">
        <f t="shared" si="1225"/>
        <v>0</v>
      </c>
      <c r="AB1880">
        <f t="shared" si="1226"/>
        <v>0</v>
      </c>
      <c r="AC1880">
        <f t="shared" si="1227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21"/>
        <v></v>
      </c>
      <c r="M1881">
        <v>8</v>
      </c>
      <c r="N1881" s="23" t="str">
        <f t="shared" si="1187"/>
        <v>#</v>
      </c>
      <c r="O1881" s="7" t="str">
        <f t="shared" si="1188"/>
        <v>#</v>
      </c>
      <c r="P1881" s="7" t="str">
        <f t="shared" si="1189"/>
        <v>#</v>
      </c>
      <c r="Q1881" s="7" t="str">
        <f t="shared" si="1190"/>
        <v>#</v>
      </c>
      <c r="R1881" s="17" t="str">
        <f t="shared" si="1191"/>
        <v>#</v>
      </c>
      <c r="S1881" s="8" t="str">
        <f t="shared" si="1192"/>
        <v/>
      </c>
      <c r="T1881" s="2" t="str">
        <f t="shared" si="1193"/>
        <v/>
      </c>
      <c r="U1881" s="2" t="str">
        <f t="shared" si="1194"/>
        <v/>
      </c>
      <c r="V1881" t="str">
        <f t="shared" si="1211"/>
        <v/>
      </c>
      <c r="X1881">
        <f t="shared" si="1222"/>
        <v>0</v>
      </c>
      <c r="Y1881">
        <f t="shared" si="1223"/>
        <v>0</v>
      </c>
      <c r="Z1881">
        <f t="shared" si="1224"/>
        <v>0</v>
      </c>
      <c r="AA1881">
        <f t="shared" si="1225"/>
        <v>0</v>
      </c>
      <c r="AB1881">
        <f t="shared" si="1226"/>
        <v>0</v>
      </c>
      <c r="AC1881">
        <f t="shared" si="1227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21"/>
        <v></v>
      </c>
      <c r="M1882">
        <v>9</v>
      </c>
      <c r="N1882" s="23" t="str">
        <f t="shared" si="1187"/>
        <v>#</v>
      </c>
      <c r="O1882" s="7" t="str">
        <f t="shared" si="1188"/>
        <v>#</v>
      </c>
      <c r="P1882" s="7" t="str">
        <f t="shared" si="1189"/>
        <v>#</v>
      </c>
      <c r="Q1882" s="7" t="str">
        <f t="shared" si="1190"/>
        <v>#</v>
      </c>
      <c r="R1882" s="17" t="str">
        <f t="shared" si="1191"/>
        <v>#</v>
      </c>
      <c r="S1882" s="8" t="str">
        <f t="shared" si="1192"/>
        <v/>
      </c>
      <c r="T1882" s="2" t="str">
        <f t="shared" si="1193"/>
        <v/>
      </c>
      <c r="U1882" s="2" t="str">
        <f t="shared" si="1194"/>
        <v/>
      </c>
      <c r="V1882" t="str">
        <f t="shared" si="1211"/>
        <v/>
      </c>
      <c r="X1882">
        <f t="shared" si="1222"/>
        <v>0</v>
      </c>
      <c r="Y1882">
        <f t="shared" si="1223"/>
        <v>0</v>
      </c>
      <c r="Z1882">
        <f t="shared" si="1224"/>
        <v>0</v>
      </c>
      <c r="AA1882">
        <f t="shared" si="1225"/>
        <v>0</v>
      </c>
      <c r="AB1882">
        <f t="shared" si="1226"/>
        <v>0</v>
      </c>
      <c r="AC1882">
        <f t="shared" si="1227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21"/>
        <v></v>
      </c>
      <c r="M1883">
        <v>10</v>
      </c>
      <c r="N1883" s="23" t="str">
        <f t="shared" si="1187"/>
        <v>#</v>
      </c>
      <c r="O1883" s="7" t="str">
        <f t="shared" si="1188"/>
        <v>#</v>
      </c>
      <c r="P1883" s="7" t="str">
        <f t="shared" si="1189"/>
        <v>#</v>
      </c>
      <c r="Q1883" s="7" t="str">
        <f t="shared" si="1190"/>
        <v>#</v>
      </c>
      <c r="R1883" s="17" t="str">
        <f t="shared" si="1191"/>
        <v>#</v>
      </c>
      <c r="S1883" s="8" t="str">
        <f t="shared" si="1192"/>
        <v/>
      </c>
      <c r="T1883" s="2" t="str">
        <f t="shared" si="1193"/>
        <v/>
      </c>
      <c r="U1883" s="2" t="str">
        <f t="shared" si="1194"/>
        <v/>
      </c>
      <c r="V1883" t="str">
        <f t="shared" si="1211"/>
        <v/>
      </c>
      <c r="X1883">
        <f t="shared" si="1222"/>
        <v>0</v>
      </c>
      <c r="Y1883">
        <f t="shared" si="1223"/>
        <v>0</v>
      </c>
      <c r="Z1883">
        <f t="shared" si="1224"/>
        <v>0</v>
      </c>
      <c r="AA1883">
        <f t="shared" si="1225"/>
        <v>0</v>
      </c>
      <c r="AB1883">
        <f t="shared" si="1226"/>
        <v>0</v>
      </c>
      <c r="AC1883">
        <f t="shared" si="1227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21"/>
        <v></v>
      </c>
      <c r="M1884">
        <v>11</v>
      </c>
      <c r="N1884" s="23" t="str">
        <f t="shared" si="1187"/>
        <v>#</v>
      </c>
      <c r="O1884" s="7" t="str">
        <f t="shared" si="1188"/>
        <v>#</v>
      </c>
      <c r="P1884" s="7" t="str">
        <f t="shared" si="1189"/>
        <v>#</v>
      </c>
      <c r="Q1884" s="7" t="str">
        <f t="shared" si="1190"/>
        <v>#</v>
      </c>
      <c r="R1884" s="17" t="str">
        <f t="shared" si="1191"/>
        <v>#</v>
      </c>
      <c r="S1884" s="8" t="str">
        <f t="shared" si="1192"/>
        <v/>
      </c>
      <c r="T1884" s="2" t="str">
        <f t="shared" si="1193"/>
        <v/>
      </c>
      <c r="U1884" s="2" t="str">
        <f t="shared" si="1194"/>
        <v/>
      </c>
      <c r="V1884" t="str">
        <f t="shared" si="1211"/>
        <v/>
      </c>
      <c r="X1884">
        <f t="shared" si="1222"/>
        <v>0</v>
      </c>
      <c r="Y1884">
        <f t="shared" si="1223"/>
        <v>0</v>
      </c>
      <c r="Z1884">
        <f t="shared" si="1224"/>
        <v>0</v>
      </c>
      <c r="AA1884">
        <f t="shared" si="1225"/>
        <v>0</v>
      </c>
      <c r="AB1884">
        <f t="shared" si="1226"/>
        <v>0</v>
      </c>
      <c r="AC1884">
        <f t="shared" si="1227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21"/>
        <v></v>
      </c>
      <c r="M1885">
        <v>12</v>
      </c>
      <c r="N1885" s="23" t="str">
        <f t="shared" si="1187"/>
        <v>#</v>
      </c>
      <c r="O1885" s="7" t="str">
        <f t="shared" si="1188"/>
        <v>#</v>
      </c>
      <c r="P1885" s="7" t="str">
        <f t="shared" si="1189"/>
        <v>#</v>
      </c>
      <c r="Q1885" s="7" t="str">
        <f t="shared" si="1190"/>
        <v>#</v>
      </c>
      <c r="R1885" s="17" t="str">
        <f t="shared" si="1191"/>
        <v>#</v>
      </c>
      <c r="S1885" s="8" t="str">
        <f t="shared" si="1192"/>
        <v/>
      </c>
      <c r="T1885" s="2" t="str">
        <f t="shared" si="1193"/>
        <v/>
      </c>
      <c r="U1885" s="2" t="str">
        <f t="shared" si="1194"/>
        <v/>
      </c>
      <c r="V1885" t="str">
        <f t="shared" si="1211"/>
        <v/>
      </c>
      <c r="X1885">
        <f t="shared" si="1222"/>
        <v>0</v>
      </c>
      <c r="Y1885">
        <f t="shared" si="1223"/>
        <v>0</v>
      </c>
      <c r="Z1885">
        <f t="shared" si="1224"/>
        <v>0</v>
      </c>
      <c r="AA1885">
        <f t="shared" si="1225"/>
        <v>0</v>
      </c>
      <c r="AB1885">
        <f t="shared" si="1226"/>
        <v>0</v>
      </c>
      <c r="AC1885">
        <f t="shared" si="1227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21"/>
        <v></v>
      </c>
      <c r="M1886">
        <v>13</v>
      </c>
      <c r="N1886" s="6" t="str">
        <f t="shared" si="1187"/>
        <v>#</v>
      </c>
      <c r="O1886" s="7" t="str">
        <f t="shared" si="1188"/>
        <v>#</v>
      </c>
      <c r="P1886" s="7" t="str">
        <f t="shared" si="1189"/>
        <v>#</v>
      </c>
      <c r="Q1886" s="7" t="str">
        <f t="shared" si="1190"/>
        <v>#</v>
      </c>
      <c r="R1886" s="17" t="str">
        <f t="shared" si="1191"/>
        <v>#</v>
      </c>
      <c r="S1886" s="8" t="str">
        <f t="shared" si="1192"/>
        <v/>
      </c>
      <c r="T1886" s="2" t="str">
        <f t="shared" si="1193"/>
        <v/>
      </c>
      <c r="U1886" s="2" t="str">
        <f t="shared" si="1194"/>
        <v/>
      </c>
      <c r="V1886" t="str">
        <f t="shared" si="1211"/>
        <v/>
      </c>
      <c r="X1886">
        <f t="shared" si="1222"/>
        <v>0</v>
      </c>
      <c r="Y1886">
        <f t="shared" si="1223"/>
        <v>0</v>
      </c>
      <c r="Z1886">
        <f t="shared" si="1224"/>
        <v>0</v>
      </c>
      <c r="AA1886">
        <f t="shared" si="1225"/>
        <v>0</v>
      </c>
      <c r="AB1886">
        <f t="shared" si="1226"/>
        <v>0</v>
      </c>
      <c r="AC1886">
        <f t="shared" si="1227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21"/>
        <v></v>
      </c>
      <c r="M1887">
        <v>14</v>
      </c>
      <c r="N1887" s="18" t="str">
        <f t="shared" si="1187"/>
        <v>#</v>
      </c>
      <c r="O1887" s="19" t="str">
        <f t="shared" si="1188"/>
        <v>#</v>
      </c>
      <c r="P1887" s="19" t="str">
        <f t="shared" si="1189"/>
        <v>#</v>
      </c>
      <c r="Q1887" s="19" t="str">
        <f t="shared" si="1190"/>
        <v>#</v>
      </c>
      <c r="R1887" s="20" t="str">
        <f t="shared" si="1191"/>
        <v>#</v>
      </c>
      <c r="S1887" s="8" t="str">
        <f t="shared" si="1192"/>
        <v/>
      </c>
      <c r="T1887" s="2" t="str">
        <f t="shared" si="1193"/>
        <v/>
      </c>
      <c r="U1887" s="2" t="str">
        <f t="shared" si="1194"/>
        <v/>
      </c>
      <c r="V1887" t="str">
        <f t="shared" si="1211"/>
        <v/>
      </c>
      <c r="X1887">
        <f t="shared" si="1222"/>
        <v>0</v>
      </c>
      <c r="Y1887">
        <f t="shared" si="1223"/>
        <v>0</v>
      </c>
      <c r="Z1887">
        <f t="shared" si="1224"/>
        <v>0</v>
      </c>
      <c r="AA1887">
        <f t="shared" si="1225"/>
        <v>0</v>
      </c>
      <c r="AB1887">
        <f t="shared" si="1226"/>
        <v>0</v>
      </c>
      <c r="AC1887">
        <f t="shared" si="1227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21"/>
        <v></v>
      </c>
      <c r="M1888">
        <v>15</v>
      </c>
      <c r="N1888" s="9" t="str">
        <f t="shared" si="1187"/>
        <v/>
      </c>
      <c r="O1888" s="10" t="str">
        <f t="shared" si="1188"/>
        <v/>
      </c>
      <c r="P1888" s="10" t="str">
        <f t="shared" si="1189"/>
        <v/>
      </c>
      <c r="Q1888" s="10" t="str">
        <f t="shared" si="1190"/>
        <v/>
      </c>
      <c r="R1888" s="10" t="str">
        <f t="shared" si="1191"/>
        <v/>
      </c>
      <c r="S1888" s="11" t="str">
        <f t="shared" si="1192"/>
        <v/>
      </c>
      <c r="T1888" s="2" t="str">
        <f t="shared" si="1193"/>
        <v/>
      </c>
      <c r="U1888" s="2" t="str">
        <f t="shared" si="1194"/>
        <v/>
      </c>
      <c r="V1888" t="str">
        <f t="shared" si="1211"/>
        <v/>
      </c>
      <c r="X1888">
        <f t="shared" si="1222"/>
        <v>0</v>
      </c>
      <c r="Y1888">
        <f t="shared" si="1223"/>
        <v>0</v>
      </c>
      <c r="Z1888">
        <f t="shared" si="1224"/>
        <v>0</v>
      </c>
      <c r="AA1888">
        <f t="shared" si="1225"/>
        <v>0</v>
      </c>
      <c r="AB1888">
        <f t="shared" si="1226"/>
        <v>0</v>
      </c>
      <c r="AC1888">
        <f t="shared" si="1227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21"/>
        <v></v>
      </c>
      <c r="M1889">
        <v>16</v>
      </c>
      <c r="N1889" s="12" t="str">
        <f t="shared" si="1187"/>
        <v/>
      </c>
      <c r="O1889" s="13" t="str">
        <f t="shared" si="1188"/>
        <v/>
      </c>
      <c r="P1889" s="13" t="str">
        <f t="shared" si="1189"/>
        <v/>
      </c>
      <c r="Q1889" s="13" t="str">
        <f t="shared" si="1190"/>
        <v/>
      </c>
      <c r="R1889" s="13" t="str">
        <f t="shared" si="1191"/>
        <v/>
      </c>
      <c r="S1889" s="14" t="str">
        <f t="shared" si="1192"/>
        <v/>
      </c>
      <c r="T1889" s="2" t="str">
        <f t="shared" si="1193"/>
        <v/>
      </c>
      <c r="U1889" s="2" t="str">
        <f t="shared" si="1194"/>
        <v/>
      </c>
      <c r="V1889" t="str">
        <f t="shared" si="1211"/>
        <v/>
      </c>
      <c r="X1889">
        <f t="shared" si="1222"/>
        <v>0</v>
      </c>
      <c r="Y1889">
        <f t="shared" si="1223"/>
        <v>0</v>
      </c>
      <c r="Z1889">
        <f t="shared" si="1224"/>
        <v>0</v>
      </c>
      <c r="AA1889">
        <f t="shared" si="1225"/>
        <v>0</v>
      </c>
      <c r="AB1889">
        <f t="shared" si="1226"/>
        <v>0</v>
      </c>
      <c r="AC1889">
        <f t="shared" si="1227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2022-03-01T07:26:41Z</dcterms:modified>
</cp:coreProperties>
</file>