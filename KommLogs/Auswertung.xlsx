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en\AvrProgs\TxP2\KommLogs\"/>
    </mc:Choice>
  </mc:AlternateContent>
  <bookViews>
    <workbookView xWindow="0" yWindow="0" windowWidth="25200" windowHeight="12135"/>
  </bookViews>
  <sheets>
    <sheet name="Log" sheetId="1" r:id="rId1"/>
    <sheet name="Codes" sheetId="2" r:id="rId2"/>
  </sheets>
  <definedNames>
    <definedName name="KdoCodeTab">Codes!$C$2:$C$22</definedName>
    <definedName name="KdoWertTab">Codes!$B$2:$B$22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4" i="1"/>
  <c r="B6" i="2" l="1"/>
  <c r="B7" i="2"/>
  <c r="B8" i="2"/>
  <c r="B9" i="2"/>
  <c r="B10" i="2"/>
  <c r="B11" i="2"/>
  <c r="B12" i="2"/>
  <c r="B13" i="2"/>
  <c r="B14" i="2"/>
  <c r="C443" i="1"/>
  <c r="H443" i="1" s="1"/>
  <c r="D443" i="1"/>
  <c r="E443" i="1"/>
  <c r="C444" i="1"/>
  <c r="H444" i="1" s="1"/>
  <c r="D444" i="1"/>
  <c r="E444" i="1"/>
  <c r="C445" i="1"/>
  <c r="H445" i="1" s="1"/>
  <c r="D445" i="1"/>
  <c r="E445" i="1"/>
  <c r="C446" i="1"/>
  <c r="H446" i="1" s="1"/>
  <c r="D446" i="1"/>
  <c r="E446" i="1"/>
  <c r="C447" i="1"/>
  <c r="H447" i="1" s="1"/>
  <c r="D447" i="1"/>
  <c r="E447" i="1"/>
  <c r="C448" i="1"/>
  <c r="H448" i="1" s="1"/>
  <c r="D448" i="1"/>
  <c r="E448" i="1"/>
  <c r="C449" i="1"/>
  <c r="H449" i="1" s="1"/>
  <c r="D449" i="1"/>
  <c r="E449" i="1"/>
  <c r="C450" i="1"/>
  <c r="H450" i="1" s="1"/>
  <c r="D450" i="1"/>
  <c r="E450" i="1"/>
  <c r="C451" i="1"/>
  <c r="H451" i="1" s="1"/>
  <c r="D451" i="1"/>
  <c r="E451" i="1"/>
  <c r="C452" i="1"/>
  <c r="H452" i="1" s="1"/>
  <c r="D452" i="1"/>
  <c r="E452" i="1"/>
  <c r="C453" i="1"/>
  <c r="D453" i="1"/>
  <c r="E453" i="1"/>
  <c r="C454" i="1"/>
  <c r="H454" i="1" s="1"/>
  <c r="D454" i="1"/>
  <c r="E454" i="1"/>
  <c r="C455" i="1"/>
  <c r="H455" i="1" s="1"/>
  <c r="D455" i="1"/>
  <c r="E455" i="1"/>
  <c r="C456" i="1"/>
  <c r="H456" i="1" s="1"/>
  <c r="D456" i="1"/>
  <c r="E456" i="1"/>
  <c r="C457" i="1"/>
  <c r="H457" i="1" s="1"/>
  <c r="D457" i="1"/>
  <c r="E457" i="1"/>
  <c r="C458" i="1"/>
  <c r="H458" i="1" s="1"/>
  <c r="D458" i="1"/>
  <c r="E458" i="1"/>
  <c r="C459" i="1"/>
  <c r="H459" i="1" s="1"/>
  <c r="D459" i="1"/>
  <c r="E459" i="1"/>
  <c r="C460" i="1"/>
  <c r="H460" i="1" s="1"/>
  <c r="D460" i="1"/>
  <c r="E460" i="1"/>
  <c r="C461" i="1"/>
  <c r="H461" i="1" s="1"/>
  <c r="D461" i="1"/>
  <c r="E461" i="1"/>
  <c r="C462" i="1"/>
  <c r="H462" i="1" s="1"/>
  <c r="D462" i="1"/>
  <c r="E462" i="1"/>
  <c r="C463" i="1"/>
  <c r="H463" i="1" s="1"/>
  <c r="D463" i="1"/>
  <c r="E463" i="1"/>
  <c r="C464" i="1"/>
  <c r="D464" i="1"/>
  <c r="E464" i="1"/>
  <c r="H464" i="1"/>
  <c r="C465" i="1"/>
  <c r="H465" i="1" s="1"/>
  <c r="D465" i="1"/>
  <c r="E465" i="1"/>
  <c r="C466" i="1"/>
  <c r="H466" i="1" s="1"/>
  <c r="D466" i="1"/>
  <c r="E466" i="1"/>
  <c r="C467" i="1"/>
  <c r="H467" i="1" s="1"/>
  <c r="D467" i="1"/>
  <c r="E467" i="1"/>
  <c r="C468" i="1"/>
  <c r="H468" i="1" s="1"/>
  <c r="D468" i="1"/>
  <c r="E468" i="1"/>
  <c r="C469" i="1"/>
  <c r="H469" i="1" s="1"/>
  <c r="D469" i="1"/>
  <c r="E469" i="1"/>
  <c r="C470" i="1"/>
  <c r="H470" i="1" s="1"/>
  <c r="D470" i="1"/>
  <c r="E470" i="1"/>
  <c r="C471" i="1"/>
  <c r="H471" i="1" s="1"/>
  <c r="D471" i="1"/>
  <c r="E471" i="1"/>
  <c r="C472" i="1"/>
  <c r="H472" i="1" s="1"/>
  <c r="D472" i="1"/>
  <c r="E472" i="1"/>
  <c r="C473" i="1"/>
  <c r="H473" i="1" s="1"/>
  <c r="D473" i="1"/>
  <c r="E473" i="1"/>
  <c r="C474" i="1"/>
  <c r="H474" i="1" s="1"/>
  <c r="D474" i="1"/>
  <c r="E474" i="1"/>
  <c r="C475" i="1"/>
  <c r="H475" i="1" s="1"/>
  <c r="D475" i="1"/>
  <c r="E475" i="1"/>
  <c r="C476" i="1"/>
  <c r="H476" i="1" s="1"/>
  <c r="D476" i="1"/>
  <c r="E476" i="1"/>
  <c r="C477" i="1"/>
  <c r="D477" i="1"/>
  <c r="E477" i="1"/>
  <c r="C478" i="1"/>
  <c r="H478" i="1" s="1"/>
  <c r="D478" i="1"/>
  <c r="E478" i="1"/>
  <c r="C479" i="1"/>
  <c r="H479" i="1" s="1"/>
  <c r="D479" i="1"/>
  <c r="E479" i="1"/>
  <c r="C480" i="1"/>
  <c r="H480" i="1" s="1"/>
  <c r="D480" i="1"/>
  <c r="E480" i="1"/>
  <c r="C481" i="1"/>
  <c r="H481" i="1" s="1"/>
  <c r="D481" i="1"/>
  <c r="E481" i="1"/>
  <c r="C482" i="1"/>
  <c r="H482" i="1" s="1"/>
  <c r="D482" i="1"/>
  <c r="E482" i="1"/>
  <c r="C483" i="1"/>
  <c r="H483" i="1" s="1"/>
  <c r="D483" i="1"/>
  <c r="E483" i="1"/>
  <c r="C484" i="1"/>
  <c r="H484" i="1" s="1"/>
  <c r="D484" i="1"/>
  <c r="E484" i="1"/>
  <c r="C485" i="1"/>
  <c r="H485" i="1" s="1"/>
  <c r="D485" i="1"/>
  <c r="E485" i="1"/>
  <c r="C486" i="1"/>
  <c r="D486" i="1"/>
  <c r="E486" i="1"/>
  <c r="H486" i="1"/>
  <c r="C487" i="1"/>
  <c r="H487" i="1" s="1"/>
  <c r="D487" i="1"/>
  <c r="E487" i="1"/>
  <c r="C488" i="1"/>
  <c r="H488" i="1" s="1"/>
  <c r="D488" i="1"/>
  <c r="E488" i="1"/>
  <c r="C489" i="1"/>
  <c r="H489" i="1" s="1"/>
  <c r="D489" i="1"/>
  <c r="E489" i="1"/>
  <c r="C490" i="1"/>
  <c r="D490" i="1"/>
  <c r="E490" i="1"/>
  <c r="H490" i="1"/>
  <c r="C491" i="1"/>
  <c r="H491" i="1" s="1"/>
  <c r="D491" i="1"/>
  <c r="E491" i="1"/>
  <c r="C492" i="1"/>
  <c r="D492" i="1"/>
  <c r="E492" i="1"/>
  <c r="H492" i="1"/>
  <c r="C493" i="1"/>
  <c r="H493" i="1" s="1"/>
  <c r="D493" i="1"/>
  <c r="E493" i="1"/>
  <c r="C494" i="1"/>
  <c r="H494" i="1" s="1"/>
  <c r="D494" i="1"/>
  <c r="E494" i="1"/>
  <c r="C495" i="1"/>
  <c r="H495" i="1" s="1"/>
  <c r="D495" i="1"/>
  <c r="E495" i="1"/>
  <c r="C496" i="1"/>
  <c r="H496" i="1" s="1"/>
  <c r="D496" i="1"/>
  <c r="E496" i="1"/>
  <c r="C497" i="1"/>
  <c r="H497" i="1" s="1"/>
  <c r="D497" i="1"/>
  <c r="E497" i="1"/>
  <c r="C498" i="1"/>
  <c r="D498" i="1"/>
  <c r="E498" i="1"/>
  <c r="C499" i="1"/>
  <c r="H499" i="1" s="1"/>
  <c r="D499" i="1"/>
  <c r="E499" i="1"/>
  <c r="C500" i="1"/>
  <c r="H500" i="1" s="1"/>
  <c r="D500" i="1"/>
  <c r="E500" i="1"/>
  <c r="C501" i="1"/>
  <c r="H501" i="1" s="1"/>
  <c r="D501" i="1"/>
  <c r="E501" i="1"/>
  <c r="C502" i="1"/>
  <c r="H502" i="1" s="1"/>
  <c r="D502" i="1"/>
  <c r="E502" i="1"/>
  <c r="C503" i="1"/>
  <c r="H503" i="1" s="1"/>
  <c r="D503" i="1"/>
  <c r="E503" i="1"/>
  <c r="C504" i="1"/>
  <c r="H504" i="1" s="1"/>
  <c r="D504" i="1"/>
  <c r="E504" i="1"/>
  <c r="C505" i="1"/>
  <c r="H505" i="1" s="1"/>
  <c r="D505" i="1"/>
  <c r="E505" i="1"/>
  <c r="C506" i="1"/>
  <c r="H506" i="1" s="1"/>
  <c r="D506" i="1"/>
  <c r="E506" i="1"/>
  <c r="C507" i="1"/>
  <c r="H507" i="1" s="1"/>
  <c r="D507" i="1"/>
  <c r="E507" i="1"/>
  <c r="C508" i="1"/>
  <c r="H508" i="1" s="1"/>
  <c r="D508" i="1"/>
  <c r="E508" i="1"/>
  <c r="C509" i="1"/>
  <c r="H509" i="1" s="1"/>
  <c r="D509" i="1"/>
  <c r="E509" i="1"/>
  <c r="C510" i="1"/>
  <c r="H510" i="1" s="1"/>
  <c r="D510" i="1"/>
  <c r="E510" i="1"/>
  <c r="C511" i="1"/>
  <c r="H511" i="1" s="1"/>
  <c r="D511" i="1"/>
  <c r="E511" i="1"/>
  <c r="C512" i="1"/>
  <c r="H512" i="1" s="1"/>
  <c r="D512" i="1"/>
  <c r="E512" i="1"/>
  <c r="C513" i="1"/>
  <c r="H513" i="1" s="1"/>
  <c r="D513" i="1"/>
  <c r="E513" i="1"/>
  <c r="C514" i="1"/>
  <c r="H514" i="1" s="1"/>
  <c r="D514" i="1"/>
  <c r="E514" i="1"/>
  <c r="C515" i="1"/>
  <c r="H515" i="1" s="1"/>
  <c r="D515" i="1"/>
  <c r="E515" i="1"/>
  <c r="C516" i="1"/>
  <c r="H516" i="1" s="1"/>
  <c r="D516" i="1"/>
  <c r="E516" i="1"/>
  <c r="C517" i="1"/>
  <c r="H517" i="1" s="1"/>
  <c r="D517" i="1"/>
  <c r="E517" i="1"/>
  <c r="C518" i="1"/>
  <c r="H518" i="1" s="1"/>
  <c r="D518" i="1"/>
  <c r="E518" i="1"/>
  <c r="C519" i="1"/>
  <c r="H519" i="1" s="1"/>
  <c r="D519" i="1"/>
  <c r="E519" i="1"/>
  <c r="C520" i="1"/>
  <c r="H520" i="1" s="1"/>
  <c r="D520" i="1"/>
  <c r="E520" i="1"/>
  <c r="C521" i="1"/>
  <c r="H521" i="1" s="1"/>
  <c r="D521" i="1"/>
  <c r="E521" i="1"/>
  <c r="C522" i="1"/>
  <c r="D522" i="1"/>
  <c r="E522" i="1"/>
  <c r="H522" i="1"/>
  <c r="C523" i="1"/>
  <c r="H523" i="1" s="1"/>
  <c r="D523" i="1"/>
  <c r="E523" i="1"/>
  <c r="C524" i="1"/>
  <c r="H524" i="1" s="1"/>
  <c r="D524" i="1"/>
  <c r="E524" i="1"/>
  <c r="C525" i="1"/>
  <c r="H525" i="1" s="1"/>
  <c r="D525" i="1"/>
  <c r="E525" i="1"/>
  <c r="C526" i="1"/>
  <c r="G526" i="1" s="1"/>
  <c r="D526" i="1"/>
  <c r="E526" i="1"/>
  <c r="C527" i="1"/>
  <c r="H527" i="1" s="1"/>
  <c r="D527" i="1"/>
  <c r="E527" i="1"/>
  <c r="C528" i="1"/>
  <c r="H528" i="1" s="1"/>
  <c r="D528" i="1"/>
  <c r="E528" i="1"/>
  <c r="C529" i="1"/>
  <c r="H529" i="1" s="1"/>
  <c r="D529" i="1"/>
  <c r="E529" i="1"/>
  <c r="C530" i="1"/>
  <c r="H530" i="1" s="1"/>
  <c r="D530" i="1"/>
  <c r="E530" i="1"/>
  <c r="C531" i="1"/>
  <c r="H531" i="1" s="1"/>
  <c r="D531" i="1"/>
  <c r="E531" i="1"/>
  <c r="C532" i="1"/>
  <c r="H532" i="1" s="1"/>
  <c r="D532" i="1"/>
  <c r="E532" i="1"/>
  <c r="C533" i="1"/>
  <c r="H533" i="1" s="1"/>
  <c r="D533" i="1"/>
  <c r="E533" i="1"/>
  <c r="C534" i="1"/>
  <c r="H534" i="1" s="1"/>
  <c r="D534" i="1"/>
  <c r="E534" i="1"/>
  <c r="C535" i="1"/>
  <c r="H535" i="1" s="1"/>
  <c r="D535" i="1"/>
  <c r="E535" i="1"/>
  <c r="C536" i="1"/>
  <c r="D536" i="1"/>
  <c r="E536" i="1"/>
  <c r="H536" i="1"/>
  <c r="C537" i="1"/>
  <c r="H537" i="1" s="1"/>
  <c r="D537" i="1"/>
  <c r="E537" i="1"/>
  <c r="C538" i="1"/>
  <c r="H538" i="1" s="1"/>
  <c r="D538" i="1"/>
  <c r="E538" i="1"/>
  <c r="C539" i="1"/>
  <c r="H539" i="1" s="1"/>
  <c r="D539" i="1"/>
  <c r="E539" i="1"/>
  <c r="C540" i="1"/>
  <c r="H540" i="1" s="1"/>
  <c r="D540" i="1"/>
  <c r="E540" i="1"/>
  <c r="C541" i="1"/>
  <c r="H541" i="1" s="1"/>
  <c r="D541" i="1"/>
  <c r="E541" i="1"/>
  <c r="C542" i="1"/>
  <c r="D542" i="1"/>
  <c r="E542" i="1"/>
  <c r="H542" i="1"/>
  <c r="C543" i="1"/>
  <c r="H543" i="1" s="1"/>
  <c r="D543" i="1"/>
  <c r="E543" i="1"/>
  <c r="C544" i="1"/>
  <c r="H544" i="1" s="1"/>
  <c r="D544" i="1"/>
  <c r="E544" i="1"/>
  <c r="C545" i="1"/>
  <c r="H545" i="1" s="1"/>
  <c r="D545" i="1"/>
  <c r="E545" i="1"/>
  <c r="C546" i="1"/>
  <c r="H546" i="1" s="1"/>
  <c r="D546" i="1"/>
  <c r="E546" i="1"/>
  <c r="C547" i="1"/>
  <c r="H547" i="1" s="1"/>
  <c r="D547" i="1"/>
  <c r="E547" i="1"/>
  <c r="C548" i="1"/>
  <c r="H548" i="1" s="1"/>
  <c r="D548" i="1"/>
  <c r="E548" i="1"/>
  <c r="C549" i="1"/>
  <c r="H549" i="1" s="1"/>
  <c r="D549" i="1"/>
  <c r="E549" i="1"/>
  <c r="C550" i="1"/>
  <c r="H550" i="1" s="1"/>
  <c r="D550" i="1"/>
  <c r="E550" i="1"/>
  <c r="C551" i="1"/>
  <c r="H551" i="1" s="1"/>
  <c r="D551" i="1"/>
  <c r="E551" i="1"/>
  <c r="C552" i="1"/>
  <c r="H552" i="1" s="1"/>
  <c r="D552" i="1"/>
  <c r="E552" i="1"/>
  <c r="C553" i="1"/>
  <c r="D553" i="1"/>
  <c r="E553" i="1"/>
  <c r="H553" i="1"/>
  <c r="C554" i="1"/>
  <c r="H554" i="1" s="1"/>
  <c r="D554" i="1"/>
  <c r="E554" i="1"/>
  <c r="C555" i="1"/>
  <c r="H555" i="1" s="1"/>
  <c r="D555" i="1"/>
  <c r="E555" i="1"/>
  <c r="C556" i="1"/>
  <c r="D556" i="1"/>
  <c r="E556" i="1"/>
  <c r="C557" i="1"/>
  <c r="H557" i="1" s="1"/>
  <c r="D557" i="1"/>
  <c r="E557" i="1"/>
  <c r="C558" i="1"/>
  <c r="H558" i="1" s="1"/>
  <c r="D558" i="1"/>
  <c r="E558" i="1"/>
  <c r="C559" i="1"/>
  <c r="H559" i="1" s="1"/>
  <c r="D559" i="1"/>
  <c r="E559" i="1"/>
  <c r="C560" i="1"/>
  <c r="H560" i="1" s="1"/>
  <c r="D560" i="1"/>
  <c r="E560" i="1"/>
  <c r="C561" i="1"/>
  <c r="H561" i="1" s="1"/>
  <c r="D561" i="1"/>
  <c r="E561" i="1"/>
  <c r="C562" i="1"/>
  <c r="H562" i="1" s="1"/>
  <c r="D562" i="1"/>
  <c r="E562" i="1"/>
  <c r="C563" i="1"/>
  <c r="H563" i="1" s="1"/>
  <c r="D563" i="1"/>
  <c r="E563" i="1"/>
  <c r="C564" i="1"/>
  <c r="H564" i="1" s="1"/>
  <c r="D564" i="1"/>
  <c r="E564" i="1"/>
  <c r="C565" i="1"/>
  <c r="H565" i="1" s="1"/>
  <c r="D565" i="1"/>
  <c r="E565" i="1"/>
  <c r="C566" i="1"/>
  <c r="H566" i="1" s="1"/>
  <c r="D566" i="1"/>
  <c r="E566" i="1"/>
  <c r="C567" i="1"/>
  <c r="H567" i="1" s="1"/>
  <c r="D567" i="1"/>
  <c r="E567" i="1"/>
  <c r="C568" i="1"/>
  <c r="H568" i="1" s="1"/>
  <c r="D568" i="1"/>
  <c r="E568" i="1"/>
  <c r="C569" i="1"/>
  <c r="H569" i="1" s="1"/>
  <c r="D569" i="1"/>
  <c r="E569" i="1"/>
  <c r="C570" i="1"/>
  <c r="H570" i="1" s="1"/>
  <c r="D570" i="1"/>
  <c r="E570" i="1"/>
  <c r="C571" i="1"/>
  <c r="H571" i="1" s="1"/>
  <c r="D571" i="1"/>
  <c r="E571" i="1"/>
  <c r="C572" i="1"/>
  <c r="H572" i="1" s="1"/>
  <c r="D572" i="1"/>
  <c r="E572" i="1"/>
  <c r="C573" i="1"/>
  <c r="H573" i="1" s="1"/>
  <c r="D573" i="1"/>
  <c r="E573" i="1"/>
  <c r="C574" i="1"/>
  <c r="H574" i="1" s="1"/>
  <c r="D574" i="1"/>
  <c r="E574" i="1"/>
  <c r="C575" i="1"/>
  <c r="H575" i="1" s="1"/>
  <c r="D575" i="1"/>
  <c r="E575" i="1"/>
  <c r="C576" i="1"/>
  <c r="H576" i="1" s="1"/>
  <c r="D576" i="1"/>
  <c r="E576" i="1"/>
  <c r="C577" i="1"/>
  <c r="H577" i="1" s="1"/>
  <c r="D577" i="1"/>
  <c r="E577" i="1"/>
  <c r="C578" i="1"/>
  <c r="H578" i="1" s="1"/>
  <c r="D578" i="1"/>
  <c r="E578" i="1"/>
  <c r="C579" i="1"/>
  <c r="H579" i="1" s="1"/>
  <c r="D579" i="1"/>
  <c r="E579" i="1"/>
  <c r="C580" i="1"/>
  <c r="H580" i="1" s="1"/>
  <c r="D580" i="1"/>
  <c r="E580" i="1"/>
  <c r="C581" i="1"/>
  <c r="H581" i="1" s="1"/>
  <c r="D581" i="1"/>
  <c r="E581" i="1"/>
  <c r="C582" i="1"/>
  <c r="H582" i="1" s="1"/>
  <c r="D582" i="1"/>
  <c r="E582" i="1"/>
  <c r="C583" i="1"/>
  <c r="H583" i="1" s="1"/>
  <c r="D583" i="1"/>
  <c r="E583" i="1"/>
  <c r="C584" i="1"/>
  <c r="D584" i="1"/>
  <c r="E584" i="1"/>
  <c r="C585" i="1"/>
  <c r="D585" i="1"/>
  <c r="E585" i="1"/>
  <c r="C586" i="1"/>
  <c r="H586" i="1" s="1"/>
  <c r="D586" i="1"/>
  <c r="E586" i="1"/>
  <c r="C587" i="1"/>
  <c r="H587" i="1" s="1"/>
  <c r="D587" i="1"/>
  <c r="E587" i="1"/>
  <c r="C588" i="1"/>
  <c r="H588" i="1" s="1"/>
  <c r="D588" i="1"/>
  <c r="E588" i="1"/>
  <c r="C589" i="1"/>
  <c r="D589" i="1"/>
  <c r="E589" i="1"/>
  <c r="H589" i="1"/>
  <c r="C590" i="1"/>
  <c r="H590" i="1" s="1"/>
  <c r="D590" i="1"/>
  <c r="E590" i="1"/>
  <c r="C591" i="1"/>
  <c r="H591" i="1" s="1"/>
  <c r="D591" i="1"/>
  <c r="E591" i="1"/>
  <c r="C592" i="1"/>
  <c r="H592" i="1" s="1"/>
  <c r="D592" i="1"/>
  <c r="E592" i="1"/>
  <c r="C593" i="1"/>
  <c r="H593" i="1" s="1"/>
  <c r="D593" i="1"/>
  <c r="E593" i="1"/>
  <c r="C594" i="1"/>
  <c r="H594" i="1" s="1"/>
  <c r="D594" i="1"/>
  <c r="E594" i="1"/>
  <c r="C595" i="1"/>
  <c r="D595" i="1"/>
  <c r="E595" i="1"/>
  <c r="H595" i="1"/>
  <c r="C596" i="1"/>
  <c r="H596" i="1" s="1"/>
  <c r="D596" i="1"/>
  <c r="E596" i="1"/>
  <c r="C597" i="1"/>
  <c r="H597" i="1" s="1"/>
  <c r="D597" i="1"/>
  <c r="E597" i="1"/>
  <c r="C598" i="1"/>
  <c r="H598" i="1" s="1"/>
  <c r="D598" i="1"/>
  <c r="E598" i="1"/>
  <c r="C599" i="1"/>
  <c r="H599" i="1" s="1"/>
  <c r="D599" i="1"/>
  <c r="E599" i="1"/>
  <c r="C600" i="1"/>
  <c r="H600" i="1" s="1"/>
  <c r="D600" i="1"/>
  <c r="E600" i="1"/>
  <c r="C601" i="1"/>
  <c r="D601" i="1"/>
  <c r="E601" i="1"/>
  <c r="H601" i="1"/>
  <c r="C602" i="1"/>
  <c r="H602" i="1" s="1"/>
  <c r="D602" i="1"/>
  <c r="E602" i="1"/>
  <c r="C603" i="1"/>
  <c r="D603" i="1"/>
  <c r="E603" i="1"/>
  <c r="C604" i="1"/>
  <c r="H604" i="1" s="1"/>
  <c r="D604" i="1"/>
  <c r="E604" i="1"/>
  <c r="C605" i="1"/>
  <c r="D605" i="1"/>
  <c r="E605" i="1"/>
  <c r="H605" i="1"/>
  <c r="C606" i="1"/>
  <c r="H606" i="1" s="1"/>
  <c r="D606" i="1"/>
  <c r="E606" i="1"/>
  <c r="C607" i="1"/>
  <c r="H607" i="1" s="1"/>
  <c r="D607" i="1"/>
  <c r="E607" i="1"/>
  <c r="C608" i="1"/>
  <c r="H608" i="1" s="1"/>
  <c r="D608" i="1"/>
  <c r="E608" i="1"/>
  <c r="C609" i="1"/>
  <c r="H609" i="1" s="1"/>
  <c r="D609" i="1"/>
  <c r="E609" i="1"/>
  <c r="C610" i="1"/>
  <c r="H610" i="1" s="1"/>
  <c r="D610" i="1"/>
  <c r="E610" i="1"/>
  <c r="C611" i="1"/>
  <c r="D611" i="1"/>
  <c r="E611" i="1"/>
  <c r="H611" i="1"/>
  <c r="C612" i="1"/>
  <c r="H612" i="1" s="1"/>
  <c r="D612" i="1"/>
  <c r="E612" i="1"/>
  <c r="C613" i="1"/>
  <c r="H613" i="1" s="1"/>
  <c r="D613" i="1"/>
  <c r="E613" i="1"/>
  <c r="C614" i="1"/>
  <c r="H614" i="1" s="1"/>
  <c r="D614" i="1"/>
  <c r="E614" i="1"/>
  <c r="C615" i="1"/>
  <c r="D615" i="1"/>
  <c r="E615" i="1"/>
  <c r="C616" i="1"/>
  <c r="H616" i="1" s="1"/>
  <c r="D616" i="1"/>
  <c r="E616" i="1"/>
  <c r="C617" i="1"/>
  <c r="H617" i="1" s="1"/>
  <c r="D617" i="1"/>
  <c r="E617" i="1"/>
  <c r="C618" i="1"/>
  <c r="H618" i="1" s="1"/>
  <c r="D618" i="1"/>
  <c r="E618" i="1"/>
  <c r="C619" i="1"/>
  <c r="H619" i="1" s="1"/>
  <c r="D619" i="1"/>
  <c r="E619" i="1"/>
  <c r="C620" i="1"/>
  <c r="H620" i="1" s="1"/>
  <c r="D620" i="1"/>
  <c r="E620" i="1"/>
  <c r="C621" i="1"/>
  <c r="D621" i="1"/>
  <c r="E621" i="1"/>
  <c r="H621" i="1"/>
  <c r="C622" i="1"/>
  <c r="H622" i="1" s="1"/>
  <c r="D622" i="1"/>
  <c r="E622" i="1"/>
  <c r="C623" i="1"/>
  <c r="H623" i="1" s="1"/>
  <c r="D623" i="1"/>
  <c r="E623" i="1"/>
  <c r="C624" i="1"/>
  <c r="H624" i="1" s="1"/>
  <c r="D624" i="1"/>
  <c r="E624" i="1"/>
  <c r="C625" i="1"/>
  <c r="H625" i="1" s="1"/>
  <c r="D625" i="1"/>
  <c r="E625" i="1"/>
  <c r="C626" i="1"/>
  <c r="H626" i="1" s="1"/>
  <c r="D626" i="1"/>
  <c r="E626" i="1"/>
  <c r="C627" i="1"/>
  <c r="D627" i="1"/>
  <c r="E627" i="1"/>
  <c r="H627" i="1"/>
  <c r="C628" i="1"/>
  <c r="H628" i="1" s="1"/>
  <c r="D628" i="1"/>
  <c r="E628" i="1"/>
  <c r="C629" i="1"/>
  <c r="H629" i="1" s="1"/>
  <c r="D629" i="1"/>
  <c r="E629" i="1"/>
  <c r="C630" i="1"/>
  <c r="H630" i="1" s="1"/>
  <c r="D630" i="1"/>
  <c r="E630" i="1"/>
  <c r="C631" i="1"/>
  <c r="H631" i="1" s="1"/>
  <c r="D631" i="1"/>
  <c r="E631" i="1"/>
  <c r="C632" i="1"/>
  <c r="H632" i="1" s="1"/>
  <c r="D632" i="1"/>
  <c r="E632" i="1"/>
  <c r="C633" i="1"/>
  <c r="H633" i="1" s="1"/>
  <c r="D633" i="1"/>
  <c r="E633" i="1"/>
  <c r="C634" i="1"/>
  <c r="H634" i="1" s="1"/>
  <c r="D634" i="1"/>
  <c r="E634" i="1"/>
  <c r="C635" i="1"/>
  <c r="H635" i="1" s="1"/>
  <c r="D635" i="1"/>
  <c r="E635" i="1"/>
  <c r="C636" i="1"/>
  <c r="H636" i="1" s="1"/>
  <c r="D636" i="1"/>
  <c r="E636" i="1"/>
  <c r="C637" i="1"/>
  <c r="D637" i="1"/>
  <c r="E637" i="1"/>
  <c r="H637" i="1"/>
  <c r="C638" i="1"/>
  <c r="H638" i="1" s="1"/>
  <c r="D638" i="1"/>
  <c r="E638" i="1"/>
  <c r="C639" i="1"/>
  <c r="D639" i="1"/>
  <c r="E639" i="1"/>
  <c r="C640" i="1"/>
  <c r="H640" i="1" s="1"/>
  <c r="D640" i="1"/>
  <c r="E640" i="1"/>
  <c r="C641" i="1"/>
  <c r="H641" i="1" s="1"/>
  <c r="D641" i="1"/>
  <c r="E641" i="1"/>
  <c r="C642" i="1"/>
  <c r="H642" i="1" s="1"/>
  <c r="D642" i="1"/>
  <c r="E642" i="1"/>
  <c r="C643" i="1"/>
  <c r="D643" i="1"/>
  <c r="E643" i="1"/>
  <c r="H643" i="1"/>
  <c r="C644" i="1"/>
  <c r="H644" i="1" s="1"/>
  <c r="D644" i="1"/>
  <c r="E644" i="1"/>
  <c r="C645" i="1"/>
  <c r="H645" i="1" s="1"/>
  <c r="D645" i="1"/>
  <c r="E645" i="1"/>
  <c r="C646" i="1"/>
  <c r="H646" i="1" s="1"/>
  <c r="D646" i="1"/>
  <c r="E646" i="1"/>
  <c r="C647" i="1"/>
  <c r="H647" i="1" s="1"/>
  <c r="D647" i="1"/>
  <c r="E647" i="1"/>
  <c r="C648" i="1"/>
  <c r="H648" i="1" s="1"/>
  <c r="D648" i="1"/>
  <c r="E648" i="1"/>
  <c r="C649" i="1"/>
  <c r="D649" i="1"/>
  <c r="E649" i="1"/>
  <c r="H649" i="1"/>
  <c r="C650" i="1"/>
  <c r="H650" i="1" s="1"/>
  <c r="D650" i="1"/>
  <c r="E650" i="1"/>
  <c r="C651" i="1"/>
  <c r="H651" i="1" s="1"/>
  <c r="D651" i="1"/>
  <c r="E651" i="1"/>
  <c r="C652" i="1"/>
  <c r="D652" i="1"/>
  <c r="E652" i="1"/>
  <c r="C653" i="1"/>
  <c r="H653" i="1" s="1"/>
  <c r="D653" i="1"/>
  <c r="E653" i="1"/>
  <c r="C654" i="1"/>
  <c r="H654" i="1" s="1"/>
  <c r="D654" i="1"/>
  <c r="E654" i="1"/>
  <c r="C655" i="1"/>
  <c r="H655" i="1" s="1"/>
  <c r="D655" i="1"/>
  <c r="E655" i="1"/>
  <c r="C656" i="1"/>
  <c r="H656" i="1" s="1"/>
  <c r="D656" i="1"/>
  <c r="E656" i="1"/>
  <c r="C657" i="1"/>
  <c r="H657" i="1" s="1"/>
  <c r="D657" i="1"/>
  <c r="E657" i="1"/>
  <c r="C658" i="1"/>
  <c r="H658" i="1" s="1"/>
  <c r="D658" i="1"/>
  <c r="E658" i="1"/>
  <c r="C659" i="1"/>
  <c r="H659" i="1" s="1"/>
  <c r="D659" i="1"/>
  <c r="E659" i="1"/>
  <c r="C660" i="1"/>
  <c r="H660" i="1" s="1"/>
  <c r="D660" i="1"/>
  <c r="E660" i="1"/>
  <c r="C661" i="1"/>
  <c r="H661" i="1" s="1"/>
  <c r="D661" i="1"/>
  <c r="E661" i="1"/>
  <c r="C662" i="1"/>
  <c r="H662" i="1" s="1"/>
  <c r="D662" i="1"/>
  <c r="E662" i="1"/>
  <c r="C663" i="1"/>
  <c r="H663" i="1" s="1"/>
  <c r="D663" i="1"/>
  <c r="E663" i="1"/>
  <c r="C664" i="1"/>
  <c r="H664" i="1" s="1"/>
  <c r="D664" i="1"/>
  <c r="E664" i="1"/>
  <c r="C665" i="1"/>
  <c r="H665" i="1" s="1"/>
  <c r="D665" i="1"/>
  <c r="E665" i="1"/>
  <c r="C666" i="1"/>
  <c r="H666" i="1" s="1"/>
  <c r="D666" i="1"/>
  <c r="E666" i="1"/>
  <c r="C667" i="1"/>
  <c r="H667" i="1" s="1"/>
  <c r="D667" i="1"/>
  <c r="E667" i="1"/>
  <c r="C668" i="1"/>
  <c r="H668" i="1" s="1"/>
  <c r="D668" i="1"/>
  <c r="E668" i="1"/>
  <c r="C669" i="1"/>
  <c r="H669" i="1" s="1"/>
  <c r="D669" i="1"/>
  <c r="E669" i="1"/>
  <c r="C670" i="1"/>
  <c r="D670" i="1"/>
  <c r="E670" i="1"/>
  <c r="C671" i="1"/>
  <c r="D671" i="1"/>
  <c r="E671" i="1"/>
  <c r="H671" i="1"/>
  <c r="C672" i="1"/>
  <c r="H672" i="1" s="1"/>
  <c r="D672" i="1"/>
  <c r="E672" i="1"/>
  <c r="C673" i="1"/>
  <c r="H673" i="1" s="1"/>
  <c r="D673" i="1"/>
  <c r="E673" i="1"/>
  <c r="C674" i="1"/>
  <c r="H674" i="1" s="1"/>
  <c r="D674" i="1"/>
  <c r="E674" i="1"/>
  <c r="C675" i="1"/>
  <c r="H675" i="1" s="1"/>
  <c r="D675" i="1"/>
  <c r="E675" i="1"/>
  <c r="C676" i="1"/>
  <c r="H676" i="1" s="1"/>
  <c r="D676" i="1"/>
  <c r="E676" i="1"/>
  <c r="C677" i="1"/>
  <c r="D677" i="1"/>
  <c r="E677" i="1"/>
  <c r="H677" i="1"/>
  <c r="C678" i="1"/>
  <c r="H678" i="1" s="1"/>
  <c r="D678" i="1"/>
  <c r="E678" i="1"/>
  <c r="C679" i="1"/>
  <c r="H679" i="1" s="1"/>
  <c r="D679" i="1"/>
  <c r="E679" i="1"/>
  <c r="C680" i="1"/>
  <c r="H680" i="1" s="1"/>
  <c r="D680" i="1"/>
  <c r="E680" i="1"/>
  <c r="C681" i="1"/>
  <c r="H681" i="1" s="1"/>
  <c r="D681" i="1"/>
  <c r="E681" i="1"/>
  <c r="C682" i="1"/>
  <c r="H682" i="1" s="1"/>
  <c r="D682" i="1"/>
  <c r="E682" i="1"/>
  <c r="C683" i="1"/>
  <c r="H683" i="1" s="1"/>
  <c r="D683" i="1"/>
  <c r="E683" i="1"/>
  <c r="C684" i="1"/>
  <c r="H684" i="1" s="1"/>
  <c r="D684" i="1"/>
  <c r="E684" i="1"/>
  <c r="C685" i="1"/>
  <c r="H685" i="1" s="1"/>
  <c r="D685" i="1"/>
  <c r="E685" i="1"/>
  <c r="C686" i="1"/>
  <c r="H686" i="1" s="1"/>
  <c r="D686" i="1"/>
  <c r="E686" i="1"/>
  <c r="C687" i="1"/>
  <c r="H687" i="1" s="1"/>
  <c r="D687" i="1"/>
  <c r="E687" i="1"/>
  <c r="C688" i="1"/>
  <c r="H688" i="1" s="1"/>
  <c r="D688" i="1"/>
  <c r="E688" i="1"/>
  <c r="C689" i="1"/>
  <c r="H689" i="1" s="1"/>
  <c r="D689" i="1"/>
  <c r="E689" i="1"/>
  <c r="C690" i="1"/>
  <c r="H690" i="1" s="1"/>
  <c r="D690" i="1"/>
  <c r="E690" i="1"/>
  <c r="C691" i="1"/>
  <c r="H691" i="1" s="1"/>
  <c r="D691" i="1"/>
  <c r="E691" i="1"/>
  <c r="C692" i="1"/>
  <c r="H692" i="1" s="1"/>
  <c r="D692" i="1"/>
  <c r="E692" i="1"/>
  <c r="C693" i="1"/>
  <c r="D693" i="1"/>
  <c r="E693" i="1"/>
  <c r="H693" i="1"/>
  <c r="C694" i="1"/>
  <c r="H694" i="1" s="1"/>
  <c r="D694" i="1"/>
  <c r="E694" i="1"/>
  <c r="C695" i="1"/>
  <c r="H695" i="1" s="1"/>
  <c r="D695" i="1"/>
  <c r="E695" i="1"/>
  <c r="C696" i="1"/>
  <c r="D696" i="1"/>
  <c r="E696" i="1"/>
  <c r="C697" i="1"/>
  <c r="H697" i="1" s="1"/>
  <c r="D697" i="1"/>
  <c r="E697" i="1"/>
  <c r="C698" i="1"/>
  <c r="H698" i="1" s="1"/>
  <c r="D698" i="1"/>
  <c r="E698" i="1"/>
  <c r="C699" i="1"/>
  <c r="H699" i="1" s="1"/>
  <c r="D699" i="1"/>
  <c r="E699" i="1"/>
  <c r="C700" i="1"/>
  <c r="H700" i="1" s="1"/>
  <c r="D700" i="1"/>
  <c r="E700" i="1"/>
  <c r="C701" i="1"/>
  <c r="H701" i="1" s="1"/>
  <c r="D701" i="1"/>
  <c r="E701" i="1"/>
  <c r="C702" i="1"/>
  <c r="H702" i="1" s="1"/>
  <c r="D702" i="1"/>
  <c r="E702" i="1"/>
  <c r="C703" i="1"/>
  <c r="H703" i="1" s="1"/>
  <c r="D703" i="1"/>
  <c r="E703" i="1"/>
  <c r="C704" i="1"/>
  <c r="H704" i="1" s="1"/>
  <c r="D704" i="1"/>
  <c r="E704" i="1"/>
  <c r="C705" i="1"/>
  <c r="H705" i="1" s="1"/>
  <c r="D705" i="1"/>
  <c r="E705" i="1"/>
  <c r="C706" i="1"/>
  <c r="H706" i="1" s="1"/>
  <c r="D706" i="1"/>
  <c r="E706" i="1"/>
  <c r="C707" i="1"/>
  <c r="H707" i="1" s="1"/>
  <c r="D707" i="1"/>
  <c r="E707" i="1"/>
  <c r="C708" i="1"/>
  <c r="H708" i="1" s="1"/>
  <c r="D708" i="1"/>
  <c r="E708" i="1"/>
  <c r="C709" i="1"/>
  <c r="H709" i="1" s="1"/>
  <c r="D709" i="1"/>
  <c r="E709" i="1"/>
  <c r="C710" i="1"/>
  <c r="H710" i="1" s="1"/>
  <c r="D710" i="1"/>
  <c r="E710" i="1"/>
  <c r="C711" i="1"/>
  <c r="H711" i="1" s="1"/>
  <c r="D711" i="1"/>
  <c r="E711" i="1"/>
  <c r="C712" i="1"/>
  <c r="H712" i="1" s="1"/>
  <c r="D712" i="1"/>
  <c r="E712" i="1"/>
  <c r="C713" i="1"/>
  <c r="H713" i="1" s="1"/>
  <c r="D713" i="1"/>
  <c r="E713" i="1"/>
  <c r="C714" i="1"/>
  <c r="D714" i="1"/>
  <c r="E714" i="1"/>
  <c r="C715" i="1"/>
  <c r="D715" i="1"/>
  <c r="E715" i="1"/>
  <c r="H715" i="1"/>
  <c r="C716" i="1"/>
  <c r="H716" i="1" s="1"/>
  <c r="D716" i="1"/>
  <c r="E716" i="1"/>
  <c r="C717" i="1"/>
  <c r="H717" i="1" s="1"/>
  <c r="D717" i="1"/>
  <c r="E717" i="1"/>
  <c r="C718" i="1"/>
  <c r="H718" i="1" s="1"/>
  <c r="D718" i="1"/>
  <c r="E718" i="1"/>
  <c r="C719" i="1"/>
  <c r="H719" i="1" s="1"/>
  <c r="D719" i="1"/>
  <c r="E719" i="1"/>
  <c r="C720" i="1"/>
  <c r="H720" i="1" s="1"/>
  <c r="D720" i="1"/>
  <c r="E720" i="1"/>
  <c r="C721" i="1"/>
  <c r="H721" i="1" s="1"/>
  <c r="D721" i="1"/>
  <c r="E721" i="1"/>
  <c r="C722" i="1"/>
  <c r="H722" i="1" s="1"/>
  <c r="D722" i="1"/>
  <c r="E722" i="1"/>
  <c r="C723" i="1"/>
  <c r="H723" i="1" s="1"/>
  <c r="D723" i="1"/>
  <c r="E723" i="1"/>
  <c r="C724" i="1"/>
  <c r="H724" i="1" s="1"/>
  <c r="D724" i="1"/>
  <c r="E724" i="1"/>
  <c r="C725" i="1"/>
  <c r="H725" i="1" s="1"/>
  <c r="D725" i="1"/>
  <c r="E725" i="1"/>
  <c r="C726" i="1"/>
  <c r="H726" i="1" s="1"/>
  <c r="D726" i="1"/>
  <c r="E726" i="1"/>
  <c r="C727" i="1"/>
  <c r="H727" i="1" s="1"/>
  <c r="D727" i="1"/>
  <c r="E727" i="1"/>
  <c r="C728" i="1"/>
  <c r="H728" i="1" s="1"/>
  <c r="D728" i="1"/>
  <c r="E728" i="1"/>
  <c r="C729" i="1"/>
  <c r="D729" i="1"/>
  <c r="E729" i="1"/>
  <c r="H729" i="1"/>
  <c r="C730" i="1"/>
  <c r="H730" i="1" s="1"/>
  <c r="D730" i="1"/>
  <c r="E730" i="1"/>
  <c r="C731" i="1"/>
  <c r="H731" i="1" s="1"/>
  <c r="D731" i="1"/>
  <c r="E731" i="1"/>
  <c r="C732" i="1"/>
  <c r="H732" i="1" s="1"/>
  <c r="D732" i="1"/>
  <c r="E732" i="1"/>
  <c r="C733" i="1"/>
  <c r="D733" i="1"/>
  <c r="E733" i="1"/>
  <c r="C734" i="1"/>
  <c r="H734" i="1" s="1"/>
  <c r="D734" i="1"/>
  <c r="E734" i="1"/>
  <c r="C735" i="1"/>
  <c r="H735" i="1" s="1"/>
  <c r="D735" i="1"/>
  <c r="E735" i="1"/>
  <c r="C736" i="1"/>
  <c r="H736" i="1" s="1"/>
  <c r="D736" i="1"/>
  <c r="E736" i="1"/>
  <c r="C737" i="1"/>
  <c r="H737" i="1" s="1"/>
  <c r="D737" i="1"/>
  <c r="E737" i="1"/>
  <c r="C738" i="1"/>
  <c r="H738" i="1" s="1"/>
  <c r="D738" i="1"/>
  <c r="E738" i="1"/>
  <c r="C739" i="1"/>
  <c r="D739" i="1"/>
  <c r="E739" i="1"/>
  <c r="H739" i="1"/>
  <c r="C740" i="1"/>
  <c r="H740" i="1" s="1"/>
  <c r="D740" i="1"/>
  <c r="E740" i="1"/>
  <c r="C741" i="1"/>
  <c r="H741" i="1" s="1"/>
  <c r="D741" i="1"/>
  <c r="E741" i="1"/>
  <c r="C742" i="1"/>
  <c r="H742" i="1" s="1"/>
  <c r="D742" i="1"/>
  <c r="E742" i="1"/>
  <c r="C743" i="1"/>
  <c r="H743" i="1" s="1"/>
  <c r="D743" i="1"/>
  <c r="E743" i="1"/>
  <c r="C744" i="1"/>
  <c r="H744" i="1" s="1"/>
  <c r="D744" i="1"/>
  <c r="E744" i="1"/>
  <c r="C745" i="1"/>
  <c r="H745" i="1" s="1"/>
  <c r="D745" i="1"/>
  <c r="E745" i="1"/>
  <c r="C746" i="1"/>
  <c r="H746" i="1" s="1"/>
  <c r="D746" i="1"/>
  <c r="E746" i="1"/>
  <c r="C747" i="1"/>
  <c r="H747" i="1" s="1"/>
  <c r="D747" i="1"/>
  <c r="E747" i="1"/>
  <c r="C748" i="1"/>
  <c r="H748" i="1" s="1"/>
  <c r="D748" i="1"/>
  <c r="E748" i="1"/>
  <c r="C749" i="1"/>
  <c r="D749" i="1"/>
  <c r="E749" i="1"/>
  <c r="H749" i="1"/>
  <c r="C750" i="1"/>
  <c r="H750" i="1" s="1"/>
  <c r="D750" i="1"/>
  <c r="E750" i="1"/>
  <c r="C751" i="1"/>
  <c r="H751" i="1" s="1"/>
  <c r="D751" i="1"/>
  <c r="E751" i="1"/>
  <c r="C752" i="1"/>
  <c r="H752" i="1" s="1"/>
  <c r="D752" i="1"/>
  <c r="E752" i="1"/>
  <c r="C753" i="1"/>
  <c r="H753" i="1" s="1"/>
  <c r="D753" i="1"/>
  <c r="E753" i="1"/>
  <c r="C754" i="1"/>
  <c r="H754" i="1" s="1"/>
  <c r="D754" i="1"/>
  <c r="E754" i="1"/>
  <c r="C755" i="1"/>
  <c r="D755" i="1"/>
  <c r="E755" i="1"/>
  <c r="C756" i="1"/>
  <c r="H756" i="1" s="1"/>
  <c r="D756" i="1"/>
  <c r="E756" i="1"/>
  <c r="C757" i="1"/>
  <c r="H757" i="1" s="1"/>
  <c r="D757" i="1"/>
  <c r="E757" i="1"/>
  <c r="C758" i="1"/>
  <c r="H758" i="1" s="1"/>
  <c r="D758" i="1"/>
  <c r="E758" i="1"/>
  <c r="C759" i="1"/>
  <c r="H759" i="1" s="1"/>
  <c r="D759" i="1"/>
  <c r="E759" i="1"/>
  <c r="C760" i="1"/>
  <c r="H760" i="1" s="1"/>
  <c r="D760" i="1"/>
  <c r="E760" i="1"/>
  <c r="C761" i="1"/>
  <c r="H761" i="1" s="1"/>
  <c r="D761" i="1"/>
  <c r="E761" i="1"/>
  <c r="C762" i="1"/>
  <c r="H762" i="1" s="1"/>
  <c r="D762" i="1"/>
  <c r="E762" i="1"/>
  <c r="C763" i="1"/>
  <c r="H763" i="1" s="1"/>
  <c r="D763" i="1"/>
  <c r="E763" i="1"/>
  <c r="C764" i="1"/>
  <c r="H764" i="1" s="1"/>
  <c r="D764" i="1"/>
  <c r="E764" i="1"/>
  <c r="C765" i="1"/>
  <c r="D765" i="1"/>
  <c r="E765" i="1"/>
  <c r="H765" i="1"/>
  <c r="C766" i="1"/>
  <c r="H766" i="1" s="1"/>
  <c r="D766" i="1"/>
  <c r="E766" i="1"/>
  <c r="C767" i="1"/>
  <c r="H767" i="1" s="1"/>
  <c r="D767" i="1"/>
  <c r="E767" i="1"/>
  <c r="C768" i="1"/>
  <c r="H768" i="1" s="1"/>
  <c r="D768" i="1"/>
  <c r="E768" i="1"/>
  <c r="C769" i="1"/>
  <c r="D769" i="1"/>
  <c r="E769" i="1"/>
  <c r="H769" i="1"/>
  <c r="C770" i="1"/>
  <c r="H770" i="1" s="1"/>
  <c r="D770" i="1"/>
  <c r="E770" i="1"/>
  <c r="C771" i="1"/>
  <c r="D771" i="1"/>
  <c r="E771" i="1"/>
  <c r="H771" i="1"/>
  <c r="C772" i="1"/>
  <c r="H772" i="1" s="1"/>
  <c r="D772" i="1"/>
  <c r="E772" i="1"/>
  <c r="C773" i="1"/>
  <c r="H773" i="1" s="1"/>
  <c r="D773" i="1"/>
  <c r="E773" i="1"/>
  <c r="C774" i="1"/>
  <c r="H774" i="1" s="1"/>
  <c r="D774" i="1"/>
  <c r="E774" i="1"/>
  <c r="C775" i="1"/>
  <c r="H775" i="1" s="1"/>
  <c r="D775" i="1"/>
  <c r="E775" i="1"/>
  <c r="C776" i="1"/>
  <c r="H776" i="1" s="1"/>
  <c r="D776" i="1"/>
  <c r="E776" i="1"/>
  <c r="C777" i="1"/>
  <c r="H777" i="1" s="1"/>
  <c r="D777" i="1"/>
  <c r="E777" i="1"/>
  <c r="C778" i="1"/>
  <c r="H778" i="1" s="1"/>
  <c r="D778" i="1"/>
  <c r="E778" i="1"/>
  <c r="C779" i="1"/>
  <c r="H779" i="1" s="1"/>
  <c r="D779" i="1"/>
  <c r="E779" i="1"/>
  <c r="C780" i="1"/>
  <c r="H780" i="1" s="1"/>
  <c r="D780" i="1"/>
  <c r="E780" i="1"/>
  <c r="C781" i="1"/>
  <c r="H781" i="1" s="1"/>
  <c r="D781" i="1"/>
  <c r="E781" i="1"/>
  <c r="C782" i="1"/>
  <c r="H782" i="1" s="1"/>
  <c r="D782" i="1"/>
  <c r="E782" i="1"/>
  <c r="C783" i="1"/>
  <c r="H783" i="1" s="1"/>
  <c r="D783" i="1"/>
  <c r="E783" i="1"/>
  <c r="C784" i="1"/>
  <c r="H784" i="1" s="1"/>
  <c r="D784" i="1"/>
  <c r="E784" i="1"/>
  <c r="C785" i="1"/>
  <c r="H785" i="1" s="1"/>
  <c r="D785" i="1"/>
  <c r="E785" i="1"/>
  <c r="C786" i="1"/>
  <c r="H786" i="1" s="1"/>
  <c r="D786" i="1"/>
  <c r="E786" i="1"/>
  <c r="C787" i="1"/>
  <c r="H787" i="1" s="1"/>
  <c r="D787" i="1"/>
  <c r="E787" i="1"/>
  <c r="C788" i="1"/>
  <c r="H788" i="1" s="1"/>
  <c r="D788" i="1"/>
  <c r="E788" i="1"/>
  <c r="C789" i="1"/>
  <c r="H789" i="1" s="1"/>
  <c r="D789" i="1"/>
  <c r="E789" i="1"/>
  <c r="C790" i="1"/>
  <c r="H790" i="1" s="1"/>
  <c r="D790" i="1"/>
  <c r="E790" i="1"/>
  <c r="C791" i="1"/>
  <c r="H791" i="1" s="1"/>
  <c r="D791" i="1"/>
  <c r="E791" i="1"/>
  <c r="C792" i="1"/>
  <c r="H792" i="1" s="1"/>
  <c r="D792" i="1"/>
  <c r="E792" i="1"/>
  <c r="C793" i="1"/>
  <c r="D793" i="1"/>
  <c r="E793" i="1"/>
  <c r="C794" i="1"/>
  <c r="H794" i="1" s="1"/>
  <c r="D794" i="1"/>
  <c r="E794" i="1"/>
  <c r="C795" i="1"/>
  <c r="H795" i="1" s="1"/>
  <c r="D795" i="1"/>
  <c r="E795" i="1"/>
  <c r="C796" i="1"/>
  <c r="H796" i="1" s="1"/>
  <c r="D796" i="1"/>
  <c r="E796" i="1"/>
  <c r="C797" i="1"/>
  <c r="D797" i="1"/>
  <c r="E797" i="1"/>
  <c r="H797" i="1"/>
  <c r="C798" i="1"/>
  <c r="H798" i="1" s="1"/>
  <c r="D798" i="1"/>
  <c r="E798" i="1"/>
  <c r="C799" i="1"/>
  <c r="H799" i="1" s="1"/>
  <c r="D799" i="1"/>
  <c r="E799" i="1"/>
  <c r="C800" i="1"/>
  <c r="H800" i="1" s="1"/>
  <c r="D800" i="1"/>
  <c r="E800" i="1"/>
  <c r="C801" i="1"/>
  <c r="H801" i="1" s="1"/>
  <c r="D801" i="1"/>
  <c r="E801" i="1"/>
  <c r="C802" i="1"/>
  <c r="H802" i="1" s="1"/>
  <c r="D802" i="1"/>
  <c r="E802" i="1"/>
  <c r="C803" i="1"/>
  <c r="D803" i="1"/>
  <c r="E803" i="1"/>
  <c r="H803" i="1"/>
  <c r="C804" i="1"/>
  <c r="H804" i="1" s="1"/>
  <c r="D804" i="1"/>
  <c r="E804" i="1"/>
  <c r="C805" i="1"/>
  <c r="H805" i="1" s="1"/>
  <c r="D805" i="1"/>
  <c r="E805" i="1"/>
  <c r="C806" i="1"/>
  <c r="H806" i="1" s="1"/>
  <c r="D806" i="1"/>
  <c r="E806" i="1"/>
  <c r="C807" i="1"/>
  <c r="H807" i="1" s="1"/>
  <c r="D807" i="1"/>
  <c r="E807" i="1"/>
  <c r="C808" i="1"/>
  <c r="H808" i="1" s="1"/>
  <c r="D808" i="1"/>
  <c r="E808" i="1"/>
  <c r="C809" i="1"/>
  <c r="D809" i="1"/>
  <c r="E809" i="1"/>
  <c r="C810" i="1"/>
  <c r="H810" i="1" s="1"/>
  <c r="D810" i="1"/>
  <c r="E810" i="1"/>
  <c r="C811" i="1"/>
  <c r="H811" i="1" s="1"/>
  <c r="D811" i="1"/>
  <c r="E811" i="1"/>
  <c r="C812" i="1"/>
  <c r="H812" i="1" s="1"/>
  <c r="D812" i="1"/>
  <c r="E812" i="1"/>
  <c r="C813" i="1"/>
  <c r="H813" i="1" s="1"/>
  <c r="D813" i="1"/>
  <c r="E813" i="1"/>
  <c r="C814" i="1"/>
  <c r="H814" i="1" s="1"/>
  <c r="D814" i="1"/>
  <c r="E814" i="1"/>
  <c r="C815" i="1"/>
  <c r="H815" i="1" s="1"/>
  <c r="D815" i="1"/>
  <c r="E815" i="1"/>
  <c r="C816" i="1"/>
  <c r="H816" i="1" s="1"/>
  <c r="D816" i="1"/>
  <c r="E816" i="1"/>
  <c r="C817" i="1"/>
  <c r="D817" i="1"/>
  <c r="E817" i="1"/>
  <c r="H817" i="1"/>
  <c r="C818" i="1"/>
  <c r="D818" i="1"/>
  <c r="E818" i="1"/>
  <c r="C819" i="1"/>
  <c r="H819" i="1" s="1"/>
  <c r="D819" i="1"/>
  <c r="E819" i="1"/>
  <c r="C820" i="1"/>
  <c r="H820" i="1" s="1"/>
  <c r="D820" i="1"/>
  <c r="E820" i="1"/>
  <c r="C821" i="1"/>
  <c r="H821" i="1" s="1"/>
  <c r="D821" i="1"/>
  <c r="E821" i="1"/>
  <c r="C822" i="1"/>
  <c r="H822" i="1" s="1"/>
  <c r="D822" i="1"/>
  <c r="E822" i="1"/>
  <c r="C823" i="1"/>
  <c r="H823" i="1" s="1"/>
  <c r="D823" i="1"/>
  <c r="E823" i="1"/>
  <c r="C824" i="1"/>
  <c r="H824" i="1" s="1"/>
  <c r="D824" i="1"/>
  <c r="E824" i="1"/>
  <c r="C825" i="1"/>
  <c r="H825" i="1" s="1"/>
  <c r="D825" i="1"/>
  <c r="E825" i="1"/>
  <c r="C826" i="1"/>
  <c r="H826" i="1" s="1"/>
  <c r="D826" i="1"/>
  <c r="E826" i="1"/>
  <c r="C827" i="1"/>
  <c r="H827" i="1" s="1"/>
  <c r="D827" i="1"/>
  <c r="E827" i="1"/>
  <c r="C828" i="1"/>
  <c r="H828" i="1" s="1"/>
  <c r="D828" i="1"/>
  <c r="E828" i="1"/>
  <c r="C829" i="1"/>
  <c r="H829" i="1" s="1"/>
  <c r="D829" i="1"/>
  <c r="E829" i="1"/>
  <c r="C830" i="1"/>
  <c r="H830" i="1" s="1"/>
  <c r="D830" i="1"/>
  <c r="E830" i="1"/>
  <c r="C831" i="1"/>
  <c r="H831" i="1" s="1"/>
  <c r="D831" i="1"/>
  <c r="E831" i="1"/>
  <c r="C832" i="1"/>
  <c r="H832" i="1" s="1"/>
  <c r="D832" i="1"/>
  <c r="E832" i="1"/>
  <c r="C833" i="1"/>
  <c r="H833" i="1" s="1"/>
  <c r="D833" i="1"/>
  <c r="E833" i="1"/>
  <c r="C834" i="1"/>
  <c r="H834" i="1" s="1"/>
  <c r="D834" i="1"/>
  <c r="E834" i="1"/>
  <c r="C835" i="1"/>
  <c r="H835" i="1" s="1"/>
  <c r="D835" i="1"/>
  <c r="E835" i="1"/>
  <c r="C836" i="1"/>
  <c r="H836" i="1" s="1"/>
  <c r="D836" i="1"/>
  <c r="E836" i="1"/>
  <c r="C837" i="1"/>
  <c r="H837" i="1" s="1"/>
  <c r="D837" i="1"/>
  <c r="E837" i="1"/>
  <c r="C838" i="1"/>
  <c r="H838" i="1" s="1"/>
  <c r="D838" i="1"/>
  <c r="E838" i="1"/>
  <c r="C839" i="1"/>
  <c r="H839" i="1" s="1"/>
  <c r="D839" i="1"/>
  <c r="E839" i="1"/>
  <c r="C840" i="1"/>
  <c r="D840" i="1"/>
  <c r="E840" i="1"/>
  <c r="C841" i="1"/>
  <c r="H841" i="1" s="1"/>
  <c r="D841" i="1"/>
  <c r="E841" i="1"/>
  <c r="C842" i="1"/>
  <c r="H842" i="1" s="1"/>
  <c r="D842" i="1"/>
  <c r="E842" i="1"/>
  <c r="C843" i="1"/>
  <c r="H843" i="1" s="1"/>
  <c r="D843" i="1"/>
  <c r="E843" i="1"/>
  <c r="C844" i="1"/>
  <c r="H844" i="1" s="1"/>
  <c r="D844" i="1"/>
  <c r="E844" i="1"/>
  <c r="C845" i="1"/>
  <c r="H845" i="1" s="1"/>
  <c r="D845" i="1"/>
  <c r="E845" i="1"/>
  <c r="C846" i="1"/>
  <c r="H846" i="1" s="1"/>
  <c r="D846" i="1"/>
  <c r="E846" i="1"/>
  <c r="C847" i="1"/>
  <c r="H847" i="1" s="1"/>
  <c r="D847" i="1"/>
  <c r="E847" i="1"/>
  <c r="C848" i="1"/>
  <c r="H848" i="1" s="1"/>
  <c r="D848" i="1"/>
  <c r="E848" i="1"/>
  <c r="C849" i="1"/>
  <c r="H849" i="1" s="1"/>
  <c r="D849" i="1"/>
  <c r="E849" i="1"/>
  <c r="C850" i="1"/>
  <c r="H850" i="1" s="1"/>
  <c r="D850" i="1"/>
  <c r="E850" i="1"/>
  <c r="C851" i="1"/>
  <c r="D851" i="1"/>
  <c r="E851" i="1"/>
  <c r="H851" i="1"/>
  <c r="C852" i="1"/>
  <c r="H852" i="1" s="1"/>
  <c r="D852" i="1"/>
  <c r="E852" i="1"/>
  <c r="C853" i="1"/>
  <c r="H853" i="1" s="1"/>
  <c r="D853" i="1"/>
  <c r="E853" i="1"/>
  <c r="C854" i="1"/>
  <c r="H854" i="1" s="1"/>
  <c r="D854" i="1"/>
  <c r="E854" i="1"/>
  <c r="C855" i="1"/>
  <c r="H855" i="1" s="1"/>
  <c r="D855" i="1"/>
  <c r="E855" i="1"/>
  <c r="C856" i="1"/>
  <c r="H856" i="1" s="1"/>
  <c r="D856" i="1"/>
  <c r="E856" i="1"/>
  <c r="C857" i="1"/>
  <c r="H857" i="1" s="1"/>
  <c r="D857" i="1"/>
  <c r="E857" i="1"/>
  <c r="C858" i="1"/>
  <c r="H858" i="1" s="1"/>
  <c r="D858" i="1"/>
  <c r="E858" i="1"/>
  <c r="C859" i="1"/>
  <c r="H859" i="1" s="1"/>
  <c r="D859" i="1"/>
  <c r="E859" i="1"/>
  <c r="C860" i="1"/>
  <c r="H860" i="1" s="1"/>
  <c r="D860" i="1"/>
  <c r="E860" i="1"/>
  <c r="C861" i="1"/>
  <c r="H861" i="1" s="1"/>
  <c r="D861" i="1"/>
  <c r="E861" i="1"/>
  <c r="C862" i="1"/>
  <c r="D862" i="1"/>
  <c r="E862" i="1"/>
  <c r="C863" i="1"/>
  <c r="H863" i="1" s="1"/>
  <c r="D863" i="1"/>
  <c r="E863" i="1"/>
  <c r="C864" i="1"/>
  <c r="H864" i="1" s="1"/>
  <c r="D864" i="1"/>
  <c r="E864" i="1"/>
  <c r="C865" i="1"/>
  <c r="D865" i="1"/>
  <c r="E865" i="1"/>
  <c r="H865" i="1"/>
  <c r="C866" i="1"/>
  <c r="H866" i="1" s="1"/>
  <c r="D866" i="1"/>
  <c r="E866" i="1"/>
  <c r="C867" i="1"/>
  <c r="H867" i="1" s="1"/>
  <c r="D867" i="1"/>
  <c r="E867" i="1"/>
  <c r="C868" i="1"/>
  <c r="H868" i="1" s="1"/>
  <c r="D868" i="1"/>
  <c r="E868" i="1"/>
  <c r="C869" i="1"/>
  <c r="H869" i="1" s="1"/>
  <c r="D869" i="1"/>
  <c r="E869" i="1"/>
  <c r="C870" i="1"/>
  <c r="H870" i="1" s="1"/>
  <c r="D870" i="1"/>
  <c r="E870" i="1"/>
  <c r="C871" i="1"/>
  <c r="H871" i="1" s="1"/>
  <c r="D871" i="1"/>
  <c r="E871" i="1"/>
  <c r="C872" i="1"/>
  <c r="D872" i="1"/>
  <c r="E872" i="1"/>
  <c r="H872" i="1"/>
  <c r="C873" i="1"/>
  <c r="H873" i="1" s="1"/>
  <c r="D873" i="1"/>
  <c r="E873" i="1"/>
  <c r="C874" i="1"/>
  <c r="D874" i="1"/>
  <c r="E874" i="1"/>
  <c r="H874" i="1"/>
  <c r="C875" i="1"/>
  <c r="H875" i="1" s="1"/>
  <c r="D875" i="1"/>
  <c r="E875" i="1"/>
  <c r="C876" i="1"/>
  <c r="H876" i="1" s="1"/>
  <c r="D876" i="1"/>
  <c r="E876" i="1"/>
  <c r="C877" i="1"/>
  <c r="H877" i="1" s="1"/>
  <c r="D877" i="1"/>
  <c r="E877" i="1"/>
  <c r="C878" i="1"/>
  <c r="D878" i="1"/>
  <c r="E878" i="1"/>
  <c r="H878" i="1"/>
  <c r="C879" i="1"/>
  <c r="H879" i="1" s="1"/>
  <c r="D879" i="1"/>
  <c r="E879" i="1"/>
  <c r="C880" i="1"/>
  <c r="D880" i="1"/>
  <c r="E880" i="1"/>
  <c r="H880" i="1"/>
  <c r="C881" i="1"/>
  <c r="H881" i="1" s="1"/>
  <c r="D881" i="1"/>
  <c r="E881" i="1"/>
  <c r="C882" i="1"/>
  <c r="D882" i="1"/>
  <c r="E882" i="1"/>
  <c r="C883" i="1"/>
  <c r="H883" i="1" s="1"/>
  <c r="D883" i="1"/>
  <c r="E883" i="1"/>
  <c r="C884" i="1"/>
  <c r="H884" i="1" s="1"/>
  <c r="D884" i="1"/>
  <c r="E884" i="1"/>
  <c r="C885" i="1"/>
  <c r="H885" i="1" s="1"/>
  <c r="D885" i="1"/>
  <c r="E885" i="1"/>
  <c r="C886" i="1"/>
  <c r="H886" i="1" s="1"/>
  <c r="D886" i="1"/>
  <c r="E886" i="1"/>
  <c r="C887" i="1"/>
  <c r="H887" i="1" s="1"/>
  <c r="D887" i="1"/>
  <c r="E887" i="1"/>
  <c r="C888" i="1"/>
  <c r="H888" i="1" s="1"/>
  <c r="D888" i="1"/>
  <c r="E888" i="1"/>
  <c r="C889" i="1"/>
  <c r="H889" i="1" s="1"/>
  <c r="D889" i="1"/>
  <c r="E889" i="1"/>
  <c r="C890" i="1"/>
  <c r="H890" i="1" s="1"/>
  <c r="D890" i="1"/>
  <c r="E890" i="1"/>
  <c r="C891" i="1"/>
  <c r="H891" i="1" s="1"/>
  <c r="D891" i="1"/>
  <c r="E891" i="1"/>
  <c r="C892" i="1"/>
  <c r="H892" i="1" s="1"/>
  <c r="D892" i="1"/>
  <c r="E892" i="1"/>
  <c r="C893" i="1"/>
  <c r="H893" i="1" s="1"/>
  <c r="D893" i="1"/>
  <c r="E893" i="1"/>
  <c r="C894" i="1"/>
  <c r="H894" i="1" s="1"/>
  <c r="D894" i="1"/>
  <c r="E894" i="1"/>
  <c r="C895" i="1"/>
  <c r="H895" i="1" s="1"/>
  <c r="D895" i="1"/>
  <c r="E895" i="1"/>
  <c r="C896" i="1"/>
  <c r="H896" i="1" s="1"/>
  <c r="D896" i="1"/>
  <c r="E896" i="1"/>
  <c r="C897" i="1"/>
  <c r="H897" i="1" s="1"/>
  <c r="D897" i="1"/>
  <c r="E897" i="1"/>
  <c r="C898" i="1"/>
  <c r="D898" i="1"/>
  <c r="E898" i="1"/>
  <c r="H898" i="1"/>
  <c r="C899" i="1"/>
  <c r="H899" i="1" s="1"/>
  <c r="D899" i="1"/>
  <c r="E899" i="1"/>
  <c r="C900" i="1"/>
  <c r="H900" i="1" s="1"/>
  <c r="D900" i="1"/>
  <c r="E900" i="1"/>
  <c r="C901" i="1"/>
  <c r="D901" i="1"/>
  <c r="E901" i="1"/>
  <c r="C902" i="1"/>
  <c r="H902" i="1" s="1"/>
  <c r="D902" i="1"/>
  <c r="E902" i="1"/>
  <c r="C903" i="1"/>
  <c r="H903" i="1" s="1"/>
  <c r="D903" i="1"/>
  <c r="E903" i="1"/>
  <c r="C904" i="1"/>
  <c r="H904" i="1" s="1"/>
  <c r="D904" i="1"/>
  <c r="E904" i="1"/>
  <c r="C905" i="1"/>
  <c r="H905" i="1" s="1"/>
  <c r="D905" i="1"/>
  <c r="E905" i="1"/>
  <c r="C906" i="1"/>
  <c r="H906" i="1" s="1"/>
  <c r="D906" i="1"/>
  <c r="E906" i="1"/>
  <c r="C907" i="1"/>
  <c r="H907" i="1" s="1"/>
  <c r="D907" i="1"/>
  <c r="E907" i="1"/>
  <c r="C908" i="1"/>
  <c r="H908" i="1" s="1"/>
  <c r="D908" i="1"/>
  <c r="E908" i="1"/>
  <c r="C909" i="1"/>
  <c r="H909" i="1" s="1"/>
  <c r="D909" i="1"/>
  <c r="E909" i="1"/>
  <c r="C910" i="1"/>
  <c r="H910" i="1" s="1"/>
  <c r="D910" i="1"/>
  <c r="E910" i="1"/>
  <c r="C911" i="1"/>
  <c r="H911" i="1" s="1"/>
  <c r="D911" i="1"/>
  <c r="E911" i="1"/>
  <c r="C912" i="1"/>
  <c r="H912" i="1" s="1"/>
  <c r="D912" i="1"/>
  <c r="E912" i="1"/>
  <c r="C913" i="1"/>
  <c r="H913" i="1" s="1"/>
  <c r="D913" i="1"/>
  <c r="E913" i="1"/>
  <c r="C914" i="1"/>
  <c r="H914" i="1" s="1"/>
  <c r="D914" i="1"/>
  <c r="E914" i="1"/>
  <c r="C915" i="1"/>
  <c r="H915" i="1" s="1"/>
  <c r="D915" i="1"/>
  <c r="E915" i="1"/>
  <c r="C916" i="1"/>
  <c r="H916" i="1" s="1"/>
  <c r="D916" i="1"/>
  <c r="E916" i="1"/>
  <c r="C917" i="1"/>
  <c r="H917" i="1" s="1"/>
  <c r="D917" i="1"/>
  <c r="E917" i="1"/>
  <c r="C918" i="1"/>
  <c r="H918" i="1" s="1"/>
  <c r="D918" i="1"/>
  <c r="E918" i="1"/>
  <c r="C919" i="1"/>
  <c r="H919" i="1" s="1"/>
  <c r="D919" i="1"/>
  <c r="E919" i="1"/>
  <c r="C920" i="1"/>
  <c r="D920" i="1"/>
  <c r="E920" i="1"/>
  <c r="H920" i="1"/>
  <c r="C921" i="1"/>
  <c r="H921" i="1" s="1"/>
  <c r="D921" i="1"/>
  <c r="E921" i="1"/>
  <c r="C922" i="1"/>
  <c r="H922" i="1" s="1"/>
  <c r="D922" i="1"/>
  <c r="E922" i="1"/>
  <c r="C923" i="1"/>
  <c r="D923" i="1"/>
  <c r="E923" i="1"/>
  <c r="C924" i="1"/>
  <c r="H924" i="1" s="1"/>
  <c r="D924" i="1"/>
  <c r="E924" i="1"/>
  <c r="C925" i="1"/>
  <c r="H925" i="1" s="1"/>
  <c r="D925" i="1"/>
  <c r="E925" i="1"/>
  <c r="C926" i="1"/>
  <c r="D926" i="1"/>
  <c r="E926" i="1"/>
  <c r="H926" i="1"/>
  <c r="C927" i="1"/>
  <c r="H927" i="1" s="1"/>
  <c r="D927" i="1"/>
  <c r="E927" i="1"/>
  <c r="C928" i="1"/>
  <c r="H928" i="1" s="1"/>
  <c r="D928" i="1"/>
  <c r="E928" i="1"/>
  <c r="C929" i="1"/>
  <c r="H929" i="1" s="1"/>
  <c r="D929" i="1"/>
  <c r="E929" i="1"/>
  <c r="C930" i="1"/>
  <c r="H930" i="1" s="1"/>
  <c r="D930" i="1"/>
  <c r="E930" i="1"/>
  <c r="C931" i="1"/>
  <c r="H931" i="1" s="1"/>
  <c r="D931" i="1"/>
  <c r="E931" i="1"/>
  <c r="C932" i="1"/>
  <c r="D932" i="1"/>
  <c r="E932" i="1"/>
  <c r="H932" i="1"/>
  <c r="C933" i="1"/>
  <c r="H933" i="1" s="1"/>
  <c r="D933" i="1"/>
  <c r="E933" i="1"/>
  <c r="C934" i="1"/>
  <c r="H934" i="1" s="1"/>
  <c r="D934" i="1"/>
  <c r="E934" i="1"/>
  <c r="C935" i="1"/>
  <c r="H935" i="1" s="1"/>
  <c r="D935" i="1"/>
  <c r="E935" i="1"/>
  <c r="C936" i="1"/>
  <c r="H936" i="1" s="1"/>
  <c r="D936" i="1"/>
  <c r="E936" i="1"/>
  <c r="C937" i="1"/>
  <c r="D937" i="1"/>
  <c r="E937" i="1"/>
  <c r="C938" i="1"/>
  <c r="H938" i="1" s="1"/>
  <c r="D938" i="1"/>
  <c r="E938" i="1"/>
  <c r="C939" i="1"/>
  <c r="H939" i="1" s="1"/>
  <c r="D939" i="1"/>
  <c r="E939" i="1"/>
  <c r="C940" i="1"/>
  <c r="H940" i="1" s="1"/>
  <c r="D940" i="1"/>
  <c r="E940" i="1"/>
  <c r="C941" i="1"/>
  <c r="H941" i="1" s="1"/>
  <c r="D941" i="1"/>
  <c r="E941" i="1"/>
  <c r="C942" i="1"/>
  <c r="D942" i="1"/>
  <c r="E942" i="1"/>
  <c r="H942" i="1"/>
  <c r="C943" i="1"/>
  <c r="H943" i="1" s="1"/>
  <c r="D943" i="1"/>
  <c r="E943" i="1"/>
  <c r="C944" i="1"/>
  <c r="H944" i="1" s="1"/>
  <c r="D944" i="1"/>
  <c r="E944" i="1"/>
  <c r="C945" i="1"/>
  <c r="H945" i="1" s="1"/>
  <c r="D945" i="1"/>
  <c r="E945" i="1"/>
  <c r="C946" i="1"/>
  <c r="H946" i="1" s="1"/>
  <c r="D946" i="1"/>
  <c r="E946" i="1"/>
  <c r="C947" i="1"/>
  <c r="H947" i="1" s="1"/>
  <c r="D947" i="1"/>
  <c r="E947" i="1"/>
  <c r="C948" i="1"/>
  <c r="D948" i="1"/>
  <c r="E948" i="1"/>
  <c r="H948" i="1"/>
  <c r="C949" i="1"/>
  <c r="H949" i="1" s="1"/>
  <c r="D949" i="1"/>
  <c r="E949" i="1"/>
  <c r="C950" i="1"/>
  <c r="H950" i="1" s="1"/>
  <c r="D950" i="1"/>
  <c r="E950" i="1"/>
  <c r="C951" i="1"/>
  <c r="H951" i="1" s="1"/>
  <c r="D951" i="1"/>
  <c r="E951" i="1"/>
  <c r="C952" i="1"/>
  <c r="H952" i="1" s="1"/>
  <c r="D952" i="1"/>
  <c r="E952" i="1"/>
  <c r="C953" i="1"/>
  <c r="H953" i="1" s="1"/>
  <c r="D953" i="1"/>
  <c r="E953" i="1"/>
  <c r="C954" i="1"/>
  <c r="H954" i="1" s="1"/>
  <c r="D954" i="1"/>
  <c r="E954" i="1"/>
  <c r="C955" i="1"/>
  <c r="H955" i="1" s="1"/>
  <c r="D955" i="1"/>
  <c r="E955" i="1"/>
  <c r="C956" i="1"/>
  <c r="D956" i="1"/>
  <c r="E956" i="1"/>
  <c r="H956" i="1"/>
  <c r="C957" i="1"/>
  <c r="H957" i="1" s="1"/>
  <c r="D957" i="1"/>
  <c r="E957" i="1"/>
  <c r="C958" i="1"/>
  <c r="H958" i="1" s="1"/>
  <c r="D958" i="1"/>
  <c r="E958" i="1"/>
  <c r="C959" i="1"/>
  <c r="H959" i="1" s="1"/>
  <c r="D959" i="1"/>
  <c r="E959" i="1"/>
  <c r="C960" i="1"/>
  <c r="H960" i="1" s="1"/>
  <c r="D960" i="1"/>
  <c r="E960" i="1"/>
  <c r="C961" i="1"/>
  <c r="H961" i="1" s="1"/>
  <c r="D961" i="1"/>
  <c r="E961" i="1"/>
  <c r="C962" i="1"/>
  <c r="H962" i="1" s="1"/>
  <c r="D962" i="1"/>
  <c r="E962" i="1"/>
  <c r="C963" i="1"/>
  <c r="H963" i="1" s="1"/>
  <c r="D963" i="1"/>
  <c r="E963" i="1"/>
  <c r="C964" i="1"/>
  <c r="H964" i="1" s="1"/>
  <c r="D964" i="1"/>
  <c r="E964" i="1"/>
  <c r="C965" i="1"/>
  <c r="D965" i="1"/>
  <c r="E965" i="1"/>
  <c r="C966" i="1"/>
  <c r="D966" i="1"/>
  <c r="E966" i="1"/>
  <c r="H966" i="1"/>
  <c r="C967" i="1"/>
  <c r="H967" i="1" s="1"/>
  <c r="D967" i="1"/>
  <c r="E967" i="1"/>
  <c r="C968" i="1"/>
  <c r="H968" i="1" s="1"/>
  <c r="D968" i="1"/>
  <c r="E968" i="1"/>
  <c r="C969" i="1"/>
  <c r="H969" i="1" s="1"/>
  <c r="D969" i="1"/>
  <c r="E969" i="1"/>
  <c r="C970" i="1"/>
  <c r="H970" i="1" s="1"/>
  <c r="D970" i="1"/>
  <c r="E970" i="1"/>
  <c r="C971" i="1"/>
  <c r="H971" i="1" s="1"/>
  <c r="D971" i="1"/>
  <c r="E971" i="1"/>
  <c r="C972" i="1"/>
  <c r="H972" i="1" s="1"/>
  <c r="D972" i="1"/>
  <c r="E972" i="1"/>
  <c r="C973" i="1"/>
  <c r="H973" i="1" s="1"/>
  <c r="D973" i="1"/>
  <c r="E973" i="1"/>
  <c r="C974" i="1"/>
  <c r="H974" i="1" s="1"/>
  <c r="D974" i="1"/>
  <c r="E974" i="1"/>
  <c r="C975" i="1"/>
  <c r="H975" i="1" s="1"/>
  <c r="D975" i="1"/>
  <c r="E975" i="1"/>
  <c r="C976" i="1"/>
  <c r="H976" i="1" s="1"/>
  <c r="D976" i="1"/>
  <c r="E976" i="1"/>
  <c r="C977" i="1"/>
  <c r="H977" i="1" s="1"/>
  <c r="D977" i="1"/>
  <c r="E977" i="1"/>
  <c r="C978" i="1"/>
  <c r="H978" i="1" s="1"/>
  <c r="D978" i="1"/>
  <c r="E978" i="1"/>
  <c r="C979" i="1"/>
  <c r="H979" i="1" s="1"/>
  <c r="D979" i="1"/>
  <c r="E979" i="1"/>
  <c r="C980" i="1"/>
  <c r="H980" i="1" s="1"/>
  <c r="D980" i="1"/>
  <c r="E980" i="1"/>
  <c r="C981" i="1"/>
  <c r="H981" i="1" s="1"/>
  <c r="D981" i="1"/>
  <c r="E981" i="1"/>
  <c r="C982" i="1"/>
  <c r="D982" i="1"/>
  <c r="E982" i="1"/>
  <c r="H982" i="1"/>
  <c r="C983" i="1"/>
  <c r="H983" i="1" s="1"/>
  <c r="D983" i="1"/>
  <c r="E983" i="1"/>
  <c r="C984" i="1"/>
  <c r="H984" i="1" s="1"/>
  <c r="D984" i="1"/>
  <c r="E984" i="1"/>
  <c r="C985" i="1"/>
  <c r="H985" i="1" s="1"/>
  <c r="D985" i="1"/>
  <c r="E985" i="1"/>
  <c r="C986" i="1"/>
  <c r="H986" i="1" s="1"/>
  <c r="D986" i="1"/>
  <c r="E986" i="1"/>
  <c r="C987" i="1"/>
  <c r="H987" i="1" s="1"/>
  <c r="D987" i="1"/>
  <c r="E987" i="1"/>
  <c r="C988" i="1"/>
  <c r="H988" i="1" s="1"/>
  <c r="D988" i="1"/>
  <c r="E988" i="1"/>
  <c r="C989" i="1"/>
  <c r="H989" i="1" s="1"/>
  <c r="D989" i="1"/>
  <c r="E989" i="1"/>
  <c r="C990" i="1"/>
  <c r="H990" i="1" s="1"/>
  <c r="D990" i="1"/>
  <c r="E990" i="1"/>
  <c r="C991" i="1"/>
  <c r="H991" i="1" s="1"/>
  <c r="D991" i="1"/>
  <c r="E991" i="1"/>
  <c r="C992" i="1"/>
  <c r="H992" i="1" s="1"/>
  <c r="D992" i="1"/>
  <c r="E992" i="1"/>
  <c r="C993" i="1"/>
  <c r="D993" i="1"/>
  <c r="E993" i="1"/>
  <c r="C994" i="1"/>
  <c r="D994" i="1"/>
  <c r="E994" i="1"/>
  <c r="H994" i="1"/>
  <c r="C995" i="1"/>
  <c r="H995" i="1" s="1"/>
  <c r="D995" i="1"/>
  <c r="E995" i="1"/>
  <c r="C996" i="1"/>
  <c r="H996" i="1" s="1"/>
  <c r="D996" i="1"/>
  <c r="E996" i="1"/>
  <c r="C997" i="1"/>
  <c r="H997" i="1" s="1"/>
  <c r="D997" i="1"/>
  <c r="E997" i="1"/>
  <c r="C998" i="1"/>
  <c r="H998" i="1" s="1"/>
  <c r="D998" i="1"/>
  <c r="E998" i="1"/>
  <c r="C999" i="1"/>
  <c r="H999" i="1" s="1"/>
  <c r="D999" i="1"/>
  <c r="E999" i="1"/>
  <c r="C1000" i="1"/>
  <c r="H1000" i="1" s="1"/>
  <c r="D1000" i="1"/>
  <c r="E1000" i="1"/>
  <c r="C1001" i="1"/>
  <c r="H1001" i="1" s="1"/>
  <c r="D1001" i="1"/>
  <c r="E1001" i="1"/>
  <c r="C1002" i="1"/>
  <c r="H1002" i="1" s="1"/>
  <c r="D1002" i="1"/>
  <c r="E1002" i="1"/>
  <c r="C1003" i="1"/>
  <c r="H1003" i="1" s="1"/>
  <c r="D1003" i="1"/>
  <c r="E1003" i="1"/>
  <c r="C1004" i="1"/>
  <c r="D1004" i="1"/>
  <c r="E1004" i="1"/>
  <c r="H1004" i="1"/>
  <c r="C1005" i="1"/>
  <c r="H1005" i="1" s="1"/>
  <c r="D1005" i="1"/>
  <c r="E1005" i="1"/>
  <c r="C1006" i="1"/>
  <c r="H1006" i="1" s="1"/>
  <c r="D1006" i="1"/>
  <c r="E1006" i="1"/>
  <c r="C1007" i="1"/>
  <c r="H1007" i="1" s="1"/>
  <c r="D1007" i="1"/>
  <c r="E1007" i="1"/>
  <c r="C1008" i="1"/>
  <c r="H1008" i="1" s="1"/>
  <c r="D1008" i="1"/>
  <c r="E1008" i="1"/>
  <c r="C1009" i="1"/>
  <c r="H1009" i="1" s="1"/>
  <c r="D1009" i="1"/>
  <c r="E1009" i="1"/>
  <c r="C1010" i="1"/>
  <c r="D1010" i="1"/>
  <c r="E1010" i="1"/>
  <c r="H1010" i="1"/>
  <c r="C1011" i="1"/>
  <c r="H1011" i="1" s="1"/>
  <c r="D1011" i="1"/>
  <c r="E1011" i="1"/>
  <c r="C1012" i="1"/>
  <c r="D1012" i="1"/>
  <c r="E1012" i="1"/>
  <c r="C1013" i="1"/>
  <c r="H1013" i="1" s="1"/>
  <c r="D1013" i="1"/>
  <c r="E1013" i="1"/>
  <c r="C1014" i="1"/>
  <c r="H1014" i="1" s="1"/>
  <c r="D1014" i="1"/>
  <c r="E1014" i="1"/>
  <c r="C1015" i="1"/>
  <c r="H1015" i="1" s="1"/>
  <c r="D1015" i="1"/>
  <c r="E1015" i="1"/>
  <c r="C1016" i="1"/>
  <c r="H1016" i="1" s="1"/>
  <c r="D1016" i="1"/>
  <c r="E1016" i="1"/>
  <c r="C1017" i="1"/>
  <c r="H1017" i="1" s="1"/>
  <c r="D1017" i="1"/>
  <c r="E1017" i="1"/>
  <c r="C1018" i="1"/>
  <c r="D1018" i="1"/>
  <c r="E1018" i="1"/>
  <c r="H1018" i="1"/>
  <c r="C1019" i="1"/>
  <c r="H1019" i="1" s="1"/>
  <c r="D1019" i="1"/>
  <c r="E1019" i="1"/>
  <c r="C1020" i="1"/>
  <c r="H1020" i="1" s="1"/>
  <c r="D1020" i="1"/>
  <c r="E1020" i="1"/>
  <c r="C1021" i="1"/>
  <c r="H1021" i="1" s="1"/>
  <c r="D1021" i="1"/>
  <c r="E1021" i="1"/>
  <c r="C1022" i="1"/>
  <c r="H1022" i="1" s="1"/>
  <c r="D1022" i="1"/>
  <c r="E1022" i="1"/>
  <c r="C1023" i="1"/>
  <c r="H1023" i="1" s="1"/>
  <c r="D1023" i="1"/>
  <c r="E1023" i="1"/>
  <c r="C1024" i="1"/>
  <c r="H1024" i="1" s="1"/>
  <c r="D1024" i="1"/>
  <c r="E1024" i="1"/>
  <c r="C1025" i="1"/>
  <c r="H1025" i="1" s="1"/>
  <c r="D1025" i="1"/>
  <c r="E1025" i="1"/>
  <c r="C1026" i="1"/>
  <c r="H1026" i="1" s="1"/>
  <c r="D1026" i="1"/>
  <c r="E1026" i="1"/>
  <c r="C1027" i="1"/>
  <c r="H1027" i="1" s="1"/>
  <c r="D1027" i="1"/>
  <c r="E1027" i="1"/>
  <c r="C1028" i="1"/>
  <c r="H1028" i="1" s="1"/>
  <c r="D1028" i="1"/>
  <c r="E1028" i="1"/>
  <c r="C1029" i="1"/>
  <c r="H1029" i="1" s="1"/>
  <c r="D1029" i="1"/>
  <c r="E1029" i="1"/>
  <c r="C1030" i="1"/>
  <c r="H1030" i="1" s="1"/>
  <c r="D1030" i="1"/>
  <c r="E1030" i="1"/>
  <c r="C1031" i="1"/>
  <c r="H1031" i="1" s="1"/>
  <c r="D1031" i="1"/>
  <c r="E1031" i="1"/>
  <c r="C1032" i="1"/>
  <c r="D1032" i="1"/>
  <c r="E1032" i="1"/>
  <c r="C1033" i="1"/>
  <c r="H1033" i="1" s="1"/>
  <c r="D1033" i="1"/>
  <c r="E1033" i="1"/>
  <c r="C1034" i="1"/>
  <c r="H1034" i="1" s="1"/>
  <c r="D1034" i="1"/>
  <c r="E1034" i="1"/>
  <c r="C1035" i="1"/>
  <c r="H1035" i="1" s="1"/>
  <c r="D1035" i="1"/>
  <c r="E1035" i="1"/>
  <c r="C1036" i="1"/>
  <c r="H1036" i="1" s="1"/>
  <c r="D1036" i="1"/>
  <c r="E1036" i="1"/>
  <c r="C1037" i="1"/>
  <c r="H1037" i="1" s="1"/>
  <c r="D1037" i="1"/>
  <c r="E1037" i="1"/>
  <c r="C1038" i="1"/>
  <c r="H1038" i="1" s="1"/>
  <c r="D1038" i="1"/>
  <c r="E1038" i="1"/>
  <c r="C1039" i="1"/>
  <c r="H1039" i="1" s="1"/>
  <c r="D1039" i="1"/>
  <c r="E1039" i="1"/>
  <c r="C1040" i="1"/>
  <c r="D1040" i="1"/>
  <c r="E1040" i="1"/>
  <c r="H1040" i="1"/>
  <c r="C1041" i="1"/>
  <c r="D1041" i="1"/>
  <c r="E1041" i="1"/>
  <c r="C1042" i="1"/>
  <c r="H1042" i="1" s="1"/>
  <c r="D1042" i="1"/>
  <c r="E1042" i="1"/>
  <c r="C1043" i="1"/>
  <c r="H1043" i="1" s="1"/>
  <c r="D1043" i="1"/>
  <c r="E1043" i="1"/>
  <c r="C1044" i="1"/>
  <c r="H1044" i="1" s="1"/>
  <c r="D1044" i="1"/>
  <c r="E1044" i="1"/>
  <c r="C1045" i="1"/>
  <c r="H1045" i="1" s="1"/>
  <c r="D1045" i="1"/>
  <c r="E1045" i="1"/>
  <c r="C1046" i="1"/>
  <c r="D1046" i="1"/>
  <c r="E1046" i="1"/>
  <c r="H1046" i="1"/>
  <c r="C1047" i="1"/>
  <c r="H1047" i="1" s="1"/>
  <c r="D1047" i="1"/>
  <c r="E1047" i="1"/>
  <c r="C1048" i="1"/>
  <c r="H1048" i="1" s="1"/>
  <c r="D1048" i="1"/>
  <c r="E1048" i="1"/>
  <c r="C1049" i="1"/>
  <c r="H1049" i="1" s="1"/>
  <c r="D1049" i="1"/>
  <c r="E1049" i="1"/>
  <c r="C1050" i="1"/>
  <c r="H1050" i="1" s="1"/>
  <c r="D1050" i="1"/>
  <c r="E1050" i="1"/>
  <c r="C1051" i="1"/>
  <c r="H1051" i="1" s="1"/>
  <c r="D1051" i="1"/>
  <c r="E1051" i="1"/>
  <c r="C1052" i="1"/>
  <c r="D1052" i="1"/>
  <c r="E1052" i="1"/>
  <c r="H1052" i="1"/>
  <c r="C1053" i="1"/>
  <c r="H1053" i="1" s="1"/>
  <c r="D1053" i="1"/>
  <c r="E1053" i="1"/>
  <c r="C1054" i="1"/>
  <c r="H1054" i="1" s="1"/>
  <c r="D1054" i="1"/>
  <c r="E1054" i="1"/>
  <c r="C1055" i="1"/>
  <c r="D1055" i="1"/>
  <c r="E1055" i="1"/>
  <c r="C1056" i="1"/>
  <c r="H1056" i="1" s="1"/>
  <c r="D1056" i="1"/>
  <c r="E1056" i="1"/>
  <c r="C1057" i="1"/>
  <c r="H1057" i="1" s="1"/>
  <c r="D1057" i="1"/>
  <c r="E1057" i="1"/>
  <c r="C1058" i="1"/>
  <c r="H1058" i="1" s="1"/>
  <c r="D1058" i="1"/>
  <c r="E1058" i="1"/>
  <c r="C1059" i="1"/>
  <c r="H1059" i="1" s="1"/>
  <c r="D1059" i="1"/>
  <c r="E1059" i="1"/>
  <c r="C1060" i="1"/>
  <c r="H1060" i="1" s="1"/>
  <c r="D1060" i="1"/>
  <c r="E1060" i="1"/>
  <c r="C1061" i="1"/>
  <c r="H1061" i="1" s="1"/>
  <c r="D1061" i="1"/>
  <c r="E1061" i="1"/>
  <c r="C1062" i="1"/>
  <c r="H1062" i="1" s="1"/>
  <c r="D1062" i="1"/>
  <c r="E1062" i="1"/>
  <c r="C1063" i="1"/>
  <c r="H1063" i="1" s="1"/>
  <c r="D1063" i="1"/>
  <c r="E1063" i="1"/>
  <c r="C1064" i="1"/>
  <c r="H1064" i="1" s="1"/>
  <c r="D1064" i="1"/>
  <c r="E1064" i="1"/>
  <c r="C1065" i="1"/>
  <c r="H1065" i="1" s="1"/>
  <c r="D1065" i="1"/>
  <c r="E1065" i="1"/>
  <c r="C1066" i="1"/>
  <c r="D1066" i="1"/>
  <c r="E1066" i="1"/>
  <c r="H1066" i="1"/>
  <c r="C1067" i="1"/>
  <c r="H1067" i="1" s="1"/>
  <c r="D1067" i="1"/>
  <c r="E1067" i="1"/>
  <c r="C1068" i="1"/>
  <c r="H1068" i="1" s="1"/>
  <c r="D1068" i="1"/>
  <c r="E1068" i="1"/>
  <c r="C1069" i="1"/>
  <c r="H1069" i="1" s="1"/>
  <c r="D1069" i="1"/>
  <c r="E1069" i="1"/>
  <c r="C1070" i="1"/>
  <c r="H1070" i="1" s="1"/>
  <c r="D1070" i="1"/>
  <c r="E1070" i="1"/>
  <c r="C1071" i="1"/>
  <c r="D1071" i="1"/>
  <c r="E1071" i="1"/>
  <c r="C1072" i="1"/>
  <c r="H1072" i="1" s="1"/>
  <c r="D1072" i="1"/>
  <c r="E1072" i="1"/>
  <c r="C1073" i="1"/>
  <c r="H1073" i="1" s="1"/>
  <c r="D1073" i="1"/>
  <c r="E1073" i="1"/>
  <c r="C1074" i="1"/>
  <c r="D1074" i="1"/>
  <c r="E1074" i="1"/>
  <c r="H1074" i="1"/>
  <c r="C1075" i="1"/>
  <c r="D1075" i="1"/>
  <c r="E1075" i="1"/>
  <c r="C1076" i="1"/>
  <c r="D1076" i="1"/>
  <c r="E1076" i="1"/>
  <c r="C1077" i="1"/>
  <c r="H1077" i="1" s="1"/>
  <c r="D1077" i="1"/>
  <c r="E1077" i="1"/>
  <c r="C1078" i="1"/>
  <c r="H1078" i="1" s="1"/>
  <c r="D1078" i="1"/>
  <c r="E1078" i="1"/>
  <c r="C1079" i="1"/>
  <c r="H1079" i="1" s="1"/>
  <c r="D1079" i="1"/>
  <c r="E1079" i="1"/>
  <c r="C1080" i="1"/>
  <c r="H1080" i="1" s="1"/>
  <c r="D1080" i="1"/>
  <c r="E1080" i="1"/>
  <c r="C1081" i="1"/>
  <c r="H1081" i="1" s="1"/>
  <c r="D1081" i="1"/>
  <c r="E1081" i="1"/>
  <c r="C1082" i="1"/>
  <c r="H1082" i="1" s="1"/>
  <c r="D1082" i="1"/>
  <c r="E1082" i="1"/>
  <c r="C1083" i="1"/>
  <c r="H1083" i="1" s="1"/>
  <c r="D1083" i="1"/>
  <c r="E1083" i="1"/>
  <c r="C1084" i="1"/>
  <c r="H1084" i="1" s="1"/>
  <c r="D1084" i="1"/>
  <c r="E1084" i="1"/>
  <c r="C1085" i="1"/>
  <c r="H1085" i="1" s="1"/>
  <c r="D1085" i="1"/>
  <c r="E1085" i="1"/>
  <c r="C1086" i="1"/>
  <c r="H1086" i="1" s="1"/>
  <c r="D1086" i="1"/>
  <c r="E1086" i="1"/>
  <c r="C1087" i="1"/>
  <c r="H1087" i="1" s="1"/>
  <c r="D1087" i="1"/>
  <c r="E1087" i="1"/>
  <c r="C1088" i="1"/>
  <c r="H1088" i="1" s="1"/>
  <c r="D1088" i="1"/>
  <c r="E1088" i="1"/>
  <c r="C1089" i="1"/>
  <c r="H1089" i="1" s="1"/>
  <c r="D1089" i="1"/>
  <c r="E1089" i="1"/>
  <c r="C1090" i="1"/>
  <c r="D1090" i="1"/>
  <c r="E1090" i="1"/>
  <c r="H1090" i="1"/>
  <c r="C1091" i="1"/>
  <c r="H1091" i="1" s="1"/>
  <c r="D1091" i="1"/>
  <c r="E1091" i="1"/>
  <c r="C1092" i="1"/>
  <c r="H1092" i="1" s="1"/>
  <c r="D1092" i="1"/>
  <c r="E1092" i="1"/>
  <c r="C1093" i="1"/>
  <c r="H1093" i="1" s="1"/>
  <c r="D1093" i="1"/>
  <c r="E1093" i="1"/>
  <c r="C1094" i="1"/>
  <c r="H1094" i="1" s="1"/>
  <c r="D1094" i="1"/>
  <c r="E1094" i="1"/>
  <c r="C1095" i="1"/>
  <c r="H1095" i="1" s="1"/>
  <c r="D1095" i="1"/>
  <c r="E1095" i="1"/>
  <c r="C1096" i="1"/>
  <c r="H1096" i="1" s="1"/>
  <c r="D1096" i="1"/>
  <c r="E1096" i="1"/>
  <c r="C1097" i="1"/>
  <c r="H1097" i="1" s="1"/>
  <c r="D1097" i="1"/>
  <c r="E1097" i="1"/>
  <c r="C1098" i="1"/>
  <c r="H1098" i="1" s="1"/>
  <c r="D1098" i="1"/>
  <c r="E1098" i="1"/>
  <c r="C1099" i="1"/>
  <c r="H1099" i="1" s="1"/>
  <c r="D1099" i="1"/>
  <c r="E1099" i="1"/>
  <c r="C1100" i="1"/>
  <c r="D1100" i="1"/>
  <c r="E1100" i="1"/>
  <c r="C1101" i="1"/>
  <c r="H1101" i="1" s="1"/>
  <c r="D1101" i="1"/>
  <c r="E1101" i="1"/>
  <c r="C1102" i="1"/>
  <c r="H1102" i="1" s="1"/>
  <c r="D1102" i="1"/>
  <c r="E1102" i="1"/>
  <c r="C1103" i="1"/>
  <c r="H1103" i="1" s="1"/>
  <c r="D1103" i="1"/>
  <c r="E1103" i="1"/>
  <c r="C1104" i="1"/>
  <c r="H1104" i="1" s="1"/>
  <c r="D1104" i="1"/>
  <c r="E1104" i="1"/>
  <c r="C1105" i="1"/>
  <c r="H1105" i="1" s="1"/>
  <c r="D1105" i="1"/>
  <c r="E1105" i="1"/>
  <c r="C1106" i="1"/>
  <c r="D1106" i="1"/>
  <c r="E1106" i="1"/>
  <c r="H1106" i="1"/>
  <c r="C1107" i="1"/>
  <c r="H1107" i="1" s="1"/>
  <c r="D1107" i="1"/>
  <c r="E1107" i="1"/>
  <c r="C1108" i="1"/>
  <c r="H1108" i="1" s="1"/>
  <c r="D1108" i="1"/>
  <c r="E1108" i="1"/>
  <c r="C1109" i="1"/>
  <c r="H1109" i="1" s="1"/>
  <c r="D1109" i="1"/>
  <c r="E1109" i="1"/>
  <c r="C1110" i="1"/>
  <c r="H1110" i="1" s="1"/>
  <c r="D1110" i="1"/>
  <c r="E1110" i="1"/>
  <c r="C1111" i="1"/>
  <c r="H1111" i="1" s="1"/>
  <c r="D1111" i="1"/>
  <c r="E1111" i="1"/>
  <c r="C1112" i="1"/>
  <c r="H1112" i="1" s="1"/>
  <c r="D1112" i="1"/>
  <c r="E1112" i="1"/>
  <c r="C1113" i="1"/>
  <c r="H1113" i="1" s="1"/>
  <c r="D1113" i="1"/>
  <c r="E1113" i="1"/>
  <c r="C1114" i="1"/>
  <c r="H1114" i="1" s="1"/>
  <c r="D1114" i="1"/>
  <c r="E1114" i="1"/>
  <c r="C1115" i="1"/>
  <c r="H1115" i="1" s="1"/>
  <c r="D1115" i="1"/>
  <c r="E1115" i="1"/>
  <c r="C1116" i="1"/>
  <c r="H1116" i="1" s="1"/>
  <c r="D1116" i="1"/>
  <c r="E1116" i="1"/>
  <c r="C1117" i="1"/>
  <c r="H1117" i="1" s="1"/>
  <c r="D1117" i="1"/>
  <c r="E1117" i="1"/>
  <c r="C1118" i="1"/>
  <c r="H1118" i="1" s="1"/>
  <c r="D1118" i="1"/>
  <c r="E1118" i="1"/>
  <c r="C1119" i="1"/>
  <c r="H1119" i="1" s="1"/>
  <c r="D1119" i="1"/>
  <c r="E1119" i="1"/>
  <c r="C1120" i="1"/>
  <c r="H1120" i="1" s="1"/>
  <c r="D1120" i="1"/>
  <c r="E1120" i="1"/>
  <c r="C1121" i="1"/>
  <c r="H1121" i="1" s="1"/>
  <c r="D1121" i="1"/>
  <c r="E1121" i="1"/>
  <c r="C1122" i="1"/>
  <c r="D1122" i="1"/>
  <c r="E1122" i="1"/>
  <c r="H1122" i="1"/>
  <c r="C1123" i="1"/>
  <c r="H1123" i="1" s="1"/>
  <c r="D1123" i="1"/>
  <c r="E1123" i="1"/>
  <c r="C1124" i="1"/>
  <c r="H1124" i="1" s="1"/>
  <c r="D1124" i="1"/>
  <c r="E1124" i="1"/>
  <c r="C1125" i="1"/>
  <c r="H1125" i="1" s="1"/>
  <c r="D1125" i="1"/>
  <c r="E1125" i="1"/>
  <c r="C1126" i="1"/>
  <c r="D1126" i="1"/>
  <c r="E1126" i="1"/>
  <c r="C1127" i="1"/>
  <c r="H1127" i="1" s="1"/>
  <c r="D1127" i="1"/>
  <c r="E1127" i="1"/>
  <c r="C1128" i="1"/>
  <c r="H1128" i="1" s="1"/>
  <c r="D1128" i="1"/>
  <c r="E1128" i="1"/>
  <c r="C1129" i="1"/>
  <c r="H1129" i="1" s="1"/>
  <c r="D1129" i="1"/>
  <c r="E1129" i="1"/>
  <c r="C1130" i="1"/>
  <c r="H1130" i="1" s="1"/>
  <c r="D1130" i="1"/>
  <c r="E1130" i="1"/>
  <c r="C1131" i="1"/>
  <c r="H1131" i="1" s="1"/>
  <c r="D1131" i="1"/>
  <c r="E1131" i="1"/>
  <c r="C1132" i="1"/>
  <c r="H1132" i="1" s="1"/>
  <c r="D1132" i="1"/>
  <c r="E1132" i="1"/>
  <c r="C1133" i="1"/>
  <c r="H1133" i="1" s="1"/>
  <c r="D1133" i="1"/>
  <c r="E1133" i="1"/>
  <c r="C1134" i="1"/>
  <c r="H1134" i="1" s="1"/>
  <c r="D1134" i="1"/>
  <c r="E1134" i="1"/>
  <c r="C1135" i="1"/>
  <c r="H1135" i="1" s="1"/>
  <c r="D1135" i="1"/>
  <c r="E1135" i="1"/>
  <c r="C1136" i="1"/>
  <c r="H1136" i="1" s="1"/>
  <c r="D1136" i="1"/>
  <c r="E1136" i="1"/>
  <c r="C1137" i="1"/>
  <c r="H1137" i="1" s="1"/>
  <c r="D1137" i="1"/>
  <c r="E1137" i="1"/>
  <c r="C1138" i="1"/>
  <c r="D1138" i="1"/>
  <c r="E1138" i="1"/>
  <c r="H1138" i="1"/>
  <c r="C1139" i="1"/>
  <c r="H1139" i="1" s="1"/>
  <c r="D1139" i="1"/>
  <c r="E1139" i="1"/>
  <c r="C1140" i="1"/>
  <c r="H1140" i="1" s="1"/>
  <c r="D1140" i="1"/>
  <c r="E1140" i="1"/>
  <c r="C1141" i="1"/>
  <c r="H1141" i="1" s="1"/>
  <c r="D1141" i="1"/>
  <c r="E1141" i="1"/>
  <c r="C1142" i="1"/>
  <c r="H1142" i="1" s="1"/>
  <c r="D1142" i="1"/>
  <c r="E1142" i="1"/>
  <c r="C1143" i="1"/>
  <c r="H1143" i="1" s="1"/>
  <c r="D1143" i="1"/>
  <c r="E1143" i="1"/>
  <c r="C1144" i="1"/>
  <c r="H1144" i="1" s="1"/>
  <c r="D1144" i="1"/>
  <c r="E1144" i="1"/>
  <c r="C1145" i="1"/>
  <c r="H1145" i="1" s="1"/>
  <c r="D1145" i="1"/>
  <c r="E1145" i="1"/>
  <c r="C1146" i="1"/>
  <c r="D1146" i="1"/>
  <c r="E1146" i="1"/>
  <c r="C1147" i="1"/>
  <c r="H1147" i="1" s="1"/>
  <c r="D1147" i="1"/>
  <c r="E1147" i="1"/>
  <c r="C1148" i="1"/>
  <c r="D1148" i="1"/>
  <c r="E1148" i="1"/>
  <c r="H1148" i="1"/>
  <c r="C1149" i="1"/>
  <c r="H1149" i="1" s="1"/>
  <c r="D1149" i="1"/>
  <c r="E1149" i="1"/>
  <c r="C1150" i="1"/>
  <c r="H1150" i="1" s="1"/>
  <c r="D1150" i="1"/>
  <c r="E1150" i="1"/>
  <c r="C1151" i="1"/>
  <c r="H1151" i="1" s="1"/>
  <c r="D1151" i="1"/>
  <c r="E1151" i="1"/>
  <c r="C1152" i="1"/>
  <c r="H1152" i="1" s="1"/>
  <c r="D1152" i="1"/>
  <c r="E1152" i="1"/>
  <c r="C1153" i="1"/>
  <c r="H1153" i="1" s="1"/>
  <c r="D1153" i="1"/>
  <c r="E1153" i="1"/>
  <c r="C1154" i="1"/>
  <c r="H1154" i="1" s="1"/>
  <c r="D1154" i="1"/>
  <c r="E1154" i="1"/>
  <c r="C1155" i="1"/>
  <c r="H1155" i="1" s="1"/>
  <c r="D1155" i="1"/>
  <c r="E1155" i="1"/>
  <c r="C1156" i="1"/>
  <c r="H1156" i="1" s="1"/>
  <c r="D1156" i="1"/>
  <c r="E1156" i="1"/>
  <c r="C1157" i="1"/>
  <c r="H1157" i="1" s="1"/>
  <c r="D1157" i="1"/>
  <c r="E1157" i="1"/>
  <c r="C1158" i="1"/>
  <c r="H1158" i="1" s="1"/>
  <c r="D1158" i="1"/>
  <c r="E1158" i="1"/>
  <c r="C1159" i="1"/>
  <c r="D1159" i="1"/>
  <c r="E1159" i="1"/>
  <c r="C1160" i="1"/>
  <c r="H1160" i="1" s="1"/>
  <c r="D1160" i="1"/>
  <c r="E1160" i="1"/>
  <c r="C1161" i="1"/>
  <c r="D1161" i="1"/>
  <c r="E1161" i="1"/>
  <c r="C1162" i="1"/>
  <c r="D1162" i="1"/>
  <c r="E1162" i="1"/>
  <c r="C1163" i="1"/>
  <c r="D1163" i="1"/>
  <c r="E1163" i="1"/>
  <c r="C1164" i="1"/>
  <c r="D1164" i="1"/>
  <c r="E1164" i="1"/>
  <c r="C1165" i="1"/>
  <c r="D1165" i="1"/>
  <c r="E1165" i="1"/>
  <c r="C1166" i="1"/>
  <c r="H1166" i="1" s="1"/>
  <c r="D1166" i="1"/>
  <c r="E1166" i="1"/>
  <c r="C1167" i="1"/>
  <c r="D1167" i="1"/>
  <c r="E1167" i="1"/>
  <c r="C1168" i="1"/>
  <c r="D1168" i="1"/>
  <c r="E1168" i="1"/>
  <c r="C1169" i="1"/>
  <c r="D1169" i="1"/>
  <c r="E1169" i="1"/>
  <c r="C1170" i="1"/>
  <c r="D1170" i="1"/>
  <c r="E1170" i="1"/>
  <c r="C1171" i="1"/>
  <c r="D1171" i="1"/>
  <c r="E1171" i="1"/>
  <c r="C1172" i="1"/>
  <c r="D1172" i="1"/>
  <c r="E1172" i="1"/>
  <c r="C1173" i="1"/>
  <c r="D1173" i="1"/>
  <c r="E1173" i="1"/>
  <c r="C1174" i="1"/>
  <c r="D1174" i="1"/>
  <c r="E1174" i="1"/>
  <c r="C1175" i="1"/>
  <c r="D1175" i="1"/>
  <c r="E1175" i="1"/>
  <c r="C1176" i="1"/>
  <c r="D1176" i="1"/>
  <c r="E1176" i="1"/>
  <c r="C1177" i="1"/>
  <c r="D1177" i="1"/>
  <c r="E1177" i="1"/>
  <c r="C1178" i="1"/>
  <c r="D1178" i="1"/>
  <c r="E1178" i="1"/>
  <c r="C1179" i="1"/>
  <c r="D1179" i="1"/>
  <c r="E1179" i="1"/>
  <c r="C1180" i="1"/>
  <c r="D1180" i="1"/>
  <c r="E1180" i="1"/>
  <c r="C1181" i="1"/>
  <c r="D1181" i="1"/>
  <c r="E1181" i="1"/>
  <c r="C1182" i="1"/>
  <c r="D1182" i="1"/>
  <c r="E1182" i="1"/>
  <c r="C1183" i="1"/>
  <c r="D1183" i="1"/>
  <c r="E1183" i="1"/>
  <c r="C1184" i="1"/>
  <c r="D1184" i="1"/>
  <c r="E1184" i="1"/>
  <c r="C1185" i="1"/>
  <c r="D1185" i="1"/>
  <c r="E1185" i="1"/>
  <c r="C1186" i="1"/>
  <c r="D1186" i="1"/>
  <c r="E1186" i="1"/>
  <c r="C1187" i="1"/>
  <c r="D1187" i="1"/>
  <c r="E1187" i="1"/>
  <c r="C1188" i="1"/>
  <c r="D1188" i="1"/>
  <c r="E1188" i="1"/>
  <c r="C1189" i="1"/>
  <c r="D1189" i="1"/>
  <c r="E1189" i="1"/>
  <c r="C1190" i="1"/>
  <c r="D1190" i="1"/>
  <c r="E1190" i="1"/>
  <c r="C1191" i="1"/>
  <c r="D1191" i="1"/>
  <c r="E1191" i="1"/>
  <c r="C1192" i="1"/>
  <c r="D1192" i="1"/>
  <c r="E1192" i="1"/>
  <c r="C1193" i="1"/>
  <c r="D1193" i="1"/>
  <c r="E1193" i="1"/>
  <c r="C1194" i="1"/>
  <c r="D1194" i="1"/>
  <c r="E1194" i="1"/>
  <c r="C1195" i="1"/>
  <c r="D1195" i="1"/>
  <c r="E1195" i="1"/>
  <c r="C1196" i="1"/>
  <c r="D1196" i="1"/>
  <c r="E1196" i="1"/>
  <c r="C1197" i="1"/>
  <c r="H1197" i="1" s="1"/>
  <c r="D1197" i="1"/>
  <c r="E1197" i="1"/>
  <c r="C1198" i="1"/>
  <c r="D1198" i="1"/>
  <c r="E1198" i="1"/>
  <c r="C1199" i="1"/>
  <c r="D1199" i="1"/>
  <c r="E1199" i="1"/>
  <c r="C1200" i="1"/>
  <c r="D1200" i="1"/>
  <c r="E1200" i="1"/>
  <c r="C1201" i="1"/>
  <c r="D1201" i="1"/>
  <c r="E1201" i="1"/>
  <c r="C1202" i="1"/>
  <c r="D1202" i="1"/>
  <c r="E1202" i="1"/>
  <c r="C1203" i="1"/>
  <c r="D1203" i="1"/>
  <c r="E1203" i="1"/>
  <c r="C1204" i="1"/>
  <c r="D1204" i="1"/>
  <c r="E1204" i="1"/>
  <c r="C1205" i="1"/>
  <c r="D1205" i="1"/>
  <c r="E1205" i="1"/>
  <c r="C1206" i="1"/>
  <c r="D1206" i="1"/>
  <c r="E1206" i="1"/>
  <c r="C1207" i="1"/>
  <c r="D1207" i="1"/>
  <c r="E1207" i="1"/>
  <c r="C1208" i="1"/>
  <c r="D1208" i="1"/>
  <c r="E1208" i="1"/>
  <c r="C1209" i="1"/>
  <c r="D1209" i="1"/>
  <c r="E1209" i="1"/>
  <c r="C1210" i="1"/>
  <c r="D1210" i="1"/>
  <c r="E1210" i="1"/>
  <c r="C1211" i="1"/>
  <c r="D1211" i="1"/>
  <c r="E1211" i="1"/>
  <c r="C1212" i="1"/>
  <c r="D1212" i="1"/>
  <c r="E1212" i="1"/>
  <c r="C1213" i="1"/>
  <c r="D1213" i="1"/>
  <c r="E1213" i="1"/>
  <c r="C1214" i="1"/>
  <c r="D1214" i="1"/>
  <c r="E1214" i="1"/>
  <c r="C1215" i="1"/>
  <c r="D1215" i="1"/>
  <c r="E1215" i="1"/>
  <c r="C1216" i="1"/>
  <c r="D1216" i="1"/>
  <c r="E1216" i="1"/>
  <c r="C1217" i="1"/>
  <c r="D1217" i="1"/>
  <c r="E1217" i="1"/>
  <c r="C1218" i="1"/>
  <c r="D1218" i="1"/>
  <c r="E1218" i="1"/>
  <c r="C1219" i="1"/>
  <c r="D1219" i="1"/>
  <c r="E1219" i="1"/>
  <c r="C1220" i="1"/>
  <c r="D1220" i="1"/>
  <c r="E1220" i="1"/>
  <c r="C1221" i="1"/>
  <c r="D1221" i="1"/>
  <c r="E1221" i="1"/>
  <c r="C1222" i="1"/>
  <c r="D1222" i="1"/>
  <c r="E1222" i="1"/>
  <c r="C1223" i="1"/>
  <c r="D1223" i="1"/>
  <c r="E1223" i="1"/>
  <c r="C1224" i="1"/>
  <c r="D1224" i="1"/>
  <c r="E1224" i="1"/>
  <c r="C1225" i="1"/>
  <c r="D1225" i="1"/>
  <c r="E1225" i="1"/>
  <c r="C1226" i="1"/>
  <c r="D1226" i="1"/>
  <c r="E1226" i="1"/>
  <c r="C1227" i="1"/>
  <c r="D1227" i="1"/>
  <c r="E1227" i="1"/>
  <c r="C1228" i="1"/>
  <c r="G1228" i="1" s="1"/>
  <c r="D1228" i="1"/>
  <c r="E1228" i="1"/>
  <c r="C1229" i="1"/>
  <c r="D1229" i="1"/>
  <c r="E1229" i="1"/>
  <c r="C1230" i="1"/>
  <c r="D1230" i="1"/>
  <c r="E1230" i="1"/>
  <c r="C1231" i="1"/>
  <c r="D1231" i="1"/>
  <c r="E1231" i="1"/>
  <c r="C1232" i="1"/>
  <c r="D1232" i="1"/>
  <c r="E1232" i="1"/>
  <c r="C1233" i="1"/>
  <c r="D1233" i="1"/>
  <c r="E1233" i="1"/>
  <c r="C1234" i="1"/>
  <c r="D1234" i="1"/>
  <c r="E1234" i="1"/>
  <c r="C1235" i="1"/>
  <c r="D1235" i="1"/>
  <c r="E1235" i="1"/>
  <c r="C1236" i="1"/>
  <c r="H1236" i="1" s="1"/>
  <c r="D1236" i="1"/>
  <c r="E1236" i="1"/>
  <c r="C1237" i="1"/>
  <c r="D1237" i="1"/>
  <c r="E1237" i="1"/>
  <c r="C1238" i="1"/>
  <c r="D1238" i="1"/>
  <c r="E1238" i="1"/>
  <c r="C1239" i="1"/>
  <c r="D1239" i="1"/>
  <c r="E1239" i="1"/>
  <c r="C1240" i="1"/>
  <c r="D1240" i="1"/>
  <c r="E1240" i="1"/>
  <c r="C1241" i="1"/>
  <c r="D1241" i="1"/>
  <c r="E1241" i="1"/>
  <c r="C1242" i="1"/>
  <c r="D1242" i="1"/>
  <c r="E1242" i="1"/>
  <c r="C1243" i="1"/>
  <c r="D1243" i="1"/>
  <c r="E1243" i="1"/>
  <c r="C1244" i="1"/>
  <c r="D1244" i="1"/>
  <c r="E1244" i="1"/>
  <c r="C1245" i="1"/>
  <c r="D1245" i="1"/>
  <c r="E1245" i="1"/>
  <c r="C1246" i="1"/>
  <c r="D1246" i="1"/>
  <c r="E1246" i="1"/>
  <c r="C1247" i="1"/>
  <c r="D1247" i="1"/>
  <c r="E1247" i="1"/>
  <c r="C1248" i="1"/>
  <c r="D1248" i="1"/>
  <c r="E1248" i="1"/>
  <c r="C1249" i="1"/>
  <c r="D1249" i="1"/>
  <c r="E1249" i="1"/>
  <c r="C1250" i="1"/>
  <c r="D1250" i="1"/>
  <c r="E1250" i="1"/>
  <c r="C1251" i="1"/>
  <c r="D1251" i="1"/>
  <c r="E1251" i="1"/>
  <c r="C1252" i="1"/>
  <c r="D1252" i="1"/>
  <c r="E1252" i="1"/>
  <c r="C1253" i="1"/>
  <c r="D1253" i="1"/>
  <c r="E1253" i="1"/>
  <c r="C1254" i="1"/>
  <c r="D1254" i="1"/>
  <c r="E1254" i="1"/>
  <c r="C1255" i="1"/>
  <c r="D1255" i="1"/>
  <c r="E1255" i="1"/>
  <c r="C1256" i="1"/>
  <c r="D1256" i="1"/>
  <c r="E1256" i="1"/>
  <c r="C1257" i="1"/>
  <c r="D1257" i="1"/>
  <c r="E1257" i="1"/>
  <c r="C1258" i="1"/>
  <c r="D1258" i="1"/>
  <c r="E1258" i="1"/>
  <c r="C1259" i="1"/>
  <c r="D1259" i="1"/>
  <c r="E1259" i="1"/>
  <c r="C1260" i="1"/>
  <c r="D1260" i="1"/>
  <c r="E1260" i="1"/>
  <c r="C1261" i="1"/>
  <c r="D1261" i="1"/>
  <c r="E1261" i="1"/>
  <c r="C1262" i="1"/>
  <c r="D1262" i="1"/>
  <c r="E1262" i="1"/>
  <c r="C1263" i="1"/>
  <c r="D1263" i="1"/>
  <c r="E1263" i="1"/>
  <c r="C1264" i="1"/>
  <c r="D1264" i="1"/>
  <c r="E1264" i="1"/>
  <c r="C1265" i="1"/>
  <c r="D1265" i="1"/>
  <c r="E1265" i="1"/>
  <c r="C1266" i="1"/>
  <c r="D1266" i="1"/>
  <c r="E1266" i="1"/>
  <c r="C1267" i="1"/>
  <c r="H1267" i="1" s="1"/>
  <c r="D1267" i="1"/>
  <c r="E1267" i="1"/>
  <c r="C1268" i="1"/>
  <c r="D1268" i="1"/>
  <c r="E1268" i="1"/>
  <c r="C1269" i="1"/>
  <c r="D1269" i="1"/>
  <c r="E1269" i="1"/>
  <c r="C1270" i="1"/>
  <c r="D1270" i="1"/>
  <c r="E1270" i="1"/>
  <c r="C1271" i="1"/>
  <c r="D1271" i="1"/>
  <c r="E1271" i="1"/>
  <c r="C1272" i="1"/>
  <c r="D1272" i="1"/>
  <c r="E1272" i="1"/>
  <c r="C1273" i="1"/>
  <c r="D1273" i="1"/>
  <c r="E1273" i="1"/>
  <c r="C1274" i="1"/>
  <c r="D1274" i="1"/>
  <c r="E1274" i="1"/>
  <c r="C1275" i="1"/>
  <c r="D1275" i="1"/>
  <c r="E1275" i="1"/>
  <c r="C1276" i="1"/>
  <c r="D1276" i="1"/>
  <c r="E1276" i="1"/>
  <c r="C1277" i="1"/>
  <c r="D1277" i="1"/>
  <c r="E1277" i="1"/>
  <c r="C1278" i="1"/>
  <c r="D1278" i="1"/>
  <c r="E1278" i="1"/>
  <c r="C1279" i="1"/>
  <c r="D1279" i="1"/>
  <c r="E1279" i="1"/>
  <c r="C1280" i="1"/>
  <c r="G1280" i="1" s="1"/>
  <c r="D1280" i="1"/>
  <c r="E1280" i="1"/>
  <c r="H1280" i="1"/>
  <c r="C1281" i="1"/>
  <c r="D1281" i="1"/>
  <c r="E1281" i="1"/>
  <c r="C1282" i="1"/>
  <c r="G1282" i="1" s="1"/>
  <c r="D1282" i="1"/>
  <c r="E1282" i="1"/>
  <c r="C1283" i="1"/>
  <c r="D1283" i="1"/>
  <c r="E1283" i="1"/>
  <c r="C1284" i="1"/>
  <c r="D1284" i="1"/>
  <c r="E1284" i="1"/>
  <c r="C1285" i="1"/>
  <c r="D1285" i="1"/>
  <c r="E1285" i="1"/>
  <c r="C1286" i="1"/>
  <c r="D1286" i="1"/>
  <c r="E1286" i="1"/>
  <c r="C1287" i="1"/>
  <c r="D1287" i="1"/>
  <c r="E1287" i="1"/>
  <c r="C1288" i="1"/>
  <c r="D1288" i="1"/>
  <c r="E1288" i="1"/>
  <c r="C1289" i="1"/>
  <c r="D1289" i="1"/>
  <c r="E1289" i="1"/>
  <c r="C1290" i="1"/>
  <c r="D1290" i="1"/>
  <c r="E1290" i="1"/>
  <c r="C1291" i="1"/>
  <c r="H1291" i="1" s="1"/>
  <c r="D1291" i="1"/>
  <c r="E1291" i="1"/>
  <c r="C1292" i="1"/>
  <c r="D1292" i="1"/>
  <c r="E1292" i="1"/>
  <c r="C1293" i="1"/>
  <c r="D1293" i="1"/>
  <c r="E1293" i="1"/>
  <c r="C1294" i="1"/>
  <c r="D1294" i="1"/>
  <c r="E1294" i="1"/>
  <c r="C1295" i="1"/>
  <c r="D1295" i="1"/>
  <c r="E1295" i="1"/>
  <c r="C1296" i="1"/>
  <c r="D1296" i="1"/>
  <c r="E1296" i="1"/>
  <c r="C1297" i="1"/>
  <c r="D1297" i="1"/>
  <c r="E1297" i="1"/>
  <c r="C1298" i="1"/>
  <c r="D1298" i="1"/>
  <c r="E1298" i="1"/>
  <c r="C1299" i="1"/>
  <c r="D1299" i="1"/>
  <c r="E1299" i="1"/>
  <c r="C1300" i="1"/>
  <c r="D1300" i="1"/>
  <c r="E1300" i="1"/>
  <c r="C1301" i="1"/>
  <c r="D1301" i="1"/>
  <c r="E1301" i="1"/>
  <c r="C1302" i="1"/>
  <c r="D1302" i="1"/>
  <c r="E1302" i="1"/>
  <c r="C1303" i="1"/>
  <c r="D1303" i="1"/>
  <c r="E1303" i="1"/>
  <c r="C1304" i="1"/>
  <c r="H1304" i="1" s="1"/>
  <c r="D1304" i="1"/>
  <c r="E1304" i="1"/>
  <c r="C1305" i="1"/>
  <c r="D1305" i="1"/>
  <c r="E1305" i="1"/>
  <c r="C1306" i="1"/>
  <c r="D1306" i="1"/>
  <c r="E1306" i="1"/>
  <c r="C1307" i="1"/>
  <c r="D1307" i="1"/>
  <c r="E1307" i="1"/>
  <c r="C1308" i="1"/>
  <c r="D1308" i="1"/>
  <c r="E1308" i="1"/>
  <c r="C1309" i="1"/>
  <c r="D1309" i="1"/>
  <c r="E1309" i="1"/>
  <c r="C1310" i="1"/>
  <c r="D1310" i="1"/>
  <c r="E1310" i="1"/>
  <c r="C1311" i="1"/>
  <c r="D1311" i="1"/>
  <c r="E1311" i="1"/>
  <c r="C1312" i="1"/>
  <c r="H1312" i="1" s="1"/>
  <c r="D1312" i="1"/>
  <c r="E1312" i="1"/>
  <c r="C1313" i="1"/>
  <c r="H1313" i="1" s="1"/>
  <c r="D1313" i="1"/>
  <c r="E1313" i="1"/>
  <c r="C1314" i="1"/>
  <c r="D1314" i="1"/>
  <c r="E1314" i="1"/>
  <c r="H1314" i="1"/>
  <c r="C1315" i="1"/>
  <c r="H1315" i="1" s="1"/>
  <c r="D1315" i="1"/>
  <c r="E1315" i="1"/>
  <c r="C1316" i="1"/>
  <c r="D1316" i="1"/>
  <c r="E1316" i="1"/>
  <c r="H1316" i="1"/>
  <c r="C1317" i="1"/>
  <c r="H1317" i="1" s="1"/>
  <c r="D1317" i="1"/>
  <c r="E1317" i="1"/>
  <c r="C1318" i="1"/>
  <c r="H1318" i="1" s="1"/>
  <c r="D1318" i="1"/>
  <c r="E1318" i="1"/>
  <c r="C1319" i="1"/>
  <c r="H1319" i="1" s="1"/>
  <c r="D1319" i="1"/>
  <c r="E1319" i="1"/>
  <c r="C1320" i="1"/>
  <c r="H1320" i="1" s="1"/>
  <c r="D1320" i="1"/>
  <c r="E1320" i="1"/>
  <c r="C1321" i="1"/>
  <c r="D1321" i="1"/>
  <c r="E1321" i="1"/>
  <c r="C1322" i="1"/>
  <c r="H1322" i="1" s="1"/>
  <c r="D1322" i="1"/>
  <c r="E1322" i="1"/>
  <c r="C1323" i="1"/>
  <c r="H1323" i="1" s="1"/>
  <c r="D1323" i="1"/>
  <c r="E1323" i="1"/>
  <c r="C1324" i="1"/>
  <c r="H1324" i="1" s="1"/>
  <c r="D1324" i="1"/>
  <c r="E1324" i="1"/>
  <c r="C1325" i="1"/>
  <c r="H1325" i="1" s="1"/>
  <c r="D1325" i="1"/>
  <c r="E1325" i="1"/>
  <c r="C1326" i="1"/>
  <c r="D1326" i="1"/>
  <c r="E1326" i="1"/>
  <c r="H1326" i="1"/>
  <c r="C1327" i="1"/>
  <c r="H1327" i="1" s="1"/>
  <c r="D1327" i="1"/>
  <c r="E1327" i="1"/>
  <c r="C1328" i="1"/>
  <c r="H1328" i="1" s="1"/>
  <c r="D1328" i="1"/>
  <c r="E1328" i="1"/>
  <c r="C1329" i="1"/>
  <c r="H1329" i="1" s="1"/>
  <c r="D1329" i="1"/>
  <c r="E1329" i="1"/>
  <c r="C1330" i="1"/>
  <c r="D1330" i="1"/>
  <c r="E1330" i="1"/>
  <c r="H1330" i="1"/>
  <c r="C1331" i="1"/>
  <c r="H1331" i="1" s="1"/>
  <c r="D1331" i="1"/>
  <c r="E1331" i="1"/>
  <c r="C1332" i="1"/>
  <c r="D1332" i="1"/>
  <c r="E1332" i="1"/>
  <c r="H1332" i="1"/>
  <c r="C1333" i="1"/>
  <c r="H1333" i="1" s="1"/>
  <c r="D1333" i="1"/>
  <c r="E1333" i="1"/>
  <c r="C1334" i="1"/>
  <c r="H1334" i="1" s="1"/>
  <c r="D1334" i="1"/>
  <c r="E1334" i="1"/>
  <c r="C1335" i="1"/>
  <c r="H1335" i="1" s="1"/>
  <c r="D1335" i="1"/>
  <c r="E1335" i="1"/>
  <c r="C1336" i="1"/>
  <c r="H1336" i="1" s="1"/>
  <c r="D1336" i="1"/>
  <c r="E1336" i="1"/>
  <c r="C1337" i="1"/>
  <c r="H1337" i="1" s="1"/>
  <c r="D1337" i="1"/>
  <c r="E1337" i="1"/>
  <c r="C1338" i="1"/>
  <c r="D1338" i="1"/>
  <c r="E1338" i="1"/>
  <c r="H1338" i="1"/>
  <c r="C1339" i="1"/>
  <c r="H1339" i="1" s="1"/>
  <c r="D1339" i="1"/>
  <c r="E1339" i="1"/>
  <c r="C1340" i="1"/>
  <c r="H1340" i="1" s="1"/>
  <c r="D1340" i="1"/>
  <c r="E1340" i="1"/>
  <c r="C1341" i="1"/>
  <c r="H1341" i="1" s="1"/>
  <c r="D1341" i="1"/>
  <c r="E1341" i="1"/>
  <c r="C1342" i="1"/>
  <c r="H1342" i="1" s="1"/>
  <c r="D1342" i="1"/>
  <c r="E1342" i="1"/>
  <c r="C1343" i="1"/>
  <c r="H1343" i="1" s="1"/>
  <c r="D1343" i="1"/>
  <c r="E1343" i="1"/>
  <c r="C1344" i="1"/>
  <c r="H1344" i="1" s="1"/>
  <c r="D1344" i="1"/>
  <c r="E1344" i="1"/>
  <c r="C1345" i="1"/>
  <c r="H1345" i="1" s="1"/>
  <c r="D1345" i="1"/>
  <c r="E1345" i="1"/>
  <c r="C1346" i="1"/>
  <c r="H1346" i="1" s="1"/>
  <c r="D1346" i="1"/>
  <c r="E1346" i="1"/>
  <c r="C1347" i="1"/>
  <c r="D1347" i="1"/>
  <c r="E1347" i="1"/>
  <c r="C1348" i="1"/>
  <c r="H1348" i="1" s="1"/>
  <c r="D1348" i="1"/>
  <c r="E1348" i="1"/>
  <c r="C1349" i="1"/>
  <c r="H1349" i="1" s="1"/>
  <c r="D1349" i="1"/>
  <c r="E1349" i="1"/>
  <c r="C1350" i="1"/>
  <c r="H1350" i="1" s="1"/>
  <c r="D1350" i="1"/>
  <c r="E1350" i="1"/>
  <c r="C1351" i="1"/>
  <c r="H1351" i="1" s="1"/>
  <c r="D1351" i="1"/>
  <c r="E1351" i="1"/>
  <c r="C1352" i="1"/>
  <c r="H1352" i="1" s="1"/>
  <c r="D1352" i="1"/>
  <c r="E1352" i="1"/>
  <c r="C1353" i="1"/>
  <c r="D1353" i="1"/>
  <c r="E1353" i="1"/>
  <c r="H1353" i="1"/>
  <c r="C1354" i="1"/>
  <c r="H1354" i="1" s="1"/>
  <c r="D1354" i="1"/>
  <c r="E1354" i="1"/>
  <c r="C1355" i="1"/>
  <c r="H1355" i="1" s="1"/>
  <c r="D1355" i="1"/>
  <c r="E1355" i="1"/>
  <c r="C1356" i="1"/>
  <c r="H1356" i="1" s="1"/>
  <c r="D1356" i="1"/>
  <c r="E1356" i="1"/>
  <c r="C1357" i="1"/>
  <c r="H1357" i="1" s="1"/>
  <c r="D1357" i="1"/>
  <c r="E1357" i="1"/>
  <c r="C1358" i="1"/>
  <c r="H1358" i="1" s="1"/>
  <c r="D1358" i="1"/>
  <c r="E1358" i="1"/>
  <c r="C1359" i="1"/>
  <c r="H1359" i="1" s="1"/>
  <c r="D1359" i="1"/>
  <c r="E1359" i="1"/>
  <c r="C1360" i="1"/>
  <c r="H1360" i="1" s="1"/>
  <c r="D1360" i="1"/>
  <c r="E1360" i="1"/>
  <c r="C1361" i="1"/>
  <c r="D1361" i="1"/>
  <c r="E1361" i="1"/>
  <c r="H1361" i="1"/>
  <c r="C1362" i="1"/>
  <c r="H1362" i="1" s="1"/>
  <c r="D1362" i="1"/>
  <c r="E1362" i="1"/>
  <c r="C1363" i="1"/>
  <c r="D1363" i="1"/>
  <c r="E1363" i="1"/>
  <c r="H1363" i="1"/>
  <c r="C1364" i="1"/>
  <c r="H1364" i="1" s="1"/>
  <c r="D1364" i="1"/>
  <c r="E1364" i="1"/>
  <c r="C1365" i="1"/>
  <c r="H1365" i="1" s="1"/>
  <c r="D1365" i="1"/>
  <c r="E1365" i="1"/>
  <c r="C1366" i="1"/>
  <c r="H1366" i="1" s="1"/>
  <c r="D1366" i="1"/>
  <c r="E1366" i="1"/>
  <c r="C1367" i="1"/>
  <c r="H1367" i="1" s="1"/>
  <c r="D1367" i="1"/>
  <c r="E1367" i="1"/>
  <c r="C1368" i="1"/>
  <c r="H1368" i="1" s="1"/>
  <c r="D1368" i="1"/>
  <c r="E1368" i="1"/>
  <c r="C1369" i="1"/>
  <c r="D1369" i="1"/>
  <c r="E1369" i="1"/>
  <c r="H1369" i="1"/>
  <c r="C1370" i="1"/>
  <c r="H1370" i="1" s="1"/>
  <c r="D1370" i="1"/>
  <c r="E1370" i="1"/>
  <c r="C1371" i="1"/>
  <c r="H1371" i="1" s="1"/>
  <c r="D1371" i="1"/>
  <c r="E1371" i="1"/>
  <c r="C1372" i="1"/>
  <c r="H1372" i="1" s="1"/>
  <c r="D1372" i="1"/>
  <c r="E1372" i="1"/>
  <c r="C1373" i="1"/>
  <c r="D1373" i="1"/>
  <c r="E1373" i="1"/>
  <c r="C1374" i="1"/>
  <c r="H1374" i="1" s="1"/>
  <c r="D1374" i="1"/>
  <c r="E1374" i="1"/>
  <c r="C1375" i="1"/>
  <c r="H1375" i="1" s="1"/>
  <c r="D1375" i="1"/>
  <c r="E1375" i="1"/>
  <c r="C1376" i="1"/>
  <c r="H1376" i="1" s="1"/>
  <c r="D1376" i="1"/>
  <c r="E1376" i="1"/>
  <c r="C1377" i="1"/>
  <c r="H1377" i="1" s="1"/>
  <c r="D1377" i="1"/>
  <c r="E1377" i="1"/>
  <c r="C1378" i="1"/>
  <c r="H1378" i="1" s="1"/>
  <c r="D1378" i="1"/>
  <c r="E1378" i="1"/>
  <c r="C1379" i="1"/>
  <c r="H1379" i="1" s="1"/>
  <c r="D1379" i="1"/>
  <c r="E1379" i="1"/>
  <c r="C1380" i="1"/>
  <c r="H1380" i="1" s="1"/>
  <c r="D1380" i="1"/>
  <c r="E1380" i="1"/>
  <c r="C1381" i="1"/>
  <c r="H1381" i="1" s="1"/>
  <c r="D1381" i="1"/>
  <c r="E1381" i="1"/>
  <c r="C1382" i="1"/>
  <c r="D1382" i="1"/>
  <c r="E1382" i="1"/>
  <c r="C1383" i="1"/>
  <c r="H1383" i="1" s="1"/>
  <c r="D1383" i="1"/>
  <c r="E1383" i="1"/>
  <c r="C1384" i="1"/>
  <c r="H1384" i="1" s="1"/>
  <c r="D1384" i="1"/>
  <c r="E1384" i="1"/>
  <c r="C1385" i="1"/>
  <c r="H1385" i="1" s="1"/>
  <c r="D1385" i="1"/>
  <c r="E1385" i="1"/>
  <c r="C1386" i="1"/>
  <c r="D1386" i="1"/>
  <c r="E1386" i="1"/>
  <c r="C1387" i="1"/>
  <c r="H1387" i="1" s="1"/>
  <c r="D1387" i="1"/>
  <c r="E1387" i="1"/>
  <c r="C1388" i="1"/>
  <c r="D1388" i="1"/>
  <c r="E1388" i="1"/>
  <c r="C1389" i="1"/>
  <c r="H1389" i="1" s="1"/>
  <c r="D1389" i="1"/>
  <c r="E1389" i="1"/>
  <c r="C1390" i="1"/>
  <c r="D1390" i="1"/>
  <c r="E1390" i="1"/>
  <c r="C1391" i="1"/>
  <c r="H1391" i="1" s="1"/>
  <c r="D1391" i="1"/>
  <c r="E1391" i="1"/>
  <c r="C1392" i="1"/>
  <c r="D1392" i="1"/>
  <c r="E1392" i="1"/>
  <c r="C1393" i="1"/>
  <c r="G1393" i="1" s="1"/>
  <c r="D1393" i="1"/>
  <c r="E1393" i="1"/>
  <c r="H1393" i="1"/>
  <c r="C1394" i="1"/>
  <c r="H1394" i="1" s="1"/>
  <c r="D1394" i="1"/>
  <c r="E1394" i="1"/>
  <c r="G1394" i="1"/>
  <c r="C1395" i="1"/>
  <c r="D1395" i="1"/>
  <c r="E1395" i="1"/>
  <c r="G1395" i="1"/>
  <c r="H1395" i="1"/>
  <c r="C1396" i="1"/>
  <c r="D1396" i="1"/>
  <c r="E1396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B3" i="2"/>
  <c r="B4" i="2"/>
  <c r="B5" i="2"/>
  <c r="B15" i="2"/>
  <c r="B16" i="2"/>
  <c r="B17" i="2"/>
  <c r="B18" i="2"/>
  <c r="B19" i="2"/>
  <c r="B20" i="2"/>
  <c r="B21" i="2"/>
  <c r="B2" i="2"/>
  <c r="E4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" i="1"/>
  <c r="H4" i="1" s="1"/>
  <c r="G1291" i="1" l="1"/>
  <c r="H1282" i="1"/>
  <c r="H1228" i="1"/>
  <c r="I1228" i="1" s="1"/>
  <c r="H1263" i="1"/>
  <c r="G1263" i="1"/>
  <c r="H1396" i="1"/>
  <c r="G1396" i="1"/>
  <c r="G910" i="1"/>
  <c r="I910" i="1" s="1"/>
  <c r="G1240" i="1"/>
  <c r="H1233" i="1"/>
  <c r="G1084" i="1"/>
  <c r="I1084" i="1" s="1"/>
  <c r="G922" i="1"/>
  <c r="I922" i="1" s="1"/>
  <c r="G836" i="1"/>
  <c r="I836" i="1" s="1"/>
  <c r="G781" i="1"/>
  <c r="I781" i="1" s="1"/>
  <c r="G409" i="1"/>
  <c r="G1392" i="1"/>
  <c r="H1388" i="1"/>
  <c r="G1383" i="1"/>
  <c r="G1351" i="1"/>
  <c r="I1351" i="1" s="1"/>
  <c r="G1120" i="1"/>
  <c r="I1120" i="1" s="1"/>
  <c r="G1043" i="1"/>
  <c r="G1042" i="1"/>
  <c r="I1042" i="1" s="1"/>
  <c r="G1036" i="1"/>
  <c r="G935" i="1"/>
  <c r="G929" i="1"/>
  <c r="I929" i="1" s="1"/>
  <c r="G649" i="1"/>
  <c r="I649" i="1" s="1"/>
  <c r="G641" i="1"/>
  <c r="I641" i="1" s="1"/>
  <c r="G584" i="1"/>
  <c r="G583" i="1"/>
  <c r="I583" i="1" s="1"/>
  <c r="G567" i="1"/>
  <c r="G546" i="1"/>
  <c r="I546" i="1" s="1"/>
  <c r="G516" i="1"/>
  <c r="G515" i="1"/>
  <c r="I515" i="1" s="1"/>
  <c r="G468" i="1"/>
  <c r="I468" i="1" s="1"/>
  <c r="G1251" i="1"/>
  <c r="G777" i="1"/>
  <c r="G362" i="1"/>
  <c r="H270" i="1"/>
  <c r="H266" i="1"/>
  <c r="G432" i="1"/>
  <c r="H424" i="1"/>
  <c r="H420" i="1"/>
  <c r="H416" i="1"/>
  <c r="G410" i="1"/>
  <c r="G400" i="1"/>
  <c r="H396" i="1"/>
  <c r="G388" i="1"/>
  <c r="H378" i="1"/>
  <c r="G374" i="1"/>
  <c r="G364" i="1"/>
  <c r="H360" i="1"/>
  <c r="H340" i="1"/>
  <c r="H336" i="1"/>
  <c r="H332" i="1"/>
  <c r="H328" i="1"/>
  <c r="G312" i="1"/>
  <c r="H300" i="1"/>
  <c r="H296" i="1"/>
  <c r="H292" i="1"/>
  <c r="G288" i="1"/>
  <c r="H282" i="1"/>
  <c r="H278" i="1"/>
  <c r="G274" i="1"/>
  <c r="G266" i="1"/>
  <c r="H262" i="1"/>
  <c r="H258" i="1"/>
  <c r="G252" i="1"/>
  <c r="H248" i="1"/>
  <c r="H240" i="1"/>
  <c r="G236" i="1"/>
  <c r="H232" i="1"/>
  <c r="H228" i="1"/>
  <c r="H224" i="1"/>
  <c r="G220" i="1"/>
  <c r="H214" i="1"/>
  <c r="H208" i="1"/>
  <c r="G196" i="1"/>
  <c r="G186" i="1"/>
  <c r="G182" i="1"/>
  <c r="G178" i="1"/>
  <c r="G170" i="1"/>
  <c r="G106" i="1"/>
  <c r="G1287" i="1"/>
  <c r="G1108" i="1"/>
  <c r="I1108" i="1" s="1"/>
  <c r="G921" i="1"/>
  <c r="G890" i="1"/>
  <c r="I890" i="1" s="1"/>
  <c r="G848" i="1"/>
  <c r="I848" i="1" s="1"/>
  <c r="G842" i="1"/>
  <c r="G835" i="1"/>
  <c r="I835" i="1" s="1"/>
  <c r="G825" i="1"/>
  <c r="G1308" i="1"/>
  <c r="G510" i="1"/>
  <c r="G405" i="1"/>
  <c r="H432" i="1"/>
  <c r="G404" i="1"/>
  <c r="G396" i="1"/>
  <c r="H268" i="1"/>
  <c r="G188" i="1"/>
  <c r="G168" i="1"/>
  <c r="H345" i="1"/>
  <c r="G1368" i="1"/>
  <c r="I1368" i="1" s="1"/>
  <c r="G1357" i="1"/>
  <c r="I1357" i="1" s="1"/>
  <c r="G1354" i="1"/>
  <c r="I1354" i="1" s="1"/>
  <c r="G1197" i="1"/>
  <c r="I1197" i="1" s="1"/>
  <c r="H1193" i="1"/>
  <c r="G1145" i="1"/>
  <c r="G1135" i="1"/>
  <c r="G1052" i="1"/>
  <c r="G946" i="1"/>
  <c r="G758" i="1"/>
  <c r="I758" i="1" s="1"/>
  <c r="G703" i="1"/>
  <c r="G694" i="1"/>
  <c r="I694" i="1" s="1"/>
  <c r="G689" i="1"/>
  <c r="I689" i="1" s="1"/>
  <c r="H254" i="1"/>
  <c r="G202" i="1"/>
  <c r="G524" i="1"/>
  <c r="I524" i="1" s="1"/>
  <c r="G906" i="1"/>
  <c r="G1027" i="1"/>
  <c r="I1027" i="1" s="1"/>
  <c r="G481" i="1"/>
  <c r="I481" i="1" s="1"/>
  <c r="G724" i="1"/>
  <c r="I724" i="1" s="1"/>
  <c r="G801" i="1"/>
  <c r="I801" i="1" s="1"/>
  <c r="G1098" i="1"/>
  <c r="G452" i="1"/>
  <c r="I452" i="1" s="1"/>
  <c r="G566" i="1"/>
  <c r="I566" i="1" s="1"/>
  <c r="G938" i="1"/>
  <c r="G1166" i="1"/>
  <c r="I1166" i="1" s="1"/>
  <c r="G489" i="1"/>
  <c r="I489" i="1" s="1"/>
  <c r="G601" i="1"/>
  <c r="I601" i="1" s="1"/>
  <c r="G1070" i="1"/>
  <c r="I1070" i="1" s="1"/>
  <c r="H426" i="1"/>
  <c r="H422" i="1"/>
  <c r="H418" i="1"/>
  <c r="G414" i="1"/>
  <c r="H412" i="1"/>
  <c r="G398" i="1"/>
  <c r="G394" i="1"/>
  <c r="H390" i="1"/>
  <c r="H386" i="1"/>
  <c r="G384" i="1"/>
  <c r="G380" i="1"/>
  <c r="H372" i="1"/>
  <c r="H362" i="1"/>
  <c r="H358" i="1"/>
  <c r="H346" i="1"/>
  <c r="H342" i="1"/>
  <c r="G334" i="1"/>
  <c r="H330" i="1"/>
  <c r="H326" i="1"/>
  <c r="G322" i="1"/>
  <c r="H320" i="1"/>
  <c r="H316" i="1"/>
  <c r="H314" i="1"/>
  <c r="H310" i="1"/>
  <c r="G308" i="1"/>
  <c r="H306" i="1"/>
  <c r="H304" i="1"/>
  <c r="H298" i="1"/>
  <c r="H290" i="1"/>
  <c r="H286" i="1"/>
  <c r="G284" i="1"/>
  <c r="H280" i="1"/>
  <c r="H272" i="1"/>
  <c r="H260" i="1"/>
  <c r="H256" i="1"/>
  <c r="H250" i="1"/>
  <c r="H244" i="1"/>
  <c r="G238" i="1"/>
  <c r="H226" i="1"/>
  <c r="H218" i="1"/>
  <c r="H216" i="1"/>
  <c r="H212" i="1"/>
  <c r="G210" i="1"/>
  <c r="H206" i="1"/>
  <c r="G200" i="1"/>
  <c r="G198" i="1"/>
  <c r="H188" i="1"/>
  <c r="G184" i="1"/>
  <c r="G172" i="1"/>
  <c r="G1296" i="1"/>
  <c r="G1080" i="1"/>
  <c r="I1080" i="1" s="1"/>
  <c r="H265" i="1"/>
  <c r="G408" i="1"/>
  <c r="H348" i="1"/>
  <c r="H264" i="1"/>
  <c r="H347" i="1"/>
  <c r="H303" i="1"/>
  <c r="H267" i="1"/>
  <c r="H251" i="1"/>
  <c r="G1332" i="1"/>
  <c r="G1331" i="1"/>
  <c r="G1320" i="1"/>
  <c r="G1255" i="1"/>
  <c r="H1240" i="1"/>
  <c r="G1127" i="1"/>
  <c r="G1066" i="1"/>
  <c r="G1062" i="1"/>
  <c r="G982" i="1"/>
  <c r="I982" i="1" s="1"/>
  <c r="G968" i="1"/>
  <c r="I968" i="1" s="1"/>
  <c r="G775" i="1"/>
  <c r="G160" i="1"/>
  <c r="G441" i="1"/>
  <c r="G439" i="1"/>
  <c r="G435" i="1"/>
  <c r="G433" i="1"/>
  <c r="H431" i="1"/>
  <c r="H427" i="1"/>
  <c r="H425" i="1"/>
  <c r="H417" i="1"/>
  <c r="G415" i="1"/>
  <c r="G411" i="1"/>
  <c r="H409" i="1"/>
  <c r="G407" i="1"/>
  <c r="G403" i="1"/>
  <c r="G401" i="1"/>
  <c r="H395" i="1"/>
  <c r="G391" i="1"/>
  <c r="G389" i="1"/>
  <c r="H387" i="1"/>
  <c r="H385" i="1"/>
  <c r="G379" i="1"/>
  <c r="H377" i="1"/>
  <c r="G375" i="1"/>
  <c r="G371" i="1"/>
  <c r="G369" i="1"/>
  <c r="H361" i="1"/>
  <c r="H359" i="1"/>
  <c r="H353" i="1"/>
  <c r="H343" i="1"/>
  <c r="H339" i="1"/>
  <c r="G337" i="1"/>
  <c r="H335" i="1"/>
  <c r="H333" i="1"/>
  <c r="H331" i="1"/>
  <c r="G329" i="1"/>
  <c r="H327" i="1"/>
  <c r="H325" i="1"/>
  <c r="G321" i="1"/>
  <c r="H319" i="1"/>
  <c r="H317" i="1"/>
  <c r="H315" i="1"/>
  <c r="G313" i="1"/>
  <c r="H311" i="1"/>
  <c r="H309" i="1"/>
  <c r="H305" i="1"/>
  <c r="H301" i="1"/>
  <c r="H299" i="1"/>
  <c r="H297" i="1"/>
  <c r="H295" i="1"/>
  <c r="H293" i="1"/>
  <c r="H289" i="1"/>
  <c r="H287" i="1"/>
  <c r="H281" i="1"/>
  <c r="H279" i="1"/>
  <c r="H277" i="1"/>
  <c r="H275" i="1"/>
  <c r="H271" i="1"/>
  <c r="H269" i="1"/>
  <c r="G265" i="1"/>
  <c r="H263" i="1"/>
  <c r="H259" i="1"/>
  <c r="H257" i="1"/>
  <c r="H255" i="1"/>
  <c r="H253" i="1"/>
  <c r="H249" i="1"/>
  <c r="H247" i="1"/>
  <c r="H245" i="1"/>
  <c r="H243" i="1"/>
  <c r="H239" i="1"/>
  <c r="H237" i="1"/>
  <c r="H235" i="1"/>
  <c r="H233" i="1"/>
  <c r="H231" i="1"/>
  <c r="H229" i="1"/>
  <c r="H225" i="1"/>
  <c r="H223" i="1"/>
  <c r="H221" i="1"/>
  <c r="H219" i="1"/>
  <c r="H215" i="1"/>
  <c r="H213" i="1"/>
  <c r="H207" i="1"/>
  <c r="H205" i="1"/>
  <c r="G203" i="1"/>
  <c r="G201" i="1"/>
  <c r="G197" i="1"/>
  <c r="G195" i="1"/>
  <c r="G193" i="1"/>
  <c r="H191" i="1"/>
  <c r="G189" i="1"/>
  <c r="G187" i="1"/>
  <c r="G185" i="1"/>
  <c r="G173" i="1"/>
  <c r="G171" i="1"/>
  <c r="G169" i="1"/>
  <c r="H167" i="1"/>
  <c r="G165" i="1"/>
  <c r="G161" i="1"/>
  <c r="H159" i="1"/>
  <c r="H157" i="1"/>
  <c r="H155" i="1"/>
  <c r="G153" i="1"/>
  <c r="G149" i="1"/>
  <c r="G147" i="1"/>
  <c r="G145" i="1"/>
  <c r="G139" i="1"/>
  <c r="H137" i="1"/>
  <c r="G135" i="1"/>
  <c r="G131" i="1"/>
  <c r="H129" i="1"/>
  <c r="G123" i="1"/>
  <c r="H121" i="1"/>
  <c r="G119" i="1"/>
  <c r="G115" i="1"/>
  <c r="H111" i="1"/>
  <c r="G107" i="1"/>
  <c r="G101" i="1"/>
  <c r="H99" i="1"/>
  <c r="G97" i="1"/>
  <c r="H85" i="1"/>
  <c r="G81" i="1"/>
  <c r="H75" i="1"/>
  <c r="H69" i="1"/>
  <c r="G65" i="1"/>
  <c r="H61" i="1"/>
  <c r="G57" i="1"/>
  <c r="H55" i="1"/>
  <c r="H53" i="1"/>
  <c r="H51" i="1"/>
  <c r="G49" i="1"/>
  <c r="G45" i="1"/>
  <c r="H43" i="1"/>
  <c r="H41" i="1"/>
  <c r="H39" i="1"/>
  <c r="H37" i="1"/>
  <c r="G35" i="1"/>
  <c r="H33" i="1"/>
  <c r="G29" i="1"/>
  <c r="G27" i="1"/>
  <c r="H25" i="1"/>
  <c r="G19" i="1"/>
  <c r="H17" i="1"/>
  <c r="H15" i="1"/>
  <c r="G11" i="1"/>
  <c r="G9" i="1"/>
  <c r="G7" i="1"/>
  <c r="G1389" i="1"/>
  <c r="G1388" i="1"/>
  <c r="G1376" i="1"/>
  <c r="G1370" i="1"/>
  <c r="G1369" i="1"/>
  <c r="I1369" i="1" s="1"/>
  <c r="G1352" i="1"/>
  <c r="G1347" i="1"/>
  <c r="G1346" i="1"/>
  <c r="I1346" i="1" s="1"/>
  <c r="G1339" i="1"/>
  <c r="G1338" i="1"/>
  <c r="G1311" i="1"/>
  <c r="G1303" i="1"/>
  <c r="H1269" i="1"/>
  <c r="G1259" i="1"/>
  <c r="G1208" i="1"/>
  <c r="G1170" i="1"/>
  <c r="G1158" i="1"/>
  <c r="I1158" i="1" s="1"/>
  <c r="G1126" i="1"/>
  <c r="G1121" i="1"/>
  <c r="G1103" i="1"/>
  <c r="I1103" i="1" s="1"/>
  <c r="G1057" i="1"/>
  <c r="G1050" i="1"/>
  <c r="G1033" i="1"/>
  <c r="I1033" i="1" s="1"/>
  <c r="G1014" i="1"/>
  <c r="I1014" i="1" s="1"/>
  <c r="G997" i="1"/>
  <c r="G953" i="1"/>
  <c r="G947" i="1"/>
  <c r="I947" i="1" s="1"/>
  <c r="G942" i="1"/>
  <c r="I942" i="1" s="1"/>
  <c r="G941" i="1"/>
  <c r="I941" i="1" s="1"/>
  <c r="G940" i="1"/>
  <c r="G868" i="1"/>
  <c r="I868" i="1" s="1"/>
  <c r="G854" i="1"/>
  <c r="G796" i="1"/>
  <c r="G776" i="1"/>
  <c r="I776" i="1" s="1"/>
  <c r="G772" i="1"/>
  <c r="G770" i="1"/>
  <c r="I770" i="1" s="1"/>
  <c r="G759" i="1"/>
  <c r="G733" i="1"/>
  <c r="G719" i="1"/>
  <c r="I719" i="1" s="1"/>
  <c r="G675" i="1"/>
  <c r="G657" i="1"/>
  <c r="G167" i="1"/>
  <c r="G163" i="1"/>
  <c r="G1379" i="1"/>
  <c r="I1379" i="1" s="1"/>
  <c r="G1378" i="1"/>
  <c r="G1366" i="1"/>
  <c r="I1366" i="1" s="1"/>
  <c r="G1365" i="1"/>
  <c r="I1365" i="1" s="1"/>
  <c r="G1322" i="1"/>
  <c r="I1322" i="1" s="1"/>
  <c r="G1318" i="1"/>
  <c r="G1300" i="1"/>
  <c r="G1284" i="1"/>
  <c r="G1270" i="1"/>
  <c r="G1269" i="1"/>
  <c r="G1260" i="1"/>
  <c r="H1235" i="1"/>
  <c r="G1195" i="1"/>
  <c r="G1194" i="1"/>
  <c r="G1191" i="1"/>
  <c r="G1182" i="1"/>
  <c r="G1179" i="1"/>
  <c r="G1167" i="1"/>
  <c r="H1163" i="1"/>
  <c r="G1159" i="1"/>
  <c r="G1148" i="1"/>
  <c r="I1148" i="1" s="1"/>
  <c r="G1147" i="1"/>
  <c r="G1128" i="1"/>
  <c r="G1015" i="1"/>
  <c r="I1015" i="1" s="1"/>
  <c r="G1011" i="1"/>
  <c r="I1011" i="1" s="1"/>
  <c r="G1009" i="1"/>
  <c r="I1009" i="1" s="1"/>
  <c r="G1003" i="1"/>
  <c r="I1003" i="1" s="1"/>
  <c r="G998" i="1"/>
  <c r="I998" i="1" s="1"/>
  <c r="G980" i="1"/>
  <c r="I980" i="1" s="1"/>
  <c r="G954" i="1"/>
  <c r="G877" i="1"/>
  <c r="I877" i="1" s="1"/>
  <c r="G872" i="1"/>
  <c r="G869" i="1"/>
  <c r="I869" i="1" s="1"/>
  <c r="G860" i="1"/>
  <c r="G855" i="1"/>
  <c r="I855" i="1" s="1"/>
  <c r="G816" i="1"/>
  <c r="I816" i="1" s="1"/>
  <c r="G783" i="1"/>
  <c r="G734" i="1"/>
  <c r="I734" i="1" s="1"/>
  <c r="G730" i="1"/>
  <c r="I730" i="1" s="1"/>
  <c r="G725" i="1"/>
  <c r="I725" i="1" s="1"/>
  <c r="G721" i="1"/>
  <c r="G682" i="1"/>
  <c r="G670" i="1"/>
  <c r="G668" i="1"/>
  <c r="G667" i="1"/>
  <c r="G166" i="1"/>
  <c r="G164" i="1"/>
  <c r="G162" i="1"/>
  <c r="H158" i="1"/>
  <c r="H152" i="1"/>
  <c r="G150" i="1"/>
  <c r="G146" i="1"/>
  <c r="G144" i="1"/>
  <c r="G142" i="1"/>
  <c r="G140" i="1"/>
  <c r="G138" i="1"/>
  <c r="H132" i="1"/>
  <c r="H126" i="1"/>
  <c r="H124" i="1"/>
  <c r="H120" i="1"/>
  <c r="H112" i="1"/>
  <c r="H96" i="1"/>
  <c r="G94" i="1"/>
  <c r="G88" i="1"/>
  <c r="G86" i="1"/>
  <c r="H80" i="1"/>
  <c r="G70" i="1"/>
  <c r="H64" i="1"/>
  <c r="H58" i="1"/>
  <c r="H54" i="1"/>
  <c r="G48" i="1"/>
  <c r="G42" i="1"/>
  <c r="G40" i="1"/>
  <c r="G38" i="1"/>
  <c r="G32" i="1"/>
  <c r="G30" i="1"/>
  <c r="H24" i="1"/>
  <c r="H22" i="1"/>
  <c r="G18" i="1"/>
  <c r="G16" i="1"/>
  <c r="G1391" i="1"/>
  <c r="G1390" i="1"/>
  <c r="G1374" i="1"/>
  <c r="I1374" i="1" s="1"/>
  <c r="G1373" i="1"/>
  <c r="G1367" i="1"/>
  <c r="G1350" i="1"/>
  <c r="G1349" i="1"/>
  <c r="G1343" i="1"/>
  <c r="G1313" i="1"/>
  <c r="G1307" i="1"/>
  <c r="G1294" i="1"/>
  <c r="H1285" i="1"/>
  <c r="G1275" i="1"/>
  <c r="H1271" i="1"/>
  <c r="G1266" i="1"/>
  <c r="G1264" i="1"/>
  <c r="G1261" i="1"/>
  <c r="H1258" i="1"/>
  <c r="G1243" i="1"/>
  <c r="G1236" i="1"/>
  <c r="G1235" i="1"/>
  <c r="G1196" i="1"/>
  <c r="H1188" i="1"/>
  <c r="H1187" i="1"/>
  <c r="G1187" i="1"/>
  <c r="H1183" i="1"/>
  <c r="G1183" i="1"/>
  <c r="G1176" i="1"/>
  <c r="H1175" i="1"/>
  <c r="G1175" i="1"/>
  <c r="H1171" i="1"/>
  <c r="G1171" i="1"/>
  <c r="H1168" i="1"/>
  <c r="G1163" i="1"/>
  <c r="G1160" i="1"/>
  <c r="G1140" i="1"/>
  <c r="G1095" i="1"/>
  <c r="G1055" i="1"/>
  <c r="G1022" i="1"/>
  <c r="G970" i="1"/>
  <c r="G928" i="1"/>
  <c r="I928" i="1" s="1"/>
  <c r="G903" i="1"/>
  <c r="G867" i="1"/>
  <c r="G856" i="1"/>
  <c r="G834" i="1"/>
  <c r="I834" i="1" s="1"/>
  <c r="G830" i="1"/>
  <c r="G820" i="1"/>
  <c r="G798" i="1"/>
  <c r="I798" i="1" s="1"/>
  <c r="G793" i="1"/>
  <c r="G789" i="1"/>
  <c r="I789" i="1" s="1"/>
  <c r="G746" i="1"/>
  <c r="I746" i="1" s="1"/>
  <c r="G717" i="1"/>
  <c r="G709" i="1"/>
  <c r="I709" i="1" s="1"/>
  <c r="G702" i="1"/>
  <c r="I702" i="1" s="1"/>
  <c r="G683" i="1"/>
  <c r="G655" i="1"/>
  <c r="I655" i="1" s="1"/>
  <c r="G640" i="1"/>
  <c r="G630" i="1"/>
  <c r="I630" i="1" s="1"/>
  <c r="G608" i="1"/>
  <c r="G519" i="1"/>
  <c r="I519" i="1" s="1"/>
  <c r="G503" i="1"/>
  <c r="I503" i="1" s="1"/>
  <c r="G498" i="1"/>
  <c r="G484" i="1"/>
  <c r="I484" i="1" s="1"/>
  <c r="G483" i="1"/>
  <c r="G478" i="1"/>
  <c r="G457" i="1"/>
  <c r="I457" i="1" s="1"/>
  <c r="G1188" i="1"/>
  <c r="H1185" i="1"/>
  <c r="G1181" i="1"/>
  <c r="G1180" i="1"/>
  <c r="G1177" i="1"/>
  <c r="G1173" i="1"/>
  <c r="G1172" i="1"/>
  <c r="H1169" i="1"/>
  <c r="G1168" i="1"/>
  <c r="G1164" i="1"/>
  <c r="G1142" i="1"/>
  <c r="I1142" i="1" s="1"/>
  <c r="G1136" i="1"/>
  <c r="G1122" i="1"/>
  <c r="I1122" i="1" s="1"/>
  <c r="G1099" i="1"/>
  <c r="I1099" i="1" s="1"/>
  <c r="G1088" i="1"/>
  <c r="I1088" i="1" s="1"/>
  <c r="G1074" i="1"/>
  <c r="I1074" i="1" s="1"/>
  <c r="G1064" i="1"/>
  <c r="I1064" i="1" s="1"/>
  <c r="G1059" i="1"/>
  <c r="G1017" i="1"/>
  <c r="G1006" i="1"/>
  <c r="I1006" i="1" s="1"/>
  <c r="G973" i="1"/>
  <c r="G949" i="1"/>
  <c r="I949" i="1" s="1"/>
  <c r="G937" i="1"/>
  <c r="G932" i="1"/>
  <c r="G931" i="1"/>
  <c r="G923" i="1"/>
  <c r="G917" i="1"/>
  <c r="G916" i="1"/>
  <c r="G901" i="1"/>
  <c r="G896" i="1"/>
  <c r="I896" i="1" s="1"/>
  <c r="G891" i="1"/>
  <c r="G878" i="1"/>
  <c r="G866" i="1"/>
  <c r="I866" i="1" s="1"/>
  <c r="G862" i="1"/>
  <c r="G845" i="1"/>
  <c r="G843" i="1"/>
  <c r="I843" i="1" s="1"/>
  <c r="G831" i="1"/>
  <c r="G807" i="1"/>
  <c r="G800" i="1"/>
  <c r="G790" i="1"/>
  <c r="I790" i="1" s="1"/>
  <c r="G766" i="1"/>
  <c r="I766" i="1" s="1"/>
  <c r="G749" i="1"/>
  <c r="G743" i="1"/>
  <c r="G720" i="1"/>
  <c r="G713" i="1"/>
  <c r="G712" i="1"/>
  <c r="I712" i="1" s="1"/>
  <c r="G711" i="1"/>
  <c r="G680" i="1"/>
  <c r="I680" i="1" s="1"/>
  <c r="G678" i="1"/>
  <c r="I678" i="1" s="1"/>
  <c r="G669" i="1"/>
  <c r="I669" i="1" s="1"/>
  <c r="G658" i="1"/>
  <c r="G653" i="1"/>
  <c r="G652" i="1"/>
  <c r="G638" i="1"/>
  <c r="I638" i="1" s="1"/>
  <c r="G637" i="1"/>
  <c r="G564" i="1"/>
  <c r="G558" i="1"/>
  <c r="G553" i="1"/>
  <c r="I553" i="1" s="1"/>
  <c r="G536" i="1"/>
  <c r="I536" i="1" s="1"/>
  <c r="G1353" i="1"/>
  <c r="G1334" i="1"/>
  <c r="I1334" i="1" s="1"/>
  <c r="G1314" i="1"/>
  <c r="G1309" i="1"/>
  <c r="G1297" i="1"/>
  <c r="G1293" i="1"/>
  <c r="G1292" i="1"/>
  <c r="G1272" i="1"/>
  <c r="G1271" i="1"/>
  <c r="H1259" i="1"/>
  <c r="G1258" i="1"/>
  <c r="G1249" i="1"/>
  <c r="G1247" i="1"/>
  <c r="G1246" i="1"/>
  <c r="G1245" i="1"/>
  <c r="G1242" i="1"/>
  <c r="G1241" i="1"/>
  <c r="G1234" i="1"/>
  <c r="G1233" i="1"/>
  <c r="G1230" i="1"/>
  <c r="H1229" i="1"/>
  <c r="G1229" i="1"/>
  <c r="G1227" i="1"/>
  <c r="G1224" i="1"/>
  <c r="G1219" i="1"/>
  <c r="G1217" i="1"/>
  <c r="G1215" i="1"/>
  <c r="G1213" i="1"/>
  <c r="G1211" i="1"/>
  <c r="G1210" i="1"/>
  <c r="G1209" i="1"/>
  <c r="G1205" i="1"/>
  <c r="G1203" i="1"/>
  <c r="G1201" i="1"/>
  <c r="G1200" i="1"/>
  <c r="G1199" i="1"/>
  <c r="G1193" i="1"/>
  <c r="G1190" i="1"/>
  <c r="G1189" i="1"/>
  <c r="G1185" i="1"/>
  <c r="G1169" i="1"/>
  <c r="G1165" i="1"/>
  <c r="G1144" i="1"/>
  <c r="G1131" i="1"/>
  <c r="I1131" i="1" s="1"/>
  <c r="G1130" i="1"/>
  <c r="G1119" i="1"/>
  <c r="I1119" i="1" s="1"/>
  <c r="G1105" i="1"/>
  <c r="I1105" i="1" s="1"/>
  <c r="G1091" i="1"/>
  <c r="I1091" i="1" s="1"/>
  <c r="G1089" i="1"/>
  <c r="G1082" i="1"/>
  <c r="I1082" i="1" s="1"/>
  <c r="G1071" i="1"/>
  <c r="G1054" i="1"/>
  <c r="G1041" i="1"/>
  <c r="G1040" i="1"/>
  <c r="G1035" i="1"/>
  <c r="G1002" i="1"/>
  <c r="I1002" i="1" s="1"/>
  <c r="G1001" i="1"/>
  <c r="I1001" i="1" s="1"/>
  <c r="G1000" i="1"/>
  <c r="G981" i="1"/>
  <c r="G975" i="1"/>
  <c r="G962" i="1"/>
  <c r="G959" i="1"/>
  <c r="G902" i="1"/>
  <c r="G874" i="1"/>
  <c r="G863" i="1"/>
  <c r="G829" i="1"/>
  <c r="G828" i="1"/>
  <c r="G827" i="1"/>
  <c r="I827" i="1" s="1"/>
  <c r="G815" i="1"/>
  <c r="I815" i="1" s="1"/>
  <c r="G808" i="1"/>
  <c r="G802" i="1"/>
  <c r="G791" i="1"/>
  <c r="G762" i="1"/>
  <c r="I762" i="1" s="1"/>
  <c r="G757" i="1"/>
  <c r="G751" i="1"/>
  <c r="I751" i="1" s="1"/>
  <c r="G691" i="1"/>
  <c r="G673" i="1"/>
  <c r="G618" i="1"/>
  <c r="I618" i="1" s="1"/>
  <c r="G586" i="1"/>
  <c r="I586" i="1" s="1"/>
  <c r="G532" i="1"/>
  <c r="G486" i="1"/>
  <c r="G473" i="1"/>
  <c r="I473" i="1" s="1"/>
  <c r="G471" i="1"/>
  <c r="G621" i="1"/>
  <c r="I621" i="1" s="1"/>
  <c r="G615" i="1"/>
  <c r="G612" i="1"/>
  <c r="G581" i="1"/>
  <c r="G577" i="1"/>
  <c r="I577" i="1" s="1"/>
  <c r="G565" i="1"/>
  <c r="G548" i="1"/>
  <c r="I548" i="1" s="1"/>
  <c r="G534" i="1"/>
  <c r="G469" i="1"/>
  <c r="I469" i="1" s="1"/>
  <c r="G453" i="1"/>
  <c r="G1380" i="1"/>
  <c r="I1380" i="1" s="1"/>
  <c r="G1371" i="1"/>
  <c r="I1371" i="1" s="1"/>
  <c r="G1356" i="1"/>
  <c r="G1355" i="1"/>
  <c r="I1355" i="1" s="1"/>
  <c r="G1348" i="1"/>
  <c r="G1333" i="1"/>
  <c r="G1325" i="1"/>
  <c r="I1325" i="1" s="1"/>
  <c r="G1324" i="1"/>
  <c r="G1305" i="1"/>
  <c r="H1303" i="1"/>
  <c r="G1302" i="1"/>
  <c r="G1301" i="1"/>
  <c r="G1289" i="1"/>
  <c r="G1288" i="1"/>
  <c r="G1286" i="1"/>
  <c r="G1285" i="1"/>
  <c r="I1282" i="1"/>
  <c r="G1281" i="1"/>
  <c r="G1278" i="1"/>
  <c r="I1278" i="1" s="1"/>
  <c r="G1265" i="1"/>
  <c r="G1253" i="1"/>
  <c r="G1157" i="1"/>
  <c r="I1157" i="1" s="1"/>
  <c r="G1133" i="1"/>
  <c r="I1133" i="1" s="1"/>
  <c r="G1124" i="1"/>
  <c r="G1111" i="1"/>
  <c r="G1097" i="1"/>
  <c r="I1097" i="1" s="1"/>
  <c r="G1092" i="1"/>
  <c r="G1079" i="1"/>
  <c r="I1079" i="1" s="1"/>
  <c r="G1072" i="1"/>
  <c r="G1058" i="1"/>
  <c r="G1047" i="1"/>
  <c r="I1047" i="1" s="1"/>
  <c r="G1026" i="1"/>
  <c r="G1025" i="1"/>
  <c r="I1025" i="1" s="1"/>
  <c r="G1024" i="1"/>
  <c r="I1024" i="1" s="1"/>
  <c r="G994" i="1"/>
  <c r="G990" i="1"/>
  <c r="I990" i="1" s="1"/>
  <c r="G958" i="1"/>
  <c r="G957" i="1"/>
  <c r="I957" i="1" s="1"/>
  <c r="G944" i="1"/>
  <c r="I944" i="1" s="1"/>
  <c r="G926" i="1"/>
  <c r="I926" i="1" s="1"/>
  <c r="G911" i="1"/>
  <c r="G905" i="1"/>
  <c r="I905" i="1" s="1"/>
  <c r="G904" i="1"/>
  <c r="G893" i="1"/>
  <c r="I893" i="1" s="1"/>
  <c r="G886" i="1"/>
  <c r="I886" i="1" s="1"/>
  <c r="G851" i="1"/>
  <c r="G840" i="1"/>
  <c r="G839" i="1"/>
  <c r="I839" i="1" s="1"/>
  <c r="G833" i="1"/>
  <c r="G819" i="1"/>
  <c r="I819" i="1" s="1"/>
  <c r="G805" i="1"/>
  <c r="I805" i="1" s="1"/>
  <c r="G799" i="1"/>
  <c r="I799" i="1" s="1"/>
  <c r="G785" i="1"/>
  <c r="G774" i="1"/>
  <c r="I774" i="1" s="1"/>
  <c r="G773" i="1"/>
  <c r="G760" i="1"/>
  <c r="G754" i="1"/>
  <c r="I754" i="1" s="1"/>
  <c r="G741" i="1"/>
  <c r="I741" i="1" s="1"/>
  <c r="G735" i="1"/>
  <c r="G722" i="1"/>
  <c r="I722" i="1" s="1"/>
  <c r="G708" i="1"/>
  <c r="I708" i="1" s="1"/>
  <c r="G707" i="1"/>
  <c r="G665" i="1"/>
  <c r="I665" i="1" s="1"/>
  <c r="G660" i="1"/>
  <c r="G633" i="1"/>
  <c r="I633" i="1" s="1"/>
  <c r="G629" i="1"/>
  <c r="G606" i="1"/>
  <c r="I606" i="1" s="1"/>
  <c r="G605" i="1"/>
  <c r="G589" i="1"/>
  <c r="G571" i="1"/>
  <c r="G556" i="1"/>
  <c r="G539" i="1"/>
  <c r="I539" i="1" s="1"/>
  <c r="H526" i="1"/>
  <c r="I526" i="1" s="1"/>
  <c r="G492" i="1"/>
  <c r="I492" i="1" s="1"/>
  <c r="G480" i="1"/>
  <c r="G464" i="1"/>
  <c r="I464" i="1" s="1"/>
  <c r="G449" i="1"/>
  <c r="G597" i="1"/>
  <c r="I597" i="1" s="1"/>
  <c r="G591" i="1"/>
  <c r="G575" i="1"/>
  <c r="I575" i="1" s="1"/>
  <c r="G563" i="1"/>
  <c r="I563" i="1" s="1"/>
  <c r="G544" i="1"/>
  <c r="I544" i="1" s="1"/>
  <c r="G538" i="1"/>
  <c r="G531" i="1"/>
  <c r="G522" i="1"/>
  <c r="I522" i="1" s="1"/>
  <c r="G504" i="1"/>
  <c r="G490" i="1"/>
  <c r="I490" i="1" s="1"/>
  <c r="G479" i="1"/>
  <c r="G477" i="1"/>
  <c r="G456" i="1"/>
  <c r="G666" i="1"/>
  <c r="I666" i="1" s="1"/>
  <c r="G659" i="1"/>
  <c r="G639" i="1"/>
  <c r="G626" i="1"/>
  <c r="G613" i="1"/>
  <c r="I613" i="1" s="1"/>
  <c r="G607" i="1"/>
  <c r="G593" i="1"/>
  <c r="I593" i="1" s="1"/>
  <c r="G579" i="1"/>
  <c r="G555" i="1"/>
  <c r="G540" i="1"/>
  <c r="I540" i="1" s="1"/>
  <c r="G529" i="1"/>
  <c r="G520" i="1"/>
  <c r="I520" i="1" s="1"/>
  <c r="G506" i="1"/>
  <c r="G488" i="1"/>
  <c r="I488" i="1" s="1"/>
  <c r="G472" i="1"/>
  <c r="I472" i="1" s="1"/>
  <c r="G461" i="1"/>
  <c r="G1117" i="1"/>
  <c r="G1109" i="1"/>
  <c r="G1093" i="1"/>
  <c r="I1093" i="1" s="1"/>
  <c r="G1085" i="1"/>
  <c r="G1077" i="1"/>
  <c r="I1077" i="1" s="1"/>
  <c r="G1075" i="1"/>
  <c r="G1061" i="1"/>
  <c r="I1061" i="1" s="1"/>
  <c r="G1053" i="1"/>
  <c r="G977" i="1"/>
  <c r="G933" i="1"/>
  <c r="I933" i="1" s="1"/>
  <c r="G925" i="1"/>
  <c r="G897" i="1"/>
  <c r="G873" i="1"/>
  <c r="G861" i="1"/>
  <c r="G837" i="1"/>
  <c r="I837" i="1" s="1"/>
  <c r="G821" i="1"/>
  <c r="G811" i="1"/>
  <c r="I811" i="1" s="1"/>
  <c r="G795" i="1"/>
  <c r="I795" i="1" s="1"/>
  <c r="G787" i="1"/>
  <c r="I787" i="1" s="1"/>
  <c r="G779" i="1"/>
  <c r="G763" i="1"/>
  <c r="G755" i="1"/>
  <c r="G747" i="1"/>
  <c r="I747" i="1" s="1"/>
  <c r="G731" i="1"/>
  <c r="I731" i="1" s="1"/>
  <c r="G723" i="1"/>
  <c r="G715" i="1"/>
  <c r="I715" i="1" s="1"/>
  <c r="G714" i="1"/>
  <c r="G698" i="1"/>
  <c r="I698" i="1" s="1"/>
  <c r="G695" i="1"/>
  <c r="G688" i="1"/>
  <c r="I688" i="1" s="1"/>
  <c r="G679" i="1"/>
  <c r="G671" i="1"/>
  <c r="G651" i="1"/>
  <c r="I651" i="1" s="1"/>
  <c r="G643" i="1"/>
  <c r="G635" i="1"/>
  <c r="G619" i="1"/>
  <c r="G611" i="1"/>
  <c r="I611" i="1" s="1"/>
  <c r="G603" i="1"/>
  <c r="G551" i="1"/>
  <c r="G543" i="1"/>
  <c r="I543" i="1" s="1"/>
  <c r="G525" i="1"/>
  <c r="G517" i="1"/>
  <c r="G493" i="1"/>
  <c r="G485" i="1"/>
  <c r="G474" i="1"/>
  <c r="G467" i="1"/>
  <c r="I467" i="1" s="1"/>
  <c r="G466" i="1"/>
  <c r="G458" i="1"/>
  <c r="G450" i="1"/>
  <c r="G340" i="1"/>
  <c r="G320" i="1"/>
  <c r="G314" i="1"/>
  <c r="H410" i="1"/>
  <c r="I1394" i="1"/>
  <c r="G444" i="1"/>
  <c r="I444" i="1" s="1"/>
  <c r="G446" i="1"/>
  <c r="I446" i="1" s="1"/>
  <c r="G448" i="1"/>
  <c r="I448" i="1" s="1"/>
  <c r="G454" i="1"/>
  <c r="I454" i="1" s="1"/>
  <c r="G460" i="1"/>
  <c r="G462" i="1"/>
  <c r="I462" i="1" s="1"/>
  <c r="G470" i="1"/>
  <c r="I470" i="1" s="1"/>
  <c r="G476" i="1"/>
  <c r="I476" i="1" s="1"/>
  <c r="G494" i="1"/>
  <c r="G500" i="1"/>
  <c r="G502" i="1"/>
  <c r="G496" i="1"/>
  <c r="G508" i="1"/>
  <c r="I508" i="1" s="1"/>
  <c r="G512" i="1"/>
  <c r="G514" i="1"/>
  <c r="G518" i="1"/>
  <c r="G530" i="1"/>
  <c r="G557" i="1"/>
  <c r="G559" i="1"/>
  <c r="G561" i="1"/>
  <c r="I561" i="1" s="1"/>
  <c r="G569" i="1"/>
  <c r="I569" i="1" s="1"/>
  <c r="G573" i="1"/>
  <c r="G587" i="1"/>
  <c r="I587" i="1" s="1"/>
  <c r="G595" i="1"/>
  <c r="G599" i="1"/>
  <c r="G609" i="1"/>
  <c r="I609" i="1" s="1"/>
  <c r="G482" i="1"/>
  <c r="G528" i="1"/>
  <c r="G623" i="1"/>
  <c r="I623" i="1" s="1"/>
  <c r="G625" i="1"/>
  <c r="I625" i="1" s="1"/>
  <c r="G631" i="1"/>
  <c r="H639" i="1"/>
  <c r="G647" i="1"/>
  <c r="H793" i="1"/>
  <c r="G803" i="1"/>
  <c r="G817" i="1"/>
  <c r="G841" i="1"/>
  <c r="G849" i="1"/>
  <c r="I849" i="1" s="1"/>
  <c r="G857" i="1"/>
  <c r="G859" i="1"/>
  <c r="I859" i="1" s="1"/>
  <c r="G865" i="1"/>
  <c r="H498" i="1"/>
  <c r="G542" i="1"/>
  <c r="H615" i="1"/>
  <c r="G617" i="1"/>
  <c r="G627" i="1"/>
  <c r="G645" i="1"/>
  <c r="I645" i="1" s="1"/>
  <c r="G663" i="1"/>
  <c r="I663" i="1" s="1"/>
  <c r="G687" i="1"/>
  <c r="G699" i="1"/>
  <c r="G727" i="1"/>
  <c r="G745" i="1"/>
  <c r="G753" i="1"/>
  <c r="I753" i="1" s="1"/>
  <c r="G767" i="1"/>
  <c r="I767" i="1" s="1"/>
  <c r="G771" i="1"/>
  <c r="G813" i="1"/>
  <c r="G847" i="1"/>
  <c r="G853" i="1"/>
  <c r="G876" i="1"/>
  <c r="I876" i="1" s="1"/>
  <c r="G880" i="1"/>
  <c r="G884" i="1"/>
  <c r="G888" i="1"/>
  <c r="I888" i="1" s="1"/>
  <c r="G892" i="1"/>
  <c r="I892" i="1" s="1"/>
  <c r="G894" i="1"/>
  <c r="G898" i="1"/>
  <c r="G900" i="1"/>
  <c r="G908" i="1"/>
  <c r="I908" i="1" s="1"/>
  <c r="G912" i="1"/>
  <c r="I912" i="1" s="1"/>
  <c r="G914" i="1"/>
  <c r="G918" i="1"/>
  <c r="I918" i="1" s="1"/>
  <c r="G920" i="1"/>
  <c r="I920" i="1" s="1"/>
  <c r="G924" i="1"/>
  <c r="G930" i="1"/>
  <c r="G934" i="1"/>
  <c r="I934" i="1" s="1"/>
  <c r="G936" i="1"/>
  <c r="I936" i="1" s="1"/>
  <c r="G948" i="1"/>
  <c r="G950" i="1"/>
  <c r="I950" i="1" s="1"/>
  <c r="G952" i="1"/>
  <c r="G956" i="1"/>
  <c r="G960" i="1"/>
  <c r="G964" i="1"/>
  <c r="G966" i="1"/>
  <c r="I966" i="1" s="1"/>
  <c r="G972" i="1"/>
  <c r="I972" i="1" s="1"/>
  <c r="G974" i="1"/>
  <c r="I974" i="1" s="1"/>
  <c r="G976" i="1"/>
  <c r="G978" i="1"/>
  <c r="G984" i="1"/>
  <c r="I984" i="1" s="1"/>
  <c r="G986" i="1"/>
  <c r="G988" i="1"/>
  <c r="I988" i="1" s="1"/>
  <c r="G992" i="1"/>
  <c r="G996" i="1"/>
  <c r="G1008" i="1"/>
  <c r="G1010" i="1"/>
  <c r="G1016" i="1"/>
  <c r="G1018" i="1"/>
  <c r="G1020" i="1"/>
  <c r="G1028" i="1"/>
  <c r="G1030" i="1"/>
  <c r="I1030" i="1" s="1"/>
  <c r="G1034" i="1"/>
  <c r="G1048" i="1"/>
  <c r="G1056" i="1"/>
  <c r="I1056" i="1" s="1"/>
  <c r="G1090" i="1"/>
  <c r="I1090" i="1" s="1"/>
  <c r="G1096" i="1"/>
  <c r="I1096" i="1" s="1"/>
  <c r="G1104" i="1"/>
  <c r="I1104" i="1" s="1"/>
  <c r="G1106" i="1"/>
  <c r="G1112" i="1"/>
  <c r="I1112" i="1" s="1"/>
  <c r="G1114" i="1"/>
  <c r="G1138" i="1"/>
  <c r="I1138" i="1" s="1"/>
  <c r="G1152" i="1"/>
  <c r="G1154" i="1"/>
  <c r="I1154" i="1" s="1"/>
  <c r="H1164" i="1"/>
  <c r="H1172" i="1"/>
  <c r="H1176" i="1"/>
  <c r="H1180" i="1"/>
  <c r="H1182" i="1"/>
  <c r="H1190" i="1"/>
  <c r="H1194" i="1"/>
  <c r="H1196" i="1"/>
  <c r="H1200" i="1"/>
  <c r="H1208" i="1"/>
  <c r="H1210" i="1"/>
  <c r="H1224" i="1"/>
  <c r="H1234" i="1"/>
  <c r="H1242" i="1"/>
  <c r="H1260" i="1"/>
  <c r="H1266" i="1"/>
  <c r="H1300" i="1"/>
  <c r="H1308" i="1"/>
  <c r="G1316" i="1"/>
  <c r="G1330" i="1"/>
  <c r="G1340" i="1"/>
  <c r="G661" i="1"/>
  <c r="G729" i="1"/>
  <c r="I729" i="1" s="1"/>
  <c r="H733" i="1"/>
  <c r="I733" i="1" s="1"/>
  <c r="G739" i="1"/>
  <c r="G761" i="1"/>
  <c r="I761" i="1" s="1"/>
  <c r="G765" i="1"/>
  <c r="G769" i="1"/>
  <c r="I769" i="1" s="1"/>
  <c r="G797" i="1"/>
  <c r="I797" i="1" s="1"/>
  <c r="G1038" i="1"/>
  <c r="G1046" i="1"/>
  <c r="I1046" i="1" s="1"/>
  <c r="G1068" i="1"/>
  <c r="I1068" i="1" s="1"/>
  <c r="G1086" i="1"/>
  <c r="I1086" i="1" s="1"/>
  <c r="G1110" i="1"/>
  <c r="G1116" i="1"/>
  <c r="H1126" i="1"/>
  <c r="G1134" i="1"/>
  <c r="H1270" i="1"/>
  <c r="H1272" i="1"/>
  <c r="H1278" i="1"/>
  <c r="H1286" i="1"/>
  <c r="I1286" i="1" s="1"/>
  <c r="H1288" i="1"/>
  <c r="H1294" i="1"/>
  <c r="H1296" i="1"/>
  <c r="H1302" i="1"/>
  <c r="G1304" i="1"/>
  <c r="I1304" i="1" s="1"/>
  <c r="G1326" i="1"/>
  <c r="G1336" i="1"/>
  <c r="I1336" i="1" s="1"/>
  <c r="G1342" i="1"/>
  <c r="I1342" i="1" s="1"/>
  <c r="H1347" i="1"/>
  <c r="G677" i="1"/>
  <c r="G681" i="1"/>
  <c r="I681" i="1" s="1"/>
  <c r="G685" i="1"/>
  <c r="G693" i="1"/>
  <c r="I693" i="1" s="1"/>
  <c r="G697" i="1"/>
  <c r="G701" i="1"/>
  <c r="I701" i="1" s="1"/>
  <c r="G705" i="1"/>
  <c r="I705" i="1" s="1"/>
  <c r="G823" i="1"/>
  <c r="G1060" i="1"/>
  <c r="I1060" i="1" s="1"/>
  <c r="G1094" i="1"/>
  <c r="G1102" i="1"/>
  <c r="G1132" i="1"/>
  <c r="G1150" i="1"/>
  <c r="G1156" i="1"/>
  <c r="I1156" i="1" s="1"/>
  <c r="G1312" i="1"/>
  <c r="G1345" i="1"/>
  <c r="I1345" i="1" s="1"/>
  <c r="G1361" i="1"/>
  <c r="G1375" i="1"/>
  <c r="G1381" i="1"/>
  <c r="G1385" i="1"/>
  <c r="I1385" i="1" s="1"/>
  <c r="G1387" i="1"/>
  <c r="I1387" i="1" s="1"/>
  <c r="H95" i="1"/>
  <c r="H110" i="1"/>
  <c r="H118" i="1"/>
  <c r="G870" i="1"/>
  <c r="I870" i="1" s="1"/>
  <c r="G1044" i="1"/>
  <c r="I1044" i="1" s="1"/>
  <c r="G1078" i="1"/>
  <c r="I1078" i="1" s="1"/>
  <c r="G1118" i="1"/>
  <c r="I1118" i="1" s="1"/>
  <c r="H1264" i="1"/>
  <c r="G1328" i="1"/>
  <c r="G1359" i="1"/>
  <c r="G1363" i="1"/>
  <c r="G1377" i="1"/>
  <c r="H442" i="1"/>
  <c r="H440" i="1"/>
  <c r="H438" i="1"/>
  <c r="H437" i="1"/>
  <c r="H436" i="1"/>
  <c r="H435" i="1"/>
  <c r="H434" i="1"/>
  <c r="H433" i="1"/>
  <c r="H430" i="1"/>
  <c r="H428" i="1"/>
  <c r="H423" i="1"/>
  <c r="H421" i="1"/>
  <c r="H414" i="1"/>
  <c r="H413" i="1"/>
  <c r="H408" i="1"/>
  <c r="H404" i="1"/>
  <c r="H376" i="1"/>
  <c r="H375" i="1"/>
  <c r="H370" i="1"/>
  <c r="H355" i="1"/>
  <c r="G352" i="1"/>
  <c r="G350" i="1"/>
  <c r="H349" i="1"/>
  <c r="G348" i="1"/>
  <c r="G346" i="1"/>
  <c r="G344" i="1"/>
  <c r="G342" i="1"/>
  <c r="H341" i="1"/>
  <c r="G338" i="1"/>
  <c r="G336" i="1"/>
  <c r="G332" i="1"/>
  <c r="G330" i="1"/>
  <c r="G328" i="1"/>
  <c r="G326" i="1"/>
  <c r="G324" i="1"/>
  <c r="H323" i="1"/>
  <c r="G318" i="1"/>
  <c r="G316" i="1"/>
  <c r="G304" i="1"/>
  <c r="G300" i="1"/>
  <c r="G296" i="1"/>
  <c r="G292" i="1"/>
  <c r="H285" i="1"/>
  <c r="H134" i="1"/>
  <c r="H123" i="1"/>
  <c r="H122" i="1"/>
  <c r="H116" i="1"/>
  <c r="H115" i="1"/>
  <c r="H114" i="1"/>
  <c r="H101" i="1"/>
  <c r="H21" i="1"/>
  <c r="H429" i="1"/>
  <c r="H419" i="1"/>
  <c r="H351" i="1"/>
  <c r="H399" i="1"/>
  <c r="H394" i="1"/>
  <c r="H392" i="1"/>
  <c r="H383" i="1"/>
  <c r="H366" i="1"/>
  <c r="H357" i="1"/>
  <c r="H356" i="1"/>
  <c r="H307" i="1"/>
  <c r="H302" i="1"/>
  <c r="H294" i="1"/>
  <c r="H291" i="1"/>
  <c r="H283" i="1"/>
  <c r="H273" i="1"/>
  <c r="H261" i="1"/>
  <c r="H242" i="1"/>
  <c r="H241" i="1"/>
  <c r="H236" i="1"/>
  <c r="H234" i="1"/>
  <c r="H230" i="1"/>
  <c r="H227" i="1"/>
  <c r="H222" i="1"/>
  <c r="H217" i="1"/>
  <c r="H209" i="1"/>
  <c r="G204" i="1"/>
  <c r="H202" i="1"/>
  <c r="H198" i="1"/>
  <c r="H190" i="1"/>
  <c r="H181" i="1"/>
  <c r="G180" i="1"/>
  <c r="H176" i="1"/>
  <c r="H170" i="1"/>
  <c r="H168" i="1"/>
  <c r="H162" i="1"/>
  <c r="H161" i="1"/>
  <c r="H160" i="1"/>
  <c r="H154" i="1"/>
  <c r="H153" i="1"/>
  <c r="H147" i="1"/>
  <c r="H146" i="1"/>
  <c r="H139" i="1"/>
  <c r="H138" i="1"/>
  <c r="H135" i="1"/>
  <c r="H131" i="1"/>
  <c r="H108" i="1"/>
  <c r="H107" i="1"/>
  <c r="H45" i="1"/>
  <c r="H29" i="1"/>
  <c r="H28" i="1"/>
  <c r="H27" i="1"/>
  <c r="H8" i="1"/>
  <c r="G1384" i="1"/>
  <c r="G1267" i="1"/>
  <c r="I1267" i="1" s="1"/>
  <c r="H1261" i="1"/>
  <c r="H1253" i="1"/>
  <c r="H1251" i="1"/>
  <c r="I1251" i="1" s="1"/>
  <c r="H1245" i="1"/>
  <c r="I1245" i="1" s="1"/>
  <c r="H1243" i="1"/>
  <c r="H1181" i="1"/>
  <c r="H1177" i="1"/>
  <c r="H1173" i="1"/>
  <c r="G1081" i="1"/>
  <c r="H1075" i="1"/>
  <c r="G1073" i="1"/>
  <c r="G1007" i="1"/>
  <c r="G1005" i="1"/>
  <c r="G999" i="1"/>
  <c r="G995" i="1"/>
  <c r="G963" i="1"/>
  <c r="I963" i="1" s="1"/>
  <c r="G961" i="1"/>
  <c r="G955" i="1"/>
  <c r="I955" i="1" s="1"/>
  <c r="G951" i="1"/>
  <c r="G945" i="1"/>
  <c r="G943" i="1"/>
  <c r="G939" i="1"/>
  <c r="G881" i="1"/>
  <c r="G879" i="1"/>
  <c r="G875" i="1"/>
  <c r="I875" i="1" s="1"/>
  <c r="G858" i="1"/>
  <c r="I858" i="1" s="1"/>
  <c r="H105" i="1"/>
  <c r="H103" i="1"/>
  <c r="H98" i="1"/>
  <c r="H97" i="1"/>
  <c r="H90" i="1"/>
  <c r="H88" i="1"/>
  <c r="H87" i="1"/>
  <c r="H73" i="1"/>
  <c r="H57" i="1"/>
  <c r="H56" i="1"/>
  <c r="H49" i="1"/>
  <c r="H47" i="1"/>
  <c r="H31" i="1"/>
  <c r="H23" i="1"/>
  <c r="H20" i="1"/>
  <c r="H19" i="1"/>
  <c r="H11" i="1"/>
  <c r="G1317" i="1"/>
  <c r="G1315" i="1"/>
  <c r="G1155" i="1"/>
  <c r="I1155" i="1" s="1"/>
  <c r="G1153" i="1"/>
  <c r="G1129" i="1"/>
  <c r="G1107" i="1"/>
  <c r="H923" i="1"/>
  <c r="G919" i="1"/>
  <c r="I919" i="1" s="1"/>
  <c r="G915" i="1"/>
  <c r="G913" i="1"/>
  <c r="G909" i="1"/>
  <c r="I909" i="1" s="1"/>
  <c r="G907" i="1"/>
  <c r="G826" i="1"/>
  <c r="G632" i="1"/>
  <c r="G602" i="1"/>
  <c r="I602" i="1" s="1"/>
  <c r="G600" i="1"/>
  <c r="I600" i="1" s="1"/>
  <c r="G598" i="1"/>
  <c r="I598" i="1" s="1"/>
  <c r="G596" i="1"/>
  <c r="G594" i="1"/>
  <c r="I594" i="1" s="1"/>
  <c r="G592" i="1"/>
  <c r="G590" i="1"/>
  <c r="I590" i="1" s="1"/>
  <c r="G588" i="1"/>
  <c r="I588" i="1" s="1"/>
  <c r="G582" i="1"/>
  <c r="I582" i="1" s="1"/>
  <c r="G580" i="1"/>
  <c r="I580" i="1" s="1"/>
  <c r="G578" i="1"/>
  <c r="I578" i="1" s="1"/>
  <c r="G576" i="1"/>
  <c r="I576" i="1" s="1"/>
  <c r="G574" i="1"/>
  <c r="I574" i="1" s="1"/>
  <c r="G572" i="1"/>
  <c r="I572" i="1" s="1"/>
  <c r="G568" i="1"/>
  <c r="G562" i="1"/>
  <c r="G560" i="1"/>
  <c r="I560" i="1" s="1"/>
  <c r="G1372" i="1"/>
  <c r="I1372" i="1" s="1"/>
  <c r="G1364" i="1"/>
  <c r="I1364" i="1" s="1"/>
  <c r="G1362" i="1"/>
  <c r="G1360" i="1"/>
  <c r="I1360" i="1" s="1"/>
  <c r="G1358" i="1"/>
  <c r="I1358" i="1" s="1"/>
  <c r="G1323" i="1"/>
  <c r="I1323" i="1" s="1"/>
  <c r="H1227" i="1"/>
  <c r="H1219" i="1"/>
  <c r="H1215" i="1"/>
  <c r="H1203" i="1"/>
  <c r="I1203" i="1" s="1"/>
  <c r="G1137" i="1"/>
  <c r="G1113" i="1"/>
  <c r="G1065" i="1"/>
  <c r="G1049" i="1"/>
  <c r="G1031" i="1"/>
  <c r="G1029" i="1"/>
  <c r="G1023" i="1"/>
  <c r="G1021" i="1"/>
  <c r="I1021" i="1" s="1"/>
  <c r="G1019" i="1"/>
  <c r="I1019" i="1" s="1"/>
  <c r="G1013" i="1"/>
  <c r="I1013" i="1" s="1"/>
  <c r="G991" i="1"/>
  <c r="I991" i="1" s="1"/>
  <c r="G989" i="1"/>
  <c r="I989" i="1" s="1"/>
  <c r="G987" i="1"/>
  <c r="G985" i="1"/>
  <c r="G983" i="1"/>
  <c r="G979" i="1"/>
  <c r="I979" i="1" s="1"/>
  <c r="G971" i="1"/>
  <c r="I971" i="1" s="1"/>
  <c r="G969" i="1"/>
  <c r="I969" i="1" s="1"/>
  <c r="G967" i="1"/>
  <c r="I967" i="1" s="1"/>
  <c r="G927" i="1"/>
  <c r="G899" i="1"/>
  <c r="G895" i="1"/>
  <c r="G889" i="1"/>
  <c r="G887" i="1"/>
  <c r="I887" i="1" s="1"/>
  <c r="G885" i="1"/>
  <c r="I885" i="1" s="1"/>
  <c r="G883" i="1"/>
  <c r="I883" i="1" s="1"/>
  <c r="G794" i="1"/>
  <c r="G1344" i="1"/>
  <c r="G1337" i="1"/>
  <c r="I1337" i="1" s="1"/>
  <c r="G1335" i="1"/>
  <c r="I1335" i="1" s="1"/>
  <c r="G1327" i="1"/>
  <c r="I1327" i="1" s="1"/>
  <c r="G1319" i="1"/>
  <c r="H1311" i="1"/>
  <c r="H1297" i="1"/>
  <c r="I1291" i="1"/>
  <c r="H1281" i="1"/>
  <c r="H1265" i="1"/>
  <c r="G1151" i="1"/>
  <c r="I1151" i="1" s="1"/>
  <c r="G1149" i="1"/>
  <c r="I1149" i="1" s="1"/>
  <c r="G1141" i="1"/>
  <c r="I1141" i="1" s="1"/>
  <c r="G1125" i="1"/>
  <c r="I1125" i="1" s="1"/>
  <c r="G1101" i="1"/>
  <c r="I1101" i="1" s="1"/>
  <c r="G1087" i="1"/>
  <c r="G1069" i="1"/>
  <c r="G1063" i="1"/>
  <c r="H1055" i="1"/>
  <c r="G1045" i="1"/>
  <c r="I1045" i="1" s="1"/>
  <c r="G1039" i="1"/>
  <c r="G1037" i="1"/>
  <c r="I1037" i="1" s="1"/>
  <c r="G850" i="1"/>
  <c r="G810" i="1"/>
  <c r="I810" i="1" s="1"/>
  <c r="G648" i="1"/>
  <c r="G624" i="1"/>
  <c r="G871" i="1"/>
  <c r="I871" i="1" s="1"/>
  <c r="G846" i="1"/>
  <c r="H840" i="1"/>
  <c r="G838" i="1"/>
  <c r="G822" i="1"/>
  <c r="G814" i="1"/>
  <c r="I814" i="1" s="1"/>
  <c r="G806" i="1"/>
  <c r="G792" i="1"/>
  <c r="G788" i="1"/>
  <c r="G786" i="1"/>
  <c r="I786" i="1" s="1"/>
  <c r="G784" i="1"/>
  <c r="I784" i="1" s="1"/>
  <c r="G782" i="1"/>
  <c r="I782" i="1" s="1"/>
  <c r="G780" i="1"/>
  <c r="I780" i="1" s="1"/>
  <c r="G778" i="1"/>
  <c r="I778" i="1" s="1"/>
  <c r="G768" i="1"/>
  <c r="G764" i="1"/>
  <c r="G756" i="1"/>
  <c r="I756" i="1" s="1"/>
  <c r="G752" i="1"/>
  <c r="G750" i="1"/>
  <c r="G748" i="1"/>
  <c r="G744" i="1"/>
  <c r="I744" i="1" s="1"/>
  <c r="G742" i="1"/>
  <c r="G740" i="1"/>
  <c r="I740" i="1" s="1"/>
  <c r="G738" i="1"/>
  <c r="I738" i="1" s="1"/>
  <c r="G736" i="1"/>
  <c r="I736" i="1" s="1"/>
  <c r="G732" i="1"/>
  <c r="I732" i="1" s="1"/>
  <c r="G728" i="1"/>
  <c r="G726" i="1"/>
  <c r="G718" i="1"/>
  <c r="G716" i="1"/>
  <c r="G706" i="1"/>
  <c r="I706" i="1" s="1"/>
  <c r="G704" i="1"/>
  <c r="I704" i="1" s="1"/>
  <c r="G700" i="1"/>
  <c r="G692" i="1"/>
  <c r="G690" i="1"/>
  <c r="I690" i="1" s="1"/>
  <c r="G686" i="1"/>
  <c r="I686" i="1" s="1"/>
  <c r="G684" i="1"/>
  <c r="G676" i="1"/>
  <c r="I676" i="1" s="1"/>
  <c r="G674" i="1"/>
  <c r="G672" i="1"/>
  <c r="I672" i="1" s="1"/>
  <c r="G664" i="1"/>
  <c r="G662" i="1"/>
  <c r="I662" i="1" s="1"/>
  <c r="G656" i="1"/>
  <c r="G654" i="1"/>
  <c r="I654" i="1" s="1"/>
  <c r="H652" i="1"/>
  <c r="I652" i="1" s="1"/>
  <c r="G644" i="1"/>
  <c r="G636" i="1"/>
  <c r="I636" i="1" s="1"/>
  <c r="G628" i="1"/>
  <c r="I628" i="1" s="1"/>
  <c r="G620" i="1"/>
  <c r="G616" i="1"/>
  <c r="G614" i="1"/>
  <c r="I614" i="1" s="1"/>
  <c r="G610" i="1"/>
  <c r="I610" i="1" s="1"/>
  <c r="G604" i="1"/>
  <c r="I604" i="1" s="1"/>
  <c r="G554" i="1"/>
  <c r="I554" i="1" s="1"/>
  <c r="G552" i="1"/>
  <c r="I552" i="1" s="1"/>
  <c r="G550" i="1"/>
  <c r="I550" i="1" s="1"/>
  <c r="G549" i="1"/>
  <c r="G547" i="1"/>
  <c r="I547" i="1" s="1"/>
  <c r="G523" i="1"/>
  <c r="I523" i="1" s="1"/>
  <c r="G521" i="1"/>
  <c r="G513" i="1"/>
  <c r="G511" i="1"/>
  <c r="G509" i="1"/>
  <c r="I509" i="1" s="1"/>
  <c r="G487" i="1"/>
  <c r="I487" i="1" s="1"/>
  <c r="H477" i="1"/>
  <c r="G475" i="1"/>
  <c r="I475" i="1" s="1"/>
  <c r="G465" i="1"/>
  <c r="I465" i="1" s="1"/>
  <c r="G463" i="1"/>
  <c r="G459" i="1"/>
  <c r="I459" i="1" s="1"/>
  <c r="G455" i="1"/>
  <c r="G545" i="1"/>
  <c r="G537" i="1"/>
  <c r="I537" i="1" s="1"/>
  <c r="G535" i="1"/>
  <c r="I535" i="1" s="1"/>
  <c r="G527" i="1"/>
  <c r="I527" i="1" s="1"/>
  <c r="I518" i="1"/>
  <c r="G507" i="1"/>
  <c r="G505" i="1"/>
  <c r="I505" i="1" s="1"/>
  <c r="G501" i="1"/>
  <c r="I501" i="1" s="1"/>
  <c r="H453" i="1"/>
  <c r="G451" i="1"/>
  <c r="I451" i="1" s="1"/>
  <c r="G447" i="1"/>
  <c r="I447" i="1" s="1"/>
  <c r="G445" i="1"/>
  <c r="I445" i="1" s="1"/>
  <c r="G497" i="1"/>
  <c r="I497" i="1" s="1"/>
  <c r="G491" i="1"/>
  <c r="I491" i="1" s="1"/>
  <c r="I1395" i="1"/>
  <c r="I1393" i="1"/>
  <c r="I1280" i="1"/>
  <c r="I528" i="1"/>
  <c r="H1390" i="1"/>
  <c r="G1341" i="1"/>
  <c r="G1329" i="1"/>
  <c r="H1255" i="1"/>
  <c r="H1309" i="1"/>
  <c r="H1301" i="1"/>
  <c r="H1293" i="1"/>
  <c r="H1249" i="1"/>
  <c r="H1241" i="1"/>
  <c r="H1213" i="1"/>
  <c r="H1209" i="1"/>
  <c r="H1205" i="1"/>
  <c r="H1201" i="1"/>
  <c r="I1201" i="1" s="1"/>
  <c r="H1195" i="1"/>
  <c r="H1191" i="1"/>
  <c r="H1189" i="1"/>
  <c r="H1179" i="1"/>
  <c r="H1167" i="1"/>
  <c r="H1165" i="1"/>
  <c r="G1143" i="1"/>
  <c r="I1143" i="1" s="1"/>
  <c r="G1139" i="1"/>
  <c r="I1139" i="1" s="1"/>
  <c r="G1123" i="1"/>
  <c r="G1115" i="1"/>
  <c r="I1115" i="1" s="1"/>
  <c r="G1083" i="1"/>
  <c r="I1083" i="1" s="1"/>
  <c r="G1067" i="1"/>
  <c r="I1067" i="1" s="1"/>
  <c r="G1051" i="1"/>
  <c r="H1041" i="1"/>
  <c r="H901" i="1"/>
  <c r="H714" i="1"/>
  <c r="I714" i="1" s="1"/>
  <c r="H670" i="1"/>
  <c r="I670" i="1" s="1"/>
  <c r="G864" i="1"/>
  <c r="I864" i="1" s="1"/>
  <c r="H862" i="1"/>
  <c r="G852" i="1"/>
  <c r="G844" i="1"/>
  <c r="I844" i="1" s="1"/>
  <c r="G832" i="1"/>
  <c r="G824" i="1"/>
  <c r="I824" i="1" s="1"/>
  <c r="G812" i="1"/>
  <c r="G804" i="1"/>
  <c r="I804" i="1" s="1"/>
  <c r="G650" i="1"/>
  <c r="G646" i="1"/>
  <c r="G642" i="1"/>
  <c r="G634" i="1"/>
  <c r="G622" i="1"/>
  <c r="I622" i="1" s="1"/>
  <c r="G541" i="1"/>
  <c r="I541" i="1" s="1"/>
  <c r="G533" i="1"/>
  <c r="G499" i="1"/>
  <c r="G495" i="1"/>
  <c r="I495" i="1" s="1"/>
  <c r="G386" i="1"/>
  <c r="H374" i="1"/>
  <c r="H368" i="1"/>
  <c r="G366" i="1"/>
  <c r="G360" i="1"/>
  <c r="H354" i="1"/>
  <c r="H352" i="1"/>
  <c r="H350" i="1"/>
  <c r="H338" i="1"/>
  <c r="H334" i="1"/>
  <c r="H324" i="1"/>
  <c r="H322" i="1"/>
  <c r="H308" i="1"/>
  <c r="H288" i="1"/>
  <c r="H284" i="1"/>
  <c r="G134" i="1"/>
  <c r="G126" i="1"/>
  <c r="H10" i="1"/>
  <c r="H398" i="1"/>
  <c r="G392" i="1"/>
  <c r="G370" i="1"/>
  <c r="G310" i="1"/>
  <c r="G306" i="1"/>
  <c r="G302" i="1"/>
  <c r="G298" i="1"/>
  <c r="G294" i="1"/>
  <c r="G270" i="1"/>
  <c r="G262" i="1"/>
  <c r="G258" i="1"/>
  <c r="G254" i="1"/>
  <c r="G250" i="1"/>
  <c r="G242" i="1"/>
  <c r="G234" i="1"/>
  <c r="G230" i="1"/>
  <c r="G226" i="1"/>
  <c r="G222" i="1"/>
  <c r="G218" i="1"/>
  <c r="G214" i="1"/>
  <c r="G122" i="1"/>
  <c r="H140" i="1"/>
  <c r="H397" i="1"/>
  <c r="G397" i="1"/>
  <c r="G395" i="1"/>
  <c r="H391" i="1"/>
  <c r="G387" i="1"/>
  <c r="G385" i="1"/>
  <c r="G383" i="1"/>
  <c r="H381" i="1"/>
  <c r="G381" i="1"/>
  <c r="G377" i="1"/>
  <c r="G373" i="1"/>
  <c r="H373" i="1"/>
  <c r="G367" i="1"/>
  <c r="H367" i="1"/>
  <c r="G365" i="1"/>
  <c r="H365" i="1"/>
  <c r="G363" i="1"/>
  <c r="H363" i="1"/>
  <c r="G245" i="1"/>
  <c r="G243" i="1"/>
  <c r="G241" i="1"/>
  <c r="G239" i="1"/>
  <c r="G237" i="1"/>
  <c r="G235" i="1"/>
  <c r="G233" i="1"/>
  <c r="G231" i="1"/>
  <c r="G229" i="1"/>
  <c r="G227" i="1"/>
  <c r="G225" i="1"/>
  <c r="G223" i="1"/>
  <c r="G221" i="1"/>
  <c r="G219" i="1"/>
  <c r="G217" i="1"/>
  <c r="G215" i="1"/>
  <c r="G213" i="1"/>
  <c r="G211" i="1"/>
  <c r="H211" i="1"/>
  <c r="G191" i="1"/>
  <c r="G179" i="1"/>
  <c r="H179" i="1"/>
  <c r="G159" i="1"/>
  <c r="G155" i="1"/>
  <c r="H151" i="1"/>
  <c r="G151" i="1"/>
  <c r="G137" i="1"/>
  <c r="G129" i="1"/>
  <c r="H113" i="1"/>
  <c r="G113" i="1"/>
  <c r="G111" i="1"/>
  <c r="G105" i="1"/>
  <c r="G103" i="1"/>
  <c r="G95" i="1"/>
  <c r="G89" i="1"/>
  <c r="H89" i="1"/>
  <c r="G85" i="1"/>
  <c r="H81" i="1"/>
  <c r="H79" i="1"/>
  <c r="G79" i="1"/>
  <c r="H77" i="1"/>
  <c r="G77" i="1"/>
  <c r="G75" i="1"/>
  <c r="G71" i="1"/>
  <c r="H71" i="1"/>
  <c r="G69" i="1"/>
  <c r="H65" i="1"/>
  <c r="G63" i="1"/>
  <c r="H63" i="1"/>
  <c r="G61" i="1"/>
  <c r="G55" i="1"/>
  <c r="G51" i="1"/>
  <c r="H13" i="1"/>
  <c r="G13" i="1"/>
  <c r="H7" i="1"/>
  <c r="G5" i="1"/>
  <c r="H5" i="1"/>
  <c r="G361" i="1"/>
  <c r="G359" i="1"/>
  <c r="G357" i="1"/>
  <c r="G355" i="1"/>
  <c r="G207" i="1"/>
  <c r="H274" i="1"/>
  <c r="G246" i="1"/>
  <c r="H246" i="1"/>
  <c r="G208" i="1"/>
  <c r="G206" i="1"/>
  <c r="H136" i="1"/>
  <c r="G136" i="1"/>
  <c r="G132" i="1"/>
  <c r="H128" i="1"/>
  <c r="G128" i="1"/>
  <c r="G124" i="1"/>
  <c r="G120" i="1"/>
  <c r="G118" i="1"/>
  <c r="G116" i="1"/>
  <c r="G114" i="1"/>
  <c r="G112" i="1"/>
  <c r="G110" i="1"/>
  <c r="G108" i="1"/>
  <c r="G100" i="1"/>
  <c r="H100" i="1"/>
  <c r="G98" i="1"/>
  <c r="G96" i="1"/>
  <c r="H92" i="1"/>
  <c r="G92" i="1"/>
  <c r="G90" i="1"/>
  <c r="G84" i="1"/>
  <c r="H84" i="1"/>
  <c r="G82" i="1"/>
  <c r="H82" i="1"/>
  <c r="G80" i="1"/>
  <c r="G76" i="1"/>
  <c r="H76" i="1"/>
  <c r="G74" i="1"/>
  <c r="H74" i="1"/>
  <c r="H72" i="1"/>
  <c r="G72" i="1"/>
  <c r="H68" i="1"/>
  <c r="G68" i="1"/>
  <c r="H66" i="1"/>
  <c r="G66" i="1"/>
  <c r="G64" i="1"/>
  <c r="H60" i="1"/>
  <c r="G60" i="1"/>
  <c r="G4" i="1"/>
  <c r="I4" i="1" s="1"/>
  <c r="H441" i="1"/>
  <c r="H439" i="1"/>
  <c r="G437" i="1"/>
  <c r="G431" i="1"/>
  <c r="G429" i="1"/>
  <c r="G427" i="1"/>
  <c r="G425" i="1"/>
  <c r="G423" i="1"/>
  <c r="G421" i="1"/>
  <c r="G419" i="1"/>
  <c r="G417" i="1"/>
  <c r="H415" i="1"/>
  <c r="G413" i="1"/>
  <c r="H411" i="1"/>
  <c r="H407" i="1"/>
  <c r="H405" i="1"/>
  <c r="H403" i="1"/>
  <c r="H400" i="1"/>
  <c r="G399" i="1"/>
  <c r="G390" i="1"/>
  <c r="H389" i="1"/>
  <c r="H388" i="1"/>
  <c r="H384" i="1"/>
  <c r="H380" i="1"/>
  <c r="I380" i="1" s="1"/>
  <c r="G376" i="1"/>
  <c r="G372" i="1"/>
  <c r="G368" i="1"/>
  <c r="G358" i="1"/>
  <c r="G356" i="1"/>
  <c r="G354" i="1"/>
  <c r="G353" i="1"/>
  <c r="G351" i="1"/>
  <c r="G349" i="1"/>
  <c r="G347" i="1"/>
  <c r="G345" i="1"/>
  <c r="G343" i="1"/>
  <c r="G341" i="1"/>
  <c r="G339" i="1"/>
  <c r="G335" i="1"/>
  <c r="G333" i="1"/>
  <c r="G331" i="1"/>
  <c r="G327" i="1"/>
  <c r="G325" i="1"/>
  <c r="G323" i="1"/>
  <c r="G319" i="1"/>
  <c r="G317" i="1"/>
  <c r="G315" i="1"/>
  <c r="G311" i="1"/>
  <c r="G309" i="1"/>
  <c r="G307" i="1"/>
  <c r="G305" i="1"/>
  <c r="G303" i="1"/>
  <c r="G301" i="1"/>
  <c r="G299" i="1"/>
  <c r="G297" i="1"/>
  <c r="G295" i="1"/>
  <c r="G293" i="1"/>
  <c r="G291" i="1"/>
  <c r="G289" i="1"/>
  <c r="G287" i="1"/>
  <c r="G285" i="1"/>
  <c r="G283" i="1"/>
  <c r="G281" i="1"/>
  <c r="G279" i="1"/>
  <c r="G277" i="1"/>
  <c r="G275" i="1"/>
  <c r="G272" i="1"/>
  <c r="G268" i="1"/>
  <c r="G264" i="1"/>
  <c r="G256" i="1"/>
  <c r="G248" i="1"/>
  <c r="G244" i="1"/>
  <c r="G240" i="1"/>
  <c r="G232" i="1"/>
  <c r="G228" i="1"/>
  <c r="G224" i="1"/>
  <c r="G216" i="1"/>
  <c r="G212" i="1"/>
  <c r="H203" i="1"/>
  <c r="H195" i="1"/>
  <c r="H184" i="1"/>
  <c r="G23" i="1"/>
  <c r="G21" i="1"/>
  <c r="G58" i="1"/>
  <c r="G56" i="1"/>
  <c r="G54" i="1"/>
  <c r="H52" i="1"/>
  <c r="G52" i="1"/>
  <c r="H50" i="1"/>
  <c r="G50" i="1"/>
  <c r="H48" i="1"/>
  <c r="H44" i="1"/>
  <c r="G44" i="1"/>
  <c r="H42" i="1"/>
  <c r="H40" i="1"/>
  <c r="H38" i="1"/>
  <c r="H36" i="1"/>
  <c r="G36" i="1"/>
  <c r="G34" i="1"/>
  <c r="H34" i="1"/>
  <c r="H30" i="1"/>
  <c r="G28" i="1"/>
  <c r="G26" i="1"/>
  <c r="H26" i="1"/>
  <c r="G24" i="1"/>
  <c r="G20" i="1"/>
  <c r="H18" i="1"/>
  <c r="H16" i="1"/>
  <c r="G14" i="1"/>
  <c r="H14" i="1"/>
  <c r="H6" i="1"/>
  <c r="G6" i="1"/>
  <c r="G290" i="1"/>
  <c r="G286" i="1"/>
  <c r="G282" i="1"/>
  <c r="G280" i="1"/>
  <c r="G278" i="1"/>
  <c r="G273" i="1"/>
  <c r="G269" i="1"/>
  <c r="G267" i="1"/>
  <c r="G261" i="1"/>
  <c r="G259" i="1"/>
  <c r="G253" i="1"/>
  <c r="G251" i="1"/>
  <c r="G249" i="1"/>
  <c r="G209" i="1"/>
  <c r="G205" i="1"/>
  <c r="H201" i="1"/>
  <c r="H197" i="1"/>
  <c r="G121" i="1"/>
  <c r="I121" i="1" s="1"/>
  <c r="G99" i="1"/>
  <c r="G87" i="1"/>
  <c r="G73" i="1"/>
  <c r="H204" i="1"/>
  <c r="H196" i="1"/>
  <c r="H186" i="1"/>
  <c r="H182" i="1"/>
  <c r="H173" i="1"/>
  <c r="H171" i="1"/>
  <c r="H165" i="1"/>
  <c r="H163" i="1"/>
  <c r="H150" i="1"/>
  <c r="G39" i="1"/>
  <c r="G37" i="1"/>
  <c r="G10" i="1"/>
  <c r="H210" i="1"/>
  <c r="H189" i="1"/>
  <c r="H187" i="1"/>
  <c r="H185" i="1"/>
  <c r="G181" i="1"/>
  <c r="H180" i="1"/>
  <c r="H178" i="1"/>
  <c r="G157" i="1"/>
  <c r="H145" i="1"/>
  <c r="G47" i="1"/>
  <c r="G31" i="1"/>
  <c r="G15" i="1"/>
  <c r="G53" i="1"/>
  <c r="G43" i="1"/>
  <c r="G41" i="1"/>
  <c r="G33" i="1"/>
  <c r="G25" i="1"/>
  <c r="G17" i="1"/>
  <c r="G8" i="1"/>
  <c r="I1205" i="1" l="1"/>
  <c r="I1311" i="1"/>
  <c r="I1243" i="1"/>
  <c r="I1308" i="1"/>
  <c r="I1208" i="1"/>
  <c r="I1041" i="1"/>
  <c r="I1187" i="1"/>
  <c r="I1235" i="1"/>
  <c r="I339" i="1"/>
  <c r="I347" i="1"/>
  <c r="I1195" i="1"/>
  <c r="I923" i="1"/>
  <c r="I1264" i="1"/>
  <c r="I1163" i="1"/>
  <c r="I1261" i="1"/>
  <c r="I1175" i="1"/>
  <c r="I1269" i="1"/>
  <c r="I342" i="1"/>
  <c r="I1263" i="1"/>
  <c r="G1250" i="1"/>
  <c r="H1250" i="1"/>
  <c r="G1174" i="1"/>
  <c r="H1174" i="1"/>
  <c r="G1207" i="1"/>
  <c r="H1207" i="1"/>
  <c r="G1100" i="1"/>
  <c r="I1100" i="1" s="1"/>
  <c r="H1100" i="1"/>
  <c r="G1254" i="1"/>
  <c r="I1254" i="1" s="1"/>
  <c r="H1254" i="1"/>
  <c r="G1256" i="1"/>
  <c r="H1256" i="1"/>
  <c r="G1276" i="1"/>
  <c r="H1276" i="1"/>
  <c r="G1212" i="1"/>
  <c r="I1212" i="1" s="1"/>
  <c r="H1212" i="1"/>
  <c r="G1012" i="1"/>
  <c r="H1012" i="1"/>
  <c r="G1237" i="1"/>
  <c r="H1237" i="1"/>
  <c r="H312" i="1"/>
  <c r="I312" i="1" s="1"/>
  <c r="H371" i="1"/>
  <c r="I371" i="1" s="1"/>
  <c r="H1287" i="1"/>
  <c r="I1287" i="1" s="1"/>
  <c r="H379" i="1"/>
  <c r="I379" i="1" s="1"/>
  <c r="H321" i="1"/>
  <c r="I321" i="1" s="1"/>
  <c r="H364" i="1"/>
  <c r="H1292" i="1"/>
  <c r="H1211" i="1"/>
  <c r="G1186" i="1"/>
  <c r="H1186" i="1"/>
  <c r="G1221" i="1"/>
  <c r="H1221" i="1"/>
  <c r="G1310" i="1"/>
  <c r="H1310" i="1"/>
  <c r="G1306" i="1"/>
  <c r="H1306" i="1"/>
  <c r="G104" i="1"/>
  <c r="H104" i="1"/>
  <c r="G1274" i="1"/>
  <c r="I1274" i="1" s="1"/>
  <c r="H1274" i="1"/>
  <c r="G1273" i="1"/>
  <c r="I1273" i="1" s="1"/>
  <c r="H1273" i="1"/>
  <c r="G93" i="1"/>
  <c r="I93" i="1" s="1"/>
  <c r="H93" i="1"/>
  <c r="G127" i="1"/>
  <c r="I127" i="1" s="1"/>
  <c r="H127" i="1"/>
  <c r="G143" i="1"/>
  <c r="H143" i="1"/>
  <c r="G177" i="1"/>
  <c r="H177" i="1"/>
  <c r="G1223" i="1"/>
  <c r="I1223" i="1" s="1"/>
  <c r="H1223" i="1"/>
  <c r="G382" i="1"/>
  <c r="I382" i="1" s="1"/>
  <c r="H382" i="1"/>
  <c r="H164" i="1"/>
  <c r="I164" i="1" s="1"/>
  <c r="H106" i="1"/>
  <c r="H1217" i="1"/>
  <c r="I1217" i="1" s="1"/>
  <c r="H1275" i="1"/>
  <c r="I1275" i="1" s="1"/>
  <c r="H1305" i="1"/>
  <c r="H220" i="1"/>
  <c r="I220" i="1" s="1"/>
  <c r="H149" i="1"/>
  <c r="H142" i="1"/>
  <c r="I142" i="1" s="1"/>
  <c r="H169" i="1"/>
  <c r="H193" i="1"/>
  <c r="I193" i="1" s="1"/>
  <c r="G257" i="1"/>
  <c r="I257" i="1" s="1"/>
  <c r="H166" i="1"/>
  <c r="H119" i="1"/>
  <c r="I119" i="1" s="1"/>
  <c r="H32" i="1"/>
  <c r="I32" i="1" s="1"/>
  <c r="H584" i="1"/>
  <c r="I584" i="1" s="1"/>
  <c r="H1071" i="1"/>
  <c r="I1071" i="1" s="1"/>
  <c r="H1247" i="1"/>
  <c r="I1247" i="1" s="1"/>
  <c r="H1289" i="1"/>
  <c r="I1289" i="1" s="1"/>
  <c r="H1199" i="1"/>
  <c r="I1199" i="1" s="1"/>
  <c r="H1392" i="1"/>
  <c r="I1392" i="1" s="1"/>
  <c r="H252" i="1"/>
  <c r="I252" i="1" s="1"/>
  <c r="H313" i="1"/>
  <c r="H329" i="1"/>
  <c r="I329" i="1" s="1"/>
  <c r="H337" i="1"/>
  <c r="I337" i="1" s="1"/>
  <c r="H1373" i="1"/>
  <c r="I1373" i="1" s="1"/>
  <c r="H755" i="1"/>
  <c r="I755" i="1" s="1"/>
  <c r="H1230" i="1"/>
  <c r="I1230" i="1" s="1"/>
  <c r="H1170" i="1"/>
  <c r="I1170" i="1" s="1"/>
  <c r="I1126" i="1"/>
  <c r="G570" i="1"/>
  <c r="I570" i="1" s="1"/>
  <c r="G1206" i="1"/>
  <c r="H1206" i="1"/>
  <c r="G1216" i="1"/>
  <c r="I1216" i="1" s="1"/>
  <c r="H1216" i="1"/>
  <c r="G1225" i="1"/>
  <c r="H1225" i="1"/>
  <c r="G1321" i="1"/>
  <c r="H1321" i="1"/>
  <c r="G1004" i="1"/>
  <c r="I1004" i="1" s="1"/>
  <c r="G1076" i="1"/>
  <c r="H1076" i="1"/>
  <c r="G1232" i="1"/>
  <c r="H1232" i="1"/>
  <c r="G46" i="1"/>
  <c r="H46" i="1"/>
  <c r="G62" i="1"/>
  <c r="H62" i="1"/>
  <c r="G78" i="1"/>
  <c r="H78" i="1"/>
  <c r="G130" i="1"/>
  <c r="H130" i="1"/>
  <c r="G148" i="1"/>
  <c r="H148" i="1"/>
  <c r="G1231" i="1"/>
  <c r="H1231" i="1"/>
  <c r="G67" i="1"/>
  <c r="H67" i="1"/>
  <c r="G83" i="1"/>
  <c r="H83" i="1"/>
  <c r="G117" i="1"/>
  <c r="H117" i="1"/>
  <c r="G133" i="1"/>
  <c r="H133" i="1"/>
  <c r="G183" i="1"/>
  <c r="H183" i="1"/>
  <c r="G199" i="1"/>
  <c r="H199" i="1"/>
  <c r="G393" i="1"/>
  <c r="H393" i="1"/>
  <c r="G1268" i="1"/>
  <c r="H1268" i="1"/>
  <c r="H276" i="1"/>
  <c r="G276" i="1"/>
  <c r="G402" i="1"/>
  <c r="H402" i="1"/>
  <c r="G710" i="1"/>
  <c r="I710" i="1" s="1"/>
  <c r="G809" i="1"/>
  <c r="I809" i="1" s="1"/>
  <c r="H809" i="1"/>
  <c r="G1279" i="1"/>
  <c r="H1279" i="1"/>
  <c r="G1382" i="1"/>
  <c r="H1382" i="1"/>
  <c r="G174" i="1"/>
  <c r="H174" i="1"/>
  <c r="G192" i="1"/>
  <c r="H192" i="1"/>
  <c r="G1032" i="1"/>
  <c r="I1032" i="1" s="1"/>
  <c r="H1032" i="1"/>
  <c r="H172" i="1"/>
  <c r="I172" i="1" s="1"/>
  <c r="H70" i="1"/>
  <c r="I70" i="1" s="1"/>
  <c r="H86" i="1"/>
  <c r="I86" i="1" s="1"/>
  <c r="H94" i="1"/>
  <c r="I94" i="1" s="1"/>
  <c r="H1159" i="1"/>
  <c r="I1159" i="1" s="1"/>
  <c r="H401" i="1"/>
  <c r="I401" i="1" s="1"/>
  <c r="G818" i="1"/>
  <c r="I818" i="1" s="1"/>
  <c r="H818" i="1"/>
  <c r="G737" i="1"/>
  <c r="I737" i="1" s="1"/>
  <c r="G1202" i="1"/>
  <c r="H1202" i="1"/>
  <c r="I1202" i="1" s="1"/>
  <c r="G1220" i="1"/>
  <c r="H1220" i="1"/>
  <c r="G1238" i="1"/>
  <c r="H1238" i="1"/>
  <c r="I1238" i="1" s="1"/>
  <c r="G1290" i="1"/>
  <c r="H1290" i="1"/>
  <c r="G696" i="1"/>
  <c r="H696" i="1"/>
  <c r="I696" i="1" s="1"/>
  <c r="G1161" i="1"/>
  <c r="H1161" i="1"/>
  <c r="I1161" i="1" s="1"/>
  <c r="G965" i="1"/>
  <c r="H965" i="1"/>
  <c r="G1244" i="1"/>
  <c r="H1244" i="1"/>
  <c r="G1262" i="1"/>
  <c r="H1262" i="1"/>
  <c r="G1295" i="1"/>
  <c r="H1295" i="1"/>
  <c r="G12" i="1"/>
  <c r="H12" i="1"/>
  <c r="G102" i="1"/>
  <c r="H102" i="1"/>
  <c r="G156" i="1"/>
  <c r="H156" i="1"/>
  <c r="G1257" i="1"/>
  <c r="H1257" i="1"/>
  <c r="G1299" i="1"/>
  <c r="H1299" i="1"/>
  <c r="G1226" i="1"/>
  <c r="H1226" i="1"/>
  <c r="G1283" i="1"/>
  <c r="H1283" i="1"/>
  <c r="H59" i="1"/>
  <c r="G59" i="1"/>
  <c r="G91" i="1"/>
  <c r="H91" i="1"/>
  <c r="G109" i="1"/>
  <c r="H109" i="1"/>
  <c r="G125" i="1"/>
  <c r="H125" i="1"/>
  <c r="G141" i="1"/>
  <c r="H141" i="1"/>
  <c r="G175" i="1"/>
  <c r="H175" i="1"/>
  <c r="H200" i="1"/>
  <c r="I200" i="1" s="1"/>
  <c r="H9" i="1"/>
  <c r="I9" i="1" s="1"/>
  <c r="H1246" i="1"/>
  <c r="I1246" i="1" s="1"/>
  <c r="G247" i="1"/>
  <c r="I247" i="1" s="1"/>
  <c r="G255" i="1"/>
  <c r="I255" i="1" s="1"/>
  <c r="G263" i="1"/>
  <c r="I263" i="1" s="1"/>
  <c r="G271" i="1"/>
  <c r="I271" i="1" s="1"/>
  <c r="G260" i="1"/>
  <c r="I260" i="1" s="1"/>
  <c r="H369" i="1"/>
  <c r="I369" i="1" s="1"/>
  <c r="H603" i="1"/>
  <c r="I603" i="1" s="1"/>
  <c r="I264" i="1"/>
  <c r="G993" i="1"/>
  <c r="H993" i="1"/>
  <c r="G1178" i="1"/>
  <c r="H1178" i="1"/>
  <c r="G1204" i="1"/>
  <c r="H1204" i="1"/>
  <c r="G1214" i="1"/>
  <c r="H1214" i="1"/>
  <c r="G1222" i="1"/>
  <c r="H1222" i="1"/>
  <c r="G585" i="1"/>
  <c r="H585" i="1"/>
  <c r="G1184" i="1"/>
  <c r="H1184" i="1"/>
  <c r="G1239" i="1"/>
  <c r="H1239" i="1"/>
  <c r="G1386" i="1"/>
  <c r="H1386" i="1"/>
  <c r="G1146" i="1"/>
  <c r="H1146" i="1"/>
  <c r="G1198" i="1"/>
  <c r="H1198" i="1"/>
  <c r="G1277" i="1"/>
  <c r="H1277" i="1"/>
  <c r="G1252" i="1"/>
  <c r="H1252" i="1"/>
  <c r="G1162" i="1"/>
  <c r="H1162" i="1"/>
  <c r="G1218" i="1"/>
  <c r="H1218" i="1"/>
  <c r="G1248" i="1"/>
  <c r="H1248" i="1"/>
  <c r="G1192" i="1"/>
  <c r="H1192" i="1"/>
  <c r="H144" i="1"/>
  <c r="I144" i="1" s="1"/>
  <c r="I316" i="1"/>
  <c r="H556" i="1"/>
  <c r="I556" i="1" s="1"/>
  <c r="H1307" i="1"/>
  <c r="I1307" i="1" s="1"/>
  <c r="H937" i="1"/>
  <c r="I937" i="1" s="1"/>
  <c r="H1284" i="1"/>
  <c r="I1284" i="1" s="1"/>
  <c r="G194" i="1"/>
  <c r="H194" i="1"/>
  <c r="G1298" i="1"/>
  <c r="H1298" i="1"/>
  <c r="G406" i="1"/>
  <c r="H406" i="1"/>
  <c r="G882" i="1"/>
  <c r="I882" i="1" s="1"/>
  <c r="H882" i="1"/>
  <c r="H238" i="1"/>
  <c r="I238" i="1" s="1"/>
  <c r="I350" i="1"/>
  <c r="I1182" i="1"/>
  <c r="I1396" i="1"/>
  <c r="I314" i="1"/>
  <c r="I338" i="1"/>
  <c r="I432" i="1"/>
  <c r="I1296" i="1"/>
  <c r="I1270" i="1"/>
  <c r="I1183" i="1"/>
  <c r="I1241" i="1"/>
  <c r="I1171" i="1"/>
  <c r="I956" i="1"/>
  <c r="I1390" i="1"/>
  <c r="I1388" i="1"/>
  <c r="I1265" i="1"/>
  <c r="I1258" i="1"/>
  <c r="I482" i="1"/>
  <c r="I924" i="1"/>
  <c r="I400" i="1"/>
  <c r="I1209" i="1"/>
  <c r="I1309" i="1"/>
  <c r="I545" i="1"/>
  <c r="I517" i="1"/>
  <c r="I608" i="1"/>
  <c r="I1087" i="1"/>
  <c r="I1281" i="1"/>
  <c r="I977" i="1"/>
  <c r="I927" i="1"/>
  <c r="I411" i="1"/>
  <c r="I717" i="1"/>
  <c r="I185" i="1"/>
  <c r="I483" i="1"/>
  <c r="I1169" i="1"/>
  <c r="I1189" i="1"/>
  <c r="I1313" i="1"/>
  <c r="I449" i="1"/>
  <c r="I455" i="1"/>
  <c r="I471" i="1"/>
  <c r="I485" i="1"/>
  <c r="I612" i="1"/>
  <c r="I660" i="1"/>
  <c r="I720" i="1"/>
  <c r="I792" i="1"/>
  <c r="I648" i="1"/>
  <c r="I820" i="1"/>
  <c r="I1053" i="1"/>
  <c r="I1063" i="1"/>
  <c r="I1109" i="1"/>
  <c r="I1271" i="1"/>
  <c r="I1348" i="1"/>
  <c r="I889" i="1"/>
  <c r="I897" i="1"/>
  <c r="I973" i="1"/>
  <c r="I1113" i="1"/>
  <c r="I1215" i="1"/>
  <c r="I1233" i="1"/>
  <c r="I558" i="1"/>
  <c r="I913" i="1"/>
  <c r="I1384" i="1"/>
  <c r="I1367" i="1"/>
  <c r="I1038" i="1"/>
  <c r="I773" i="1"/>
  <c r="I743" i="1"/>
  <c r="I653" i="1"/>
  <c r="I1332" i="1"/>
  <c r="I1136" i="1"/>
  <c r="I1028" i="1"/>
  <c r="I996" i="1"/>
  <c r="I964" i="1"/>
  <c r="I948" i="1"/>
  <c r="I916" i="1"/>
  <c r="I884" i="1"/>
  <c r="I863" i="1"/>
  <c r="I831" i="1"/>
  <c r="I745" i="1"/>
  <c r="I727" i="1"/>
  <c r="I711" i="1"/>
  <c r="I617" i="1"/>
  <c r="I857" i="1"/>
  <c r="I841" i="1"/>
  <c r="I825" i="1"/>
  <c r="I793" i="1"/>
  <c r="I514" i="1"/>
  <c r="I460" i="1"/>
  <c r="I639" i="1"/>
  <c r="I1349" i="1"/>
  <c r="I408" i="1"/>
  <c r="I718" i="1"/>
  <c r="I716" i="1"/>
  <c r="I748" i="1"/>
  <c r="I772" i="1"/>
  <c r="I788" i="1"/>
  <c r="I846" i="1"/>
  <c r="I802" i="1"/>
  <c r="I1039" i="1"/>
  <c r="I1343" i="1"/>
  <c r="I891" i="1"/>
  <c r="I899" i="1"/>
  <c r="I931" i="1"/>
  <c r="I975" i="1"/>
  <c r="I983" i="1"/>
  <c r="I1017" i="1"/>
  <c r="I1049" i="1"/>
  <c r="I1137" i="1"/>
  <c r="I1219" i="1"/>
  <c r="I1339" i="1"/>
  <c r="I568" i="1"/>
  <c r="I826" i="1"/>
  <c r="I907" i="1"/>
  <c r="I915" i="1"/>
  <c r="I1059" i="1"/>
  <c r="I1107" i="1"/>
  <c r="I953" i="1"/>
  <c r="I961" i="1"/>
  <c r="I1007" i="1"/>
  <c r="I1073" i="1"/>
  <c r="I1363" i="1"/>
  <c r="I1312" i="1"/>
  <c r="I1132" i="1"/>
  <c r="I1094" i="1"/>
  <c r="I697" i="1"/>
  <c r="I635" i="1"/>
  <c r="I1320" i="1"/>
  <c r="I1110" i="1"/>
  <c r="I845" i="1"/>
  <c r="I739" i="1"/>
  <c r="I1276" i="1"/>
  <c r="I1210" i="1"/>
  <c r="I1114" i="1"/>
  <c r="I1098" i="1"/>
  <c r="I1050" i="1"/>
  <c r="I1034" i="1"/>
  <c r="I946" i="1"/>
  <c r="I930" i="1"/>
  <c r="I898" i="1"/>
  <c r="I853" i="1"/>
  <c r="I759" i="1"/>
  <c r="I707" i="1"/>
  <c r="I675" i="1"/>
  <c r="I637" i="1"/>
  <c r="I851" i="1"/>
  <c r="I803" i="1"/>
  <c r="I605" i="1"/>
  <c r="I573" i="1"/>
  <c r="I565" i="1"/>
  <c r="I532" i="1"/>
  <c r="I466" i="1"/>
  <c r="I450" i="1"/>
  <c r="I1229" i="1"/>
  <c r="I658" i="1"/>
  <c r="I726" i="1"/>
  <c r="I1065" i="1"/>
  <c r="I1147" i="1"/>
  <c r="I1352" i="1"/>
  <c r="I1376" i="1"/>
  <c r="I562" i="1"/>
  <c r="I596" i="1"/>
  <c r="I632" i="1"/>
  <c r="I1129" i="1"/>
  <c r="I1315" i="1"/>
  <c r="I939" i="1"/>
  <c r="I1075" i="1"/>
  <c r="I143" i="1"/>
  <c r="I861" i="1"/>
  <c r="I1389" i="1"/>
  <c r="I1381" i="1"/>
  <c r="I1353" i="1"/>
  <c r="I823" i="1"/>
  <c r="I677" i="1"/>
  <c r="I629" i="1"/>
  <c r="I1288" i="1"/>
  <c r="I1134" i="1"/>
  <c r="I1092" i="1"/>
  <c r="I1052" i="1"/>
  <c r="I765" i="1"/>
  <c r="I735" i="1"/>
  <c r="I721" i="1"/>
  <c r="I661" i="1"/>
  <c r="I1340" i="1"/>
  <c r="I1324" i="1"/>
  <c r="I1292" i="1"/>
  <c r="I1242" i="1"/>
  <c r="I1234" i="1"/>
  <c r="I1224" i="1"/>
  <c r="I1200" i="1"/>
  <c r="I1168" i="1"/>
  <c r="I1160" i="1"/>
  <c r="I1144" i="1"/>
  <c r="I1128" i="1"/>
  <c r="I1048" i="1"/>
  <c r="I1016" i="1"/>
  <c r="I1008" i="1"/>
  <c r="I1000" i="1"/>
  <c r="I992" i="1"/>
  <c r="I976" i="1"/>
  <c r="I960" i="1"/>
  <c r="I952" i="1"/>
  <c r="I904" i="1"/>
  <c r="I880" i="1"/>
  <c r="I872" i="1"/>
  <c r="I847" i="1"/>
  <c r="I813" i="1"/>
  <c r="I771" i="1"/>
  <c r="I703" i="1"/>
  <c r="I687" i="1"/>
  <c r="I671" i="1"/>
  <c r="I627" i="1"/>
  <c r="I542" i="1"/>
  <c r="I865" i="1"/>
  <c r="I833" i="1"/>
  <c r="I817" i="1"/>
  <c r="I647" i="1"/>
  <c r="I631" i="1"/>
  <c r="I534" i="1"/>
  <c r="I595" i="1"/>
  <c r="I579" i="1"/>
  <c r="I571" i="1"/>
  <c r="I555" i="1"/>
  <c r="I530" i="1"/>
  <c r="I510" i="1"/>
  <c r="I480" i="1"/>
  <c r="I500" i="1"/>
  <c r="I456" i="1"/>
  <c r="I496" i="1"/>
  <c r="I742" i="1"/>
  <c r="I791" i="1"/>
  <c r="I750" i="1"/>
  <c r="I987" i="1"/>
  <c r="I1029" i="1"/>
  <c r="I498" i="1"/>
  <c r="I592" i="1"/>
  <c r="I940" i="1"/>
  <c r="I935" i="1"/>
  <c r="I1036" i="1"/>
  <c r="I320" i="1"/>
  <c r="I165" i="1"/>
  <c r="I196" i="1"/>
  <c r="I269" i="1"/>
  <c r="I184" i="1"/>
  <c r="I309" i="1"/>
  <c r="I262" i="1"/>
  <c r="I1167" i="1"/>
  <c r="I1191" i="1"/>
  <c r="I1293" i="1"/>
  <c r="I1173" i="1"/>
  <c r="I170" i="1"/>
  <c r="I198" i="1"/>
  <c r="I182" i="1"/>
  <c r="I303" i="1"/>
  <c r="I626" i="1"/>
  <c r="I808" i="1"/>
  <c r="I901" i="1"/>
  <c r="I531" i="1"/>
  <c r="I664" i="1"/>
  <c r="I682" i="1"/>
  <c r="I764" i="1"/>
  <c r="I822" i="1"/>
  <c r="I1277" i="1"/>
  <c r="I828" i="1"/>
  <c r="I917" i="1"/>
  <c r="I1081" i="1"/>
  <c r="I162" i="1"/>
  <c r="I202" i="1"/>
  <c r="I1102" i="1"/>
  <c r="I673" i="1"/>
  <c r="I657" i="1"/>
  <c r="I1240" i="1"/>
  <c r="I1022" i="1"/>
  <c r="I902" i="1"/>
  <c r="I783" i="1"/>
  <c r="I749" i="1"/>
  <c r="I683" i="1"/>
  <c r="I494" i="1"/>
  <c r="I150" i="1"/>
  <c r="I186" i="1"/>
  <c r="I249" i="1"/>
  <c r="I265" i="1"/>
  <c r="I203" i="1"/>
  <c r="I256" i="1"/>
  <c r="I272" i="1"/>
  <c r="I351" i="1"/>
  <c r="I388" i="1"/>
  <c r="I396" i="1"/>
  <c r="I405" i="1"/>
  <c r="I415" i="1"/>
  <c r="I431" i="1"/>
  <c r="I439" i="1"/>
  <c r="I254" i="1"/>
  <c r="I270" i="1"/>
  <c r="I479" i="1"/>
  <c r="I525" i="1"/>
  <c r="I646" i="1"/>
  <c r="I812" i="1"/>
  <c r="I852" i="1"/>
  <c r="I1123" i="1"/>
  <c r="I1213" i="1"/>
  <c r="I1249" i="1"/>
  <c r="I1329" i="1"/>
  <c r="I453" i="1"/>
  <c r="I529" i="1"/>
  <c r="I461" i="1"/>
  <c r="I477" i="1"/>
  <c r="I511" i="1"/>
  <c r="I644" i="1"/>
  <c r="I684" i="1"/>
  <c r="I692" i="1"/>
  <c r="I700" i="1"/>
  <c r="I806" i="1"/>
  <c r="I830" i="1"/>
  <c r="I854" i="1"/>
  <c r="I624" i="1"/>
  <c r="I850" i="1"/>
  <c r="I1055" i="1"/>
  <c r="I1069" i="1"/>
  <c r="I1085" i="1"/>
  <c r="I1095" i="1"/>
  <c r="I1111" i="1"/>
  <c r="I1303" i="1"/>
  <c r="I1350" i="1"/>
  <c r="I794" i="1"/>
  <c r="I895" i="1"/>
  <c r="I1089" i="1"/>
  <c r="I1211" i="1"/>
  <c r="I1227" i="1"/>
  <c r="I1285" i="1"/>
  <c r="I1362" i="1"/>
  <c r="I1370" i="1"/>
  <c r="I1378" i="1"/>
  <c r="I564" i="1"/>
  <c r="I640" i="1"/>
  <c r="I903" i="1"/>
  <c r="I911" i="1"/>
  <c r="I1035" i="1"/>
  <c r="I1317" i="1"/>
  <c r="I860" i="1"/>
  <c r="I879" i="1"/>
  <c r="I943" i="1"/>
  <c r="I951" i="1"/>
  <c r="I959" i="1"/>
  <c r="I997" i="1"/>
  <c r="I1005" i="1"/>
  <c r="I1043" i="1"/>
  <c r="I1121" i="1"/>
  <c r="I1181" i="1"/>
  <c r="I1253" i="1"/>
  <c r="I1331" i="1"/>
  <c r="I138" i="1"/>
  <c r="I146" i="1"/>
  <c r="I167" i="1"/>
  <c r="I174" i="1"/>
  <c r="I409" i="1"/>
  <c r="I1377" i="1"/>
  <c r="I1359" i="1"/>
  <c r="I1328" i="1"/>
  <c r="I1124" i="1"/>
  <c r="I1375" i="1"/>
  <c r="I1361" i="1"/>
  <c r="I1318" i="1"/>
  <c r="I1150" i="1"/>
  <c r="I807" i="1"/>
  <c r="I685" i="1"/>
  <c r="I643" i="1"/>
  <c r="I1326" i="1"/>
  <c r="I1116" i="1"/>
  <c r="I757" i="1"/>
  <c r="I1316" i="1"/>
  <c r="I1300" i="1"/>
  <c r="I1266" i="1"/>
  <c r="I1196" i="1"/>
  <c r="I1188" i="1"/>
  <c r="I1180" i="1"/>
  <c r="I1172" i="1"/>
  <c r="I1164" i="1"/>
  <c r="I1152" i="1"/>
  <c r="I1072" i="1"/>
  <c r="I1040" i="1"/>
  <c r="I1020" i="1"/>
  <c r="I932" i="1"/>
  <c r="I900" i="1"/>
  <c r="I779" i="1"/>
  <c r="I763" i="1"/>
  <c r="I695" i="1"/>
  <c r="I679" i="1"/>
  <c r="I607" i="1"/>
  <c r="I599" i="1"/>
  <c r="I591" i="1"/>
  <c r="I567" i="1"/>
  <c r="I559" i="1"/>
  <c r="I551" i="1"/>
  <c r="I538" i="1"/>
  <c r="I504" i="1"/>
  <c r="I340" i="1"/>
  <c r="I17" i="1"/>
  <c r="I149" i="1"/>
  <c r="I189" i="1"/>
  <c r="I1179" i="1"/>
  <c r="I161" i="1"/>
  <c r="I1176" i="1"/>
  <c r="I169" i="1"/>
  <c r="I197" i="1"/>
  <c r="I403" i="1"/>
  <c r="I214" i="1"/>
  <c r="I499" i="1"/>
  <c r="I642" i="1"/>
  <c r="I832" i="1"/>
  <c r="I1051" i="1"/>
  <c r="I1193" i="1"/>
  <c r="I1301" i="1"/>
  <c r="I616" i="1"/>
  <c r="I656" i="1"/>
  <c r="I674" i="1"/>
  <c r="I800" i="1"/>
  <c r="I1297" i="1"/>
  <c r="I1319" i="1"/>
  <c r="I925" i="1"/>
  <c r="I985" i="1"/>
  <c r="I995" i="1"/>
  <c r="I1177" i="1"/>
  <c r="I1237" i="1"/>
  <c r="I348" i="1"/>
  <c r="I414" i="1"/>
  <c r="I1054" i="1"/>
  <c r="I1302" i="1"/>
  <c r="I777" i="1"/>
  <c r="I1338" i="1"/>
  <c r="I1190" i="1"/>
  <c r="I1106" i="1"/>
  <c r="I1058" i="1"/>
  <c r="I958" i="1"/>
  <c r="I894" i="1"/>
  <c r="I878" i="1"/>
  <c r="I699" i="1"/>
  <c r="I667" i="1"/>
  <c r="I516" i="1"/>
  <c r="I506" i="1"/>
  <c r="I478" i="1"/>
  <c r="I145" i="1"/>
  <c r="I163" i="1"/>
  <c r="I173" i="1"/>
  <c r="I188" i="1"/>
  <c r="I251" i="1"/>
  <c r="I259" i="1"/>
  <c r="I267" i="1"/>
  <c r="I166" i="1"/>
  <c r="I275" i="1"/>
  <c r="I299" i="1"/>
  <c r="I407" i="1"/>
  <c r="I425" i="1"/>
  <c r="I533" i="1"/>
  <c r="I634" i="1"/>
  <c r="I650" i="1"/>
  <c r="I796" i="1"/>
  <c r="I862" i="1"/>
  <c r="I1135" i="1"/>
  <c r="I1165" i="1"/>
  <c r="I1255" i="1"/>
  <c r="I1341" i="1"/>
  <c r="I493" i="1"/>
  <c r="I507" i="1"/>
  <c r="I463" i="1"/>
  <c r="I513" i="1"/>
  <c r="I521" i="1"/>
  <c r="I549" i="1"/>
  <c r="I620" i="1"/>
  <c r="I668" i="1"/>
  <c r="I728" i="1"/>
  <c r="I752" i="1"/>
  <c r="I760" i="1"/>
  <c r="I768" i="1"/>
  <c r="I838" i="1"/>
  <c r="I856" i="1"/>
  <c r="I1117" i="1"/>
  <c r="I1127" i="1"/>
  <c r="I1305" i="1"/>
  <c r="I1344" i="1"/>
  <c r="I842" i="1"/>
  <c r="I981" i="1"/>
  <c r="I1023" i="1"/>
  <c r="I1031" i="1"/>
  <c r="I1356" i="1"/>
  <c r="I921" i="1"/>
  <c r="I1057" i="1"/>
  <c r="I1153" i="1"/>
  <c r="I873" i="1"/>
  <c r="I881" i="1"/>
  <c r="I945" i="1"/>
  <c r="I999" i="1"/>
  <c r="I1145" i="1"/>
  <c r="I1185" i="1"/>
  <c r="I1259" i="1"/>
  <c r="I1333" i="1"/>
  <c r="I139" i="1"/>
  <c r="I147" i="1"/>
  <c r="I160" i="1"/>
  <c r="I168" i="1"/>
  <c r="I194" i="1"/>
  <c r="I362" i="1"/>
  <c r="I404" i="1"/>
  <c r="I1391" i="1"/>
  <c r="I1383" i="1"/>
  <c r="I829" i="1"/>
  <c r="I713" i="1"/>
  <c r="I1347" i="1"/>
  <c r="I1294" i="1"/>
  <c r="I1272" i="1"/>
  <c r="I1140" i="1"/>
  <c r="I1062" i="1"/>
  <c r="I785" i="1"/>
  <c r="I619" i="1"/>
  <c r="I1330" i="1"/>
  <c r="I1314" i="1"/>
  <c r="I1260" i="1"/>
  <c r="I1236" i="1"/>
  <c r="I1194" i="1"/>
  <c r="I1130" i="1"/>
  <c r="I1066" i="1"/>
  <c r="I1026" i="1"/>
  <c r="I1018" i="1"/>
  <c r="I1010" i="1"/>
  <c r="I994" i="1"/>
  <c r="I986" i="1"/>
  <c r="I978" i="1"/>
  <c r="I970" i="1"/>
  <c r="I962" i="1"/>
  <c r="I954" i="1"/>
  <c r="I938" i="1"/>
  <c r="I914" i="1"/>
  <c r="I906" i="1"/>
  <c r="I874" i="1"/>
  <c r="I821" i="1"/>
  <c r="I775" i="1"/>
  <c r="I723" i="1"/>
  <c r="I691" i="1"/>
  <c r="I659" i="1"/>
  <c r="I615" i="1"/>
  <c r="I867" i="1"/>
  <c r="I589" i="1"/>
  <c r="I581" i="1"/>
  <c r="I557" i="1"/>
  <c r="I512" i="1"/>
  <c r="I502" i="1"/>
  <c r="I486" i="1"/>
  <c r="I474" i="1"/>
  <c r="I458" i="1"/>
  <c r="I410" i="1"/>
  <c r="I322" i="1"/>
  <c r="I53" i="1"/>
  <c r="I284" i="1"/>
  <c r="I310" i="1"/>
  <c r="I346" i="1"/>
  <c r="I292" i="1"/>
  <c r="I300" i="1"/>
  <c r="I308" i="1"/>
  <c r="I352" i="1"/>
  <c r="I10" i="1"/>
  <c r="I281" i="1"/>
  <c r="I319" i="1"/>
  <c r="I343" i="1"/>
  <c r="I354" i="1"/>
  <c r="I419" i="1"/>
  <c r="I326" i="1"/>
  <c r="I334" i="1"/>
  <c r="I33" i="1"/>
  <c r="I180" i="1"/>
  <c r="I204" i="1"/>
  <c r="I273" i="1"/>
  <c r="I435" i="1"/>
  <c r="H35" i="1"/>
  <c r="I35" i="1" s="1"/>
  <c r="G22" i="1"/>
  <c r="I22" i="1" s="1"/>
  <c r="G154" i="1"/>
  <c r="I154" i="1" s="1"/>
  <c r="G158" i="1"/>
  <c r="I158" i="1" s="1"/>
  <c r="G190" i="1"/>
  <c r="I190" i="1" s="1"/>
  <c r="G378" i="1"/>
  <c r="I378" i="1" s="1"/>
  <c r="G412" i="1"/>
  <c r="I412" i="1" s="1"/>
  <c r="G418" i="1"/>
  <c r="I418" i="1" s="1"/>
  <c r="G422" i="1"/>
  <c r="I422" i="1" s="1"/>
  <c r="G426" i="1"/>
  <c r="I426" i="1" s="1"/>
  <c r="I27" i="1"/>
  <c r="I210" i="1"/>
  <c r="I413" i="1"/>
  <c r="I433" i="1"/>
  <c r="I437" i="1"/>
  <c r="I398" i="1"/>
  <c r="I330" i="1"/>
  <c r="G152" i="1"/>
  <c r="I152" i="1" s="1"/>
  <c r="G176" i="1"/>
  <c r="I176" i="1" s="1"/>
  <c r="G416" i="1"/>
  <c r="I416" i="1" s="1"/>
  <c r="G420" i="1"/>
  <c r="I420" i="1" s="1"/>
  <c r="G424" i="1"/>
  <c r="I424" i="1" s="1"/>
  <c r="I11" i="1"/>
  <c r="I19" i="1"/>
  <c r="I23" i="1"/>
  <c r="I25" i="1"/>
  <c r="I29" i="1"/>
  <c r="I178" i="1"/>
  <c r="I187" i="1"/>
  <c r="I201" i="1"/>
  <c r="I278" i="1"/>
  <c r="I21" i="1"/>
  <c r="I195" i="1"/>
  <c r="I268" i="1"/>
  <c r="I384" i="1"/>
  <c r="I389" i="1"/>
  <c r="I258" i="1"/>
  <c r="I266" i="1"/>
  <c r="I296" i="1"/>
  <c r="I304" i="1"/>
  <c r="I324" i="1"/>
  <c r="I328" i="1"/>
  <c r="I332" i="1"/>
  <c r="I336" i="1"/>
  <c r="I840" i="1"/>
  <c r="I313" i="1"/>
  <c r="I325" i="1"/>
  <c r="I333" i="1"/>
  <c r="I429" i="1"/>
  <c r="I246" i="1"/>
  <c r="H344" i="1"/>
  <c r="I344" i="1" s="1"/>
  <c r="I280" i="1"/>
  <c r="I288" i="1"/>
  <c r="I358" i="1"/>
  <c r="I368" i="1"/>
  <c r="I366" i="1"/>
  <c r="I134" i="1"/>
  <c r="I126" i="1"/>
  <c r="I277" i="1"/>
  <c r="I331" i="1"/>
  <c r="I390" i="1"/>
  <c r="I140" i="1"/>
  <c r="I392" i="1"/>
  <c r="I370" i="1"/>
  <c r="I99" i="1"/>
  <c r="I37" i="1"/>
  <c r="H318" i="1"/>
  <c r="I318" i="1" s="1"/>
  <c r="I374" i="1"/>
  <c r="I386" i="1"/>
  <c r="I41" i="1"/>
  <c r="I43" i="1"/>
  <c r="I45" i="1"/>
  <c r="I157" i="1"/>
  <c r="I87" i="1"/>
  <c r="I282" i="1"/>
  <c r="I290" i="1"/>
  <c r="I212" i="1"/>
  <c r="I228" i="1"/>
  <c r="I236" i="1"/>
  <c r="I244" i="1"/>
  <c r="I279" i="1"/>
  <c r="I283" i="1"/>
  <c r="I287" i="1"/>
  <c r="I291" i="1"/>
  <c r="I295" i="1"/>
  <c r="I307" i="1"/>
  <c r="I311" i="1"/>
  <c r="I317" i="1"/>
  <c r="I341" i="1"/>
  <c r="I345" i="1"/>
  <c r="I349" i="1"/>
  <c r="I353" i="1"/>
  <c r="I356" i="1"/>
  <c r="I364" i="1"/>
  <c r="I372" i="1"/>
  <c r="I394" i="1"/>
  <c r="I399" i="1"/>
  <c r="I417" i="1"/>
  <c r="I421" i="1"/>
  <c r="I441" i="1"/>
  <c r="I357" i="1"/>
  <c r="I361" i="1"/>
  <c r="I122" i="1"/>
  <c r="I218" i="1"/>
  <c r="I226" i="1"/>
  <c r="I234" i="1"/>
  <c r="I242" i="1"/>
  <c r="I298" i="1"/>
  <c r="I306" i="1"/>
  <c r="G428" i="1"/>
  <c r="I428" i="1" s="1"/>
  <c r="G434" i="1"/>
  <c r="I434" i="1" s="1"/>
  <c r="G438" i="1"/>
  <c r="I438" i="1" s="1"/>
  <c r="G442" i="1"/>
  <c r="I442" i="1" s="1"/>
  <c r="I171" i="1"/>
  <c r="I209" i="1"/>
  <c r="I253" i="1"/>
  <c r="I261" i="1"/>
  <c r="I286" i="1"/>
  <c r="I8" i="1"/>
  <c r="I15" i="1"/>
  <c r="I31" i="1"/>
  <c r="I47" i="1"/>
  <c r="I181" i="1"/>
  <c r="I39" i="1"/>
  <c r="I73" i="1"/>
  <c r="I205" i="1"/>
  <c r="I216" i="1"/>
  <c r="I224" i="1"/>
  <c r="I232" i="1"/>
  <c r="I240" i="1"/>
  <c r="I248" i="1"/>
  <c r="I285" i="1"/>
  <c r="I289" i="1"/>
  <c r="I293" i="1"/>
  <c r="I297" i="1"/>
  <c r="I301" i="1"/>
  <c r="I305" i="1"/>
  <c r="I315" i="1"/>
  <c r="I323" i="1"/>
  <c r="I327" i="1"/>
  <c r="I335" i="1"/>
  <c r="I376" i="1"/>
  <c r="I423" i="1"/>
  <c r="I427" i="1"/>
  <c r="I153" i="1"/>
  <c r="I207" i="1"/>
  <c r="I355" i="1"/>
  <c r="I359" i="1"/>
  <c r="I213" i="1"/>
  <c r="I215" i="1"/>
  <c r="I217" i="1"/>
  <c r="I219" i="1"/>
  <c r="I221" i="1"/>
  <c r="I223" i="1"/>
  <c r="I225" i="1"/>
  <c r="I227" i="1"/>
  <c r="I229" i="1"/>
  <c r="I231" i="1"/>
  <c r="I233" i="1"/>
  <c r="I235" i="1"/>
  <c r="I237" i="1"/>
  <c r="I239" i="1"/>
  <c r="I241" i="1"/>
  <c r="I243" i="1"/>
  <c r="I245" i="1"/>
  <c r="I222" i="1"/>
  <c r="I230" i="1"/>
  <c r="I250" i="1"/>
  <c r="I294" i="1"/>
  <c r="I302" i="1"/>
  <c r="G443" i="1"/>
  <c r="I443" i="1" s="1"/>
  <c r="G430" i="1"/>
  <c r="I430" i="1" s="1"/>
  <c r="G436" i="1"/>
  <c r="I436" i="1" s="1"/>
  <c r="G440" i="1"/>
  <c r="I440" i="1" s="1"/>
  <c r="I14" i="1"/>
  <c r="I18" i="1"/>
  <c r="I26" i="1"/>
  <c r="I30" i="1"/>
  <c r="I363" i="1"/>
  <c r="I365" i="1"/>
  <c r="I367" i="1"/>
  <c r="I373" i="1"/>
  <c r="I375" i="1"/>
  <c r="I377" i="1"/>
  <c r="I391" i="1"/>
  <c r="I393" i="1"/>
  <c r="I395" i="1"/>
  <c r="I36" i="1"/>
  <c r="I40" i="1"/>
  <c r="I44" i="1"/>
  <c r="I48" i="1"/>
  <c r="I50" i="1"/>
  <c r="I52" i="1"/>
  <c r="I74" i="1"/>
  <c r="I76" i="1"/>
  <c r="I80" i="1"/>
  <c r="I82" i="1"/>
  <c r="I84" i="1"/>
  <c r="I100" i="1"/>
  <c r="I104" i="1"/>
  <c r="I106" i="1"/>
  <c r="I108" i="1"/>
  <c r="I110" i="1"/>
  <c r="I112" i="1"/>
  <c r="I114" i="1"/>
  <c r="I116" i="1"/>
  <c r="I118" i="1"/>
  <c r="I120" i="1"/>
  <c r="I124" i="1"/>
  <c r="I132" i="1"/>
  <c r="I5" i="1"/>
  <c r="I7" i="1"/>
  <c r="I49" i="1"/>
  <c r="I51" i="1"/>
  <c r="I61" i="1"/>
  <c r="I63" i="1"/>
  <c r="I65" i="1"/>
  <c r="I69" i="1"/>
  <c r="I71" i="1"/>
  <c r="I89" i="1"/>
  <c r="I95" i="1"/>
  <c r="I97" i="1"/>
  <c r="I123" i="1"/>
  <c r="I129" i="1"/>
  <c r="I131" i="1"/>
  <c r="I135" i="1"/>
  <c r="I137" i="1"/>
  <c r="I151" i="1"/>
  <c r="I159" i="1"/>
  <c r="I191" i="1"/>
  <c r="I360" i="1"/>
  <c r="I6" i="1"/>
  <c r="I16" i="1"/>
  <c r="I20" i="1"/>
  <c r="I24" i="1"/>
  <c r="I28" i="1"/>
  <c r="I34" i="1"/>
  <c r="I38" i="1"/>
  <c r="I42" i="1"/>
  <c r="I54" i="1"/>
  <c r="I56" i="1"/>
  <c r="I58" i="1"/>
  <c r="I60" i="1"/>
  <c r="I64" i="1"/>
  <c r="I66" i="1"/>
  <c r="I68" i="1"/>
  <c r="I72" i="1"/>
  <c r="I88" i="1"/>
  <c r="I90" i="1"/>
  <c r="I92" i="1"/>
  <c r="I96" i="1"/>
  <c r="I98" i="1"/>
  <c r="I128" i="1"/>
  <c r="I136" i="1"/>
  <c r="I206" i="1"/>
  <c r="I208" i="1"/>
  <c r="I274" i="1"/>
  <c r="I13" i="1"/>
  <c r="I55" i="1"/>
  <c r="I57" i="1"/>
  <c r="I75" i="1"/>
  <c r="I77" i="1"/>
  <c r="I79" i="1"/>
  <c r="I81" i="1"/>
  <c r="I85" i="1"/>
  <c r="I101" i="1"/>
  <c r="I103" i="1"/>
  <c r="I105" i="1"/>
  <c r="I107" i="1"/>
  <c r="I111" i="1"/>
  <c r="I113" i="1"/>
  <c r="I115" i="1"/>
  <c r="I155" i="1"/>
  <c r="I179" i="1"/>
  <c r="I211" i="1"/>
  <c r="I381" i="1"/>
  <c r="I383" i="1"/>
  <c r="I385" i="1"/>
  <c r="I387" i="1"/>
  <c r="I397" i="1"/>
  <c r="I1192" i="1" l="1"/>
  <c r="I1279" i="1"/>
  <c r="I276" i="1"/>
  <c r="I117" i="1"/>
  <c r="I67" i="1"/>
  <c r="I78" i="1"/>
  <c r="I46" i="1"/>
  <c r="I1076" i="1"/>
  <c r="I177" i="1"/>
  <c r="I1310" i="1"/>
  <c r="I1225" i="1"/>
  <c r="I1186" i="1"/>
  <c r="I1146" i="1"/>
  <c r="I175" i="1"/>
  <c r="I125" i="1"/>
  <c r="I91" i="1"/>
  <c r="I1283" i="1"/>
  <c r="I1299" i="1"/>
  <c r="I156" i="1"/>
  <c r="I12" i="1"/>
  <c r="I1262" i="1"/>
  <c r="I192" i="1"/>
  <c r="I1382" i="1"/>
  <c r="I402" i="1"/>
  <c r="I199" i="1"/>
  <c r="I133" i="1"/>
  <c r="I130" i="1"/>
  <c r="I62" i="1"/>
  <c r="I1232" i="1"/>
  <c r="I1321" i="1"/>
  <c r="I1306" i="1"/>
  <c r="I1221" i="1"/>
  <c r="I1256" i="1"/>
  <c r="I1174" i="1"/>
  <c r="I59" i="1"/>
  <c r="I1226" i="1"/>
  <c r="I1295" i="1"/>
  <c r="I1290" i="1"/>
  <c r="I1220" i="1"/>
  <c r="I183" i="1"/>
  <c r="I148" i="1"/>
  <c r="I1298" i="1"/>
  <c r="I1248" i="1"/>
  <c r="I1162" i="1"/>
  <c r="I1239" i="1"/>
  <c r="I1214" i="1"/>
  <c r="I1178" i="1"/>
  <c r="I406" i="1"/>
  <c r="I1218" i="1"/>
  <c r="I1252" i="1"/>
  <c r="I1198" i="1"/>
  <c r="I1386" i="1"/>
  <c r="I1184" i="1"/>
  <c r="I1222" i="1"/>
  <c r="I1204" i="1"/>
  <c r="I993" i="1"/>
  <c r="I141" i="1"/>
  <c r="I109" i="1"/>
  <c r="I1257" i="1"/>
  <c r="I102" i="1"/>
  <c r="I1244" i="1"/>
  <c r="I1206" i="1"/>
  <c r="I1012" i="1"/>
  <c r="I1207" i="1"/>
  <c r="I1250" i="1"/>
  <c r="I965" i="1"/>
  <c r="I1268" i="1"/>
  <c r="I83" i="1"/>
  <c r="I1231" i="1"/>
  <c r="I585" i="1"/>
</calcChain>
</file>

<file path=xl/sharedStrings.xml><?xml version="1.0" encoding="utf-8"?>
<sst xmlns="http://schemas.openxmlformats.org/spreadsheetml/2006/main" count="1449" uniqueCount="1442">
  <si>
    <t>Terminal log file</t>
  </si>
  <si>
    <t xml:space="preserve">Date: 05.12.2015 - </t>
  </si>
  <si>
    <t>-----------------------------------------------</t>
  </si>
  <si>
    <t>00364f:3E&gt;+9C-</t>
  </si>
  <si>
    <t>00820d:3E&gt;+9A-</t>
  </si>
  <si>
    <t>End log file</t>
  </si>
  <si>
    <t>Adresse</t>
  </si>
  <si>
    <t>Status</t>
  </si>
  <si>
    <t>Kdo(dez)</t>
  </si>
  <si>
    <t>Hex</t>
  </si>
  <si>
    <t>Dez</t>
  </si>
  <si>
    <t>Code</t>
  </si>
  <si>
    <t>0xA3</t>
  </si>
  <si>
    <t>0xA5</t>
  </si>
  <si>
    <t>0xA6</t>
  </si>
  <si>
    <t>0xB0</t>
  </si>
  <si>
    <t>0xB9</t>
  </si>
  <si>
    <t>0xA9</t>
  </si>
  <si>
    <t>0xAA</t>
  </si>
  <si>
    <t>0xAC</t>
  </si>
  <si>
    <t>0x93</t>
  </si>
  <si>
    <t>0x9C</t>
  </si>
  <si>
    <t>0x96</t>
  </si>
  <si>
    <t>0x9A</t>
  </si>
  <si>
    <t>BusLebenszeichen</t>
  </si>
  <si>
    <t xml:space="preserve">WahlFreigabe </t>
  </si>
  <si>
    <t>Wahlziffer0</t>
  </si>
  <si>
    <t>Wahlziffer9</t>
  </si>
  <si>
    <t>Space</t>
  </si>
  <si>
    <t>Mark</t>
  </si>
  <si>
    <t>SpaceWdh</t>
  </si>
  <si>
    <t>MarkWdh</t>
  </si>
  <si>
    <t>QuittEin</t>
  </si>
  <si>
    <t>QuittSchluss</t>
  </si>
  <si>
    <t>---Ende</t>
  </si>
  <si>
    <t>Kdo-Text</t>
  </si>
  <si>
    <t>A an B</t>
  </si>
  <si>
    <t>B an A</t>
  </si>
  <si>
    <t>sonst</t>
  </si>
  <si>
    <t>02022a:CA&gt;+93-</t>
  </si>
  <si>
    <t>02022f:CA&gt;+96-</t>
  </si>
  <si>
    <t>02082e:CA&gt;+9C-</t>
  </si>
  <si>
    <t>02083d:CA&gt;+9A-</t>
  </si>
  <si>
    <t>02112a:CA&gt;+93-</t>
  </si>
  <si>
    <t>02112f:CA&gt;+96-</t>
  </si>
  <si>
    <t>02128f:3E&gt;+9A-</t>
  </si>
  <si>
    <t>02132b:CA&gt;+9C-</t>
  </si>
  <si>
    <t>02133a:CA&gt;+9A-</t>
  </si>
  <si>
    <t>02171d:CA&gt;+93-</t>
  </si>
  <si>
    <t>02172c:CA&gt;+96-</t>
  </si>
  <si>
    <t>02191f:CA&gt;+9C-</t>
  </si>
  <si>
    <t>02192e:CA&gt;+9A-</t>
  </si>
  <si>
    <t>02262d:CA&gt;+93-</t>
  </si>
  <si>
    <t>02263c:CA&gt;+96-</t>
  </si>
  <si>
    <t>02303a:CA&gt;+9C-</t>
  </si>
  <si>
    <t>02303f:CA&gt;+9A-</t>
  </si>
  <si>
    <t>02342c:CA&gt;+93-</t>
  </si>
  <si>
    <t>02343b:CA&gt;+96-</t>
  </si>
  <si>
    <t>02382e:CA&gt;+9C-</t>
  </si>
  <si>
    <t>02383d:CA&gt;+9A-</t>
  </si>
  <si>
    <t>02412a:CA&gt;+93-</t>
  </si>
  <si>
    <t>02412f:CA&gt;+96-</t>
  </si>
  <si>
    <t>02484d:CA&gt;+A9-</t>
  </si>
  <si>
    <t>02512a:CA&gt;+9C-</t>
  </si>
  <si>
    <t>02513a:CA&gt;+9A-</t>
  </si>
  <si>
    <t>02562d:CA&gt;+93-</t>
  </si>
  <si>
    <t>02563d:CA&gt;+96-</t>
  </si>
  <si>
    <t>02582e:CA&gt;+9C-</t>
  </si>
  <si>
    <t>02583e:CA&gt;+9A-</t>
  </si>
  <si>
    <t>02634f:3E&gt;+9A-</t>
  </si>
  <si>
    <t>02642b:CA&gt;+93-</t>
  </si>
  <si>
    <t>02643b:CA&gt;+96-</t>
  </si>
  <si>
    <t>02682e:CA&gt;+9C-</t>
  </si>
  <si>
    <t>02683e:CA&gt;+9A-</t>
  </si>
  <si>
    <t>02712a:CA&gt;+93-</t>
  </si>
  <si>
    <t>02712f:CA&gt;+96-</t>
  </si>
  <si>
    <t>02791f:CA&gt;+9C-</t>
  </si>
  <si>
    <t>02792f:CA&gt;+9A-</t>
  </si>
  <si>
    <t>02862d:CA&gt;+93-</t>
  </si>
  <si>
    <t>02863d:CA&gt;+96-</t>
  </si>
  <si>
    <t>02942c:CA&gt;+9C-</t>
  </si>
  <si>
    <t>02943b:CA&gt;+9A-</t>
  </si>
  <si>
    <t>03012b:CA&gt;+93-</t>
  </si>
  <si>
    <t>03013a:CA&gt;+96-</t>
  </si>
  <si>
    <t>03032c:CA&gt;+9C-</t>
  </si>
  <si>
    <t>03033b:CA&gt;+9A-</t>
  </si>
  <si>
    <t>03072e:CA&gt;+93-</t>
  </si>
  <si>
    <t>03073e:CA&gt;+96-</t>
  </si>
  <si>
    <t>03112a:CA&gt;+9C-</t>
  </si>
  <si>
    <t>03113a:CA&gt;+9A-</t>
  </si>
  <si>
    <t>03140f:3E&gt;+9A-</t>
  </si>
  <si>
    <t>03162e:CA&gt;+93-</t>
  </si>
  <si>
    <t>03163d:CA&gt;+96-</t>
  </si>
  <si>
    <t>03166d:CA&gt;+A9-</t>
  </si>
  <si>
    <t>03203a:CA&gt;+9C-</t>
  </si>
  <si>
    <t>03204a:CA&gt;+9A-</t>
  </si>
  <si>
    <t>03222c:CA&gt;+93-</t>
  </si>
  <si>
    <t>03224f:CA&gt;+96-</t>
  </si>
  <si>
    <t>03242c:CA&gt;+9C-</t>
  </si>
  <si>
    <t>03243c:CA&gt;+9A-</t>
  </si>
  <si>
    <t>03262d:CA&gt;+93-</t>
  </si>
  <si>
    <t>03263d:CA&gt;+96-</t>
  </si>
  <si>
    <t>03282f:CA&gt;+9C-</t>
  </si>
  <si>
    <t>03283f:CA&gt;+9A-</t>
  </si>
  <si>
    <t>03312b:CA&gt;+93-</t>
  </si>
  <si>
    <t>03313a:CA&gt;+96-</t>
  </si>
  <si>
    <t>03372f:CA&gt;+9C-</t>
  </si>
  <si>
    <t>03373e:CA&gt;+9A-</t>
  </si>
  <si>
    <t>03392f:CA&gt;+93-</t>
  </si>
  <si>
    <t>03393f:CA&gt;+96-</t>
  </si>
  <si>
    <t>03433c:CA&gt;+9C-</t>
  </si>
  <si>
    <t>03434c:CA&gt;+9A-</t>
  </si>
  <si>
    <t>03462e:CA&gt;+93-</t>
  </si>
  <si>
    <t>03463f:CA&gt;+96-</t>
  </si>
  <si>
    <t>03482f:CA&gt;+9C-</t>
  </si>
  <si>
    <t>03483e:CA&gt;+9A-</t>
  </si>
  <si>
    <t>03612b:CA&gt;+93-</t>
  </si>
  <si>
    <t>03613a:CA&gt;+96-</t>
  </si>
  <si>
    <t>03646f:26&gt;-</t>
  </si>
  <si>
    <t>03672f:CA&gt;+9C-</t>
  </si>
  <si>
    <t>03673e:CA&gt;+9A-</t>
  </si>
  <si>
    <t>03693a:CA&gt;+93-</t>
  </si>
  <si>
    <t>03693f:CA&gt;+96-</t>
  </si>
  <si>
    <t>03712b:CA&gt;+9C-</t>
  </si>
  <si>
    <t>03713a:CA&gt;+9A-</t>
  </si>
  <si>
    <t>03762e:CA&gt;+93-</t>
  </si>
  <si>
    <t>03763e:CA&gt;+96-</t>
  </si>
  <si>
    <t>03783a:CA&gt;+9C-</t>
  </si>
  <si>
    <t>03783f:CA&gt;+9A-</t>
  </si>
  <si>
    <t>03823c:CA&gt;+93-</t>
  </si>
  <si>
    <t>03824b:CA&gt;+96-</t>
  </si>
  <si>
    <t>03848d:CA&gt;+A9-</t>
  </si>
  <si>
    <t>03882f:CA&gt;+9C-</t>
  </si>
  <si>
    <t>03883f:CA&gt;+9A-</t>
  </si>
  <si>
    <t>03913b:CA&gt;+93-</t>
  </si>
  <si>
    <t>03914b:CA&gt;+96-</t>
  </si>
  <si>
    <t>03933d:CA&gt;+9C-</t>
  </si>
  <si>
    <t>03934c:CA&gt;+9A-</t>
  </si>
  <si>
    <t>03972f:CA&gt;+93-</t>
  </si>
  <si>
    <t>03973e:CA&gt;+96-</t>
  </si>
  <si>
    <t>04012b:CA&gt;+9C-</t>
  </si>
  <si>
    <t>04013b:CA&gt;+9A-</t>
  </si>
  <si>
    <t>04062e:CA&gt;+93-</t>
  </si>
  <si>
    <t>04063e:CA&gt;+96-</t>
  </si>
  <si>
    <t>04082f:CA&gt;+9C-</t>
  </si>
  <si>
    <t>04083f:CA&gt;+9A-</t>
  </si>
  <si>
    <t>04103b:CA&gt;+93-</t>
  </si>
  <si>
    <t>04104b:CA&gt;+96-</t>
  </si>
  <si>
    <t>04152f:3E&gt;+9A-</t>
  </si>
  <si>
    <t>04183a:CA&gt;+9C-</t>
  </si>
  <si>
    <t>04183f:CA&gt;+9A-</t>
  </si>
  <si>
    <t>04213c:CA&gt;+93-</t>
  </si>
  <si>
    <t>04214b:CA&gt;+96-</t>
  </si>
  <si>
    <t>04272f:CA&gt;+9C-</t>
  </si>
  <si>
    <t>04273f:CA&gt;+9A-</t>
  </si>
  <si>
    <t>04293a:CA&gt;+93-</t>
  </si>
  <si>
    <t>04294a:CA&gt;+96-</t>
  </si>
  <si>
    <t>04333d:CA&gt;+9C-</t>
  </si>
  <si>
    <t>04334d:CA&gt;+9A-</t>
  </si>
  <si>
    <t>04362f:CA&gt;+93-</t>
  </si>
  <si>
    <t>04363f:CA&gt;+96-</t>
  </si>
  <si>
    <t>04384a:CA&gt;+9C-</t>
  </si>
  <si>
    <t>04384f:CA&gt;+9A-</t>
  </si>
  <si>
    <t>04403b:CA&gt;+93-</t>
  </si>
  <si>
    <t>04404b:CA&gt;+96-</t>
  </si>
  <si>
    <t>04443d:CA&gt;+9C-</t>
  </si>
  <si>
    <t>04444d:CA&gt;+9A-</t>
  </si>
  <si>
    <t>04463f:CA&gt;+93-</t>
  </si>
  <si>
    <t>04464f:CA&gt;+96-</t>
  </si>
  <si>
    <t>04484a:CA&gt;+9C-</t>
  </si>
  <si>
    <t>04485a:CA&gt;+9A-</t>
  </si>
  <si>
    <t>04513c:CA&gt;+93-</t>
  </si>
  <si>
    <t>04514c:CA&gt;+96-</t>
  </si>
  <si>
    <t>04530d:CA&gt;+A9-</t>
  </si>
  <si>
    <t>04533d:CA&gt;+9C-</t>
  </si>
  <si>
    <t>04534d:CA&gt;+9A-</t>
  </si>
  <si>
    <t>04659a:3E&gt;+9A-</t>
  </si>
  <si>
    <t>05165a:3E&gt;+9A-</t>
  </si>
  <si>
    <t>05212c:CA&gt;+A9-</t>
  </si>
  <si>
    <t>05298c:CA&gt;+93-</t>
  </si>
  <si>
    <t>05299c:CA&gt;+96-</t>
  </si>
  <si>
    <t>05378b:CA&gt;+9C-</t>
  </si>
  <si>
    <t>05379a:CA&gt;+9A-</t>
  </si>
  <si>
    <t>05398c:CA&gt;+93-</t>
  </si>
  <si>
    <t>05399b:CA&gt;+96-</t>
  </si>
  <si>
    <t>05418e:CA&gt;+9C-</t>
  </si>
  <si>
    <t>05419d:CA&gt;+9A-</t>
  </si>
  <si>
    <t>05535e:CA&gt;+93-</t>
  </si>
  <si>
    <t>05536e:CA&gt;+96-</t>
  </si>
  <si>
    <t>05576b:CA&gt;+9C-</t>
  </si>
  <si>
    <t>05577b:CA&gt;+9A-</t>
  </si>
  <si>
    <t>05596c:CA&gt;+93-</t>
  </si>
  <si>
    <t>05597c:CA&gt;+96-</t>
  </si>
  <si>
    <t>05656a:CA&gt;+9C-</t>
  </si>
  <si>
    <t>05656f:CA&gt;+9A-</t>
  </si>
  <si>
    <t>05671a:3E&gt;+9A-</t>
  </si>
  <si>
    <t>05726e:CA&gt;+93-</t>
  </si>
  <si>
    <t>05727d:CA&gt;+96-</t>
  </si>
  <si>
    <t>05766b:CA&gt;+9C-</t>
  </si>
  <si>
    <t>05767a:CA&gt;+9A-</t>
  </si>
  <si>
    <t>05786c:CA&gt;+93-</t>
  </si>
  <si>
    <t>05787b:CA&gt;+96-</t>
  </si>
  <si>
    <t>05847a:CA&gt;+9C-</t>
  </si>
  <si>
    <t>05847f:CA&gt;+9A-</t>
  </si>
  <si>
    <t>05894b:CA&gt;+A9-</t>
  </si>
  <si>
    <t>06148a:CA&gt;+93-</t>
  </si>
  <si>
    <t>06148f:CA&gt;+96-</t>
  </si>
  <si>
    <t>06177a:3E&gt;+9A-</t>
  </si>
  <si>
    <t>06208d:CA&gt;+9C-</t>
  </si>
  <si>
    <t>06209d:CA&gt;+9A-</t>
  </si>
  <si>
    <t>06228f:CA&gt;+93-</t>
  </si>
  <si>
    <t>06229f:CA&gt;+96-</t>
  </si>
  <si>
    <t>06248a:CA&gt;+9C-</t>
  </si>
  <si>
    <t>06248f:CA&gt;+9A-</t>
  </si>
  <si>
    <t>06355a:CA&gt;+93-</t>
  </si>
  <si>
    <t>06356c:CA&gt;+96-</t>
  </si>
  <si>
    <t>06375b:CA&gt;+9C-</t>
  </si>
  <si>
    <t>06376b:CA&gt;+9A-</t>
  </si>
  <si>
    <t>06415e:CA&gt;+93-</t>
  </si>
  <si>
    <t>06416d:CA&gt;+96-</t>
  </si>
  <si>
    <t>06476c:CA&gt;+9C-</t>
  </si>
  <si>
    <t>06477b:CA&gt;+9A-</t>
  </si>
  <si>
    <t>06570c:CA&gt;+93-</t>
  </si>
  <si>
    <t>06571b:CA&gt;+96-</t>
  </si>
  <si>
    <t>06576b:CA&gt;+A9-</t>
  </si>
  <si>
    <t>06610e:CA&gt;+9C-</t>
  </si>
  <si>
    <t>06611e:CA&gt;+9A-</t>
  </si>
  <si>
    <t>06629f:CA&gt;+93-</t>
  </si>
  <si>
    <t>06630e:CA&gt;+96-</t>
  </si>
  <si>
    <t>06670c:CA&gt;+9C-</t>
  </si>
  <si>
    <t>06671b:CA&gt;+9A-</t>
  </si>
  <si>
    <t>06683a:3E&gt;+9A-</t>
  </si>
  <si>
    <t>06720f:CA&gt;+93-</t>
  </si>
  <si>
    <t>06721e:CA&gt;+96-</t>
  </si>
  <si>
    <t>06761c:CA&gt;+9C-</t>
  </si>
  <si>
    <t>06762b:CA&gt;+9A-</t>
  </si>
  <si>
    <t>06780c:CA&gt;+93-</t>
  </si>
  <si>
    <t>06781c:CA&gt;+96-</t>
  </si>
  <si>
    <t>06820f:CA&gt;+9C-</t>
  </si>
  <si>
    <t>06821f:CA&gt;+9A-</t>
  </si>
  <si>
    <t>06935a:CA&gt;+93-</t>
  </si>
  <si>
    <t>06936a:CA&gt;+96-</t>
  </si>
  <si>
    <t>07014f:CA&gt;+9C-</t>
  </si>
  <si>
    <t>07015e:CA&gt;+9A-</t>
  </si>
  <si>
    <t>07189a:3E&gt;+9A-</t>
  </si>
  <si>
    <t>07258b:CA&gt;+A9-</t>
  </si>
  <si>
    <t>07265c:CA&gt;+93-</t>
  </si>
  <si>
    <t>07266c:CA&gt;+96-</t>
  </si>
  <si>
    <t>07325a:CA&gt;+9C-</t>
  </si>
  <si>
    <t>07325f:CA&gt;+9A-</t>
  </si>
  <si>
    <t>07345b:CA&gt;+93-</t>
  </si>
  <si>
    <t>07346a:CA&gt;+96-</t>
  </si>
  <si>
    <t>07385d:CA&gt;+9C-</t>
  </si>
  <si>
    <t>07386c:CA&gt;+9A-</t>
  </si>
  <si>
    <t>07553b:CA&gt;+93-</t>
  </si>
  <si>
    <t>07554b:CA&gt;+96-</t>
  </si>
  <si>
    <t>07612f:CA&gt;+9C-</t>
  </si>
  <si>
    <t>07613e:CA&gt;+9A-</t>
  </si>
  <si>
    <t>07633a:CA&gt;+93-</t>
  </si>
  <si>
    <t>07634a:CA&gt;+96-</t>
  </si>
  <si>
    <t>07652c:CA&gt;+9C-</t>
  </si>
  <si>
    <t>07653b:CA&gt;+9A-</t>
  </si>
  <si>
    <t>07695a:3E&gt;+9A-</t>
  </si>
  <si>
    <t>07769d:CA&gt;+93-</t>
  </si>
  <si>
    <t>07770c:CA&gt;+96-</t>
  </si>
  <si>
    <t>07789e:CA&gt;+9C-</t>
  </si>
  <si>
    <t>07790d:CA&gt;+9A-</t>
  </si>
  <si>
    <t>07809f:CA&gt;+93-</t>
  </si>
  <si>
    <t>07810f:CA&gt;+96-</t>
  </si>
  <si>
    <t>07889e:CA&gt;+9C-</t>
  </si>
  <si>
    <t>07890d:CA&gt;+9A-</t>
  </si>
  <si>
    <t>07920a:CA&gt;+93-</t>
  </si>
  <si>
    <t>07921a:CA&gt;+96-</t>
  </si>
  <si>
    <t>07940a:CA&gt;+A9-</t>
  </si>
  <si>
    <t>07980d:CA&gt;+9C-</t>
  </si>
  <si>
    <t>07982f:CA&gt;+9A-</t>
  </si>
  <si>
    <t>08020a:CA&gt;+93-</t>
  </si>
  <si>
    <t>08021a:CA&gt;+96-</t>
  </si>
  <si>
    <t>08040b:CA&gt;+9C-</t>
  </si>
  <si>
    <t>08041b:CA&gt;+9A-</t>
  </si>
  <si>
    <t>08069d:CA&gt;+93-</t>
  </si>
  <si>
    <t>08070d:CA&gt;+96-</t>
  </si>
  <si>
    <t>08130b:CA&gt;+9C-</t>
  </si>
  <si>
    <t>08131a:CA&gt;+9A-</t>
  </si>
  <si>
    <t>08170e:CA&gt;+93-</t>
  </si>
  <si>
    <t>08171d:CA&gt;+96-</t>
  </si>
  <si>
    <t>08190f:CA&gt;+9C-</t>
  </si>
  <si>
    <t>08191e:CA&gt;+9A-</t>
  </si>
  <si>
    <t>08201a:3E&gt;+9A-</t>
  </si>
  <si>
    <t>08259d:CA&gt;+93-</t>
  </si>
  <si>
    <t>08260c:CA&gt;+96-</t>
  </si>
  <si>
    <t>08300a:CA&gt;+9C-</t>
  </si>
  <si>
    <t>08300f:CA&gt;+9A-</t>
  </si>
  <si>
    <t>08339c:CA&gt;+93-</t>
  </si>
  <si>
    <t>08340b:CA&gt;+96-</t>
  </si>
  <si>
    <t>08379e:CA&gt;+9C-</t>
  </si>
  <si>
    <t>08380e:CA&gt;+9A-</t>
  </si>
  <si>
    <t>08493f:CA&gt;+93-</t>
  </si>
  <si>
    <t>08494f:CA&gt;+96-</t>
  </si>
  <si>
    <t>08554d:CA&gt;+9C-</t>
  </si>
  <si>
    <t>08555c:CA&gt;+9A-</t>
  </si>
  <si>
    <t>08594f:CA&gt;+93-</t>
  </si>
  <si>
    <t>08595e:CA&gt;+96-</t>
  </si>
  <si>
    <t>08615b:CA&gt;+9C-</t>
  </si>
  <si>
    <t>08616a:CA&gt;+9A-</t>
  </si>
  <si>
    <t>08622a:CA&gt;+A9-</t>
  </si>
  <si>
    <t>08707b:3E&gt;+9A-</t>
  </si>
  <si>
    <t>08719a:CA&gt;+93-</t>
  </si>
  <si>
    <t>08720a:CA&gt;+96-</t>
  </si>
  <si>
    <t>08759e:CA&gt;+9C-</t>
  </si>
  <si>
    <t>08760d:CA&gt;+9A-</t>
  </si>
  <si>
    <t>08778e:CA&gt;+93-</t>
  </si>
  <si>
    <t>08779e:CA&gt;+96-</t>
  </si>
  <si>
    <t>08799a:CA&gt;+9C-</t>
  </si>
  <si>
    <t>08800a:CA&gt;+9A-</t>
  </si>
  <si>
    <t>09010a:CA&gt;+93-</t>
  </si>
  <si>
    <t>09011a:CA&gt;+96-</t>
  </si>
  <si>
    <t>09030b:CA&gt;+9C-</t>
  </si>
  <si>
    <t>09031b:CA&gt;+9A-</t>
  </si>
  <si>
    <t>09069e:CA&gt;+93-</t>
  </si>
  <si>
    <t>09070e:CA&gt;+96-</t>
  </si>
  <si>
    <t>09089f:CA&gt;+9C-</t>
  </si>
  <si>
    <t>09090f:CA&gt;+9A-</t>
  </si>
  <si>
    <t>09159e:CA&gt;+93-</t>
  </si>
  <si>
    <t>09160d:CA&gt;+96-</t>
  </si>
  <si>
    <t>09213b:3E&gt;+9A-</t>
  </si>
  <si>
    <t>09220b:CA&gt;+9C-</t>
  </si>
  <si>
    <t>09221b:CA&gt;+9A-</t>
  </si>
  <si>
    <t>09259e:CA&gt;+93-</t>
  </si>
  <si>
    <t>09260e:CA&gt;+96-</t>
  </si>
  <si>
    <t>09279f:CA&gt;+9C-</t>
  </si>
  <si>
    <t>09280f:CA&gt;+9A-</t>
  </si>
  <si>
    <t>09304a:CA&gt;+A9-</t>
  </si>
  <si>
    <t>09310b:CA&gt;+93-</t>
  </si>
  <si>
    <t>09311a:CA&gt;+96-</t>
  </si>
  <si>
    <t>09370f:CA&gt;+9C-</t>
  </si>
  <si>
    <t>09371e:CA&gt;+9A-</t>
  </si>
  <si>
    <t>09390a:CA&gt;+93-</t>
  </si>
  <si>
    <t>09391a:CA&gt;+96-</t>
  </si>
  <si>
    <t>09430c:CA&gt;+9C-</t>
  </si>
  <si>
    <t>09431c:CA&gt;+9A-</t>
  </si>
  <si>
    <t>09552e:CA&gt;+93-</t>
  </si>
  <si>
    <t>09553d:CA&gt;+96-</t>
  </si>
  <si>
    <t>09573f:CA&gt;+9C-</t>
  </si>
  <si>
    <t>09574f:CA&gt;+9A-</t>
  </si>
  <si>
    <t>09703a:CA&gt;+93-</t>
  </si>
  <si>
    <t>09704a:CA&gt;+96-</t>
  </si>
  <si>
    <t>09719b:3E&gt;+9A-</t>
  </si>
  <si>
    <t>09723c:CA&gt;+9C-</t>
  </si>
  <si>
    <t>09724c:CA&gt;+9A-</t>
  </si>
  <si>
    <t>09743d:CA&gt;+93-</t>
  </si>
  <si>
    <t>09744d:CA&gt;+96-</t>
  </si>
  <si>
    <t>09763e:CA&gt;+9C-</t>
  </si>
  <si>
    <t>09764e:CA&gt;+9A-</t>
  </si>
  <si>
    <t>09804b:CA&gt;+93-</t>
  </si>
  <si>
    <t>09805b:CA&gt;+96-</t>
  </si>
  <si>
    <t>09824c:CA&gt;+9C-</t>
  </si>
  <si>
    <t>09825c:CA&gt;+9A-</t>
  </si>
  <si>
    <t>09853e:CA&gt;+93-</t>
  </si>
  <si>
    <t>09854d:CA&gt;+96-</t>
  </si>
  <si>
    <t>09894b:CA&gt;+9C-</t>
  </si>
  <si>
    <t>09895a:CA&gt;+9A-</t>
  </si>
  <si>
    <t>09914c:CA&gt;+93-</t>
  </si>
  <si>
    <t>09915b:CA&gt;+96-</t>
  </si>
  <si>
    <t>09934d:CA&gt;+9C-</t>
  </si>
  <si>
    <t>09935c:CA&gt;+9A-</t>
  </si>
  <si>
    <t>09953e:CA&gt;+93-</t>
  </si>
  <si>
    <t>09954e:CA&gt;+96-</t>
  </si>
  <si>
    <t>09973f:CA&gt;+9C-</t>
  </si>
  <si>
    <t>09974f:CA&gt;+9A-</t>
  </si>
  <si>
    <t>09986a:CA&gt;+A9-</t>
  </si>
  <si>
    <t>10004c:CA&gt;+93-</t>
  </si>
  <si>
    <t>10005b:CA&gt;+96-</t>
  </si>
  <si>
    <t>10024d:CA&gt;+9C-</t>
  </si>
  <si>
    <t>10025c:CA&gt;+9A-</t>
  </si>
  <si>
    <t>10044e:CA&gt;+93-</t>
  </si>
  <si>
    <t>10045d:CA&gt;+96-</t>
  </si>
  <si>
    <t>10124c:CA&gt;+9C-</t>
  </si>
  <si>
    <t>10125c:CA&gt;+9A-</t>
  </si>
  <si>
    <t>10177a:CA&gt;+93-</t>
  </si>
  <si>
    <t>10177f:CA&gt;+96-</t>
  </si>
  <si>
    <t>10197b:CA&gt;+9C-</t>
  </si>
  <si>
    <t>10198c:CA&gt;+9A-</t>
  </si>
  <si>
    <t>10217c:CA&gt;+93-</t>
  </si>
  <si>
    <t>10218c:CA&gt;+96-</t>
  </si>
  <si>
    <t>10225b:3E&gt;+9A-</t>
  </si>
  <si>
    <t>10256f:CA&gt;+9C-</t>
  </si>
  <si>
    <t>10257e:CA&gt;+9A-</t>
  </si>
  <si>
    <t>10278a:CA&gt;+93-</t>
  </si>
  <si>
    <t>10279a:CA&gt;+96-</t>
  </si>
  <si>
    <t>10297b:CA&gt;+9C-</t>
  </si>
  <si>
    <t>10298b:CA&gt;+9A-</t>
  </si>
  <si>
    <t>10327d:CA&gt;+93-</t>
  </si>
  <si>
    <t>10328d:CA&gt;+96-</t>
  </si>
  <si>
    <t>10387b:CA&gt;+9C-</t>
  </si>
  <si>
    <t>10388b:CA&gt;+9A-</t>
  </si>
  <si>
    <t>10407c:CA&gt;+93-</t>
  </si>
  <si>
    <t>10408b:CA&gt;+96-</t>
  </si>
  <si>
    <t>10447e:CA&gt;+9C-</t>
  </si>
  <si>
    <t>10448d:CA&gt;+9A-</t>
  </si>
  <si>
    <t>10667f:CA&gt;+A9-</t>
  </si>
  <si>
    <t>10731b:3E&gt;+9A-</t>
  </si>
  <si>
    <t>00179f:CA&gt;+93-</t>
  </si>
  <si>
    <t>00180e:CA&gt;+96-</t>
  </si>
  <si>
    <t>00239c:CA&gt;+9C-</t>
  </si>
  <si>
    <t>00240c:CA&gt;+9A-</t>
  </si>
  <si>
    <t>00259d:CA&gt;+93-</t>
  </si>
  <si>
    <t>00260d:CA&gt;+96-</t>
  </si>
  <si>
    <t>00279e:CA&gt;+9C-</t>
  </si>
  <si>
    <t>00280e:CA&gt;+9A-</t>
  </si>
  <si>
    <t>00314d:3E&gt;+9A-</t>
  </si>
  <si>
    <t>00410b:CA&gt;+93-</t>
  </si>
  <si>
    <t>00411a:CA&gt;+96-</t>
  </si>
  <si>
    <t>00427a:CA&gt;+A9-</t>
  </si>
  <si>
    <t>00449c:CA&gt;+9C-</t>
  </si>
  <si>
    <t>00450c:CA&gt;+9A-</t>
  </si>
  <si>
    <t>00489f:CA&gt;+93-</t>
  </si>
  <si>
    <t>00490f:CA&gt;+96-</t>
  </si>
  <si>
    <t>00530c:CA&gt;+9C-</t>
  </si>
  <si>
    <t>00531c:CA&gt;+9A-</t>
  </si>
  <si>
    <t>00559d:CA&gt;+93-</t>
  </si>
  <si>
    <t>00560d:CA&gt;+96-</t>
  </si>
  <si>
    <t>00579e:CA&gt;+9C-</t>
  </si>
  <si>
    <t>00580e:CA&gt;+9A-</t>
  </si>
  <si>
    <t>00600a:CA&gt;+93-</t>
  </si>
  <si>
    <t>00600f:CA&gt;+96-</t>
  </si>
  <si>
    <t>00680f:CA&gt;+9C-</t>
  </si>
  <si>
    <t>00681e:CA&gt;+9A-</t>
  </si>
  <si>
    <t>00764e:CA&gt;+93-</t>
  </si>
  <si>
    <t>00767b:CA&gt;+96-</t>
  </si>
  <si>
    <t>00805b:CA&gt;+9C-</t>
  </si>
  <si>
    <t>00806a:CA&gt;+9A-</t>
  </si>
  <si>
    <t>00825c:CA&gt;+93-</t>
  </si>
  <si>
    <t>00826b:CA&gt;+96-</t>
  </si>
  <si>
    <t>00845d:CA&gt;+9C-</t>
  </si>
  <si>
    <t>00846c:CA&gt;+9A-</t>
  </si>
  <si>
    <t>00865e:CA&gt;+93-</t>
  </si>
  <si>
    <t>00866d:CA&gt;+96-</t>
  </si>
  <si>
    <t>00884f:CA&gt;+9C-</t>
  </si>
  <si>
    <t>00885f:CA&gt;+9A-</t>
  </si>
  <si>
    <t>00915b:CA&gt;+93-</t>
  </si>
  <si>
    <t>00916b:CA&gt;+96-</t>
  </si>
  <si>
    <t>00974f:CA&gt;+9C-</t>
  </si>
  <si>
    <t>00975e:CA&gt;+9A-</t>
  </si>
  <si>
    <t>00995b:CA&gt;+93-</t>
  </si>
  <si>
    <t>00996a:CA&gt;+96-</t>
  </si>
  <si>
    <t>01035d:CA&gt;+9C-</t>
  </si>
  <si>
    <t>01036c:CA&gt;+9A-</t>
  </si>
  <si>
    <t>01109a:CA&gt;+A9-</t>
  </si>
  <si>
    <t>01133c:CA&gt;+93-</t>
  </si>
  <si>
    <t>01134c:CA&gt;+96-</t>
  </si>
  <si>
    <t>01194a:CA&gt;+9C-</t>
  </si>
  <si>
    <t>01195a:CA&gt;+9A-</t>
  </si>
  <si>
    <t>01326d:3E&gt;+9A-</t>
  </si>
  <si>
    <t>01381f:CA&gt;+93-</t>
  </si>
  <si>
    <t>01382f:CA&gt;+96-</t>
  </si>
  <si>
    <t>01422c:CA&gt;+9C-</t>
  </si>
  <si>
    <t>01423c:CA&gt;+9A-</t>
  </si>
  <si>
    <t>01462f:CA&gt;+93-</t>
  </si>
  <si>
    <t>01463e:CA&gt;+96-</t>
  </si>
  <si>
    <t>01502b:CA&gt;+9C-</t>
  </si>
  <si>
    <t>01503b:CA&gt;+9A-</t>
  </si>
  <si>
    <t>01542d:CA&gt;+93-</t>
  </si>
  <si>
    <t>01543d:CA&gt;+96-</t>
  </si>
  <si>
    <t>01642d:CA&gt;+9C-</t>
  </si>
  <si>
    <t>01643d:CA&gt;+9A-</t>
  </si>
  <si>
    <t>01745e:CA&gt;+93-</t>
  </si>
  <si>
    <t>01746d:CA&gt;+96-</t>
  </si>
  <si>
    <t>01791a:CA&gt;+A9-</t>
  </si>
  <si>
    <t>01805c:CA&gt;+9C-</t>
  </si>
  <si>
    <t>01806b:CA&gt;+9A-</t>
  </si>
  <si>
    <t>01825d:CA&gt;+93-</t>
  </si>
  <si>
    <t>01826c:CA&gt;+96-</t>
  </si>
  <si>
    <t>01832d:3E&gt;+9A-</t>
  </si>
  <si>
    <t>01865f:CA&gt;+9C-</t>
  </si>
  <si>
    <t>01866e:CA&gt;+9A-</t>
  </si>
  <si>
    <t>01954e:CA&gt;+93-</t>
  </si>
  <si>
    <t>01955e:CA&gt;+96-</t>
  </si>
  <si>
    <t>01975a:CA&gt;+9C-</t>
  </si>
  <si>
    <t>01976a:CA&gt;+9A-</t>
  </si>
  <si>
    <t>01994b:CA&gt;+93-</t>
  </si>
  <si>
    <t>01995a:CA&gt;+96-</t>
  </si>
  <si>
    <t>02074a:CA&gt;+9C-</t>
  </si>
  <si>
    <t>02075a:CA&gt;+9A-</t>
  </si>
  <si>
    <t>02150f:CA&gt;+93-</t>
  </si>
  <si>
    <t>02151e:CA&gt;+96-</t>
  </si>
  <si>
    <t>02191b:CA&gt;+9C-</t>
  </si>
  <si>
    <t>02192a:CA&gt;+9A-</t>
  </si>
  <si>
    <t>02230d:CA&gt;+93-</t>
  </si>
  <si>
    <t>02231d:CA&gt;+96-</t>
  </si>
  <si>
    <t>02271a:CA&gt;+9C-</t>
  </si>
  <si>
    <t>02272a:CA&gt;+9A-</t>
  </si>
  <si>
    <t>02338d:3E&gt;+9A-</t>
  </si>
  <si>
    <t>02388b:CA&gt;+93-</t>
  </si>
  <si>
    <t>02389a:CA&gt;+96-</t>
  </si>
  <si>
    <t>02448f:CA&gt;+9C-</t>
  </si>
  <si>
    <t>02449e:CA&gt;+9A-</t>
  </si>
  <si>
    <t>02473a:CA&gt;+A9-</t>
  </si>
  <si>
    <t>02488c:CA&gt;+93-</t>
  </si>
  <si>
    <t>02489b:CA&gt;+96-</t>
  </si>
  <si>
    <t>02508d:CA&gt;+9C-</t>
  </si>
  <si>
    <t>02509c:CA&gt;+9A-</t>
  </si>
  <si>
    <t>02543f:CA&gt;+93-</t>
  </si>
  <si>
    <t>02544e:CA&gt;+96-</t>
  </si>
  <si>
    <t>02563f:CA&gt;+9C-</t>
  </si>
  <si>
    <t>02564f:CA&gt;+9A-</t>
  </si>
  <si>
    <t>02584b:CA&gt;+93-</t>
  </si>
  <si>
    <t>02585b:CA&gt;+96-</t>
  </si>
  <si>
    <t>02664a:CA&gt;+9C-</t>
  </si>
  <si>
    <t>02665a:CA&gt;+9A-</t>
  </si>
  <si>
    <t>02694c:CA&gt;+93-</t>
  </si>
  <si>
    <t>02695b:CA&gt;+96-</t>
  </si>
  <si>
    <t>02755a:CA&gt;+9C-</t>
  </si>
  <si>
    <t>02755f:CA&gt;+9A-</t>
  </si>
  <si>
    <t>02844e:3E&gt;+9A-</t>
  </si>
  <si>
    <t>02859a:CA&gt;+93-</t>
  </si>
  <si>
    <t>02860a:CA&gt;+96-</t>
  </si>
  <si>
    <t>02919d:CA&gt;+9C-</t>
  </si>
  <si>
    <t>02920d:CA&gt;+9A-</t>
  </si>
  <si>
    <t>02939e:CA&gt;+93-</t>
  </si>
  <si>
    <t>02940e:CA&gt;+96-</t>
  </si>
  <si>
    <t>02980b:CA&gt;+9C-</t>
  </si>
  <si>
    <t>02981b:CA&gt;+9A-</t>
  </si>
  <si>
    <t>03154f:CA&gt;+A9-</t>
  </si>
  <si>
    <t>03256a:CA&gt;+93-</t>
  </si>
  <si>
    <t>03257a:CA&gt;+96-</t>
  </si>
  <si>
    <t>03276b:CA&gt;+9C-</t>
  </si>
  <si>
    <t>03277b:CA&gt;+9A-</t>
  </si>
  <si>
    <t>03350e:3E&gt;+9A-</t>
  </si>
  <si>
    <t>03356a:CA&gt;+93-</t>
  </si>
  <si>
    <t>03357a:CA&gt;+96-</t>
  </si>
  <si>
    <t>03376b:CA&gt;+9C-</t>
  </si>
  <si>
    <t>03377b:CA&gt;+9A-</t>
  </si>
  <si>
    <t>03456a:CA&gt;+93-</t>
  </si>
  <si>
    <t>03456f:CA&gt;+96-</t>
  </si>
  <si>
    <t>03496d:CA&gt;+9C-</t>
  </si>
  <si>
    <t>03497c:CA&gt;+9A-</t>
  </si>
  <si>
    <t>03516e:CA&gt;+93-</t>
  </si>
  <si>
    <t>03517d:CA&gt;+96-</t>
  </si>
  <si>
    <t>03556a:CA&gt;+9C-</t>
  </si>
  <si>
    <t>03557a:CA&gt;+9A-</t>
  </si>
  <si>
    <t>03605e:CA&gt;+93-</t>
  </si>
  <si>
    <t>03606d:CA&gt;+96-</t>
  </si>
  <si>
    <t>03626f:CA&gt;+9C-</t>
  </si>
  <si>
    <t>03627f:CA&gt;+9A-</t>
  </si>
  <si>
    <t>03647a:CA&gt;+93-</t>
  </si>
  <si>
    <t>03648a:CA&gt;+96-</t>
  </si>
  <si>
    <t>03726f:CA&gt;+9C-</t>
  </si>
  <si>
    <t>03727e:CA&gt;+9A-</t>
  </si>
  <si>
    <t>03756b:CA&gt;+93-</t>
  </si>
  <si>
    <t>03757a:CA&gt;+96-</t>
  </si>
  <si>
    <t>03796d:CA&gt;+9C-</t>
  </si>
  <si>
    <t>03797c:CA&gt;+9A-</t>
  </si>
  <si>
    <t>03836f:CA&gt;+A9-</t>
  </si>
  <si>
    <t>03837f:CA&gt;+93-</t>
  </si>
  <si>
    <t>03838e:CA&gt;+96-</t>
  </si>
  <si>
    <t>03856e:3E&gt;+9A-</t>
  </si>
  <si>
    <t>03876c:CA&gt;+9C-</t>
  </si>
  <si>
    <t>03877b:CA&gt;+9A-</t>
  </si>
  <si>
    <t>03912e:CA&gt;+93-</t>
  </si>
  <si>
    <t>03913e:CA&gt;+96-</t>
  </si>
  <si>
    <t>03973c:CA&gt;+9C-</t>
  </si>
  <si>
    <t>03974c:CA&gt;+9A-</t>
  </si>
  <si>
    <t>04012e:CA&gt;+93-</t>
  </si>
  <si>
    <t>04013e:CA&gt;+96-</t>
  </si>
  <si>
    <t>04032f:CA&gt;+9C-</t>
  </si>
  <si>
    <t>04033f:CA&gt;+9A-</t>
  </si>
  <si>
    <t>04063b:CA&gt;+93-</t>
  </si>
  <si>
    <t>04064a:CA&gt;+96-</t>
  </si>
  <si>
    <t>04082c:CA&gt;+9C-</t>
  </si>
  <si>
    <t>04083c:CA&gt;+9A-</t>
  </si>
  <si>
    <t>04102e:CA&gt;+93-</t>
  </si>
  <si>
    <t>04103d:CA&gt;+96-</t>
  </si>
  <si>
    <t>04182d:CA&gt;+9C-</t>
  </si>
  <si>
    <t>04183d:CA&gt;+9A-</t>
  </si>
  <si>
    <t>04212f:CA&gt;+93-</t>
  </si>
  <si>
    <t>04213e:CA&gt;+96-</t>
  </si>
  <si>
    <t>04272c:CA&gt;+9C-</t>
  </si>
  <si>
    <t>04273c:CA&gt;+9A-</t>
  </si>
  <si>
    <t>04312f:CA&gt;+93-</t>
  </si>
  <si>
    <t>04313e:CA&gt;+96-</t>
  </si>
  <si>
    <t>04333a:CA&gt;+9C-</t>
  </si>
  <si>
    <t>04333f:CA&gt;+9A-</t>
  </si>
  <si>
    <t>04362c:CA&gt;+93+</t>
  </si>
  <si>
    <t>04363a:3E&gt;+9A-</t>
  </si>
  <si>
    <t>04363e:CA&gt;+96-</t>
  </si>
  <si>
    <t>04422f:CA&gt;+9C-</t>
  </si>
  <si>
    <t>04423f:CA&gt;+9A-</t>
  </si>
  <si>
    <t>04443b:CA&gt;+93-</t>
  </si>
  <si>
    <t>04444a:CA&gt;+96-</t>
  </si>
  <si>
    <t>04483d:CA&gt;+9C-</t>
  </si>
  <si>
    <t>04484d:CA&gt;+9A-</t>
  </si>
  <si>
    <t>04518e:CA&gt;+A9-</t>
  </si>
  <si>
    <t>04652b:CA&gt;+93-</t>
  </si>
  <si>
    <t>04653b:CA&gt;+96-</t>
  </si>
  <si>
    <t>04752c:CA&gt;+9C-</t>
  </si>
  <si>
    <t>04753b:CA&gt;+9A-</t>
  </si>
  <si>
    <t>04802f:CA&gt;+93-</t>
  </si>
  <si>
    <t>04803e:CA&gt;+96-</t>
  </si>
  <si>
    <t>04823a:CA&gt;+9C-</t>
  </si>
  <si>
    <t>04823f:CA&gt;+9A-</t>
  </si>
  <si>
    <t>04843b:CA&gt;+93-</t>
  </si>
  <si>
    <t>04844a:CA&gt;+96-</t>
  </si>
  <si>
    <t>04868e:3E&gt;+9A-</t>
  </si>
  <si>
    <t>04923a:CA&gt;+9C-</t>
  </si>
  <si>
    <t>04924a:CA&gt;+9A-</t>
  </si>
  <si>
    <t>04986d:CA&gt;+93-</t>
  </si>
  <si>
    <t>04987d:CA&gt;+96-</t>
  </si>
  <si>
    <t>05007f:CA&gt;+9C-</t>
  </si>
  <si>
    <t>05008f:CA&gt;+9A-</t>
  </si>
  <si>
    <t>05027b:CA&gt;+93-</t>
  </si>
  <si>
    <t>05028a:CA&gt;+96-</t>
  </si>
  <si>
    <t>05047c:CA&gt;+9C-</t>
  </si>
  <si>
    <t>05048b:CA&gt;+9A-</t>
  </si>
  <si>
    <t>05067d:CA&gt;+93-</t>
  </si>
  <si>
    <t>05068c:CA&gt;+96-</t>
  </si>
  <si>
    <t>05108a:CA&gt;+9C-</t>
  </si>
  <si>
    <t>05108f:CA&gt;+9A-</t>
  </si>
  <si>
    <t>05137b:CA&gt;+93-</t>
  </si>
  <si>
    <t>05138a:CA&gt;+96-</t>
  </si>
  <si>
    <t>05200e:CA&gt;+A9-</t>
  </si>
  <si>
    <t>05237b:CA&gt;+9C-</t>
  </si>
  <si>
    <t>05238b:CA&gt;+9A-</t>
  </si>
  <si>
    <t>05374e:3E&gt;+9A-</t>
  </si>
  <si>
    <t>05752c:CA&gt;+93-</t>
  </si>
  <si>
    <t>05753c:CA&gt;+96-</t>
  </si>
  <si>
    <t>05773e:CA&gt;+9C-</t>
  </si>
  <si>
    <t>05774d:CA&gt;+9A-</t>
  </si>
  <si>
    <t>05813b:CA&gt;+93-</t>
  </si>
  <si>
    <t>05814a:CA&gt;+96-</t>
  </si>
  <si>
    <t>05832b:CA&gt;+9C-</t>
  </si>
  <si>
    <t>05833b:CA&gt;+9A-</t>
  </si>
  <si>
    <t>05880e:3E&gt;+9A-</t>
  </si>
  <si>
    <t>05882e:CA&gt;+A9-</t>
  </si>
  <si>
    <t>05903a:CA&gt;+93-</t>
  </si>
  <si>
    <t>05903f:CA&gt;+96-</t>
  </si>
  <si>
    <t>05962e:CA&gt;+9C-</t>
  </si>
  <si>
    <t>05963d:CA&gt;+9A-</t>
  </si>
  <si>
    <t>06052d:CA&gt;+93-</t>
  </si>
  <si>
    <t>06053c:CA&gt;+96-</t>
  </si>
  <si>
    <t>06113b:CA&gt;+9C-</t>
  </si>
  <si>
    <t>06114a:CA&gt;+9A-</t>
  </si>
  <si>
    <t>06203a:CA&gt;+93-</t>
  </si>
  <si>
    <t>06203f:CA&gt;+96-</t>
  </si>
  <si>
    <t>06262d:CA&gt;+9C-</t>
  </si>
  <si>
    <t>06263d:CA&gt;+9A-</t>
  </si>
  <si>
    <t>06386e:3E&gt;+9A-</t>
  </si>
  <si>
    <t>06564d:CA&gt;+A9-</t>
  </si>
  <si>
    <t>06586a:CA&gt;+93-</t>
  </si>
  <si>
    <t>06586f:CA&gt;+96-</t>
  </si>
  <si>
    <t>06665f:CA&gt;+9C-</t>
  </si>
  <si>
    <t>06666e:CA&gt;+9A-</t>
  </si>
  <si>
    <t>06686a:CA&gt;+93-</t>
  </si>
  <si>
    <t>06686f:CA&gt;+96-</t>
  </si>
  <si>
    <t>06706a:CA&gt;+9C-</t>
  </si>
  <si>
    <t>06707a:CA&gt;+9A-</t>
  </si>
  <si>
    <t>06828c:CA&gt;+93-</t>
  </si>
  <si>
    <t>06829c:CA&gt;+96-</t>
  </si>
  <si>
    <t>06868e:CA&gt;+9C-</t>
  </si>
  <si>
    <t>06869e:CA&gt;+9A-</t>
  </si>
  <si>
    <t>06889a:CA&gt;+93-</t>
  </si>
  <si>
    <t>06890a:CA&gt;+96-</t>
  </si>
  <si>
    <t>06892f:3E&gt;+9A-</t>
  </si>
  <si>
    <t>06949d:CA&gt;+9C-</t>
  </si>
  <si>
    <t>06950d:CA&gt;+9A-</t>
  </si>
  <si>
    <t>07246d:CA&gt;+A9-</t>
  </si>
  <si>
    <t>07398f:3E&gt;+9A-</t>
  </si>
  <si>
    <t>07904f:3E&gt;+9A-</t>
  </si>
  <si>
    <t>07928d:CA&gt;+A9-</t>
  </si>
  <si>
    <t>08027e:CA&gt;+93-</t>
  </si>
  <si>
    <t>08028d:CA&gt;+96-</t>
  </si>
  <si>
    <t>08047f:CA&gt;+9C-</t>
  </si>
  <si>
    <t>08048e:CA&gt;+9A-</t>
  </si>
  <si>
    <t>08067a:CA&gt;+93-</t>
  </si>
  <si>
    <t>08068a:CA&gt;+96-</t>
  </si>
  <si>
    <t>08127d:CA&gt;+9C-</t>
  </si>
  <si>
    <t>08128d:CA&gt;+9A-</t>
  </si>
  <si>
    <t>08187c:CA&gt;+93-</t>
  </si>
  <si>
    <t>08188b:CA&gt;+96-</t>
  </si>
  <si>
    <t>08207d:CA&gt;+9C-</t>
  </si>
  <si>
    <t>08208c:CA&gt;+9A-</t>
  </si>
  <si>
    <t>08227e:CA&gt;+93-</t>
  </si>
  <si>
    <t>08228d:CA&gt;+96-</t>
  </si>
  <si>
    <t>08287b:CA&gt;+9C-</t>
  </si>
  <si>
    <t>08288b:CA&gt;+9A-</t>
  </si>
  <si>
    <t>08345f:CA&gt;+93-</t>
  </si>
  <si>
    <t>08346e:CA&gt;+96-</t>
  </si>
  <si>
    <t>08365a:CA&gt;+9C-</t>
  </si>
  <si>
    <t>08366a:CA&gt;+9A-</t>
  </si>
  <si>
    <t>08385b:CA&gt;+93-</t>
  </si>
  <si>
    <t>08386b:CA&gt;+96-</t>
  </si>
  <si>
    <t>08410f:3E&gt;+9A-</t>
  </si>
  <si>
    <t>08445f:CA&gt;+9C-</t>
  </si>
  <si>
    <t>08446e:CA&gt;+9A-</t>
  </si>
  <si>
    <t>08509c:CA&gt;+93-</t>
  </si>
  <si>
    <t>08510c:CA&gt;+96-</t>
  </si>
  <si>
    <t>08529e:CA&gt;+9C-</t>
  </si>
  <si>
    <t>08530d:CA&gt;+9A-</t>
  </si>
  <si>
    <t>08549f:CA&gt;+93-</t>
  </si>
  <si>
    <t>08550f:CA&gt;+96-</t>
  </si>
  <si>
    <t>08609d:CA&gt;+9C-</t>
  </si>
  <si>
    <t>08610d:CA&gt;+9A-</t>
  </si>
  <si>
    <t>08611b:CA&gt;+A9-</t>
  </si>
  <si>
    <t>08667b:CA&gt;+93-</t>
  </si>
  <si>
    <t>08668b:CA&gt;+96-</t>
  </si>
  <si>
    <t>08687c:CA&gt;+9C-</t>
  </si>
  <si>
    <t>08688c:CA&gt;+9A-</t>
  </si>
  <si>
    <t>08707d:CA&gt;+93-</t>
  </si>
  <si>
    <t>08708d:CA&gt;+96-</t>
  </si>
  <si>
    <t>08768a:CA&gt;+9C-</t>
  </si>
  <si>
    <t>08769a:CA&gt;+9A-</t>
  </si>
  <si>
    <t>08817e:CA&gt;+93-</t>
  </si>
  <si>
    <t>08818d:CA&gt;+96-</t>
  </si>
  <si>
    <t>08837f:CA&gt;+9C-</t>
  </si>
  <si>
    <t>08838e:CA&gt;+9A-</t>
  </si>
  <si>
    <t>08858a:CA&gt;+93-</t>
  </si>
  <si>
    <t>08859a:CA&gt;+96-</t>
  </si>
  <si>
    <t>08916f:3E&gt;+9A-</t>
  </si>
  <si>
    <t>08917e:CA&gt;+9C-</t>
  </si>
  <si>
    <t>08918e:CA&gt;+9A-</t>
  </si>
  <si>
    <t>09058a:CA&gt;+93-</t>
  </si>
  <si>
    <t>09059a:CA&gt;+96-</t>
  </si>
  <si>
    <t>09138f:CA&gt;+9C-</t>
  </si>
  <si>
    <t>09139f:CA&gt;+9A-</t>
  </si>
  <si>
    <t>09159a:CA&gt;+93-</t>
  </si>
  <si>
    <t>09160a:CA&gt;+96-</t>
  </si>
  <si>
    <t>09179c:CA&gt;+9C-</t>
  </si>
  <si>
    <t>09180c:CA&gt;+9A-</t>
  </si>
  <si>
    <t>09289c:CA&gt;+93-</t>
  </si>
  <si>
    <t>09290c:CA&gt;+96-</t>
  </si>
  <si>
    <t>09292c:CA&gt;+A9-</t>
  </si>
  <si>
    <t>09329e:CA&gt;+9C-</t>
  </si>
  <si>
    <t>09330e:CA&gt;+9A-</t>
  </si>
  <si>
    <t>09350a:CA&gt;+93-</t>
  </si>
  <si>
    <t>09351a:CA&gt;+96-</t>
  </si>
  <si>
    <t>09410e:CA&gt;+9C-</t>
  </si>
  <si>
    <t>09411e:CA&gt;+9A-</t>
  </si>
  <si>
    <t>09422f:3E&gt;+9A-</t>
  </si>
  <si>
    <t>09697d:CA&gt;+93-</t>
  </si>
  <si>
    <t>09698d:CA&gt;+96-</t>
  </si>
  <si>
    <t>09718f:CA&gt;+9C-</t>
  </si>
  <si>
    <t>09719e:CA&gt;+9A-</t>
  </si>
  <si>
    <t>09737f:CA&gt;+93-</t>
  </si>
  <si>
    <t>09738f:CA&gt;+96-</t>
  </si>
  <si>
    <t>09778c:CA&gt;+9C-</t>
  </si>
  <si>
    <t>09779c:CA&gt;+9A-</t>
  </si>
  <si>
    <t>09798d:CA&gt;+93-</t>
  </si>
  <si>
    <t>09799d:CA&gt;+96-</t>
  </si>
  <si>
    <t>09818e:CA&gt;+9C-</t>
  </si>
  <si>
    <t>09819e:CA&gt;+9A-</t>
  </si>
  <si>
    <t>09928f:3E&gt;+9A-</t>
  </si>
  <si>
    <t>09974c:CA&gt;+A9-</t>
  </si>
  <si>
    <t>10435a:3E&gt;+9A-</t>
  </si>
  <si>
    <t>10570a:3E&gt;+93-</t>
  </si>
  <si>
    <t>10576c:3E&gt;+96-</t>
  </si>
  <si>
    <t>10590b:3E&gt;+9C-</t>
  </si>
  <si>
    <t>10596b:3E&gt;+9A-</t>
  </si>
  <si>
    <t>10656c:CA&gt;+A9-</t>
  </si>
  <si>
    <t>10721b:3E&gt;+93-</t>
  </si>
  <si>
    <t>10727b:3E&gt;+96-</t>
  </si>
  <si>
    <t>10801f:3E&gt;+9C-</t>
  </si>
  <si>
    <t>10807f:3E&gt;+9A-</t>
  </si>
  <si>
    <t>10822a:24&gt;-</t>
  </si>
  <si>
    <t>10828a:3E&gt;+96-</t>
  </si>
  <si>
    <t>10842b:3E&gt;+9C-</t>
  </si>
  <si>
    <t>10848b:3E&gt;+9A-</t>
  </si>
  <si>
    <t>10872c:24&gt;-</t>
  </si>
  <si>
    <t>10878d:3E&gt;+96-</t>
  </si>
  <si>
    <t>10912e:3E&gt;+9C-</t>
  </si>
  <si>
    <t>10918e:3E&gt;+9A-</t>
  </si>
  <si>
    <t>00010b:3E&gt;+93-</t>
  </si>
  <si>
    <t>00016b:3E&gt;+96-</t>
  </si>
  <si>
    <t>00070e:3E&gt;+9C-</t>
  </si>
  <si>
    <t>00076e:3E&gt;+9A-</t>
  </si>
  <si>
    <t>00100f:24&gt;-</t>
  </si>
  <si>
    <t>00107a:3E&gt;+96-</t>
  </si>
  <si>
    <t>00121a:3E&gt;+9C-</t>
  </si>
  <si>
    <t>00127b:3E&gt;+9A-</t>
  </si>
  <si>
    <t>00161c:24&gt;-</t>
  </si>
  <si>
    <t>00167d:3E&gt;+96-</t>
  </si>
  <si>
    <t>00181d:3E&gt;+9C-</t>
  </si>
  <si>
    <t>00187e:3E&gt;+9A-</t>
  </si>
  <si>
    <t>00252b:3E&gt;+93-</t>
  </si>
  <si>
    <t>00258b:3E&gt;+96-</t>
  </si>
  <si>
    <t>00332e:3E&gt;+9C-</t>
  </si>
  <si>
    <t>00338f:3E&gt;+9A-</t>
  </si>
  <si>
    <t>00403c:3E&gt;+93-</t>
  </si>
  <si>
    <t>00409c:3E&gt;+96-</t>
  </si>
  <si>
    <t>00415d:CA&gt;+A9-</t>
  </si>
  <si>
    <t>00423d:3E&gt;+9C-</t>
  </si>
  <si>
    <t>00429d:3E&gt;+9A-</t>
  </si>
  <si>
    <t>00463f:3E&gt;+93-</t>
  </si>
  <si>
    <t>00469f:3E&gt;+96-</t>
  </si>
  <si>
    <t>00504b:3E&gt;+9C-</t>
  </si>
  <si>
    <t>00510b:3E&gt;+9A-</t>
  </si>
  <si>
    <t>00554d:3E&gt;+93-</t>
  </si>
  <si>
    <t>00560d:3E&gt;+96-</t>
  </si>
  <si>
    <t>00574e:3E&gt;+9C-</t>
  </si>
  <si>
    <t>00580e:3E&gt;+9A-</t>
  </si>
  <si>
    <t>00594f:3E&gt;+93-</t>
  </si>
  <si>
    <t>00600f:3E&gt;+96-</t>
  </si>
  <si>
    <t>00615a:3E&gt;+9C-</t>
  </si>
  <si>
    <t>00621a:3E&gt;+9A-</t>
  </si>
  <si>
    <t>00635b:3E&gt;+93-</t>
  </si>
  <si>
    <t>00641b:3E&gt;+96-</t>
  </si>
  <si>
    <t>00655c:3E&gt;+9C-</t>
  </si>
  <si>
    <t>00661c:3E&gt;+9A-</t>
  </si>
  <si>
    <t>00705e:3E&gt;+93-</t>
  </si>
  <si>
    <t>00711f:3E&gt;+96-</t>
  </si>
  <si>
    <t>00725f:3E&gt;+9C-</t>
  </si>
  <si>
    <t>00732a:3E&gt;+9A-</t>
  </si>
  <si>
    <t>00786c:3E&gt;+93-</t>
  </si>
  <si>
    <t>00792c:3E&gt;+96-</t>
  </si>
  <si>
    <t>00806d:3E&gt;+9C-</t>
  </si>
  <si>
    <t>00812d:3E&gt;+9A-</t>
  </si>
  <si>
    <t>00856f:3E&gt;+93-</t>
  </si>
  <si>
    <t>00863a:3E&gt;+96-</t>
  </si>
  <si>
    <t>00877a:3E&gt;+9C-</t>
  </si>
  <si>
    <t>00883b:3E&gt;+9A-</t>
  </si>
  <si>
    <t>00917c:24&gt;-</t>
  </si>
  <si>
    <t>00923d:25&lt;-</t>
  </si>
  <si>
    <t>00957e:3E&gt;+9C-</t>
  </si>
  <si>
    <t>00963f:3E&gt;+9A-</t>
  </si>
  <si>
    <t>01008b:3E&gt;+93-</t>
  </si>
  <si>
    <t>01014b:3E&gt;+96-</t>
  </si>
  <si>
    <t>01028c:3E&gt;+9C-</t>
  </si>
  <si>
    <t>01034c:3E&gt;+9A-</t>
  </si>
  <si>
    <t>01097d:CA&gt;+A9-</t>
  </si>
  <si>
    <t>01159c:3E&gt;+93-</t>
  </si>
  <si>
    <t>01165c:3E&gt;+96-</t>
  </si>
  <si>
    <t>01179d:3E&gt;+9C-</t>
  </si>
  <si>
    <t>01185d:3E&gt;+9A-</t>
  </si>
  <si>
    <t>01219f:3E&gt;+93-</t>
  </si>
  <si>
    <t>01225f:3E&gt;+96-</t>
  </si>
  <si>
    <t>01280c:3E&gt;+9C-</t>
  </si>
  <si>
    <t>01286c:3E&gt;+9A-</t>
  </si>
  <si>
    <t>01318d:3E&gt;+93-</t>
  </si>
  <si>
    <t>01324e:3E&gt;+96-</t>
  </si>
  <si>
    <t>01379a:3E&gt;+9C-</t>
  </si>
  <si>
    <t>01385b:3E&gt;+9A-</t>
  </si>
  <si>
    <t>01399b:3E&gt;+93-</t>
  </si>
  <si>
    <t>01405c:3E&gt;+96-</t>
  </si>
  <si>
    <t>01439d:3E&gt;+9C-</t>
  </si>
  <si>
    <t>01445e:3E&gt;+9A-</t>
  </si>
  <si>
    <t>01487f:3E&gt;+93-</t>
  </si>
  <si>
    <t>01494a:3E&gt;+96-</t>
  </si>
  <si>
    <t>01588e:3E&gt;+9C-</t>
  </si>
  <si>
    <t>01594f:3E&gt;+9A-</t>
  </si>
  <si>
    <t>01659c:3E&gt;+93-</t>
  </si>
  <si>
    <t>01665c:3E&gt;+96-</t>
  </si>
  <si>
    <t>01699e:3E&gt;+9C-</t>
  </si>
  <si>
    <t>01705e:3E&gt;+9A-</t>
  </si>
  <si>
    <t>01719f:3E&gt;+93-</t>
  </si>
  <si>
    <t>01725f:3E&gt;+96-</t>
  </si>
  <si>
    <t>01740a:27&lt;+</t>
  </si>
  <si>
    <t>01746a:3E&gt;+9A-</t>
  </si>
  <si>
    <t>01760b:3E&gt;+93-</t>
  </si>
  <si>
    <t>01766b:3E&gt;+96-</t>
  </si>
  <si>
    <t>01779c:CA&gt;+A9-</t>
  </si>
  <si>
    <t>01780b:3E&gt;+9C-</t>
  </si>
  <si>
    <t>01786c:3E&gt;+9A-</t>
  </si>
  <si>
    <t>01828e:3E&gt;+93-</t>
  </si>
  <si>
    <t>01834e:3E&gt;+96-</t>
  </si>
  <si>
    <t>01848f:3E&gt;+9C-</t>
  </si>
  <si>
    <t>01854f:3E&gt;+9A-</t>
  </si>
  <si>
    <t>01869a:3E&gt;+93-</t>
  </si>
  <si>
    <t>01875a:3E&gt;+96-</t>
  </si>
  <si>
    <t>01949e:3E&gt;+9C-</t>
  </si>
  <si>
    <t>01955e:3E&gt;+9A-</t>
  </si>
  <si>
    <t>02000a:3E&gt;+93-</t>
  </si>
  <si>
    <t>02006a:3E&gt;+96-</t>
  </si>
  <si>
    <t>02020b:27&lt;+</t>
  </si>
  <si>
    <t>02026b:3E&gt;+9A-</t>
  </si>
  <si>
    <t>02080e:24&gt;-</t>
  </si>
  <si>
    <t>02086e:3E&gt;+96-</t>
  </si>
  <si>
    <t>02121a:3E&gt;+9C-</t>
  </si>
  <si>
    <t>02127a:3E&gt;+9A-</t>
  </si>
  <si>
    <t>02169c:3E&gt;+93-</t>
  </si>
  <si>
    <t>02175c:3E&gt;+96-</t>
  </si>
  <si>
    <t>02229f:3E&gt;+9C-</t>
  </si>
  <si>
    <t>02235f:3E&gt;+9A-</t>
  </si>
  <si>
    <t>02250a:3E&gt;+93-</t>
  </si>
  <si>
    <t>02256f:25&lt;-</t>
  </si>
  <si>
    <t>02290c:3E&gt;+9C-</t>
  </si>
  <si>
    <t>02296c:3E&gt;+9A-</t>
  </si>
  <si>
    <t>02340e:3E&gt;+93-</t>
  </si>
  <si>
    <t>02346e:3E&gt;+96-</t>
  </si>
  <si>
    <t>02360f:3E&gt;+9C-</t>
  </si>
  <si>
    <t>02366f:3E&gt;+9A-</t>
  </si>
  <si>
    <t>02381a:3E&gt;+93-</t>
  </si>
  <si>
    <t>02387a:3E&gt;+96-</t>
  </si>
  <si>
    <t>02421c:3E&gt;+9C-</t>
  </si>
  <si>
    <t>02427e:3E&gt;+9A-</t>
  </si>
  <si>
    <t>02441d:3E&gt;+93-</t>
  </si>
  <si>
    <t>02447d:3E&gt;+96-</t>
  </si>
  <si>
    <t>02461c:CA&gt;+A9-</t>
  </si>
  <si>
    <t>02462b:3E&gt;+9C-</t>
  </si>
  <si>
    <t>02467e:3E&gt;+9A-</t>
  </si>
  <si>
    <t>02512a:3E&gt;+93-</t>
  </si>
  <si>
    <t>02518b:3E&gt;+96-</t>
  </si>
  <si>
    <t>02532b:3E&gt;+9C-</t>
  </si>
  <si>
    <t>02538c:3E&gt;+9A-</t>
  </si>
  <si>
    <t>03044c:3E&gt;+9A-</t>
  </si>
  <si>
    <t>03143c:CA&gt;+A9-</t>
  </si>
  <si>
    <t>03444c:CA&gt;+93-</t>
  </si>
  <si>
    <t>03445c:CA&gt;+96-</t>
  </si>
  <si>
    <t>03464e:CA&gt;+9C-</t>
  </si>
  <si>
    <t>03465d:CA&gt;+9A-</t>
  </si>
  <si>
    <t>03504a:CA&gt;+93-</t>
  </si>
  <si>
    <t>03504f:CA&gt;+96-</t>
  </si>
  <si>
    <t>03524c:CA&gt;+9C-</t>
  </si>
  <si>
    <t>03525b:CA&gt;+9A-</t>
  </si>
  <si>
    <t>03550c:3E&gt;+9A-</t>
  </si>
  <si>
    <t>03593f:CA&gt;+93-</t>
  </si>
  <si>
    <t>03594f:CA&gt;+96-</t>
  </si>
  <si>
    <t>03673e:CA&gt;+9C-</t>
  </si>
  <si>
    <t>03674d:CA&gt;+9A-</t>
  </si>
  <si>
    <t>03694a:CA&gt;+93-</t>
  </si>
  <si>
    <t>03694f:CA&gt;+96-</t>
  </si>
  <si>
    <t>03714b:CA&gt;+9C-</t>
  </si>
  <si>
    <t>03715b:CA&gt;+9A-</t>
  </si>
  <si>
    <t>03749d:CA&gt;+93-</t>
  </si>
  <si>
    <t>03750c:CA&gt;+96-</t>
  </si>
  <si>
    <t>03790a:CA&gt;+9C-</t>
  </si>
  <si>
    <t>03790f:CA&gt;+9A-</t>
  </si>
  <si>
    <t>03810b:CA&gt;+93-</t>
  </si>
  <si>
    <t>03811a:CA&gt;+96-</t>
  </si>
  <si>
    <t>03825c:CA&gt;+A9-</t>
  </si>
  <si>
    <t>03870f:CA&gt;+9C-</t>
  </si>
  <si>
    <t>03871e:CA&gt;+9A-</t>
  </si>
  <si>
    <t>03921c:CA&gt;+93-</t>
  </si>
  <si>
    <t>03922b:CA&gt;+96-</t>
  </si>
  <si>
    <t>03960e:CA&gt;+9C-</t>
  </si>
  <si>
    <t>03961d:CA&gt;+9A-</t>
  </si>
  <si>
    <t>03980f:CA&gt;+93-</t>
  </si>
  <si>
    <t>03981f:CA&gt;+96-</t>
  </si>
  <si>
    <t>04041d:CA&gt;+9C-</t>
  </si>
  <si>
    <t>04042c:CA&gt;+9A-</t>
  </si>
  <si>
    <t>04056c:3E&gt;+9A-</t>
  </si>
  <si>
    <t>04092a:CA&gt;+93-</t>
  </si>
  <si>
    <t>04093a:CA&gt;+96-</t>
  </si>
  <si>
    <t>04132d:CA&gt;+9C-</t>
  </si>
  <si>
    <t>04133c:CA&gt;+9A-</t>
  </si>
  <si>
    <t>04151e:CA&gt;+93-</t>
  </si>
  <si>
    <t>04152e:CA&gt;+96-</t>
  </si>
  <si>
    <t>04212b:CA&gt;+9C-</t>
  </si>
  <si>
    <t>04213b:CA&gt;+9A-</t>
  </si>
  <si>
    <t>04251e:CA&gt;+93-</t>
  </si>
  <si>
    <t>04252d:CA&gt;+96-</t>
  </si>
  <si>
    <t>04292a:CA&gt;+9C-</t>
  </si>
  <si>
    <t>04293a:CA&gt;+9A-</t>
  </si>
  <si>
    <t>04311c:CA&gt;+93-</t>
  </si>
  <si>
    <t>04312b:CA&gt;+96-</t>
  </si>
  <si>
    <t>04372f:CA&gt;+9C-</t>
  </si>
  <si>
    <t>04373f:CA&gt;+9A-</t>
  </si>
  <si>
    <t>04404a:CA&gt;+96-</t>
  </si>
  <si>
    <t>04443e:CA&gt;+9C-</t>
  </si>
  <si>
    <t>04464e:CA&gt;+96-</t>
  </si>
  <si>
    <t>04507b:CA&gt;+A9-</t>
  </si>
  <si>
    <t>04523c:CA&gt;+9C-</t>
  </si>
  <si>
    <t>04524c:CA&gt;+9A-</t>
  </si>
  <si>
    <t>04562c:3E&gt;+9A-</t>
  </si>
  <si>
    <t>04566f:CA&gt;+93-</t>
  </si>
  <si>
    <t>04567f:CA&gt;+96-</t>
  </si>
  <si>
    <t>04607b:CA&gt;+9C-</t>
  </si>
  <si>
    <t>04608b:CA&gt;+9A-</t>
  </si>
  <si>
    <t>04627d:CA&gt;+93-</t>
  </si>
  <si>
    <t>04628d:CA&gt;+96-</t>
  </si>
  <si>
    <t>04688a:CA&gt;+9C-</t>
  </si>
  <si>
    <t>04689a:CA&gt;+9A-</t>
  </si>
  <si>
    <t>05068c:3E&gt;+9A-</t>
  </si>
  <si>
    <t>05189a:CA&gt;+A9-</t>
  </si>
  <si>
    <t>05292b:CA&gt;+93-</t>
  </si>
  <si>
    <t>05293b:CA&gt;+96-</t>
  </si>
  <si>
    <t>05574c:3E&gt;+9A-</t>
  </si>
  <si>
    <t>05871a:CA&gt;+A9-</t>
  </si>
  <si>
    <t>06080c:3E&gt;+9A-</t>
  </si>
  <si>
    <t>06552f:CA&gt;+A9-</t>
  </si>
  <si>
    <t>06586c:3E&gt;+9A-</t>
  </si>
  <si>
    <t>06602c:CA&gt;+AA-</t>
  </si>
  <si>
    <t>06603f:3E&gt;+AC-</t>
  </si>
  <si>
    <t>0xB1</t>
  </si>
  <si>
    <t>0xB2</t>
  </si>
  <si>
    <t>0xB3</t>
  </si>
  <si>
    <t>0xB4</t>
  </si>
  <si>
    <t>0xB5</t>
  </si>
  <si>
    <t>0xB6</t>
  </si>
  <si>
    <t>0xB7</t>
  </si>
  <si>
    <t>0xB8</t>
  </si>
  <si>
    <t>Wahlziffer1</t>
  </si>
  <si>
    <t>Wahlziffer2</t>
  </si>
  <si>
    <t>Wahlziffer3</t>
  </si>
  <si>
    <t>Wahlziffer4</t>
  </si>
  <si>
    <t>Wahlziffer5</t>
  </si>
  <si>
    <t>Wahlziffer6</t>
  </si>
  <si>
    <t>Wahlziffer7</t>
  </si>
  <si>
    <t>Wahlziffer8</t>
  </si>
  <si>
    <t>Zeit (sek)</t>
  </si>
  <si>
    <t>02506a:CB&lt;+A0-</t>
  </si>
  <si>
    <t>02506e:CA&gt;+1F-</t>
  </si>
  <si>
    <t>02507c:CA&gt;+A3-</t>
  </si>
  <si>
    <t>02508c:CA&gt;+A9-</t>
  </si>
  <si>
    <t>02509e:3E&gt;+A9-</t>
  </si>
  <si>
    <t>02524d:3E&gt;+A6-</t>
  </si>
  <si>
    <t>03015e:3E&gt;+A9-</t>
  </si>
  <si>
    <t>03189f:CA&gt;+A9-</t>
  </si>
  <si>
    <t>03521e:3E&gt;+A9-</t>
  </si>
  <si>
    <t>03871f:CA&gt;+A9-</t>
  </si>
  <si>
    <t>04027e:3E&gt;+A9-</t>
  </si>
  <si>
    <t>04533f:3E&gt;+A9-</t>
  </si>
  <si>
    <t>04553e:CA&gt;+A9-</t>
  </si>
  <si>
    <t>05039f:3E&gt;+A9-</t>
  </si>
  <si>
    <t>05235e:CA&gt;+A9-</t>
  </si>
  <si>
    <t>05268a:CA&gt;+B9-</t>
  </si>
  <si>
    <t>05545f:3E&gt;+A9-</t>
  </si>
  <si>
    <t>05917d:CA&gt;+A9-</t>
  </si>
  <si>
    <t>06051f:3E&gt;+A9-</t>
  </si>
  <si>
    <t>06162b:CA&gt;+B2-</t>
  </si>
  <si>
    <t>06557f:3E&gt;+A9-</t>
  </si>
  <si>
    <t>06599d:CA&gt;+A9-</t>
  </si>
  <si>
    <t>07063f:3E&gt;+A9-</t>
  </si>
  <si>
    <t>07281d:CA&gt;+A9-</t>
  </si>
  <si>
    <t>07569f:3E&gt;+A9-</t>
  </si>
  <si>
    <t>07963c:CA&gt;+A9-</t>
  </si>
  <si>
    <t>08067d:CA&gt;+B6-</t>
  </si>
  <si>
    <t>08075f:3E&gt;+A9-</t>
  </si>
  <si>
    <t>08581f:3E&gt;+A9-</t>
  </si>
  <si>
    <t>08645c:CA&gt;+A9-</t>
  </si>
  <si>
    <t>09088a:3E&gt;+A9-</t>
  </si>
  <si>
    <t>09215b:CA&gt;+B1-</t>
  </si>
  <si>
    <t>09327c:CA&gt;+A9-</t>
  </si>
  <si>
    <t>09594a:3E&gt;+A9-</t>
  </si>
  <si>
    <t>10009b:CA&gt;+A9-</t>
  </si>
  <si>
    <t>10100a:3E&gt;+A9-</t>
  </si>
  <si>
    <t>10113c:CA&gt;+B2-</t>
  </si>
  <si>
    <t>10606a:3E&gt;+A9-</t>
  </si>
  <si>
    <t>10691b:CA&gt;+A9-</t>
  </si>
  <si>
    <t>00189c:3E&gt;+A9-</t>
  </si>
  <si>
    <t>00450c:CA&gt;+A9-</t>
  </si>
  <si>
    <t>00695c:3E&gt;+A9-</t>
  </si>
  <si>
    <t>00797f:3E&gt;+A5-</t>
  </si>
  <si>
    <t>00802b:3E&gt;+93-</t>
  </si>
  <si>
    <t>00808c:3E&gt;+96-</t>
  </si>
  <si>
    <t>00822c:3E&gt;+9C-</t>
  </si>
  <si>
    <t>00828c:C9&lt;-</t>
  </si>
  <si>
    <t>00953c:3E&gt;+93-</t>
  </si>
  <si>
    <t>00959d:3E&gt;+96-</t>
  </si>
  <si>
    <t>00973d:3E&gt;+9C-</t>
  </si>
  <si>
    <t>00979e:3E&gt;+9A-</t>
  </si>
  <si>
    <t>01104e:3E&gt;+93-</t>
  </si>
  <si>
    <t>01110e:3E&gt;+96-</t>
  </si>
  <si>
    <t>01124f:3E&gt;+9C-</t>
  </si>
  <si>
    <t>01130f:3E&gt;+9A-</t>
  </si>
  <si>
    <t>01132c:CA&gt;+A9-</t>
  </si>
  <si>
    <t>01255f:3E&gt;+93-</t>
  </si>
  <si>
    <t>01261f:3E&gt;+96-</t>
  </si>
  <si>
    <t>01276a:3E&gt;+9C-</t>
  </si>
  <si>
    <t>01282a:3E&gt;+9A-</t>
  </si>
  <si>
    <t>01407a:3E&gt;+93-</t>
  </si>
  <si>
    <t>01413a:3E&gt;+96-</t>
  </si>
  <si>
    <t>01427b:3E&gt;+9C-</t>
  </si>
  <si>
    <t>01433b:3E&gt;+9A-</t>
  </si>
  <si>
    <t>01558b:3E&gt;+93-</t>
  </si>
  <si>
    <t>01564c:3E&gt;+96-</t>
  </si>
  <si>
    <t>01578c:3E&gt;+9C-</t>
  </si>
  <si>
    <t>01584d:3E&gt;+9A-</t>
  </si>
  <si>
    <t>01709d:3E&gt;+93-</t>
  </si>
  <si>
    <t>01715d:3E&gt;+96-</t>
  </si>
  <si>
    <t>01729d:3E&gt;+9C-</t>
  </si>
  <si>
    <t>01735e:3E&gt;+9A-</t>
  </si>
  <si>
    <t>01813b:00&gt;+63+6C+6B+0F+0C+05+0C+2A+00+00+00+00+00+00+00+00+</t>
  </si>
  <si>
    <t>01818d:CA&gt;+A9-</t>
  </si>
  <si>
    <t>01860e:3E&gt;+93-</t>
  </si>
  <si>
    <t>01866e:3E&gt;+96-</t>
  </si>
  <si>
    <t>01941b:3E&gt;+9C-</t>
  </si>
  <si>
    <t>01947c:3E&gt;+9A-</t>
  </si>
  <si>
    <t>01961c:3E&gt;+93-</t>
  </si>
  <si>
    <t>01967d:3E&gt;+96-</t>
  </si>
  <si>
    <t>01981d:3E&gt;+9C-</t>
  </si>
  <si>
    <t>01987e:3E&gt;+9A-</t>
  </si>
  <si>
    <t>02011f:3E&gt;+93-</t>
  </si>
  <si>
    <t>02017f:3E&gt;+96-</t>
  </si>
  <si>
    <t>02052b:3E&gt;+9C-</t>
  </si>
  <si>
    <t>02058b:3E&gt;+9A-</t>
  </si>
  <si>
    <t>02072c:3E&gt;+93-</t>
  </si>
  <si>
    <t>02078c:3E&gt;+96-</t>
  </si>
  <si>
    <t>02079a:00&gt;+63+6C+6B+0F+0C+05+0C+2A+00+00+00+00+00+00+00+00+</t>
  </si>
  <si>
    <t>02132f:3E&gt;+9C-</t>
  </si>
  <si>
    <t>02138f:3E&gt;+9A-</t>
  </si>
  <si>
    <t>02163a:3E&gt;+93-</t>
  </si>
  <si>
    <t>02169a:3E&gt;+96-</t>
  </si>
  <si>
    <t>02183b:3E&gt;+9C-</t>
  </si>
  <si>
    <t>02189b:3E&gt;+9A-</t>
  </si>
  <si>
    <t>02223d:3E&gt;+93-</t>
  </si>
  <si>
    <t>02229d:3E&gt;+96-</t>
  </si>
  <si>
    <t>02243e:3E&gt;+9C-</t>
  </si>
  <si>
    <t>02249e:3E&gt;+9A-</t>
  </si>
  <si>
    <t>02314b:3E&gt;+93-</t>
  </si>
  <si>
    <t>02320c:3E&gt;+96-</t>
  </si>
  <si>
    <t>02354d:3E&gt;+9C-</t>
  </si>
  <si>
    <t>02360e:3E&gt;+9A-</t>
  </si>
  <si>
    <t>02394f:3E&gt;+93-</t>
  </si>
  <si>
    <t>02400f:3E&gt;+96-</t>
  </si>
  <si>
    <t>02415a:3E&gt;+9C-</t>
  </si>
  <si>
    <t>02421a:3E&gt;+9A-</t>
  </si>
  <si>
    <t>02465c:3E&gt;+93-</t>
  </si>
  <si>
    <t>02471d:3E&gt;+96-</t>
  </si>
  <si>
    <t>02496c:CA&gt;+A9-</t>
  </si>
  <si>
    <t>02566b:3E&gt;+9C-</t>
  </si>
  <si>
    <t>02572c:3E&gt;+9A-</t>
  </si>
  <si>
    <t>02616e:3E&gt;+93-</t>
  </si>
  <si>
    <t>02622e:3E&gt;+96-</t>
  </si>
  <si>
    <t>02677b:3E&gt;+9C-</t>
  </si>
  <si>
    <t>02683b:3E&gt;+9A-</t>
  </si>
  <si>
    <t>02767f:3E&gt;+93-</t>
  </si>
  <si>
    <t>02773f:3E&gt;+96-</t>
  </si>
  <si>
    <t>02788a:3E&gt;+9C-</t>
  </si>
  <si>
    <t>02794a:3E&gt;+9A-</t>
  </si>
  <si>
    <t>02848d:3E&gt;+93-</t>
  </si>
  <si>
    <t>02854d:3E&gt;+96-</t>
  </si>
  <si>
    <t>02868e:3E&gt;+9C-</t>
  </si>
  <si>
    <t>02874e:3E&gt;+9A-</t>
  </si>
  <si>
    <t>02919a:3E&gt;+93-</t>
  </si>
  <si>
    <t>02925a:3E&gt;+96-</t>
  </si>
  <si>
    <t>02939b:3E&gt;+9C-</t>
  </si>
  <si>
    <t>02945b:3E&gt;+9A-</t>
  </si>
  <si>
    <t>02979d:3E&gt;+93-</t>
  </si>
  <si>
    <t>02985d:3E&gt;+96-</t>
  </si>
  <si>
    <t>03019f:3E&gt;+9C-</t>
  </si>
  <si>
    <t>03025f:3E&gt;+9A-</t>
  </si>
  <si>
    <t>03070b:3E&gt;+93-</t>
  </si>
  <si>
    <t>03076c:3E&gt;+96-</t>
  </si>
  <si>
    <t>03130e:3E&gt;+9C-</t>
  </si>
  <si>
    <t>03136e:3E&gt;+9A-</t>
  </si>
  <si>
    <t>03178b:CA&gt;+A9-</t>
  </si>
  <si>
    <t>03221c:3E&gt;+93-</t>
  </si>
  <si>
    <t>03227d:3E&gt;+96-</t>
  </si>
  <si>
    <t>03241d:3E&gt;+9C-</t>
  </si>
  <si>
    <t>03247e:3E&gt;+9A-</t>
  </si>
  <si>
    <t>03281f:3E&gt;+93-</t>
  </si>
  <si>
    <t>03288a:3E&gt;+96-</t>
  </si>
  <si>
    <t>03322b:3E&gt;+9C-</t>
  </si>
  <si>
    <t>03328c:3E&gt;+9A-</t>
  </si>
  <si>
    <t>03372e:3E&gt;+93-</t>
  </si>
  <si>
    <t>03378e:3E&gt;+96-</t>
  </si>
  <si>
    <t>03413a:3E&gt;+9C-</t>
  </si>
  <si>
    <t>03419a:3E&gt;+9A-</t>
  </si>
  <si>
    <t>03453c:3E&gt;+93-</t>
  </si>
  <si>
    <t>03459c:3E&gt;+96-</t>
  </si>
  <si>
    <t>03473d:3E&gt;+9C-</t>
  </si>
  <si>
    <t>03479d:3E&gt;+9A-</t>
  </si>
  <si>
    <t>03523f:3E&gt;+93-</t>
  </si>
  <si>
    <t>03529f:3E&gt;+96-</t>
  </si>
  <si>
    <t>03544a:3E&gt;+9C-</t>
  </si>
  <si>
    <t>03550a:3E&gt;+9A-</t>
  </si>
  <si>
    <t>03604d:3E&gt;+93-</t>
  </si>
  <si>
    <t>03610d:3E&gt;+96-</t>
  </si>
  <si>
    <t>03624e:27&lt;+</t>
  </si>
  <si>
    <t>03630e:3E&gt;+9A-</t>
  </si>
  <si>
    <t>03675a:3E&gt;+93-</t>
  </si>
  <si>
    <t>03681a:3E&gt;+96-</t>
  </si>
  <si>
    <t>03775f:3E&gt;+9C-</t>
  </si>
  <si>
    <t>03781f:3E&gt;+9A-</t>
  </si>
  <si>
    <t>03826b:3E&gt;+93-</t>
  </si>
  <si>
    <t>03832c:3E&gt;+96-</t>
  </si>
  <si>
    <t>03860a:CA&gt;+A9-</t>
  </si>
  <si>
    <t>03886e:3E&gt;+9C-</t>
  </si>
  <si>
    <t>03892e:3E&gt;+9A-</t>
  </si>
  <si>
    <t>03906f:3E&gt;+93-</t>
  </si>
  <si>
    <t>03912f:3E&gt;+96-</t>
  </si>
  <si>
    <t>03947b:3E&gt;+9C-</t>
  </si>
  <si>
    <t>03953b:3E&gt;+9A-</t>
  </si>
  <si>
    <t>03977d:3E&gt;+93-</t>
  </si>
  <si>
    <t>03983d:3E&gt;+96-</t>
  </si>
  <si>
    <t>04037f:3E&gt;+9C-</t>
  </si>
  <si>
    <t>04044a:3E&gt;+9A-</t>
  </si>
  <si>
    <t>04058a:3E&gt;+93-</t>
  </si>
  <si>
    <t>04064b:3E&gt;+96-</t>
  </si>
  <si>
    <t>04098c:3E&gt;+9C-</t>
  </si>
  <si>
    <t>04104d:3E&gt;+9A-</t>
  </si>
  <si>
    <t>04128e:C9&lt;+</t>
  </si>
  <si>
    <t>04134e:3E&gt;+96-</t>
  </si>
  <si>
    <t>04148f:3E&gt;+9C-</t>
  </si>
  <si>
    <t>04154f:3E&gt;+9A-</t>
  </si>
  <si>
    <t>04209c:3E&gt;+93-</t>
  </si>
  <si>
    <t>04215c:3E&gt;+96-</t>
  </si>
  <si>
    <t>04229d:3E&gt;+9C-</t>
  </si>
  <si>
    <t>04235d:3E&gt;+9A-</t>
  </si>
  <si>
    <t>04279f:3E&gt;+93-</t>
  </si>
  <si>
    <t>04285f:3E&gt;+96-</t>
  </si>
  <si>
    <t>04300a:3E&gt;+9C-</t>
  </si>
  <si>
    <t>04306a:3E&gt;+9A-</t>
  </si>
  <si>
    <t>04340c:3E&gt;+93-</t>
  </si>
  <si>
    <t>04346c:3E&gt;+96-</t>
  </si>
  <si>
    <t>04380e:3E&gt;+9C-</t>
  </si>
  <si>
    <t>04386e:3E&gt;+9A-</t>
  </si>
  <si>
    <t>04431a:3E&gt;+93-</t>
  </si>
  <si>
    <t>04437a:3E&gt;+96-</t>
  </si>
  <si>
    <t>04471c:3E&gt;+9C-</t>
  </si>
  <si>
    <t>04477c:3E&gt;+9A-</t>
  </si>
  <si>
    <t>04531f:3E&gt;+93-</t>
  </si>
  <si>
    <t>04537f:3E&gt;+96-</t>
  </si>
  <si>
    <t>04542a:CA&gt;+A9-</t>
  </si>
  <si>
    <t>04552a:3E&gt;+9C-</t>
  </si>
  <si>
    <t>04558a:3E&gt;+9A-</t>
  </si>
  <si>
    <t>04582b:3E&gt;+93-</t>
  </si>
  <si>
    <t>04588c:3E&gt;+96-</t>
  </si>
  <si>
    <t>04622d:3E&gt;+9C-</t>
  </si>
  <si>
    <t>04628e:C9&lt;-</t>
  </si>
  <si>
    <t>04642e:3E&gt;+93-</t>
  </si>
  <si>
    <t>04648f:3E&gt;+96-</t>
  </si>
  <si>
    <t>04662f:3E&gt;+9C-</t>
  </si>
  <si>
    <t>04668f:3E&gt;+9A-</t>
  </si>
  <si>
    <t>04683a:3E&gt;+93-</t>
  </si>
  <si>
    <t>04689a:3E&gt;+96-</t>
  </si>
  <si>
    <t>04703b:3E&gt;+9C-</t>
  </si>
  <si>
    <t>04709b:3E&gt;+9A-</t>
  </si>
  <si>
    <t>04733d:3E&gt;+93-</t>
  </si>
  <si>
    <t>04739d:3E&gt;+96-</t>
  </si>
  <si>
    <t>04753d:3E&gt;+9C-</t>
  </si>
  <si>
    <t>04759e:3E&gt;+9A-</t>
  </si>
  <si>
    <t>04814a:3E&gt;+93-</t>
  </si>
  <si>
    <t>04820b:3E&gt;+96-</t>
  </si>
  <si>
    <t>04834b:3E&gt;+9C-</t>
  </si>
  <si>
    <t>04840c:3E&gt;+9A-</t>
  </si>
  <si>
    <t>04884e:3E&gt;+93-</t>
  </si>
  <si>
    <t>04890e:3E&gt;+96-</t>
  </si>
  <si>
    <t>04965c:3E&gt;+9C-</t>
  </si>
  <si>
    <t>04971c:3E&gt;+9A-</t>
  </si>
  <si>
    <t>04985d:3E&gt;+93-</t>
  </si>
  <si>
    <t>04991d:3E&gt;+96-</t>
  </si>
  <si>
    <t>05005e:3E&gt;+9C-</t>
  </si>
  <si>
    <t>05011e:3E&gt;+9A-</t>
  </si>
  <si>
    <t>05035f:3E&gt;+93-</t>
  </si>
  <si>
    <t>05041f:3E&gt;+96-</t>
  </si>
  <si>
    <t>05076b:3E&gt;+9C-</t>
  </si>
  <si>
    <t>05082b:3E&gt;+9A-</t>
  </si>
  <si>
    <t>05096c:3E&gt;+93-</t>
  </si>
  <si>
    <t>05102c:3E&gt;+96-</t>
  </si>
  <si>
    <t>05156f:3E&gt;+9C-</t>
  </si>
  <si>
    <t>05162f:3E&gt;+9A-</t>
  </si>
  <si>
    <t>05224a:CA&gt;+A9-</t>
  </si>
  <si>
    <t>05668f:3E&gt;+9A-</t>
  </si>
  <si>
    <t>05906a:CA&gt;+A9-</t>
  </si>
  <si>
    <t>06174f:3E&gt;+9A-</t>
  </si>
  <si>
    <t>06587f:CA&gt;+A9-</t>
  </si>
  <si>
    <t>06680f:3E&gt;+9A-</t>
  </si>
  <si>
    <t>07186f:3E&gt;+9A-</t>
  </si>
  <si>
    <t>07269f:CA&gt;+A9-</t>
  </si>
  <si>
    <t>07616c:CA&gt;+93-</t>
  </si>
  <si>
    <t>07617c:CA&gt;+96-</t>
  </si>
  <si>
    <t>07636d:CA&gt;+9C-</t>
  </si>
  <si>
    <t>07637d:CA&gt;+9A-</t>
  </si>
  <si>
    <t>07676b:CA&gt;+93-</t>
  </si>
  <si>
    <t>07677a:CA&gt;+96-</t>
  </si>
  <si>
    <t>07693a:3E&gt;+9A-</t>
  </si>
  <si>
    <t>07696c:CA&gt;+9C-</t>
  </si>
  <si>
    <t>07697b:CA&gt;+9A-</t>
  </si>
  <si>
    <t>07765f:CA&gt;+93-</t>
  </si>
  <si>
    <t>07766f:CA&gt;+96-</t>
  </si>
  <si>
    <t>07787c:CA&gt;+9C-</t>
  </si>
  <si>
    <t>07788b:CA&gt;+9A-</t>
  </si>
  <si>
    <t>07806c:CA&gt;+93-</t>
  </si>
  <si>
    <t>07807c:CA&gt;+96-</t>
  </si>
  <si>
    <t>07846f:CA&gt;+9C-</t>
  </si>
  <si>
    <t>07847f:CA&gt;+9A-</t>
  </si>
  <si>
    <t>07866a:CA&gt;+93-</t>
  </si>
  <si>
    <t>07866f:CA&gt;+96-</t>
  </si>
  <si>
    <t>07886b:CA&gt;+9C-</t>
  </si>
  <si>
    <t>07887a:CA&gt;+9A-</t>
  </si>
  <si>
    <t>07951f:CA&gt;+A9-</t>
  </si>
  <si>
    <t>08199a:3E&gt;+9A-</t>
  </si>
  <si>
    <t>08633f:CA&gt;+A9-</t>
  </si>
  <si>
    <t>08642d:3E&gt;+93-</t>
  </si>
  <si>
    <t>08649a:3E&gt;+96-</t>
  </si>
  <si>
    <t>08662e:3E&gt;+9C-</t>
  </si>
  <si>
    <t>08668e:3E&gt;+9A-</t>
  </si>
  <si>
    <t>08793e:3E&gt;+93-</t>
  </si>
  <si>
    <t>08800a:3E&gt;+96-</t>
  </si>
  <si>
    <t>08874c:3E&gt;+9C-</t>
  </si>
  <si>
    <t>08880c:3E&gt;+9A-</t>
  </si>
  <si>
    <t>08894d:3E&gt;+93-</t>
  </si>
  <si>
    <t>08900d:3E&gt;+96-</t>
  </si>
  <si>
    <t>08914e:3E&gt;+9C-</t>
  </si>
  <si>
    <t>08920e:3E&gt;+9A-</t>
  </si>
  <si>
    <t>08944f:3E&gt;+93-</t>
  </si>
  <si>
    <t>08951a:3E&gt;+96-</t>
  </si>
  <si>
    <t>08985b:3E&gt;+9C-</t>
  </si>
  <si>
    <t>08991b:3E&gt;+9A-</t>
  </si>
  <si>
    <t>09005c:3E&gt;+93-</t>
  </si>
  <si>
    <t>09011c:3E&gt;+96-</t>
  </si>
  <si>
    <t>09065f:3E&gt;+9C-</t>
  </si>
  <si>
    <t>09071f:3E&gt;+9A-</t>
  </si>
  <si>
    <t>09096b:24&gt;-</t>
  </si>
  <si>
    <t>09102b:3E&gt;+96-</t>
  </si>
  <si>
    <t>09116b:3E&gt;+9C-</t>
  </si>
  <si>
    <t>09122c:3E&gt;+9A-</t>
  </si>
  <si>
    <t>09157e:24&gt;-</t>
  </si>
  <si>
    <t>09162e:3E&gt;+96-</t>
  </si>
  <si>
    <t>09176e:3E&gt;+9C-</t>
  </si>
  <si>
    <t>09182f:3E&gt;+9A-</t>
  </si>
  <si>
    <t>09247c:3E&gt;+93-</t>
  </si>
  <si>
    <t>09253c:3E&gt;+96-</t>
  </si>
  <si>
    <t>09315d:CA&gt;+A9-</t>
  </si>
  <si>
    <t>09328a:3E&gt;+9C-</t>
  </si>
  <si>
    <t>09334a:3E&gt;+9A-</t>
  </si>
  <si>
    <t>09398e:3E&gt;+93-</t>
  </si>
  <si>
    <t>09404d:3E&gt;+96-</t>
  </si>
  <si>
    <t>09418e:27&lt;+</t>
  </si>
  <si>
    <t>09424e:3E&gt;+9A-</t>
  </si>
  <si>
    <t>09459a:3E&gt;+93-</t>
  </si>
  <si>
    <t>09465a:3E&gt;+96-</t>
  </si>
  <si>
    <t>09499c:3E&gt;+9C-</t>
  </si>
  <si>
    <t>09505c:3E&gt;+9A-</t>
  </si>
  <si>
    <t>09550a:24&gt;-</t>
  </si>
  <si>
    <t>09555e:3E&gt;+96-</t>
  </si>
  <si>
    <t>09569f:3E&gt;+9C-</t>
  </si>
  <si>
    <t>09575f:3E&gt;+9A-</t>
  </si>
  <si>
    <t>09590a:3E&gt;+93-</t>
  </si>
  <si>
    <t>09596a:3E&gt;+96-</t>
  </si>
  <si>
    <t>09610b:3E&gt;+9C-</t>
  </si>
  <si>
    <t>09616b:3E&gt;+9A-</t>
  </si>
  <si>
    <t>09630c:3E&gt;+93-</t>
  </si>
  <si>
    <t>09636c:3E&gt;+96-</t>
  </si>
  <si>
    <t>09650d:3E&gt;+9C-</t>
  </si>
  <si>
    <t>09656d:3E&gt;+9A-</t>
  </si>
  <si>
    <t>09700f:3E&gt;+93-</t>
  </si>
  <si>
    <t>09707a:3E&gt;+96-</t>
  </si>
  <si>
    <t>09721a:3E&gt;+9C-</t>
  </si>
  <si>
    <t>09727b:3E&gt;+9A-</t>
  </si>
  <si>
    <t>09781d:3E&gt;+93-</t>
  </si>
  <si>
    <t>09787d:3E&gt;+96-</t>
  </si>
  <si>
    <t>09801e:3E&gt;+9C-</t>
  </si>
  <si>
    <t>09807e:3E&gt;+9A-</t>
  </si>
  <si>
    <t>09852a:24&gt;-</t>
  </si>
  <si>
    <t>09858b:3E&gt;+96-</t>
  </si>
  <si>
    <t>09872b:3E&gt;+9C-</t>
  </si>
  <si>
    <t>09878c:3E&gt;+9A-</t>
  </si>
  <si>
    <t>09912d:3E&gt;+93-</t>
  </si>
  <si>
    <t>09918e:3E&gt;+96-</t>
  </si>
  <si>
    <t>09952f:3E&gt;+9C-</t>
  </si>
  <si>
    <t>09959a:C9&lt;-</t>
  </si>
  <si>
    <t>09997e:CA&gt;+A9-</t>
  </si>
  <si>
    <t>10003c:3E&gt;+93-</t>
  </si>
  <si>
    <t>10009c:3E&gt;+96-</t>
  </si>
  <si>
    <t>10023d:3E&gt;+9C-</t>
  </si>
  <si>
    <t>10029d:3E&gt;+9A-</t>
  </si>
  <si>
    <t>10154d:3E&gt;+93-</t>
  </si>
  <si>
    <t>10160d:3E&gt;+96-</t>
  </si>
  <si>
    <t>10174e:3E&gt;+9C-</t>
  </si>
  <si>
    <t>10180e:3E&gt;+9A-</t>
  </si>
  <si>
    <t>10215a:3E&gt;+93-</t>
  </si>
  <si>
    <t>10221a:3E&gt;+96-</t>
  </si>
  <si>
    <t>10275d:3E&gt;+9C-</t>
  </si>
  <si>
    <t>10281d:3E&gt;+9A-</t>
  </si>
  <si>
    <t>10313f:3E&gt;+93-</t>
  </si>
  <si>
    <t>10319f:3E&gt;+96-</t>
  </si>
  <si>
    <t>10374b:3E&gt;+9C-</t>
  </si>
  <si>
    <t>10380c:3E&gt;+9A-</t>
  </si>
  <si>
    <t>10394c:3E&gt;+93-</t>
  </si>
  <si>
    <t>10400d:3E&gt;+96-</t>
  </si>
  <si>
    <t>10434e:3E&gt;+9C-</t>
  </si>
  <si>
    <t>10440f:3E&gt;+9A-</t>
  </si>
  <si>
    <t>10485b:3E&gt;+93-</t>
  </si>
  <si>
    <t>10491b:3E&gt;+96-</t>
  </si>
  <si>
    <t>10586a:3E&gt;+9C-</t>
  </si>
  <si>
    <t>10592a:3E&gt;+9A-</t>
  </si>
  <si>
    <t>10656d:3E&gt;+93-</t>
  </si>
  <si>
    <t>10662d:3E&gt;+96-</t>
  </si>
  <si>
    <t>10679d:CA&gt;+A9-</t>
  </si>
  <si>
    <t>10696f:3E&gt;+9C-</t>
  </si>
  <si>
    <t>10702f:3E&gt;+9A-</t>
  </si>
  <si>
    <t>10717a:3E&gt;+93-</t>
  </si>
  <si>
    <t>10723a:3E&gt;+96-</t>
  </si>
  <si>
    <t>10737b:3E&gt;+9C-</t>
  </si>
  <si>
    <t>10743b:3E&gt;+9A-</t>
  </si>
  <si>
    <t>10757c:3E&gt;+93-</t>
  </si>
  <si>
    <t>10763c:3E&gt;+96-</t>
  </si>
  <si>
    <t>10777d:3E&gt;+9C-</t>
  </si>
  <si>
    <t>10783d:3E&gt;+9A-</t>
  </si>
  <si>
    <t>10825f:3E&gt;+93-</t>
  </si>
  <si>
    <t>10831f:3E&gt;+96-</t>
  </si>
  <si>
    <t>10846a:27&lt;+</t>
  </si>
  <si>
    <t>10852a:3E&gt;+9A-</t>
  </si>
  <si>
    <t>10866b:3E&gt;+93-</t>
  </si>
  <si>
    <t>10872b:3E&gt;+96-</t>
  </si>
  <si>
    <t>00024b:3E&gt;+9C-</t>
  </si>
  <si>
    <t>00030b:3E&gt;+9A-</t>
  </si>
  <si>
    <t>00074d:3E&gt;+93-</t>
  </si>
  <si>
    <t>00080d:3E&gt;+96-</t>
  </si>
  <si>
    <t>00094e:3E&gt;+9C-</t>
  </si>
  <si>
    <t>00100e:3E&gt;+9A-</t>
  </si>
  <si>
    <t>00155b:3E&gt;+93-</t>
  </si>
  <si>
    <t>00161b:3E&gt;+96-</t>
  </si>
  <si>
    <t>00195d:3E&gt;+9C-</t>
  </si>
  <si>
    <t>00201d:3E&gt;+9A-</t>
  </si>
  <si>
    <t>00243f:3E&gt;+93-</t>
  </si>
  <si>
    <t>00249f:25&lt;-</t>
  </si>
  <si>
    <t>00304c:3E&gt;+9C-</t>
  </si>
  <si>
    <t>00310e:26&gt;-</t>
  </si>
  <si>
    <t>00324d:3E&gt;+93-</t>
  </si>
  <si>
    <t>00330d:3E&gt;+96-</t>
  </si>
  <si>
    <t>00370f:3E&gt;+9A-</t>
  </si>
  <si>
    <t>00415b:24&gt;-</t>
  </si>
  <si>
    <t>00421c:3E&gt;+96-</t>
  </si>
  <si>
    <t>00435c:3E&gt;+9C-</t>
  </si>
  <si>
    <t>00438e:CA&gt;+A9-</t>
  </si>
  <si>
    <t>00441d:3E&gt;+9A-</t>
  </si>
  <si>
    <t>00455d:3E&gt;+93-</t>
  </si>
  <si>
    <t>00461e:3E&gt;+96-</t>
  </si>
  <si>
    <t>00495f:3E&gt;+9C-</t>
  </si>
  <si>
    <t>00501f:3E&gt;+9A-</t>
  </si>
  <si>
    <t>00516a:3E&gt;+93-</t>
  </si>
  <si>
    <t>00522a:3E&gt;+96-</t>
  </si>
  <si>
    <t>00536b:3E&gt;+9C-</t>
  </si>
  <si>
    <t>00542b:3E&gt;+9A-</t>
  </si>
  <si>
    <t>00584d:3E&gt;+93-</t>
  </si>
  <si>
    <t>00590e:3E&gt;+96-</t>
  </si>
  <si>
    <t>00604e:3E&gt;+9C-</t>
  </si>
  <si>
    <t>00610f:3E&gt;+9A-</t>
  </si>
  <si>
    <t>01116f:3E&gt;+9A-</t>
  </si>
  <si>
    <t>01120e:CA&gt;+A9-</t>
  </si>
  <si>
    <t>01622f:3E&gt;+9A-</t>
  </si>
  <si>
    <t>01661c:CA&gt;+93-</t>
  </si>
  <si>
    <t>01662c:CA&gt;+96-</t>
  </si>
  <si>
    <t>01682d:CA&gt;+9C-</t>
  </si>
  <si>
    <t>01683d:CA&gt;+9A-</t>
  </si>
  <si>
    <t>01802e:CA&gt;+A9-</t>
  </si>
  <si>
    <t>01811f:CA&gt;+93-</t>
  </si>
  <si>
    <t>01812f:CA&gt;+96-</t>
  </si>
  <si>
    <t>01891e:CA&gt;+9C-</t>
  </si>
  <si>
    <t>01892d:CA&gt;+9A-</t>
  </si>
  <si>
    <t>01911f:CA&gt;+93-</t>
  </si>
  <si>
    <t>01912e:CA&gt;+96-</t>
  </si>
  <si>
    <t>01932b:CA&gt;+9C-</t>
  </si>
  <si>
    <t>01933a:CA&gt;+9A-</t>
  </si>
  <si>
    <t>01962c:CA&gt;+93-</t>
  </si>
  <si>
    <t>01963c:CA&gt;+96-</t>
  </si>
  <si>
    <t>02001f:CA&gt;+9C-</t>
  </si>
  <si>
    <t>02002e:CA&gt;+9A-</t>
  </si>
  <si>
    <t>KdoEin</t>
  </si>
  <si>
    <t>KdoSchluss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</si>
</sst>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0F0F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80"/>
  <sheetViews>
    <sheetView tabSelected="1" workbookViewId="0">
      <selection activeCell="G20" sqref="G20"/>
    </sheetView>
  </sheetViews>
  <sheetFormatPr baseColWidth="10" defaultRowHeight="15" outlineLevelCol="1" x14ac:dyDescent="0.25"/>
  <cols>
    <col min="1" max="1" width="61.5703125" bestFit="1" customWidth="1"/>
    <col min="2" max="2" width="13.85546875" customWidth="1"/>
    <col min="4" max="5" width="11.42578125" hidden="1" customWidth="1" outlineLevel="1"/>
    <col min="6" max="6" width="17.42578125" hidden="1" customWidth="1" outlineLevel="1"/>
    <col min="7" max="7" width="19.85546875" customWidth="1" collapsed="1"/>
    <col min="8" max="9" width="19.85546875" customWidth="1"/>
  </cols>
  <sheetData>
    <row r="1" spans="1:9" x14ac:dyDescent="0.25">
      <c r="A1" s="1" t="s">
        <v>0</v>
      </c>
      <c r="B1" s="4" t="s">
        <v>997</v>
      </c>
      <c r="C1" s="4" t="s">
        <v>6</v>
      </c>
      <c r="D1" s="4" t="s">
        <v>7</v>
      </c>
      <c r="E1" s="4" t="s">
        <v>8</v>
      </c>
      <c r="F1" s="4" t="s">
        <v>35</v>
      </c>
      <c r="G1" s="4" t="s">
        <v>36</v>
      </c>
      <c r="H1" s="4" t="s">
        <v>37</v>
      </c>
      <c r="I1" s="4" t="s">
        <v>38</v>
      </c>
    </row>
    <row r="2" spans="1:9" x14ac:dyDescent="0.25">
      <c r="A2" t="s">
        <v>1</v>
      </c>
      <c r="G2" s="3">
        <v>101</v>
      </c>
      <c r="H2" s="3">
        <v>31</v>
      </c>
    </row>
    <row r="3" spans="1:9" x14ac:dyDescent="0.25">
      <c r="A3" t="s">
        <v>2</v>
      </c>
    </row>
    <row r="4" spans="1:9" x14ac:dyDescent="0.25">
      <c r="A4" t="s">
        <v>998</v>
      </c>
      <c r="B4" s="6">
        <f>MID(A4,1,5)/1000+(CODE(MID(A4,6,1))-CODE("a"))/6000</f>
        <v>2.5059999999999998</v>
      </c>
      <c r="C4" s="3">
        <f>INT(HEX2DEC(MID(A4,8,2))/2)</f>
        <v>101</v>
      </c>
      <c r="D4" s="3" t="str">
        <f>IF(MID(A4,10,1)="&lt;",MID(A4,12,2),"")</f>
        <v>A0</v>
      </c>
      <c r="E4" s="3" t="str">
        <f>IF(MID(A4,10,1)="&gt;",HEX2DEC(MID(A4,12,2)),"")</f>
        <v/>
      </c>
      <c r="F4" s="5" t="str">
        <f>IF(C4=0,"Broadcast",IF(D4="",IF(E4="","",IF(E4&lt;128,"Verbind "&amp;E4,INDEX(KdoCodeTab,MATCH(E4,KdoWertTab,0)))),"StatusAbfr "&amp;D4))</f>
        <v>StatusAbfr A0</v>
      </c>
      <c r="G4" t="str">
        <f t="shared" ref="G4" si="0">IF(C4=$G$2,F4,"")</f>
        <v>StatusAbfr A0</v>
      </c>
      <c r="H4" t="str">
        <f t="shared" ref="H4" si="1">IF(C4=$H$2,F4,"")</f>
        <v/>
      </c>
      <c r="I4" t="str">
        <f>IF(G4&amp;H4="",F4,"")</f>
        <v/>
      </c>
    </row>
    <row r="5" spans="1:9" x14ac:dyDescent="0.25">
      <c r="A5" t="s">
        <v>999</v>
      </c>
      <c r="B5" s="6">
        <f t="shared" ref="B5:B68" si="2">MID(A5,1,5)/1000+(CODE(MID(A5,6,1))-CODE("a"))/6000</f>
        <v>2.5066666666666664</v>
      </c>
      <c r="C5" s="3">
        <f t="shared" ref="C5:C68" si="3">INT(HEX2DEC(MID(A5,8,2))/2)</f>
        <v>101</v>
      </c>
      <c r="D5" s="3" t="str">
        <f t="shared" ref="D5:D68" si="4">IF(MID(A5,10,1)="&lt;",MID(A5,12,2),"")</f>
        <v/>
      </c>
      <c r="E5" s="3">
        <f t="shared" ref="E5:E68" si="5">IF(MID(A5,10,1)="&gt;",HEX2DEC(MID(A5,12,2)),"")</f>
        <v>31</v>
      </c>
      <c r="F5" s="5" t="str">
        <f>IF(C5=0,"Broadcast",IF(D5="",IF(E5="","",IF(E5&lt;128,"Verbind "&amp;E5,INDEX(KdoCodeTab,MATCH(E5,KdoWertTab,0)))),"StatusAbfr "&amp;D5))</f>
        <v>Verbind 31</v>
      </c>
      <c r="G5" t="str">
        <f t="shared" ref="G5:G68" si="6">IF(C5=$G$2,F5,"")</f>
        <v>Verbind 31</v>
      </c>
      <c r="H5" t="str">
        <f t="shared" ref="H5:H68" si="7">IF(C5=$H$2,F5,"")</f>
        <v/>
      </c>
      <c r="I5" t="str">
        <f t="shared" ref="I5:I68" si="8">IF(G5&amp;H5="",F5,"")</f>
        <v/>
      </c>
    </row>
    <row r="6" spans="1:9" x14ac:dyDescent="0.25">
      <c r="A6" t="s">
        <v>1000</v>
      </c>
      <c r="B6" s="6">
        <f t="shared" si="2"/>
        <v>2.5073333333333334</v>
      </c>
      <c r="C6" s="3">
        <f t="shared" si="3"/>
        <v>101</v>
      </c>
      <c r="D6" s="3" t="str">
        <f t="shared" si="4"/>
        <v/>
      </c>
      <c r="E6" s="3">
        <f t="shared" si="5"/>
        <v>163</v>
      </c>
      <c r="F6" s="5" t="str">
        <f>IF(C6=0,"Broadcast",IF(D6="",IF(E6="","",IF(E6&lt;128,"Verbind "&amp;E6,INDEX(KdoCodeTab,MATCH(E6,KdoWertTab,0)))),"StatusAbfr "&amp;D6))</f>
        <v>KdoEin</v>
      </c>
      <c r="G6" t="str">
        <f t="shared" si="6"/>
        <v>KdoEin</v>
      </c>
      <c r="H6" t="str">
        <f t="shared" si="7"/>
        <v/>
      </c>
      <c r="I6" t="str">
        <f t="shared" si="8"/>
        <v/>
      </c>
    </row>
    <row r="7" spans="1:9" x14ac:dyDescent="0.25">
      <c r="A7" t="s">
        <v>1001</v>
      </c>
      <c r="B7" s="6">
        <f t="shared" si="2"/>
        <v>2.5083333333333333</v>
      </c>
      <c r="C7" s="3">
        <f t="shared" si="3"/>
        <v>101</v>
      </c>
      <c r="D7" s="3" t="str">
        <f t="shared" si="4"/>
        <v/>
      </c>
      <c r="E7" s="3">
        <f t="shared" si="5"/>
        <v>169</v>
      </c>
      <c r="F7" s="5" t="str">
        <f>IF(C7=0,"Broadcast",IF(D7="",IF(E7="","",IF(E7&lt;128,"Verbind "&amp;E7,INDEX(KdoCodeTab,MATCH(E7,KdoWertTab,0)))),"StatusAbfr "&amp;D7))</f>
        <v>BusLebenszeichen</v>
      </c>
      <c r="G7" t="str">
        <f t="shared" si="6"/>
        <v>BusLebenszeichen</v>
      </c>
      <c r="H7" t="str">
        <f t="shared" si="7"/>
        <v/>
      </c>
      <c r="I7" t="str">
        <f t="shared" si="8"/>
        <v/>
      </c>
    </row>
    <row r="8" spans="1:9" x14ac:dyDescent="0.25">
      <c r="A8" t="s">
        <v>1002</v>
      </c>
      <c r="B8" s="6">
        <f t="shared" si="2"/>
        <v>2.5096666666666665</v>
      </c>
      <c r="C8" s="3">
        <f t="shared" si="3"/>
        <v>31</v>
      </c>
      <c r="D8" s="3" t="str">
        <f t="shared" si="4"/>
        <v/>
      </c>
      <c r="E8" s="3">
        <f t="shared" si="5"/>
        <v>169</v>
      </c>
      <c r="F8" s="5" t="str">
        <f>IF(C8=0,"Broadcast",IF(D8="",IF(E8="","",IF(E8&lt;128,"Verbind "&amp;E8,INDEX(KdoCodeTab,MATCH(E8,KdoWertTab,0)))),"StatusAbfr "&amp;D8))</f>
        <v>BusLebenszeichen</v>
      </c>
      <c r="G8" t="str">
        <f t="shared" si="6"/>
        <v/>
      </c>
      <c r="H8" t="str">
        <f t="shared" si="7"/>
        <v>BusLebenszeichen</v>
      </c>
      <c r="I8" t="str">
        <f t="shared" si="8"/>
        <v/>
      </c>
    </row>
    <row r="9" spans="1:9" x14ac:dyDescent="0.25">
      <c r="A9" t="s">
        <v>1003</v>
      </c>
      <c r="B9" s="6">
        <f t="shared" si="2"/>
        <v>2.5245000000000002</v>
      </c>
      <c r="C9" s="3">
        <f t="shared" si="3"/>
        <v>31</v>
      </c>
      <c r="D9" s="3" t="str">
        <f t="shared" si="4"/>
        <v/>
      </c>
      <c r="E9" s="3">
        <f t="shared" si="5"/>
        <v>166</v>
      </c>
      <c r="F9" s="5" t="str">
        <f>IF(C9=0,"Broadcast",IF(D9="",IF(E9="","",IF(E9&lt;128,"Verbind "&amp;E9,INDEX(KdoCodeTab,MATCH(E9,KdoWertTab,0)))),"StatusAbfr "&amp;D9))</f>
        <v xml:space="preserve">WahlFreigabe </v>
      </c>
      <c r="G9" t="str">
        <f t="shared" si="6"/>
        <v/>
      </c>
      <c r="H9" t="str">
        <f t="shared" si="7"/>
        <v xml:space="preserve">WahlFreigabe </v>
      </c>
      <c r="I9" t="str">
        <f t="shared" si="8"/>
        <v/>
      </c>
    </row>
    <row r="10" spans="1:9" x14ac:dyDescent="0.25">
      <c r="A10" t="s">
        <v>1004</v>
      </c>
      <c r="B10" s="6">
        <f t="shared" si="2"/>
        <v>3.0156666666666667</v>
      </c>
      <c r="C10" s="3">
        <f t="shared" si="3"/>
        <v>31</v>
      </c>
      <c r="D10" s="3" t="str">
        <f t="shared" si="4"/>
        <v/>
      </c>
      <c r="E10" s="3">
        <f t="shared" si="5"/>
        <v>169</v>
      </c>
      <c r="F10" s="5" t="str">
        <f>IF(C10=0,"Broadcast",IF(D10="",IF(E10="","",IF(E10&lt;128,"Verbind "&amp;E10,INDEX(KdoCodeTab,MATCH(E10,KdoWertTab,0)))),"StatusAbfr "&amp;D10))</f>
        <v>BusLebenszeichen</v>
      </c>
      <c r="G10" t="str">
        <f t="shared" si="6"/>
        <v/>
      </c>
      <c r="H10" t="str">
        <f t="shared" si="7"/>
        <v>BusLebenszeichen</v>
      </c>
      <c r="I10" t="str">
        <f t="shared" si="8"/>
        <v/>
      </c>
    </row>
    <row r="11" spans="1:9" x14ac:dyDescent="0.25">
      <c r="A11" t="s">
        <v>1005</v>
      </c>
      <c r="B11" s="6">
        <f t="shared" si="2"/>
        <v>3.1898333333333335</v>
      </c>
      <c r="C11" s="3">
        <f t="shared" si="3"/>
        <v>101</v>
      </c>
      <c r="D11" s="3" t="str">
        <f t="shared" si="4"/>
        <v/>
      </c>
      <c r="E11" s="3">
        <f t="shared" si="5"/>
        <v>169</v>
      </c>
      <c r="F11" s="5" t="str">
        <f>IF(C11=0,"Broadcast",IF(D11="",IF(E11="","",IF(E11&lt;128,"Verbind "&amp;E11,INDEX(KdoCodeTab,MATCH(E11,KdoWertTab,0)))),"StatusAbfr "&amp;D11))</f>
        <v>BusLebenszeichen</v>
      </c>
      <c r="G11" t="str">
        <f t="shared" si="6"/>
        <v>BusLebenszeichen</v>
      </c>
      <c r="H11" t="str">
        <f t="shared" si="7"/>
        <v/>
      </c>
      <c r="I11" t="str">
        <f t="shared" si="8"/>
        <v/>
      </c>
    </row>
    <row r="12" spans="1:9" x14ac:dyDescent="0.25">
      <c r="A12" t="s">
        <v>1006</v>
      </c>
      <c r="B12" s="6">
        <f t="shared" si="2"/>
        <v>3.5216666666666665</v>
      </c>
      <c r="C12" s="3">
        <f t="shared" si="3"/>
        <v>31</v>
      </c>
      <c r="D12" s="3" t="str">
        <f t="shared" si="4"/>
        <v/>
      </c>
      <c r="E12" s="3">
        <f t="shared" si="5"/>
        <v>169</v>
      </c>
      <c r="F12" s="5" t="str">
        <f>IF(C12=0,"Broadcast",IF(D12="",IF(E12="","",IF(E12&lt;128,"Verbind "&amp;E12,INDEX(KdoCodeTab,MATCH(E12,KdoWertTab,0)))),"StatusAbfr "&amp;D12))</f>
        <v>BusLebenszeichen</v>
      </c>
      <c r="G12" t="str">
        <f t="shared" si="6"/>
        <v/>
      </c>
      <c r="H12" t="str">
        <f t="shared" si="7"/>
        <v>BusLebenszeichen</v>
      </c>
      <c r="I12" t="str">
        <f t="shared" si="8"/>
        <v/>
      </c>
    </row>
    <row r="13" spans="1:9" x14ac:dyDescent="0.25">
      <c r="A13" t="s">
        <v>1007</v>
      </c>
      <c r="B13" s="6">
        <f t="shared" si="2"/>
        <v>3.8718333333333335</v>
      </c>
      <c r="C13" s="3">
        <f t="shared" si="3"/>
        <v>101</v>
      </c>
      <c r="D13" s="3" t="str">
        <f t="shared" si="4"/>
        <v/>
      </c>
      <c r="E13" s="3">
        <f t="shared" si="5"/>
        <v>169</v>
      </c>
      <c r="F13" s="5" t="str">
        <f>IF(C13=0,"Broadcast",IF(D13="",IF(E13="","",IF(E13&lt;128,"Verbind "&amp;E13,INDEX(KdoCodeTab,MATCH(E13,KdoWertTab,0)))),"StatusAbfr "&amp;D13))</f>
        <v>BusLebenszeichen</v>
      </c>
      <c r="G13" t="str">
        <f t="shared" si="6"/>
        <v>BusLebenszeichen</v>
      </c>
      <c r="H13" t="str">
        <f t="shared" si="7"/>
        <v/>
      </c>
      <c r="I13" t="str">
        <f t="shared" si="8"/>
        <v/>
      </c>
    </row>
    <row r="14" spans="1:9" x14ac:dyDescent="0.25">
      <c r="A14" t="s">
        <v>1008</v>
      </c>
      <c r="B14" s="6">
        <f t="shared" si="2"/>
        <v>4.0276666666666667</v>
      </c>
      <c r="C14" s="3">
        <f t="shared" si="3"/>
        <v>31</v>
      </c>
      <c r="D14" s="3" t="str">
        <f t="shared" si="4"/>
        <v/>
      </c>
      <c r="E14" s="3">
        <f t="shared" si="5"/>
        <v>169</v>
      </c>
      <c r="F14" s="5" t="str">
        <f>IF(C14=0,"Broadcast",IF(D14="",IF(E14="","",IF(E14&lt;128,"Verbind "&amp;E14,INDEX(KdoCodeTab,MATCH(E14,KdoWertTab,0)))),"StatusAbfr "&amp;D14))</f>
        <v>BusLebenszeichen</v>
      </c>
      <c r="G14" t="str">
        <f t="shared" si="6"/>
        <v/>
      </c>
      <c r="H14" t="str">
        <f t="shared" si="7"/>
        <v>BusLebenszeichen</v>
      </c>
      <c r="I14" t="str">
        <f t="shared" si="8"/>
        <v/>
      </c>
    </row>
    <row r="15" spans="1:9" x14ac:dyDescent="0.25">
      <c r="A15" t="s">
        <v>1009</v>
      </c>
      <c r="B15" s="6">
        <f t="shared" si="2"/>
        <v>4.5338333333333338</v>
      </c>
      <c r="C15" s="3">
        <f t="shared" si="3"/>
        <v>31</v>
      </c>
      <c r="D15" s="3" t="str">
        <f t="shared" si="4"/>
        <v/>
      </c>
      <c r="E15" s="3">
        <f t="shared" si="5"/>
        <v>169</v>
      </c>
      <c r="F15" s="5" t="str">
        <f>IF(C15=0,"Broadcast",IF(D15="",IF(E15="","",IF(E15&lt;128,"Verbind "&amp;E15,INDEX(KdoCodeTab,MATCH(E15,KdoWertTab,0)))),"StatusAbfr "&amp;D15))</f>
        <v>BusLebenszeichen</v>
      </c>
      <c r="G15" t="str">
        <f t="shared" si="6"/>
        <v/>
      </c>
      <c r="H15" t="str">
        <f t="shared" si="7"/>
        <v>BusLebenszeichen</v>
      </c>
      <c r="I15" t="str">
        <f t="shared" si="8"/>
        <v/>
      </c>
    </row>
    <row r="16" spans="1:9" x14ac:dyDescent="0.25">
      <c r="A16" t="s">
        <v>1010</v>
      </c>
      <c r="B16" s="6">
        <f t="shared" si="2"/>
        <v>4.5536666666666665</v>
      </c>
      <c r="C16" s="3">
        <f t="shared" si="3"/>
        <v>101</v>
      </c>
      <c r="D16" s="3" t="str">
        <f t="shared" si="4"/>
        <v/>
      </c>
      <c r="E16" s="3">
        <f t="shared" si="5"/>
        <v>169</v>
      </c>
      <c r="F16" s="5" t="str">
        <f>IF(C16=0,"Broadcast",IF(D16="",IF(E16="","",IF(E16&lt;128,"Verbind "&amp;E16,INDEX(KdoCodeTab,MATCH(E16,KdoWertTab,0)))),"StatusAbfr "&amp;D16))</f>
        <v>BusLebenszeichen</v>
      </c>
      <c r="G16" t="str">
        <f t="shared" si="6"/>
        <v>BusLebenszeichen</v>
      </c>
      <c r="H16" t="str">
        <f t="shared" si="7"/>
        <v/>
      </c>
      <c r="I16" t="str">
        <f t="shared" si="8"/>
        <v/>
      </c>
    </row>
    <row r="17" spans="1:9" x14ac:dyDescent="0.25">
      <c r="A17" t="s">
        <v>1011</v>
      </c>
      <c r="B17" s="6">
        <f t="shared" si="2"/>
        <v>5.0398333333333332</v>
      </c>
      <c r="C17" s="3">
        <f t="shared" si="3"/>
        <v>31</v>
      </c>
      <c r="D17" s="3" t="str">
        <f t="shared" si="4"/>
        <v/>
      </c>
      <c r="E17" s="3">
        <f t="shared" si="5"/>
        <v>169</v>
      </c>
      <c r="F17" s="5" t="str">
        <f>IF(C17=0,"Broadcast",IF(D17="",IF(E17="","",IF(E17&lt;128,"Verbind "&amp;E17,INDEX(KdoCodeTab,MATCH(E17,KdoWertTab,0)))),"StatusAbfr "&amp;D17))</f>
        <v>BusLebenszeichen</v>
      </c>
      <c r="G17" t="str">
        <f t="shared" si="6"/>
        <v/>
      </c>
      <c r="H17" t="str">
        <f t="shared" si="7"/>
        <v>BusLebenszeichen</v>
      </c>
      <c r="I17" t="str">
        <f t="shared" si="8"/>
        <v/>
      </c>
    </row>
    <row r="18" spans="1:9" x14ac:dyDescent="0.25">
      <c r="A18" t="s">
        <v>1012</v>
      </c>
      <c r="B18" s="6">
        <f t="shared" si="2"/>
        <v>5.2356666666666669</v>
      </c>
      <c r="C18" s="3">
        <f t="shared" si="3"/>
        <v>101</v>
      </c>
      <c r="D18" s="3" t="str">
        <f t="shared" si="4"/>
        <v/>
      </c>
      <c r="E18" s="3">
        <f t="shared" si="5"/>
        <v>169</v>
      </c>
      <c r="F18" s="5" t="str">
        <f>IF(C18=0,"Broadcast",IF(D18="",IF(E18="","",IF(E18&lt;128,"Verbind "&amp;E18,INDEX(KdoCodeTab,MATCH(E18,KdoWertTab,0)))),"StatusAbfr "&amp;D18))</f>
        <v>BusLebenszeichen</v>
      </c>
      <c r="G18" t="str">
        <f t="shared" si="6"/>
        <v>BusLebenszeichen</v>
      </c>
      <c r="H18" t="str">
        <f t="shared" si="7"/>
        <v/>
      </c>
      <c r="I18" t="str">
        <f t="shared" si="8"/>
        <v/>
      </c>
    </row>
    <row r="19" spans="1:9" x14ac:dyDescent="0.25">
      <c r="A19" t="s">
        <v>1013</v>
      </c>
      <c r="B19" s="6">
        <f t="shared" si="2"/>
        <v>5.2679999999999998</v>
      </c>
      <c r="C19" s="3">
        <f t="shared" si="3"/>
        <v>101</v>
      </c>
      <c r="D19" s="3" t="str">
        <f t="shared" si="4"/>
        <v/>
      </c>
      <c r="E19" s="3">
        <f t="shared" si="5"/>
        <v>185</v>
      </c>
      <c r="F19" s="5" t="str">
        <f>IF(C19=0,"Broadcast",IF(D19="",IF(E19="","",IF(E19&lt;128,"Verbind "&amp;E19,INDEX(KdoCodeTab,MATCH(E19,KdoWertTab,0)))),"StatusAbfr "&amp;D19))</f>
        <v>Wahlziffer9</v>
      </c>
      <c r="G19" t="str">
        <f t="shared" si="6"/>
        <v>Wahlziffer9</v>
      </c>
      <c r="H19" t="str">
        <f t="shared" si="7"/>
        <v/>
      </c>
      <c r="I19" t="str">
        <f t="shared" si="8"/>
        <v/>
      </c>
    </row>
    <row r="20" spans="1:9" x14ac:dyDescent="0.25">
      <c r="A20" t="s">
        <v>1014</v>
      </c>
      <c r="B20" s="6">
        <f t="shared" si="2"/>
        <v>5.5458333333333334</v>
      </c>
      <c r="C20" s="3">
        <f t="shared" si="3"/>
        <v>31</v>
      </c>
      <c r="D20" s="3" t="str">
        <f t="shared" si="4"/>
        <v/>
      </c>
      <c r="E20" s="3">
        <f t="shared" si="5"/>
        <v>169</v>
      </c>
      <c r="F20" s="5" t="str">
        <f>IF(C20=0,"Broadcast",IF(D20="",IF(E20="","",IF(E20&lt;128,"Verbind "&amp;E20,INDEX(KdoCodeTab,MATCH(E20,KdoWertTab,0)))),"StatusAbfr "&amp;D20))</f>
        <v>BusLebenszeichen</v>
      </c>
      <c r="G20" t="str">
        <f t="shared" si="6"/>
        <v/>
      </c>
      <c r="H20" t="str">
        <f t="shared" si="7"/>
        <v>BusLebenszeichen</v>
      </c>
      <c r="I20" t="str">
        <f t="shared" si="8"/>
        <v/>
      </c>
    </row>
    <row r="21" spans="1:9" x14ac:dyDescent="0.25">
      <c r="A21" t="s">
        <v>1015</v>
      </c>
      <c r="B21" s="6">
        <f t="shared" si="2"/>
        <v>5.9174999999999995</v>
      </c>
      <c r="C21" s="3">
        <f t="shared" si="3"/>
        <v>101</v>
      </c>
      <c r="D21" s="3" t="str">
        <f t="shared" si="4"/>
        <v/>
      </c>
      <c r="E21" s="3">
        <f t="shared" si="5"/>
        <v>169</v>
      </c>
      <c r="F21" s="5" t="str">
        <f>IF(C21=0,"Broadcast",IF(D21="",IF(E21="","",IF(E21&lt;128,"Verbind "&amp;E21,INDEX(KdoCodeTab,MATCH(E21,KdoWertTab,0)))),"StatusAbfr "&amp;D21))</f>
        <v>BusLebenszeichen</v>
      </c>
      <c r="G21" t="str">
        <f t="shared" si="6"/>
        <v>BusLebenszeichen</v>
      </c>
      <c r="H21" t="str">
        <f t="shared" si="7"/>
        <v/>
      </c>
      <c r="I21" t="str">
        <f t="shared" si="8"/>
        <v/>
      </c>
    </row>
    <row r="22" spans="1:9" x14ac:dyDescent="0.25">
      <c r="A22" t="s">
        <v>1016</v>
      </c>
      <c r="B22" s="6">
        <f t="shared" si="2"/>
        <v>6.0518333333333336</v>
      </c>
      <c r="C22" s="3">
        <f t="shared" si="3"/>
        <v>31</v>
      </c>
      <c r="D22" s="3" t="str">
        <f t="shared" si="4"/>
        <v/>
      </c>
      <c r="E22" s="3">
        <f t="shared" si="5"/>
        <v>169</v>
      </c>
      <c r="F22" s="5" t="str">
        <f>IF(C22=0,"Broadcast",IF(D22="",IF(E22="","",IF(E22&lt;128,"Verbind "&amp;E22,INDEX(KdoCodeTab,MATCH(E22,KdoWertTab,0)))),"StatusAbfr "&amp;D22))</f>
        <v>BusLebenszeichen</v>
      </c>
      <c r="G22" t="str">
        <f t="shared" si="6"/>
        <v/>
      </c>
      <c r="H22" t="str">
        <f t="shared" si="7"/>
        <v>BusLebenszeichen</v>
      </c>
      <c r="I22" t="str">
        <f t="shared" si="8"/>
        <v/>
      </c>
    </row>
    <row r="23" spans="1:9" x14ac:dyDescent="0.25">
      <c r="A23" t="s">
        <v>1017</v>
      </c>
      <c r="B23" s="6">
        <f t="shared" si="2"/>
        <v>6.1621666666666668</v>
      </c>
      <c r="C23" s="3">
        <f t="shared" si="3"/>
        <v>101</v>
      </c>
      <c r="D23" s="3" t="str">
        <f t="shared" si="4"/>
        <v/>
      </c>
      <c r="E23" s="3">
        <f t="shared" si="5"/>
        <v>178</v>
      </c>
      <c r="F23" s="5" t="str">
        <f>IF(C23=0,"Broadcast",IF(D23="",IF(E23="","",IF(E23&lt;128,"Verbind "&amp;E23,INDEX(KdoCodeTab,MATCH(E23,KdoWertTab,0)))),"StatusAbfr "&amp;D23))</f>
        <v>Wahlziffer2</v>
      </c>
      <c r="G23" t="str">
        <f t="shared" si="6"/>
        <v>Wahlziffer2</v>
      </c>
      <c r="H23" t="str">
        <f t="shared" si="7"/>
        <v/>
      </c>
      <c r="I23" t="str">
        <f t="shared" si="8"/>
        <v/>
      </c>
    </row>
    <row r="24" spans="1:9" x14ac:dyDescent="0.25">
      <c r="A24" t="s">
        <v>1018</v>
      </c>
      <c r="B24" s="6">
        <f t="shared" si="2"/>
        <v>6.5578333333333338</v>
      </c>
      <c r="C24" s="3">
        <f t="shared" si="3"/>
        <v>31</v>
      </c>
      <c r="D24" s="3" t="str">
        <f t="shared" si="4"/>
        <v/>
      </c>
      <c r="E24" s="3">
        <f t="shared" si="5"/>
        <v>169</v>
      </c>
      <c r="F24" s="5" t="str">
        <f>IF(C24=0,"Broadcast",IF(D24="",IF(E24="","",IF(E24&lt;128,"Verbind "&amp;E24,INDEX(KdoCodeTab,MATCH(E24,KdoWertTab,0)))),"StatusAbfr "&amp;D24))</f>
        <v>BusLebenszeichen</v>
      </c>
      <c r="G24" t="str">
        <f t="shared" si="6"/>
        <v/>
      </c>
      <c r="H24" t="str">
        <f t="shared" si="7"/>
        <v>BusLebenszeichen</v>
      </c>
      <c r="I24" t="str">
        <f t="shared" si="8"/>
        <v/>
      </c>
    </row>
    <row r="25" spans="1:9" x14ac:dyDescent="0.25">
      <c r="A25" t="s">
        <v>1019</v>
      </c>
      <c r="B25" s="6">
        <f t="shared" si="2"/>
        <v>6.5994999999999999</v>
      </c>
      <c r="C25" s="3">
        <f t="shared" si="3"/>
        <v>101</v>
      </c>
      <c r="D25" s="3" t="str">
        <f t="shared" si="4"/>
        <v/>
      </c>
      <c r="E25" s="3">
        <f t="shared" si="5"/>
        <v>169</v>
      </c>
      <c r="F25" s="5" t="str">
        <f>IF(C25=0,"Broadcast",IF(D25="",IF(E25="","",IF(E25&lt;128,"Verbind "&amp;E25,INDEX(KdoCodeTab,MATCH(E25,KdoWertTab,0)))),"StatusAbfr "&amp;D25))</f>
        <v>BusLebenszeichen</v>
      </c>
      <c r="G25" t="str">
        <f t="shared" si="6"/>
        <v>BusLebenszeichen</v>
      </c>
      <c r="H25" t="str">
        <f t="shared" si="7"/>
        <v/>
      </c>
      <c r="I25" t="str">
        <f t="shared" si="8"/>
        <v/>
      </c>
    </row>
    <row r="26" spans="1:9" x14ac:dyDescent="0.25">
      <c r="A26" t="s">
        <v>1020</v>
      </c>
      <c r="B26" s="6">
        <f t="shared" si="2"/>
        <v>7.0638333333333332</v>
      </c>
      <c r="C26" s="3">
        <f t="shared" si="3"/>
        <v>31</v>
      </c>
      <c r="D26" s="3" t="str">
        <f t="shared" si="4"/>
        <v/>
      </c>
      <c r="E26" s="3">
        <f t="shared" si="5"/>
        <v>169</v>
      </c>
      <c r="F26" s="5" t="str">
        <f>IF(C26=0,"Broadcast",IF(D26="",IF(E26="","",IF(E26&lt;128,"Verbind "&amp;E26,INDEX(KdoCodeTab,MATCH(E26,KdoWertTab,0)))),"StatusAbfr "&amp;D26))</f>
        <v>BusLebenszeichen</v>
      </c>
      <c r="G26" t="str">
        <f t="shared" si="6"/>
        <v/>
      </c>
      <c r="H26" t="str">
        <f t="shared" si="7"/>
        <v>BusLebenszeichen</v>
      </c>
      <c r="I26" t="str">
        <f t="shared" si="8"/>
        <v/>
      </c>
    </row>
    <row r="27" spans="1:9" x14ac:dyDescent="0.25">
      <c r="A27" t="s">
        <v>1021</v>
      </c>
      <c r="B27" s="6">
        <f t="shared" si="2"/>
        <v>7.2814999999999994</v>
      </c>
      <c r="C27" s="3">
        <f t="shared" si="3"/>
        <v>101</v>
      </c>
      <c r="D27" s="3" t="str">
        <f t="shared" si="4"/>
        <v/>
      </c>
      <c r="E27" s="3">
        <f t="shared" si="5"/>
        <v>169</v>
      </c>
      <c r="F27" s="5" t="str">
        <f>IF(C27=0,"Broadcast",IF(D27="",IF(E27="","",IF(E27&lt;128,"Verbind "&amp;E27,INDEX(KdoCodeTab,MATCH(E27,KdoWertTab,0)))),"StatusAbfr "&amp;D27))</f>
        <v>BusLebenszeichen</v>
      </c>
      <c r="G27" t="str">
        <f t="shared" si="6"/>
        <v>BusLebenszeichen</v>
      </c>
      <c r="H27" t="str">
        <f t="shared" si="7"/>
        <v/>
      </c>
      <c r="I27" t="str">
        <f t="shared" si="8"/>
        <v/>
      </c>
    </row>
    <row r="28" spans="1:9" x14ac:dyDescent="0.25">
      <c r="A28" t="s">
        <v>1022</v>
      </c>
      <c r="B28" s="6">
        <f t="shared" si="2"/>
        <v>7.5698333333333334</v>
      </c>
      <c r="C28" s="3">
        <f t="shared" si="3"/>
        <v>31</v>
      </c>
      <c r="D28" s="3" t="str">
        <f t="shared" si="4"/>
        <v/>
      </c>
      <c r="E28" s="3">
        <f t="shared" si="5"/>
        <v>169</v>
      </c>
      <c r="F28" s="5" t="str">
        <f>IF(C28=0,"Broadcast",IF(D28="",IF(E28="","",IF(E28&lt;128,"Verbind "&amp;E28,INDEX(KdoCodeTab,MATCH(E28,KdoWertTab,0)))),"StatusAbfr "&amp;D28))</f>
        <v>BusLebenszeichen</v>
      </c>
      <c r="G28" t="str">
        <f t="shared" si="6"/>
        <v/>
      </c>
      <c r="H28" t="str">
        <f t="shared" si="7"/>
        <v>BusLebenszeichen</v>
      </c>
      <c r="I28" t="str">
        <f t="shared" si="8"/>
        <v/>
      </c>
    </row>
    <row r="29" spans="1:9" x14ac:dyDescent="0.25">
      <c r="A29" t="s">
        <v>1023</v>
      </c>
      <c r="B29" s="6">
        <f t="shared" si="2"/>
        <v>7.9633333333333338</v>
      </c>
      <c r="C29" s="3">
        <f t="shared" si="3"/>
        <v>101</v>
      </c>
      <c r="D29" s="3" t="str">
        <f t="shared" si="4"/>
        <v/>
      </c>
      <c r="E29" s="3">
        <f t="shared" si="5"/>
        <v>169</v>
      </c>
      <c r="F29" s="5" t="str">
        <f>IF(C29=0,"Broadcast",IF(D29="",IF(E29="","",IF(E29&lt;128,"Verbind "&amp;E29,INDEX(KdoCodeTab,MATCH(E29,KdoWertTab,0)))),"StatusAbfr "&amp;D29))</f>
        <v>BusLebenszeichen</v>
      </c>
      <c r="G29" t="str">
        <f t="shared" si="6"/>
        <v>BusLebenszeichen</v>
      </c>
      <c r="H29" t="str">
        <f t="shared" si="7"/>
        <v/>
      </c>
      <c r="I29" t="str">
        <f t="shared" si="8"/>
        <v/>
      </c>
    </row>
    <row r="30" spans="1:9" x14ac:dyDescent="0.25">
      <c r="A30" t="s">
        <v>1024</v>
      </c>
      <c r="B30" s="6">
        <f t="shared" si="2"/>
        <v>8.0675000000000008</v>
      </c>
      <c r="C30" s="3">
        <f t="shared" si="3"/>
        <v>101</v>
      </c>
      <c r="D30" s="3" t="str">
        <f t="shared" si="4"/>
        <v/>
      </c>
      <c r="E30" s="3">
        <f t="shared" si="5"/>
        <v>182</v>
      </c>
      <c r="F30" s="5" t="str">
        <f>IF(C30=0,"Broadcast",IF(D30="",IF(E30="","",IF(E30&lt;128,"Verbind "&amp;E30,INDEX(KdoCodeTab,MATCH(E30,KdoWertTab,0)))),"StatusAbfr "&amp;D30))</f>
        <v>Wahlziffer6</v>
      </c>
      <c r="G30" t="str">
        <f t="shared" si="6"/>
        <v>Wahlziffer6</v>
      </c>
      <c r="H30" t="str">
        <f t="shared" si="7"/>
        <v/>
      </c>
      <c r="I30" t="str">
        <f t="shared" si="8"/>
        <v/>
      </c>
    </row>
    <row r="31" spans="1:9" x14ac:dyDescent="0.25">
      <c r="A31" t="s">
        <v>1025</v>
      </c>
      <c r="B31" s="6">
        <f t="shared" si="2"/>
        <v>8.0758333333333319</v>
      </c>
      <c r="C31" s="3">
        <f t="shared" si="3"/>
        <v>31</v>
      </c>
      <c r="D31" s="3" t="str">
        <f t="shared" si="4"/>
        <v/>
      </c>
      <c r="E31" s="3">
        <f t="shared" si="5"/>
        <v>169</v>
      </c>
      <c r="F31" s="5" t="str">
        <f>IF(C31=0,"Broadcast",IF(D31="",IF(E31="","",IF(E31&lt;128,"Verbind "&amp;E31,INDEX(KdoCodeTab,MATCH(E31,KdoWertTab,0)))),"StatusAbfr "&amp;D31))</f>
        <v>BusLebenszeichen</v>
      </c>
      <c r="G31" t="str">
        <f t="shared" si="6"/>
        <v/>
      </c>
      <c r="H31" t="str">
        <f t="shared" si="7"/>
        <v>BusLebenszeichen</v>
      </c>
      <c r="I31" t="str">
        <f t="shared" si="8"/>
        <v/>
      </c>
    </row>
    <row r="32" spans="1:9" x14ac:dyDescent="0.25">
      <c r="A32" t="s">
        <v>1026</v>
      </c>
      <c r="B32" s="6">
        <f t="shared" si="2"/>
        <v>8.5818333333333321</v>
      </c>
      <c r="C32" s="3">
        <f t="shared" si="3"/>
        <v>31</v>
      </c>
      <c r="D32" s="3" t="str">
        <f t="shared" si="4"/>
        <v/>
      </c>
      <c r="E32" s="3">
        <f t="shared" si="5"/>
        <v>169</v>
      </c>
      <c r="F32" s="5" t="str">
        <f>IF(C32=0,"Broadcast",IF(D32="",IF(E32="","",IF(E32&lt;128,"Verbind "&amp;E32,INDEX(KdoCodeTab,MATCH(E32,KdoWertTab,0)))),"StatusAbfr "&amp;D32))</f>
        <v>BusLebenszeichen</v>
      </c>
      <c r="G32" t="str">
        <f t="shared" si="6"/>
        <v/>
      </c>
      <c r="H32" t="str">
        <f t="shared" si="7"/>
        <v>BusLebenszeichen</v>
      </c>
      <c r="I32" t="str">
        <f t="shared" si="8"/>
        <v/>
      </c>
    </row>
    <row r="33" spans="1:9" x14ac:dyDescent="0.25">
      <c r="A33" t="s">
        <v>1027</v>
      </c>
      <c r="B33" s="6">
        <f t="shared" si="2"/>
        <v>8.6453333333333333</v>
      </c>
      <c r="C33" s="3">
        <f t="shared" si="3"/>
        <v>101</v>
      </c>
      <c r="D33" s="3" t="str">
        <f t="shared" si="4"/>
        <v/>
      </c>
      <c r="E33" s="3">
        <f t="shared" si="5"/>
        <v>169</v>
      </c>
      <c r="F33" s="5" t="str">
        <f>IF(C33=0,"Broadcast",IF(D33="",IF(E33="","",IF(E33&lt;128,"Verbind "&amp;E33,INDEX(KdoCodeTab,MATCH(E33,KdoWertTab,0)))),"StatusAbfr "&amp;D33))</f>
        <v>BusLebenszeichen</v>
      </c>
      <c r="G33" t="str">
        <f t="shared" si="6"/>
        <v>BusLebenszeichen</v>
      </c>
      <c r="H33" t="str">
        <f t="shared" si="7"/>
        <v/>
      </c>
      <c r="I33" t="str">
        <f t="shared" si="8"/>
        <v/>
      </c>
    </row>
    <row r="34" spans="1:9" x14ac:dyDescent="0.25">
      <c r="A34" t="s">
        <v>1028</v>
      </c>
      <c r="B34" s="6">
        <f t="shared" si="2"/>
        <v>9.0879999999999992</v>
      </c>
      <c r="C34" s="3">
        <f t="shared" si="3"/>
        <v>31</v>
      </c>
      <c r="D34" s="3" t="str">
        <f t="shared" si="4"/>
        <v/>
      </c>
      <c r="E34" s="3">
        <f t="shared" si="5"/>
        <v>169</v>
      </c>
      <c r="F34" s="5" t="str">
        <f>IF(C34=0,"Broadcast",IF(D34="",IF(E34="","",IF(E34&lt;128,"Verbind "&amp;E34,INDEX(KdoCodeTab,MATCH(E34,KdoWertTab,0)))),"StatusAbfr "&amp;D34))</f>
        <v>BusLebenszeichen</v>
      </c>
      <c r="G34" t="str">
        <f t="shared" si="6"/>
        <v/>
      </c>
      <c r="H34" t="str">
        <f t="shared" si="7"/>
        <v>BusLebenszeichen</v>
      </c>
      <c r="I34" t="str">
        <f t="shared" si="8"/>
        <v/>
      </c>
    </row>
    <row r="35" spans="1:9" x14ac:dyDescent="0.25">
      <c r="A35" t="s">
        <v>1029</v>
      </c>
      <c r="B35" s="6">
        <f t="shared" si="2"/>
        <v>9.2151666666666667</v>
      </c>
      <c r="C35" s="3">
        <f t="shared" si="3"/>
        <v>101</v>
      </c>
      <c r="D35" s="3" t="str">
        <f t="shared" si="4"/>
        <v/>
      </c>
      <c r="E35" s="3">
        <f t="shared" si="5"/>
        <v>177</v>
      </c>
      <c r="F35" s="5" t="str">
        <f>IF(C35=0,"Broadcast",IF(D35="",IF(E35="","",IF(E35&lt;128,"Verbind "&amp;E35,INDEX(KdoCodeTab,MATCH(E35,KdoWertTab,0)))),"StatusAbfr "&amp;D35))</f>
        <v>Wahlziffer1</v>
      </c>
      <c r="G35" t="str">
        <f t="shared" si="6"/>
        <v>Wahlziffer1</v>
      </c>
      <c r="H35" t="str">
        <f t="shared" si="7"/>
        <v/>
      </c>
      <c r="I35" t="str">
        <f t="shared" si="8"/>
        <v/>
      </c>
    </row>
    <row r="36" spans="1:9" x14ac:dyDescent="0.25">
      <c r="A36" t="s">
        <v>1030</v>
      </c>
      <c r="B36" s="6">
        <f t="shared" si="2"/>
        <v>9.3273333333333337</v>
      </c>
      <c r="C36" s="3">
        <f t="shared" si="3"/>
        <v>101</v>
      </c>
      <c r="D36" s="3" t="str">
        <f t="shared" si="4"/>
        <v/>
      </c>
      <c r="E36" s="3">
        <f t="shared" si="5"/>
        <v>169</v>
      </c>
      <c r="F36" s="5" t="str">
        <f>IF(C36=0,"Broadcast",IF(D36="",IF(E36="","",IF(E36&lt;128,"Verbind "&amp;E36,INDEX(KdoCodeTab,MATCH(E36,KdoWertTab,0)))),"StatusAbfr "&amp;D36))</f>
        <v>BusLebenszeichen</v>
      </c>
      <c r="G36" t="str">
        <f t="shared" si="6"/>
        <v>BusLebenszeichen</v>
      </c>
      <c r="H36" t="str">
        <f t="shared" si="7"/>
        <v/>
      </c>
      <c r="I36" t="str">
        <f t="shared" si="8"/>
        <v/>
      </c>
    </row>
    <row r="37" spans="1:9" x14ac:dyDescent="0.25">
      <c r="A37" t="s">
        <v>1031</v>
      </c>
      <c r="B37" s="6">
        <f t="shared" si="2"/>
        <v>9.5939999999999994</v>
      </c>
      <c r="C37" s="3">
        <f t="shared" si="3"/>
        <v>31</v>
      </c>
      <c r="D37" s="3" t="str">
        <f t="shared" si="4"/>
        <v/>
      </c>
      <c r="E37" s="3">
        <f t="shared" si="5"/>
        <v>169</v>
      </c>
      <c r="F37" s="5" t="str">
        <f>IF(C37=0,"Broadcast",IF(D37="",IF(E37="","",IF(E37&lt;128,"Verbind "&amp;E37,INDEX(KdoCodeTab,MATCH(E37,KdoWertTab,0)))),"StatusAbfr "&amp;D37))</f>
        <v>BusLebenszeichen</v>
      </c>
      <c r="G37" t="str">
        <f t="shared" si="6"/>
        <v/>
      </c>
      <c r="H37" t="str">
        <f t="shared" si="7"/>
        <v>BusLebenszeichen</v>
      </c>
      <c r="I37" t="str">
        <f t="shared" si="8"/>
        <v/>
      </c>
    </row>
    <row r="38" spans="1:9" x14ac:dyDescent="0.25">
      <c r="A38" t="s">
        <v>1032</v>
      </c>
      <c r="B38" s="6">
        <f t="shared" si="2"/>
        <v>10.009166666666667</v>
      </c>
      <c r="C38" s="3">
        <f t="shared" si="3"/>
        <v>101</v>
      </c>
      <c r="D38" s="3" t="str">
        <f t="shared" si="4"/>
        <v/>
      </c>
      <c r="E38" s="3">
        <f t="shared" si="5"/>
        <v>169</v>
      </c>
      <c r="F38" s="5" t="str">
        <f>IF(C38=0,"Broadcast",IF(D38="",IF(E38="","",IF(E38&lt;128,"Verbind "&amp;E38,INDEX(KdoCodeTab,MATCH(E38,KdoWertTab,0)))),"StatusAbfr "&amp;D38))</f>
        <v>BusLebenszeichen</v>
      </c>
      <c r="G38" t="str">
        <f t="shared" si="6"/>
        <v>BusLebenszeichen</v>
      </c>
      <c r="H38" t="str">
        <f t="shared" si="7"/>
        <v/>
      </c>
      <c r="I38" t="str">
        <f t="shared" si="8"/>
        <v/>
      </c>
    </row>
    <row r="39" spans="1:9" x14ac:dyDescent="0.25">
      <c r="A39" t="s">
        <v>1033</v>
      </c>
      <c r="B39" s="6">
        <f t="shared" si="2"/>
        <v>10.1</v>
      </c>
      <c r="C39" s="3">
        <f t="shared" si="3"/>
        <v>31</v>
      </c>
      <c r="D39" s="3" t="str">
        <f t="shared" si="4"/>
        <v/>
      </c>
      <c r="E39" s="3">
        <f t="shared" si="5"/>
        <v>169</v>
      </c>
      <c r="F39" s="5" t="str">
        <f>IF(C39=0,"Broadcast",IF(D39="",IF(E39="","",IF(E39&lt;128,"Verbind "&amp;E39,INDEX(KdoCodeTab,MATCH(E39,KdoWertTab,0)))),"StatusAbfr "&amp;D39))</f>
        <v>BusLebenszeichen</v>
      </c>
      <c r="G39" t="str">
        <f t="shared" si="6"/>
        <v/>
      </c>
      <c r="H39" t="str">
        <f t="shared" si="7"/>
        <v>BusLebenszeichen</v>
      </c>
      <c r="I39" t="str">
        <f t="shared" si="8"/>
        <v/>
      </c>
    </row>
    <row r="40" spans="1:9" x14ac:dyDescent="0.25">
      <c r="A40" t="s">
        <v>1034</v>
      </c>
      <c r="B40" s="6">
        <f t="shared" si="2"/>
        <v>10.113333333333333</v>
      </c>
      <c r="C40" s="3">
        <f t="shared" si="3"/>
        <v>101</v>
      </c>
      <c r="D40" s="3" t="str">
        <f t="shared" si="4"/>
        <v/>
      </c>
      <c r="E40" s="3">
        <f t="shared" si="5"/>
        <v>178</v>
      </c>
      <c r="F40" s="5" t="str">
        <f>IF(C40=0,"Broadcast",IF(D40="",IF(E40="","",IF(E40&lt;128,"Verbind "&amp;E40,INDEX(KdoCodeTab,MATCH(E40,KdoWertTab,0)))),"StatusAbfr "&amp;D40))</f>
        <v>Wahlziffer2</v>
      </c>
      <c r="G40" t="str">
        <f t="shared" si="6"/>
        <v>Wahlziffer2</v>
      </c>
      <c r="H40" t="str">
        <f t="shared" si="7"/>
        <v/>
      </c>
      <c r="I40" t="str">
        <f t="shared" si="8"/>
        <v/>
      </c>
    </row>
    <row r="41" spans="1:9" x14ac:dyDescent="0.25">
      <c r="A41" t="s">
        <v>1035</v>
      </c>
      <c r="B41" s="6">
        <f t="shared" si="2"/>
        <v>10.606</v>
      </c>
      <c r="C41" s="3">
        <f t="shared" si="3"/>
        <v>31</v>
      </c>
      <c r="D41" s="3" t="str">
        <f t="shared" si="4"/>
        <v/>
      </c>
      <c r="E41" s="3">
        <f t="shared" si="5"/>
        <v>169</v>
      </c>
      <c r="F41" s="5" t="str">
        <f>IF(C41=0,"Broadcast",IF(D41="",IF(E41="","",IF(E41&lt;128,"Verbind "&amp;E41,INDEX(KdoCodeTab,MATCH(E41,KdoWertTab,0)))),"StatusAbfr "&amp;D41))</f>
        <v>BusLebenszeichen</v>
      </c>
      <c r="G41" t="str">
        <f t="shared" si="6"/>
        <v/>
      </c>
      <c r="H41" t="str">
        <f t="shared" si="7"/>
        <v>BusLebenszeichen</v>
      </c>
      <c r="I41" t="str">
        <f t="shared" si="8"/>
        <v/>
      </c>
    </row>
    <row r="42" spans="1:9" x14ac:dyDescent="0.25">
      <c r="A42" t="s">
        <v>1036</v>
      </c>
      <c r="B42" s="6">
        <f t="shared" si="2"/>
        <v>10.691166666666668</v>
      </c>
      <c r="C42" s="3">
        <f t="shared" si="3"/>
        <v>101</v>
      </c>
      <c r="D42" s="3" t="str">
        <f t="shared" si="4"/>
        <v/>
      </c>
      <c r="E42" s="3">
        <f t="shared" si="5"/>
        <v>169</v>
      </c>
      <c r="F42" s="5" t="str">
        <f>IF(C42=0,"Broadcast",IF(D42="",IF(E42="","",IF(E42&lt;128,"Verbind "&amp;E42,INDEX(KdoCodeTab,MATCH(E42,KdoWertTab,0)))),"StatusAbfr "&amp;D42))</f>
        <v>BusLebenszeichen</v>
      </c>
      <c r="G42" t="str">
        <f t="shared" si="6"/>
        <v>BusLebenszeichen</v>
      </c>
      <c r="H42" t="str">
        <f t="shared" si="7"/>
        <v/>
      </c>
      <c r="I42" t="str">
        <f t="shared" si="8"/>
        <v/>
      </c>
    </row>
    <row r="43" spans="1:9" x14ac:dyDescent="0.25">
      <c r="A43" t="s">
        <v>1037</v>
      </c>
      <c r="B43" s="6">
        <f t="shared" si="2"/>
        <v>0.18933333333333333</v>
      </c>
      <c r="C43" s="3">
        <f t="shared" si="3"/>
        <v>31</v>
      </c>
      <c r="D43" s="3" t="str">
        <f t="shared" si="4"/>
        <v/>
      </c>
      <c r="E43" s="3">
        <f t="shared" si="5"/>
        <v>169</v>
      </c>
      <c r="F43" s="5" t="str">
        <f>IF(C43=0,"Broadcast",IF(D43="",IF(E43="","",IF(E43&lt;128,"Verbind "&amp;E43,INDEX(KdoCodeTab,MATCH(E43,KdoWertTab,0)))),"StatusAbfr "&amp;D43))</f>
        <v>BusLebenszeichen</v>
      </c>
      <c r="G43" t="str">
        <f t="shared" si="6"/>
        <v/>
      </c>
      <c r="H43" t="str">
        <f t="shared" si="7"/>
        <v>BusLebenszeichen</v>
      </c>
      <c r="I43" t="str">
        <f t="shared" si="8"/>
        <v/>
      </c>
    </row>
    <row r="44" spans="1:9" x14ac:dyDescent="0.25">
      <c r="A44" t="s">
        <v>1038</v>
      </c>
      <c r="B44" s="6">
        <f t="shared" si="2"/>
        <v>0.45033333333333336</v>
      </c>
      <c r="C44" s="3">
        <f t="shared" si="3"/>
        <v>101</v>
      </c>
      <c r="D44" s="3" t="str">
        <f t="shared" si="4"/>
        <v/>
      </c>
      <c r="E44" s="3">
        <f t="shared" si="5"/>
        <v>169</v>
      </c>
      <c r="F44" s="5" t="str">
        <f>IF(C44=0,"Broadcast",IF(D44="",IF(E44="","",IF(E44&lt;128,"Verbind "&amp;E44,INDEX(KdoCodeTab,MATCH(E44,KdoWertTab,0)))),"StatusAbfr "&amp;D44))</f>
        <v>BusLebenszeichen</v>
      </c>
      <c r="G44" t="str">
        <f t="shared" si="6"/>
        <v>BusLebenszeichen</v>
      </c>
      <c r="H44" t="str">
        <f t="shared" si="7"/>
        <v/>
      </c>
      <c r="I44" t="str">
        <f t="shared" si="8"/>
        <v/>
      </c>
    </row>
    <row r="45" spans="1:9" x14ac:dyDescent="0.25">
      <c r="A45" t="s">
        <v>1039</v>
      </c>
      <c r="B45" s="6">
        <f t="shared" si="2"/>
        <v>0.69533333333333325</v>
      </c>
      <c r="C45" s="3">
        <f t="shared" si="3"/>
        <v>31</v>
      </c>
      <c r="D45" s="3" t="str">
        <f t="shared" si="4"/>
        <v/>
      </c>
      <c r="E45" s="3">
        <f t="shared" si="5"/>
        <v>169</v>
      </c>
      <c r="F45" s="5" t="str">
        <f>IF(C45=0,"Broadcast",IF(D45="",IF(E45="","",IF(E45&lt;128,"Verbind "&amp;E45,INDEX(KdoCodeTab,MATCH(E45,KdoWertTab,0)))),"StatusAbfr "&amp;D45))</f>
        <v>BusLebenszeichen</v>
      </c>
      <c r="G45" t="str">
        <f t="shared" si="6"/>
        <v/>
      </c>
      <c r="H45" t="str">
        <f t="shared" si="7"/>
        <v>BusLebenszeichen</v>
      </c>
      <c r="I45" t="str">
        <f t="shared" si="8"/>
        <v/>
      </c>
    </row>
    <row r="46" spans="1:9" x14ac:dyDescent="0.25">
      <c r="A46" t="s">
        <v>1040</v>
      </c>
      <c r="B46" s="6">
        <f t="shared" si="2"/>
        <v>0.79783333333333339</v>
      </c>
      <c r="C46" s="3">
        <f t="shared" si="3"/>
        <v>31</v>
      </c>
      <c r="D46" s="3" t="str">
        <f t="shared" si="4"/>
        <v/>
      </c>
      <c r="E46" s="3">
        <f t="shared" si="5"/>
        <v>165</v>
      </c>
      <c r="F46" s="5" t="str">
        <f>IF(C46=0,"Broadcast",IF(D46="",IF(E46="","",IF(E46&lt;128,"Verbind "&amp;E46,INDEX(KdoCodeTab,MATCH(E46,KdoWertTab,0)))),"StatusAbfr "&amp;D46))</f>
        <v>QuittEin</v>
      </c>
      <c r="G46" t="str">
        <f t="shared" si="6"/>
        <v/>
      </c>
      <c r="H46" t="str">
        <f t="shared" si="7"/>
        <v>QuittEin</v>
      </c>
      <c r="I46" t="str">
        <f t="shared" si="8"/>
        <v/>
      </c>
    </row>
    <row r="47" spans="1:9" x14ac:dyDescent="0.25">
      <c r="A47" t="s">
        <v>1041</v>
      </c>
      <c r="B47" s="6">
        <f t="shared" si="2"/>
        <v>0.80216666666666669</v>
      </c>
      <c r="C47" s="3">
        <f t="shared" si="3"/>
        <v>31</v>
      </c>
      <c r="D47" s="3" t="str">
        <f t="shared" si="4"/>
        <v/>
      </c>
      <c r="E47" s="3">
        <f t="shared" si="5"/>
        <v>147</v>
      </c>
      <c r="F47" s="5" t="str">
        <f>IF(C47=0,"Broadcast",IF(D47="",IF(E47="","",IF(E47&lt;128,"Verbind "&amp;E47,INDEX(KdoCodeTab,MATCH(E47,KdoWertTab,0)))),"StatusAbfr "&amp;D47))</f>
        <v>Space</v>
      </c>
      <c r="G47" t="str">
        <f t="shared" si="6"/>
        <v/>
      </c>
      <c r="H47" t="str">
        <f t="shared" si="7"/>
        <v>Space</v>
      </c>
      <c r="I47" t="str">
        <f t="shared" si="8"/>
        <v/>
      </c>
    </row>
    <row r="48" spans="1:9" x14ac:dyDescent="0.25">
      <c r="A48" t="s">
        <v>1042</v>
      </c>
      <c r="B48" s="6">
        <f t="shared" si="2"/>
        <v>0.80833333333333335</v>
      </c>
      <c r="C48" s="3">
        <f t="shared" si="3"/>
        <v>31</v>
      </c>
      <c r="D48" s="3" t="str">
        <f t="shared" si="4"/>
        <v/>
      </c>
      <c r="E48" s="3">
        <f t="shared" si="5"/>
        <v>150</v>
      </c>
      <c r="F48" s="5" t="str">
        <f>IF(C48=0,"Broadcast",IF(D48="",IF(E48="","",IF(E48&lt;128,"Verbind "&amp;E48,INDEX(KdoCodeTab,MATCH(E48,KdoWertTab,0)))),"StatusAbfr "&amp;D48))</f>
        <v>SpaceWdh</v>
      </c>
      <c r="G48" t="str">
        <f t="shared" si="6"/>
        <v/>
      </c>
      <c r="H48" t="str">
        <f t="shared" si="7"/>
        <v>SpaceWdh</v>
      </c>
      <c r="I48" t="str">
        <f t="shared" si="8"/>
        <v/>
      </c>
    </row>
    <row r="49" spans="1:9" x14ac:dyDescent="0.25">
      <c r="A49" t="s">
        <v>1043</v>
      </c>
      <c r="B49" s="6">
        <f t="shared" si="2"/>
        <v>0.82233333333333325</v>
      </c>
      <c r="C49" s="3">
        <f t="shared" si="3"/>
        <v>31</v>
      </c>
      <c r="D49" s="3" t="str">
        <f t="shared" si="4"/>
        <v/>
      </c>
      <c r="E49" s="3">
        <f t="shared" si="5"/>
        <v>156</v>
      </c>
      <c r="F49" s="5" t="str">
        <f>IF(C49=0,"Broadcast",IF(D49="",IF(E49="","",IF(E49&lt;128,"Verbind "&amp;E49,INDEX(KdoCodeTab,MATCH(E49,KdoWertTab,0)))),"StatusAbfr "&amp;D49))</f>
        <v>Mark</v>
      </c>
      <c r="G49" t="str">
        <f t="shared" si="6"/>
        <v/>
      </c>
      <c r="H49" t="str">
        <f t="shared" si="7"/>
        <v>Mark</v>
      </c>
      <c r="I49" t="str">
        <f t="shared" si="8"/>
        <v/>
      </c>
    </row>
    <row r="50" spans="1:9" x14ac:dyDescent="0.25">
      <c r="A50" t="s">
        <v>1044</v>
      </c>
      <c r="B50" s="6">
        <f t="shared" si="2"/>
        <v>0.82833333333333325</v>
      </c>
      <c r="C50" s="3">
        <f t="shared" si="3"/>
        <v>100</v>
      </c>
      <c r="D50" s="3" t="str">
        <f t="shared" si="4"/>
        <v/>
      </c>
      <c r="E50" s="3" t="str">
        <f t="shared" si="5"/>
        <v/>
      </c>
      <c r="F50" s="5" t="str">
        <f>IF(C50=0,"Broadcast",IF(D50="",IF(E50="","",IF(E50&lt;128,"Verbind "&amp;E50,INDEX(KdoCodeTab,MATCH(E50,KdoWertTab,0)))),"StatusAbfr "&amp;D50))</f>
        <v/>
      </c>
      <c r="G50" t="str">
        <f t="shared" si="6"/>
        <v/>
      </c>
      <c r="H50" t="str">
        <f t="shared" si="7"/>
        <v/>
      </c>
      <c r="I50" t="str">
        <f t="shared" si="8"/>
        <v/>
      </c>
    </row>
    <row r="51" spans="1:9" x14ac:dyDescent="0.25">
      <c r="A51" t="s">
        <v>1045</v>
      </c>
      <c r="B51" s="6">
        <f t="shared" si="2"/>
        <v>0.95333333333333325</v>
      </c>
      <c r="C51" s="3">
        <f t="shared" si="3"/>
        <v>31</v>
      </c>
      <c r="D51" s="3" t="str">
        <f t="shared" si="4"/>
        <v/>
      </c>
      <c r="E51" s="3">
        <f t="shared" si="5"/>
        <v>147</v>
      </c>
      <c r="F51" s="5" t="str">
        <f>IF(C51=0,"Broadcast",IF(D51="",IF(E51="","",IF(E51&lt;128,"Verbind "&amp;E51,INDEX(KdoCodeTab,MATCH(E51,KdoWertTab,0)))),"StatusAbfr "&amp;D51))</f>
        <v>Space</v>
      </c>
      <c r="G51" t="str">
        <f t="shared" si="6"/>
        <v/>
      </c>
      <c r="H51" t="str">
        <f t="shared" si="7"/>
        <v>Space</v>
      </c>
      <c r="I51" t="str">
        <f t="shared" si="8"/>
        <v/>
      </c>
    </row>
    <row r="52" spans="1:9" x14ac:dyDescent="0.25">
      <c r="A52" t="s">
        <v>1046</v>
      </c>
      <c r="B52" s="6">
        <f t="shared" si="2"/>
        <v>0.95949999999999991</v>
      </c>
      <c r="C52" s="3">
        <f t="shared" si="3"/>
        <v>31</v>
      </c>
      <c r="D52" s="3" t="str">
        <f t="shared" si="4"/>
        <v/>
      </c>
      <c r="E52" s="3">
        <f t="shared" si="5"/>
        <v>150</v>
      </c>
      <c r="F52" s="5" t="str">
        <f>IF(C52=0,"Broadcast",IF(D52="",IF(E52="","",IF(E52&lt;128,"Verbind "&amp;E52,INDEX(KdoCodeTab,MATCH(E52,KdoWertTab,0)))),"StatusAbfr "&amp;D52))</f>
        <v>SpaceWdh</v>
      </c>
      <c r="G52" t="str">
        <f t="shared" si="6"/>
        <v/>
      </c>
      <c r="H52" t="str">
        <f t="shared" si="7"/>
        <v>SpaceWdh</v>
      </c>
      <c r="I52" t="str">
        <f t="shared" si="8"/>
        <v/>
      </c>
    </row>
    <row r="53" spans="1:9" x14ac:dyDescent="0.25">
      <c r="A53" t="s">
        <v>1047</v>
      </c>
      <c r="B53" s="6">
        <f t="shared" si="2"/>
        <v>0.97349999999999992</v>
      </c>
      <c r="C53" s="3">
        <f t="shared" si="3"/>
        <v>31</v>
      </c>
      <c r="D53" s="3" t="str">
        <f t="shared" si="4"/>
        <v/>
      </c>
      <c r="E53" s="3">
        <f t="shared" si="5"/>
        <v>156</v>
      </c>
      <c r="F53" s="5" t="str">
        <f>IF(C53=0,"Broadcast",IF(D53="",IF(E53="","",IF(E53&lt;128,"Verbind "&amp;E53,INDEX(KdoCodeTab,MATCH(E53,KdoWertTab,0)))),"StatusAbfr "&amp;D53))</f>
        <v>Mark</v>
      </c>
      <c r="G53" t="str">
        <f t="shared" si="6"/>
        <v/>
      </c>
      <c r="H53" t="str">
        <f t="shared" si="7"/>
        <v>Mark</v>
      </c>
      <c r="I53" t="str">
        <f t="shared" si="8"/>
        <v/>
      </c>
    </row>
    <row r="54" spans="1:9" x14ac:dyDescent="0.25">
      <c r="A54" t="s">
        <v>1048</v>
      </c>
      <c r="B54" s="6">
        <f t="shared" si="2"/>
        <v>0.97966666666666669</v>
      </c>
      <c r="C54" s="3">
        <f t="shared" si="3"/>
        <v>31</v>
      </c>
      <c r="D54" s="3" t="str">
        <f t="shared" si="4"/>
        <v/>
      </c>
      <c r="E54" s="3">
        <f t="shared" si="5"/>
        <v>154</v>
      </c>
      <c r="F54" s="5" t="str">
        <f>IF(C54=0,"Broadcast",IF(D54="",IF(E54="","",IF(E54&lt;128,"Verbind "&amp;E54,INDEX(KdoCodeTab,MATCH(E54,KdoWertTab,0)))),"StatusAbfr "&amp;D54))</f>
        <v>MarkWdh</v>
      </c>
      <c r="G54" t="str">
        <f t="shared" si="6"/>
        <v/>
      </c>
      <c r="H54" t="str">
        <f t="shared" si="7"/>
        <v>MarkWdh</v>
      </c>
      <c r="I54" t="str">
        <f t="shared" si="8"/>
        <v/>
      </c>
    </row>
    <row r="55" spans="1:9" x14ac:dyDescent="0.25">
      <c r="A55" t="s">
        <v>1049</v>
      </c>
      <c r="B55" s="6">
        <f t="shared" si="2"/>
        <v>1.1046666666666667</v>
      </c>
      <c r="C55" s="3">
        <f t="shared" si="3"/>
        <v>31</v>
      </c>
      <c r="D55" s="3" t="str">
        <f t="shared" si="4"/>
        <v/>
      </c>
      <c r="E55" s="3">
        <f t="shared" si="5"/>
        <v>147</v>
      </c>
      <c r="F55" s="5" t="str">
        <f>IF(C55=0,"Broadcast",IF(D55="",IF(E55="","",IF(E55&lt;128,"Verbind "&amp;E55,INDEX(KdoCodeTab,MATCH(E55,KdoWertTab,0)))),"StatusAbfr "&amp;D55))</f>
        <v>Space</v>
      </c>
      <c r="G55" t="str">
        <f t="shared" si="6"/>
        <v/>
      </c>
      <c r="H55" t="str">
        <f t="shared" si="7"/>
        <v>Space</v>
      </c>
      <c r="I55" t="str">
        <f t="shared" si="8"/>
        <v/>
      </c>
    </row>
    <row r="56" spans="1:9" x14ac:dyDescent="0.25">
      <c r="A56" t="s">
        <v>1050</v>
      </c>
      <c r="B56" s="6">
        <f t="shared" si="2"/>
        <v>1.1106666666666667</v>
      </c>
      <c r="C56" s="3">
        <f t="shared" si="3"/>
        <v>31</v>
      </c>
      <c r="D56" s="3" t="str">
        <f t="shared" si="4"/>
        <v/>
      </c>
      <c r="E56" s="3">
        <f t="shared" si="5"/>
        <v>150</v>
      </c>
      <c r="F56" s="5" t="str">
        <f>IF(C56=0,"Broadcast",IF(D56="",IF(E56="","",IF(E56&lt;128,"Verbind "&amp;E56,INDEX(KdoCodeTab,MATCH(E56,KdoWertTab,0)))),"StatusAbfr "&amp;D56))</f>
        <v>SpaceWdh</v>
      </c>
      <c r="G56" t="str">
        <f t="shared" si="6"/>
        <v/>
      </c>
      <c r="H56" t="str">
        <f t="shared" si="7"/>
        <v>SpaceWdh</v>
      </c>
      <c r="I56" t="str">
        <f t="shared" si="8"/>
        <v/>
      </c>
    </row>
    <row r="57" spans="1:9" x14ac:dyDescent="0.25">
      <c r="A57" t="s">
        <v>1051</v>
      </c>
      <c r="B57" s="6">
        <f t="shared" si="2"/>
        <v>1.1248333333333334</v>
      </c>
      <c r="C57" s="3">
        <f t="shared" si="3"/>
        <v>31</v>
      </c>
      <c r="D57" s="3" t="str">
        <f t="shared" si="4"/>
        <v/>
      </c>
      <c r="E57" s="3">
        <f t="shared" si="5"/>
        <v>156</v>
      </c>
      <c r="F57" s="5" t="str">
        <f>IF(C57=0,"Broadcast",IF(D57="",IF(E57="","",IF(E57&lt;128,"Verbind "&amp;E57,INDEX(KdoCodeTab,MATCH(E57,KdoWertTab,0)))),"StatusAbfr "&amp;D57))</f>
        <v>Mark</v>
      </c>
      <c r="G57" t="str">
        <f t="shared" si="6"/>
        <v/>
      </c>
      <c r="H57" t="str">
        <f t="shared" si="7"/>
        <v>Mark</v>
      </c>
      <c r="I57" t="str">
        <f t="shared" si="8"/>
        <v/>
      </c>
    </row>
    <row r="58" spans="1:9" x14ac:dyDescent="0.25">
      <c r="A58" t="s">
        <v>1052</v>
      </c>
      <c r="B58" s="6">
        <f t="shared" si="2"/>
        <v>1.1308333333333331</v>
      </c>
      <c r="C58" s="3">
        <f t="shared" si="3"/>
        <v>31</v>
      </c>
      <c r="D58" s="3" t="str">
        <f t="shared" si="4"/>
        <v/>
      </c>
      <c r="E58" s="3">
        <f t="shared" si="5"/>
        <v>154</v>
      </c>
      <c r="F58" s="5" t="str">
        <f>IF(C58=0,"Broadcast",IF(D58="",IF(E58="","",IF(E58&lt;128,"Verbind "&amp;E58,INDEX(KdoCodeTab,MATCH(E58,KdoWertTab,0)))),"StatusAbfr "&amp;D58))</f>
        <v>MarkWdh</v>
      </c>
      <c r="G58" t="str">
        <f t="shared" si="6"/>
        <v/>
      </c>
      <c r="H58" t="str">
        <f t="shared" si="7"/>
        <v>MarkWdh</v>
      </c>
      <c r="I58" t="str">
        <f t="shared" si="8"/>
        <v/>
      </c>
    </row>
    <row r="59" spans="1:9" x14ac:dyDescent="0.25">
      <c r="A59" t="s">
        <v>1053</v>
      </c>
      <c r="B59" s="6">
        <f t="shared" si="2"/>
        <v>1.1323333333333332</v>
      </c>
      <c r="C59" s="3">
        <f t="shared" si="3"/>
        <v>101</v>
      </c>
      <c r="D59" s="3" t="str">
        <f t="shared" si="4"/>
        <v/>
      </c>
      <c r="E59" s="3">
        <f t="shared" si="5"/>
        <v>169</v>
      </c>
      <c r="F59" s="5" t="str">
        <f>IF(C59=0,"Broadcast",IF(D59="",IF(E59="","",IF(E59&lt;128,"Verbind "&amp;E59,INDEX(KdoCodeTab,MATCH(E59,KdoWertTab,0)))),"StatusAbfr "&amp;D59))</f>
        <v>BusLebenszeichen</v>
      </c>
      <c r="G59" t="str">
        <f t="shared" si="6"/>
        <v>BusLebenszeichen</v>
      </c>
      <c r="H59" t="str">
        <f t="shared" si="7"/>
        <v/>
      </c>
      <c r="I59" t="str">
        <f t="shared" si="8"/>
        <v/>
      </c>
    </row>
    <row r="60" spans="1:9" x14ac:dyDescent="0.25">
      <c r="A60" t="s">
        <v>1054</v>
      </c>
      <c r="B60" s="6">
        <f t="shared" si="2"/>
        <v>1.2558333333333331</v>
      </c>
      <c r="C60" s="3">
        <f t="shared" si="3"/>
        <v>31</v>
      </c>
      <c r="D60" s="3" t="str">
        <f t="shared" si="4"/>
        <v/>
      </c>
      <c r="E60" s="3">
        <f t="shared" si="5"/>
        <v>147</v>
      </c>
      <c r="F60" s="5" t="str">
        <f>IF(C60=0,"Broadcast",IF(D60="",IF(E60="","",IF(E60&lt;128,"Verbind "&amp;E60,INDEX(KdoCodeTab,MATCH(E60,KdoWertTab,0)))),"StatusAbfr "&amp;D60))</f>
        <v>Space</v>
      </c>
      <c r="G60" t="str">
        <f t="shared" si="6"/>
        <v/>
      </c>
      <c r="H60" t="str">
        <f t="shared" si="7"/>
        <v>Space</v>
      </c>
      <c r="I60" t="str">
        <f t="shared" si="8"/>
        <v/>
      </c>
    </row>
    <row r="61" spans="1:9" x14ac:dyDescent="0.25">
      <c r="A61" t="s">
        <v>1055</v>
      </c>
      <c r="B61" s="6">
        <f t="shared" si="2"/>
        <v>1.2618333333333331</v>
      </c>
      <c r="C61" s="3">
        <f t="shared" si="3"/>
        <v>31</v>
      </c>
      <c r="D61" s="3" t="str">
        <f t="shared" si="4"/>
        <v/>
      </c>
      <c r="E61" s="3">
        <f t="shared" si="5"/>
        <v>150</v>
      </c>
      <c r="F61" s="5" t="str">
        <f>IF(C61=0,"Broadcast",IF(D61="",IF(E61="","",IF(E61&lt;128,"Verbind "&amp;E61,INDEX(KdoCodeTab,MATCH(E61,KdoWertTab,0)))),"StatusAbfr "&amp;D61))</f>
        <v>SpaceWdh</v>
      </c>
      <c r="G61" t="str">
        <f t="shared" si="6"/>
        <v/>
      </c>
      <c r="H61" t="str">
        <f t="shared" si="7"/>
        <v>SpaceWdh</v>
      </c>
      <c r="I61" t="str">
        <f t="shared" si="8"/>
        <v/>
      </c>
    </row>
    <row r="62" spans="1:9" x14ac:dyDescent="0.25">
      <c r="A62" t="s">
        <v>1056</v>
      </c>
      <c r="B62" s="6">
        <f t="shared" si="2"/>
        <v>1.276</v>
      </c>
      <c r="C62" s="3">
        <f t="shared" si="3"/>
        <v>31</v>
      </c>
      <c r="D62" s="3" t="str">
        <f t="shared" si="4"/>
        <v/>
      </c>
      <c r="E62" s="3">
        <f t="shared" si="5"/>
        <v>156</v>
      </c>
      <c r="F62" s="5" t="str">
        <f>IF(C62=0,"Broadcast",IF(D62="",IF(E62="","",IF(E62&lt;128,"Verbind "&amp;E62,INDEX(KdoCodeTab,MATCH(E62,KdoWertTab,0)))),"StatusAbfr "&amp;D62))</f>
        <v>Mark</v>
      </c>
      <c r="G62" t="str">
        <f t="shared" si="6"/>
        <v/>
      </c>
      <c r="H62" t="str">
        <f t="shared" si="7"/>
        <v>Mark</v>
      </c>
      <c r="I62" t="str">
        <f t="shared" si="8"/>
        <v/>
      </c>
    </row>
    <row r="63" spans="1:9" x14ac:dyDescent="0.25">
      <c r="A63" t="s">
        <v>1057</v>
      </c>
      <c r="B63" s="6">
        <f t="shared" si="2"/>
        <v>1.282</v>
      </c>
      <c r="C63" s="3">
        <f t="shared" si="3"/>
        <v>31</v>
      </c>
      <c r="D63" s="3" t="str">
        <f t="shared" si="4"/>
        <v/>
      </c>
      <c r="E63" s="3">
        <f t="shared" si="5"/>
        <v>154</v>
      </c>
      <c r="F63" s="5" t="str">
        <f>IF(C63=0,"Broadcast",IF(D63="",IF(E63="","",IF(E63&lt;128,"Verbind "&amp;E63,INDEX(KdoCodeTab,MATCH(E63,KdoWertTab,0)))),"StatusAbfr "&amp;D63))</f>
        <v>MarkWdh</v>
      </c>
      <c r="G63" t="str">
        <f t="shared" si="6"/>
        <v/>
      </c>
      <c r="H63" t="str">
        <f t="shared" si="7"/>
        <v>MarkWdh</v>
      </c>
      <c r="I63" t="str">
        <f t="shared" si="8"/>
        <v/>
      </c>
    </row>
    <row r="64" spans="1:9" x14ac:dyDescent="0.25">
      <c r="A64" t="s">
        <v>1058</v>
      </c>
      <c r="B64" s="6">
        <f t="shared" si="2"/>
        <v>1.407</v>
      </c>
      <c r="C64" s="3">
        <f t="shared" si="3"/>
        <v>31</v>
      </c>
      <c r="D64" s="3" t="str">
        <f t="shared" si="4"/>
        <v/>
      </c>
      <c r="E64" s="3">
        <f t="shared" si="5"/>
        <v>147</v>
      </c>
      <c r="F64" s="5" t="str">
        <f>IF(C64=0,"Broadcast",IF(D64="",IF(E64="","",IF(E64&lt;128,"Verbind "&amp;E64,INDEX(KdoCodeTab,MATCH(E64,KdoWertTab,0)))),"StatusAbfr "&amp;D64))</f>
        <v>Space</v>
      </c>
      <c r="G64" t="str">
        <f t="shared" si="6"/>
        <v/>
      </c>
      <c r="H64" t="str">
        <f t="shared" si="7"/>
        <v>Space</v>
      </c>
      <c r="I64" t="str">
        <f t="shared" si="8"/>
        <v/>
      </c>
    </row>
    <row r="65" spans="1:9" x14ac:dyDescent="0.25">
      <c r="A65" t="s">
        <v>1059</v>
      </c>
      <c r="B65" s="6">
        <f t="shared" si="2"/>
        <v>1.413</v>
      </c>
      <c r="C65" s="3">
        <f t="shared" si="3"/>
        <v>31</v>
      </c>
      <c r="D65" s="3" t="str">
        <f t="shared" si="4"/>
        <v/>
      </c>
      <c r="E65" s="3">
        <f t="shared" si="5"/>
        <v>150</v>
      </c>
      <c r="F65" s="5" t="str">
        <f>IF(C65=0,"Broadcast",IF(D65="",IF(E65="","",IF(E65&lt;128,"Verbind "&amp;E65,INDEX(KdoCodeTab,MATCH(E65,KdoWertTab,0)))),"StatusAbfr "&amp;D65))</f>
        <v>SpaceWdh</v>
      </c>
      <c r="G65" t="str">
        <f t="shared" si="6"/>
        <v/>
      </c>
      <c r="H65" t="str">
        <f t="shared" si="7"/>
        <v>SpaceWdh</v>
      </c>
      <c r="I65" t="str">
        <f t="shared" si="8"/>
        <v/>
      </c>
    </row>
    <row r="66" spans="1:9" x14ac:dyDescent="0.25">
      <c r="A66" t="s">
        <v>1060</v>
      </c>
      <c r="B66" s="6">
        <f t="shared" si="2"/>
        <v>1.4271666666666667</v>
      </c>
      <c r="C66" s="3">
        <f t="shared" si="3"/>
        <v>31</v>
      </c>
      <c r="D66" s="3" t="str">
        <f t="shared" si="4"/>
        <v/>
      </c>
      <c r="E66" s="3">
        <f t="shared" si="5"/>
        <v>156</v>
      </c>
      <c r="F66" s="5" t="str">
        <f>IF(C66=0,"Broadcast",IF(D66="",IF(E66="","",IF(E66&lt;128,"Verbind "&amp;E66,INDEX(KdoCodeTab,MATCH(E66,KdoWertTab,0)))),"StatusAbfr "&amp;D66))</f>
        <v>Mark</v>
      </c>
      <c r="G66" t="str">
        <f t="shared" si="6"/>
        <v/>
      </c>
      <c r="H66" t="str">
        <f t="shared" si="7"/>
        <v>Mark</v>
      </c>
      <c r="I66" t="str">
        <f t="shared" si="8"/>
        <v/>
      </c>
    </row>
    <row r="67" spans="1:9" x14ac:dyDescent="0.25">
      <c r="A67" t="s">
        <v>1061</v>
      </c>
      <c r="B67" s="6">
        <f t="shared" si="2"/>
        <v>1.4331666666666667</v>
      </c>
      <c r="C67" s="3">
        <f t="shared" si="3"/>
        <v>31</v>
      </c>
      <c r="D67" s="3" t="str">
        <f t="shared" si="4"/>
        <v/>
      </c>
      <c r="E67" s="3">
        <f t="shared" si="5"/>
        <v>154</v>
      </c>
      <c r="F67" s="5" t="str">
        <f>IF(C67=0,"Broadcast",IF(D67="",IF(E67="","",IF(E67&lt;128,"Verbind "&amp;E67,INDEX(KdoCodeTab,MATCH(E67,KdoWertTab,0)))),"StatusAbfr "&amp;D67))</f>
        <v>MarkWdh</v>
      </c>
      <c r="G67" t="str">
        <f t="shared" si="6"/>
        <v/>
      </c>
      <c r="H67" t="str">
        <f t="shared" si="7"/>
        <v>MarkWdh</v>
      </c>
      <c r="I67" t="str">
        <f t="shared" si="8"/>
        <v/>
      </c>
    </row>
    <row r="68" spans="1:9" x14ac:dyDescent="0.25">
      <c r="A68" t="s">
        <v>1062</v>
      </c>
      <c r="B68" s="6">
        <f t="shared" si="2"/>
        <v>1.5581666666666667</v>
      </c>
      <c r="C68" s="3">
        <f t="shared" si="3"/>
        <v>31</v>
      </c>
      <c r="D68" s="3" t="str">
        <f t="shared" si="4"/>
        <v/>
      </c>
      <c r="E68" s="3">
        <f t="shared" si="5"/>
        <v>147</v>
      </c>
      <c r="F68" s="5" t="str">
        <f>IF(C68=0,"Broadcast",IF(D68="",IF(E68="","",IF(E68&lt;128,"Verbind "&amp;E68,INDEX(KdoCodeTab,MATCH(E68,KdoWertTab,0)))),"StatusAbfr "&amp;D68))</f>
        <v>Space</v>
      </c>
      <c r="G68" t="str">
        <f t="shared" si="6"/>
        <v/>
      </c>
      <c r="H68" t="str">
        <f t="shared" si="7"/>
        <v>Space</v>
      </c>
      <c r="I68" t="str">
        <f t="shared" si="8"/>
        <v/>
      </c>
    </row>
    <row r="69" spans="1:9" x14ac:dyDescent="0.25">
      <c r="A69" t="s">
        <v>1063</v>
      </c>
      <c r="B69" s="6">
        <f t="shared" ref="B69:B132" si="9">MID(A69,1,5)/1000+(CODE(MID(A69,6,1))-CODE("a"))/6000</f>
        <v>1.5643333333333334</v>
      </c>
      <c r="C69" s="3">
        <f t="shared" ref="C69:C132" si="10">INT(HEX2DEC(MID(A69,8,2))/2)</f>
        <v>31</v>
      </c>
      <c r="D69" s="3" t="str">
        <f t="shared" ref="D69:D132" si="11">IF(MID(A69,10,1)="&lt;",MID(A69,12,2),"")</f>
        <v/>
      </c>
      <c r="E69" s="3">
        <f t="shared" ref="E69:E132" si="12">IF(MID(A69,10,1)="&gt;",HEX2DEC(MID(A69,12,2)),"")</f>
        <v>150</v>
      </c>
      <c r="F69" s="5" t="str">
        <f>IF(C69=0,"Broadcast",IF(D69="",IF(E69="","",IF(E69&lt;128,"Verbind "&amp;E69,INDEX(KdoCodeTab,MATCH(E69,KdoWertTab,0)))),"StatusAbfr "&amp;D69))</f>
        <v>SpaceWdh</v>
      </c>
      <c r="G69" t="str">
        <f t="shared" ref="G69:G132" si="13">IF(C69=$G$2,F69,"")</f>
        <v/>
      </c>
      <c r="H69" t="str">
        <f t="shared" ref="H69:H132" si="14">IF(C69=$H$2,F69,"")</f>
        <v>SpaceWdh</v>
      </c>
      <c r="I69" t="str">
        <f t="shared" ref="I69:I132" si="15">IF(G69&amp;H69="",F69,"")</f>
        <v/>
      </c>
    </row>
    <row r="70" spans="1:9" x14ac:dyDescent="0.25">
      <c r="A70" t="s">
        <v>1064</v>
      </c>
      <c r="B70" s="6">
        <f t="shared" si="9"/>
        <v>1.5783333333333334</v>
      </c>
      <c r="C70" s="3">
        <f t="shared" si="10"/>
        <v>31</v>
      </c>
      <c r="D70" s="3" t="str">
        <f t="shared" si="11"/>
        <v/>
      </c>
      <c r="E70" s="3">
        <f t="shared" si="12"/>
        <v>156</v>
      </c>
      <c r="F70" s="5" t="str">
        <f>IF(C70=0,"Broadcast",IF(D70="",IF(E70="","",IF(E70&lt;128,"Verbind "&amp;E70,INDEX(KdoCodeTab,MATCH(E70,KdoWertTab,0)))),"StatusAbfr "&amp;D70))</f>
        <v>Mark</v>
      </c>
      <c r="G70" t="str">
        <f t="shared" si="13"/>
        <v/>
      </c>
      <c r="H70" t="str">
        <f t="shared" si="14"/>
        <v>Mark</v>
      </c>
      <c r="I70" t="str">
        <f t="shared" si="15"/>
        <v/>
      </c>
    </row>
    <row r="71" spans="1:9" x14ac:dyDescent="0.25">
      <c r="A71" t="s">
        <v>1065</v>
      </c>
      <c r="B71" s="6">
        <f t="shared" si="9"/>
        <v>1.5845</v>
      </c>
      <c r="C71" s="3">
        <f t="shared" si="10"/>
        <v>31</v>
      </c>
      <c r="D71" s="3" t="str">
        <f t="shared" si="11"/>
        <v/>
      </c>
      <c r="E71" s="3">
        <f t="shared" si="12"/>
        <v>154</v>
      </c>
      <c r="F71" s="5" t="str">
        <f>IF(C71=0,"Broadcast",IF(D71="",IF(E71="","",IF(E71&lt;128,"Verbind "&amp;E71,INDEX(KdoCodeTab,MATCH(E71,KdoWertTab,0)))),"StatusAbfr "&amp;D71))</f>
        <v>MarkWdh</v>
      </c>
      <c r="G71" t="str">
        <f t="shared" si="13"/>
        <v/>
      </c>
      <c r="H71" t="str">
        <f t="shared" si="14"/>
        <v>MarkWdh</v>
      </c>
      <c r="I71" t="str">
        <f t="shared" si="15"/>
        <v/>
      </c>
    </row>
    <row r="72" spans="1:9" x14ac:dyDescent="0.25">
      <c r="A72" t="s">
        <v>1066</v>
      </c>
      <c r="B72" s="6">
        <f t="shared" si="9"/>
        <v>1.7095</v>
      </c>
      <c r="C72" s="3">
        <f t="shared" si="10"/>
        <v>31</v>
      </c>
      <c r="D72" s="3" t="str">
        <f t="shared" si="11"/>
        <v/>
      </c>
      <c r="E72" s="3">
        <f t="shared" si="12"/>
        <v>147</v>
      </c>
      <c r="F72" s="5" t="str">
        <f>IF(C72=0,"Broadcast",IF(D72="",IF(E72="","",IF(E72&lt;128,"Verbind "&amp;E72,INDEX(KdoCodeTab,MATCH(E72,KdoWertTab,0)))),"StatusAbfr "&amp;D72))</f>
        <v>Space</v>
      </c>
      <c r="G72" t="str">
        <f t="shared" si="13"/>
        <v/>
      </c>
      <c r="H72" t="str">
        <f t="shared" si="14"/>
        <v>Space</v>
      </c>
      <c r="I72" t="str">
        <f t="shared" si="15"/>
        <v/>
      </c>
    </row>
    <row r="73" spans="1:9" x14ac:dyDescent="0.25">
      <c r="A73" t="s">
        <v>1067</v>
      </c>
      <c r="B73" s="6">
        <f t="shared" si="9"/>
        <v>1.7155</v>
      </c>
      <c r="C73" s="3">
        <f t="shared" si="10"/>
        <v>31</v>
      </c>
      <c r="D73" s="3" t="str">
        <f t="shared" si="11"/>
        <v/>
      </c>
      <c r="E73" s="3">
        <f t="shared" si="12"/>
        <v>150</v>
      </c>
      <c r="F73" s="5" t="str">
        <f>IF(C73=0,"Broadcast",IF(D73="",IF(E73="","",IF(E73&lt;128,"Verbind "&amp;E73,INDEX(KdoCodeTab,MATCH(E73,KdoWertTab,0)))),"StatusAbfr "&amp;D73))</f>
        <v>SpaceWdh</v>
      </c>
      <c r="G73" t="str">
        <f t="shared" si="13"/>
        <v/>
      </c>
      <c r="H73" t="str">
        <f t="shared" si="14"/>
        <v>SpaceWdh</v>
      </c>
      <c r="I73" t="str">
        <f t="shared" si="15"/>
        <v/>
      </c>
    </row>
    <row r="74" spans="1:9" x14ac:dyDescent="0.25">
      <c r="A74" t="s">
        <v>1068</v>
      </c>
      <c r="B74" s="6">
        <f t="shared" si="9"/>
        <v>1.7295</v>
      </c>
      <c r="C74" s="3">
        <f t="shared" si="10"/>
        <v>31</v>
      </c>
      <c r="D74" s="3" t="str">
        <f t="shared" si="11"/>
        <v/>
      </c>
      <c r="E74" s="3">
        <f t="shared" si="12"/>
        <v>156</v>
      </c>
      <c r="F74" s="5" t="str">
        <f>IF(C74=0,"Broadcast",IF(D74="",IF(E74="","",IF(E74&lt;128,"Verbind "&amp;E74,INDEX(KdoCodeTab,MATCH(E74,KdoWertTab,0)))),"StatusAbfr "&amp;D74))</f>
        <v>Mark</v>
      </c>
      <c r="G74" t="str">
        <f t="shared" si="13"/>
        <v/>
      </c>
      <c r="H74" t="str">
        <f t="shared" si="14"/>
        <v>Mark</v>
      </c>
      <c r="I74" t="str">
        <f t="shared" si="15"/>
        <v/>
      </c>
    </row>
    <row r="75" spans="1:9" x14ac:dyDescent="0.25">
      <c r="A75" t="s">
        <v>1069</v>
      </c>
      <c r="B75" s="6">
        <f t="shared" si="9"/>
        <v>1.7356666666666667</v>
      </c>
      <c r="C75" s="3">
        <f t="shared" si="10"/>
        <v>31</v>
      </c>
      <c r="D75" s="3" t="str">
        <f t="shared" si="11"/>
        <v/>
      </c>
      <c r="E75" s="3">
        <f t="shared" si="12"/>
        <v>154</v>
      </c>
      <c r="F75" s="5" t="str">
        <f>IF(C75=0,"Broadcast",IF(D75="",IF(E75="","",IF(E75&lt;128,"Verbind "&amp;E75,INDEX(KdoCodeTab,MATCH(E75,KdoWertTab,0)))),"StatusAbfr "&amp;D75))</f>
        <v>MarkWdh</v>
      </c>
      <c r="G75" t="str">
        <f t="shared" si="13"/>
        <v/>
      </c>
      <c r="H75" t="str">
        <f t="shared" si="14"/>
        <v>MarkWdh</v>
      </c>
      <c r="I75" t="str">
        <f t="shared" si="15"/>
        <v/>
      </c>
    </row>
    <row r="76" spans="1:9" x14ac:dyDescent="0.25">
      <c r="A76" t="s">
        <v>1070</v>
      </c>
      <c r="B76" s="6">
        <f t="shared" si="9"/>
        <v>1.8131666666666666</v>
      </c>
      <c r="C76" s="3">
        <f t="shared" si="10"/>
        <v>0</v>
      </c>
      <c r="D76" s="3" t="str">
        <f t="shared" si="11"/>
        <v/>
      </c>
      <c r="E76" s="3">
        <f t="shared" si="12"/>
        <v>99</v>
      </c>
      <c r="F76" s="5" t="str">
        <f>IF(C76=0,"Broadcast",IF(D76="",IF(E76="","",IF(E76&lt;128,"Verbind "&amp;E76,INDEX(KdoCodeTab,MATCH(E76,KdoWertTab,0)))),"StatusAbfr "&amp;D76))</f>
        <v>Broadcast</v>
      </c>
      <c r="G76" t="str">
        <f t="shared" si="13"/>
        <v/>
      </c>
      <c r="H76" t="str">
        <f t="shared" si="14"/>
        <v/>
      </c>
      <c r="I76" t="str">
        <f t="shared" si="15"/>
        <v>Broadcast</v>
      </c>
    </row>
    <row r="77" spans="1:9" x14ac:dyDescent="0.25">
      <c r="A77" t="s">
        <v>1071</v>
      </c>
      <c r="B77" s="6">
        <f t="shared" si="9"/>
        <v>1.8185</v>
      </c>
      <c r="C77" s="3">
        <f t="shared" si="10"/>
        <v>101</v>
      </c>
      <c r="D77" s="3" t="str">
        <f t="shared" si="11"/>
        <v/>
      </c>
      <c r="E77" s="3">
        <f t="shared" si="12"/>
        <v>169</v>
      </c>
      <c r="F77" s="5" t="str">
        <f>IF(C77=0,"Broadcast",IF(D77="",IF(E77="","",IF(E77&lt;128,"Verbind "&amp;E77,INDEX(KdoCodeTab,MATCH(E77,KdoWertTab,0)))),"StatusAbfr "&amp;D77))</f>
        <v>BusLebenszeichen</v>
      </c>
      <c r="G77" t="str">
        <f t="shared" si="13"/>
        <v>BusLebenszeichen</v>
      </c>
      <c r="H77" t="str">
        <f t="shared" si="14"/>
        <v/>
      </c>
      <c r="I77" t="str">
        <f t="shared" si="15"/>
        <v/>
      </c>
    </row>
    <row r="78" spans="1:9" x14ac:dyDescent="0.25">
      <c r="A78" t="s">
        <v>1072</v>
      </c>
      <c r="B78" s="6">
        <f t="shared" si="9"/>
        <v>1.8606666666666667</v>
      </c>
      <c r="C78" s="3">
        <f t="shared" si="10"/>
        <v>31</v>
      </c>
      <c r="D78" s="3" t="str">
        <f t="shared" si="11"/>
        <v/>
      </c>
      <c r="E78" s="3">
        <f t="shared" si="12"/>
        <v>147</v>
      </c>
      <c r="F78" s="5" t="str">
        <f>IF(C78=0,"Broadcast",IF(D78="",IF(E78="","",IF(E78&lt;128,"Verbind "&amp;E78,INDEX(KdoCodeTab,MATCH(E78,KdoWertTab,0)))),"StatusAbfr "&amp;D78))</f>
        <v>Space</v>
      </c>
      <c r="G78" t="str">
        <f t="shared" si="13"/>
        <v/>
      </c>
      <c r="H78" t="str">
        <f t="shared" si="14"/>
        <v>Space</v>
      </c>
      <c r="I78" t="str">
        <f t="shared" si="15"/>
        <v/>
      </c>
    </row>
    <row r="79" spans="1:9" x14ac:dyDescent="0.25">
      <c r="A79" t="s">
        <v>1073</v>
      </c>
      <c r="B79" s="6">
        <f t="shared" si="9"/>
        <v>1.8666666666666667</v>
      </c>
      <c r="C79" s="3">
        <f t="shared" si="10"/>
        <v>31</v>
      </c>
      <c r="D79" s="3" t="str">
        <f t="shared" si="11"/>
        <v/>
      </c>
      <c r="E79" s="3">
        <f t="shared" si="12"/>
        <v>150</v>
      </c>
      <c r="F79" s="5" t="str">
        <f>IF(C79=0,"Broadcast",IF(D79="",IF(E79="","",IF(E79&lt;128,"Verbind "&amp;E79,INDEX(KdoCodeTab,MATCH(E79,KdoWertTab,0)))),"StatusAbfr "&amp;D79))</f>
        <v>SpaceWdh</v>
      </c>
      <c r="G79" t="str">
        <f t="shared" si="13"/>
        <v/>
      </c>
      <c r="H79" t="str">
        <f t="shared" si="14"/>
        <v>SpaceWdh</v>
      </c>
      <c r="I79" t="str">
        <f t="shared" si="15"/>
        <v/>
      </c>
    </row>
    <row r="80" spans="1:9" x14ac:dyDescent="0.25">
      <c r="A80" t="s">
        <v>1074</v>
      </c>
      <c r="B80" s="6">
        <f t="shared" si="9"/>
        <v>1.9411666666666667</v>
      </c>
      <c r="C80" s="3">
        <f t="shared" si="10"/>
        <v>31</v>
      </c>
      <c r="D80" s="3" t="str">
        <f t="shared" si="11"/>
        <v/>
      </c>
      <c r="E80" s="3">
        <f t="shared" si="12"/>
        <v>156</v>
      </c>
      <c r="F80" s="5" t="str">
        <f>IF(C80=0,"Broadcast",IF(D80="",IF(E80="","",IF(E80&lt;128,"Verbind "&amp;E80,INDEX(KdoCodeTab,MATCH(E80,KdoWertTab,0)))),"StatusAbfr "&amp;D80))</f>
        <v>Mark</v>
      </c>
      <c r="G80" t="str">
        <f t="shared" si="13"/>
        <v/>
      </c>
      <c r="H80" t="str">
        <f t="shared" si="14"/>
        <v>Mark</v>
      </c>
      <c r="I80" t="str">
        <f t="shared" si="15"/>
        <v/>
      </c>
    </row>
    <row r="81" spans="1:9" x14ac:dyDescent="0.25">
      <c r="A81" t="s">
        <v>1075</v>
      </c>
      <c r="B81" s="6">
        <f t="shared" si="9"/>
        <v>1.9473333333333334</v>
      </c>
      <c r="C81" s="3">
        <f t="shared" si="10"/>
        <v>31</v>
      </c>
      <c r="D81" s="3" t="str">
        <f t="shared" si="11"/>
        <v/>
      </c>
      <c r="E81" s="3">
        <f t="shared" si="12"/>
        <v>154</v>
      </c>
      <c r="F81" s="5" t="str">
        <f>IF(C81=0,"Broadcast",IF(D81="",IF(E81="","",IF(E81&lt;128,"Verbind "&amp;E81,INDEX(KdoCodeTab,MATCH(E81,KdoWertTab,0)))),"StatusAbfr "&amp;D81))</f>
        <v>MarkWdh</v>
      </c>
      <c r="G81" t="str">
        <f t="shared" si="13"/>
        <v/>
      </c>
      <c r="H81" t="str">
        <f t="shared" si="14"/>
        <v>MarkWdh</v>
      </c>
      <c r="I81" t="str">
        <f t="shared" si="15"/>
        <v/>
      </c>
    </row>
    <row r="82" spans="1:9" x14ac:dyDescent="0.25">
      <c r="A82" t="s">
        <v>1076</v>
      </c>
      <c r="B82" s="6">
        <f t="shared" si="9"/>
        <v>1.9613333333333334</v>
      </c>
      <c r="C82" s="3">
        <f t="shared" si="10"/>
        <v>31</v>
      </c>
      <c r="D82" s="3" t="str">
        <f t="shared" si="11"/>
        <v/>
      </c>
      <c r="E82" s="3">
        <f t="shared" si="12"/>
        <v>147</v>
      </c>
      <c r="F82" s="5" t="str">
        <f>IF(C82=0,"Broadcast",IF(D82="",IF(E82="","",IF(E82&lt;128,"Verbind "&amp;E82,INDEX(KdoCodeTab,MATCH(E82,KdoWertTab,0)))),"StatusAbfr "&amp;D82))</f>
        <v>Space</v>
      </c>
      <c r="G82" t="str">
        <f t="shared" si="13"/>
        <v/>
      </c>
      <c r="H82" t="str">
        <f t="shared" si="14"/>
        <v>Space</v>
      </c>
      <c r="I82" t="str">
        <f t="shared" si="15"/>
        <v/>
      </c>
    </row>
    <row r="83" spans="1:9" x14ac:dyDescent="0.25">
      <c r="A83" t="s">
        <v>1077</v>
      </c>
      <c r="B83" s="6">
        <f t="shared" si="9"/>
        <v>1.9675</v>
      </c>
      <c r="C83" s="3">
        <f t="shared" si="10"/>
        <v>31</v>
      </c>
      <c r="D83" s="3" t="str">
        <f t="shared" si="11"/>
        <v/>
      </c>
      <c r="E83" s="3">
        <f t="shared" si="12"/>
        <v>150</v>
      </c>
      <c r="F83" s="5" t="str">
        <f>IF(C83=0,"Broadcast",IF(D83="",IF(E83="","",IF(E83&lt;128,"Verbind "&amp;E83,INDEX(KdoCodeTab,MATCH(E83,KdoWertTab,0)))),"StatusAbfr "&amp;D83))</f>
        <v>SpaceWdh</v>
      </c>
      <c r="G83" t="str">
        <f t="shared" si="13"/>
        <v/>
      </c>
      <c r="H83" t="str">
        <f t="shared" si="14"/>
        <v>SpaceWdh</v>
      </c>
      <c r="I83" t="str">
        <f t="shared" si="15"/>
        <v/>
      </c>
    </row>
    <row r="84" spans="1:9" x14ac:dyDescent="0.25">
      <c r="A84" t="s">
        <v>1078</v>
      </c>
      <c r="B84" s="6">
        <f t="shared" si="9"/>
        <v>1.9815</v>
      </c>
      <c r="C84" s="3">
        <f t="shared" si="10"/>
        <v>31</v>
      </c>
      <c r="D84" s="3" t="str">
        <f t="shared" si="11"/>
        <v/>
      </c>
      <c r="E84" s="3">
        <f t="shared" si="12"/>
        <v>156</v>
      </c>
      <c r="F84" s="5" t="str">
        <f>IF(C84=0,"Broadcast",IF(D84="",IF(E84="","",IF(E84&lt;128,"Verbind "&amp;E84,INDEX(KdoCodeTab,MATCH(E84,KdoWertTab,0)))),"StatusAbfr "&amp;D84))</f>
        <v>Mark</v>
      </c>
      <c r="G84" t="str">
        <f t="shared" si="13"/>
        <v/>
      </c>
      <c r="H84" t="str">
        <f t="shared" si="14"/>
        <v>Mark</v>
      </c>
      <c r="I84" t="str">
        <f t="shared" si="15"/>
        <v/>
      </c>
    </row>
    <row r="85" spans="1:9" x14ac:dyDescent="0.25">
      <c r="A85" t="s">
        <v>1079</v>
      </c>
      <c r="B85" s="6">
        <f t="shared" si="9"/>
        <v>1.9876666666666667</v>
      </c>
      <c r="C85" s="3">
        <f t="shared" si="10"/>
        <v>31</v>
      </c>
      <c r="D85" s="3" t="str">
        <f t="shared" si="11"/>
        <v/>
      </c>
      <c r="E85" s="3">
        <f t="shared" si="12"/>
        <v>154</v>
      </c>
      <c r="F85" s="5" t="str">
        <f>IF(C85=0,"Broadcast",IF(D85="",IF(E85="","",IF(E85&lt;128,"Verbind "&amp;E85,INDEX(KdoCodeTab,MATCH(E85,KdoWertTab,0)))),"StatusAbfr "&amp;D85))</f>
        <v>MarkWdh</v>
      </c>
      <c r="G85" t="str">
        <f t="shared" si="13"/>
        <v/>
      </c>
      <c r="H85" t="str">
        <f t="shared" si="14"/>
        <v>MarkWdh</v>
      </c>
      <c r="I85" t="str">
        <f t="shared" si="15"/>
        <v/>
      </c>
    </row>
    <row r="86" spans="1:9" x14ac:dyDescent="0.25">
      <c r="A86" t="s">
        <v>1080</v>
      </c>
      <c r="B86" s="6">
        <f t="shared" si="9"/>
        <v>2.0118333333333336</v>
      </c>
      <c r="C86" s="3">
        <f t="shared" si="10"/>
        <v>31</v>
      </c>
      <c r="D86" s="3" t="str">
        <f t="shared" si="11"/>
        <v/>
      </c>
      <c r="E86" s="3">
        <f t="shared" si="12"/>
        <v>147</v>
      </c>
      <c r="F86" s="5" t="str">
        <f>IF(C86=0,"Broadcast",IF(D86="",IF(E86="","",IF(E86&lt;128,"Verbind "&amp;E86,INDEX(KdoCodeTab,MATCH(E86,KdoWertTab,0)))),"StatusAbfr "&amp;D86))</f>
        <v>Space</v>
      </c>
      <c r="G86" t="str">
        <f t="shared" si="13"/>
        <v/>
      </c>
      <c r="H86" t="str">
        <f t="shared" si="14"/>
        <v>Space</v>
      </c>
      <c r="I86" t="str">
        <f t="shared" si="15"/>
        <v/>
      </c>
    </row>
    <row r="87" spans="1:9" x14ac:dyDescent="0.25">
      <c r="A87" t="s">
        <v>1081</v>
      </c>
      <c r="B87" s="6">
        <f t="shared" si="9"/>
        <v>2.0178333333333334</v>
      </c>
      <c r="C87" s="3">
        <f t="shared" si="10"/>
        <v>31</v>
      </c>
      <c r="D87" s="3" t="str">
        <f t="shared" si="11"/>
        <v/>
      </c>
      <c r="E87" s="3">
        <f t="shared" si="12"/>
        <v>150</v>
      </c>
      <c r="F87" s="5" t="str">
        <f>IF(C87=0,"Broadcast",IF(D87="",IF(E87="","",IF(E87&lt;128,"Verbind "&amp;E87,INDEX(KdoCodeTab,MATCH(E87,KdoWertTab,0)))),"StatusAbfr "&amp;D87))</f>
        <v>SpaceWdh</v>
      </c>
      <c r="G87" t="str">
        <f t="shared" si="13"/>
        <v/>
      </c>
      <c r="H87" t="str">
        <f t="shared" si="14"/>
        <v>SpaceWdh</v>
      </c>
      <c r="I87" t="str">
        <f t="shared" si="15"/>
        <v/>
      </c>
    </row>
    <row r="88" spans="1:9" x14ac:dyDescent="0.25">
      <c r="A88" t="s">
        <v>1082</v>
      </c>
      <c r="B88" s="6">
        <f t="shared" si="9"/>
        <v>2.0521666666666669</v>
      </c>
      <c r="C88" s="3">
        <f t="shared" si="10"/>
        <v>31</v>
      </c>
      <c r="D88" s="3" t="str">
        <f t="shared" si="11"/>
        <v/>
      </c>
      <c r="E88" s="3">
        <f t="shared" si="12"/>
        <v>156</v>
      </c>
      <c r="F88" s="5" t="str">
        <f>IF(C88=0,"Broadcast",IF(D88="",IF(E88="","",IF(E88&lt;128,"Verbind "&amp;E88,INDEX(KdoCodeTab,MATCH(E88,KdoWertTab,0)))),"StatusAbfr "&amp;D88))</f>
        <v>Mark</v>
      </c>
      <c r="G88" t="str">
        <f t="shared" si="13"/>
        <v/>
      </c>
      <c r="H88" t="str">
        <f t="shared" si="14"/>
        <v>Mark</v>
      </c>
      <c r="I88" t="str">
        <f t="shared" si="15"/>
        <v/>
      </c>
    </row>
    <row r="89" spans="1:9" x14ac:dyDescent="0.25">
      <c r="A89" t="s">
        <v>1083</v>
      </c>
      <c r="B89" s="6">
        <f t="shared" si="9"/>
        <v>2.0581666666666667</v>
      </c>
      <c r="C89" s="3">
        <f t="shared" si="10"/>
        <v>31</v>
      </c>
      <c r="D89" s="3" t="str">
        <f t="shared" si="11"/>
        <v/>
      </c>
      <c r="E89" s="3">
        <f t="shared" si="12"/>
        <v>154</v>
      </c>
      <c r="F89" s="5" t="str">
        <f>IF(C89=0,"Broadcast",IF(D89="",IF(E89="","",IF(E89&lt;128,"Verbind "&amp;E89,INDEX(KdoCodeTab,MATCH(E89,KdoWertTab,0)))),"StatusAbfr "&amp;D89))</f>
        <v>MarkWdh</v>
      </c>
      <c r="G89" t="str">
        <f t="shared" si="13"/>
        <v/>
      </c>
      <c r="H89" t="str">
        <f t="shared" si="14"/>
        <v>MarkWdh</v>
      </c>
      <c r="I89" t="str">
        <f t="shared" si="15"/>
        <v/>
      </c>
    </row>
    <row r="90" spans="1:9" x14ac:dyDescent="0.25">
      <c r="A90" t="s">
        <v>1084</v>
      </c>
      <c r="B90" s="6">
        <f t="shared" si="9"/>
        <v>2.0723333333333334</v>
      </c>
      <c r="C90" s="3">
        <f t="shared" si="10"/>
        <v>31</v>
      </c>
      <c r="D90" s="3" t="str">
        <f t="shared" si="11"/>
        <v/>
      </c>
      <c r="E90" s="3">
        <f t="shared" si="12"/>
        <v>147</v>
      </c>
      <c r="F90" s="5" t="str">
        <f>IF(C90=0,"Broadcast",IF(D90="",IF(E90="","",IF(E90&lt;128,"Verbind "&amp;E90,INDEX(KdoCodeTab,MATCH(E90,KdoWertTab,0)))),"StatusAbfr "&amp;D90))</f>
        <v>Space</v>
      </c>
      <c r="G90" t="str">
        <f t="shared" si="13"/>
        <v/>
      </c>
      <c r="H90" t="str">
        <f t="shared" si="14"/>
        <v>Space</v>
      </c>
      <c r="I90" t="str">
        <f t="shared" si="15"/>
        <v/>
      </c>
    </row>
    <row r="91" spans="1:9" x14ac:dyDescent="0.25">
      <c r="A91" t="s">
        <v>1085</v>
      </c>
      <c r="B91" s="6">
        <f t="shared" si="9"/>
        <v>2.0783333333333331</v>
      </c>
      <c r="C91" s="3">
        <f t="shared" si="10"/>
        <v>31</v>
      </c>
      <c r="D91" s="3" t="str">
        <f t="shared" si="11"/>
        <v/>
      </c>
      <c r="E91" s="3">
        <f t="shared" si="12"/>
        <v>150</v>
      </c>
      <c r="F91" s="5" t="str">
        <f>IF(C91=0,"Broadcast",IF(D91="",IF(E91="","",IF(E91&lt;128,"Verbind "&amp;E91,INDEX(KdoCodeTab,MATCH(E91,KdoWertTab,0)))),"StatusAbfr "&amp;D91))</f>
        <v>SpaceWdh</v>
      </c>
      <c r="G91" t="str">
        <f t="shared" si="13"/>
        <v/>
      </c>
      <c r="H91" t="str">
        <f t="shared" si="14"/>
        <v>SpaceWdh</v>
      </c>
      <c r="I91" t="str">
        <f t="shared" si="15"/>
        <v/>
      </c>
    </row>
    <row r="92" spans="1:9" x14ac:dyDescent="0.25">
      <c r="A92" t="s">
        <v>1086</v>
      </c>
      <c r="B92" s="6">
        <f t="shared" si="9"/>
        <v>2.0790000000000002</v>
      </c>
      <c r="C92" s="3">
        <f t="shared" si="10"/>
        <v>0</v>
      </c>
      <c r="D92" s="3" t="str">
        <f t="shared" si="11"/>
        <v/>
      </c>
      <c r="E92" s="3">
        <f t="shared" si="12"/>
        <v>99</v>
      </c>
      <c r="F92" s="5" t="str">
        <f>IF(C92=0,"Broadcast",IF(D92="",IF(E92="","",IF(E92&lt;128,"Verbind "&amp;E92,INDEX(KdoCodeTab,MATCH(E92,KdoWertTab,0)))),"StatusAbfr "&amp;D92))</f>
        <v>Broadcast</v>
      </c>
      <c r="G92" t="str">
        <f t="shared" si="13"/>
        <v/>
      </c>
      <c r="H92" t="str">
        <f t="shared" si="14"/>
        <v/>
      </c>
      <c r="I92" t="str">
        <f t="shared" si="15"/>
        <v>Broadcast</v>
      </c>
    </row>
    <row r="93" spans="1:9" x14ac:dyDescent="0.25">
      <c r="A93" t="s">
        <v>1087</v>
      </c>
      <c r="B93" s="6">
        <f t="shared" si="9"/>
        <v>2.1328333333333336</v>
      </c>
      <c r="C93" s="3">
        <f t="shared" si="10"/>
        <v>31</v>
      </c>
      <c r="D93" s="3" t="str">
        <f t="shared" si="11"/>
        <v/>
      </c>
      <c r="E93" s="3">
        <f t="shared" si="12"/>
        <v>156</v>
      </c>
      <c r="F93" s="5" t="str">
        <f>IF(C93=0,"Broadcast",IF(D93="",IF(E93="","",IF(E93&lt;128,"Verbind "&amp;E93,INDEX(KdoCodeTab,MATCH(E93,KdoWertTab,0)))),"StatusAbfr "&amp;D93))</f>
        <v>Mark</v>
      </c>
      <c r="G93" t="str">
        <f t="shared" si="13"/>
        <v/>
      </c>
      <c r="H93" t="str">
        <f t="shared" si="14"/>
        <v>Mark</v>
      </c>
      <c r="I93" t="str">
        <f t="shared" si="15"/>
        <v/>
      </c>
    </row>
    <row r="94" spans="1:9" x14ac:dyDescent="0.25">
      <c r="A94" t="s">
        <v>1088</v>
      </c>
      <c r="B94" s="6">
        <f t="shared" si="9"/>
        <v>2.1388333333333334</v>
      </c>
      <c r="C94" s="3">
        <f t="shared" si="10"/>
        <v>31</v>
      </c>
      <c r="D94" s="3" t="str">
        <f t="shared" si="11"/>
        <v/>
      </c>
      <c r="E94" s="3">
        <f t="shared" si="12"/>
        <v>154</v>
      </c>
      <c r="F94" s="5" t="str">
        <f>IF(C94=0,"Broadcast",IF(D94="",IF(E94="","",IF(E94&lt;128,"Verbind "&amp;E94,INDEX(KdoCodeTab,MATCH(E94,KdoWertTab,0)))),"StatusAbfr "&amp;D94))</f>
        <v>MarkWdh</v>
      </c>
      <c r="G94" t="str">
        <f t="shared" si="13"/>
        <v/>
      </c>
      <c r="H94" t="str">
        <f t="shared" si="14"/>
        <v>MarkWdh</v>
      </c>
      <c r="I94" t="str">
        <f t="shared" si="15"/>
        <v/>
      </c>
    </row>
    <row r="95" spans="1:9" x14ac:dyDescent="0.25">
      <c r="A95" t="s">
        <v>1089</v>
      </c>
      <c r="B95" s="6">
        <f t="shared" si="9"/>
        <v>2.1629999999999998</v>
      </c>
      <c r="C95" s="3">
        <f t="shared" si="10"/>
        <v>31</v>
      </c>
      <c r="D95" s="3" t="str">
        <f t="shared" si="11"/>
        <v/>
      </c>
      <c r="E95" s="3">
        <f t="shared" si="12"/>
        <v>147</v>
      </c>
      <c r="F95" s="5" t="str">
        <f>IF(C95=0,"Broadcast",IF(D95="",IF(E95="","",IF(E95&lt;128,"Verbind "&amp;E95,INDEX(KdoCodeTab,MATCH(E95,KdoWertTab,0)))),"StatusAbfr "&amp;D95))</f>
        <v>Space</v>
      </c>
      <c r="G95" t="str">
        <f t="shared" si="13"/>
        <v/>
      </c>
      <c r="H95" t="str">
        <f t="shared" si="14"/>
        <v>Space</v>
      </c>
      <c r="I95" t="str">
        <f t="shared" si="15"/>
        <v/>
      </c>
    </row>
    <row r="96" spans="1:9" x14ac:dyDescent="0.25">
      <c r="A96" t="s">
        <v>1090</v>
      </c>
      <c r="B96" s="6">
        <f t="shared" si="9"/>
        <v>2.169</v>
      </c>
      <c r="C96" s="3">
        <f t="shared" si="10"/>
        <v>31</v>
      </c>
      <c r="D96" s="3" t="str">
        <f t="shared" si="11"/>
        <v/>
      </c>
      <c r="E96" s="3">
        <f t="shared" si="12"/>
        <v>150</v>
      </c>
      <c r="F96" s="5" t="str">
        <f>IF(C96=0,"Broadcast",IF(D96="",IF(E96="","",IF(E96&lt;128,"Verbind "&amp;E96,INDEX(KdoCodeTab,MATCH(E96,KdoWertTab,0)))),"StatusAbfr "&amp;D96))</f>
        <v>SpaceWdh</v>
      </c>
      <c r="G96" t="str">
        <f t="shared" si="13"/>
        <v/>
      </c>
      <c r="H96" t="str">
        <f t="shared" si="14"/>
        <v>SpaceWdh</v>
      </c>
      <c r="I96" t="str">
        <f t="shared" si="15"/>
        <v/>
      </c>
    </row>
    <row r="97" spans="1:9" x14ac:dyDescent="0.25">
      <c r="A97" t="s">
        <v>1091</v>
      </c>
      <c r="B97" s="6">
        <f t="shared" si="9"/>
        <v>2.1831666666666667</v>
      </c>
      <c r="C97" s="3">
        <f t="shared" si="10"/>
        <v>31</v>
      </c>
      <c r="D97" s="3" t="str">
        <f t="shared" si="11"/>
        <v/>
      </c>
      <c r="E97" s="3">
        <f t="shared" si="12"/>
        <v>156</v>
      </c>
      <c r="F97" s="5" t="str">
        <f>IF(C97=0,"Broadcast",IF(D97="",IF(E97="","",IF(E97&lt;128,"Verbind "&amp;E97,INDEX(KdoCodeTab,MATCH(E97,KdoWertTab,0)))),"StatusAbfr "&amp;D97))</f>
        <v>Mark</v>
      </c>
      <c r="G97" t="str">
        <f t="shared" si="13"/>
        <v/>
      </c>
      <c r="H97" t="str">
        <f t="shared" si="14"/>
        <v>Mark</v>
      </c>
      <c r="I97" t="str">
        <f t="shared" si="15"/>
        <v/>
      </c>
    </row>
    <row r="98" spans="1:9" x14ac:dyDescent="0.25">
      <c r="A98" t="s">
        <v>1092</v>
      </c>
      <c r="B98" s="6">
        <f t="shared" si="9"/>
        <v>2.1891666666666669</v>
      </c>
      <c r="C98" s="3">
        <f t="shared" si="10"/>
        <v>31</v>
      </c>
      <c r="D98" s="3" t="str">
        <f t="shared" si="11"/>
        <v/>
      </c>
      <c r="E98" s="3">
        <f t="shared" si="12"/>
        <v>154</v>
      </c>
      <c r="F98" s="5" t="str">
        <f>IF(C98=0,"Broadcast",IF(D98="",IF(E98="","",IF(E98&lt;128,"Verbind "&amp;E98,INDEX(KdoCodeTab,MATCH(E98,KdoWertTab,0)))),"StatusAbfr "&amp;D98))</f>
        <v>MarkWdh</v>
      </c>
      <c r="G98" t="str">
        <f t="shared" si="13"/>
        <v/>
      </c>
      <c r="H98" t="str">
        <f t="shared" si="14"/>
        <v>MarkWdh</v>
      </c>
      <c r="I98" t="str">
        <f t="shared" si="15"/>
        <v/>
      </c>
    </row>
    <row r="99" spans="1:9" x14ac:dyDescent="0.25">
      <c r="A99" t="s">
        <v>1093</v>
      </c>
      <c r="B99" s="6">
        <f t="shared" si="9"/>
        <v>2.2235</v>
      </c>
      <c r="C99" s="3">
        <f t="shared" si="10"/>
        <v>31</v>
      </c>
      <c r="D99" s="3" t="str">
        <f t="shared" si="11"/>
        <v/>
      </c>
      <c r="E99" s="3">
        <f t="shared" si="12"/>
        <v>147</v>
      </c>
      <c r="F99" s="5" t="str">
        <f>IF(C99=0,"Broadcast",IF(D99="",IF(E99="","",IF(E99&lt;128,"Verbind "&amp;E99,INDEX(KdoCodeTab,MATCH(E99,KdoWertTab,0)))),"StatusAbfr "&amp;D99))</f>
        <v>Space</v>
      </c>
      <c r="G99" t="str">
        <f t="shared" si="13"/>
        <v/>
      </c>
      <c r="H99" t="str">
        <f t="shared" si="14"/>
        <v>Space</v>
      </c>
      <c r="I99" t="str">
        <f t="shared" si="15"/>
        <v/>
      </c>
    </row>
    <row r="100" spans="1:9" x14ac:dyDescent="0.25">
      <c r="A100" t="s">
        <v>1094</v>
      </c>
      <c r="B100" s="6">
        <f t="shared" si="9"/>
        <v>2.2295000000000003</v>
      </c>
      <c r="C100" s="3">
        <f t="shared" si="10"/>
        <v>31</v>
      </c>
      <c r="D100" s="3" t="str">
        <f t="shared" si="11"/>
        <v/>
      </c>
      <c r="E100" s="3">
        <f t="shared" si="12"/>
        <v>150</v>
      </c>
      <c r="F100" s="5" t="str">
        <f>IF(C100=0,"Broadcast",IF(D100="",IF(E100="","",IF(E100&lt;128,"Verbind "&amp;E100,INDEX(KdoCodeTab,MATCH(E100,KdoWertTab,0)))),"StatusAbfr "&amp;D100))</f>
        <v>SpaceWdh</v>
      </c>
      <c r="G100" t="str">
        <f t="shared" si="13"/>
        <v/>
      </c>
      <c r="H100" t="str">
        <f t="shared" si="14"/>
        <v>SpaceWdh</v>
      </c>
      <c r="I100" t="str">
        <f t="shared" si="15"/>
        <v/>
      </c>
    </row>
    <row r="101" spans="1:9" x14ac:dyDescent="0.25">
      <c r="A101" t="s">
        <v>1095</v>
      </c>
      <c r="B101" s="6">
        <f t="shared" si="9"/>
        <v>2.2436666666666665</v>
      </c>
      <c r="C101" s="3">
        <f t="shared" si="10"/>
        <v>31</v>
      </c>
      <c r="D101" s="3" t="str">
        <f t="shared" si="11"/>
        <v/>
      </c>
      <c r="E101" s="3">
        <f t="shared" si="12"/>
        <v>156</v>
      </c>
      <c r="F101" s="5" t="str">
        <f>IF(C101=0,"Broadcast",IF(D101="",IF(E101="","",IF(E101&lt;128,"Verbind "&amp;E101,INDEX(KdoCodeTab,MATCH(E101,KdoWertTab,0)))),"StatusAbfr "&amp;D101))</f>
        <v>Mark</v>
      </c>
      <c r="G101" t="str">
        <f t="shared" si="13"/>
        <v/>
      </c>
      <c r="H101" t="str">
        <f t="shared" si="14"/>
        <v>Mark</v>
      </c>
      <c r="I101" t="str">
        <f t="shared" si="15"/>
        <v/>
      </c>
    </row>
    <row r="102" spans="1:9" x14ac:dyDescent="0.25">
      <c r="A102" t="s">
        <v>1096</v>
      </c>
      <c r="B102" s="6">
        <f t="shared" si="9"/>
        <v>2.2496666666666667</v>
      </c>
      <c r="C102" s="3">
        <f t="shared" si="10"/>
        <v>31</v>
      </c>
      <c r="D102" s="3" t="str">
        <f t="shared" si="11"/>
        <v/>
      </c>
      <c r="E102" s="3">
        <f t="shared" si="12"/>
        <v>154</v>
      </c>
      <c r="F102" s="5" t="str">
        <f>IF(C102=0,"Broadcast",IF(D102="",IF(E102="","",IF(E102&lt;128,"Verbind "&amp;E102,INDEX(KdoCodeTab,MATCH(E102,KdoWertTab,0)))),"StatusAbfr "&amp;D102))</f>
        <v>MarkWdh</v>
      </c>
      <c r="G102" t="str">
        <f t="shared" si="13"/>
        <v/>
      </c>
      <c r="H102" t="str">
        <f t="shared" si="14"/>
        <v>MarkWdh</v>
      </c>
      <c r="I102" t="str">
        <f t="shared" si="15"/>
        <v/>
      </c>
    </row>
    <row r="103" spans="1:9" x14ac:dyDescent="0.25">
      <c r="A103" t="s">
        <v>1097</v>
      </c>
      <c r="B103" s="6">
        <f t="shared" si="9"/>
        <v>2.3141666666666669</v>
      </c>
      <c r="C103" s="3">
        <f t="shared" si="10"/>
        <v>31</v>
      </c>
      <c r="D103" s="3" t="str">
        <f t="shared" si="11"/>
        <v/>
      </c>
      <c r="E103" s="3">
        <f t="shared" si="12"/>
        <v>147</v>
      </c>
      <c r="F103" s="5" t="str">
        <f>IF(C103=0,"Broadcast",IF(D103="",IF(E103="","",IF(E103&lt;128,"Verbind "&amp;E103,INDEX(KdoCodeTab,MATCH(E103,KdoWertTab,0)))),"StatusAbfr "&amp;D103))</f>
        <v>Space</v>
      </c>
      <c r="G103" t="str">
        <f t="shared" si="13"/>
        <v/>
      </c>
      <c r="H103" t="str">
        <f t="shared" si="14"/>
        <v>Space</v>
      </c>
      <c r="I103" t="str">
        <f t="shared" si="15"/>
        <v/>
      </c>
    </row>
    <row r="104" spans="1:9" x14ac:dyDescent="0.25">
      <c r="A104" t="s">
        <v>1098</v>
      </c>
      <c r="B104" s="6">
        <f t="shared" si="9"/>
        <v>2.3203333333333331</v>
      </c>
      <c r="C104" s="3">
        <f t="shared" si="10"/>
        <v>31</v>
      </c>
      <c r="D104" s="3" t="str">
        <f t="shared" si="11"/>
        <v/>
      </c>
      <c r="E104" s="3">
        <f t="shared" si="12"/>
        <v>150</v>
      </c>
      <c r="F104" s="5" t="str">
        <f>IF(C104=0,"Broadcast",IF(D104="",IF(E104="","",IF(E104&lt;128,"Verbind "&amp;E104,INDEX(KdoCodeTab,MATCH(E104,KdoWertTab,0)))),"StatusAbfr "&amp;D104))</f>
        <v>SpaceWdh</v>
      </c>
      <c r="G104" t="str">
        <f t="shared" si="13"/>
        <v/>
      </c>
      <c r="H104" t="str">
        <f t="shared" si="14"/>
        <v>SpaceWdh</v>
      </c>
      <c r="I104" t="str">
        <f t="shared" si="15"/>
        <v/>
      </c>
    </row>
    <row r="105" spans="1:9" x14ac:dyDescent="0.25">
      <c r="A105" t="s">
        <v>1099</v>
      </c>
      <c r="B105" s="6">
        <f t="shared" si="9"/>
        <v>2.3545000000000003</v>
      </c>
      <c r="C105" s="3">
        <f t="shared" si="10"/>
        <v>31</v>
      </c>
      <c r="D105" s="3" t="str">
        <f t="shared" si="11"/>
        <v/>
      </c>
      <c r="E105" s="3">
        <f t="shared" si="12"/>
        <v>156</v>
      </c>
      <c r="F105" s="5" t="str">
        <f>IF(C105=0,"Broadcast",IF(D105="",IF(E105="","",IF(E105&lt;128,"Verbind "&amp;E105,INDEX(KdoCodeTab,MATCH(E105,KdoWertTab,0)))),"StatusAbfr "&amp;D105))</f>
        <v>Mark</v>
      </c>
      <c r="G105" t="str">
        <f t="shared" si="13"/>
        <v/>
      </c>
      <c r="H105" t="str">
        <f t="shared" si="14"/>
        <v>Mark</v>
      </c>
      <c r="I105" t="str">
        <f t="shared" si="15"/>
        <v/>
      </c>
    </row>
    <row r="106" spans="1:9" x14ac:dyDescent="0.25">
      <c r="A106" t="s">
        <v>1100</v>
      </c>
      <c r="B106" s="6">
        <f t="shared" si="9"/>
        <v>2.3606666666666665</v>
      </c>
      <c r="C106" s="3">
        <f t="shared" si="10"/>
        <v>31</v>
      </c>
      <c r="D106" s="3" t="str">
        <f t="shared" si="11"/>
        <v/>
      </c>
      <c r="E106" s="3">
        <f t="shared" si="12"/>
        <v>154</v>
      </c>
      <c r="F106" s="5" t="str">
        <f>IF(C106=0,"Broadcast",IF(D106="",IF(E106="","",IF(E106&lt;128,"Verbind "&amp;E106,INDEX(KdoCodeTab,MATCH(E106,KdoWertTab,0)))),"StatusAbfr "&amp;D106))</f>
        <v>MarkWdh</v>
      </c>
      <c r="G106" t="str">
        <f t="shared" si="13"/>
        <v/>
      </c>
      <c r="H106" t="str">
        <f t="shared" si="14"/>
        <v>MarkWdh</v>
      </c>
      <c r="I106" t="str">
        <f t="shared" si="15"/>
        <v/>
      </c>
    </row>
    <row r="107" spans="1:9" x14ac:dyDescent="0.25">
      <c r="A107" t="s">
        <v>1101</v>
      </c>
      <c r="B107" s="6">
        <f t="shared" si="9"/>
        <v>2.3948333333333336</v>
      </c>
      <c r="C107" s="3">
        <f t="shared" si="10"/>
        <v>31</v>
      </c>
      <c r="D107" s="3" t="str">
        <f t="shared" si="11"/>
        <v/>
      </c>
      <c r="E107" s="3">
        <f t="shared" si="12"/>
        <v>147</v>
      </c>
      <c r="F107" s="5" t="str">
        <f>IF(C107=0,"Broadcast",IF(D107="",IF(E107="","",IF(E107&lt;128,"Verbind "&amp;E107,INDEX(KdoCodeTab,MATCH(E107,KdoWertTab,0)))),"StatusAbfr "&amp;D107))</f>
        <v>Space</v>
      </c>
      <c r="G107" t="str">
        <f t="shared" si="13"/>
        <v/>
      </c>
      <c r="H107" t="str">
        <f t="shared" si="14"/>
        <v>Space</v>
      </c>
      <c r="I107" t="str">
        <f t="shared" si="15"/>
        <v/>
      </c>
    </row>
    <row r="108" spans="1:9" x14ac:dyDescent="0.25">
      <c r="A108" t="s">
        <v>1102</v>
      </c>
      <c r="B108" s="6">
        <f t="shared" si="9"/>
        <v>2.4008333333333334</v>
      </c>
      <c r="C108" s="3">
        <f t="shared" si="10"/>
        <v>31</v>
      </c>
      <c r="D108" s="3" t="str">
        <f t="shared" si="11"/>
        <v/>
      </c>
      <c r="E108" s="3">
        <f t="shared" si="12"/>
        <v>150</v>
      </c>
      <c r="F108" s="5" t="str">
        <f>IF(C108=0,"Broadcast",IF(D108="",IF(E108="","",IF(E108&lt;128,"Verbind "&amp;E108,INDEX(KdoCodeTab,MATCH(E108,KdoWertTab,0)))),"StatusAbfr "&amp;D108))</f>
        <v>SpaceWdh</v>
      </c>
      <c r="G108" t="str">
        <f t="shared" si="13"/>
        <v/>
      </c>
      <c r="H108" t="str">
        <f t="shared" si="14"/>
        <v>SpaceWdh</v>
      </c>
      <c r="I108" t="str">
        <f t="shared" si="15"/>
        <v/>
      </c>
    </row>
    <row r="109" spans="1:9" x14ac:dyDescent="0.25">
      <c r="A109" t="s">
        <v>1103</v>
      </c>
      <c r="B109" s="6">
        <f t="shared" si="9"/>
        <v>2.415</v>
      </c>
      <c r="C109" s="3">
        <f t="shared" si="10"/>
        <v>31</v>
      </c>
      <c r="D109" s="3" t="str">
        <f t="shared" si="11"/>
        <v/>
      </c>
      <c r="E109" s="3">
        <f t="shared" si="12"/>
        <v>156</v>
      </c>
      <c r="F109" s="5" t="str">
        <f>IF(C109=0,"Broadcast",IF(D109="",IF(E109="","",IF(E109&lt;128,"Verbind "&amp;E109,INDEX(KdoCodeTab,MATCH(E109,KdoWertTab,0)))),"StatusAbfr "&amp;D109))</f>
        <v>Mark</v>
      </c>
      <c r="G109" t="str">
        <f t="shared" si="13"/>
        <v/>
      </c>
      <c r="H109" t="str">
        <f t="shared" si="14"/>
        <v>Mark</v>
      </c>
      <c r="I109" t="str">
        <f t="shared" si="15"/>
        <v/>
      </c>
    </row>
    <row r="110" spans="1:9" x14ac:dyDescent="0.25">
      <c r="A110" t="s">
        <v>1104</v>
      </c>
      <c r="B110" s="6">
        <f t="shared" si="9"/>
        <v>2.4209999999999998</v>
      </c>
      <c r="C110" s="3">
        <f t="shared" si="10"/>
        <v>31</v>
      </c>
      <c r="D110" s="3" t="str">
        <f t="shared" si="11"/>
        <v/>
      </c>
      <c r="E110" s="3">
        <f t="shared" si="12"/>
        <v>154</v>
      </c>
      <c r="F110" s="5" t="str">
        <f>IF(C110=0,"Broadcast",IF(D110="",IF(E110="","",IF(E110&lt;128,"Verbind "&amp;E110,INDEX(KdoCodeTab,MATCH(E110,KdoWertTab,0)))),"StatusAbfr "&amp;D110))</f>
        <v>MarkWdh</v>
      </c>
      <c r="G110" t="str">
        <f t="shared" si="13"/>
        <v/>
      </c>
      <c r="H110" t="str">
        <f t="shared" si="14"/>
        <v>MarkWdh</v>
      </c>
      <c r="I110" t="str">
        <f t="shared" si="15"/>
        <v/>
      </c>
    </row>
    <row r="111" spans="1:9" x14ac:dyDescent="0.25">
      <c r="A111" t="s">
        <v>1105</v>
      </c>
      <c r="B111" s="6">
        <f t="shared" si="9"/>
        <v>2.4653333333333332</v>
      </c>
      <c r="C111" s="3">
        <f t="shared" si="10"/>
        <v>31</v>
      </c>
      <c r="D111" s="3" t="str">
        <f t="shared" si="11"/>
        <v/>
      </c>
      <c r="E111" s="3">
        <f t="shared" si="12"/>
        <v>147</v>
      </c>
      <c r="F111" s="5" t="str">
        <f>IF(C111=0,"Broadcast",IF(D111="",IF(E111="","",IF(E111&lt;128,"Verbind "&amp;E111,INDEX(KdoCodeTab,MATCH(E111,KdoWertTab,0)))),"StatusAbfr "&amp;D111))</f>
        <v>Space</v>
      </c>
      <c r="G111" t="str">
        <f t="shared" si="13"/>
        <v/>
      </c>
      <c r="H111" t="str">
        <f t="shared" si="14"/>
        <v>Space</v>
      </c>
      <c r="I111" t="str">
        <f t="shared" si="15"/>
        <v/>
      </c>
    </row>
    <row r="112" spans="1:9" x14ac:dyDescent="0.25">
      <c r="A112" t="s">
        <v>1106</v>
      </c>
      <c r="B112" s="6">
        <f t="shared" si="9"/>
        <v>2.4715000000000003</v>
      </c>
      <c r="C112" s="3">
        <f t="shared" si="10"/>
        <v>31</v>
      </c>
      <c r="D112" s="3" t="str">
        <f t="shared" si="11"/>
        <v/>
      </c>
      <c r="E112" s="3">
        <f t="shared" si="12"/>
        <v>150</v>
      </c>
      <c r="F112" s="5" t="str">
        <f>IF(C112=0,"Broadcast",IF(D112="",IF(E112="","",IF(E112&lt;128,"Verbind "&amp;E112,INDEX(KdoCodeTab,MATCH(E112,KdoWertTab,0)))),"StatusAbfr "&amp;D112))</f>
        <v>SpaceWdh</v>
      </c>
      <c r="G112" t="str">
        <f t="shared" si="13"/>
        <v/>
      </c>
      <c r="H112" t="str">
        <f t="shared" si="14"/>
        <v>SpaceWdh</v>
      </c>
      <c r="I112" t="str">
        <f t="shared" si="15"/>
        <v/>
      </c>
    </row>
    <row r="113" spans="1:9" x14ac:dyDescent="0.25">
      <c r="A113" t="s">
        <v>1107</v>
      </c>
      <c r="B113" s="6">
        <f t="shared" si="9"/>
        <v>2.4963333333333333</v>
      </c>
      <c r="C113" s="3">
        <f t="shared" si="10"/>
        <v>101</v>
      </c>
      <c r="D113" s="3" t="str">
        <f t="shared" si="11"/>
        <v/>
      </c>
      <c r="E113" s="3">
        <f t="shared" si="12"/>
        <v>169</v>
      </c>
      <c r="F113" s="5" t="str">
        <f>IF(C113=0,"Broadcast",IF(D113="",IF(E113="","",IF(E113&lt;128,"Verbind "&amp;E113,INDEX(KdoCodeTab,MATCH(E113,KdoWertTab,0)))),"StatusAbfr "&amp;D113))</f>
        <v>BusLebenszeichen</v>
      </c>
      <c r="G113" t="str">
        <f t="shared" si="13"/>
        <v>BusLebenszeichen</v>
      </c>
      <c r="H113" t="str">
        <f t="shared" si="14"/>
        <v/>
      </c>
      <c r="I113" t="str">
        <f t="shared" si="15"/>
        <v/>
      </c>
    </row>
    <row r="114" spans="1:9" x14ac:dyDescent="0.25">
      <c r="A114" t="s">
        <v>1108</v>
      </c>
      <c r="B114" s="6">
        <f t="shared" si="9"/>
        <v>2.5661666666666667</v>
      </c>
      <c r="C114" s="3">
        <f t="shared" si="10"/>
        <v>31</v>
      </c>
      <c r="D114" s="3" t="str">
        <f t="shared" si="11"/>
        <v/>
      </c>
      <c r="E114" s="3">
        <f t="shared" si="12"/>
        <v>156</v>
      </c>
      <c r="F114" s="5" t="str">
        <f>IF(C114=0,"Broadcast",IF(D114="",IF(E114="","",IF(E114&lt;128,"Verbind "&amp;E114,INDEX(KdoCodeTab,MATCH(E114,KdoWertTab,0)))),"StatusAbfr "&amp;D114))</f>
        <v>Mark</v>
      </c>
      <c r="G114" t="str">
        <f t="shared" si="13"/>
        <v/>
      </c>
      <c r="H114" t="str">
        <f t="shared" si="14"/>
        <v>Mark</v>
      </c>
      <c r="I114" t="str">
        <f t="shared" si="15"/>
        <v/>
      </c>
    </row>
    <row r="115" spans="1:9" x14ac:dyDescent="0.25">
      <c r="A115" t="s">
        <v>1109</v>
      </c>
      <c r="B115" s="6">
        <f t="shared" si="9"/>
        <v>2.5723333333333334</v>
      </c>
      <c r="C115" s="3">
        <f t="shared" si="10"/>
        <v>31</v>
      </c>
      <c r="D115" s="3" t="str">
        <f t="shared" si="11"/>
        <v/>
      </c>
      <c r="E115" s="3">
        <f t="shared" si="12"/>
        <v>154</v>
      </c>
      <c r="F115" s="5" t="str">
        <f>IF(C115=0,"Broadcast",IF(D115="",IF(E115="","",IF(E115&lt;128,"Verbind "&amp;E115,INDEX(KdoCodeTab,MATCH(E115,KdoWertTab,0)))),"StatusAbfr "&amp;D115))</f>
        <v>MarkWdh</v>
      </c>
      <c r="G115" t="str">
        <f t="shared" si="13"/>
        <v/>
      </c>
      <c r="H115" t="str">
        <f t="shared" si="14"/>
        <v>MarkWdh</v>
      </c>
      <c r="I115" t="str">
        <f t="shared" si="15"/>
        <v/>
      </c>
    </row>
    <row r="116" spans="1:9" x14ac:dyDescent="0.25">
      <c r="A116" t="s">
        <v>1110</v>
      </c>
      <c r="B116" s="6">
        <f t="shared" si="9"/>
        <v>2.6166666666666667</v>
      </c>
      <c r="C116" s="3">
        <f t="shared" si="10"/>
        <v>31</v>
      </c>
      <c r="D116" s="3" t="str">
        <f t="shared" si="11"/>
        <v/>
      </c>
      <c r="E116" s="3">
        <f t="shared" si="12"/>
        <v>147</v>
      </c>
      <c r="F116" s="5" t="str">
        <f>IF(C116=0,"Broadcast",IF(D116="",IF(E116="","",IF(E116&lt;128,"Verbind "&amp;E116,INDEX(KdoCodeTab,MATCH(E116,KdoWertTab,0)))),"StatusAbfr "&amp;D116))</f>
        <v>Space</v>
      </c>
      <c r="G116" t="str">
        <f t="shared" si="13"/>
        <v/>
      </c>
      <c r="H116" t="str">
        <f t="shared" si="14"/>
        <v>Space</v>
      </c>
      <c r="I116" t="str">
        <f t="shared" si="15"/>
        <v/>
      </c>
    </row>
    <row r="117" spans="1:9" x14ac:dyDescent="0.25">
      <c r="A117" t="s">
        <v>1111</v>
      </c>
      <c r="B117" s="6">
        <f t="shared" si="9"/>
        <v>2.6226666666666665</v>
      </c>
      <c r="C117" s="3">
        <f t="shared" si="10"/>
        <v>31</v>
      </c>
      <c r="D117" s="3" t="str">
        <f t="shared" si="11"/>
        <v/>
      </c>
      <c r="E117" s="3">
        <f t="shared" si="12"/>
        <v>150</v>
      </c>
      <c r="F117" s="5" t="str">
        <f>IF(C117=0,"Broadcast",IF(D117="",IF(E117="","",IF(E117&lt;128,"Verbind "&amp;E117,INDEX(KdoCodeTab,MATCH(E117,KdoWertTab,0)))),"StatusAbfr "&amp;D117))</f>
        <v>SpaceWdh</v>
      </c>
      <c r="G117" t="str">
        <f t="shared" si="13"/>
        <v/>
      </c>
      <c r="H117" t="str">
        <f t="shared" si="14"/>
        <v>SpaceWdh</v>
      </c>
      <c r="I117" t="str">
        <f t="shared" si="15"/>
        <v/>
      </c>
    </row>
    <row r="118" spans="1:9" x14ac:dyDescent="0.25">
      <c r="A118" t="s">
        <v>1112</v>
      </c>
      <c r="B118" s="6">
        <f t="shared" si="9"/>
        <v>2.6771666666666669</v>
      </c>
      <c r="C118" s="3">
        <f t="shared" si="10"/>
        <v>31</v>
      </c>
      <c r="D118" s="3" t="str">
        <f t="shared" si="11"/>
        <v/>
      </c>
      <c r="E118" s="3">
        <f t="shared" si="12"/>
        <v>156</v>
      </c>
      <c r="F118" s="5" t="str">
        <f>IF(C118=0,"Broadcast",IF(D118="",IF(E118="","",IF(E118&lt;128,"Verbind "&amp;E118,INDEX(KdoCodeTab,MATCH(E118,KdoWertTab,0)))),"StatusAbfr "&amp;D118))</f>
        <v>Mark</v>
      </c>
      <c r="G118" t="str">
        <f t="shared" si="13"/>
        <v/>
      </c>
      <c r="H118" t="str">
        <f t="shared" si="14"/>
        <v>Mark</v>
      </c>
      <c r="I118" t="str">
        <f t="shared" si="15"/>
        <v/>
      </c>
    </row>
    <row r="119" spans="1:9" x14ac:dyDescent="0.25">
      <c r="A119" t="s">
        <v>1113</v>
      </c>
      <c r="B119" s="6">
        <f t="shared" si="9"/>
        <v>2.6831666666666667</v>
      </c>
      <c r="C119" s="3">
        <f t="shared" si="10"/>
        <v>31</v>
      </c>
      <c r="D119" s="3" t="str">
        <f t="shared" si="11"/>
        <v/>
      </c>
      <c r="E119" s="3">
        <f t="shared" si="12"/>
        <v>154</v>
      </c>
      <c r="F119" s="5" t="str">
        <f>IF(C119=0,"Broadcast",IF(D119="",IF(E119="","",IF(E119&lt;128,"Verbind "&amp;E119,INDEX(KdoCodeTab,MATCH(E119,KdoWertTab,0)))),"StatusAbfr "&amp;D119))</f>
        <v>MarkWdh</v>
      </c>
      <c r="G119" t="str">
        <f t="shared" si="13"/>
        <v/>
      </c>
      <c r="H119" t="str">
        <f t="shared" si="14"/>
        <v>MarkWdh</v>
      </c>
      <c r="I119" t="str">
        <f t="shared" si="15"/>
        <v/>
      </c>
    </row>
    <row r="120" spans="1:9" x14ac:dyDescent="0.25">
      <c r="A120" t="s">
        <v>1114</v>
      </c>
      <c r="B120" s="6">
        <f t="shared" si="9"/>
        <v>2.7678333333333334</v>
      </c>
      <c r="C120" s="3">
        <f t="shared" si="10"/>
        <v>31</v>
      </c>
      <c r="D120" s="3" t="str">
        <f t="shared" si="11"/>
        <v/>
      </c>
      <c r="E120" s="3">
        <f t="shared" si="12"/>
        <v>147</v>
      </c>
      <c r="F120" s="5" t="str">
        <f>IF(C120=0,"Broadcast",IF(D120="",IF(E120="","",IF(E120&lt;128,"Verbind "&amp;E120,INDEX(KdoCodeTab,MATCH(E120,KdoWertTab,0)))),"StatusAbfr "&amp;D120))</f>
        <v>Space</v>
      </c>
      <c r="G120" t="str">
        <f t="shared" si="13"/>
        <v/>
      </c>
      <c r="H120" t="str">
        <f t="shared" si="14"/>
        <v>Space</v>
      </c>
      <c r="I120" t="str">
        <f t="shared" si="15"/>
        <v/>
      </c>
    </row>
    <row r="121" spans="1:9" x14ac:dyDescent="0.25">
      <c r="A121" t="s">
        <v>1115</v>
      </c>
      <c r="B121" s="6">
        <f t="shared" si="9"/>
        <v>2.7738333333333336</v>
      </c>
      <c r="C121" s="3">
        <f t="shared" si="10"/>
        <v>31</v>
      </c>
      <c r="D121" s="3" t="str">
        <f t="shared" si="11"/>
        <v/>
      </c>
      <c r="E121" s="3">
        <f t="shared" si="12"/>
        <v>150</v>
      </c>
      <c r="F121" s="5" t="str">
        <f>IF(C121=0,"Broadcast",IF(D121="",IF(E121="","",IF(E121&lt;128,"Verbind "&amp;E121,INDEX(KdoCodeTab,MATCH(E121,KdoWertTab,0)))),"StatusAbfr "&amp;D121))</f>
        <v>SpaceWdh</v>
      </c>
      <c r="G121" t="str">
        <f t="shared" si="13"/>
        <v/>
      </c>
      <c r="H121" t="str">
        <f t="shared" si="14"/>
        <v>SpaceWdh</v>
      </c>
      <c r="I121" t="str">
        <f t="shared" si="15"/>
        <v/>
      </c>
    </row>
    <row r="122" spans="1:9" x14ac:dyDescent="0.25">
      <c r="A122" t="s">
        <v>1116</v>
      </c>
      <c r="B122" s="6">
        <f t="shared" si="9"/>
        <v>2.7879999999999998</v>
      </c>
      <c r="C122" s="3">
        <f t="shared" si="10"/>
        <v>31</v>
      </c>
      <c r="D122" s="3" t="str">
        <f t="shared" si="11"/>
        <v/>
      </c>
      <c r="E122" s="3">
        <f t="shared" si="12"/>
        <v>156</v>
      </c>
      <c r="F122" s="5" t="str">
        <f>IF(C122=0,"Broadcast",IF(D122="",IF(E122="","",IF(E122&lt;128,"Verbind "&amp;E122,INDEX(KdoCodeTab,MATCH(E122,KdoWertTab,0)))),"StatusAbfr "&amp;D122))</f>
        <v>Mark</v>
      </c>
      <c r="G122" t="str">
        <f t="shared" si="13"/>
        <v/>
      </c>
      <c r="H122" t="str">
        <f t="shared" si="14"/>
        <v>Mark</v>
      </c>
      <c r="I122" t="str">
        <f t="shared" si="15"/>
        <v/>
      </c>
    </row>
    <row r="123" spans="1:9" x14ac:dyDescent="0.25">
      <c r="A123" t="s">
        <v>1117</v>
      </c>
      <c r="B123" s="6">
        <f t="shared" si="9"/>
        <v>2.794</v>
      </c>
      <c r="C123" s="3">
        <f t="shared" si="10"/>
        <v>31</v>
      </c>
      <c r="D123" s="3" t="str">
        <f t="shared" si="11"/>
        <v/>
      </c>
      <c r="E123" s="3">
        <f t="shared" si="12"/>
        <v>154</v>
      </c>
      <c r="F123" s="5" t="str">
        <f>IF(C123=0,"Broadcast",IF(D123="",IF(E123="","",IF(E123&lt;128,"Verbind "&amp;E123,INDEX(KdoCodeTab,MATCH(E123,KdoWertTab,0)))),"StatusAbfr "&amp;D123))</f>
        <v>MarkWdh</v>
      </c>
      <c r="G123" t="str">
        <f t="shared" si="13"/>
        <v/>
      </c>
      <c r="H123" t="str">
        <f t="shared" si="14"/>
        <v>MarkWdh</v>
      </c>
      <c r="I123" t="str">
        <f t="shared" si="15"/>
        <v/>
      </c>
    </row>
    <row r="124" spans="1:9" x14ac:dyDescent="0.25">
      <c r="A124" t="s">
        <v>1118</v>
      </c>
      <c r="B124" s="6">
        <f t="shared" si="9"/>
        <v>2.8485</v>
      </c>
      <c r="C124" s="3">
        <f t="shared" si="10"/>
        <v>31</v>
      </c>
      <c r="D124" s="3" t="str">
        <f t="shared" si="11"/>
        <v/>
      </c>
      <c r="E124" s="3">
        <f t="shared" si="12"/>
        <v>147</v>
      </c>
      <c r="F124" s="5" t="str">
        <f>IF(C124=0,"Broadcast",IF(D124="",IF(E124="","",IF(E124&lt;128,"Verbind "&amp;E124,INDEX(KdoCodeTab,MATCH(E124,KdoWertTab,0)))),"StatusAbfr "&amp;D124))</f>
        <v>Space</v>
      </c>
      <c r="G124" t="str">
        <f t="shared" si="13"/>
        <v/>
      </c>
      <c r="H124" t="str">
        <f t="shared" si="14"/>
        <v>Space</v>
      </c>
      <c r="I124" t="str">
        <f t="shared" si="15"/>
        <v/>
      </c>
    </row>
    <row r="125" spans="1:9" x14ac:dyDescent="0.25">
      <c r="A125" t="s">
        <v>1119</v>
      </c>
      <c r="B125" s="6">
        <f t="shared" si="9"/>
        <v>2.8545000000000003</v>
      </c>
      <c r="C125" s="3">
        <f t="shared" si="10"/>
        <v>31</v>
      </c>
      <c r="D125" s="3" t="str">
        <f t="shared" si="11"/>
        <v/>
      </c>
      <c r="E125" s="3">
        <f t="shared" si="12"/>
        <v>150</v>
      </c>
      <c r="F125" s="5" t="str">
        <f>IF(C125=0,"Broadcast",IF(D125="",IF(E125="","",IF(E125&lt;128,"Verbind "&amp;E125,INDEX(KdoCodeTab,MATCH(E125,KdoWertTab,0)))),"StatusAbfr "&amp;D125))</f>
        <v>SpaceWdh</v>
      </c>
      <c r="G125" t="str">
        <f t="shared" si="13"/>
        <v/>
      </c>
      <c r="H125" t="str">
        <f t="shared" si="14"/>
        <v>SpaceWdh</v>
      </c>
      <c r="I125" t="str">
        <f t="shared" si="15"/>
        <v/>
      </c>
    </row>
    <row r="126" spans="1:9" x14ac:dyDescent="0.25">
      <c r="A126" t="s">
        <v>1120</v>
      </c>
      <c r="B126" s="6">
        <f t="shared" si="9"/>
        <v>2.8686666666666665</v>
      </c>
      <c r="C126" s="3">
        <f t="shared" si="10"/>
        <v>31</v>
      </c>
      <c r="D126" s="3" t="str">
        <f t="shared" si="11"/>
        <v/>
      </c>
      <c r="E126" s="3">
        <f t="shared" si="12"/>
        <v>156</v>
      </c>
      <c r="F126" s="5" t="str">
        <f>IF(C126=0,"Broadcast",IF(D126="",IF(E126="","",IF(E126&lt;128,"Verbind "&amp;E126,INDEX(KdoCodeTab,MATCH(E126,KdoWertTab,0)))),"StatusAbfr "&amp;D126))</f>
        <v>Mark</v>
      </c>
      <c r="G126" t="str">
        <f t="shared" si="13"/>
        <v/>
      </c>
      <c r="H126" t="str">
        <f t="shared" si="14"/>
        <v>Mark</v>
      </c>
      <c r="I126" t="str">
        <f t="shared" si="15"/>
        <v/>
      </c>
    </row>
    <row r="127" spans="1:9" x14ac:dyDescent="0.25">
      <c r="A127" t="s">
        <v>1121</v>
      </c>
      <c r="B127" s="6">
        <f t="shared" si="9"/>
        <v>2.8746666666666667</v>
      </c>
      <c r="C127" s="3">
        <f t="shared" si="10"/>
        <v>31</v>
      </c>
      <c r="D127" s="3" t="str">
        <f t="shared" si="11"/>
        <v/>
      </c>
      <c r="E127" s="3">
        <f t="shared" si="12"/>
        <v>154</v>
      </c>
      <c r="F127" s="5" t="str">
        <f>IF(C127=0,"Broadcast",IF(D127="",IF(E127="","",IF(E127&lt;128,"Verbind "&amp;E127,INDEX(KdoCodeTab,MATCH(E127,KdoWertTab,0)))),"StatusAbfr "&amp;D127))</f>
        <v>MarkWdh</v>
      </c>
      <c r="G127" t="str">
        <f t="shared" si="13"/>
        <v/>
      </c>
      <c r="H127" t="str">
        <f t="shared" si="14"/>
        <v>MarkWdh</v>
      </c>
      <c r="I127" t="str">
        <f t="shared" si="15"/>
        <v/>
      </c>
    </row>
    <row r="128" spans="1:9" x14ac:dyDescent="0.25">
      <c r="A128" t="s">
        <v>1122</v>
      </c>
      <c r="B128" s="6">
        <f t="shared" si="9"/>
        <v>2.919</v>
      </c>
      <c r="C128" s="3">
        <f t="shared" si="10"/>
        <v>31</v>
      </c>
      <c r="D128" s="3" t="str">
        <f t="shared" si="11"/>
        <v/>
      </c>
      <c r="E128" s="3">
        <f t="shared" si="12"/>
        <v>147</v>
      </c>
      <c r="F128" s="5" t="str">
        <f>IF(C128=0,"Broadcast",IF(D128="",IF(E128="","",IF(E128&lt;128,"Verbind "&amp;E128,INDEX(KdoCodeTab,MATCH(E128,KdoWertTab,0)))),"StatusAbfr "&amp;D128))</f>
        <v>Space</v>
      </c>
      <c r="G128" t="str">
        <f t="shared" si="13"/>
        <v/>
      </c>
      <c r="H128" t="str">
        <f t="shared" si="14"/>
        <v>Space</v>
      </c>
      <c r="I128" t="str">
        <f t="shared" si="15"/>
        <v/>
      </c>
    </row>
    <row r="129" spans="1:9" x14ac:dyDescent="0.25">
      <c r="A129" t="s">
        <v>1123</v>
      </c>
      <c r="B129" s="6">
        <f t="shared" si="9"/>
        <v>2.9249999999999998</v>
      </c>
      <c r="C129" s="3">
        <f t="shared" si="10"/>
        <v>31</v>
      </c>
      <c r="D129" s="3" t="str">
        <f t="shared" si="11"/>
        <v/>
      </c>
      <c r="E129" s="3">
        <f t="shared" si="12"/>
        <v>150</v>
      </c>
      <c r="F129" s="5" t="str">
        <f>IF(C129=0,"Broadcast",IF(D129="",IF(E129="","",IF(E129&lt;128,"Verbind "&amp;E129,INDEX(KdoCodeTab,MATCH(E129,KdoWertTab,0)))),"StatusAbfr "&amp;D129))</f>
        <v>SpaceWdh</v>
      </c>
      <c r="G129" t="str">
        <f t="shared" si="13"/>
        <v/>
      </c>
      <c r="H129" t="str">
        <f t="shared" si="14"/>
        <v>SpaceWdh</v>
      </c>
      <c r="I129" t="str">
        <f t="shared" si="15"/>
        <v/>
      </c>
    </row>
    <row r="130" spans="1:9" x14ac:dyDescent="0.25">
      <c r="A130" t="s">
        <v>1124</v>
      </c>
      <c r="B130" s="6">
        <f t="shared" si="9"/>
        <v>2.9391666666666669</v>
      </c>
      <c r="C130" s="3">
        <f t="shared" si="10"/>
        <v>31</v>
      </c>
      <c r="D130" s="3" t="str">
        <f t="shared" si="11"/>
        <v/>
      </c>
      <c r="E130" s="3">
        <f t="shared" si="12"/>
        <v>156</v>
      </c>
      <c r="F130" s="5" t="str">
        <f>IF(C130=0,"Broadcast",IF(D130="",IF(E130="","",IF(E130&lt;128,"Verbind "&amp;E130,INDEX(KdoCodeTab,MATCH(E130,KdoWertTab,0)))),"StatusAbfr "&amp;D130))</f>
        <v>Mark</v>
      </c>
      <c r="G130" t="str">
        <f t="shared" si="13"/>
        <v/>
      </c>
      <c r="H130" t="str">
        <f t="shared" si="14"/>
        <v>Mark</v>
      </c>
      <c r="I130" t="str">
        <f t="shared" si="15"/>
        <v/>
      </c>
    </row>
    <row r="131" spans="1:9" x14ac:dyDescent="0.25">
      <c r="A131" t="s">
        <v>1125</v>
      </c>
      <c r="B131" s="6">
        <f t="shared" si="9"/>
        <v>2.9451666666666667</v>
      </c>
      <c r="C131" s="3">
        <f t="shared" si="10"/>
        <v>31</v>
      </c>
      <c r="D131" s="3" t="str">
        <f t="shared" si="11"/>
        <v/>
      </c>
      <c r="E131" s="3">
        <f t="shared" si="12"/>
        <v>154</v>
      </c>
      <c r="F131" s="5" t="str">
        <f>IF(C131=0,"Broadcast",IF(D131="",IF(E131="","",IF(E131&lt;128,"Verbind "&amp;E131,INDEX(KdoCodeTab,MATCH(E131,KdoWertTab,0)))),"StatusAbfr "&amp;D131))</f>
        <v>MarkWdh</v>
      </c>
      <c r="G131" t="str">
        <f t="shared" si="13"/>
        <v/>
      </c>
      <c r="H131" t="str">
        <f t="shared" si="14"/>
        <v>MarkWdh</v>
      </c>
      <c r="I131" t="str">
        <f t="shared" si="15"/>
        <v/>
      </c>
    </row>
    <row r="132" spans="1:9" x14ac:dyDescent="0.25">
      <c r="A132" t="s">
        <v>1126</v>
      </c>
      <c r="B132" s="6">
        <f t="shared" si="9"/>
        <v>2.9795000000000003</v>
      </c>
      <c r="C132" s="3">
        <f t="shared" si="10"/>
        <v>31</v>
      </c>
      <c r="D132" s="3" t="str">
        <f t="shared" si="11"/>
        <v/>
      </c>
      <c r="E132" s="3">
        <f t="shared" si="12"/>
        <v>147</v>
      </c>
      <c r="F132" s="5" t="str">
        <f>IF(C132=0,"Broadcast",IF(D132="",IF(E132="","",IF(E132&lt;128,"Verbind "&amp;E132,INDEX(KdoCodeTab,MATCH(E132,KdoWertTab,0)))),"StatusAbfr "&amp;D132))</f>
        <v>Space</v>
      </c>
      <c r="G132" t="str">
        <f t="shared" si="13"/>
        <v/>
      </c>
      <c r="H132" t="str">
        <f t="shared" si="14"/>
        <v>Space</v>
      </c>
      <c r="I132" t="str">
        <f t="shared" si="15"/>
        <v/>
      </c>
    </row>
    <row r="133" spans="1:9" x14ac:dyDescent="0.25">
      <c r="A133" t="s">
        <v>1127</v>
      </c>
      <c r="B133" s="6">
        <f t="shared" ref="B133:B196" si="16">MID(A133,1,5)/1000+(CODE(MID(A133,6,1))-CODE("a"))/6000</f>
        <v>2.9855</v>
      </c>
      <c r="C133" s="3">
        <f t="shared" ref="C133:C196" si="17">INT(HEX2DEC(MID(A133,8,2))/2)</f>
        <v>31</v>
      </c>
      <c r="D133" s="3" t="str">
        <f t="shared" ref="D133:D196" si="18">IF(MID(A133,10,1)="&lt;",MID(A133,12,2),"")</f>
        <v/>
      </c>
      <c r="E133" s="3">
        <f t="shared" ref="E133:E196" si="19">IF(MID(A133,10,1)="&gt;",HEX2DEC(MID(A133,12,2)),"")</f>
        <v>150</v>
      </c>
      <c r="F133" s="5" t="str">
        <f>IF(C133=0,"Broadcast",IF(D133="",IF(E133="","",IF(E133&lt;128,"Verbind "&amp;E133,INDEX(KdoCodeTab,MATCH(E133,KdoWertTab,0)))),"StatusAbfr "&amp;D133))</f>
        <v>SpaceWdh</v>
      </c>
      <c r="G133" t="str">
        <f t="shared" ref="G133:G196" si="20">IF(C133=$G$2,F133,"")</f>
        <v/>
      </c>
      <c r="H133" t="str">
        <f t="shared" ref="H133:H196" si="21">IF(C133=$H$2,F133,"")</f>
        <v>SpaceWdh</v>
      </c>
      <c r="I133" t="str">
        <f t="shared" ref="I133:I196" si="22">IF(G133&amp;H133="",F133,"")</f>
        <v/>
      </c>
    </row>
    <row r="134" spans="1:9" x14ac:dyDescent="0.25">
      <c r="A134" t="s">
        <v>1128</v>
      </c>
      <c r="B134" s="6">
        <f t="shared" si="16"/>
        <v>3.0198333333333336</v>
      </c>
      <c r="C134" s="3">
        <f t="shared" si="17"/>
        <v>31</v>
      </c>
      <c r="D134" s="3" t="str">
        <f t="shared" si="18"/>
        <v/>
      </c>
      <c r="E134" s="3">
        <f t="shared" si="19"/>
        <v>156</v>
      </c>
      <c r="F134" s="5" t="str">
        <f>IF(C134=0,"Broadcast",IF(D134="",IF(E134="","",IF(E134&lt;128,"Verbind "&amp;E134,INDEX(KdoCodeTab,MATCH(E134,KdoWertTab,0)))),"StatusAbfr "&amp;D134))</f>
        <v>Mark</v>
      </c>
      <c r="G134" t="str">
        <f t="shared" si="20"/>
        <v/>
      </c>
      <c r="H134" t="str">
        <f t="shared" si="21"/>
        <v>Mark</v>
      </c>
      <c r="I134" t="str">
        <f t="shared" si="22"/>
        <v/>
      </c>
    </row>
    <row r="135" spans="1:9" x14ac:dyDescent="0.25">
      <c r="A135" t="s">
        <v>1129</v>
      </c>
      <c r="B135" s="6">
        <f t="shared" si="16"/>
        <v>3.0258333333333334</v>
      </c>
      <c r="C135" s="3">
        <f t="shared" si="17"/>
        <v>31</v>
      </c>
      <c r="D135" s="3" t="str">
        <f t="shared" si="18"/>
        <v/>
      </c>
      <c r="E135" s="3">
        <f t="shared" si="19"/>
        <v>154</v>
      </c>
      <c r="F135" s="5" t="str">
        <f>IF(C135=0,"Broadcast",IF(D135="",IF(E135="","",IF(E135&lt;128,"Verbind "&amp;E135,INDEX(KdoCodeTab,MATCH(E135,KdoWertTab,0)))),"StatusAbfr "&amp;D135))</f>
        <v>MarkWdh</v>
      </c>
      <c r="G135" t="str">
        <f t="shared" si="20"/>
        <v/>
      </c>
      <c r="H135" t="str">
        <f t="shared" si="21"/>
        <v>MarkWdh</v>
      </c>
      <c r="I135" t="str">
        <f t="shared" si="22"/>
        <v/>
      </c>
    </row>
    <row r="136" spans="1:9" x14ac:dyDescent="0.25">
      <c r="A136" t="s">
        <v>1130</v>
      </c>
      <c r="B136" s="6">
        <f t="shared" si="16"/>
        <v>3.0701666666666667</v>
      </c>
      <c r="C136" s="3">
        <f t="shared" si="17"/>
        <v>31</v>
      </c>
      <c r="D136" s="3" t="str">
        <f t="shared" si="18"/>
        <v/>
      </c>
      <c r="E136" s="3">
        <f t="shared" si="19"/>
        <v>147</v>
      </c>
      <c r="F136" s="5" t="str">
        <f>IF(C136=0,"Broadcast",IF(D136="",IF(E136="","",IF(E136&lt;128,"Verbind "&amp;E136,INDEX(KdoCodeTab,MATCH(E136,KdoWertTab,0)))),"StatusAbfr "&amp;D136))</f>
        <v>Space</v>
      </c>
      <c r="G136" t="str">
        <f t="shared" si="20"/>
        <v/>
      </c>
      <c r="H136" t="str">
        <f t="shared" si="21"/>
        <v>Space</v>
      </c>
      <c r="I136" t="str">
        <f t="shared" si="22"/>
        <v/>
      </c>
    </row>
    <row r="137" spans="1:9" x14ac:dyDescent="0.25">
      <c r="A137" t="s">
        <v>1131</v>
      </c>
      <c r="B137" s="6">
        <f t="shared" si="16"/>
        <v>3.0763333333333334</v>
      </c>
      <c r="C137" s="3">
        <f t="shared" si="17"/>
        <v>31</v>
      </c>
      <c r="D137" s="3" t="str">
        <f t="shared" si="18"/>
        <v/>
      </c>
      <c r="E137" s="3">
        <f t="shared" si="19"/>
        <v>150</v>
      </c>
      <c r="F137" s="5" t="str">
        <f>IF(C137=0,"Broadcast",IF(D137="",IF(E137="","",IF(E137&lt;128,"Verbind "&amp;E137,INDEX(KdoCodeTab,MATCH(E137,KdoWertTab,0)))),"StatusAbfr "&amp;D137))</f>
        <v>SpaceWdh</v>
      </c>
      <c r="G137" t="str">
        <f t="shared" si="20"/>
        <v/>
      </c>
      <c r="H137" t="str">
        <f t="shared" si="21"/>
        <v>SpaceWdh</v>
      </c>
      <c r="I137" t="str">
        <f t="shared" si="22"/>
        <v/>
      </c>
    </row>
    <row r="138" spans="1:9" x14ac:dyDescent="0.25">
      <c r="A138" t="s">
        <v>1132</v>
      </c>
      <c r="B138" s="6">
        <f t="shared" si="16"/>
        <v>3.1306666666666665</v>
      </c>
      <c r="C138" s="3">
        <f t="shared" si="17"/>
        <v>31</v>
      </c>
      <c r="D138" s="3" t="str">
        <f t="shared" si="18"/>
        <v/>
      </c>
      <c r="E138" s="3">
        <f t="shared" si="19"/>
        <v>156</v>
      </c>
      <c r="F138" s="5" t="str">
        <f>IF(C138=0,"Broadcast",IF(D138="",IF(E138="","",IF(E138&lt;128,"Verbind "&amp;E138,INDEX(KdoCodeTab,MATCH(E138,KdoWertTab,0)))),"StatusAbfr "&amp;D138))</f>
        <v>Mark</v>
      </c>
      <c r="G138" t="str">
        <f t="shared" si="20"/>
        <v/>
      </c>
      <c r="H138" t="str">
        <f t="shared" si="21"/>
        <v>Mark</v>
      </c>
      <c r="I138" t="str">
        <f t="shared" si="22"/>
        <v/>
      </c>
    </row>
    <row r="139" spans="1:9" x14ac:dyDescent="0.25">
      <c r="A139" t="s">
        <v>1133</v>
      </c>
      <c r="B139" s="6">
        <f t="shared" si="16"/>
        <v>3.1366666666666667</v>
      </c>
      <c r="C139" s="3">
        <f t="shared" si="17"/>
        <v>31</v>
      </c>
      <c r="D139" s="3" t="str">
        <f t="shared" si="18"/>
        <v/>
      </c>
      <c r="E139" s="3">
        <f t="shared" si="19"/>
        <v>154</v>
      </c>
      <c r="F139" s="5" t="str">
        <f>IF(C139=0,"Broadcast",IF(D139="",IF(E139="","",IF(E139&lt;128,"Verbind "&amp;E139,INDEX(KdoCodeTab,MATCH(E139,KdoWertTab,0)))),"StatusAbfr "&amp;D139))</f>
        <v>MarkWdh</v>
      </c>
      <c r="G139" t="str">
        <f t="shared" si="20"/>
        <v/>
      </c>
      <c r="H139" t="str">
        <f t="shared" si="21"/>
        <v>MarkWdh</v>
      </c>
      <c r="I139" t="str">
        <f t="shared" si="22"/>
        <v/>
      </c>
    </row>
    <row r="140" spans="1:9" x14ac:dyDescent="0.25">
      <c r="A140" t="s">
        <v>1134</v>
      </c>
      <c r="B140" s="6">
        <f t="shared" si="16"/>
        <v>3.1781666666666668</v>
      </c>
      <c r="C140" s="3">
        <f t="shared" si="17"/>
        <v>101</v>
      </c>
      <c r="D140" s="3" t="str">
        <f t="shared" si="18"/>
        <v/>
      </c>
      <c r="E140" s="3">
        <f t="shared" si="19"/>
        <v>169</v>
      </c>
      <c r="F140" s="5" t="str">
        <f>IF(C140=0,"Broadcast",IF(D140="",IF(E140="","",IF(E140&lt;128,"Verbind "&amp;E140,INDEX(KdoCodeTab,MATCH(E140,KdoWertTab,0)))),"StatusAbfr "&amp;D140))</f>
        <v>BusLebenszeichen</v>
      </c>
      <c r="G140" t="str">
        <f t="shared" si="20"/>
        <v>BusLebenszeichen</v>
      </c>
      <c r="H140" t="str">
        <f t="shared" si="21"/>
        <v/>
      </c>
      <c r="I140" t="str">
        <f t="shared" si="22"/>
        <v/>
      </c>
    </row>
    <row r="141" spans="1:9" x14ac:dyDescent="0.25">
      <c r="A141" t="s">
        <v>1135</v>
      </c>
      <c r="B141" s="6">
        <f t="shared" si="16"/>
        <v>3.2213333333333334</v>
      </c>
      <c r="C141" s="3">
        <f t="shared" si="17"/>
        <v>31</v>
      </c>
      <c r="D141" s="3" t="str">
        <f t="shared" si="18"/>
        <v/>
      </c>
      <c r="E141" s="3">
        <f t="shared" si="19"/>
        <v>147</v>
      </c>
      <c r="F141" s="5" t="str">
        <f>IF(C141=0,"Broadcast",IF(D141="",IF(E141="","",IF(E141&lt;128,"Verbind "&amp;E141,INDEX(KdoCodeTab,MATCH(E141,KdoWertTab,0)))),"StatusAbfr "&amp;D141))</f>
        <v>Space</v>
      </c>
      <c r="G141" t="str">
        <f t="shared" si="20"/>
        <v/>
      </c>
      <c r="H141" t="str">
        <f t="shared" si="21"/>
        <v>Space</v>
      </c>
      <c r="I141" t="str">
        <f t="shared" si="22"/>
        <v/>
      </c>
    </row>
    <row r="142" spans="1:9" x14ac:dyDescent="0.25">
      <c r="A142" t="s">
        <v>1136</v>
      </c>
      <c r="B142" s="6">
        <f t="shared" si="16"/>
        <v>3.2275</v>
      </c>
      <c r="C142" s="3">
        <f t="shared" si="17"/>
        <v>31</v>
      </c>
      <c r="D142" s="3" t="str">
        <f t="shared" si="18"/>
        <v/>
      </c>
      <c r="E142" s="3">
        <f t="shared" si="19"/>
        <v>150</v>
      </c>
      <c r="F142" s="5" t="str">
        <f>IF(C142=0,"Broadcast",IF(D142="",IF(E142="","",IF(E142&lt;128,"Verbind "&amp;E142,INDEX(KdoCodeTab,MATCH(E142,KdoWertTab,0)))),"StatusAbfr "&amp;D142))</f>
        <v>SpaceWdh</v>
      </c>
      <c r="G142" t="str">
        <f t="shared" si="20"/>
        <v/>
      </c>
      <c r="H142" t="str">
        <f t="shared" si="21"/>
        <v>SpaceWdh</v>
      </c>
      <c r="I142" t="str">
        <f t="shared" si="22"/>
        <v/>
      </c>
    </row>
    <row r="143" spans="1:9" x14ac:dyDescent="0.25">
      <c r="A143" t="s">
        <v>1137</v>
      </c>
      <c r="B143" s="6">
        <f t="shared" si="16"/>
        <v>3.2415000000000003</v>
      </c>
      <c r="C143" s="3">
        <f t="shared" si="17"/>
        <v>31</v>
      </c>
      <c r="D143" s="3" t="str">
        <f t="shared" si="18"/>
        <v/>
      </c>
      <c r="E143" s="3">
        <f t="shared" si="19"/>
        <v>156</v>
      </c>
      <c r="F143" s="5" t="str">
        <f>IF(C143=0,"Broadcast",IF(D143="",IF(E143="","",IF(E143&lt;128,"Verbind "&amp;E143,INDEX(KdoCodeTab,MATCH(E143,KdoWertTab,0)))),"StatusAbfr "&amp;D143))</f>
        <v>Mark</v>
      </c>
      <c r="G143" t="str">
        <f t="shared" si="20"/>
        <v/>
      </c>
      <c r="H143" t="str">
        <f t="shared" si="21"/>
        <v>Mark</v>
      </c>
      <c r="I143" t="str">
        <f t="shared" si="22"/>
        <v/>
      </c>
    </row>
    <row r="144" spans="1:9" x14ac:dyDescent="0.25">
      <c r="A144" t="s">
        <v>1138</v>
      </c>
      <c r="B144" s="6">
        <f t="shared" si="16"/>
        <v>3.2476666666666665</v>
      </c>
      <c r="C144" s="3">
        <f t="shared" si="17"/>
        <v>31</v>
      </c>
      <c r="D144" s="3" t="str">
        <f t="shared" si="18"/>
        <v/>
      </c>
      <c r="E144" s="3">
        <f t="shared" si="19"/>
        <v>154</v>
      </c>
      <c r="F144" s="5" t="str">
        <f>IF(C144=0,"Broadcast",IF(D144="",IF(E144="","",IF(E144&lt;128,"Verbind "&amp;E144,INDEX(KdoCodeTab,MATCH(E144,KdoWertTab,0)))),"StatusAbfr "&amp;D144))</f>
        <v>MarkWdh</v>
      </c>
      <c r="G144" t="str">
        <f t="shared" si="20"/>
        <v/>
      </c>
      <c r="H144" t="str">
        <f t="shared" si="21"/>
        <v>MarkWdh</v>
      </c>
      <c r="I144" t="str">
        <f t="shared" si="22"/>
        <v/>
      </c>
    </row>
    <row r="145" spans="1:9" x14ac:dyDescent="0.25">
      <c r="A145" t="s">
        <v>1139</v>
      </c>
      <c r="B145" s="6">
        <f t="shared" si="16"/>
        <v>3.2818333333333336</v>
      </c>
      <c r="C145" s="3">
        <f t="shared" si="17"/>
        <v>31</v>
      </c>
      <c r="D145" s="3" t="str">
        <f t="shared" si="18"/>
        <v/>
      </c>
      <c r="E145" s="3">
        <f t="shared" si="19"/>
        <v>147</v>
      </c>
      <c r="F145" s="5" t="str">
        <f>IF(C145=0,"Broadcast",IF(D145="",IF(E145="","",IF(E145&lt;128,"Verbind "&amp;E145,INDEX(KdoCodeTab,MATCH(E145,KdoWertTab,0)))),"StatusAbfr "&amp;D145))</f>
        <v>Space</v>
      </c>
      <c r="G145" t="str">
        <f t="shared" si="20"/>
        <v/>
      </c>
      <c r="H145" t="str">
        <f t="shared" si="21"/>
        <v>Space</v>
      </c>
      <c r="I145" t="str">
        <f t="shared" si="22"/>
        <v/>
      </c>
    </row>
    <row r="146" spans="1:9" x14ac:dyDescent="0.25">
      <c r="A146" t="s">
        <v>1140</v>
      </c>
      <c r="B146" s="6">
        <f t="shared" si="16"/>
        <v>3.2879999999999998</v>
      </c>
      <c r="C146" s="3">
        <f t="shared" si="17"/>
        <v>31</v>
      </c>
      <c r="D146" s="3" t="str">
        <f t="shared" si="18"/>
        <v/>
      </c>
      <c r="E146" s="3">
        <f t="shared" si="19"/>
        <v>150</v>
      </c>
      <c r="F146" s="5" t="str">
        <f>IF(C146=0,"Broadcast",IF(D146="",IF(E146="","",IF(E146&lt;128,"Verbind "&amp;E146,INDEX(KdoCodeTab,MATCH(E146,KdoWertTab,0)))),"StatusAbfr "&amp;D146))</f>
        <v>SpaceWdh</v>
      </c>
      <c r="G146" t="str">
        <f t="shared" si="20"/>
        <v/>
      </c>
      <c r="H146" t="str">
        <f t="shared" si="21"/>
        <v>SpaceWdh</v>
      </c>
      <c r="I146" t="str">
        <f t="shared" si="22"/>
        <v/>
      </c>
    </row>
    <row r="147" spans="1:9" x14ac:dyDescent="0.25">
      <c r="A147" t="s">
        <v>1141</v>
      </c>
      <c r="B147" s="6">
        <f t="shared" si="16"/>
        <v>3.3221666666666669</v>
      </c>
      <c r="C147" s="3">
        <f t="shared" si="17"/>
        <v>31</v>
      </c>
      <c r="D147" s="3" t="str">
        <f t="shared" si="18"/>
        <v/>
      </c>
      <c r="E147" s="3">
        <f t="shared" si="19"/>
        <v>156</v>
      </c>
      <c r="F147" s="5" t="str">
        <f>IF(C147=0,"Broadcast",IF(D147="",IF(E147="","",IF(E147&lt;128,"Verbind "&amp;E147,INDEX(KdoCodeTab,MATCH(E147,KdoWertTab,0)))),"StatusAbfr "&amp;D147))</f>
        <v>Mark</v>
      </c>
      <c r="G147" t="str">
        <f t="shared" si="20"/>
        <v/>
      </c>
      <c r="H147" t="str">
        <f t="shared" si="21"/>
        <v>Mark</v>
      </c>
      <c r="I147" t="str">
        <f t="shared" si="22"/>
        <v/>
      </c>
    </row>
    <row r="148" spans="1:9" x14ac:dyDescent="0.25">
      <c r="A148" t="s">
        <v>1142</v>
      </c>
      <c r="B148" s="6">
        <f t="shared" si="16"/>
        <v>3.3283333333333331</v>
      </c>
      <c r="C148" s="3">
        <f t="shared" si="17"/>
        <v>31</v>
      </c>
      <c r="D148" s="3" t="str">
        <f t="shared" si="18"/>
        <v/>
      </c>
      <c r="E148" s="3">
        <f t="shared" si="19"/>
        <v>154</v>
      </c>
      <c r="F148" s="5" t="str">
        <f>IF(C148=0,"Broadcast",IF(D148="",IF(E148="","",IF(E148&lt;128,"Verbind "&amp;E148,INDEX(KdoCodeTab,MATCH(E148,KdoWertTab,0)))),"StatusAbfr "&amp;D148))</f>
        <v>MarkWdh</v>
      </c>
      <c r="G148" t="str">
        <f t="shared" si="20"/>
        <v/>
      </c>
      <c r="H148" t="str">
        <f t="shared" si="21"/>
        <v>MarkWdh</v>
      </c>
      <c r="I148" t="str">
        <f t="shared" si="22"/>
        <v/>
      </c>
    </row>
    <row r="149" spans="1:9" x14ac:dyDescent="0.25">
      <c r="A149" t="s">
        <v>1143</v>
      </c>
      <c r="B149" s="6">
        <f t="shared" si="16"/>
        <v>3.3726666666666665</v>
      </c>
      <c r="C149" s="3">
        <f t="shared" si="17"/>
        <v>31</v>
      </c>
      <c r="D149" s="3" t="str">
        <f t="shared" si="18"/>
        <v/>
      </c>
      <c r="E149" s="3">
        <f t="shared" si="19"/>
        <v>147</v>
      </c>
      <c r="F149" s="5" t="str">
        <f>IF(C149=0,"Broadcast",IF(D149="",IF(E149="","",IF(E149&lt;128,"Verbind "&amp;E149,INDEX(KdoCodeTab,MATCH(E149,KdoWertTab,0)))),"StatusAbfr "&amp;D149))</f>
        <v>Space</v>
      </c>
      <c r="G149" t="str">
        <f t="shared" si="20"/>
        <v/>
      </c>
      <c r="H149" t="str">
        <f t="shared" si="21"/>
        <v>Space</v>
      </c>
      <c r="I149" t="str">
        <f t="shared" si="22"/>
        <v/>
      </c>
    </row>
    <row r="150" spans="1:9" x14ac:dyDescent="0.25">
      <c r="A150" t="s">
        <v>1144</v>
      </c>
      <c r="B150" s="6">
        <f t="shared" si="16"/>
        <v>3.3786666666666667</v>
      </c>
      <c r="C150" s="3">
        <f t="shared" si="17"/>
        <v>31</v>
      </c>
      <c r="D150" s="3" t="str">
        <f t="shared" si="18"/>
        <v/>
      </c>
      <c r="E150" s="3">
        <f t="shared" si="19"/>
        <v>150</v>
      </c>
      <c r="F150" s="5" t="str">
        <f>IF(C150=0,"Broadcast",IF(D150="",IF(E150="","",IF(E150&lt;128,"Verbind "&amp;E150,INDEX(KdoCodeTab,MATCH(E150,KdoWertTab,0)))),"StatusAbfr "&amp;D150))</f>
        <v>SpaceWdh</v>
      </c>
      <c r="G150" t="str">
        <f t="shared" si="20"/>
        <v/>
      </c>
      <c r="H150" t="str">
        <f t="shared" si="21"/>
        <v>SpaceWdh</v>
      </c>
      <c r="I150" t="str">
        <f t="shared" si="22"/>
        <v/>
      </c>
    </row>
    <row r="151" spans="1:9" x14ac:dyDescent="0.25">
      <c r="A151" t="s">
        <v>1145</v>
      </c>
      <c r="B151" s="6">
        <f t="shared" si="16"/>
        <v>3.4129999999999998</v>
      </c>
      <c r="C151" s="3">
        <f t="shared" si="17"/>
        <v>31</v>
      </c>
      <c r="D151" s="3" t="str">
        <f t="shared" si="18"/>
        <v/>
      </c>
      <c r="E151" s="3">
        <f t="shared" si="19"/>
        <v>156</v>
      </c>
      <c r="F151" s="5" t="str">
        <f>IF(C151=0,"Broadcast",IF(D151="",IF(E151="","",IF(E151&lt;128,"Verbind "&amp;E151,INDEX(KdoCodeTab,MATCH(E151,KdoWertTab,0)))),"StatusAbfr "&amp;D151))</f>
        <v>Mark</v>
      </c>
      <c r="G151" t="str">
        <f t="shared" si="20"/>
        <v/>
      </c>
      <c r="H151" t="str">
        <f t="shared" si="21"/>
        <v>Mark</v>
      </c>
      <c r="I151" t="str">
        <f t="shared" si="22"/>
        <v/>
      </c>
    </row>
    <row r="152" spans="1:9" x14ac:dyDescent="0.25">
      <c r="A152" t="s">
        <v>1146</v>
      </c>
      <c r="B152" s="6">
        <f t="shared" si="16"/>
        <v>3.419</v>
      </c>
      <c r="C152" s="3">
        <f t="shared" si="17"/>
        <v>31</v>
      </c>
      <c r="D152" s="3" t="str">
        <f t="shared" si="18"/>
        <v/>
      </c>
      <c r="E152" s="3">
        <f t="shared" si="19"/>
        <v>154</v>
      </c>
      <c r="F152" s="5" t="str">
        <f>IF(C152=0,"Broadcast",IF(D152="",IF(E152="","",IF(E152&lt;128,"Verbind "&amp;E152,INDEX(KdoCodeTab,MATCH(E152,KdoWertTab,0)))),"StatusAbfr "&amp;D152))</f>
        <v>MarkWdh</v>
      </c>
      <c r="G152" t="str">
        <f t="shared" si="20"/>
        <v/>
      </c>
      <c r="H152" t="str">
        <f t="shared" si="21"/>
        <v>MarkWdh</v>
      </c>
      <c r="I152" t="str">
        <f t="shared" si="22"/>
        <v/>
      </c>
    </row>
    <row r="153" spans="1:9" x14ac:dyDescent="0.25">
      <c r="A153" t="s">
        <v>1147</v>
      </c>
      <c r="B153" s="6">
        <f t="shared" si="16"/>
        <v>3.4533333333333331</v>
      </c>
      <c r="C153" s="3">
        <f t="shared" si="17"/>
        <v>31</v>
      </c>
      <c r="D153" s="3" t="str">
        <f t="shared" si="18"/>
        <v/>
      </c>
      <c r="E153" s="3">
        <f t="shared" si="19"/>
        <v>147</v>
      </c>
      <c r="F153" s="5" t="str">
        <f>IF(C153=0,"Broadcast",IF(D153="",IF(E153="","",IF(E153&lt;128,"Verbind "&amp;E153,INDEX(KdoCodeTab,MATCH(E153,KdoWertTab,0)))),"StatusAbfr "&amp;D153))</f>
        <v>Space</v>
      </c>
      <c r="G153" t="str">
        <f t="shared" si="20"/>
        <v/>
      </c>
      <c r="H153" t="str">
        <f t="shared" si="21"/>
        <v>Space</v>
      </c>
      <c r="I153" t="str">
        <f t="shared" si="22"/>
        <v/>
      </c>
    </row>
    <row r="154" spans="1:9" x14ac:dyDescent="0.25">
      <c r="A154" t="s">
        <v>1148</v>
      </c>
      <c r="B154" s="6">
        <f t="shared" si="16"/>
        <v>3.4593333333333334</v>
      </c>
      <c r="C154" s="3">
        <f t="shared" si="17"/>
        <v>31</v>
      </c>
      <c r="D154" s="3" t="str">
        <f t="shared" si="18"/>
        <v/>
      </c>
      <c r="E154" s="3">
        <f t="shared" si="19"/>
        <v>150</v>
      </c>
      <c r="F154" s="5" t="str">
        <f>IF(C154=0,"Broadcast",IF(D154="",IF(E154="","",IF(E154&lt;128,"Verbind "&amp;E154,INDEX(KdoCodeTab,MATCH(E154,KdoWertTab,0)))),"StatusAbfr "&amp;D154))</f>
        <v>SpaceWdh</v>
      </c>
      <c r="G154" t="str">
        <f t="shared" si="20"/>
        <v/>
      </c>
      <c r="H154" t="str">
        <f t="shared" si="21"/>
        <v>SpaceWdh</v>
      </c>
      <c r="I154" t="str">
        <f t="shared" si="22"/>
        <v/>
      </c>
    </row>
    <row r="155" spans="1:9" x14ac:dyDescent="0.25">
      <c r="A155" t="s">
        <v>1149</v>
      </c>
      <c r="B155" s="6">
        <f t="shared" si="16"/>
        <v>3.4735</v>
      </c>
      <c r="C155" s="3">
        <f t="shared" si="17"/>
        <v>31</v>
      </c>
      <c r="D155" s="3" t="str">
        <f t="shared" si="18"/>
        <v/>
      </c>
      <c r="E155" s="3">
        <f t="shared" si="19"/>
        <v>156</v>
      </c>
      <c r="F155" s="5" t="str">
        <f>IF(C155=0,"Broadcast",IF(D155="",IF(E155="","",IF(E155&lt;128,"Verbind "&amp;E155,INDEX(KdoCodeTab,MATCH(E155,KdoWertTab,0)))),"StatusAbfr "&amp;D155))</f>
        <v>Mark</v>
      </c>
      <c r="G155" t="str">
        <f t="shared" si="20"/>
        <v/>
      </c>
      <c r="H155" t="str">
        <f t="shared" si="21"/>
        <v>Mark</v>
      </c>
      <c r="I155" t="str">
        <f t="shared" si="22"/>
        <v/>
      </c>
    </row>
    <row r="156" spans="1:9" x14ac:dyDescent="0.25">
      <c r="A156" t="s">
        <v>1150</v>
      </c>
      <c r="B156" s="6">
        <f t="shared" si="16"/>
        <v>3.4795000000000003</v>
      </c>
      <c r="C156" s="3">
        <f t="shared" si="17"/>
        <v>31</v>
      </c>
      <c r="D156" s="3" t="str">
        <f t="shared" si="18"/>
        <v/>
      </c>
      <c r="E156" s="3">
        <f t="shared" si="19"/>
        <v>154</v>
      </c>
      <c r="F156" s="5" t="str">
        <f>IF(C156=0,"Broadcast",IF(D156="",IF(E156="","",IF(E156&lt;128,"Verbind "&amp;E156,INDEX(KdoCodeTab,MATCH(E156,KdoWertTab,0)))),"StatusAbfr "&amp;D156))</f>
        <v>MarkWdh</v>
      </c>
      <c r="G156" t="str">
        <f t="shared" si="20"/>
        <v/>
      </c>
      <c r="H156" t="str">
        <f t="shared" si="21"/>
        <v>MarkWdh</v>
      </c>
      <c r="I156" t="str">
        <f t="shared" si="22"/>
        <v/>
      </c>
    </row>
    <row r="157" spans="1:9" x14ac:dyDescent="0.25">
      <c r="A157" t="s">
        <v>1151</v>
      </c>
      <c r="B157" s="6">
        <f t="shared" si="16"/>
        <v>3.5238333333333336</v>
      </c>
      <c r="C157" s="3">
        <f t="shared" si="17"/>
        <v>31</v>
      </c>
      <c r="D157" s="3" t="str">
        <f t="shared" si="18"/>
        <v/>
      </c>
      <c r="E157" s="3">
        <f t="shared" si="19"/>
        <v>147</v>
      </c>
      <c r="F157" s="5" t="str">
        <f>IF(C157=0,"Broadcast",IF(D157="",IF(E157="","",IF(E157&lt;128,"Verbind "&amp;E157,INDEX(KdoCodeTab,MATCH(E157,KdoWertTab,0)))),"StatusAbfr "&amp;D157))</f>
        <v>Space</v>
      </c>
      <c r="G157" t="str">
        <f t="shared" si="20"/>
        <v/>
      </c>
      <c r="H157" t="str">
        <f t="shared" si="21"/>
        <v>Space</v>
      </c>
      <c r="I157" t="str">
        <f t="shared" si="22"/>
        <v/>
      </c>
    </row>
    <row r="158" spans="1:9" x14ac:dyDescent="0.25">
      <c r="A158" t="s">
        <v>1152</v>
      </c>
      <c r="B158" s="6">
        <f t="shared" si="16"/>
        <v>3.5298333333333334</v>
      </c>
      <c r="C158" s="3">
        <f t="shared" si="17"/>
        <v>31</v>
      </c>
      <c r="D158" s="3" t="str">
        <f t="shared" si="18"/>
        <v/>
      </c>
      <c r="E158" s="3">
        <f t="shared" si="19"/>
        <v>150</v>
      </c>
      <c r="F158" s="5" t="str">
        <f>IF(C158=0,"Broadcast",IF(D158="",IF(E158="","",IF(E158&lt;128,"Verbind "&amp;E158,INDEX(KdoCodeTab,MATCH(E158,KdoWertTab,0)))),"StatusAbfr "&amp;D158))</f>
        <v>SpaceWdh</v>
      </c>
      <c r="G158" t="str">
        <f t="shared" si="20"/>
        <v/>
      </c>
      <c r="H158" t="str">
        <f t="shared" si="21"/>
        <v>SpaceWdh</v>
      </c>
      <c r="I158" t="str">
        <f t="shared" si="22"/>
        <v/>
      </c>
    </row>
    <row r="159" spans="1:9" x14ac:dyDescent="0.25">
      <c r="A159" t="s">
        <v>1153</v>
      </c>
      <c r="B159" s="6">
        <f t="shared" si="16"/>
        <v>3.544</v>
      </c>
      <c r="C159" s="3">
        <f t="shared" si="17"/>
        <v>31</v>
      </c>
      <c r="D159" s="3" t="str">
        <f t="shared" si="18"/>
        <v/>
      </c>
      <c r="E159" s="3">
        <f t="shared" si="19"/>
        <v>156</v>
      </c>
      <c r="F159" s="5" t="str">
        <f>IF(C159=0,"Broadcast",IF(D159="",IF(E159="","",IF(E159&lt;128,"Verbind "&amp;E159,INDEX(KdoCodeTab,MATCH(E159,KdoWertTab,0)))),"StatusAbfr "&amp;D159))</f>
        <v>Mark</v>
      </c>
      <c r="G159" t="str">
        <f t="shared" si="20"/>
        <v/>
      </c>
      <c r="H159" t="str">
        <f t="shared" si="21"/>
        <v>Mark</v>
      </c>
      <c r="I159" t="str">
        <f t="shared" si="22"/>
        <v/>
      </c>
    </row>
    <row r="160" spans="1:9" x14ac:dyDescent="0.25">
      <c r="A160" t="s">
        <v>1154</v>
      </c>
      <c r="B160" s="6">
        <f t="shared" si="16"/>
        <v>3.55</v>
      </c>
      <c r="C160" s="3">
        <f t="shared" si="17"/>
        <v>31</v>
      </c>
      <c r="D160" s="3" t="str">
        <f t="shared" si="18"/>
        <v/>
      </c>
      <c r="E160" s="3">
        <f t="shared" si="19"/>
        <v>154</v>
      </c>
      <c r="F160" s="5" t="str">
        <f>IF(C160=0,"Broadcast",IF(D160="",IF(E160="","",IF(E160&lt;128,"Verbind "&amp;E160,INDEX(KdoCodeTab,MATCH(E160,KdoWertTab,0)))),"StatusAbfr "&amp;D160))</f>
        <v>MarkWdh</v>
      </c>
      <c r="G160" t="str">
        <f t="shared" si="20"/>
        <v/>
      </c>
      <c r="H160" t="str">
        <f t="shared" si="21"/>
        <v>MarkWdh</v>
      </c>
      <c r="I160" t="str">
        <f t="shared" si="22"/>
        <v/>
      </c>
    </row>
    <row r="161" spans="1:9" x14ac:dyDescent="0.25">
      <c r="A161" t="s">
        <v>1155</v>
      </c>
      <c r="B161" s="6">
        <f t="shared" si="16"/>
        <v>3.6045000000000003</v>
      </c>
      <c r="C161" s="3">
        <f t="shared" si="17"/>
        <v>31</v>
      </c>
      <c r="D161" s="3" t="str">
        <f t="shared" si="18"/>
        <v/>
      </c>
      <c r="E161" s="3">
        <f t="shared" si="19"/>
        <v>147</v>
      </c>
      <c r="F161" s="5" t="str">
        <f>IF(C161=0,"Broadcast",IF(D161="",IF(E161="","",IF(E161&lt;128,"Verbind "&amp;E161,INDEX(KdoCodeTab,MATCH(E161,KdoWertTab,0)))),"StatusAbfr "&amp;D161))</f>
        <v>Space</v>
      </c>
      <c r="G161" t="str">
        <f t="shared" si="20"/>
        <v/>
      </c>
      <c r="H161" t="str">
        <f t="shared" si="21"/>
        <v>Space</v>
      </c>
      <c r="I161" t="str">
        <f t="shared" si="22"/>
        <v/>
      </c>
    </row>
    <row r="162" spans="1:9" x14ac:dyDescent="0.25">
      <c r="A162" t="s">
        <v>1156</v>
      </c>
      <c r="B162" s="6">
        <f t="shared" si="16"/>
        <v>3.6105</v>
      </c>
      <c r="C162" s="3">
        <f t="shared" si="17"/>
        <v>31</v>
      </c>
      <c r="D162" s="3" t="str">
        <f t="shared" si="18"/>
        <v/>
      </c>
      <c r="E162" s="3">
        <f t="shared" si="19"/>
        <v>150</v>
      </c>
      <c r="F162" s="5" t="str">
        <f>IF(C162=0,"Broadcast",IF(D162="",IF(E162="","",IF(E162&lt;128,"Verbind "&amp;E162,INDEX(KdoCodeTab,MATCH(E162,KdoWertTab,0)))),"StatusAbfr "&amp;D162))</f>
        <v>SpaceWdh</v>
      </c>
      <c r="G162" t="str">
        <f t="shared" si="20"/>
        <v/>
      </c>
      <c r="H162" t="str">
        <f t="shared" si="21"/>
        <v>SpaceWdh</v>
      </c>
      <c r="I162" t="str">
        <f t="shared" si="22"/>
        <v/>
      </c>
    </row>
    <row r="163" spans="1:9" x14ac:dyDescent="0.25">
      <c r="A163" t="s">
        <v>1157</v>
      </c>
      <c r="B163" s="6">
        <f t="shared" si="16"/>
        <v>3.6246666666666667</v>
      </c>
      <c r="C163" s="3">
        <f t="shared" si="17"/>
        <v>19</v>
      </c>
      <c r="D163" s="3" t="str">
        <f t="shared" si="18"/>
        <v/>
      </c>
      <c r="E163" s="3" t="str">
        <f t="shared" si="19"/>
        <v/>
      </c>
      <c r="F163" s="5" t="str">
        <f>IF(C163=0,"Broadcast",IF(D163="",IF(E163="","",IF(E163&lt;128,"Verbind "&amp;E163,INDEX(KdoCodeTab,MATCH(E163,KdoWertTab,0)))),"StatusAbfr "&amp;D163))</f>
        <v/>
      </c>
      <c r="G163" t="str">
        <f t="shared" si="20"/>
        <v/>
      </c>
      <c r="H163" t="str">
        <f t="shared" si="21"/>
        <v/>
      </c>
      <c r="I163" t="str">
        <f t="shared" si="22"/>
        <v/>
      </c>
    </row>
    <row r="164" spans="1:9" x14ac:dyDescent="0.25">
      <c r="A164" t="s">
        <v>1158</v>
      </c>
      <c r="B164" s="6">
        <f t="shared" si="16"/>
        <v>3.6306666666666665</v>
      </c>
      <c r="C164" s="3">
        <f t="shared" si="17"/>
        <v>31</v>
      </c>
      <c r="D164" s="3" t="str">
        <f t="shared" si="18"/>
        <v/>
      </c>
      <c r="E164" s="3">
        <f t="shared" si="19"/>
        <v>154</v>
      </c>
      <c r="F164" s="5" t="str">
        <f>IF(C164=0,"Broadcast",IF(D164="",IF(E164="","",IF(E164&lt;128,"Verbind "&amp;E164,INDEX(KdoCodeTab,MATCH(E164,KdoWertTab,0)))),"StatusAbfr "&amp;D164))</f>
        <v>MarkWdh</v>
      </c>
      <c r="G164" t="str">
        <f t="shared" si="20"/>
        <v/>
      </c>
      <c r="H164" t="str">
        <f t="shared" si="21"/>
        <v>MarkWdh</v>
      </c>
      <c r="I164" t="str">
        <f t="shared" si="22"/>
        <v/>
      </c>
    </row>
    <row r="165" spans="1:9" x14ac:dyDescent="0.25">
      <c r="A165" t="s">
        <v>1159</v>
      </c>
      <c r="B165" s="6">
        <f t="shared" si="16"/>
        <v>3.6749999999999998</v>
      </c>
      <c r="C165" s="3">
        <f t="shared" si="17"/>
        <v>31</v>
      </c>
      <c r="D165" s="3" t="str">
        <f t="shared" si="18"/>
        <v/>
      </c>
      <c r="E165" s="3">
        <f t="shared" si="19"/>
        <v>147</v>
      </c>
      <c r="F165" s="5" t="str">
        <f>IF(C165=0,"Broadcast",IF(D165="",IF(E165="","",IF(E165&lt;128,"Verbind "&amp;E165,INDEX(KdoCodeTab,MATCH(E165,KdoWertTab,0)))),"StatusAbfr "&amp;D165))</f>
        <v>Space</v>
      </c>
      <c r="G165" t="str">
        <f t="shared" si="20"/>
        <v/>
      </c>
      <c r="H165" t="str">
        <f t="shared" si="21"/>
        <v>Space</v>
      </c>
      <c r="I165" t="str">
        <f t="shared" si="22"/>
        <v/>
      </c>
    </row>
    <row r="166" spans="1:9" x14ac:dyDescent="0.25">
      <c r="A166" t="s">
        <v>1160</v>
      </c>
      <c r="B166" s="6">
        <f t="shared" si="16"/>
        <v>3.681</v>
      </c>
      <c r="C166" s="3">
        <f t="shared" si="17"/>
        <v>31</v>
      </c>
      <c r="D166" s="3" t="str">
        <f t="shared" si="18"/>
        <v/>
      </c>
      <c r="E166" s="3">
        <f t="shared" si="19"/>
        <v>150</v>
      </c>
      <c r="F166" s="5" t="str">
        <f>IF(C166=0,"Broadcast",IF(D166="",IF(E166="","",IF(E166&lt;128,"Verbind "&amp;E166,INDEX(KdoCodeTab,MATCH(E166,KdoWertTab,0)))),"StatusAbfr "&amp;D166))</f>
        <v>SpaceWdh</v>
      </c>
      <c r="G166" t="str">
        <f t="shared" si="20"/>
        <v/>
      </c>
      <c r="H166" t="str">
        <f t="shared" si="21"/>
        <v>SpaceWdh</v>
      </c>
      <c r="I166" t="str">
        <f t="shared" si="22"/>
        <v/>
      </c>
    </row>
    <row r="167" spans="1:9" x14ac:dyDescent="0.25">
      <c r="A167" t="s">
        <v>1161</v>
      </c>
      <c r="B167" s="6">
        <f t="shared" si="16"/>
        <v>3.7758333333333334</v>
      </c>
      <c r="C167" s="3">
        <f t="shared" si="17"/>
        <v>31</v>
      </c>
      <c r="D167" s="3" t="str">
        <f t="shared" si="18"/>
        <v/>
      </c>
      <c r="E167" s="3">
        <f t="shared" si="19"/>
        <v>156</v>
      </c>
      <c r="F167" s="5" t="str">
        <f>IF(C167=0,"Broadcast",IF(D167="",IF(E167="","",IF(E167&lt;128,"Verbind "&amp;E167,INDEX(KdoCodeTab,MATCH(E167,KdoWertTab,0)))),"StatusAbfr "&amp;D167))</f>
        <v>Mark</v>
      </c>
      <c r="G167" t="str">
        <f t="shared" si="20"/>
        <v/>
      </c>
      <c r="H167" t="str">
        <f t="shared" si="21"/>
        <v>Mark</v>
      </c>
      <c r="I167" t="str">
        <f t="shared" si="22"/>
        <v/>
      </c>
    </row>
    <row r="168" spans="1:9" x14ac:dyDescent="0.25">
      <c r="A168" t="s">
        <v>1162</v>
      </c>
      <c r="B168" s="6">
        <f t="shared" si="16"/>
        <v>3.7818333333333336</v>
      </c>
      <c r="C168" s="3">
        <f t="shared" si="17"/>
        <v>31</v>
      </c>
      <c r="D168" s="3" t="str">
        <f t="shared" si="18"/>
        <v/>
      </c>
      <c r="E168" s="3">
        <f t="shared" si="19"/>
        <v>154</v>
      </c>
      <c r="F168" s="5" t="str">
        <f>IF(C168=0,"Broadcast",IF(D168="",IF(E168="","",IF(E168&lt;128,"Verbind "&amp;E168,INDEX(KdoCodeTab,MATCH(E168,KdoWertTab,0)))),"StatusAbfr "&amp;D168))</f>
        <v>MarkWdh</v>
      </c>
      <c r="G168" t="str">
        <f t="shared" si="20"/>
        <v/>
      </c>
      <c r="H168" t="str">
        <f t="shared" si="21"/>
        <v>MarkWdh</v>
      </c>
      <c r="I168" t="str">
        <f t="shared" si="22"/>
        <v/>
      </c>
    </row>
    <row r="169" spans="1:9" x14ac:dyDescent="0.25">
      <c r="A169" t="s">
        <v>1163</v>
      </c>
      <c r="B169" s="6">
        <f t="shared" si="16"/>
        <v>3.8261666666666669</v>
      </c>
      <c r="C169" s="3">
        <f t="shared" si="17"/>
        <v>31</v>
      </c>
      <c r="D169" s="3" t="str">
        <f t="shared" si="18"/>
        <v/>
      </c>
      <c r="E169" s="3">
        <f t="shared" si="19"/>
        <v>147</v>
      </c>
      <c r="F169" s="5" t="str">
        <f>IF(C169=0,"Broadcast",IF(D169="",IF(E169="","",IF(E169&lt;128,"Verbind "&amp;E169,INDEX(KdoCodeTab,MATCH(E169,KdoWertTab,0)))),"StatusAbfr "&amp;D169))</f>
        <v>Space</v>
      </c>
      <c r="G169" t="str">
        <f t="shared" si="20"/>
        <v/>
      </c>
      <c r="H169" t="str">
        <f t="shared" si="21"/>
        <v>Space</v>
      </c>
      <c r="I169" t="str">
        <f t="shared" si="22"/>
        <v/>
      </c>
    </row>
    <row r="170" spans="1:9" x14ac:dyDescent="0.25">
      <c r="A170" t="s">
        <v>1164</v>
      </c>
      <c r="B170" s="6">
        <f t="shared" si="16"/>
        <v>3.8323333333333331</v>
      </c>
      <c r="C170" s="3">
        <f t="shared" si="17"/>
        <v>31</v>
      </c>
      <c r="D170" s="3" t="str">
        <f t="shared" si="18"/>
        <v/>
      </c>
      <c r="E170" s="3">
        <f t="shared" si="19"/>
        <v>150</v>
      </c>
      <c r="F170" s="5" t="str">
        <f>IF(C170=0,"Broadcast",IF(D170="",IF(E170="","",IF(E170&lt;128,"Verbind "&amp;E170,INDEX(KdoCodeTab,MATCH(E170,KdoWertTab,0)))),"StatusAbfr "&amp;D170))</f>
        <v>SpaceWdh</v>
      </c>
      <c r="G170" t="str">
        <f t="shared" si="20"/>
        <v/>
      </c>
      <c r="H170" t="str">
        <f t="shared" si="21"/>
        <v>SpaceWdh</v>
      </c>
      <c r="I170" t="str">
        <f t="shared" si="22"/>
        <v/>
      </c>
    </row>
    <row r="171" spans="1:9" x14ac:dyDescent="0.25">
      <c r="A171" t="s">
        <v>1165</v>
      </c>
      <c r="B171" s="6">
        <f t="shared" si="16"/>
        <v>3.86</v>
      </c>
      <c r="C171" s="3">
        <f t="shared" si="17"/>
        <v>101</v>
      </c>
      <c r="D171" s="3" t="str">
        <f t="shared" si="18"/>
        <v/>
      </c>
      <c r="E171" s="3">
        <f t="shared" si="19"/>
        <v>169</v>
      </c>
      <c r="F171" s="5" t="str">
        <f>IF(C171=0,"Broadcast",IF(D171="",IF(E171="","",IF(E171&lt;128,"Verbind "&amp;E171,INDEX(KdoCodeTab,MATCH(E171,KdoWertTab,0)))),"StatusAbfr "&amp;D171))</f>
        <v>BusLebenszeichen</v>
      </c>
      <c r="G171" t="str">
        <f t="shared" si="20"/>
        <v>BusLebenszeichen</v>
      </c>
      <c r="H171" t="str">
        <f t="shared" si="21"/>
        <v/>
      </c>
      <c r="I171" t="str">
        <f t="shared" si="22"/>
        <v/>
      </c>
    </row>
    <row r="172" spans="1:9" x14ac:dyDescent="0.25">
      <c r="A172" t="s">
        <v>1166</v>
      </c>
      <c r="B172" s="6">
        <f t="shared" si="16"/>
        <v>3.8866666666666667</v>
      </c>
      <c r="C172" s="3">
        <f t="shared" si="17"/>
        <v>31</v>
      </c>
      <c r="D172" s="3" t="str">
        <f t="shared" si="18"/>
        <v/>
      </c>
      <c r="E172" s="3">
        <f t="shared" si="19"/>
        <v>156</v>
      </c>
      <c r="F172" s="5" t="str">
        <f>IF(C172=0,"Broadcast",IF(D172="",IF(E172="","",IF(E172&lt;128,"Verbind "&amp;E172,INDEX(KdoCodeTab,MATCH(E172,KdoWertTab,0)))),"StatusAbfr "&amp;D172))</f>
        <v>Mark</v>
      </c>
      <c r="G172" t="str">
        <f t="shared" si="20"/>
        <v/>
      </c>
      <c r="H172" t="str">
        <f t="shared" si="21"/>
        <v>Mark</v>
      </c>
      <c r="I172" t="str">
        <f t="shared" si="22"/>
        <v/>
      </c>
    </row>
    <row r="173" spans="1:9" x14ac:dyDescent="0.25">
      <c r="A173" t="s">
        <v>1167</v>
      </c>
      <c r="B173" s="6">
        <f t="shared" si="16"/>
        <v>3.8926666666666665</v>
      </c>
      <c r="C173" s="3">
        <f t="shared" si="17"/>
        <v>31</v>
      </c>
      <c r="D173" s="3" t="str">
        <f t="shared" si="18"/>
        <v/>
      </c>
      <c r="E173" s="3">
        <f t="shared" si="19"/>
        <v>154</v>
      </c>
      <c r="F173" s="5" t="str">
        <f>IF(C173=0,"Broadcast",IF(D173="",IF(E173="","",IF(E173&lt;128,"Verbind "&amp;E173,INDEX(KdoCodeTab,MATCH(E173,KdoWertTab,0)))),"StatusAbfr "&amp;D173))</f>
        <v>MarkWdh</v>
      </c>
      <c r="G173" t="str">
        <f t="shared" si="20"/>
        <v/>
      </c>
      <c r="H173" t="str">
        <f t="shared" si="21"/>
        <v>MarkWdh</v>
      </c>
      <c r="I173" t="str">
        <f t="shared" si="22"/>
        <v/>
      </c>
    </row>
    <row r="174" spans="1:9" x14ac:dyDescent="0.25">
      <c r="A174" t="s">
        <v>1168</v>
      </c>
      <c r="B174" s="6">
        <f t="shared" si="16"/>
        <v>3.9068333333333336</v>
      </c>
      <c r="C174" s="3">
        <f t="shared" si="17"/>
        <v>31</v>
      </c>
      <c r="D174" s="3" t="str">
        <f t="shared" si="18"/>
        <v/>
      </c>
      <c r="E174" s="3">
        <f t="shared" si="19"/>
        <v>147</v>
      </c>
      <c r="F174" s="5" t="str">
        <f>IF(C174=0,"Broadcast",IF(D174="",IF(E174="","",IF(E174&lt;128,"Verbind "&amp;E174,INDEX(KdoCodeTab,MATCH(E174,KdoWertTab,0)))),"StatusAbfr "&amp;D174))</f>
        <v>Space</v>
      </c>
      <c r="G174" t="str">
        <f t="shared" si="20"/>
        <v/>
      </c>
      <c r="H174" t="str">
        <f t="shared" si="21"/>
        <v>Space</v>
      </c>
      <c r="I174" t="str">
        <f t="shared" si="22"/>
        <v/>
      </c>
    </row>
    <row r="175" spans="1:9" x14ac:dyDescent="0.25">
      <c r="A175" t="s">
        <v>1169</v>
      </c>
      <c r="B175" s="6">
        <f t="shared" si="16"/>
        <v>3.9128333333333334</v>
      </c>
      <c r="C175" s="3">
        <f t="shared" si="17"/>
        <v>31</v>
      </c>
      <c r="D175" s="3" t="str">
        <f t="shared" si="18"/>
        <v/>
      </c>
      <c r="E175" s="3">
        <f t="shared" si="19"/>
        <v>150</v>
      </c>
      <c r="F175" s="5" t="str">
        <f>IF(C175=0,"Broadcast",IF(D175="",IF(E175="","",IF(E175&lt;128,"Verbind "&amp;E175,INDEX(KdoCodeTab,MATCH(E175,KdoWertTab,0)))),"StatusAbfr "&amp;D175))</f>
        <v>SpaceWdh</v>
      </c>
      <c r="G175" t="str">
        <f t="shared" si="20"/>
        <v/>
      </c>
      <c r="H175" t="str">
        <f t="shared" si="21"/>
        <v>SpaceWdh</v>
      </c>
      <c r="I175" t="str">
        <f t="shared" si="22"/>
        <v/>
      </c>
    </row>
    <row r="176" spans="1:9" x14ac:dyDescent="0.25">
      <c r="A176" t="s">
        <v>1170</v>
      </c>
      <c r="B176" s="6">
        <f t="shared" si="16"/>
        <v>3.9471666666666669</v>
      </c>
      <c r="C176" s="3">
        <f t="shared" si="17"/>
        <v>31</v>
      </c>
      <c r="D176" s="3" t="str">
        <f t="shared" si="18"/>
        <v/>
      </c>
      <c r="E176" s="3">
        <f t="shared" si="19"/>
        <v>156</v>
      </c>
      <c r="F176" s="5" t="str">
        <f>IF(C176=0,"Broadcast",IF(D176="",IF(E176="","",IF(E176&lt;128,"Verbind "&amp;E176,INDEX(KdoCodeTab,MATCH(E176,KdoWertTab,0)))),"StatusAbfr "&amp;D176))</f>
        <v>Mark</v>
      </c>
      <c r="G176" t="str">
        <f t="shared" si="20"/>
        <v/>
      </c>
      <c r="H176" t="str">
        <f t="shared" si="21"/>
        <v>Mark</v>
      </c>
      <c r="I176" t="str">
        <f t="shared" si="22"/>
        <v/>
      </c>
    </row>
    <row r="177" spans="1:9" x14ac:dyDescent="0.25">
      <c r="A177" t="s">
        <v>1171</v>
      </c>
      <c r="B177" s="6">
        <f t="shared" si="16"/>
        <v>3.9531666666666667</v>
      </c>
      <c r="C177" s="3">
        <f t="shared" si="17"/>
        <v>31</v>
      </c>
      <c r="D177" s="3" t="str">
        <f t="shared" si="18"/>
        <v/>
      </c>
      <c r="E177" s="3">
        <f t="shared" si="19"/>
        <v>154</v>
      </c>
      <c r="F177" s="5" t="str">
        <f>IF(C177=0,"Broadcast",IF(D177="",IF(E177="","",IF(E177&lt;128,"Verbind "&amp;E177,INDEX(KdoCodeTab,MATCH(E177,KdoWertTab,0)))),"StatusAbfr "&amp;D177))</f>
        <v>MarkWdh</v>
      </c>
      <c r="G177" t="str">
        <f t="shared" si="20"/>
        <v/>
      </c>
      <c r="H177" t="str">
        <f t="shared" si="21"/>
        <v>MarkWdh</v>
      </c>
      <c r="I177" t="str">
        <f t="shared" si="22"/>
        <v/>
      </c>
    </row>
    <row r="178" spans="1:9" x14ac:dyDescent="0.25">
      <c r="A178" t="s">
        <v>1172</v>
      </c>
      <c r="B178" s="6">
        <f t="shared" si="16"/>
        <v>3.9775</v>
      </c>
      <c r="C178" s="3">
        <f t="shared" si="17"/>
        <v>31</v>
      </c>
      <c r="D178" s="3" t="str">
        <f t="shared" si="18"/>
        <v/>
      </c>
      <c r="E178" s="3">
        <f t="shared" si="19"/>
        <v>147</v>
      </c>
      <c r="F178" s="5" t="str">
        <f>IF(C178=0,"Broadcast",IF(D178="",IF(E178="","",IF(E178&lt;128,"Verbind "&amp;E178,INDEX(KdoCodeTab,MATCH(E178,KdoWertTab,0)))),"StatusAbfr "&amp;D178))</f>
        <v>Space</v>
      </c>
      <c r="G178" t="str">
        <f t="shared" si="20"/>
        <v/>
      </c>
      <c r="H178" t="str">
        <f t="shared" si="21"/>
        <v>Space</v>
      </c>
      <c r="I178" t="str">
        <f t="shared" si="22"/>
        <v/>
      </c>
    </row>
    <row r="179" spans="1:9" x14ac:dyDescent="0.25">
      <c r="A179" t="s">
        <v>1173</v>
      </c>
      <c r="B179" s="6">
        <f t="shared" si="16"/>
        <v>3.9835000000000003</v>
      </c>
      <c r="C179" s="3">
        <f t="shared" si="17"/>
        <v>31</v>
      </c>
      <c r="D179" s="3" t="str">
        <f t="shared" si="18"/>
        <v/>
      </c>
      <c r="E179" s="3">
        <f t="shared" si="19"/>
        <v>150</v>
      </c>
      <c r="F179" s="5" t="str">
        <f>IF(C179=0,"Broadcast",IF(D179="",IF(E179="","",IF(E179&lt;128,"Verbind "&amp;E179,INDEX(KdoCodeTab,MATCH(E179,KdoWertTab,0)))),"StatusAbfr "&amp;D179))</f>
        <v>SpaceWdh</v>
      </c>
      <c r="G179" t="str">
        <f t="shared" si="20"/>
        <v/>
      </c>
      <c r="H179" t="str">
        <f t="shared" si="21"/>
        <v>SpaceWdh</v>
      </c>
      <c r="I179" t="str">
        <f t="shared" si="22"/>
        <v/>
      </c>
    </row>
    <row r="180" spans="1:9" x14ac:dyDescent="0.25">
      <c r="A180" t="s">
        <v>1174</v>
      </c>
      <c r="B180" s="6">
        <f t="shared" si="16"/>
        <v>4.0378333333333334</v>
      </c>
      <c r="C180" s="3">
        <f t="shared" si="17"/>
        <v>31</v>
      </c>
      <c r="D180" s="3" t="str">
        <f t="shared" si="18"/>
        <v/>
      </c>
      <c r="E180" s="3">
        <f t="shared" si="19"/>
        <v>156</v>
      </c>
      <c r="F180" s="5" t="str">
        <f>IF(C180=0,"Broadcast",IF(D180="",IF(E180="","",IF(E180&lt;128,"Verbind "&amp;E180,INDEX(KdoCodeTab,MATCH(E180,KdoWertTab,0)))),"StatusAbfr "&amp;D180))</f>
        <v>Mark</v>
      </c>
      <c r="G180" t="str">
        <f t="shared" si="20"/>
        <v/>
      </c>
      <c r="H180" t="str">
        <f t="shared" si="21"/>
        <v>Mark</v>
      </c>
      <c r="I180" t="str">
        <f t="shared" si="22"/>
        <v/>
      </c>
    </row>
    <row r="181" spans="1:9" x14ac:dyDescent="0.25">
      <c r="A181" t="s">
        <v>1175</v>
      </c>
      <c r="B181" s="6">
        <f t="shared" si="16"/>
        <v>4.0439999999999996</v>
      </c>
      <c r="C181" s="3">
        <f t="shared" si="17"/>
        <v>31</v>
      </c>
      <c r="D181" s="3" t="str">
        <f t="shared" si="18"/>
        <v/>
      </c>
      <c r="E181" s="3">
        <f t="shared" si="19"/>
        <v>154</v>
      </c>
      <c r="F181" s="5" t="str">
        <f>IF(C181=0,"Broadcast",IF(D181="",IF(E181="","",IF(E181&lt;128,"Verbind "&amp;E181,INDEX(KdoCodeTab,MATCH(E181,KdoWertTab,0)))),"StatusAbfr "&amp;D181))</f>
        <v>MarkWdh</v>
      </c>
      <c r="G181" t="str">
        <f t="shared" si="20"/>
        <v/>
      </c>
      <c r="H181" t="str">
        <f t="shared" si="21"/>
        <v>MarkWdh</v>
      </c>
      <c r="I181" t="str">
        <f t="shared" si="22"/>
        <v/>
      </c>
    </row>
    <row r="182" spans="1:9" x14ac:dyDescent="0.25">
      <c r="A182" t="s">
        <v>1176</v>
      </c>
      <c r="B182" s="6">
        <f t="shared" si="16"/>
        <v>4.0579999999999998</v>
      </c>
      <c r="C182" s="3">
        <f t="shared" si="17"/>
        <v>31</v>
      </c>
      <c r="D182" s="3" t="str">
        <f t="shared" si="18"/>
        <v/>
      </c>
      <c r="E182" s="3">
        <f t="shared" si="19"/>
        <v>147</v>
      </c>
      <c r="F182" s="5" t="str">
        <f>IF(C182=0,"Broadcast",IF(D182="",IF(E182="","",IF(E182&lt;128,"Verbind "&amp;E182,INDEX(KdoCodeTab,MATCH(E182,KdoWertTab,0)))),"StatusAbfr "&amp;D182))</f>
        <v>Space</v>
      </c>
      <c r="G182" t="str">
        <f t="shared" si="20"/>
        <v/>
      </c>
      <c r="H182" t="str">
        <f t="shared" si="21"/>
        <v>Space</v>
      </c>
      <c r="I182" t="str">
        <f t="shared" si="22"/>
        <v/>
      </c>
    </row>
    <row r="183" spans="1:9" x14ac:dyDescent="0.25">
      <c r="A183" t="s">
        <v>1177</v>
      </c>
      <c r="B183" s="6">
        <f t="shared" si="16"/>
        <v>4.0641666666666669</v>
      </c>
      <c r="C183" s="3">
        <f t="shared" si="17"/>
        <v>31</v>
      </c>
      <c r="D183" s="3" t="str">
        <f t="shared" si="18"/>
        <v/>
      </c>
      <c r="E183" s="3">
        <f t="shared" si="19"/>
        <v>150</v>
      </c>
      <c r="F183" s="5" t="str">
        <f>IF(C183=0,"Broadcast",IF(D183="",IF(E183="","",IF(E183&lt;128,"Verbind "&amp;E183,INDEX(KdoCodeTab,MATCH(E183,KdoWertTab,0)))),"StatusAbfr "&amp;D183))</f>
        <v>SpaceWdh</v>
      </c>
      <c r="G183" t="str">
        <f t="shared" si="20"/>
        <v/>
      </c>
      <c r="H183" t="str">
        <f t="shared" si="21"/>
        <v>SpaceWdh</v>
      </c>
      <c r="I183" t="str">
        <f t="shared" si="22"/>
        <v/>
      </c>
    </row>
    <row r="184" spans="1:9" x14ac:dyDescent="0.25">
      <c r="A184" t="s">
        <v>1178</v>
      </c>
      <c r="B184" s="6">
        <f t="shared" si="16"/>
        <v>4.0983333333333336</v>
      </c>
      <c r="C184" s="3">
        <f t="shared" si="17"/>
        <v>31</v>
      </c>
      <c r="D184" s="3" t="str">
        <f t="shared" si="18"/>
        <v/>
      </c>
      <c r="E184" s="3">
        <f t="shared" si="19"/>
        <v>156</v>
      </c>
      <c r="F184" s="5" t="str">
        <f>IF(C184=0,"Broadcast",IF(D184="",IF(E184="","",IF(E184&lt;128,"Verbind "&amp;E184,INDEX(KdoCodeTab,MATCH(E184,KdoWertTab,0)))),"StatusAbfr "&amp;D184))</f>
        <v>Mark</v>
      </c>
      <c r="G184" t="str">
        <f t="shared" si="20"/>
        <v/>
      </c>
      <c r="H184" t="str">
        <f t="shared" si="21"/>
        <v>Mark</v>
      </c>
      <c r="I184" t="str">
        <f t="shared" si="22"/>
        <v/>
      </c>
    </row>
    <row r="185" spans="1:9" x14ac:dyDescent="0.25">
      <c r="A185" t="s">
        <v>1179</v>
      </c>
      <c r="B185" s="6">
        <f t="shared" si="16"/>
        <v>4.1044999999999998</v>
      </c>
      <c r="C185" s="3">
        <f t="shared" si="17"/>
        <v>31</v>
      </c>
      <c r="D185" s="3" t="str">
        <f t="shared" si="18"/>
        <v/>
      </c>
      <c r="E185" s="3">
        <f t="shared" si="19"/>
        <v>154</v>
      </c>
      <c r="F185" s="5" t="str">
        <f>IF(C185=0,"Broadcast",IF(D185="",IF(E185="","",IF(E185&lt;128,"Verbind "&amp;E185,INDEX(KdoCodeTab,MATCH(E185,KdoWertTab,0)))),"StatusAbfr "&amp;D185))</f>
        <v>MarkWdh</v>
      </c>
      <c r="G185" t="str">
        <f t="shared" si="20"/>
        <v/>
      </c>
      <c r="H185" t="str">
        <f t="shared" si="21"/>
        <v>MarkWdh</v>
      </c>
      <c r="I185" t="str">
        <f t="shared" si="22"/>
        <v/>
      </c>
    </row>
    <row r="186" spans="1:9" x14ac:dyDescent="0.25">
      <c r="A186" t="s">
        <v>1180</v>
      </c>
      <c r="B186" s="6">
        <f t="shared" si="16"/>
        <v>4.1286666666666667</v>
      </c>
      <c r="C186" s="3">
        <f t="shared" si="17"/>
        <v>100</v>
      </c>
      <c r="D186" s="3" t="str">
        <f t="shared" si="18"/>
        <v/>
      </c>
      <c r="E186" s="3" t="str">
        <f t="shared" si="19"/>
        <v/>
      </c>
      <c r="F186" s="5" t="str">
        <f>IF(C186=0,"Broadcast",IF(D186="",IF(E186="","",IF(E186&lt;128,"Verbind "&amp;E186,INDEX(KdoCodeTab,MATCH(E186,KdoWertTab,0)))),"StatusAbfr "&amp;D186))</f>
        <v/>
      </c>
      <c r="G186" t="str">
        <f t="shared" si="20"/>
        <v/>
      </c>
      <c r="H186" t="str">
        <f t="shared" si="21"/>
        <v/>
      </c>
      <c r="I186" t="str">
        <f t="shared" si="22"/>
        <v/>
      </c>
    </row>
    <row r="187" spans="1:9" x14ac:dyDescent="0.25">
      <c r="A187" t="s">
        <v>1181</v>
      </c>
      <c r="B187" s="6">
        <f t="shared" si="16"/>
        <v>4.1346666666666669</v>
      </c>
      <c r="C187" s="3">
        <f t="shared" si="17"/>
        <v>31</v>
      </c>
      <c r="D187" s="3" t="str">
        <f t="shared" si="18"/>
        <v/>
      </c>
      <c r="E187" s="3">
        <f t="shared" si="19"/>
        <v>150</v>
      </c>
      <c r="F187" s="5" t="str">
        <f>IF(C187=0,"Broadcast",IF(D187="",IF(E187="","",IF(E187&lt;128,"Verbind "&amp;E187,INDEX(KdoCodeTab,MATCH(E187,KdoWertTab,0)))),"StatusAbfr "&amp;D187))</f>
        <v>SpaceWdh</v>
      </c>
      <c r="G187" t="str">
        <f t="shared" si="20"/>
        <v/>
      </c>
      <c r="H187" t="str">
        <f t="shared" si="21"/>
        <v>SpaceWdh</v>
      </c>
      <c r="I187" t="str">
        <f t="shared" si="22"/>
        <v/>
      </c>
    </row>
    <row r="188" spans="1:9" x14ac:dyDescent="0.25">
      <c r="A188" t="s">
        <v>1182</v>
      </c>
      <c r="B188" s="6">
        <f t="shared" si="16"/>
        <v>4.1488333333333332</v>
      </c>
      <c r="C188" s="3">
        <f t="shared" si="17"/>
        <v>31</v>
      </c>
      <c r="D188" s="3" t="str">
        <f t="shared" si="18"/>
        <v/>
      </c>
      <c r="E188" s="3">
        <f t="shared" si="19"/>
        <v>156</v>
      </c>
      <c r="F188" s="5" t="str">
        <f>IF(C188=0,"Broadcast",IF(D188="",IF(E188="","",IF(E188&lt;128,"Verbind "&amp;E188,INDEX(KdoCodeTab,MATCH(E188,KdoWertTab,0)))),"StatusAbfr "&amp;D188))</f>
        <v>Mark</v>
      </c>
      <c r="G188" t="str">
        <f t="shared" si="20"/>
        <v/>
      </c>
      <c r="H188" t="str">
        <f t="shared" si="21"/>
        <v>Mark</v>
      </c>
      <c r="I188" t="str">
        <f t="shared" si="22"/>
        <v/>
      </c>
    </row>
    <row r="189" spans="1:9" x14ac:dyDescent="0.25">
      <c r="A189" t="s">
        <v>1183</v>
      </c>
      <c r="B189" s="6">
        <f t="shared" si="16"/>
        <v>4.1548333333333334</v>
      </c>
      <c r="C189" s="3">
        <f t="shared" si="17"/>
        <v>31</v>
      </c>
      <c r="D189" s="3" t="str">
        <f t="shared" si="18"/>
        <v/>
      </c>
      <c r="E189" s="3">
        <f t="shared" si="19"/>
        <v>154</v>
      </c>
      <c r="F189" s="5" t="str">
        <f>IF(C189=0,"Broadcast",IF(D189="",IF(E189="","",IF(E189&lt;128,"Verbind "&amp;E189,INDEX(KdoCodeTab,MATCH(E189,KdoWertTab,0)))),"StatusAbfr "&amp;D189))</f>
        <v>MarkWdh</v>
      </c>
      <c r="G189" t="str">
        <f t="shared" si="20"/>
        <v/>
      </c>
      <c r="H189" t="str">
        <f t="shared" si="21"/>
        <v>MarkWdh</v>
      </c>
      <c r="I189" t="str">
        <f t="shared" si="22"/>
        <v/>
      </c>
    </row>
    <row r="190" spans="1:9" x14ac:dyDescent="0.25">
      <c r="A190" t="s">
        <v>1184</v>
      </c>
      <c r="B190" s="6">
        <f t="shared" si="16"/>
        <v>4.2093333333333334</v>
      </c>
      <c r="C190" s="3">
        <f t="shared" si="17"/>
        <v>31</v>
      </c>
      <c r="D190" s="3" t="str">
        <f t="shared" si="18"/>
        <v/>
      </c>
      <c r="E190" s="3">
        <f t="shared" si="19"/>
        <v>147</v>
      </c>
      <c r="F190" s="5" t="str">
        <f>IF(C190=0,"Broadcast",IF(D190="",IF(E190="","",IF(E190&lt;128,"Verbind "&amp;E190,INDEX(KdoCodeTab,MATCH(E190,KdoWertTab,0)))),"StatusAbfr "&amp;D190))</f>
        <v>Space</v>
      </c>
      <c r="G190" t="str">
        <f t="shared" si="20"/>
        <v/>
      </c>
      <c r="H190" t="str">
        <f t="shared" si="21"/>
        <v>Space</v>
      </c>
      <c r="I190" t="str">
        <f t="shared" si="22"/>
        <v/>
      </c>
    </row>
    <row r="191" spans="1:9" x14ac:dyDescent="0.25">
      <c r="A191" t="s">
        <v>1185</v>
      </c>
      <c r="B191" s="6">
        <f t="shared" si="16"/>
        <v>4.2153333333333336</v>
      </c>
      <c r="C191" s="3">
        <f t="shared" si="17"/>
        <v>31</v>
      </c>
      <c r="D191" s="3" t="str">
        <f t="shared" si="18"/>
        <v/>
      </c>
      <c r="E191" s="3">
        <f t="shared" si="19"/>
        <v>150</v>
      </c>
      <c r="F191" s="5" t="str">
        <f>IF(C191=0,"Broadcast",IF(D191="",IF(E191="","",IF(E191&lt;128,"Verbind "&amp;E191,INDEX(KdoCodeTab,MATCH(E191,KdoWertTab,0)))),"StatusAbfr "&amp;D191))</f>
        <v>SpaceWdh</v>
      </c>
      <c r="G191" t="str">
        <f t="shared" si="20"/>
        <v/>
      </c>
      <c r="H191" t="str">
        <f t="shared" si="21"/>
        <v>SpaceWdh</v>
      </c>
      <c r="I191" t="str">
        <f t="shared" si="22"/>
        <v/>
      </c>
    </row>
    <row r="192" spans="1:9" x14ac:dyDescent="0.25">
      <c r="A192" t="s">
        <v>1186</v>
      </c>
      <c r="B192" s="6">
        <f t="shared" si="16"/>
        <v>4.2294999999999998</v>
      </c>
      <c r="C192" s="3">
        <f t="shared" si="17"/>
        <v>31</v>
      </c>
      <c r="D192" s="3" t="str">
        <f t="shared" si="18"/>
        <v/>
      </c>
      <c r="E192" s="3">
        <f t="shared" si="19"/>
        <v>156</v>
      </c>
      <c r="F192" s="5" t="str">
        <f>IF(C192=0,"Broadcast",IF(D192="",IF(E192="","",IF(E192&lt;128,"Verbind "&amp;E192,INDEX(KdoCodeTab,MATCH(E192,KdoWertTab,0)))),"StatusAbfr "&amp;D192))</f>
        <v>Mark</v>
      </c>
      <c r="G192" t="str">
        <f t="shared" si="20"/>
        <v/>
      </c>
      <c r="H192" t="str">
        <f t="shared" si="21"/>
        <v>Mark</v>
      </c>
      <c r="I192" t="str">
        <f t="shared" si="22"/>
        <v/>
      </c>
    </row>
    <row r="193" spans="1:9" x14ac:dyDescent="0.25">
      <c r="A193" t="s">
        <v>1187</v>
      </c>
      <c r="B193" s="6">
        <f t="shared" si="16"/>
        <v>4.2355</v>
      </c>
      <c r="C193" s="3">
        <f t="shared" si="17"/>
        <v>31</v>
      </c>
      <c r="D193" s="3" t="str">
        <f t="shared" si="18"/>
        <v/>
      </c>
      <c r="E193" s="3">
        <f t="shared" si="19"/>
        <v>154</v>
      </c>
      <c r="F193" s="5" t="str">
        <f>IF(C193=0,"Broadcast",IF(D193="",IF(E193="","",IF(E193&lt;128,"Verbind "&amp;E193,INDEX(KdoCodeTab,MATCH(E193,KdoWertTab,0)))),"StatusAbfr "&amp;D193))</f>
        <v>MarkWdh</v>
      </c>
      <c r="G193" t="str">
        <f t="shared" si="20"/>
        <v/>
      </c>
      <c r="H193" t="str">
        <f t="shared" si="21"/>
        <v>MarkWdh</v>
      </c>
      <c r="I193" t="str">
        <f t="shared" si="22"/>
        <v/>
      </c>
    </row>
    <row r="194" spans="1:9" x14ac:dyDescent="0.25">
      <c r="A194" t="s">
        <v>1188</v>
      </c>
      <c r="B194" s="6">
        <f t="shared" si="16"/>
        <v>4.2798333333333334</v>
      </c>
      <c r="C194" s="3">
        <f t="shared" si="17"/>
        <v>31</v>
      </c>
      <c r="D194" s="3" t="str">
        <f t="shared" si="18"/>
        <v/>
      </c>
      <c r="E194" s="3">
        <f t="shared" si="19"/>
        <v>147</v>
      </c>
      <c r="F194" s="5" t="str">
        <f>IF(C194=0,"Broadcast",IF(D194="",IF(E194="","",IF(E194&lt;128,"Verbind "&amp;E194,INDEX(KdoCodeTab,MATCH(E194,KdoWertTab,0)))),"StatusAbfr "&amp;D194))</f>
        <v>Space</v>
      </c>
      <c r="G194" t="str">
        <f t="shared" si="20"/>
        <v/>
      </c>
      <c r="H194" t="str">
        <f t="shared" si="21"/>
        <v>Space</v>
      </c>
      <c r="I194" t="str">
        <f t="shared" si="22"/>
        <v/>
      </c>
    </row>
    <row r="195" spans="1:9" x14ac:dyDescent="0.25">
      <c r="A195" t="s">
        <v>1189</v>
      </c>
      <c r="B195" s="6">
        <f t="shared" si="16"/>
        <v>4.2858333333333336</v>
      </c>
      <c r="C195" s="3">
        <f t="shared" si="17"/>
        <v>31</v>
      </c>
      <c r="D195" s="3" t="str">
        <f t="shared" si="18"/>
        <v/>
      </c>
      <c r="E195" s="3">
        <f t="shared" si="19"/>
        <v>150</v>
      </c>
      <c r="F195" s="5" t="str">
        <f>IF(C195=0,"Broadcast",IF(D195="",IF(E195="","",IF(E195&lt;128,"Verbind "&amp;E195,INDEX(KdoCodeTab,MATCH(E195,KdoWertTab,0)))),"StatusAbfr "&amp;D195))</f>
        <v>SpaceWdh</v>
      </c>
      <c r="G195" t="str">
        <f t="shared" si="20"/>
        <v/>
      </c>
      <c r="H195" t="str">
        <f t="shared" si="21"/>
        <v>SpaceWdh</v>
      </c>
      <c r="I195" t="str">
        <f t="shared" si="22"/>
        <v/>
      </c>
    </row>
    <row r="196" spans="1:9" x14ac:dyDescent="0.25">
      <c r="A196" t="s">
        <v>1190</v>
      </c>
      <c r="B196" s="6">
        <f t="shared" si="16"/>
        <v>4.3</v>
      </c>
      <c r="C196" s="3">
        <f t="shared" si="17"/>
        <v>31</v>
      </c>
      <c r="D196" s="3" t="str">
        <f t="shared" si="18"/>
        <v/>
      </c>
      <c r="E196" s="3">
        <f t="shared" si="19"/>
        <v>156</v>
      </c>
      <c r="F196" s="5" t="str">
        <f>IF(C196=0,"Broadcast",IF(D196="",IF(E196="","",IF(E196&lt;128,"Verbind "&amp;E196,INDEX(KdoCodeTab,MATCH(E196,KdoWertTab,0)))),"StatusAbfr "&amp;D196))</f>
        <v>Mark</v>
      </c>
      <c r="G196" t="str">
        <f t="shared" si="20"/>
        <v/>
      </c>
      <c r="H196" t="str">
        <f t="shared" si="21"/>
        <v>Mark</v>
      </c>
      <c r="I196" t="str">
        <f t="shared" si="22"/>
        <v/>
      </c>
    </row>
    <row r="197" spans="1:9" x14ac:dyDescent="0.25">
      <c r="A197" t="s">
        <v>1191</v>
      </c>
      <c r="B197" s="6">
        <f t="shared" ref="B197:B260" si="23">MID(A197,1,5)/1000+(CODE(MID(A197,6,1))-CODE("a"))/6000</f>
        <v>4.306</v>
      </c>
      <c r="C197" s="3">
        <f t="shared" ref="C197:C260" si="24">INT(HEX2DEC(MID(A197,8,2))/2)</f>
        <v>31</v>
      </c>
      <c r="D197" s="3" t="str">
        <f t="shared" ref="D197:D260" si="25">IF(MID(A197,10,1)="&lt;",MID(A197,12,2),"")</f>
        <v/>
      </c>
      <c r="E197" s="3">
        <f t="shared" ref="E197:E260" si="26">IF(MID(A197,10,1)="&gt;",HEX2DEC(MID(A197,12,2)),"")</f>
        <v>154</v>
      </c>
      <c r="F197" s="5" t="str">
        <f>IF(C197=0,"Broadcast",IF(D197="",IF(E197="","",IF(E197&lt;128,"Verbind "&amp;E197,INDEX(KdoCodeTab,MATCH(E197,KdoWertTab,0)))),"StatusAbfr "&amp;D197))</f>
        <v>MarkWdh</v>
      </c>
      <c r="G197" t="str">
        <f t="shared" ref="G197:G260" si="27">IF(C197=$G$2,F197,"")</f>
        <v/>
      </c>
      <c r="H197" t="str">
        <f t="shared" ref="H197:H260" si="28">IF(C197=$H$2,F197,"")</f>
        <v>MarkWdh</v>
      </c>
      <c r="I197" t="str">
        <f t="shared" ref="I197:I260" si="29">IF(G197&amp;H197="",F197,"")</f>
        <v/>
      </c>
    </row>
    <row r="198" spans="1:9" x14ac:dyDescent="0.25">
      <c r="A198" t="s">
        <v>1192</v>
      </c>
      <c r="B198" s="6">
        <f t="shared" si="23"/>
        <v>4.3403333333333336</v>
      </c>
      <c r="C198" s="3">
        <f t="shared" si="24"/>
        <v>31</v>
      </c>
      <c r="D198" s="3" t="str">
        <f t="shared" si="25"/>
        <v/>
      </c>
      <c r="E198" s="3">
        <f t="shared" si="26"/>
        <v>147</v>
      </c>
      <c r="F198" s="5" t="str">
        <f>IF(C198=0,"Broadcast",IF(D198="",IF(E198="","",IF(E198&lt;128,"Verbind "&amp;E198,INDEX(KdoCodeTab,MATCH(E198,KdoWertTab,0)))),"StatusAbfr "&amp;D198))</f>
        <v>Space</v>
      </c>
      <c r="G198" t="str">
        <f t="shared" si="27"/>
        <v/>
      </c>
      <c r="H198" t="str">
        <f t="shared" si="28"/>
        <v>Space</v>
      </c>
      <c r="I198" t="str">
        <f t="shared" si="29"/>
        <v/>
      </c>
    </row>
    <row r="199" spans="1:9" x14ac:dyDescent="0.25">
      <c r="A199" t="s">
        <v>1193</v>
      </c>
      <c r="B199" s="6">
        <f t="shared" si="23"/>
        <v>4.3463333333333338</v>
      </c>
      <c r="C199" s="3">
        <f t="shared" si="24"/>
        <v>31</v>
      </c>
      <c r="D199" s="3" t="str">
        <f t="shared" si="25"/>
        <v/>
      </c>
      <c r="E199" s="3">
        <f t="shared" si="26"/>
        <v>150</v>
      </c>
      <c r="F199" s="5" t="str">
        <f>IF(C199=0,"Broadcast",IF(D199="",IF(E199="","",IF(E199&lt;128,"Verbind "&amp;E199,INDEX(KdoCodeTab,MATCH(E199,KdoWertTab,0)))),"StatusAbfr "&amp;D199))</f>
        <v>SpaceWdh</v>
      </c>
      <c r="G199" t="str">
        <f t="shared" si="27"/>
        <v/>
      </c>
      <c r="H199" t="str">
        <f t="shared" si="28"/>
        <v>SpaceWdh</v>
      </c>
      <c r="I199" t="str">
        <f t="shared" si="29"/>
        <v/>
      </c>
    </row>
    <row r="200" spans="1:9" x14ac:dyDescent="0.25">
      <c r="A200" t="s">
        <v>1194</v>
      </c>
      <c r="B200" s="6">
        <f t="shared" si="23"/>
        <v>4.3806666666666665</v>
      </c>
      <c r="C200" s="3">
        <f t="shared" si="24"/>
        <v>31</v>
      </c>
      <c r="D200" s="3" t="str">
        <f t="shared" si="25"/>
        <v/>
      </c>
      <c r="E200" s="3">
        <f t="shared" si="26"/>
        <v>156</v>
      </c>
      <c r="F200" s="5" t="str">
        <f>IF(C200=0,"Broadcast",IF(D200="",IF(E200="","",IF(E200&lt;128,"Verbind "&amp;E200,INDEX(KdoCodeTab,MATCH(E200,KdoWertTab,0)))),"StatusAbfr "&amp;D200))</f>
        <v>Mark</v>
      </c>
      <c r="G200" t="str">
        <f t="shared" si="27"/>
        <v/>
      </c>
      <c r="H200" t="str">
        <f t="shared" si="28"/>
        <v>Mark</v>
      </c>
      <c r="I200" t="str">
        <f t="shared" si="29"/>
        <v/>
      </c>
    </row>
    <row r="201" spans="1:9" x14ac:dyDescent="0.25">
      <c r="A201" t="s">
        <v>1195</v>
      </c>
      <c r="B201" s="6">
        <f t="shared" si="23"/>
        <v>4.3866666666666667</v>
      </c>
      <c r="C201" s="3">
        <f t="shared" si="24"/>
        <v>31</v>
      </c>
      <c r="D201" s="3" t="str">
        <f t="shared" si="25"/>
        <v/>
      </c>
      <c r="E201" s="3">
        <f t="shared" si="26"/>
        <v>154</v>
      </c>
      <c r="F201" s="5" t="str">
        <f>IF(C201=0,"Broadcast",IF(D201="",IF(E201="","",IF(E201&lt;128,"Verbind "&amp;E201,INDEX(KdoCodeTab,MATCH(E201,KdoWertTab,0)))),"StatusAbfr "&amp;D201))</f>
        <v>MarkWdh</v>
      </c>
      <c r="G201" t="str">
        <f t="shared" si="27"/>
        <v/>
      </c>
      <c r="H201" t="str">
        <f t="shared" si="28"/>
        <v>MarkWdh</v>
      </c>
      <c r="I201" t="str">
        <f t="shared" si="29"/>
        <v/>
      </c>
    </row>
    <row r="202" spans="1:9" x14ac:dyDescent="0.25">
      <c r="A202" t="s">
        <v>1196</v>
      </c>
      <c r="B202" s="6">
        <f t="shared" si="23"/>
        <v>4.431</v>
      </c>
      <c r="C202" s="3">
        <f t="shared" si="24"/>
        <v>31</v>
      </c>
      <c r="D202" s="3" t="str">
        <f t="shared" si="25"/>
        <v/>
      </c>
      <c r="E202" s="3">
        <f t="shared" si="26"/>
        <v>147</v>
      </c>
      <c r="F202" s="5" t="str">
        <f>IF(C202=0,"Broadcast",IF(D202="",IF(E202="","",IF(E202&lt;128,"Verbind "&amp;E202,INDEX(KdoCodeTab,MATCH(E202,KdoWertTab,0)))),"StatusAbfr "&amp;D202))</f>
        <v>Space</v>
      </c>
      <c r="G202" t="str">
        <f t="shared" si="27"/>
        <v/>
      </c>
      <c r="H202" t="str">
        <f t="shared" si="28"/>
        <v>Space</v>
      </c>
      <c r="I202" t="str">
        <f t="shared" si="29"/>
        <v/>
      </c>
    </row>
    <row r="203" spans="1:9" x14ac:dyDescent="0.25">
      <c r="A203" t="s">
        <v>1197</v>
      </c>
      <c r="B203" s="6">
        <f t="shared" si="23"/>
        <v>4.4370000000000003</v>
      </c>
      <c r="C203" s="3">
        <f t="shared" si="24"/>
        <v>31</v>
      </c>
      <c r="D203" s="3" t="str">
        <f t="shared" si="25"/>
        <v/>
      </c>
      <c r="E203" s="3">
        <f t="shared" si="26"/>
        <v>150</v>
      </c>
      <c r="F203" s="5" t="str">
        <f>IF(C203=0,"Broadcast",IF(D203="",IF(E203="","",IF(E203&lt;128,"Verbind "&amp;E203,INDEX(KdoCodeTab,MATCH(E203,KdoWertTab,0)))),"StatusAbfr "&amp;D203))</f>
        <v>SpaceWdh</v>
      </c>
      <c r="G203" t="str">
        <f t="shared" si="27"/>
        <v/>
      </c>
      <c r="H203" t="str">
        <f t="shared" si="28"/>
        <v>SpaceWdh</v>
      </c>
      <c r="I203" t="str">
        <f t="shared" si="29"/>
        <v/>
      </c>
    </row>
    <row r="204" spans="1:9" x14ac:dyDescent="0.25">
      <c r="A204" t="s">
        <v>1198</v>
      </c>
      <c r="B204" s="6">
        <f t="shared" si="23"/>
        <v>4.4713333333333338</v>
      </c>
      <c r="C204" s="3">
        <f t="shared" si="24"/>
        <v>31</v>
      </c>
      <c r="D204" s="3" t="str">
        <f t="shared" si="25"/>
        <v/>
      </c>
      <c r="E204" s="3">
        <f t="shared" si="26"/>
        <v>156</v>
      </c>
      <c r="F204" s="5" t="str">
        <f>IF(C204=0,"Broadcast",IF(D204="",IF(E204="","",IF(E204&lt;128,"Verbind "&amp;E204,INDEX(KdoCodeTab,MATCH(E204,KdoWertTab,0)))),"StatusAbfr "&amp;D204))</f>
        <v>Mark</v>
      </c>
      <c r="G204" t="str">
        <f t="shared" si="27"/>
        <v/>
      </c>
      <c r="H204" t="str">
        <f t="shared" si="28"/>
        <v>Mark</v>
      </c>
      <c r="I204" t="str">
        <f t="shared" si="29"/>
        <v/>
      </c>
    </row>
    <row r="205" spans="1:9" x14ac:dyDescent="0.25">
      <c r="A205" t="s">
        <v>1199</v>
      </c>
      <c r="B205" s="6">
        <f t="shared" si="23"/>
        <v>4.4773333333333341</v>
      </c>
      <c r="C205" s="3">
        <f t="shared" si="24"/>
        <v>31</v>
      </c>
      <c r="D205" s="3" t="str">
        <f t="shared" si="25"/>
        <v/>
      </c>
      <c r="E205" s="3">
        <f t="shared" si="26"/>
        <v>154</v>
      </c>
      <c r="F205" s="5" t="str">
        <f>IF(C205=0,"Broadcast",IF(D205="",IF(E205="","",IF(E205&lt;128,"Verbind "&amp;E205,INDEX(KdoCodeTab,MATCH(E205,KdoWertTab,0)))),"StatusAbfr "&amp;D205))</f>
        <v>MarkWdh</v>
      </c>
      <c r="G205" t="str">
        <f t="shared" si="27"/>
        <v/>
      </c>
      <c r="H205" t="str">
        <f t="shared" si="28"/>
        <v>MarkWdh</v>
      </c>
      <c r="I205" t="str">
        <f t="shared" si="29"/>
        <v/>
      </c>
    </row>
    <row r="206" spans="1:9" x14ac:dyDescent="0.25">
      <c r="A206" t="s">
        <v>1200</v>
      </c>
      <c r="B206" s="6">
        <f t="shared" si="23"/>
        <v>4.5318333333333332</v>
      </c>
      <c r="C206" s="3">
        <f t="shared" si="24"/>
        <v>31</v>
      </c>
      <c r="D206" s="3" t="str">
        <f t="shared" si="25"/>
        <v/>
      </c>
      <c r="E206" s="3">
        <f t="shared" si="26"/>
        <v>147</v>
      </c>
      <c r="F206" s="5" t="str">
        <f>IF(C206=0,"Broadcast",IF(D206="",IF(E206="","",IF(E206&lt;128,"Verbind "&amp;E206,INDEX(KdoCodeTab,MATCH(E206,KdoWertTab,0)))),"StatusAbfr "&amp;D206))</f>
        <v>Space</v>
      </c>
      <c r="G206" t="str">
        <f t="shared" si="27"/>
        <v/>
      </c>
      <c r="H206" t="str">
        <f t="shared" si="28"/>
        <v>Space</v>
      </c>
      <c r="I206" t="str">
        <f t="shared" si="29"/>
        <v/>
      </c>
    </row>
    <row r="207" spans="1:9" x14ac:dyDescent="0.25">
      <c r="A207" t="s">
        <v>1201</v>
      </c>
      <c r="B207" s="6">
        <f t="shared" si="23"/>
        <v>4.5378333333333334</v>
      </c>
      <c r="C207" s="3">
        <f t="shared" si="24"/>
        <v>31</v>
      </c>
      <c r="D207" s="3" t="str">
        <f t="shared" si="25"/>
        <v/>
      </c>
      <c r="E207" s="3">
        <f t="shared" si="26"/>
        <v>150</v>
      </c>
      <c r="F207" s="5" t="str">
        <f>IF(C207=0,"Broadcast",IF(D207="",IF(E207="","",IF(E207&lt;128,"Verbind "&amp;E207,INDEX(KdoCodeTab,MATCH(E207,KdoWertTab,0)))),"StatusAbfr "&amp;D207))</f>
        <v>SpaceWdh</v>
      </c>
      <c r="G207" t="str">
        <f t="shared" si="27"/>
        <v/>
      </c>
      <c r="H207" t="str">
        <f t="shared" si="28"/>
        <v>SpaceWdh</v>
      </c>
      <c r="I207" t="str">
        <f t="shared" si="29"/>
        <v/>
      </c>
    </row>
    <row r="208" spans="1:9" x14ac:dyDescent="0.25">
      <c r="A208" t="s">
        <v>1202</v>
      </c>
      <c r="B208" s="6">
        <f t="shared" si="23"/>
        <v>4.5419999999999998</v>
      </c>
      <c r="C208" s="3">
        <f t="shared" si="24"/>
        <v>101</v>
      </c>
      <c r="D208" s="3" t="str">
        <f t="shared" si="25"/>
        <v/>
      </c>
      <c r="E208" s="3">
        <f t="shared" si="26"/>
        <v>169</v>
      </c>
      <c r="F208" s="5" t="str">
        <f>IF(C208=0,"Broadcast",IF(D208="",IF(E208="","",IF(E208&lt;128,"Verbind "&amp;E208,INDEX(KdoCodeTab,MATCH(E208,KdoWertTab,0)))),"StatusAbfr "&amp;D208))</f>
        <v>BusLebenszeichen</v>
      </c>
      <c r="G208" t="str">
        <f t="shared" si="27"/>
        <v>BusLebenszeichen</v>
      </c>
      <c r="H208" t="str">
        <f t="shared" si="28"/>
        <v/>
      </c>
      <c r="I208" t="str">
        <f t="shared" si="29"/>
        <v/>
      </c>
    </row>
    <row r="209" spans="1:9" x14ac:dyDescent="0.25">
      <c r="A209" t="s">
        <v>1203</v>
      </c>
      <c r="B209" s="6">
        <f t="shared" si="23"/>
        <v>4.5519999999999996</v>
      </c>
      <c r="C209" s="3">
        <f t="shared" si="24"/>
        <v>31</v>
      </c>
      <c r="D209" s="3" t="str">
        <f t="shared" si="25"/>
        <v/>
      </c>
      <c r="E209" s="3">
        <f t="shared" si="26"/>
        <v>156</v>
      </c>
      <c r="F209" s="5" t="str">
        <f>IF(C209=0,"Broadcast",IF(D209="",IF(E209="","",IF(E209&lt;128,"Verbind "&amp;E209,INDEX(KdoCodeTab,MATCH(E209,KdoWertTab,0)))),"StatusAbfr "&amp;D209))</f>
        <v>Mark</v>
      </c>
      <c r="G209" t="str">
        <f t="shared" si="27"/>
        <v/>
      </c>
      <c r="H209" t="str">
        <f t="shared" si="28"/>
        <v>Mark</v>
      </c>
      <c r="I209" t="str">
        <f t="shared" si="29"/>
        <v/>
      </c>
    </row>
    <row r="210" spans="1:9" x14ac:dyDescent="0.25">
      <c r="A210" t="s">
        <v>1204</v>
      </c>
      <c r="B210" s="6">
        <f t="shared" si="23"/>
        <v>4.5579999999999998</v>
      </c>
      <c r="C210" s="3">
        <f t="shared" si="24"/>
        <v>31</v>
      </c>
      <c r="D210" s="3" t="str">
        <f t="shared" si="25"/>
        <v/>
      </c>
      <c r="E210" s="3">
        <f t="shared" si="26"/>
        <v>154</v>
      </c>
      <c r="F210" s="5" t="str">
        <f>IF(C210=0,"Broadcast",IF(D210="",IF(E210="","",IF(E210&lt;128,"Verbind "&amp;E210,INDEX(KdoCodeTab,MATCH(E210,KdoWertTab,0)))),"StatusAbfr "&amp;D210))</f>
        <v>MarkWdh</v>
      </c>
      <c r="G210" t="str">
        <f t="shared" si="27"/>
        <v/>
      </c>
      <c r="H210" t="str">
        <f t="shared" si="28"/>
        <v>MarkWdh</v>
      </c>
      <c r="I210" t="str">
        <f t="shared" si="29"/>
        <v/>
      </c>
    </row>
    <row r="211" spans="1:9" x14ac:dyDescent="0.25">
      <c r="A211" t="s">
        <v>1205</v>
      </c>
      <c r="B211" s="6">
        <f t="shared" si="23"/>
        <v>4.5821666666666667</v>
      </c>
      <c r="C211" s="3">
        <f t="shared" si="24"/>
        <v>31</v>
      </c>
      <c r="D211" s="3" t="str">
        <f t="shared" si="25"/>
        <v/>
      </c>
      <c r="E211" s="3">
        <f t="shared" si="26"/>
        <v>147</v>
      </c>
      <c r="F211" s="5" t="str">
        <f>IF(C211=0,"Broadcast",IF(D211="",IF(E211="","",IF(E211&lt;128,"Verbind "&amp;E211,INDEX(KdoCodeTab,MATCH(E211,KdoWertTab,0)))),"StatusAbfr "&amp;D211))</f>
        <v>Space</v>
      </c>
      <c r="G211" t="str">
        <f t="shared" si="27"/>
        <v/>
      </c>
      <c r="H211" t="str">
        <f t="shared" si="28"/>
        <v>Space</v>
      </c>
      <c r="I211" t="str">
        <f t="shared" si="29"/>
        <v/>
      </c>
    </row>
    <row r="212" spans="1:9" x14ac:dyDescent="0.25">
      <c r="A212" t="s">
        <v>1206</v>
      </c>
      <c r="B212" s="6">
        <f t="shared" si="23"/>
        <v>4.5883333333333338</v>
      </c>
      <c r="C212" s="3">
        <f t="shared" si="24"/>
        <v>31</v>
      </c>
      <c r="D212" s="3" t="str">
        <f t="shared" si="25"/>
        <v/>
      </c>
      <c r="E212" s="3">
        <f t="shared" si="26"/>
        <v>150</v>
      </c>
      <c r="F212" s="5" t="str">
        <f>IF(C212=0,"Broadcast",IF(D212="",IF(E212="","",IF(E212&lt;128,"Verbind "&amp;E212,INDEX(KdoCodeTab,MATCH(E212,KdoWertTab,0)))),"StatusAbfr "&amp;D212))</f>
        <v>SpaceWdh</v>
      </c>
      <c r="G212" t="str">
        <f t="shared" si="27"/>
        <v/>
      </c>
      <c r="H212" t="str">
        <f t="shared" si="28"/>
        <v>SpaceWdh</v>
      </c>
      <c r="I212" t="str">
        <f t="shared" si="29"/>
        <v/>
      </c>
    </row>
    <row r="213" spans="1:9" x14ac:dyDescent="0.25">
      <c r="A213" t="s">
        <v>1207</v>
      </c>
      <c r="B213" s="6">
        <f t="shared" si="23"/>
        <v>4.6224999999999996</v>
      </c>
      <c r="C213" s="3">
        <f t="shared" si="24"/>
        <v>31</v>
      </c>
      <c r="D213" s="3" t="str">
        <f t="shared" si="25"/>
        <v/>
      </c>
      <c r="E213" s="3">
        <f t="shared" si="26"/>
        <v>156</v>
      </c>
      <c r="F213" s="5" t="str">
        <f>IF(C213=0,"Broadcast",IF(D213="",IF(E213="","",IF(E213&lt;128,"Verbind "&amp;E213,INDEX(KdoCodeTab,MATCH(E213,KdoWertTab,0)))),"StatusAbfr "&amp;D213))</f>
        <v>Mark</v>
      </c>
      <c r="G213" t="str">
        <f t="shared" si="27"/>
        <v/>
      </c>
      <c r="H213" t="str">
        <f t="shared" si="28"/>
        <v>Mark</v>
      </c>
      <c r="I213" t="str">
        <f t="shared" si="29"/>
        <v/>
      </c>
    </row>
    <row r="214" spans="1:9" x14ac:dyDescent="0.25">
      <c r="A214" t="s">
        <v>1208</v>
      </c>
      <c r="B214" s="6">
        <f t="shared" si="23"/>
        <v>4.6286666666666667</v>
      </c>
      <c r="C214" s="3">
        <f t="shared" si="24"/>
        <v>100</v>
      </c>
      <c r="D214" s="3" t="str">
        <f t="shared" si="25"/>
        <v/>
      </c>
      <c r="E214" s="3" t="str">
        <f t="shared" si="26"/>
        <v/>
      </c>
      <c r="F214" s="5" t="str">
        <f>IF(C214=0,"Broadcast",IF(D214="",IF(E214="","",IF(E214&lt;128,"Verbind "&amp;E214,INDEX(KdoCodeTab,MATCH(E214,KdoWertTab,0)))),"StatusAbfr "&amp;D214))</f>
        <v/>
      </c>
      <c r="G214" t="str">
        <f t="shared" si="27"/>
        <v/>
      </c>
      <c r="H214" t="str">
        <f t="shared" si="28"/>
        <v/>
      </c>
      <c r="I214" t="str">
        <f t="shared" si="29"/>
        <v/>
      </c>
    </row>
    <row r="215" spans="1:9" x14ac:dyDescent="0.25">
      <c r="A215" t="s">
        <v>1209</v>
      </c>
      <c r="B215" s="6">
        <f t="shared" si="23"/>
        <v>4.6426666666666669</v>
      </c>
      <c r="C215" s="3">
        <f t="shared" si="24"/>
        <v>31</v>
      </c>
      <c r="D215" s="3" t="str">
        <f t="shared" si="25"/>
        <v/>
      </c>
      <c r="E215" s="3">
        <f t="shared" si="26"/>
        <v>147</v>
      </c>
      <c r="F215" s="5" t="str">
        <f>IF(C215=0,"Broadcast",IF(D215="",IF(E215="","",IF(E215&lt;128,"Verbind "&amp;E215,INDEX(KdoCodeTab,MATCH(E215,KdoWertTab,0)))),"StatusAbfr "&amp;D215))</f>
        <v>Space</v>
      </c>
      <c r="G215" t="str">
        <f t="shared" si="27"/>
        <v/>
      </c>
      <c r="H215" t="str">
        <f t="shared" si="28"/>
        <v>Space</v>
      </c>
      <c r="I215" t="str">
        <f t="shared" si="29"/>
        <v/>
      </c>
    </row>
    <row r="216" spans="1:9" x14ac:dyDescent="0.25">
      <c r="A216" t="s">
        <v>1210</v>
      </c>
      <c r="B216" s="6">
        <f t="shared" si="23"/>
        <v>4.6488333333333332</v>
      </c>
      <c r="C216" s="3">
        <f t="shared" si="24"/>
        <v>31</v>
      </c>
      <c r="D216" s="3" t="str">
        <f t="shared" si="25"/>
        <v/>
      </c>
      <c r="E216" s="3">
        <f t="shared" si="26"/>
        <v>150</v>
      </c>
      <c r="F216" s="5" t="str">
        <f>IF(C216=0,"Broadcast",IF(D216="",IF(E216="","",IF(E216&lt;128,"Verbind "&amp;E216,INDEX(KdoCodeTab,MATCH(E216,KdoWertTab,0)))),"StatusAbfr "&amp;D216))</f>
        <v>SpaceWdh</v>
      </c>
      <c r="G216" t="str">
        <f t="shared" si="27"/>
        <v/>
      </c>
      <c r="H216" t="str">
        <f t="shared" si="28"/>
        <v>SpaceWdh</v>
      </c>
      <c r="I216" t="str">
        <f t="shared" si="29"/>
        <v/>
      </c>
    </row>
    <row r="217" spans="1:9" x14ac:dyDescent="0.25">
      <c r="A217" t="s">
        <v>1211</v>
      </c>
      <c r="B217" s="6">
        <f t="shared" si="23"/>
        <v>4.6628333333333334</v>
      </c>
      <c r="C217" s="3">
        <f t="shared" si="24"/>
        <v>31</v>
      </c>
      <c r="D217" s="3" t="str">
        <f t="shared" si="25"/>
        <v/>
      </c>
      <c r="E217" s="3">
        <f t="shared" si="26"/>
        <v>156</v>
      </c>
      <c r="F217" s="5" t="str">
        <f>IF(C217=0,"Broadcast",IF(D217="",IF(E217="","",IF(E217&lt;128,"Verbind "&amp;E217,INDEX(KdoCodeTab,MATCH(E217,KdoWertTab,0)))),"StatusAbfr "&amp;D217))</f>
        <v>Mark</v>
      </c>
      <c r="G217" t="str">
        <f t="shared" si="27"/>
        <v/>
      </c>
      <c r="H217" t="str">
        <f t="shared" si="28"/>
        <v>Mark</v>
      </c>
      <c r="I217" t="str">
        <f t="shared" si="29"/>
        <v/>
      </c>
    </row>
    <row r="218" spans="1:9" x14ac:dyDescent="0.25">
      <c r="A218" t="s">
        <v>1212</v>
      </c>
      <c r="B218" s="6">
        <f t="shared" si="23"/>
        <v>4.6688333333333336</v>
      </c>
      <c r="C218" s="3">
        <f t="shared" si="24"/>
        <v>31</v>
      </c>
      <c r="D218" s="3" t="str">
        <f t="shared" si="25"/>
        <v/>
      </c>
      <c r="E218" s="3">
        <f t="shared" si="26"/>
        <v>154</v>
      </c>
      <c r="F218" s="5" t="str">
        <f>IF(C218=0,"Broadcast",IF(D218="",IF(E218="","",IF(E218&lt;128,"Verbind "&amp;E218,INDEX(KdoCodeTab,MATCH(E218,KdoWertTab,0)))),"StatusAbfr "&amp;D218))</f>
        <v>MarkWdh</v>
      </c>
      <c r="G218" t="str">
        <f t="shared" si="27"/>
        <v/>
      </c>
      <c r="H218" t="str">
        <f t="shared" si="28"/>
        <v>MarkWdh</v>
      </c>
      <c r="I218" t="str">
        <f t="shared" si="29"/>
        <v/>
      </c>
    </row>
    <row r="219" spans="1:9" x14ac:dyDescent="0.25">
      <c r="A219" t="s">
        <v>1213</v>
      </c>
      <c r="B219" s="6">
        <f t="shared" si="23"/>
        <v>4.6829999999999998</v>
      </c>
      <c r="C219" s="3">
        <f t="shared" si="24"/>
        <v>31</v>
      </c>
      <c r="D219" s="3" t="str">
        <f t="shared" si="25"/>
        <v/>
      </c>
      <c r="E219" s="3">
        <f t="shared" si="26"/>
        <v>147</v>
      </c>
      <c r="F219" s="5" t="str">
        <f>IF(C219=0,"Broadcast",IF(D219="",IF(E219="","",IF(E219&lt;128,"Verbind "&amp;E219,INDEX(KdoCodeTab,MATCH(E219,KdoWertTab,0)))),"StatusAbfr "&amp;D219))</f>
        <v>Space</v>
      </c>
      <c r="G219" t="str">
        <f t="shared" si="27"/>
        <v/>
      </c>
      <c r="H219" t="str">
        <f t="shared" si="28"/>
        <v>Space</v>
      </c>
      <c r="I219" t="str">
        <f t="shared" si="29"/>
        <v/>
      </c>
    </row>
    <row r="220" spans="1:9" x14ac:dyDescent="0.25">
      <c r="A220" t="s">
        <v>1214</v>
      </c>
      <c r="B220" s="6">
        <f t="shared" si="23"/>
        <v>4.6890000000000001</v>
      </c>
      <c r="C220" s="3">
        <f t="shared" si="24"/>
        <v>31</v>
      </c>
      <c r="D220" s="3" t="str">
        <f t="shared" si="25"/>
        <v/>
      </c>
      <c r="E220" s="3">
        <f t="shared" si="26"/>
        <v>150</v>
      </c>
      <c r="F220" s="5" t="str">
        <f>IF(C220=0,"Broadcast",IF(D220="",IF(E220="","",IF(E220&lt;128,"Verbind "&amp;E220,INDEX(KdoCodeTab,MATCH(E220,KdoWertTab,0)))),"StatusAbfr "&amp;D220))</f>
        <v>SpaceWdh</v>
      </c>
      <c r="G220" t="str">
        <f t="shared" si="27"/>
        <v/>
      </c>
      <c r="H220" t="str">
        <f t="shared" si="28"/>
        <v>SpaceWdh</v>
      </c>
      <c r="I220" t="str">
        <f t="shared" si="29"/>
        <v/>
      </c>
    </row>
    <row r="221" spans="1:9" x14ac:dyDescent="0.25">
      <c r="A221" t="s">
        <v>1215</v>
      </c>
      <c r="B221" s="6">
        <f t="shared" si="23"/>
        <v>4.7031666666666672</v>
      </c>
      <c r="C221" s="3">
        <f t="shared" si="24"/>
        <v>31</v>
      </c>
      <c r="D221" s="3" t="str">
        <f t="shared" si="25"/>
        <v/>
      </c>
      <c r="E221" s="3">
        <f t="shared" si="26"/>
        <v>156</v>
      </c>
      <c r="F221" s="5" t="str">
        <f>IF(C221=0,"Broadcast",IF(D221="",IF(E221="","",IF(E221&lt;128,"Verbind "&amp;E221,INDEX(KdoCodeTab,MATCH(E221,KdoWertTab,0)))),"StatusAbfr "&amp;D221))</f>
        <v>Mark</v>
      </c>
      <c r="G221" t="str">
        <f t="shared" si="27"/>
        <v/>
      </c>
      <c r="H221" t="str">
        <f t="shared" si="28"/>
        <v>Mark</v>
      </c>
      <c r="I221" t="str">
        <f t="shared" si="29"/>
        <v/>
      </c>
    </row>
    <row r="222" spans="1:9" x14ac:dyDescent="0.25">
      <c r="A222" t="s">
        <v>1216</v>
      </c>
      <c r="B222" s="6">
        <f t="shared" si="23"/>
        <v>4.7091666666666665</v>
      </c>
      <c r="C222" s="3">
        <f t="shared" si="24"/>
        <v>31</v>
      </c>
      <c r="D222" s="3" t="str">
        <f t="shared" si="25"/>
        <v/>
      </c>
      <c r="E222" s="3">
        <f t="shared" si="26"/>
        <v>154</v>
      </c>
      <c r="F222" s="5" t="str">
        <f>IF(C222=0,"Broadcast",IF(D222="",IF(E222="","",IF(E222&lt;128,"Verbind "&amp;E222,INDEX(KdoCodeTab,MATCH(E222,KdoWertTab,0)))),"StatusAbfr "&amp;D222))</f>
        <v>MarkWdh</v>
      </c>
      <c r="G222" t="str">
        <f t="shared" si="27"/>
        <v/>
      </c>
      <c r="H222" t="str">
        <f t="shared" si="28"/>
        <v>MarkWdh</v>
      </c>
      <c r="I222" t="str">
        <f t="shared" si="29"/>
        <v/>
      </c>
    </row>
    <row r="223" spans="1:9" x14ac:dyDescent="0.25">
      <c r="A223" t="s">
        <v>1217</v>
      </c>
      <c r="B223" s="6">
        <f t="shared" si="23"/>
        <v>4.7334999999999994</v>
      </c>
      <c r="C223" s="3">
        <f t="shared" si="24"/>
        <v>31</v>
      </c>
      <c r="D223" s="3" t="str">
        <f t="shared" si="25"/>
        <v/>
      </c>
      <c r="E223" s="3">
        <f t="shared" si="26"/>
        <v>147</v>
      </c>
      <c r="F223" s="5" t="str">
        <f>IF(C223=0,"Broadcast",IF(D223="",IF(E223="","",IF(E223&lt;128,"Verbind "&amp;E223,INDEX(KdoCodeTab,MATCH(E223,KdoWertTab,0)))),"StatusAbfr "&amp;D223))</f>
        <v>Space</v>
      </c>
      <c r="G223" t="str">
        <f t="shared" si="27"/>
        <v/>
      </c>
      <c r="H223" t="str">
        <f t="shared" si="28"/>
        <v>Space</v>
      </c>
      <c r="I223" t="str">
        <f t="shared" si="29"/>
        <v/>
      </c>
    </row>
    <row r="224" spans="1:9" x14ac:dyDescent="0.25">
      <c r="A224" t="s">
        <v>1218</v>
      </c>
      <c r="B224" s="6">
        <f t="shared" si="23"/>
        <v>4.7394999999999996</v>
      </c>
      <c r="C224" s="3">
        <f t="shared" si="24"/>
        <v>31</v>
      </c>
      <c r="D224" s="3" t="str">
        <f t="shared" si="25"/>
        <v/>
      </c>
      <c r="E224" s="3">
        <f t="shared" si="26"/>
        <v>150</v>
      </c>
      <c r="F224" s="5" t="str">
        <f>IF(C224=0,"Broadcast",IF(D224="",IF(E224="","",IF(E224&lt;128,"Verbind "&amp;E224,INDEX(KdoCodeTab,MATCH(E224,KdoWertTab,0)))),"StatusAbfr "&amp;D224))</f>
        <v>SpaceWdh</v>
      </c>
      <c r="G224" t="str">
        <f t="shared" si="27"/>
        <v/>
      </c>
      <c r="H224" t="str">
        <f t="shared" si="28"/>
        <v>SpaceWdh</v>
      </c>
      <c r="I224" t="str">
        <f t="shared" si="29"/>
        <v/>
      </c>
    </row>
    <row r="225" spans="1:9" x14ac:dyDescent="0.25">
      <c r="A225" t="s">
        <v>1219</v>
      </c>
      <c r="B225" s="6">
        <f t="shared" si="23"/>
        <v>4.7534999999999998</v>
      </c>
      <c r="C225" s="3">
        <f t="shared" si="24"/>
        <v>31</v>
      </c>
      <c r="D225" s="3" t="str">
        <f t="shared" si="25"/>
        <v/>
      </c>
      <c r="E225" s="3">
        <f t="shared" si="26"/>
        <v>156</v>
      </c>
      <c r="F225" s="5" t="str">
        <f>IF(C225=0,"Broadcast",IF(D225="",IF(E225="","",IF(E225&lt;128,"Verbind "&amp;E225,INDEX(KdoCodeTab,MATCH(E225,KdoWertTab,0)))),"StatusAbfr "&amp;D225))</f>
        <v>Mark</v>
      </c>
      <c r="G225" t="str">
        <f t="shared" si="27"/>
        <v/>
      </c>
      <c r="H225" t="str">
        <f t="shared" si="28"/>
        <v>Mark</v>
      </c>
      <c r="I225" t="str">
        <f t="shared" si="29"/>
        <v/>
      </c>
    </row>
    <row r="226" spans="1:9" x14ac:dyDescent="0.25">
      <c r="A226" t="s">
        <v>1220</v>
      </c>
      <c r="B226" s="6">
        <f t="shared" si="23"/>
        <v>4.7596666666666669</v>
      </c>
      <c r="C226" s="3">
        <f t="shared" si="24"/>
        <v>31</v>
      </c>
      <c r="D226" s="3" t="str">
        <f t="shared" si="25"/>
        <v/>
      </c>
      <c r="E226" s="3">
        <f t="shared" si="26"/>
        <v>154</v>
      </c>
      <c r="F226" s="5" t="str">
        <f>IF(C226=0,"Broadcast",IF(D226="",IF(E226="","",IF(E226&lt;128,"Verbind "&amp;E226,INDEX(KdoCodeTab,MATCH(E226,KdoWertTab,0)))),"StatusAbfr "&amp;D226))</f>
        <v>MarkWdh</v>
      </c>
      <c r="G226" t="str">
        <f t="shared" si="27"/>
        <v/>
      </c>
      <c r="H226" t="str">
        <f t="shared" si="28"/>
        <v>MarkWdh</v>
      </c>
      <c r="I226" t="str">
        <f t="shared" si="29"/>
        <v/>
      </c>
    </row>
    <row r="227" spans="1:9" x14ac:dyDescent="0.25">
      <c r="A227" t="s">
        <v>1221</v>
      </c>
      <c r="B227" s="6">
        <f t="shared" si="23"/>
        <v>4.8140000000000001</v>
      </c>
      <c r="C227" s="3">
        <f t="shared" si="24"/>
        <v>31</v>
      </c>
      <c r="D227" s="3" t="str">
        <f t="shared" si="25"/>
        <v/>
      </c>
      <c r="E227" s="3">
        <f t="shared" si="26"/>
        <v>147</v>
      </c>
      <c r="F227" s="5" t="str">
        <f>IF(C227=0,"Broadcast",IF(D227="",IF(E227="","",IF(E227&lt;128,"Verbind "&amp;E227,INDEX(KdoCodeTab,MATCH(E227,KdoWertTab,0)))),"StatusAbfr "&amp;D227))</f>
        <v>Space</v>
      </c>
      <c r="G227" t="str">
        <f t="shared" si="27"/>
        <v/>
      </c>
      <c r="H227" t="str">
        <f t="shared" si="28"/>
        <v>Space</v>
      </c>
      <c r="I227" t="str">
        <f t="shared" si="29"/>
        <v/>
      </c>
    </row>
    <row r="228" spans="1:9" x14ac:dyDescent="0.25">
      <c r="A228" t="s">
        <v>1222</v>
      </c>
      <c r="B228" s="6">
        <f t="shared" si="23"/>
        <v>4.8201666666666672</v>
      </c>
      <c r="C228" s="3">
        <f t="shared" si="24"/>
        <v>31</v>
      </c>
      <c r="D228" s="3" t="str">
        <f t="shared" si="25"/>
        <v/>
      </c>
      <c r="E228" s="3">
        <f t="shared" si="26"/>
        <v>150</v>
      </c>
      <c r="F228" s="5" t="str">
        <f>IF(C228=0,"Broadcast",IF(D228="",IF(E228="","",IF(E228&lt;128,"Verbind "&amp;E228,INDEX(KdoCodeTab,MATCH(E228,KdoWertTab,0)))),"StatusAbfr "&amp;D228))</f>
        <v>SpaceWdh</v>
      </c>
      <c r="G228" t="str">
        <f t="shared" si="27"/>
        <v/>
      </c>
      <c r="H228" t="str">
        <f t="shared" si="28"/>
        <v>SpaceWdh</v>
      </c>
      <c r="I228" t="str">
        <f t="shared" si="29"/>
        <v/>
      </c>
    </row>
    <row r="229" spans="1:9" x14ac:dyDescent="0.25">
      <c r="A229" t="s">
        <v>1223</v>
      </c>
      <c r="B229" s="6">
        <f t="shared" si="23"/>
        <v>4.8341666666666665</v>
      </c>
      <c r="C229" s="3">
        <f t="shared" si="24"/>
        <v>31</v>
      </c>
      <c r="D229" s="3" t="str">
        <f t="shared" si="25"/>
        <v/>
      </c>
      <c r="E229" s="3">
        <f t="shared" si="26"/>
        <v>156</v>
      </c>
      <c r="F229" s="5" t="str">
        <f>IF(C229=0,"Broadcast",IF(D229="",IF(E229="","",IF(E229&lt;128,"Verbind "&amp;E229,INDEX(KdoCodeTab,MATCH(E229,KdoWertTab,0)))),"StatusAbfr "&amp;D229))</f>
        <v>Mark</v>
      </c>
      <c r="G229" t="str">
        <f t="shared" si="27"/>
        <v/>
      </c>
      <c r="H229" t="str">
        <f t="shared" si="28"/>
        <v>Mark</v>
      </c>
      <c r="I229" t="str">
        <f t="shared" si="29"/>
        <v/>
      </c>
    </row>
    <row r="230" spans="1:9" x14ac:dyDescent="0.25">
      <c r="A230" t="s">
        <v>1224</v>
      </c>
      <c r="B230" s="6">
        <f t="shared" si="23"/>
        <v>4.8403333333333336</v>
      </c>
      <c r="C230" s="3">
        <f t="shared" si="24"/>
        <v>31</v>
      </c>
      <c r="D230" s="3" t="str">
        <f t="shared" si="25"/>
        <v/>
      </c>
      <c r="E230" s="3">
        <f t="shared" si="26"/>
        <v>154</v>
      </c>
      <c r="F230" s="5" t="str">
        <f>IF(C230=0,"Broadcast",IF(D230="",IF(E230="","",IF(E230&lt;128,"Verbind "&amp;E230,INDEX(KdoCodeTab,MATCH(E230,KdoWertTab,0)))),"StatusAbfr "&amp;D230))</f>
        <v>MarkWdh</v>
      </c>
      <c r="G230" t="str">
        <f t="shared" si="27"/>
        <v/>
      </c>
      <c r="H230" t="str">
        <f t="shared" si="28"/>
        <v>MarkWdh</v>
      </c>
      <c r="I230" t="str">
        <f t="shared" si="29"/>
        <v/>
      </c>
    </row>
    <row r="231" spans="1:9" x14ac:dyDescent="0.25">
      <c r="A231" t="s">
        <v>1225</v>
      </c>
      <c r="B231" s="6">
        <f t="shared" si="23"/>
        <v>4.8846666666666669</v>
      </c>
      <c r="C231" s="3">
        <f t="shared" si="24"/>
        <v>31</v>
      </c>
      <c r="D231" s="3" t="str">
        <f t="shared" si="25"/>
        <v/>
      </c>
      <c r="E231" s="3">
        <f t="shared" si="26"/>
        <v>147</v>
      </c>
      <c r="F231" s="5" t="str">
        <f>IF(C231=0,"Broadcast",IF(D231="",IF(E231="","",IF(E231&lt;128,"Verbind "&amp;E231,INDEX(KdoCodeTab,MATCH(E231,KdoWertTab,0)))),"StatusAbfr "&amp;D231))</f>
        <v>Space</v>
      </c>
      <c r="G231" t="str">
        <f t="shared" si="27"/>
        <v/>
      </c>
      <c r="H231" t="str">
        <f t="shared" si="28"/>
        <v>Space</v>
      </c>
      <c r="I231" t="str">
        <f t="shared" si="29"/>
        <v/>
      </c>
    </row>
    <row r="232" spans="1:9" x14ac:dyDescent="0.25">
      <c r="A232" t="s">
        <v>1226</v>
      </c>
      <c r="B232" s="6">
        <f t="shared" si="23"/>
        <v>4.8906666666666663</v>
      </c>
      <c r="C232" s="3">
        <f t="shared" si="24"/>
        <v>31</v>
      </c>
      <c r="D232" s="3" t="str">
        <f t="shared" si="25"/>
        <v/>
      </c>
      <c r="E232" s="3">
        <f t="shared" si="26"/>
        <v>150</v>
      </c>
      <c r="F232" s="5" t="str">
        <f>IF(C232=0,"Broadcast",IF(D232="",IF(E232="","",IF(E232&lt;128,"Verbind "&amp;E232,INDEX(KdoCodeTab,MATCH(E232,KdoWertTab,0)))),"StatusAbfr "&amp;D232))</f>
        <v>SpaceWdh</v>
      </c>
      <c r="G232" t="str">
        <f t="shared" si="27"/>
        <v/>
      </c>
      <c r="H232" t="str">
        <f t="shared" si="28"/>
        <v>SpaceWdh</v>
      </c>
      <c r="I232" t="str">
        <f t="shared" si="29"/>
        <v/>
      </c>
    </row>
    <row r="233" spans="1:9" x14ac:dyDescent="0.25">
      <c r="A233" t="s">
        <v>1227</v>
      </c>
      <c r="B233" s="6">
        <f t="shared" si="23"/>
        <v>4.9653333333333336</v>
      </c>
      <c r="C233" s="3">
        <f t="shared" si="24"/>
        <v>31</v>
      </c>
      <c r="D233" s="3" t="str">
        <f t="shared" si="25"/>
        <v/>
      </c>
      <c r="E233" s="3">
        <f t="shared" si="26"/>
        <v>156</v>
      </c>
      <c r="F233" s="5" t="str">
        <f>IF(C233=0,"Broadcast",IF(D233="",IF(E233="","",IF(E233&lt;128,"Verbind "&amp;E233,INDEX(KdoCodeTab,MATCH(E233,KdoWertTab,0)))),"StatusAbfr "&amp;D233))</f>
        <v>Mark</v>
      </c>
      <c r="G233" t="str">
        <f t="shared" si="27"/>
        <v/>
      </c>
      <c r="H233" t="str">
        <f t="shared" si="28"/>
        <v>Mark</v>
      </c>
      <c r="I233" t="str">
        <f t="shared" si="29"/>
        <v/>
      </c>
    </row>
    <row r="234" spans="1:9" x14ac:dyDescent="0.25">
      <c r="A234" t="s">
        <v>1228</v>
      </c>
      <c r="B234" s="6">
        <f t="shared" si="23"/>
        <v>4.9713333333333338</v>
      </c>
      <c r="C234" s="3">
        <f t="shared" si="24"/>
        <v>31</v>
      </c>
      <c r="D234" s="3" t="str">
        <f t="shared" si="25"/>
        <v/>
      </c>
      <c r="E234" s="3">
        <f t="shared" si="26"/>
        <v>154</v>
      </c>
      <c r="F234" s="5" t="str">
        <f>IF(C234=0,"Broadcast",IF(D234="",IF(E234="","",IF(E234&lt;128,"Verbind "&amp;E234,INDEX(KdoCodeTab,MATCH(E234,KdoWertTab,0)))),"StatusAbfr "&amp;D234))</f>
        <v>MarkWdh</v>
      </c>
      <c r="G234" t="str">
        <f t="shared" si="27"/>
        <v/>
      </c>
      <c r="H234" t="str">
        <f t="shared" si="28"/>
        <v>MarkWdh</v>
      </c>
      <c r="I234" t="str">
        <f t="shared" si="29"/>
        <v/>
      </c>
    </row>
    <row r="235" spans="1:9" x14ac:dyDescent="0.25">
      <c r="A235" t="s">
        <v>1229</v>
      </c>
      <c r="B235" s="6">
        <f t="shared" si="23"/>
        <v>4.9855</v>
      </c>
      <c r="C235" s="3">
        <f t="shared" si="24"/>
        <v>31</v>
      </c>
      <c r="D235" s="3" t="str">
        <f t="shared" si="25"/>
        <v/>
      </c>
      <c r="E235" s="3">
        <f t="shared" si="26"/>
        <v>147</v>
      </c>
      <c r="F235" s="5" t="str">
        <f>IF(C235=0,"Broadcast",IF(D235="",IF(E235="","",IF(E235&lt;128,"Verbind "&amp;E235,INDEX(KdoCodeTab,MATCH(E235,KdoWertTab,0)))),"StatusAbfr "&amp;D235))</f>
        <v>Space</v>
      </c>
      <c r="G235" t="str">
        <f t="shared" si="27"/>
        <v/>
      </c>
      <c r="H235" t="str">
        <f t="shared" si="28"/>
        <v>Space</v>
      </c>
      <c r="I235" t="str">
        <f t="shared" si="29"/>
        <v/>
      </c>
    </row>
    <row r="236" spans="1:9" x14ac:dyDescent="0.25">
      <c r="A236" t="s">
        <v>1230</v>
      </c>
      <c r="B236" s="6">
        <f t="shared" si="23"/>
        <v>4.9914999999999994</v>
      </c>
      <c r="C236" s="3">
        <f t="shared" si="24"/>
        <v>31</v>
      </c>
      <c r="D236" s="3" t="str">
        <f t="shared" si="25"/>
        <v/>
      </c>
      <c r="E236" s="3">
        <f t="shared" si="26"/>
        <v>150</v>
      </c>
      <c r="F236" s="5" t="str">
        <f>IF(C236=0,"Broadcast",IF(D236="",IF(E236="","",IF(E236&lt;128,"Verbind "&amp;E236,INDEX(KdoCodeTab,MATCH(E236,KdoWertTab,0)))),"StatusAbfr "&amp;D236))</f>
        <v>SpaceWdh</v>
      </c>
      <c r="G236" t="str">
        <f t="shared" si="27"/>
        <v/>
      </c>
      <c r="H236" t="str">
        <f t="shared" si="28"/>
        <v>SpaceWdh</v>
      </c>
      <c r="I236" t="str">
        <f t="shared" si="29"/>
        <v/>
      </c>
    </row>
    <row r="237" spans="1:9" x14ac:dyDescent="0.25">
      <c r="A237" t="s">
        <v>1231</v>
      </c>
      <c r="B237" s="6">
        <f t="shared" si="23"/>
        <v>5.0056666666666665</v>
      </c>
      <c r="C237" s="3">
        <f t="shared" si="24"/>
        <v>31</v>
      </c>
      <c r="D237" s="3" t="str">
        <f t="shared" si="25"/>
        <v/>
      </c>
      <c r="E237" s="3">
        <f t="shared" si="26"/>
        <v>156</v>
      </c>
      <c r="F237" s="5" t="str">
        <f>IF(C237=0,"Broadcast",IF(D237="",IF(E237="","",IF(E237&lt;128,"Verbind "&amp;E237,INDEX(KdoCodeTab,MATCH(E237,KdoWertTab,0)))),"StatusAbfr "&amp;D237))</f>
        <v>Mark</v>
      </c>
      <c r="G237" t="str">
        <f t="shared" si="27"/>
        <v/>
      </c>
      <c r="H237" t="str">
        <f t="shared" si="28"/>
        <v>Mark</v>
      </c>
      <c r="I237" t="str">
        <f t="shared" si="29"/>
        <v/>
      </c>
    </row>
    <row r="238" spans="1:9" x14ac:dyDescent="0.25">
      <c r="A238" t="s">
        <v>1232</v>
      </c>
      <c r="B238" s="6">
        <f t="shared" si="23"/>
        <v>5.0116666666666667</v>
      </c>
      <c r="C238" s="3">
        <f t="shared" si="24"/>
        <v>31</v>
      </c>
      <c r="D238" s="3" t="str">
        <f t="shared" si="25"/>
        <v/>
      </c>
      <c r="E238" s="3">
        <f t="shared" si="26"/>
        <v>154</v>
      </c>
      <c r="F238" s="5" t="str">
        <f>IF(C238=0,"Broadcast",IF(D238="",IF(E238="","",IF(E238&lt;128,"Verbind "&amp;E238,INDEX(KdoCodeTab,MATCH(E238,KdoWertTab,0)))),"StatusAbfr "&amp;D238))</f>
        <v>MarkWdh</v>
      </c>
      <c r="G238" t="str">
        <f t="shared" si="27"/>
        <v/>
      </c>
      <c r="H238" t="str">
        <f t="shared" si="28"/>
        <v>MarkWdh</v>
      </c>
      <c r="I238" t="str">
        <f t="shared" si="29"/>
        <v/>
      </c>
    </row>
    <row r="239" spans="1:9" x14ac:dyDescent="0.25">
      <c r="A239" t="s">
        <v>1233</v>
      </c>
      <c r="B239" s="6">
        <f t="shared" si="23"/>
        <v>5.0358333333333336</v>
      </c>
      <c r="C239" s="3">
        <f t="shared" si="24"/>
        <v>31</v>
      </c>
      <c r="D239" s="3" t="str">
        <f t="shared" si="25"/>
        <v/>
      </c>
      <c r="E239" s="3">
        <f t="shared" si="26"/>
        <v>147</v>
      </c>
      <c r="F239" s="5" t="str">
        <f>IF(C239=0,"Broadcast",IF(D239="",IF(E239="","",IF(E239&lt;128,"Verbind "&amp;E239,INDEX(KdoCodeTab,MATCH(E239,KdoWertTab,0)))),"StatusAbfr "&amp;D239))</f>
        <v>Space</v>
      </c>
      <c r="G239" t="str">
        <f t="shared" si="27"/>
        <v/>
      </c>
      <c r="H239" t="str">
        <f t="shared" si="28"/>
        <v>Space</v>
      </c>
      <c r="I239" t="str">
        <f t="shared" si="29"/>
        <v/>
      </c>
    </row>
    <row r="240" spans="1:9" x14ac:dyDescent="0.25">
      <c r="A240" t="s">
        <v>1234</v>
      </c>
      <c r="B240" s="6">
        <f t="shared" si="23"/>
        <v>5.0418333333333338</v>
      </c>
      <c r="C240" s="3">
        <f t="shared" si="24"/>
        <v>31</v>
      </c>
      <c r="D240" s="3" t="str">
        <f t="shared" si="25"/>
        <v/>
      </c>
      <c r="E240" s="3">
        <f t="shared" si="26"/>
        <v>150</v>
      </c>
      <c r="F240" s="5" t="str">
        <f>IF(C240=0,"Broadcast",IF(D240="",IF(E240="","",IF(E240&lt;128,"Verbind "&amp;E240,INDEX(KdoCodeTab,MATCH(E240,KdoWertTab,0)))),"StatusAbfr "&amp;D240))</f>
        <v>SpaceWdh</v>
      </c>
      <c r="G240" t="str">
        <f t="shared" si="27"/>
        <v/>
      </c>
      <c r="H240" t="str">
        <f t="shared" si="28"/>
        <v>SpaceWdh</v>
      </c>
      <c r="I240" t="str">
        <f t="shared" si="29"/>
        <v/>
      </c>
    </row>
    <row r="241" spans="1:9" x14ac:dyDescent="0.25">
      <c r="A241" t="s">
        <v>1235</v>
      </c>
      <c r="B241" s="6">
        <f t="shared" si="23"/>
        <v>5.0761666666666665</v>
      </c>
      <c r="C241" s="3">
        <f t="shared" si="24"/>
        <v>31</v>
      </c>
      <c r="D241" s="3" t="str">
        <f t="shared" si="25"/>
        <v/>
      </c>
      <c r="E241" s="3">
        <f t="shared" si="26"/>
        <v>156</v>
      </c>
      <c r="F241" s="5" t="str">
        <f>IF(C241=0,"Broadcast",IF(D241="",IF(E241="","",IF(E241&lt;128,"Verbind "&amp;E241,INDEX(KdoCodeTab,MATCH(E241,KdoWertTab,0)))),"StatusAbfr "&amp;D241))</f>
        <v>Mark</v>
      </c>
      <c r="G241" t="str">
        <f t="shared" si="27"/>
        <v/>
      </c>
      <c r="H241" t="str">
        <f t="shared" si="28"/>
        <v>Mark</v>
      </c>
      <c r="I241" t="str">
        <f t="shared" si="29"/>
        <v/>
      </c>
    </row>
    <row r="242" spans="1:9" x14ac:dyDescent="0.25">
      <c r="A242" t="s">
        <v>1236</v>
      </c>
      <c r="B242" s="6">
        <f t="shared" si="23"/>
        <v>5.0821666666666667</v>
      </c>
      <c r="C242" s="3">
        <f t="shared" si="24"/>
        <v>31</v>
      </c>
      <c r="D242" s="3" t="str">
        <f t="shared" si="25"/>
        <v/>
      </c>
      <c r="E242" s="3">
        <f t="shared" si="26"/>
        <v>154</v>
      </c>
      <c r="F242" s="5" t="str">
        <f>IF(C242=0,"Broadcast",IF(D242="",IF(E242="","",IF(E242&lt;128,"Verbind "&amp;E242,INDEX(KdoCodeTab,MATCH(E242,KdoWertTab,0)))),"StatusAbfr "&amp;D242))</f>
        <v>MarkWdh</v>
      </c>
      <c r="G242" t="str">
        <f t="shared" si="27"/>
        <v/>
      </c>
      <c r="H242" t="str">
        <f t="shared" si="28"/>
        <v>MarkWdh</v>
      </c>
      <c r="I242" t="str">
        <f t="shared" si="29"/>
        <v/>
      </c>
    </row>
    <row r="243" spans="1:9" x14ac:dyDescent="0.25">
      <c r="A243" t="s">
        <v>1237</v>
      </c>
      <c r="B243" s="6">
        <f t="shared" si="23"/>
        <v>5.0963333333333338</v>
      </c>
      <c r="C243" s="3">
        <f t="shared" si="24"/>
        <v>31</v>
      </c>
      <c r="D243" s="3" t="str">
        <f t="shared" si="25"/>
        <v/>
      </c>
      <c r="E243" s="3">
        <f t="shared" si="26"/>
        <v>147</v>
      </c>
      <c r="F243" s="5" t="str">
        <f>IF(C243=0,"Broadcast",IF(D243="",IF(E243="","",IF(E243&lt;128,"Verbind "&amp;E243,INDEX(KdoCodeTab,MATCH(E243,KdoWertTab,0)))),"StatusAbfr "&amp;D243))</f>
        <v>Space</v>
      </c>
      <c r="G243" t="str">
        <f t="shared" si="27"/>
        <v/>
      </c>
      <c r="H243" t="str">
        <f t="shared" si="28"/>
        <v>Space</v>
      </c>
      <c r="I243" t="str">
        <f t="shared" si="29"/>
        <v/>
      </c>
    </row>
    <row r="244" spans="1:9" x14ac:dyDescent="0.25">
      <c r="A244" t="s">
        <v>1238</v>
      </c>
      <c r="B244" s="6">
        <f t="shared" si="23"/>
        <v>5.1023333333333341</v>
      </c>
      <c r="C244" s="3">
        <f t="shared" si="24"/>
        <v>31</v>
      </c>
      <c r="D244" s="3" t="str">
        <f t="shared" si="25"/>
        <v/>
      </c>
      <c r="E244" s="3">
        <f t="shared" si="26"/>
        <v>150</v>
      </c>
      <c r="F244" s="5" t="str">
        <f>IF(C244=0,"Broadcast",IF(D244="",IF(E244="","",IF(E244&lt;128,"Verbind "&amp;E244,INDEX(KdoCodeTab,MATCH(E244,KdoWertTab,0)))),"StatusAbfr "&amp;D244))</f>
        <v>SpaceWdh</v>
      </c>
      <c r="G244" t="str">
        <f t="shared" si="27"/>
        <v/>
      </c>
      <c r="H244" t="str">
        <f t="shared" si="28"/>
        <v>SpaceWdh</v>
      </c>
      <c r="I244" t="str">
        <f t="shared" si="29"/>
        <v/>
      </c>
    </row>
    <row r="245" spans="1:9" x14ac:dyDescent="0.25">
      <c r="A245" t="s">
        <v>1239</v>
      </c>
      <c r="B245" s="6">
        <f t="shared" si="23"/>
        <v>5.1568333333333332</v>
      </c>
      <c r="C245" s="3">
        <f t="shared" si="24"/>
        <v>31</v>
      </c>
      <c r="D245" s="3" t="str">
        <f t="shared" si="25"/>
        <v/>
      </c>
      <c r="E245" s="3">
        <f t="shared" si="26"/>
        <v>156</v>
      </c>
      <c r="F245" s="5" t="str">
        <f>IF(C245=0,"Broadcast",IF(D245="",IF(E245="","",IF(E245&lt;128,"Verbind "&amp;E245,INDEX(KdoCodeTab,MATCH(E245,KdoWertTab,0)))),"StatusAbfr "&amp;D245))</f>
        <v>Mark</v>
      </c>
      <c r="G245" t="str">
        <f t="shared" si="27"/>
        <v/>
      </c>
      <c r="H245" t="str">
        <f t="shared" si="28"/>
        <v>Mark</v>
      </c>
      <c r="I245" t="str">
        <f t="shared" si="29"/>
        <v/>
      </c>
    </row>
    <row r="246" spans="1:9" x14ac:dyDescent="0.25">
      <c r="A246" t="s">
        <v>1240</v>
      </c>
      <c r="B246" s="6">
        <f t="shared" si="23"/>
        <v>5.1628333333333334</v>
      </c>
      <c r="C246" s="3">
        <f t="shared" si="24"/>
        <v>31</v>
      </c>
      <c r="D246" s="3" t="str">
        <f t="shared" si="25"/>
        <v/>
      </c>
      <c r="E246" s="3">
        <f t="shared" si="26"/>
        <v>154</v>
      </c>
      <c r="F246" s="5" t="str">
        <f>IF(C246=0,"Broadcast",IF(D246="",IF(E246="","",IF(E246&lt;128,"Verbind "&amp;E246,INDEX(KdoCodeTab,MATCH(E246,KdoWertTab,0)))),"StatusAbfr "&amp;D246))</f>
        <v>MarkWdh</v>
      </c>
      <c r="G246" t="str">
        <f t="shared" si="27"/>
        <v/>
      </c>
      <c r="H246" t="str">
        <f t="shared" si="28"/>
        <v>MarkWdh</v>
      </c>
      <c r="I246" t="str">
        <f t="shared" si="29"/>
        <v/>
      </c>
    </row>
    <row r="247" spans="1:9" x14ac:dyDescent="0.25">
      <c r="A247" t="s">
        <v>1241</v>
      </c>
      <c r="B247" s="6">
        <f t="shared" si="23"/>
        <v>5.2240000000000002</v>
      </c>
      <c r="C247" s="3">
        <f t="shared" si="24"/>
        <v>101</v>
      </c>
      <c r="D247" s="3" t="str">
        <f t="shared" si="25"/>
        <v/>
      </c>
      <c r="E247" s="3">
        <f t="shared" si="26"/>
        <v>169</v>
      </c>
      <c r="F247" s="5" t="str">
        <f>IF(C247=0,"Broadcast",IF(D247="",IF(E247="","",IF(E247&lt;128,"Verbind "&amp;E247,INDEX(KdoCodeTab,MATCH(E247,KdoWertTab,0)))),"StatusAbfr "&amp;D247))</f>
        <v>BusLebenszeichen</v>
      </c>
      <c r="G247" t="str">
        <f t="shared" si="27"/>
        <v>BusLebenszeichen</v>
      </c>
      <c r="H247" t="str">
        <f t="shared" si="28"/>
        <v/>
      </c>
      <c r="I247" t="str">
        <f t="shared" si="29"/>
        <v/>
      </c>
    </row>
    <row r="248" spans="1:9" x14ac:dyDescent="0.25">
      <c r="A248" t="s">
        <v>1242</v>
      </c>
      <c r="B248" s="6">
        <f t="shared" si="23"/>
        <v>5.6688333333333336</v>
      </c>
      <c r="C248" s="3">
        <f t="shared" si="24"/>
        <v>31</v>
      </c>
      <c r="D248" s="3" t="str">
        <f t="shared" si="25"/>
        <v/>
      </c>
      <c r="E248" s="3">
        <f t="shared" si="26"/>
        <v>154</v>
      </c>
      <c r="F248" s="5" t="str">
        <f>IF(C248=0,"Broadcast",IF(D248="",IF(E248="","",IF(E248&lt;128,"Verbind "&amp;E248,INDEX(KdoCodeTab,MATCH(E248,KdoWertTab,0)))),"StatusAbfr "&amp;D248))</f>
        <v>MarkWdh</v>
      </c>
      <c r="G248" t="str">
        <f t="shared" si="27"/>
        <v/>
      </c>
      <c r="H248" t="str">
        <f t="shared" si="28"/>
        <v>MarkWdh</v>
      </c>
      <c r="I248" t="str">
        <f t="shared" si="29"/>
        <v/>
      </c>
    </row>
    <row r="249" spans="1:9" x14ac:dyDescent="0.25">
      <c r="A249" t="s">
        <v>1243</v>
      </c>
      <c r="B249" s="6">
        <f t="shared" si="23"/>
        <v>5.9059999999999997</v>
      </c>
      <c r="C249" s="3">
        <f t="shared" si="24"/>
        <v>101</v>
      </c>
      <c r="D249" s="3" t="str">
        <f t="shared" si="25"/>
        <v/>
      </c>
      <c r="E249" s="3">
        <f t="shared" si="26"/>
        <v>169</v>
      </c>
      <c r="F249" s="5" t="str">
        <f>IF(C249=0,"Broadcast",IF(D249="",IF(E249="","",IF(E249&lt;128,"Verbind "&amp;E249,INDEX(KdoCodeTab,MATCH(E249,KdoWertTab,0)))),"StatusAbfr "&amp;D249))</f>
        <v>BusLebenszeichen</v>
      </c>
      <c r="G249" t="str">
        <f t="shared" si="27"/>
        <v>BusLebenszeichen</v>
      </c>
      <c r="H249" t="str">
        <f t="shared" si="28"/>
        <v/>
      </c>
      <c r="I249" t="str">
        <f t="shared" si="29"/>
        <v/>
      </c>
    </row>
    <row r="250" spans="1:9" x14ac:dyDescent="0.25">
      <c r="A250" t="s">
        <v>1244</v>
      </c>
      <c r="B250" s="6">
        <f t="shared" si="23"/>
        <v>6.1748333333333338</v>
      </c>
      <c r="C250" s="3">
        <f t="shared" si="24"/>
        <v>31</v>
      </c>
      <c r="D250" s="3" t="str">
        <f t="shared" si="25"/>
        <v/>
      </c>
      <c r="E250" s="3">
        <f t="shared" si="26"/>
        <v>154</v>
      </c>
      <c r="F250" s="5" t="str">
        <f>IF(C250=0,"Broadcast",IF(D250="",IF(E250="","",IF(E250&lt;128,"Verbind "&amp;E250,INDEX(KdoCodeTab,MATCH(E250,KdoWertTab,0)))),"StatusAbfr "&amp;D250))</f>
        <v>MarkWdh</v>
      </c>
      <c r="G250" t="str">
        <f t="shared" si="27"/>
        <v/>
      </c>
      <c r="H250" t="str">
        <f t="shared" si="28"/>
        <v>MarkWdh</v>
      </c>
      <c r="I250" t="str">
        <f t="shared" si="29"/>
        <v/>
      </c>
    </row>
    <row r="251" spans="1:9" x14ac:dyDescent="0.25">
      <c r="A251" t="s">
        <v>1245</v>
      </c>
      <c r="B251" s="6">
        <f t="shared" si="23"/>
        <v>6.5878333333333332</v>
      </c>
      <c r="C251" s="3">
        <f t="shared" si="24"/>
        <v>101</v>
      </c>
      <c r="D251" s="3" t="str">
        <f t="shared" si="25"/>
        <v/>
      </c>
      <c r="E251" s="3">
        <f t="shared" si="26"/>
        <v>169</v>
      </c>
      <c r="F251" s="5" t="str">
        <f>IF(C251=0,"Broadcast",IF(D251="",IF(E251="","",IF(E251&lt;128,"Verbind "&amp;E251,INDEX(KdoCodeTab,MATCH(E251,KdoWertTab,0)))),"StatusAbfr "&amp;D251))</f>
        <v>BusLebenszeichen</v>
      </c>
      <c r="G251" t="str">
        <f t="shared" si="27"/>
        <v>BusLebenszeichen</v>
      </c>
      <c r="H251" t="str">
        <f t="shared" si="28"/>
        <v/>
      </c>
      <c r="I251" t="str">
        <f t="shared" si="29"/>
        <v/>
      </c>
    </row>
    <row r="252" spans="1:9" x14ac:dyDescent="0.25">
      <c r="A252" t="s">
        <v>1246</v>
      </c>
      <c r="B252" s="6">
        <f t="shared" si="23"/>
        <v>6.6808333333333332</v>
      </c>
      <c r="C252" s="3">
        <f t="shared" si="24"/>
        <v>31</v>
      </c>
      <c r="D252" s="3" t="str">
        <f t="shared" si="25"/>
        <v/>
      </c>
      <c r="E252" s="3">
        <f t="shared" si="26"/>
        <v>154</v>
      </c>
      <c r="F252" s="5" t="str">
        <f>IF(C252=0,"Broadcast",IF(D252="",IF(E252="","",IF(E252&lt;128,"Verbind "&amp;E252,INDEX(KdoCodeTab,MATCH(E252,KdoWertTab,0)))),"StatusAbfr "&amp;D252))</f>
        <v>MarkWdh</v>
      </c>
      <c r="G252" t="str">
        <f t="shared" si="27"/>
        <v/>
      </c>
      <c r="H252" t="str">
        <f t="shared" si="28"/>
        <v>MarkWdh</v>
      </c>
      <c r="I252" t="str">
        <f t="shared" si="29"/>
        <v/>
      </c>
    </row>
    <row r="253" spans="1:9" x14ac:dyDescent="0.25">
      <c r="A253" t="s">
        <v>1247</v>
      </c>
      <c r="B253" s="6">
        <f t="shared" si="23"/>
        <v>7.1868333333333334</v>
      </c>
      <c r="C253" s="3">
        <f t="shared" si="24"/>
        <v>31</v>
      </c>
      <c r="D253" s="3" t="str">
        <f t="shared" si="25"/>
        <v/>
      </c>
      <c r="E253" s="3">
        <f t="shared" si="26"/>
        <v>154</v>
      </c>
      <c r="F253" s="5" t="str">
        <f>IF(C253=0,"Broadcast",IF(D253="",IF(E253="","",IF(E253&lt;128,"Verbind "&amp;E253,INDEX(KdoCodeTab,MATCH(E253,KdoWertTab,0)))),"StatusAbfr "&amp;D253))</f>
        <v>MarkWdh</v>
      </c>
      <c r="G253" t="str">
        <f t="shared" si="27"/>
        <v/>
      </c>
      <c r="H253" t="str">
        <f t="shared" si="28"/>
        <v>MarkWdh</v>
      </c>
      <c r="I253" t="str">
        <f t="shared" si="29"/>
        <v/>
      </c>
    </row>
    <row r="254" spans="1:9" x14ac:dyDescent="0.25">
      <c r="A254" t="s">
        <v>1248</v>
      </c>
      <c r="B254" s="6">
        <f t="shared" si="23"/>
        <v>7.2698333333333336</v>
      </c>
      <c r="C254" s="3">
        <f t="shared" si="24"/>
        <v>101</v>
      </c>
      <c r="D254" s="3" t="str">
        <f t="shared" si="25"/>
        <v/>
      </c>
      <c r="E254" s="3">
        <f t="shared" si="26"/>
        <v>169</v>
      </c>
      <c r="F254" s="5" t="str">
        <f>IF(C254=0,"Broadcast",IF(D254="",IF(E254="","",IF(E254&lt;128,"Verbind "&amp;E254,INDEX(KdoCodeTab,MATCH(E254,KdoWertTab,0)))),"StatusAbfr "&amp;D254))</f>
        <v>BusLebenszeichen</v>
      </c>
      <c r="G254" t="str">
        <f t="shared" si="27"/>
        <v>BusLebenszeichen</v>
      </c>
      <c r="H254" t="str">
        <f t="shared" si="28"/>
        <v/>
      </c>
      <c r="I254" t="str">
        <f t="shared" si="29"/>
        <v/>
      </c>
    </row>
    <row r="255" spans="1:9" x14ac:dyDescent="0.25">
      <c r="A255" t="s">
        <v>1249</v>
      </c>
      <c r="B255" s="6">
        <f t="shared" si="23"/>
        <v>7.6163333333333334</v>
      </c>
      <c r="C255" s="3">
        <f t="shared" si="24"/>
        <v>101</v>
      </c>
      <c r="D255" s="3" t="str">
        <f t="shared" si="25"/>
        <v/>
      </c>
      <c r="E255" s="3">
        <f t="shared" si="26"/>
        <v>147</v>
      </c>
      <c r="F255" s="5" t="str">
        <f>IF(C255=0,"Broadcast",IF(D255="",IF(E255="","",IF(E255&lt;128,"Verbind "&amp;E255,INDEX(KdoCodeTab,MATCH(E255,KdoWertTab,0)))),"StatusAbfr "&amp;D255))</f>
        <v>Space</v>
      </c>
      <c r="G255" t="str">
        <f t="shared" si="27"/>
        <v>Space</v>
      </c>
      <c r="H255" t="str">
        <f t="shared" si="28"/>
        <v/>
      </c>
      <c r="I255" t="str">
        <f t="shared" si="29"/>
        <v/>
      </c>
    </row>
    <row r="256" spans="1:9" x14ac:dyDescent="0.25">
      <c r="A256" t="s">
        <v>1250</v>
      </c>
      <c r="B256" s="6">
        <f t="shared" si="23"/>
        <v>7.6173333333333337</v>
      </c>
      <c r="C256" s="3">
        <f t="shared" si="24"/>
        <v>101</v>
      </c>
      <c r="D256" s="3" t="str">
        <f t="shared" si="25"/>
        <v/>
      </c>
      <c r="E256" s="3">
        <f t="shared" si="26"/>
        <v>150</v>
      </c>
      <c r="F256" s="5" t="str">
        <f>IF(C256=0,"Broadcast",IF(D256="",IF(E256="","",IF(E256&lt;128,"Verbind "&amp;E256,INDEX(KdoCodeTab,MATCH(E256,KdoWertTab,0)))),"StatusAbfr "&amp;D256))</f>
        <v>SpaceWdh</v>
      </c>
      <c r="G256" t="str">
        <f t="shared" si="27"/>
        <v>SpaceWdh</v>
      </c>
      <c r="H256" t="str">
        <f t="shared" si="28"/>
        <v/>
      </c>
      <c r="I256" t="str">
        <f t="shared" si="29"/>
        <v/>
      </c>
    </row>
    <row r="257" spans="1:9" x14ac:dyDescent="0.25">
      <c r="A257" t="s">
        <v>1251</v>
      </c>
      <c r="B257" s="6">
        <f t="shared" si="23"/>
        <v>7.6364999999999998</v>
      </c>
      <c r="C257" s="3">
        <f t="shared" si="24"/>
        <v>101</v>
      </c>
      <c r="D257" s="3" t="str">
        <f t="shared" si="25"/>
        <v/>
      </c>
      <c r="E257" s="3">
        <f t="shared" si="26"/>
        <v>156</v>
      </c>
      <c r="F257" s="5" t="str">
        <f>IF(C257=0,"Broadcast",IF(D257="",IF(E257="","",IF(E257&lt;128,"Verbind "&amp;E257,INDEX(KdoCodeTab,MATCH(E257,KdoWertTab,0)))),"StatusAbfr "&amp;D257))</f>
        <v>Mark</v>
      </c>
      <c r="G257" t="str">
        <f t="shared" si="27"/>
        <v>Mark</v>
      </c>
      <c r="H257" t="str">
        <f t="shared" si="28"/>
        <v/>
      </c>
      <c r="I257" t="str">
        <f t="shared" si="29"/>
        <v/>
      </c>
    </row>
    <row r="258" spans="1:9" x14ac:dyDescent="0.25">
      <c r="A258" t="s">
        <v>1252</v>
      </c>
      <c r="B258" s="6">
        <f t="shared" si="23"/>
        <v>7.6374999999999993</v>
      </c>
      <c r="C258" s="3">
        <f t="shared" si="24"/>
        <v>101</v>
      </c>
      <c r="D258" s="3" t="str">
        <f t="shared" si="25"/>
        <v/>
      </c>
      <c r="E258" s="3">
        <f t="shared" si="26"/>
        <v>154</v>
      </c>
      <c r="F258" s="5" t="str">
        <f>IF(C258=0,"Broadcast",IF(D258="",IF(E258="","",IF(E258&lt;128,"Verbind "&amp;E258,INDEX(KdoCodeTab,MATCH(E258,KdoWertTab,0)))),"StatusAbfr "&amp;D258))</f>
        <v>MarkWdh</v>
      </c>
      <c r="G258" t="str">
        <f t="shared" si="27"/>
        <v>MarkWdh</v>
      </c>
      <c r="H258" t="str">
        <f t="shared" si="28"/>
        <v/>
      </c>
      <c r="I258" t="str">
        <f t="shared" si="29"/>
        <v/>
      </c>
    </row>
    <row r="259" spans="1:9" x14ac:dyDescent="0.25">
      <c r="A259" t="s">
        <v>1253</v>
      </c>
      <c r="B259" s="6">
        <f t="shared" si="23"/>
        <v>7.676166666666667</v>
      </c>
      <c r="C259" s="3">
        <f t="shared" si="24"/>
        <v>101</v>
      </c>
      <c r="D259" s="3" t="str">
        <f t="shared" si="25"/>
        <v/>
      </c>
      <c r="E259" s="3">
        <f t="shared" si="26"/>
        <v>147</v>
      </c>
      <c r="F259" s="5" t="str">
        <f>IF(C259=0,"Broadcast",IF(D259="",IF(E259="","",IF(E259&lt;128,"Verbind "&amp;E259,INDEX(KdoCodeTab,MATCH(E259,KdoWertTab,0)))),"StatusAbfr "&amp;D259))</f>
        <v>Space</v>
      </c>
      <c r="G259" t="str">
        <f t="shared" si="27"/>
        <v>Space</v>
      </c>
      <c r="H259" t="str">
        <f t="shared" si="28"/>
        <v/>
      </c>
      <c r="I259" t="str">
        <f t="shared" si="29"/>
        <v/>
      </c>
    </row>
    <row r="260" spans="1:9" x14ac:dyDescent="0.25">
      <c r="A260" t="s">
        <v>1254</v>
      </c>
      <c r="B260" s="6">
        <f t="shared" si="23"/>
        <v>7.6769999999999996</v>
      </c>
      <c r="C260" s="3">
        <f t="shared" si="24"/>
        <v>101</v>
      </c>
      <c r="D260" s="3" t="str">
        <f t="shared" si="25"/>
        <v/>
      </c>
      <c r="E260" s="3">
        <f t="shared" si="26"/>
        <v>150</v>
      </c>
      <c r="F260" s="5" t="str">
        <f>IF(C260=0,"Broadcast",IF(D260="",IF(E260="","",IF(E260&lt;128,"Verbind "&amp;E260,INDEX(KdoCodeTab,MATCH(E260,KdoWertTab,0)))),"StatusAbfr "&amp;D260))</f>
        <v>SpaceWdh</v>
      </c>
      <c r="G260" t="str">
        <f t="shared" si="27"/>
        <v>SpaceWdh</v>
      </c>
      <c r="H260" t="str">
        <f t="shared" si="28"/>
        <v/>
      </c>
      <c r="I260" t="str">
        <f t="shared" si="29"/>
        <v/>
      </c>
    </row>
    <row r="261" spans="1:9" x14ac:dyDescent="0.25">
      <c r="A261" t="s">
        <v>1255</v>
      </c>
      <c r="B261" s="6">
        <f t="shared" ref="B261:B324" si="30">MID(A261,1,5)/1000+(CODE(MID(A261,6,1))-CODE("a"))/6000</f>
        <v>7.6929999999999996</v>
      </c>
      <c r="C261" s="3">
        <f t="shared" ref="C261:C324" si="31">INT(HEX2DEC(MID(A261,8,2))/2)</f>
        <v>31</v>
      </c>
      <c r="D261" s="3" t="str">
        <f t="shared" ref="D261:D324" si="32">IF(MID(A261,10,1)="&lt;",MID(A261,12,2),"")</f>
        <v/>
      </c>
      <c r="E261" s="3">
        <f t="shared" ref="E261:E324" si="33">IF(MID(A261,10,1)="&gt;",HEX2DEC(MID(A261,12,2)),"")</f>
        <v>154</v>
      </c>
      <c r="F261" s="5" t="str">
        <f>IF(C261=0,"Broadcast",IF(D261="",IF(E261="","",IF(E261&lt;128,"Verbind "&amp;E261,INDEX(KdoCodeTab,MATCH(E261,KdoWertTab,0)))),"StatusAbfr "&amp;D261))</f>
        <v>MarkWdh</v>
      </c>
      <c r="G261" t="str">
        <f t="shared" ref="G261:G324" si="34">IF(C261=$G$2,F261,"")</f>
        <v/>
      </c>
      <c r="H261" t="str">
        <f t="shared" ref="H261:H324" si="35">IF(C261=$H$2,F261,"")</f>
        <v>MarkWdh</v>
      </c>
      <c r="I261" t="str">
        <f t="shared" ref="I261:I324" si="36">IF(G261&amp;H261="",F261,"")</f>
        <v/>
      </c>
    </row>
    <row r="262" spans="1:9" x14ac:dyDescent="0.25">
      <c r="A262" t="s">
        <v>1256</v>
      </c>
      <c r="B262" s="6">
        <f t="shared" si="30"/>
        <v>7.6963333333333335</v>
      </c>
      <c r="C262" s="3">
        <f t="shared" si="31"/>
        <v>101</v>
      </c>
      <c r="D262" s="3" t="str">
        <f t="shared" si="32"/>
        <v/>
      </c>
      <c r="E262" s="3">
        <f t="shared" si="33"/>
        <v>156</v>
      </c>
      <c r="F262" s="5" t="str">
        <f>IF(C262=0,"Broadcast",IF(D262="",IF(E262="","",IF(E262&lt;128,"Verbind "&amp;E262,INDEX(KdoCodeTab,MATCH(E262,KdoWertTab,0)))),"StatusAbfr "&amp;D262))</f>
        <v>Mark</v>
      </c>
      <c r="G262" t="str">
        <f t="shared" si="34"/>
        <v>Mark</v>
      </c>
      <c r="H262" t="str">
        <f t="shared" si="35"/>
        <v/>
      </c>
      <c r="I262" t="str">
        <f t="shared" si="36"/>
        <v/>
      </c>
    </row>
    <row r="263" spans="1:9" x14ac:dyDescent="0.25">
      <c r="A263" t="s">
        <v>1257</v>
      </c>
      <c r="B263" s="6">
        <f t="shared" si="30"/>
        <v>7.6971666666666669</v>
      </c>
      <c r="C263" s="3">
        <f t="shared" si="31"/>
        <v>101</v>
      </c>
      <c r="D263" s="3" t="str">
        <f t="shared" si="32"/>
        <v/>
      </c>
      <c r="E263" s="3">
        <f t="shared" si="33"/>
        <v>154</v>
      </c>
      <c r="F263" s="5" t="str">
        <f>IF(C263=0,"Broadcast",IF(D263="",IF(E263="","",IF(E263&lt;128,"Verbind "&amp;E263,INDEX(KdoCodeTab,MATCH(E263,KdoWertTab,0)))),"StatusAbfr "&amp;D263))</f>
        <v>MarkWdh</v>
      </c>
      <c r="G263" t="str">
        <f t="shared" si="34"/>
        <v>MarkWdh</v>
      </c>
      <c r="H263" t="str">
        <f t="shared" si="35"/>
        <v/>
      </c>
      <c r="I263" t="str">
        <f t="shared" si="36"/>
        <v/>
      </c>
    </row>
    <row r="264" spans="1:9" x14ac:dyDescent="0.25">
      <c r="A264" t="s">
        <v>1258</v>
      </c>
      <c r="B264" s="6">
        <f t="shared" si="30"/>
        <v>7.7658333333333331</v>
      </c>
      <c r="C264" s="3">
        <f t="shared" si="31"/>
        <v>101</v>
      </c>
      <c r="D264" s="3" t="str">
        <f t="shared" si="32"/>
        <v/>
      </c>
      <c r="E264" s="3">
        <f t="shared" si="33"/>
        <v>147</v>
      </c>
      <c r="F264" s="5" t="str">
        <f>IF(C264=0,"Broadcast",IF(D264="",IF(E264="","",IF(E264&lt;128,"Verbind "&amp;E264,INDEX(KdoCodeTab,MATCH(E264,KdoWertTab,0)))),"StatusAbfr "&amp;D264))</f>
        <v>Space</v>
      </c>
      <c r="G264" t="str">
        <f t="shared" si="34"/>
        <v>Space</v>
      </c>
      <c r="H264" t="str">
        <f t="shared" si="35"/>
        <v/>
      </c>
      <c r="I264" t="str">
        <f t="shared" si="36"/>
        <v/>
      </c>
    </row>
    <row r="265" spans="1:9" x14ac:dyDescent="0.25">
      <c r="A265" t="s">
        <v>1259</v>
      </c>
      <c r="B265" s="6">
        <f t="shared" si="30"/>
        <v>7.7668333333333335</v>
      </c>
      <c r="C265" s="3">
        <f t="shared" si="31"/>
        <v>101</v>
      </c>
      <c r="D265" s="3" t="str">
        <f t="shared" si="32"/>
        <v/>
      </c>
      <c r="E265" s="3">
        <f t="shared" si="33"/>
        <v>150</v>
      </c>
      <c r="F265" s="5" t="str">
        <f>IF(C265=0,"Broadcast",IF(D265="",IF(E265="","",IF(E265&lt;128,"Verbind "&amp;E265,INDEX(KdoCodeTab,MATCH(E265,KdoWertTab,0)))),"StatusAbfr "&amp;D265))</f>
        <v>SpaceWdh</v>
      </c>
      <c r="G265" t="str">
        <f t="shared" si="34"/>
        <v>SpaceWdh</v>
      </c>
      <c r="H265" t="str">
        <f t="shared" si="35"/>
        <v/>
      </c>
      <c r="I265" t="str">
        <f t="shared" si="36"/>
        <v/>
      </c>
    </row>
    <row r="266" spans="1:9" x14ac:dyDescent="0.25">
      <c r="A266" t="s">
        <v>1260</v>
      </c>
      <c r="B266" s="6">
        <f t="shared" si="30"/>
        <v>7.7873333333333337</v>
      </c>
      <c r="C266" s="3">
        <f t="shared" si="31"/>
        <v>101</v>
      </c>
      <c r="D266" s="3" t="str">
        <f t="shared" si="32"/>
        <v/>
      </c>
      <c r="E266" s="3">
        <f t="shared" si="33"/>
        <v>156</v>
      </c>
      <c r="F266" s="5" t="str">
        <f>IF(C266=0,"Broadcast",IF(D266="",IF(E266="","",IF(E266&lt;128,"Verbind "&amp;E266,INDEX(KdoCodeTab,MATCH(E266,KdoWertTab,0)))),"StatusAbfr "&amp;D266))</f>
        <v>Mark</v>
      </c>
      <c r="G266" t="str">
        <f t="shared" si="34"/>
        <v>Mark</v>
      </c>
      <c r="H266" t="str">
        <f t="shared" si="35"/>
        <v/>
      </c>
      <c r="I266" t="str">
        <f t="shared" si="36"/>
        <v/>
      </c>
    </row>
    <row r="267" spans="1:9" x14ac:dyDescent="0.25">
      <c r="A267" t="s">
        <v>1261</v>
      </c>
      <c r="B267" s="6">
        <f t="shared" si="30"/>
        <v>7.7881666666666671</v>
      </c>
      <c r="C267" s="3">
        <f t="shared" si="31"/>
        <v>101</v>
      </c>
      <c r="D267" s="3" t="str">
        <f t="shared" si="32"/>
        <v/>
      </c>
      <c r="E267" s="3">
        <f t="shared" si="33"/>
        <v>154</v>
      </c>
      <c r="F267" s="5" t="str">
        <f>IF(C267=0,"Broadcast",IF(D267="",IF(E267="","",IF(E267&lt;128,"Verbind "&amp;E267,INDEX(KdoCodeTab,MATCH(E267,KdoWertTab,0)))),"StatusAbfr "&amp;D267))</f>
        <v>MarkWdh</v>
      </c>
      <c r="G267" t="str">
        <f t="shared" si="34"/>
        <v>MarkWdh</v>
      </c>
      <c r="H267" t="str">
        <f t="shared" si="35"/>
        <v/>
      </c>
      <c r="I267" t="str">
        <f t="shared" si="36"/>
        <v/>
      </c>
    </row>
    <row r="268" spans="1:9" x14ac:dyDescent="0.25">
      <c r="A268" t="s">
        <v>1262</v>
      </c>
      <c r="B268" s="6">
        <f t="shared" si="30"/>
        <v>7.8063333333333338</v>
      </c>
      <c r="C268" s="3">
        <f t="shared" si="31"/>
        <v>101</v>
      </c>
      <c r="D268" s="3" t="str">
        <f t="shared" si="32"/>
        <v/>
      </c>
      <c r="E268" s="3">
        <f t="shared" si="33"/>
        <v>147</v>
      </c>
      <c r="F268" s="5" t="str">
        <f>IF(C268=0,"Broadcast",IF(D268="",IF(E268="","",IF(E268&lt;128,"Verbind "&amp;E268,INDEX(KdoCodeTab,MATCH(E268,KdoWertTab,0)))),"StatusAbfr "&amp;D268))</f>
        <v>Space</v>
      </c>
      <c r="G268" t="str">
        <f t="shared" si="34"/>
        <v>Space</v>
      </c>
      <c r="H268" t="str">
        <f t="shared" si="35"/>
        <v/>
      </c>
      <c r="I268" t="str">
        <f t="shared" si="36"/>
        <v/>
      </c>
    </row>
    <row r="269" spans="1:9" x14ac:dyDescent="0.25">
      <c r="A269" t="s">
        <v>1263</v>
      </c>
      <c r="B269" s="6">
        <f t="shared" si="30"/>
        <v>7.8073333333333341</v>
      </c>
      <c r="C269" s="3">
        <f t="shared" si="31"/>
        <v>101</v>
      </c>
      <c r="D269" s="3" t="str">
        <f t="shared" si="32"/>
        <v/>
      </c>
      <c r="E269" s="3">
        <f t="shared" si="33"/>
        <v>150</v>
      </c>
      <c r="F269" s="5" t="str">
        <f>IF(C269=0,"Broadcast",IF(D269="",IF(E269="","",IF(E269&lt;128,"Verbind "&amp;E269,INDEX(KdoCodeTab,MATCH(E269,KdoWertTab,0)))),"StatusAbfr "&amp;D269))</f>
        <v>SpaceWdh</v>
      </c>
      <c r="G269" t="str">
        <f t="shared" si="34"/>
        <v>SpaceWdh</v>
      </c>
      <c r="H269" t="str">
        <f t="shared" si="35"/>
        <v/>
      </c>
      <c r="I269" t="str">
        <f t="shared" si="36"/>
        <v/>
      </c>
    </row>
    <row r="270" spans="1:9" x14ac:dyDescent="0.25">
      <c r="A270" t="s">
        <v>1264</v>
      </c>
      <c r="B270" s="6">
        <f t="shared" si="30"/>
        <v>7.8468333333333335</v>
      </c>
      <c r="C270" s="3">
        <f t="shared" si="31"/>
        <v>101</v>
      </c>
      <c r="D270" s="3" t="str">
        <f t="shared" si="32"/>
        <v/>
      </c>
      <c r="E270" s="3">
        <f t="shared" si="33"/>
        <v>156</v>
      </c>
      <c r="F270" s="5" t="str">
        <f>IF(C270=0,"Broadcast",IF(D270="",IF(E270="","",IF(E270&lt;128,"Verbind "&amp;E270,INDEX(KdoCodeTab,MATCH(E270,KdoWertTab,0)))),"StatusAbfr "&amp;D270))</f>
        <v>Mark</v>
      </c>
      <c r="G270" t="str">
        <f t="shared" si="34"/>
        <v>Mark</v>
      </c>
      <c r="H270" t="str">
        <f t="shared" si="35"/>
        <v/>
      </c>
      <c r="I270" t="str">
        <f t="shared" si="36"/>
        <v/>
      </c>
    </row>
    <row r="271" spans="1:9" x14ac:dyDescent="0.25">
      <c r="A271" t="s">
        <v>1265</v>
      </c>
      <c r="B271" s="6">
        <f t="shared" si="30"/>
        <v>7.8478333333333339</v>
      </c>
      <c r="C271" s="3">
        <f t="shared" si="31"/>
        <v>101</v>
      </c>
      <c r="D271" s="3" t="str">
        <f t="shared" si="32"/>
        <v/>
      </c>
      <c r="E271" s="3">
        <f t="shared" si="33"/>
        <v>154</v>
      </c>
      <c r="F271" s="5" t="str">
        <f>IF(C271=0,"Broadcast",IF(D271="",IF(E271="","",IF(E271&lt;128,"Verbind "&amp;E271,INDEX(KdoCodeTab,MATCH(E271,KdoWertTab,0)))),"StatusAbfr "&amp;D271))</f>
        <v>MarkWdh</v>
      </c>
      <c r="G271" t="str">
        <f t="shared" si="34"/>
        <v>MarkWdh</v>
      </c>
      <c r="H271" t="str">
        <f t="shared" si="35"/>
        <v/>
      </c>
      <c r="I271" t="str">
        <f t="shared" si="36"/>
        <v/>
      </c>
    </row>
    <row r="272" spans="1:9" x14ac:dyDescent="0.25">
      <c r="A272" t="s">
        <v>1266</v>
      </c>
      <c r="B272" s="6">
        <f t="shared" si="30"/>
        <v>7.8659999999999997</v>
      </c>
      <c r="C272" s="3">
        <f t="shared" si="31"/>
        <v>101</v>
      </c>
      <c r="D272" s="3" t="str">
        <f t="shared" si="32"/>
        <v/>
      </c>
      <c r="E272" s="3">
        <f t="shared" si="33"/>
        <v>147</v>
      </c>
      <c r="F272" s="5" t="str">
        <f>IF(C272=0,"Broadcast",IF(D272="",IF(E272="","",IF(E272&lt;128,"Verbind "&amp;E272,INDEX(KdoCodeTab,MATCH(E272,KdoWertTab,0)))),"StatusAbfr "&amp;D272))</f>
        <v>Space</v>
      </c>
      <c r="G272" t="str">
        <f t="shared" si="34"/>
        <v>Space</v>
      </c>
      <c r="H272" t="str">
        <f t="shared" si="35"/>
        <v/>
      </c>
      <c r="I272" t="str">
        <f t="shared" si="36"/>
        <v/>
      </c>
    </row>
    <row r="273" spans="1:9" x14ac:dyDescent="0.25">
      <c r="A273" t="s">
        <v>1267</v>
      </c>
      <c r="B273" s="6">
        <f t="shared" si="30"/>
        <v>7.8668333333333331</v>
      </c>
      <c r="C273" s="3">
        <f t="shared" si="31"/>
        <v>101</v>
      </c>
      <c r="D273" s="3" t="str">
        <f t="shared" si="32"/>
        <v/>
      </c>
      <c r="E273" s="3">
        <f t="shared" si="33"/>
        <v>150</v>
      </c>
      <c r="F273" s="5" t="str">
        <f>IF(C273=0,"Broadcast",IF(D273="",IF(E273="","",IF(E273&lt;128,"Verbind "&amp;E273,INDEX(KdoCodeTab,MATCH(E273,KdoWertTab,0)))),"StatusAbfr "&amp;D273))</f>
        <v>SpaceWdh</v>
      </c>
      <c r="G273" t="str">
        <f t="shared" si="34"/>
        <v>SpaceWdh</v>
      </c>
      <c r="H273" t="str">
        <f t="shared" si="35"/>
        <v/>
      </c>
      <c r="I273" t="str">
        <f t="shared" si="36"/>
        <v/>
      </c>
    </row>
    <row r="274" spans="1:9" x14ac:dyDescent="0.25">
      <c r="A274" t="s">
        <v>1268</v>
      </c>
      <c r="B274" s="6">
        <f t="shared" si="30"/>
        <v>7.886166666666667</v>
      </c>
      <c r="C274" s="3">
        <f t="shared" si="31"/>
        <v>101</v>
      </c>
      <c r="D274" s="3" t="str">
        <f t="shared" si="32"/>
        <v/>
      </c>
      <c r="E274" s="3">
        <f t="shared" si="33"/>
        <v>156</v>
      </c>
      <c r="F274" s="5" t="str">
        <f>IF(C274=0,"Broadcast",IF(D274="",IF(E274="","",IF(E274&lt;128,"Verbind "&amp;E274,INDEX(KdoCodeTab,MATCH(E274,KdoWertTab,0)))),"StatusAbfr "&amp;D274))</f>
        <v>Mark</v>
      </c>
      <c r="G274" t="str">
        <f t="shared" si="34"/>
        <v>Mark</v>
      </c>
      <c r="H274" t="str">
        <f t="shared" si="35"/>
        <v/>
      </c>
      <c r="I274" t="str">
        <f t="shared" si="36"/>
        <v/>
      </c>
    </row>
    <row r="275" spans="1:9" x14ac:dyDescent="0.25">
      <c r="A275" t="s">
        <v>1269</v>
      </c>
      <c r="B275" s="6">
        <f t="shared" si="30"/>
        <v>7.8869999999999996</v>
      </c>
      <c r="C275" s="3">
        <f t="shared" si="31"/>
        <v>101</v>
      </c>
      <c r="D275" s="3" t="str">
        <f t="shared" si="32"/>
        <v/>
      </c>
      <c r="E275" s="3">
        <f t="shared" si="33"/>
        <v>154</v>
      </c>
      <c r="F275" s="5" t="str">
        <f>IF(C275=0,"Broadcast",IF(D275="",IF(E275="","",IF(E275&lt;128,"Verbind "&amp;E275,INDEX(KdoCodeTab,MATCH(E275,KdoWertTab,0)))),"StatusAbfr "&amp;D275))</f>
        <v>MarkWdh</v>
      </c>
      <c r="G275" t="str">
        <f t="shared" si="34"/>
        <v>MarkWdh</v>
      </c>
      <c r="H275" t="str">
        <f t="shared" si="35"/>
        <v/>
      </c>
      <c r="I275" t="str">
        <f t="shared" si="36"/>
        <v/>
      </c>
    </row>
    <row r="276" spans="1:9" x14ac:dyDescent="0.25">
      <c r="A276" t="s">
        <v>1270</v>
      </c>
      <c r="B276" s="6">
        <f t="shared" si="30"/>
        <v>7.9518333333333331</v>
      </c>
      <c r="C276" s="3">
        <f t="shared" si="31"/>
        <v>101</v>
      </c>
      <c r="D276" s="3" t="str">
        <f t="shared" si="32"/>
        <v/>
      </c>
      <c r="E276" s="3">
        <f t="shared" si="33"/>
        <v>169</v>
      </c>
      <c r="F276" s="5" t="str">
        <f>IF(C276=0,"Broadcast",IF(D276="",IF(E276="","",IF(E276&lt;128,"Verbind "&amp;E276,INDEX(KdoCodeTab,MATCH(E276,KdoWertTab,0)))),"StatusAbfr "&amp;D276))</f>
        <v>BusLebenszeichen</v>
      </c>
      <c r="G276" t="str">
        <f t="shared" si="34"/>
        <v>BusLebenszeichen</v>
      </c>
      <c r="H276" t="str">
        <f t="shared" si="35"/>
        <v/>
      </c>
      <c r="I276" t="str">
        <f t="shared" si="36"/>
        <v/>
      </c>
    </row>
    <row r="277" spans="1:9" x14ac:dyDescent="0.25">
      <c r="A277" t="s">
        <v>1271</v>
      </c>
      <c r="B277" s="6">
        <f t="shared" si="30"/>
        <v>8.1989999999999998</v>
      </c>
      <c r="C277" s="3">
        <f t="shared" si="31"/>
        <v>31</v>
      </c>
      <c r="D277" s="3" t="str">
        <f t="shared" si="32"/>
        <v/>
      </c>
      <c r="E277" s="3">
        <f t="shared" si="33"/>
        <v>154</v>
      </c>
      <c r="F277" s="5" t="str">
        <f>IF(C277=0,"Broadcast",IF(D277="",IF(E277="","",IF(E277&lt;128,"Verbind "&amp;E277,INDEX(KdoCodeTab,MATCH(E277,KdoWertTab,0)))),"StatusAbfr "&amp;D277))</f>
        <v>MarkWdh</v>
      </c>
      <c r="G277" t="str">
        <f t="shared" si="34"/>
        <v/>
      </c>
      <c r="H277" t="str">
        <f t="shared" si="35"/>
        <v>MarkWdh</v>
      </c>
      <c r="I277" t="str">
        <f t="shared" si="36"/>
        <v/>
      </c>
    </row>
    <row r="278" spans="1:9" x14ac:dyDescent="0.25">
      <c r="A278" t="s">
        <v>1272</v>
      </c>
      <c r="B278" s="6">
        <f t="shared" si="30"/>
        <v>8.6338333333333317</v>
      </c>
      <c r="C278" s="3">
        <f t="shared" si="31"/>
        <v>101</v>
      </c>
      <c r="D278" s="3" t="str">
        <f t="shared" si="32"/>
        <v/>
      </c>
      <c r="E278" s="3">
        <f t="shared" si="33"/>
        <v>169</v>
      </c>
      <c r="F278" s="5" t="str">
        <f>IF(C278=0,"Broadcast",IF(D278="",IF(E278="","",IF(E278&lt;128,"Verbind "&amp;E278,INDEX(KdoCodeTab,MATCH(E278,KdoWertTab,0)))),"StatusAbfr "&amp;D278))</f>
        <v>BusLebenszeichen</v>
      </c>
      <c r="G278" t="str">
        <f t="shared" si="34"/>
        <v>BusLebenszeichen</v>
      </c>
      <c r="H278" t="str">
        <f t="shared" si="35"/>
        <v/>
      </c>
      <c r="I278" t="str">
        <f t="shared" si="36"/>
        <v/>
      </c>
    </row>
    <row r="279" spans="1:9" x14ac:dyDescent="0.25">
      <c r="A279" t="s">
        <v>1273</v>
      </c>
      <c r="B279" s="6">
        <f t="shared" si="30"/>
        <v>8.6425000000000001</v>
      </c>
      <c r="C279" s="3">
        <f t="shared" si="31"/>
        <v>31</v>
      </c>
      <c r="D279" s="3" t="str">
        <f t="shared" si="32"/>
        <v/>
      </c>
      <c r="E279" s="3">
        <f t="shared" si="33"/>
        <v>147</v>
      </c>
      <c r="F279" s="5" t="str">
        <f>IF(C279=0,"Broadcast",IF(D279="",IF(E279="","",IF(E279&lt;128,"Verbind "&amp;E279,INDEX(KdoCodeTab,MATCH(E279,KdoWertTab,0)))),"StatusAbfr "&amp;D279))</f>
        <v>Space</v>
      </c>
      <c r="G279" t="str">
        <f t="shared" si="34"/>
        <v/>
      </c>
      <c r="H279" t="str">
        <f t="shared" si="35"/>
        <v>Space</v>
      </c>
      <c r="I279" t="str">
        <f t="shared" si="36"/>
        <v/>
      </c>
    </row>
    <row r="280" spans="1:9" x14ac:dyDescent="0.25">
      <c r="A280" t="s">
        <v>1274</v>
      </c>
      <c r="B280" s="6">
        <f t="shared" si="30"/>
        <v>8.6489999999999991</v>
      </c>
      <c r="C280" s="3">
        <f t="shared" si="31"/>
        <v>31</v>
      </c>
      <c r="D280" s="3" t="str">
        <f t="shared" si="32"/>
        <v/>
      </c>
      <c r="E280" s="3">
        <f t="shared" si="33"/>
        <v>150</v>
      </c>
      <c r="F280" s="5" t="str">
        <f>IF(C280=0,"Broadcast",IF(D280="",IF(E280="","",IF(E280&lt;128,"Verbind "&amp;E280,INDEX(KdoCodeTab,MATCH(E280,KdoWertTab,0)))),"StatusAbfr "&amp;D280))</f>
        <v>SpaceWdh</v>
      </c>
      <c r="G280" t="str">
        <f t="shared" si="34"/>
        <v/>
      </c>
      <c r="H280" t="str">
        <f t="shared" si="35"/>
        <v>SpaceWdh</v>
      </c>
      <c r="I280" t="str">
        <f t="shared" si="36"/>
        <v/>
      </c>
    </row>
    <row r="281" spans="1:9" x14ac:dyDescent="0.25">
      <c r="A281" t="s">
        <v>1275</v>
      </c>
      <c r="B281" s="6">
        <f t="shared" si="30"/>
        <v>8.6626666666666683</v>
      </c>
      <c r="C281" s="3">
        <f t="shared" si="31"/>
        <v>31</v>
      </c>
      <c r="D281" s="3" t="str">
        <f t="shared" si="32"/>
        <v/>
      </c>
      <c r="E281" s="3">
        <f t="shared" si="33"/>
        <v>156</v>
      </c>
      <c r="F281" s="5" t="str">
        <f>IF(C281=0,"Broadcast",IF(D281="",IF(E281="","",IF(E281&lt;128,"Verbind "&amp;E281,INDEX(KdoCodeTab,MATCH(E281,KdoWertTab,0)))),"StatusAbfr "&amp;D281))</f>
        <v>Mark</v>
      </c>
      <c r="G281" t="str">
        <f t="shared" si="34"/>
        <v/>
      </c>
      <c r="H281" t="str">
        <f t="shared" si="35"/>
        <v>Mark</v>
      </c>
      <c r="I281" t="str">
        <f t="shared" si="36"/>
        <v/>
      </c>
    </row>
    <row r="282" spans="1:9" x14ac:dyDescent="0.25">
      <c r="A282" t="s">
        <v>1276</v>
      </c>
      <c r="B282" s="6">
        <f t="shared" si="30"/>
        <v>8.6686666666666667</v>
      </c>
      <c r="C282" s="3">
        <f t="shared" si="31"/>
        <v>31</v>
      </c>
      <c r="D282" s="3" t="str">
        <f t="shared" si="32"/>
        <v/>
      </c>
      <c r="E282" s="3">
        <f t="shared" si="33"/>
        <v>154</v>
      </c>
      <c r="F282" s="5" t="str">
        <f>IF(C282=0,"Broadcast",IF(D282="",IF(E282="","",IF(E282&lt;128,"Verbind "&amp;E282,INDEX(KdoCodeTab,MATCH(E282,KdoWertTab,0)))),"StatusAbfr "&amp;D282))</f>
        <v>MarkWdh</v>
      </c>
      <c r="G282" t="str">
        <f t="shared" si="34"/>
        <v/>
      </c>
      <c r="H282" t="str">
        <f t="shared" si="35"/>
        <v>MarkWdh</v>
      </c>
      <c r="I282" t="str">
        <f t="shared" si="36"/>
        <v/>
      </c>
    </row>
    <row r="283" spans="1:9" x14ac:dyDescent="0.25">
      <c r="A283" t="s">
        <v>1277</v>
      </c>
      <c r="B283" s="6">
        <f t="shared" si="30"/>
        <v>8.7936666666666667</v>
      </c>
      <c r="C283" s="3">
        <f t="shared" si="31"/>
        <v>31</v>
      </c>
      <c r="D283" s="3" t="str">
        <f t="shared" si="32"/>
        <v/>
      </c>
      <c r="E283" s="3">
        <f t="shared" si="33"/>
        <v>147</v>
      </c>
      <c r="F283" s="5" t="str">
        <f>IF(C283=0,"Broadcast",IF(D283="",IF(E283="","",IF(E283&lt;128,"Verbind "&amp;E283,INDEX(KdoCodeTab,MATCH(E283,KdoWertTab,0)))),"StatusAbfr "&amp;D283))</f>
        <v>Space</v>
      </c>
      <c r="G283" t="str">
        <f t="shared" si="34"/>
        <v/>
      </c>
      <c r="H283" t="str">
        <f t="shared" si="35"/>
        <v>Space</v>
      </c>
      <c r="I283" t="str">
        <f t="shared" si="36"/>
        <v/>
      </c>
    </row>
    <row r="284" spans="1:9" x14ac:dyDescent="0.25">
      <c r="A284" t="s">
        <v>1278</v>
      </c>
      <c r="B284" s="6">
        <f t="shared" si="30"/>
        <v>8.8000000000000007</v>
      </c>
      <c r="C284" s="3">
        <f t="shared" si="31"/>
        <v>31</v>
      </c>
      <c r="D284" s="3" t="str">
        <f t="shared" si="32"/>
        <v/>
      </c>
      <c r="E284" s="3">
        <f t="shared" si="33"/>
        <v>150</v>
      </c>
      <c r="F284" s="5" t="str">
        <f>IF(C284=0,"Broadcast",IF(D284="",IF(E284="","",IF(E284&lt;128,"Verbind "&amp;E284,INDEX(KdoCodeTab,MATCH(E284,KdoWertTab,0)))),"StatusAbfr "&amp;D284))</f>
        <v>SpaceWdh</v>
      </c>
      <c r="G284" t="str">
        <f t="shared" si="34"/>
        <v/>
      </c>
      <c r="H284" t="str">
        <f t="shared" si="35"/>
        <v>SpaceWdh</v>
      </c>
      <c r="I284" t="str">
        <f t="shared" si="36"/>
        <v/>
      </c>
    </row>
    <row r="285" spans="1:9" x14ac:dyDescent="0.25">
      <c r="A285" t="s">
        <v>1279</v>
      </c>
      <c r="B285" s="6">
        <f t="shared" si="30"/>
        <v>8.8743333333333343</v>
      </c>
      <c r="C285" s="3">
        <f t="shared" si="31"/>
        <v>31</v>
      </c>
      <c r="D285" s="3" t="str">
        <f t="shared" si="32"/>
        <v/>
      </c>
      <c r="E285" s="3">
        <f t="shared" si="33"/>
        <v>156</v>
      </c>
      <c r="F285" s="5" t="str">
        <f>IF(C285=0,"Broadcast",IF(D285="",IF(E285="","",IF(E285&lt;128,"Verbind "&amp;E285,INDEX(KdoCodeTab,MATCH(E285,KdoWertTab,0)))),"StatusAbfr "&amp;D285))</f>
        <v>Mark</v>
      </c>
      <c r="G285" t="str">
        <f t="shared" si="34"/>
        <v/>
      </c>
      <c r="H285" t="str">
        <f t="shared" si="35"/>
        <v>Mark</v>
      </c>
      <c r="I285" t="str">
        <f t="shared" si="36"/>
        <v/>
      </c>
    </row>
    <row r="286" spans="1:9" x14ac:dyDescent="0.25">
      <c r="A286" t="s">
        <v>1280</v>
      </c>
      <c r="B286" s="6">
        <f t="shared" si="30"/>
        <v>8.8803333333333345</v>
      </c>
      <c r="C286" s="3">
        <f t="shared" si="31"/>
        <v>31</v>
      </c>
      <c r="D286" s="3" t="str">
        <f t="shared" si="32"/>
        <v/>
      </c>
      <c r="E286" s="3">
        <f t="shared" si="33"/>
        <v>154</v>
      </c>
      <c r="F286" s="5" t="str">
        <f>IF(C286=0,"Broadcast",IF(D286="",IF(E286="","",IF(E286&lt;128,"Verbind "&amp;E286,INDEX(KdoCodeTab,MATCH(E286,KdoWertTab,0)))),"StatusAbfr "&amp;D286))</f>
        <v>MarkWdh</v>
      </c>
      <c r="G286" t="str">
        <f t="shared" si="34"/>
        <v/>
      </c>
      <c r="H286" t="str">
        <f t="shared" si="35"/>
        <v>MarkWdh</v>
      </c>
      <c r="I286" t="str">
        <f t="shared" si="36"/>
        <v/>
      </c>
    </row>
    <row r="287" spans="1:9" x14ac:dyDescent="0.25">
      <c r="A287" t="s">
        <v>1281</v>
      </c>
      <c r="B287" s="6">
        <f t="shared" si="30"/>
        <v>8.8945000000000007</v>
      </c>
      <c r="C287" s="3">
        <f t="shared" si="31"/>
        <v>31</v>
      </c>
      <c r="D287" s="3" t="str">
        <f t="shared" si="32"/>
        <v/>
      </c>
      <c r="E287" s="3">
        <f t="shared" si="33"/>
        <v>147</v>
      </c>
      <c r="F287" s="5" t="str">
        <f>IF(C287=0,"Broadcast",IF(D287="",IF(E287="","",IF(E287&lt;128,"Verbind "&amp;E287,INDEX(KdoCodeTab,MATCH(E287,KdoWertTab,0)))),"StatusAbfr "&amp;D287))</f>
        <v>Space</v>
      </c>
      <c r="G287" t="str">
        <f t="shared" si="34"/>
        <v/>
      </c>
      <c r="H287" t="str">
        <f t="shared" si="35"/>
        <v>Space</v>
      </c>
      <c r="I287" t="str">
        <f t="shared" si="36"/>
        <v/>
      </c>
    </row>
    <row r="288" spans="1:9" x14ac:dyDescent="0.25">
      <c r="A288" t="s">
        <v>1282</v>
      </c>
      <c r="B288" s="6">
        <f t="shared" si="30"/>
        <v>8.900500000000001</v>
      </c>
      <c r="C288" s="3">
        <f t="shared" si="31"/>
        <v>31</v>
      </c>
      <c r="D288" s="3" t="str">
        <f t="shared" si="32"/>
        <v/>
      </c>
      <c r="E288" s="3">
        <f t="shared" si="33"/>
        <v>150</v>
      </c>
      <c r="F288" s="5" t="str">
        <f>IF(C288=0,"Broadcast",IF(D288="",IF(E288="","",IF(E288&lt;128,"Verbind "&amp;E288,INDEX(KdoCodeTab,MATCH(E288,KdoWertTab,0)))),"StatusAbfr "&amp;D288))</f>
        <v>SpaceWdh</v>
      </c>
      <c r="G288" t="str">
        <f t="shared" si="34"/>
        <v/>
      </c>
      <c r="H288" t="str">
        <f t="shared" si="35"/>
        <v>SpaceWdh</v>
      </c>
      <c r="I288" t="str">
        <f t="shared" si="36"/>
        <v/>
      </c>
    </row>
    <row r="289" spans="1:9" x14ac:dyDescent="0.25">
      <c r="A289" t="s">
        <v>1283</v>
      </c>
      <c r="B289" s="6">
        <f t="shared" si="30"/>
        <v>8.9146666666666672</v>
      </c>
      <c r="C289" s="3">
        <f t="shared" si="31"/>
        <v>31</v>
      </c>
      <c r="D289" s="3" t="str">
        <f t="shared" si="32"/>
        <v/>
      </c>
      <c r="E289" s="3">
        <f t="shared" si="33"/>
        <v>156</v>
      </c>
      <c r="F289" s="5" t="str">
        <f>IF(C289=0,"Broadcast",IF(D289="",IF(E289="","",IF(E289&lt;128,"Verbind "&amp;E289,INDEX(KdoCodeTab,MATCH(E289,KdoWertTab,0)))),"StatusAbfr "&amp;D289))</f>
        <v>Mark</v>
      </c>
      <c r="G289" t="str">
        <f t="shared" si="34"/>
        <v/>
      </c>
      <c r="H289" t="str">
        <f t="shared" si="35"/>
        <v>Mark</v>
      </c>
      <c r="I289" t="str">
        <f t="shared" si="36"/>
        <v/>
      </c>
    </row>
    <row r="290" spans="1:9" x14ac:dyDescent="0.25">
      <c r="A290" t="s">
        <v>1284</v>
      </c>
      <c r="B290" s="6">
        <f t="shared" si="30"/>
        <v>8.9206666666666674</v>
      </c>
      <c r="C290" s="3">
        <f t="shared" si="31"/>
        <v>31</v>
      </c>
      <c r="D290" s="3" t="str">
        <f t="shared" si="32"/>
        <v/>
      </c>
      <c r="E290" s="3">
        <f t="shared" si="33"/>
        <v>154</v>
      </c>
      <c r="F290" s="5" t="str">
        <f>IF(C290=0,"Broadcast",IF(D290="",IF(E290="","",IF(E290&lt;128,"Verbind "&amp;E290,INDEX(KdoCodeTab,MATCH(E290,KdoWertTab,0)))),"StatusAbfr "&amp;D290))</f>
        <v>MarkWdh</v>
      </c>
      <c r="G290" t="str">
        <f t="shared" si="34"/>
        <v/>
      </c>
      <c r="H290" t="str">
        <f t="shared" si="35"/>
        <v>MarkWdh</v>
      </c>
      <c r="I290" t="str">
        <f t="shared" si="36"/>
        <v/>
      </c>
    </row>
    <row r="291" spans="1:9" x14ac:dyDescent="0.25">
      <c r="A291" t="s">
        <v>1285</v>
      </c>
      <c r="B291" s="6">
        <f t="shared" si="30"/>
        <v>8.9448333333333334</v>
      </c>
      <c r="C291" s="3">
        <f t="shared" si="31"/>
        <v>31</v>
      </c>
      <c r="D291" s="3" t="str">
        <f t="shared" si="32"/>
        <v/>
      </c>
      <c r="E291" s="3">
        <f t="shared" si="33"/>
        <v>147</v>
      </c>
      <c r="F291" s="5" t="str">
        <f>IF(C291=0,"Broadcast",IF(D291="",IF(E291="","",IF(E291&lt;128,"Verbind "&amp;E291,INDEX(KdoCodeTab,MATCH(E291,KdoWertTab,0)))),"StatusAbfr "&amp;D291))</f>
        <v>Space</v>
      </c>
      <c r="G291" t="str">
        <f t="shared" si="34"/>
        <v/>
      </c>
      <c r="H291" t="str">
        <f t="shared" si="35"/>
        <v>Space</v>
      </c>
      <c r="I291" t="str">
        <f t="shared" si="36"/>
        <v/>
      </c>
    </row>
    <row r="292" spans="1:9" x14ac:dyDescent="0.25">
      <c r="A292" t="s">
        <v>1286</v>
      </c>
      <c r="B292" s="6">
        <f t="shared" si="30"/>
        <v>8.9510000000000005</v>
      </c>
      <c r="C292" s="3">
        <f t="shared" si="31"/>
        <v>31</v>
      </c>
      <c r="D292" s="3" t="str">
        <f t="shared" si="32"/>
        <v/>
      </c>
      <c r="E292" s="3">
        <f t="shared" si="33"/>
        <v>150</v>
      </c>
      <c r="F292" s="5" t="str">
        <f>IF(C292=0,"Broadcast",IF(D292="",IF(E292="","",IF(E292&lt;128,"Verbind "&amp;E292,INDEX(KdoCodeTab,MATCH(E292,KdoWertTab,0)))),"StatusAbfr "&amp;D292))</f>
        <v>SpaceWdh</v>
      </c>
      <c r="G292" t="str">
        <f t="shared" si="34"/>
        <v/>
      </c>
      <c r="H292" t="str">
        <f t="shared" si="35"/>
        <v>SpaceWdh</v>
      </c>
      <c r="I292" t="str">
        <f t="shared" si="36"/>
        <v/>
      </c>
    </row>
    <row r="293" spans="1:9" x14ac:dyDescent="0.25">
      <c r="A293" t="s">
        <v>1287</v>
      </c>
      <c r="B293" s="6">
        <f t="shared" si="30"/>
        <v>8.9851666666666663</v>
      </c>
      <c r="C293" s="3">
        <f t="shared" si="31"/>
        <v>31</v>
      </c>
      <c r="D293" s="3" t="str">
        <f t="shared" si="32"/>
        <v/>
      </c>
      <c r="E293" s="3">
        <f t="shared" si="33"/>
        <v>156</v>
      </c>
      <c r="F293" s="5" t="str">
        <f>IF(C293=0,"Broadcast",IF(D293="",IF(E293="","",IF(E293&lt;128,"Verbind "&amp;E293,INDEX(KdoCodeTab,MATCH(E293,KdoWertTab,0)))),"StatusAbfr "&amp;D293))</f>
        <v>Mark</v>
      </c>
      <c r="G293" t="str">
        <f t="shared" si="34"/>
        <v/>
      </c>
      <c r="H293" t="str">
        <f t="shared" si="35"/>
        <v>Mark</v>
      </c>
      <c r="I293" t="str">
        <f t="shared" si="36"/>
        <v/>
      </c>
    </row>
    <row r="294" spans="1:9" x14ac:dyDescent="0.25">
      <c r="A294" t="s">
        <v>1288</v>
      </c>
      <c r="B294" s="6">
        <f t="shared" si="30"/>
        <v>8.9911666666666665</v>
      </c>
      <c r="C294" s="3">
        <f t="shared" si="31"/>
        <v>31</v>
      </c>
      <c r="D294" s="3" t="str">
        <f t="shared" si="32"/>
        <v/>
      </c>
      <c r="E294" s="3">
        <f t="shared" si="33"/>
        <v>154</v>
      </c>
      <c r="F294" s="5" t="str">
        <f>IF(C294=0,"Broadcast",IF(D294="",IF(E294="","",IF(E294&lt;128,"Verbind "&amp;E294,INDEX(KdoCodeTab,MATCH(E294,KdoWertTab,0)))),"StatusAbfr "&amp;D294))</f>
        <v>MarkWdh</v>
      </c>
      <c r="G294" t="str">
        <f t="shared" si="34"/>
        <v/>
      </c>
      <c r="H294" t="str">
        <f t="shared" si="35"/>
        <v>MarkWdh</v>
      </c>
      <c r="I294" t="str">
        <f t="shared" si="36"/>
        <v/>
      </c>
    </row>
    <row r="295" spans="1:9" x14ac:dyDescent="0.25">
      <c r="A295" t="s">
        <v>1289</v>
      </c>
      <c r="B295" s="6">
        <f t="shared" si="30"/>
        <v>9.0053333333333345</v>
      </c>
      <c r="C295" s="3">
        <f t="shared" si="31"/>
        <v>31</v>
      </c>
      <c r="D295" s="3" t="str">
        <f t="shared" si="32"/>
        <v/>
      </c>
      <c r="E295" s="3">
        <f t="shared" si="33"/>
        <v>147</v>
      </c>
      <c r="F295" s="5" t="str">
        <f>IF(C295=0,"Broadcast",IF(D295="",IF(E295="","",IF(E295&lt;128,"Verbind "&amp;E295,INDEX(KdoCodeTab,MATCH(E295,KdoWertTab,0)))),"StatusAbfr "&amp;D295))</f>
        <v>Space</v>
      </c>
      <c r="G295" t="str">
        <f t="shared" si="34"/>
        <v/>
      </c>
      <c r="H295" t="str">
        <f t="shared" si="35"/>
        <v>Space</v>
      </c>
      <c r="I295" t="str">
        <f t="shared" si="36"/>
        <v/>
      </c>
    </row>
    <row r="296" spans="1:9" x14ac:dyDescent="0.25">
      <c r="A296" t="s">
        <v>1290</v>
      </c>
      <c r="B296" s="6">
        <f t="shared" si="30"/>
        <v>9.011333333333333</v>
      </c>
      <c r="C296" s="3">
        <f t="shared" si="31"/>
        <v>31</v>
      </c>
      <c r="D296" s="3" t="str">
        <f t="shared" si="32"/>
        <v/>
      </c>
      <c r="E296" s="3">
        <f t="shared" si="33"/>
        <v>150</v>
      </c>
      <c r="F296" s="5" t="str">
        <f>IF(C296=0,"Broadcast",IF(D296="",IF(E296="","",IF(E296&lt;128,"Verbind "&amp;E296,INDEX(KdoCodeTab,MATCH(E296,KdoWertTab,0)))),"StatusAbfr "&amp;D296))</f>
        <v>SpaceWdh</v>
      </c>
      <c r="G296" t="str">
        <f t="shared" si="34"/>
        <v/>
      </c>
      <c r="H296" t="str">
        <f t="shared" si="35"/>
        <v>SpaceWdh</v>
      </c>
      <c r="I296" t="str">
        <f t="shared" si="36"/>
        <v/>
      </c>
    </row>
    <row r="297" spans="1:9" x14ac:dyDescent="0.25">
      <c r="A297" t="s">
        <v>1291</v>
      </c>
      <c r="B297" s="6">
        <f t="shared" si="30"/>
        <v>9.0658333333333321</v>
      </c>
      <c r="C297" s="3">
        <f t="shared" si="31"/>
        <v>31</v>
      </c>
      <c r="D297" s="3" t="str">
        <f t="shared" si="32"/>
        <v/>
      </c>
      <c r="E297" s="3">
        <f t="shared" si="33"/>
        <v>156</v>
      </c>
      <c r="F297" s="5" t="str">
        <f>IF(C297=0,"Broadcast",IF(D297="",IF(E297="","",IF(E297&lt;128,"Verbind "&amp;E297,INDEX(KdoCodeTab,MATCH(E297,KdoWertTab,0)))),"StatusAbfr "&amp;D297))</f>
        <v>Mark</v>
      </c>
      <c r="G297" t="str">
        <f t="shared" si="34"/>
        <v/>
      </c>
      <c r="H297" t="str">
        <f t="shared" si="35"/>
        <v>Mark</v>
      </c>
      <c r="I297" t="str">
        <f t="shared" si="36"/>
        <v/>
      </c>
    </row>
    <row r="298" spans="1:9" x14ac:dyDescent="0.25">
      <c r="A298" t="s">
        <v>1292</v>
      </c>
      <c r="B298" s="6">
        <f t="shared" si="30"/>
        <v>9.0718333333333323</v>
      </c>
      <c r="C298" s="3">
        <f t="shared" si="31"/>
        <v>31</v>
      </c>
      <c r="D298" s="3" t="str">
        <f t="shared" si="32"/>
        <v/>
      </c>
      <c r="E298" s="3">
        <f t="shared" si="33"/>
        <v>154</v>
      </c>
      <c r="F298" s="5" t="str">
        <f>IF(C298=0,"Broadcast",IF(D298="",IF(E298="","",IF(E298&lt;128,"Verbind "&amp;E298,INDEX(KdoCodeTab,MATCH(E298,KdoWertTab,0)))),"StatusAbfr "&amp;D298))</f>
        <v>MarkWdh</v>
      </c>
      <c r="G298" t="str">
        <f t="shared" si="34"/>
        <v/>
      </c>
      <c r="H298" t="str">
        <f t="shared" si="35"/>
        <v>MarkWdh</v>
      </c>
      <c r="I298" t="str">
        <f t="shared" si="36"/>
        <v/>
      </c>
    </row>
    <row r="299" spans="1:9" x14ac:dyDescent="0.25">
      <c r="A299" t="s">
        <v>1293</v>
      </c>
      <c r="B299" s="6">
        <f t="shared" si="30"/>
        <v>9.096166666666667</v>
      </c>
      <c r="C299" s="3">
        <f t="shared" si="31"/>
        <v>18</v>
      </c>
      <c r="D299" s="3" t="str">
        <f t="shared" si="32"/>
        <v/>
      </c>
      <c r="E299" s="3">
        <f t="shared" si="33"/>
        <v>0</v>
      </c>
      <c r="F299" s="5" t="str">
        <f>IF(C299=0,"Broadcast",IF(D299="",IF(E299="","",IF(E299&lt;128,"Verbind "&amp;E299,INDEX(KdoCodeTab,MATCH(E299,KdoWertTab,0)))),"StatusAbfr "&amp;D299))</f>
        <v>Verbind 0</v>
      </c>
      <c r="G299" t="str">
        <f t="shared" si="34"/>
        <v/>
      </c>
      <c r="H299" t="str">
        <f t="shared" si="35"/>
        <v/>
      </c>
      <c r="I299" t="str">
        <f t="shared" si="36"/>
        <v>Verbind 0</v>
      </c>
    </row>
    <row r="300" spans="1:9" x14ac:dyDescent="0.25">
      <c r="A300" t="s">
        <v>1294</v>
      </c>
      <c r="B300" s="6">
        <f t="shared" si="30"/>
        <v>9.1021666666666672</v>
      </c>
      <c r="C300" s="3">
        <f t="shared" si="31"/>
        <v>31</v>
      </c>
      <c r="D300" s="3" t="str">
        <f t="shared" si="32"/>
        <v/>
      </c>
      <c r="E300" s="3">
        <f t="shared" si="33"/>
        <v>150</v>
      </c>
      <c r="F300" s="5" t="str">
        <f>IF(C300=0,"Broadcast",IF(D300="",IF(E300="","",IF(E300&lt;128,"Verbind "&amp;E300,INDEX(KdoCodeTab,MATCH(E300,KdoWertTab,0)))),"StatusAbfr "&amp;D300))</f>
        <v>SpaceWdh</v>
      </c>
      <c r="G300" t="str">
        <f t="shared" si="34"/>
        <v/>
      </c>
      <c r="H300" t="str">
        <f t="shared" si="35"/>
        <v>SpaceWdh</v>
      </c>
      <c r="I300" t="str">
        <f t="shared" si="36"/>
        <v/>
      </c>
    </row>
    <row r="301" spans="1:9" x14ac:dyDescent="0.25">
      <c r="A301" t="s">
        <v>1295</v>
      </c>
      <c r="B301" s="6">
        <f t="shared" si="30"/>
        <v>9.1161666666666665</v>
      </c>
      <c r="C301" s="3">
        <f t="shared" si="31"/>
        <v>31</v>
      </c>
      <c r="D301" s="3" t="str">
        <f t="shared" si="32"/>
        <v/>
      </c>
      <c r="E301" s="3">
        <f t="shared" si="33"/>
        <v>156</v>
      </c>
      <c r="F301" s="5" t="str">
        <f>IF(C301=0,"Broadcast",IF(D301="",IF(E301="","",IF(E301&lt;128,"Verbind "&amp;E301,INDEX(KdoCodeTab,MATCH(E301,KdoWertTab,0)))),"StatusAbfr "&amp;D301))</f>
        <v>Mark</v>
      </c>
      <c r="G301" t="str">
        <f t="shared" si="34"/>
        <v/>
      </c>
      <c r="H301" t="str">
        <f t="shared" si="35"/>
        <v>Mark</v>
      </c>
      <c r="I301" t="str">
        <f t="shared" si="36"/>
        <v/>
      </c>
    </row>
    <row r="302" spans="1:9" x14ac:dyDescent="0.25">
      <c r="A302" t="s">
        <v>1296</v>
      </c>
      <c r="B302" s="6">
        <f t="shared" si="30"/>
        <v>9.1223333333333336</v>
      </c>
      <c r="C302" s="3">
        <f t="shared" si="31"/>
        <v>31</v>
      </c>
      <c r="D302" s="3" t="str">
        <f t="shared" si="32"/>
        <v/>
      </c>
      <c r="E302" s="3">
        <f t="shared" si="33"/>
        <v>154</v>
      </c>
      <c r="F302" s="5" t="str">
        <f>IF(C302=0,"Broadcast",IF(D302="",IF(E302="","",IF(E302&lt;128,"Verbind "&amp;E302,INDEX(KdoCodeTab,MATCH(E302,KdoWertTab,0)))),"StatusAbfr "&amp;D302))</f>
        <v>MarkWdh</v>
      </c>
      <c r="G302" t="str">
        <f t="shared" si="34"/>
        <v/>
      </c>
      <c r="H302" t="str">
        <f t="shared" si="35"/>
        <v>MarkWdh</v>
      </c>
      <c r="I302" t="str">
        <f t="shared" si="36"/>
        <v/>
      </c>
    </row>
    <row r="303" spans="1:9" x14ac:dyDescent="0.25">
      <c r="A303" t="s">
        <v>1297</v>
      </c>
      <c r="B303" s="6">
        <f t="shared" si="30"/>
        <v>9.1576666666666675</v>
      </c>
      <c r="C303" s="3">
        <f t="shared" si="31"/>
        <v>18</v>
      </c>
      <c r="D303" s="3" t="str">
        <f t="shared" si="32"/>
        <v/>
      </c>
      <c r="E303" s="3">
        <f t="shared" si="33"/>
        <v>0</v>
      </c>
      <c r="F303" s="5" t="str">
        <f>IF(C303=0,"Broadcast",IF(D303="",IF(E303="","",IF(E303&lt;128,"Verbind "&amp;E303,INDEX(KdoCodeTab,MATCH(E303,KdoWertTab,0)))),"StatusAbfr "&amp;D303))</f>
        <v>Verbind 0</v>
      </c>
      <c r="G303" t="str">
        <f t="shared" si="34"/>
        <v/>
      </c>
      <c r="H303" t="str">
        <f t="shared" si="35"/>
        <v/>
      </c>
      <c r="I303" t="str">
        <f t="shared" si="36"/>
        <v>Verbind 0</v>
      </c>
    </row>
    <row r="304" spans="1:9" x14ac:dyDescent="0.25">
      <c r="A304" t="s">
        <v>1298</v>
      </c>
      <c r="B304" s="6">
        <f t="shared" si="30"/>
        <v>9.1626666666666683</v>
      </c>
      <c r="C304" s="3">
        <f t="shared" si="31"/>
        <v>31</v>
      </c>
      <c r="D304" s="3" t="str">
        <f t="shared" si="32"/>
        <v/>
      </c>
      <c r="E304" s="3">
        <f t="shared" si="33"/>
        <v>150</v>
      </c>
      <c r="F304" s="5" t="str">
        <f>IF(C304=0,"Broadcast",IF(D304="",IF(E304="","",IF(E304&lt;128,"Verbind "&amp;E304,INDEX(KdoCodeTab,MATCH(E304,KdoWertTab,0)))),"StatusAbfr "&amp;D304))</f>
        <v>SpaceWdh</v>
      </c>
      <c r="G304" t="str">
        <f t="shared" si="34"/>
        <v/>
      </c>
      <c r="H304" t="str">
        <f t="shared" si="35"/>
        <v>SpaceWdh</v>
      </c>
      <c r="I304" t="str">
        <f t="shared" si="36"/>
        <v/>
      </c>
    </row>
    <row r="305" spans="1:9" x14ac:dyDescent="0.25">
      <c r="A305" t="s">
        <v>1299</v>
      </c>
      <c r="B305" s="6">
        <f t="shared" si="30"/>
        <v>9.1766666666666676</v>
      </c>
      <c r="C305" s="3">
        <f t="shared" si="31"/>
        <v>31</v>
      </c>
      <c r="D305" s="3" t="str">
        <f t="shared" si="32"/>
        <v/>
      </c>
      <c r="E305" s="3">
        <f t="shared" si="33"/>
        <v>156</v>
      </c>
      <c r="F305" s="5" t="str">
        <f>IF(C305=0,"Broadcast",IF(D305="",IF(E305="","",IF(E305&lt;128,"Verbind "&amp;E305,INDEX(KdoCodeTab,MATCH(E305,KdoWertTab,0)))),"StatusAbfr "&amp;D305))</f>
        <v>Mark</v>
      </c>
      <c r="G305" t="str">
        <f t="shared" si="34"/>
        <v/>
      </c>
      <c r="H305" t="str">
        <f t="shared" si="35"/>
        <v>Mark</v>
      </c>
      <c r="I305" t="str">
        <f t="shared" si="36"/>
        <v/>
      </c>
    </row>
    <row r="306" spans="1:9" x14ac:dyDescent="0.25">
      <c r="A306" t="s">
        <v>1300</v>
      </c>
      <c r="B306" s="6">
        <f t="shared" si="30"/>
        <v>9.182833333333333</v>
      </c>
      <c r="C306" s="3">
        <f t="shared" si="31"/>
        <v>31</v>
      </c>
      <c r="D306" s="3" t="str">
        <f t="shared" si="32"/>
        <v/>
      </c>
      <c r="E306" s="3">
        <f t="shared" si="33"/>
        <v>154</v>
      </c>
      <c r="F306" s="5" t="str">
        <f>IF(C306=0,"Broadcast",IF(D306="",IF(E306="","",IF(E306&lt;128,"Verbind "&amp;E306,INDEX(KdoCodeTab,MATCH(E306,KdoWertTab,0)))),"StatusAbfr "&amp;D306))</f>
        <v>MarkWdh</v>
      </c>
      <c r="G306" t="str">
        <f t="shared" si="34"/>
        <v/>
      </c>
      <c r="H306" t="str">
        <f t="shared" si="35"/>
        <v>MarkWdh</v>
      </c>
      <c r="I306" t="str">
        <f t="shared" si="36"/>
        <v/>
      </c>
    </row>
    <row r="307" spans="1:9" x14ac:dyDescent="0.25">
      <c r="A307" t="s">
        <v>1301</v>
      </c>
      <c r="B307" s="6">
        <f t="shared" si="30"/>
        <v>9.2473333333333336</v>
      </c>
      <c r="C307" s="3">
        <f t="shared" si="31"/>
        <v>31</v>
      </c>
      <c r="D307" s="3" t="str">
        <f t="shared" si="32"/>
        <v/>
      </c>
      <c r="E307" s="3">
        <f t="shared" si="33"/>
        <v>147</v>
      </c>
      <c r="F307" s="5" t="str">
        <f>IF(C307=0,"Broadcast",IF(D307="",IF(E307="","",IF(E307&lt;128,"Verbind "&amp;E307,INDEX(KdoCodeTab,MATCH(E307,KdoWertTab,0)))),"StatusAbfr "&amp;D307))</f>
        <v>Space</v>
      </c>
      <c r="G307" t="str">
        <f t="shared" si="34"/>
        <v/>
      </c>
      <c r="H307" t="str">
        <f t="shared" si="35"/>
        <v>Space</v>
      </c>
      <c r="I307" t="str">
        <f t="shared" si="36"/>
        <v/>
      </c>
    </row>
    <row r="308" spans="1:9" x14ac:dyDescent="0.25">
      <c r="A308" t="s">
        <v>1302</v>
      </c>
      <c r="B308" s="6">
        <f t="shared" si="30"/>
        <v>9.2533333333333339</v>
      </c>
      <c r="C308" s="3">
        <f t="shared" si="31"/>
        <v>31</v>
      </c>
      <c r="D308" s="3" t="str">
        <f t="shared" si="32"/>
        <v/>
      </c>
      <c r="E308" s="3">
        <f t="shared" si="33"/>
        <v>150</v>
      </c>
      <c r="F308" s="5" t="str">
        <f>IF(C308=0,"Broadcast",IF(D308="",IF(E308="","",IF(E308&lt;128,"Verbind "&amp;E308,INDEX(KdoCodeTab,MATCH(E308,KdoWertTab,0)))),"StatusAbfr "&amp;D308))</f>
        <v>SpaceWdh</v>
      </c>
      <c r="G308" t="str">
        <f t="shared" si="34"/>
        <v/>
      </c>
      <c r="H308" t="str">
        <f t="shared" si="35"/>
        <v>SpaceWdh</v>
      </c>
      <c r="I308" t="str">
        <f t="shared" si="36"/>
        <v/>
      </c>
    </row>
    <row r="309" spans="1:9" x14ac:dyDescent="0.25">
      <c r="A309" t="s">
        <v>1303</v>
      </c>
      <c r="B309" s="6">
        <f t="shared" si="30"/>
        <v>9.3155000000000001</v>
      </c>
      <c r="C309" s="3">
        <f t="shared" si="31"/>
        <v>101</v>
      </c>
      <c r="D309" s="3" t="str">
        <f t="shared" si="32"/>
        <v/>
      </c>
      <c r="E309" s="3">
        <f t="shared" si="33"/>
        <v>169</v>
      </c>
      <c r="F309" s="5" t="str">
        <f>IF(C309=0,"Broadcast",IF(D309="",IF(E309="","",IF(E309&lt;128,"Verbind "&amp;E309,INDEX(KdoCodeTab,MATCH(E309,KdoWertTab,0)))),"StatusAbfr "&amp;D309))</f>
        <v>BusLebenszeichen</v>
      </c>
      <c r="G309" t="str">
        <f t="shared" si="34"/>
        <v>BusLebenszeichen</v>
      </c>
      <c r="H309" t="str">
        <f t="shared" si="35"/>
        <v/>
      </c>
      <c r="I309" t="str">
        <f t="shared" si="36"/>
        <v/>
      </c>
    </row>
    <row r="310" spans="1:9" x14ac:dyDescent="0.25">
      <c r="A310" t="s">
        <v>1304</v>
      </c>
      <c r="B310" s="6">
        <f t="shared" si="30"/>
        <v>9.3279999999999994</v>
      </c>
      <c r="C310" s="3">
        <f t="shared" si="31"/>
        <v>31</v>
      </c>
      <c r="D310" s="3" t="str">
        <f t="shared" si="32"/>
        <v/>
      </c>
      <c r="E310" s="3">
        <f t="shared" si="33"/>
        <v>156</v>
      </c>
      <c r="F310" s="5" t="str">
        <f>IF(C310=0,"Broadcast",IF(D310="",IF(E310="","",IF(E310&lt;128,"Verbind "&amp;E310,INDEX(KdoCodeTab,MATCH(E310,KdoWertTab,0)))),"StatusAbfr "&amp;D310))</f>
        <v>Mark</v>
      </c>
      <c r="G310" t="str">
        <f t="shared" si="34"/>
        <v/>
      </c>
      <c r="H310" t="str">
        <f t="shared" si="35"/>
        <v>Mark</v>
      </c>
      <c r="I310" t="str">
        <f t="shared" si="36"/>
        <v/>
      </c>
    </row>
    <row r="311" spans="1:9" x14ac:dyDescent="0.25">
      <c r="A311" t="s">
        <v>1305</v>
      </c>
      <c r="B311" s="6">
        <f t="shared" si="30"/>
        <v>9.3339999999999996</v>
      </c>
      <c r="C311" s="3">
        <f t="shared" si="31"/>
        <v>31</v>
      </c>
      <c r="D311" s="3" t="str">
        <f t="shared" si="32"/>
        <v/>
      </c>
      <c r="E311" s="3">
        <f t="shared" si="33"/>
        <v>154</v>
      </c>
      <c r="F311" s="5" t="str">
        <f>IF(C311=0,"Broadcast",IF(D311="",IF(E311="","",IF(E311&lt;128,"Verbind "&amp;E311,INDEX(KdoCodeTab,MATCH(E311,KdoWertTab,0)))),"StatusAbfr "&amp;D311))</f>
        <v>MarkWdh</v>
      </c>
      <c r="G311" t="str">
        <f t="shared" si="34"/>
        <v/>
      </c>
      <c r="H311" t="str">
        <f t="shared" si="35"/>
        <v>MarkWdh</v>
      </c>
      <c r="I311" t="str">
        <f t="shared" si="36"/>
        <v/>
      </c>
    </row>
    <row r="312" spans="1:9" x14ac:dyDescent="0.25">
      <c r="A312" t="s">
        <v>1306</v>
      </c>
      <c r="B312" s="6">
        <f t="shared" si="30"/>
        <v>9.3986666666666672</v>
      </c>
      <c r="C312" s="3">
        <f t="shared" si="31"/>
        <v>31</v>
      </c>
      <c r="D312" s="3" t="str">
        <f t="shared" si="32"/>
        <v/>
      </c>
      <c r="E312" s="3">
        <f t="shared" si="33"/>
        <v>147</v>
      </c>
      <c r="F312" s="5" t="str">
        <f>IF(C312=0,"Broadcast",IF(D312="",IF(E312="","",IF(E312&lt;128,"Verbind "&amp;E312,INDEX(KdoCodeTab,MATCH(E312,KdoWertTab,0)))),"StatusAbfr "&amp;D312))</f>
        <v>Space</v>
      </c>
      <c r="G312" t="str">
        <f t="shared" si="34"/>
        <v/>
      </c>
      <c r="H312" t="str">
        <f t="shared" si="35"/>
        <v>Space</v>
      </c>
      <c r="I312" t="str">
        <f t="shared" si="36"/>
        <v/>
      </c>
    </row>
    <row r="313" spans="1:9" x14ac:dyDescent="0.25">
      <c r="A313" t="s">
        <v>1307</v>
      </c>
      <c r="B313" s="6">
        <f t="shared" si="30"/>
        <v>9.4045000000000005</v>
      </c>
      <c r="C313" s="3">
        <f t="shared" si="31"/>
        <v>31</v>
      </c>
      <c r="D313" s="3" t="str">
        <f t="shared" si="32"/>
        <v/>
      </c>
      <c r="E313" s="3">
        <f t="shared" si="33"/>
        <v>150</v>
      </c>
      <c r="F313" s="5" t="str">
        <f>IF(C313=0,"Broadcast",IF(D313="",IF(E313="","",IF(E313&lt;128,"Verbind "&amp;E313,INDEX(KdoCodeTab,MATCH(E313,KdoWertTab,0)))),"StatusAbfr "&amp;D313))</f>
        <v>SpaceWdh</v>
      </c>
      <c r="G313" t="str">
        <f t="shared" si="34"/>
        <v/>
      </c>
      <c r="H313" t="str">
        <f t="shared" si="35"/>
        <v>SpaceWdh</v>
      </c>
      <c r="I313" t="str">
        <f t="shared" si="36"/>
        <v/>
      </c>
    </row>
    <row r="314" spans="1:9" x14ac:dyDescent="0.25">
      <c r="A314" t="s">
        <v>1308</v>
      </c>
      <c r="B314" s="6">
        <f t="shared" si="30"/>
        <v>9.4186666666666667</v>
      </c>
      <c r="C314" s="3">
        <f t="shared" si="31"/>
        <v>19</v>
      </c>
      <c r="D314" s="3" t="str">
        <f t="shared" si="32"/>
        <v/>
      </c>
      <c r="E314" s="3" t="str">
        <f t="shared" si="33"/>
        <v/>
      </c>
      <c r="F314" s="5" t="str">
        <f>IF(C314=0,"Broadcast",IF(D314="",IF(E314="","",IF(E314&lt;128,"Verbind "&amp;E314,INDEX(KdoCodeTab,MATCH(E314,KdoWertTab,0)))),"StatusAbfr "&amp;D314))</f>
        <v/>
      </c>
      <c r="G314" t="str">
        <f t="shared" si="34"/>
        <v/>
      </c>
      <c r="H314" t="str">
        <f t="shared" si="35"/>
        <v/>
      </c>
      <c r="I314" t="str">
        <f t="shared" si="36"/>
        <v/>
      </c>
    </row>
    <row r="315" spans="1:9" x14ac:dyDescent="0.25">
      <c r="A315" t="s">
        <v>1309</v>
      </c>
      <c r="B315" s="6">
        <f t="shared" si="30"/>
        <v>9.424666666666667</v>
      </c>
      <c r="C315" s="3">
        <f t="shared" si="31"/>
        <v>31</v>
      </c>
      <c r="D315" s="3" t="str">
        <f t="shared" si="32"/>
        <v/>
      </c>
      <c r="E315" s="3">
        <f t="shared" si="33"/>
        <v>154</v>
      </c>
      <c r="F315" s="5" t="str">
        <f>IF(C315=0,"Broadcast",IF(D315="",IF(E315="","",IF(E315&lt;128,"Verbind "&amp;E315,INDEX(KdoCodeTab,MATCH(E315,KdoWertTab,0)))),"StatusAbfr "&amp;D315))</f>
        <v>MarkWdh</v>
      </c>
      <c r="G315" t="str">
        <f t="shared" si="34"/>
        <v/>
      </c>
      <c r="H315" t="str">
        <f t="shared" si="35"/>
        <v>MarkWdh</v>
      </c>
      <c r="I315" t="str">
        <f t="shared" si="36"/>
        <v/>
      </c>
    </row>
    <row r="316" spans="1:9" x14ac:dyDescent="0.25">
      <c r="A316" t="s">
        <v>1310</v>
      </c>
      <c r="B316" s="6">
        <f t="shared" si="30"/>
        <v>9.4589999999999996</v>
      </c>
      <c r="C316" s="3">
        <f t="shared" si="31"/>
        <v>31</v>
      </c>
      <c r="D316" s="3" t="str">
        <f t="shared" si="32"/>
        <v/>
      </c>
      <c r="E316" s="3">
        <f t="shared" si="33"/>
        <v>147</v>
      </c>
      <c r="F316" s="5" t="str">
        <f>IF(C316=0,"Broadcast",IF(D316="",IF(E316="","",IF(E316&lt;128,"Verbind "&amp;E316,INDEX(KdoCodeTab,MATCH(E316,KdoWertTab,0)))),"StatusAbfr "&amp;D316))</f>
        <v>Space</v>
      </c>
      <c r="G316" t="str">
        <f t="shared" si="34"/>
        <v/>
      </c>
      <c r="H316" t="str">
        <f t="shared" si="35"/>
        <v>Space</v>
      </c>
      <c r="I316" t="str">
        <f t="shared" si="36"/>
        <v/>
      </c>
    </row>
    <row r="317" spans="1:9" x14ac:dyDescent="0.25">
      <c r="A317" t="s">
        <v>1311</v>
      </c>
      <c r="B317" s="6">
        <f t="shared" si="30"/>
        <v>9.4649999999999999</v>
      </c>
      <c r="C317" s="3">
        <f t="shared" si="31"/>
        <v>31</v>
      </c>
      <c r="D317" s="3" t="str">
        <f t="shared" si="32"/>
        <v/>
      </c>
      <c r="E317" s="3">
        <f t="shared" si="33"/>
        <v>150</v>
      </c>
      <c r="F317" s="5" t="str">
        <f>IF(C317=0,"Broadcast",IF(D317="",IF(E317="","",IF(E317&lt;128,"Verbind "&amp;E317,INDEX(KdoCodeTab,MATCH(E317,KdoWertTab,0)))),"StatusAbfr "&amp;D317))</f>
        <v>SpaceWdh</v>
      </c>
      <c r="G317" t="str">
        <f t="shared" si="34"/>
        <v/>
      </c>
      <c r="H317" t="str">
        <f t="shared" si="35"/>
        <v>SpaceWdh</v>
      </c>
      <c r="I317" t="str">
        <f t="shared" si="36"/>
        <v/>
      </c>
    </row>
    <row r="318" spans="1:9" x14ac:dyDescent="0.25">
      <c r="A318" t="s">
        <v>1312</v>
      </c>
      <c r="B318" s="6">
        <f t="shared" si="30"/>
        <v>9.4993333333333343</v>
      </c>
      <c r="C318" s="3">
        <f t="shared" si="31"/>
        <v>31</v>
      </c>
      <c r="D318" s="3" t="str">
        <f t="shared" si="32"/>
        <v/>
      </c>
      <c r="E318" s="3">
        <f t="shared" si="33"/>
        <v>156</v>
      </c>
      <c r="F318" s="5" t="str">
        <f>IF(C318=0,"Broadcast",IF(D318="",IF(E318="","",IF(E318&lt;128,"Verbind "&amp;E318,INDEX(KdoCodeTab,MATCH(E318,KdoWertTab,0)))),"StatusAbfr "&amp;D318))</f>
        <v>Mark</v>
      </c>
      <c r="G318" t="str">
        <f t="shared" si="34"/>
        <v/>
      </c>
      <c r="H318" t="str">
        <f t="shared" si="35"/>
        <v>Mark</v>
      </c>
      <c r="I318" t="str">
        <f t="shared" si="36"/>
        <v/>
      </c>
    </row>
    <row r="319" spans="1:9" x14ac:dyDescent="0.25">
      <c r="A319" t="s">
        <v>1313</v>
      </c>
      <c r="B319" s="6">
        <f t="shared" si="30"/>
        <v>9.5053333333333345</v>
      </c>
      <c r="C319" s="3">
        <f t="shared" si="31"/>
        <v>31</v>
      </c>
      <c r="D319" s="3" t="str">
        <f t="shared" si="32"/>
        <v/>
      </c>
      <c r="E319" s="3">
        <f t="shared" si="33"/>
        <v>154</v>
      </c>
      <c r="F319" s="5" t="str">
        <f>IF(C319=0,"Broadcast",IF(D319="",IF(E319="","",IF(E319&lt;128,"Verbind "&amp;E319,INDEX(KdoCodeTab,MATCH(E319,KdoWertTab,0)))),"StatusAbfr "&amp;D319))</f>
        <v>MarkWdh</v>
      </c>
      <c r="G319" t="str">
        <f t="shared" si="34"/>
        <v/>
      </c>
      <c r="H319" t="str">
        <f t="shared" si="35"/>
        <v>MarkWdh</v>
      </c>
      <c r="I319" t="str">
        <f t="shared" si="36"/>
        <v/>
      </c>
    </row>
    <row r="320" spans="1:9" x14ac:dyDescent="0.25">
      <c r="A320" t="s">
        <v>1314</v>
      </c>
      <c r="B320" s="6">
        <f t="shared" si="30"/>
        <v>9.5500000000000007</v>
      </c>
      <c r="C320" s="3">
        <f t="shared" si="31"/>
        <v>18</v>
      </c>
      <c r="D320" s="3" t="str">
        <f t="shared" si="32"/>
        <v/>
      </c>
      <c r="E320" s="3">
        <f t="shared" si="33"/>
        <v>0</v>
      </c>
      <c r="F320" s="5" t="str">
        <f>IF(C320=0,"Broadcast",IF(D320="",IF(E320="","",IF(E320&lt;128,"Verbind "&amp;E320,INDEX(KdoCodeTab,MATCH(E320,KdoWertTab,0)))),"StatusAbfr "&amp;D320))</f>
        <v>Verbind 0</v>
      </c>
      <c r="G320" t="str">
        <f t="shared" si="34"/>
        <v/>
      </c>
      <c r="H320" t="str">
        <f t="shared" si="35"/>
        <v/>
      </c>
      <c r="I320" t="str">
        <f t="shared" si="36"/>
        <v>Verbind 0</v>
      </c>
    </row>
    <row r="321" spans="1:9" x14ac:dyDescent="0.25">
      <c r="A321" t="s">
        <v>1315</v>
      </c>
      <c r="B321" s="6">
        <f t="shared" si="30"/>
        <v>9.5556666666666672</v>
      </c>
      <c r="C321" s="3">
        <f t="shared" si="31"/>
        <v>31</v>
      </c>
      <c r="D321" s="3" t="str">
        <f t="shared" si="32"/>
        <v/>
      </c>
      <c r="E321" s="3">
        <f t="shared" si="33"/>
        <v>150</v>
      </c>
      <c r="F321" s="5" t="str">
        <f>IF(C321=0,"Broadcast",IF(D321="",IF(E321="","",IF(E321&lt;128,"Verbind "&amp;E321,INDEX(KdoCodeTab,MATCH(E321,KdoWertTab,0)))),"StatusAbfr "&amp;D321))</f>
        <v>SpaceWdh</v>
      </c>
      <c r="G321" t="str">
        <f t="shared" si="34"/>
        <v/>
      </c>
      <c r="H321" t="str">
        <f t="shared" si="35"/>
        <v>SpaceWdh</v>
      </c>
      <c r="I321" t="str">
        <f t="shared" si="36"/>
        <v/>
      </c>
    </row>
    <row r="322" spans="1:9" x14ac:dyDescent="0.25">
      <c r="A322" t="s">
        <v>1316</v>
      </c>
      <c r="B322" s="6">
        <f t="shared" si="30"/>
        <v>9.5698333333333334</v>
      </c>
      <c r="C322" s="3">
        <f t="shared" si="31"/>
        <v>31</v>
      </c>
      <c r="D322" s="3" t="str">
        <f t="shared" si="32"/>
        <v/>
      </c>
      <c r="E322" s="3">
        <f t="shared" si="33"/>
        <v>156</v>
      </c>
      <c r="F322" s="5" t="str">
        <f>IF(C322=0,"Broadcast",IF(D322="",IF(E322="","",IF(E322&lt;128,"Verbind "&amp;E322,INDEX(KdoCodeTab,MATCH(E322,KdoWertTab,0)))),"StatusAbfr "&amp;D322))</f>
        <v>Mark</v>
      </c>
      <c r="G322" t="str">
        <f t="shared" si="34"/>
        <v/>
      </c>
      <c r="H322" t="str">
        <f t="shared" si="35"/>
        <v>Mark</v>
      </c>
      <c r="I322" t="str">
        <f t="shared" si="36"/>
        <v/>
      </c>
    </row>
    <row r="323" spans="1:9" x14ac:dyDescent="0.25">
      <c r="A323" t="s">
        <v>1317</v>
      </c>
      <c r="B323" s="6">
        <f t="shared" si="30"/>
        <v>9.5758333333333319</v>
      </c>
      <c r="C323" s="3">
        <f t="shared" si="31"/>
        <v>31</v>
      </c>
      <c r="D323" s="3" t="str">
        <f t="shared" si="32"/>
        <v/>
      </c>
      <c r="E323" s="3">
        <f t="shared" si="33"/>
        <v>154</v>
      </c>
      <c r="F323" s="5" t="str">
        <f>IF(C323=0,"Broadcast",IF(D323="",IF(E323="","",IF(E323&lt;128,"Verbind "&amp;E323,INDEX(KdoCodeTab,MATCH(E323,KdoWertTab,0)))),"StatusAbfr "&amp;D323))</f>
        <v>MarkWdh</v>
      </c>
      <c r="G323" t="str">
        <f t="shared" si="34"/>
        <v/>
      </c>
      <c r="H323" t="str">
        <f t="shared" si="35"/>
        <v>MarkWdh</v>
      </c>
      <c r="I323" t="str">
        <f t="shared" si="36"/>
        <v/>
      </c>
    </row>
    <row r="324" spans="1:9" x14ac:dyDescent="0.25">
      <c r="A324" t="s">
        <v>1318</v>
      </c>
      <c r="B324" s="6">
        <f t="shared" si="30"/>
        <v>9.59</v>
      </c>
      <c r="C324" s="3">
        <f t="shared" si="31"/>
        <v>31</v>
      </c>
      <c r="D324" s="3" t="str">
        <f t="shared" si="32"/>
        <v/>
      </c>
      <c r="E324" s="3">
        <f t="shared" si="33"/>
        <v>147</v>
      </c>
      <c r="F324" s="5" t="str">
        <f>IF(C324=0,"Broadcast",IF(D324="",IF(E324="","",IF(E324&lt;128,"Verbind "&amp;E324,INDEX(KdoCodeTab,MATCH(E324,KdoWertTab,0)))),"StatusAbfr "&amp;D324))</f>
        <v>Space</v>
      </c>
      <c r="G324" t="str">
        <f t="shared" si="34"/>
        <v/>
      </c>
      <c r="H324" t="str">
        <f t="shared" si="35"/>
        <v>Space</v>
      </c>
      <c r="I324" t="str">
        <f t="shared" si="36"/>
        <v/>
      </c>
    </row>
    <row r="325" spans="1:9" x14ac:dyDescent="0.25">
      <c r="A325" t="s">
        <v>1319</v>
      </c>
      <c r="B325" s="6">
        <f t="shared" ref="B325:B388" si="37">MID(A325,1,5)/1000+(CODE(MID(A325,6,1))-CODE("a"))/6000</f>
        <v>9.5960000000000001</v>
      </c>
      <c r="C325" s="3">
        <f t="shared" ref="C325:C388" si="38">INT(HEX2DEC(MID(A325,8,2))/2)</f>
        <v>31</v>
      </c>
      <c r="D325" s="3" t="str">
        <f t="shared" ref="D325:D388" si="39">IF(MID(A325,10,1)="&lt;",MID(A325,12,2),"")</f>
        <v/>
      </c>
      <c r="E325" s="3">
        <f t="shared" ref="E325:E388" si="40">IF(MID(A325,10,1)="&gt;",HEX2DEC(MID(A325,12,2)),"")</f>
        <v>150</v>
      </c>
      <c r="F325" s="5" t="str">
        <f>IF(C325=0,"Broadcast",IF(D325="",IF(E325="","",IF(E325&lt;128,"Verbind "&amp;E325,INDEX(KdoCodeTab,MATCH(E325,KdoWertTab,0)))),"StatusAbfr "&amp;D325))</f>
        <v>SpaceWdh</v>
      </c>
      <c r="G325" t="str">
        <f t="shared" ref="G325:G388" si="41">IF(C325=$G$2,F325,"")</f>
        <v/>
      </c>
      <c r="H325" t="str">
        <f t="shared" ref="H325:H388" si="42">IF(C325=$H$2,F325,"")</f>
        <v>SpaceWdh</v>
      </c>
      <c r="I325" t="str">
        <f t="shared" ref="I325:I388" si="43">IF(G325&amp;H325="",F325,"")</f>
        <v/>
      </c>
    </row>
    <row r="326" spans="1:9" x14ac:dyDescent="0.25">
      <c r="A326" t="s">
        <v>1320</v>
      </c>
      <c r="B326" s="6">
        <f t="shared" si="37"/>
        <v>9.6101666666666663</v>
      </c>
      <c r="C326" s="3">
        <f t="shared" si="38"/>
        <v>31</v>
      </c>
      <c r="D326" s="3" t="str">
        <f t="shared" si="39"/>
        <v/>
      </c>
      <c r="E326" s="3">
        <f t="shared" si="40"/>
        <v>156</v>
      </c>
      <c r="F326" s="5" t="str">
        <f>IF(C326=0,"Broadcast",IF(D326="",IF(E326="","",IF(E326&lt;128,"Verbind "&amp;E326,INDEX(KdoCodeTab,MATCH(E326,KdoWertTab,0)))),"StatusAbfr "&amp;D326))</f>
        <v>Mark</v>
      </c>
      <c r="G326" t="str">
        <f t="shared" si="41"/>
        <v/>
      </c>
      <c r="H326" t="str">
        <f t="shared" si="42"/>
        <v>Mark</v>
      </c>
      <c r="I326" t="str">
        <f t="shared" si="43"/>
        <v/>
      </c>
    </row>
    <row r="327" spans="1:9" x14ac:dyDescent="0.25">
      <c r="A327" t="s">
        <v>1321</v>
      </c>
      <c r="B327" s="6">
        <f t="shared" si="37"/>
        <v>9.6161666666666665</v>
      </c>
      <c r="C327" s="3">
        <f t="shared" si="38"/>
        <v>31</v>
      </c>
      <c r="D327" s="3" t="str">
        <f t="shared" si="39"/>
        <v/>
      </c>
      <c r="E327" s="3">
        <f t="shared" si="40"/>
        <v>154</v>
      </c>
      <c r="F327" s="5" t="str">
        <f>IF(C327=0,"Broadcast",IF(D327="",IF(E327="","",IF(E327&lt;128,"Verbind "&amp;E327,INDEX(KdoCodeTab,MATCH(E327,KdoWertTab,0)))),"StatusAbfr "&amp;D327))</f>
        <v>MarkWdh</v>
      </c>
      <c r="G327" t="str">
        <f t="shared" si="41"/>
        <v/>
      </c>
      <c r="H327" t="str">
        <f t="shared" si="42"/>
        <v>MarkWdh</v>
      </c>
      <c r="I327" t="str">
        <f t="shared" si="43"/>
        <v/>
      </c>
    </row>
    <row r="328" spans="1:9" x14ac:dyDescent="0.25">
      <c r="A328" t="s">
        <v>1322</v>
      </c>
      <c r="B328" s="6">
        <f t="shared" si="37"/>
        <v>9.6303333333333345</v>
      </c>
      <c r="C328" s="3">
        <f t="shared" si="38"/>
        <v>31</v>
      </c>
      <c r="D328" s="3" t="str">
        <f t="shared" si="39"/>
        <v/>
      </c>
      <c r="E328" s="3">
        <f t="shared" si="40"/>
        <v>147</v>
      </c>
      <c r="F328" s="5" t="str">
        <f>IF(C328=0,"Broadcast",IF(D328="",IF(E328="","",IF(E328&lt;128,"Verbind "&amp;E328,INDEX(KdoCodeTab,MATCH(E328,KdoWertTab,0)))),"StatusAbfr "&amp;D328))</f>
        <v>Space</v>
      </c>
      <c r="G328" t="str">
        <f t="shared" si="41"/>
        <v/>
      </c>
      <c r="H328" t="str">
        <f t="shared" si="42"/>
        <v>Space</v>
      </c>
      <c r="I328" t="str">
        <f t="shared" si="43"/>
        <v/>
      </c>
    </row>
    <row r="329" spans="1:9" x14ac:dyDescent="0.25">
      <c r="A329" t="s">
        <v>1323</v>
      </c>
      <c r="B329" s="6">
        <f t="shared" si="37"/>
        <v>9.636333333333333</v>
      </c>
      <c r="C329" s="3">
        <f t="shared" si="38"/>
        <v>31</v>
      </c>
      <c r="D329" s="3" t="str">
        <f t="shared" si="39"/>
        <v/>
      </c>
      <c r="E329" s="3">
        <f t="shared" si="40"/>
        <v>150</v>
      </c>
      <c r="F329" s="5" t="str">
        <f>IF(C329=0,"Broadcast",IF(D329="",IF(E329="","",IF(E329&lt;128,"Verbind "&amp;E329,INDEX(KdoCodeTab,MATCH(E329,KdoWertTab,0)))),"StatusAbfr "&amp;D329))</f>
        <v>SpaceWdh</v>
      </c>
      <c r="G329" t="str">
        <f t="shared" si="41"/>
        <v/>
      </c>
      <c r="H329" t="str">
        <f t="shared" si="42"/>
        <v>SpaceWdh</v>
      </c>
      <c r="I329" t="str">
        <f t="shared" si="43"/>
        <v/>
      </c>
    </row>
    <row r="330" spans="1:9" x14ac:dyDescent="0.25">
      <c r="A330" t="s">
        <v>1324</v>
      </c>
      <c r="B330" s="6">
        <f t="shared" si="37"/>
        <v>9.650500000000001</v>
      </c>
      <c r="C330" s="3">
        <f t="shared" si="38"/>
        <v>31</v>
      </c>
      <c r="D330" s="3" t="str">
        <f t="shared" si="39"/>
        <v/>
      </c>
      <c r="E330" s="3">
        <f t="shared" si="40"/>
        <v>156</v>
      </c>
      <c r="F330" s="5" t="str">
        <f>IF(C330=0,"Broadcast",IF(D330="",IF(E330="","",IF(E330&lt;128,"Verbind "&amp;E330,INDEX(KdoCodeTab,MATCH(E330,KdoWertTab,0)))),"StatusAbfr "&amp;D330))</f>
        <v>Mark</v>
      </c>
      <c r="G330" t="str">
        <f t="shared" si="41"/>
        <v/>
      </c>
      <c r="H330" t="str">
        <f t="shared" si="42"/>
        <v>Mark</v>
      </c>
      <c r="I330" t="str">
        <f t="shared" si="43"/>
        <v/>
      </c>
    </row>
    <row r="331" spans="1:9" x14ac:dyDescent="0.25">
      <c r="A331" t="s">
        <v>1325</v>
      </c>
      <c r="B331" s="6">
        <f t="shared" si="37"/>
        <v>9.6565000000000012</v>
      </c>
      <c r="C331" s="3">
        <f t="shared" si="38"/>
        <v>31</v>
      </c>
      <c r="D331" s="3" t="str">
        <f t="shared" si="39"/>
        <v/>
      </c>
      <c r="E331" s="3">
        <f t="shared" si="40"/>
        <v>154</v>
      </c>
      <c r="F331" s="5" t="str">
        <f>IF(C331=0,"Broadcast",IF(D331="",IF(E331="","",IF(E331&lt;128,"Verbind "&amp;E331,INDEX(KdoCodeTab,MATCH(E331,KdoWertTab,0)))),"StatusAbfr "&amp;D331))</f>
        <v>MarkWdh</v>
      </c>
      <c r="G331" t="str">
        <f t="shared" si="41"/>
        <v/>
      </c>
      <c r="H331" t="str">
        <f t="shared" si="42"/>
        <v>MarkWdh</v>
      </c>
      <c r="I331" t="str">
        <f t="shared" si="43"/>
        <v/>
      </c>
    </row>
    <row r="332" spans="1:9" x14ac:dyDescent="0.25">
      <c r="A332" t="s">
        <v>1326</v>
      </c>
      <c r="B332" s="6">
        <f t="shared" si="37"/>
        <v>9.7008333333333319</v>
      </c>
      <c r="C332" s="3">
        <f t="shared" si="38"/>
        <v>31</v>
      </c>
      <c r="D332" s="3" t="str">
        <f t="shared" si="39"/>
        <v/>
      </c>
      <c r="E332" s="3">
        <f t="shared" si="40"/>
        <v>147</v>
      </c>
      <c r="F332" s="5" t="str">
        <f>IF(C332=0,"Broadcast",IF(D332="",IF(E332="","",IF(E332&lt;128,"Verbind "&amp;E332,INDEX(KdoCodeTab,MATCH(E332,KdoWertTab,0)))),"StatusAbfr "&amp;D332))</f>
        <v>Space</v>
      </c>
      <c r="G332" t="str">
        <f t="shared" si="41"/>
        <v/>
      </c>
      <c r="H332" t="str">
        <f t="shared" si="42"/>
        <v>Space</v>
      </c>
      <c r="I332" t="str">
        <f t="shared" si="43"/>
        <v/>
      </c>
    </row>
    <row r="333" spans="1:9" x14ac:dyDescent="0.25">
      <c r="A333" t="s">
        <v>1327</v>
      </c>
      <c r="B333" s="6">
        <f t="shared" si="37"/>
        <v>9.7070000000000007</v>
      </c>
      <c r="C333" s="3">
        <f t="shared" si="38"/>
        <v>31</v>
      </c>
      <c r="D333" s="3" t="str">
        <f t="shared" si="39"/>
        <v/>
      </c>
      <c r="E333" s="3">
        <f t="shared" si="40"/>
        <v>150</v>
      </c>
      <c r="F333" s="5" t="str">
        <f>IF(C333=0,"Broadcast",IF(D333="",IF(E333="","",IF(E333&lt;128,"Verbind "&amp;E333,INDEX(KdoCodeTab,MATCH(E333,KdoWertTab,0)))),"StatusAbfr "&amp;D333))</f>
        <v>SpaceWdh</v>
      </c>
      <c r="G333" t="str">
        <f t="shared" si="41"/>
        <v/>
      </c>
      <c r="H333" t="str">
        <f t="shared" si="42"/>
        <v>SpaceWdh</v>
      </c>
      <c r="I333" t="str">
        <f t="shared" si="43"/>
        <v/>
      </c>
    </row>
    <row r="334" spans="1:9" x14ac:dyDescent="0.25">
      <c r="A334" t="s">
        <v>1328</v>
      </c>
      <c r="B334" s="6">
        <f t="shared" si="37"/>
        <v>9.7210000000000001</v>
      </c>
      <c r="C334" s="3">
        <f t="shared" si="38"/>
        <v>31</v>
      </c>
      <c r="D334" s="3" t="str">
        <f t="shared" si="39"/>
        <v/>
      </c>
      <c r="E334" s="3">
        <f t="shared" si="40"/>
        <v>156</v>
      </c>
      <c r="F334" s="5" t="str">
        <f>IF(C334=0,"Broadcast",IF(D334="",IF(E334="","",IF(E334&lt;128,"Verbind "&amp;E334,INDEX(KdoCodeTab,MATCH(E334,KdoWertTab,0)))),"StatusAbfr "&amp;D334))</f>
        <v>Mark</v>
      </c>
      <c r="G334" t="str">
        <f t="shared" si="41"/>
        <v/>
      </c>
      <c r="H334" t="str">
        <f t="shared" si="42"/>
        <v>Mark</v>
      </c>
      <c r="I334" t="str">
        <f t="shared" si="43"/>
        <v/>
      </c>
    </row>
    <row r="335" spans="1:9" x14ac:dyDescent="0.25">
      <c r="A335" t="s">
        <v>1329</v>
      </c>
      <c r="B335" s="6">
        <f t="shared" si="37"/>
        <v>9.7271666666666672</v>
      </c>
      <c r="C335" s="3">
        <f t="shared" si="38"/>
        <v>31</v>
      </c>
      <c r="D335" s="3" t="str">
        <f t="shared" si="39"/>
        <v/>
      </c>
      <c r="E335" s="3">
        <f t="shared" si="40"/>
        <v>154</v>
      </c>
      <c r="F335" s="5" t="str">
        <f>IF(C335=0,"Broadcast",IF(D335="",IF(E335="","",IF(E335&lt;128,"Verbind "&amp;E335,INDEX(KdoCodeTab,MATCH(E335,KdoWertTab,0)))),"StatusAbfr "&amp;D335))</f>
        <v>MarkWdh</v>
      </c>
      <c r="G335" t="str">
        <f t="shared" si="41"/>
        <v/>
      </c>
      <c r="H335" t="str">
        <f t="shared" si="42"/>
        <v>MarkWdh</v>
      </c>
      <c r="I335" t="str">
        <f t="shared" si="43"/>
        <v/>
      </c>
    </row>
    <row r="336" spans="1:9" x14ac:dyDescent="0.25">
      <c r="A336" t="s">
        <v>1330</v>
      </c>
      <c r="B336" s="6">
        <f t="shared" si="37"/>
        <v>9.7815000000000012</v>
      </c>
      <c r="C336" s="3">
        <f t="shared" si="38"/>
        <v>31</v>
      </c>
      <c r="D336" s="3" t="str">
        <f t="shared" si="39"/>
        <v/>
      </c>
      <c r="E336" s="3">
        <f t="shared" si="40"/>
        <v>147</v>
      </c>
      <c r="F336" s="5" t="str">
        <f>IF(C336=0,"Broadcast",IF(D336="",IF(E336="","",IF(E336&lt;128,"Verbind "&amp;E336,INDEX(KdoCodeTab,MATCH(E336,KdoWertTab,0)))),"StatusAbfr "&amp;D336))</f>
        <v>Space</v>
      </c>
      <c r="G336" t="str">
        <f t="shared" si="41"/>
        <v/>
      </c>
      <c r="H336" t="str">
        <f t="shared" si="42"/>
        <v>Space</v>
      </c>
      <c r="I336" t="str">
        <f t="shared" si="43"/>
        <v/>
      </c>
    </row>
    <row r="337" spans="1:9" x14ac:dyDescent="0.25">
      <c r="A337" t="s">
        <v>1331</v>
      </c>
      <c r="B337" s="6">
        <f t="shared" si="37"/>
        <v>9.7875000000000014</v>
      </c>
      <c r="C337" s="3">
        <f t="shared" si="38"/>
        <v>31</v>
      </c>
      <c r="D337" s="3" t="str">
        <f t="shared" si="39"/>
        <v/>
      </c>
      <c r="E337" s="3">
        <f t="shared" si="40"/>
        <v>150</v>
      </c>
      <c r="F337" s="5" t="str">
        <f>IF(C337=0,"Broadcast",IF(D337="",IF(E337="","",IF(E337&lt;128,"Verbind "&amp;E337,INDEX(KdoCodeTab,MATCH(E337,KdoWertTab,0)))),"StatusAbfr "&amp;D337))</f>
        <v>SpaceWdh</v>
      </c>
      <c r="G337" t="str">
        <f t="shared" si="41"/>
        <v/>
      </c>
      <c r="H337" t="str">
        <f t="shared" si="42"/>
        <v>SpaceWdh</v>
      </c>
      <c r="I337" t="str">
        <f t="shared" si="43"/>
        <v/>
      </c>
    </row>
    <row r="338" spans="1:9" x14ac:dyDescent="0.25">
      <c r="A338" t="s">
        <v>1332</v>
      </c>
      <c r="B338" s="6">
        <f t="shared" si="37"/>
        <v>9.8016666666666676</v>
      </c>
      <c r="C338" s="3">
        <f t="shared" si="38"/>
        <v>31</v>
      </c>
      <c r="D338" s="3" t="str">
        <f t="shared" si="39"/>
        <v/>
      </c>
      <c r="E338" s="3">
        <f t="shared" si="40"/>
        <v>156</v>
      </c>
      <c r="F338" s="5" t="str">
        <f>IF(C338=0,"Broadcast",IF(D338="",IF(E338="","",IF(E338&lt;128,"Verbind "&amp;E338,INDEX(KdoCodeTab,MATCH(E338,KdoWertTab,0)))),"StatusAbfr "&amp;D338))</f>
        <v>Mark</v>
      </c>
      <c r="G338" t="str">
        <f t="shared" si="41"/>
        <v/>
      </c>
      <c r="H338" t="str">
        <f t="shared" si="42"/>
        <v>Mark</v>
      </c>
      <c r="I338" t="str">
        <f t="shared" si="43"/>
        <v/>
      </c>
    </row>
    <row r="339" spans="1:9" x14ac:dyDescent="0.25">
      <c r="A339" t="s">
        <v>1333</v>
      </c>
      <c r="B339" s="6">
        <f t="shared" si="37"/>
        <v>9.8076666666666679</v>
      </c>
      <c r="C339" s="3">
        <f t="shared" si="38"/>
        <v>31</v>
      </c>
      <c r="D339" s="3" t="str">
        <f t="shared" si="39"/>
        <v/>
      </c>
      <c r="E339" s="3">
        <f t="shared" si="40"/>
        <v>154</v>
      </c>
      <c r="F339" s="5" t="str">
        <f>IF(C339=0,"Broadcast",IF(D339="",IF(E339="","",IF(E339&lt;128,"Verbind "&amp;E339,INDEX(KdoCodeTab,MATCH(E339,KdoWertTab,0)))),"StatusAbfr "&amp;D339))</f>
        <v>MarkWdh</v>
      </c>
      <c r="G339" t="str">
        <f t="shared" si="41"/>
        <v/>
      </c>
      <c r="H339" t="str">
        <f t="shared" si="42"/>
        <v>MarkWdh</v>
      </c>
      <c r="I339" t="str">
        <f t="shared" si="43"/>
        <v/>
      </c>
    </row>
    <row r="340" spans="1:9" x14ac:dyDescent="0.25">
      <c r="A340" t="s">
        <v>1334</v>
      </c>
      <c r="B340" s="6">
        <f t="shared" si="37"/>
        <v>9.8520000000000003</v>
      </c>
      <c r="C340" s="3">
        <f t="shared" si="38"/>
        <v>18</v>
      </c>
      <c r="D340" s="3" t="str">
        <f t="shared" si="39"/>
        <v/>
      </c>
      <c r="E340" s="3">
        <f t="shared" si="40"/>
        <v>0</v>
      </c>
      <c r="F340" s="5" t="str">
        <f>IF(C340=0,"Broadcast",IF(D340="",IF(E340="","",IF(E340&lt;128,"Verbind "&amp;E340,INDEX(KdoCodeTab,MATCH(E340,KdoWertTab,0)))),"StatusAbfr "&amp;D340))</f>
        <v>Verbind 0</v>
      </c>
      <c r="G340" t="str">
        <f t="shared" si="41"/>
        <v/>
      </c>
      <c r="H340" t="str">
        <f t="shared" si="42"/>
        <v/>
      </c>
      <c r="I340" t="str">
        <f t="shared" si="43"/>
        <v>Verbind 0</v>
      </c>
    </row>
    <row r="341" spans="1:9" x14ac:dyDescent="0.25">
      <c r="A341" t="s">
        <v>1335</v>
      </c>
      <c r="B341" s="6">
        <f t="shared" si="37"/>
        <v>9.8581666666666674</v>
      </c>
      <c r="C341" s="3">
        <f t="shared" si="38"/>
        <v>31</v>
      </c>
      <c r="D341" s="3" t="str">
        <f t="shared" si="39"/>
        <v/>
      </c>
      <c r="E341" s="3">
        <f t="shared" si="40"/>
        <v>150</v>
      </c>
      <c r="F341" s="5" t="str">
        <f>IF(C341=0,"Broadcast",IF(D341="",IF(E341="","",IF(E341&lt;128,"Verbind "&amp;E341,INDEX(KdoCodeTab,MATCH(E341,KdoWertTab,0)))),"StatusAbfr "&amp;D341))</f>
        <v>SpaceWdh</v>
      </c>
      <c r="G341" t="str">
        <f t="shared" si="41"/>
        <v/>
      </c>
      <c r="H341" t="str">
        <f t="shared" si="42"/>
        <v>SpaceWdh</v>
      </c>
      <c r="I341" t="str">
        <f t="shared" si="43"/>
        <v/>
      </c>
    </row>
    <row r="342" spans="1:9" x14ac:dyDescent="0.25">
      <c r="A342" t="s">
        <v>1336</v>
      </c>
      <c r="B342" s="6">
        <f t="shared" si="37"/>
        <v>9.8721666666666668</v>
      </c>
      <c r="C342" s="3">
        <f t="shared" si="38"/>
        <v>31</v>
      </c>
      <c r="D342" s="3" t="str">
        <f t="shared" si="39"/>
        <v/>
      </c>
      <c r="E342" s="3">
        <f t="shared" si="40"/>
        <v>156</v>
      </c>
      <c r="F342" s="5" t="str">
        <f>IF(C342=0,"Broadcast",IF(D342="",IF(E342="","",IF(E342&lt;128,"Verbind "&amp;E342,INDEX(KdoCodeTab,MATCH(E342,KdoWertTab,0)))),"StatusAbfr "&amp;D342))</f>
        <v>Mark</v>
      </c>
      <c r="G342" t="str">
        <f t="shared" si="41"/>
        <v/>
      </c>
      <c r="H342" t="str">
        <f t="shared" si="42"/>
        <v>Mark</v>
      </c>
      <c r="I342" t="str">
        <f t="shared" si="43"/>
        <v/>
      </c>
    </row>
    <row r="343" spans="1:9" x14ac:dyDescent="0.25">
      <c r="A343" t="s">
        <v>1337</v>
      </c>
      <c r="B343" s="6">
        <f t="shared" si="37"/>
        <v>9.8783333333333339</v>
      </c>
      <c r="C343" s="3">
        <f t="shared" si="38"/>
        <v>31</v>
      </c>
      <c r="D343" s="3" t="str">
        <f t="shared" si="39"/>
        <v/>
      </c>
      <c r="E343" s="3">
        <f t="shared" si="40"/>
        <v>154</v>
      </c>
      <c r="F343" s="5" t="str">
        <f>IF(C343=0,"Broadcast",IF(D343="",IF(E343="","",IF(E343&lt;128,"Verbind "&amp;E343,INDEX(KdoCodeTab,MATCH(E343,KdoWertTab,0)))),"StatusAbfr "&amp;D343))</f>
        <v>MarkWdh</v>
      </c>
      <c r="G343" t="str">
        <f t="shared" si="41"/>
        <v/>
      </c>
      <c r="H343" t="str">
        <f t="shared" si="42"/>
        <v>MarkWdh</v>
      </c>
      <c r="I343" t="str">
        <f t="shared" si="43"/>
        <v/>
      </c>
    </row>
    <row r="344" spans="1:9" x14ac:dyDescent="0.25">
      <c r="A344" t="s">
        <v>1338</v>
      </c>
      <c r="B344" s="6">
        <f t="shared" si="37"/>
        <v>9.9125000000000014</v>
      </c>
      <c r="C344" s="3">
        <f t="shared" si="38"/>
        <v>31</v>
      </c>
      <c r="D344" s="3" t="str">
        <f t="shared" si="39"/>
        <v/>
      </c>
      <c r="E344" s="3">
        <f t="shared" si="40"/>
        <v>147</v>
      </c>
      <c r="F344" s="5" t="str">
        <f>IF(C344=0,"Broadcast",IF(D344="",IF(E344="","",IF(E344&lt;128,"Verbind "&amp;E344,INDEX(KdoCodeTab,MATCH(E344,KdoWertTab,0)))),"StatusAbfr "&amp;D344))</f>
        <v>Space</v>
      </c>
      <c r="G344" t="str">
        <f t="shared" si="41"/>
        <v/>
      </c>
      <c r="H344" t="str">
        <f t="shared" si="42"/>
        <v>Space</v>
      </c>
      <c r="I344" t="str">
        <f t="shared" si="43"/>
        <v/>
      </c>
    </row>
    <row r="345" spans="1:9" x14ac:dyDescent="0.25">
      <c r="A345" t="s">
        <v>1339</v>
      </c>
      <c r="B345" s="6">
        <f t="shared" si="37"/>
        <v>9.9186666666666667</v>
      </c>
      <c r="C345" s="3">
        <f t="shared" si="38"/>
        <v>31</v>
      </c>
      <c r="D345" s="3" t="str">
        <f t="shared" si="39"/>
        <v/>
      </c>
      <c r="E345" s="3">
        <f t="shared" si="40"/>
        <v>150</v>
      </c>
      <c r="F345" s="5" t="str">
        <f>IF(C345=0,"Broadcast",IF(D345="",IF(E345="","",IF(E345&lt;128,"Verbind "&amp;E345,INDEX(KdoCodeTab,MATCH(E345,KdoWertTab,0)))),"StatusAbfr "&amp;D345))</f>
        <v>SpaceWdh</v>
      </c>
      <c r="G345" t="str">
        <f t="shared" si="41"/>
        <v/>
      </c>
      <c r="H345" t="str">
        <f t="shared" si="42"/>
        <v>SpaceWdh</v>
      </c>
      <c r="I345" t="str">
        <f t="shared" si="43"/>
        <v/>
      </c>
    </row>
    <row r="346" spans="1:9" x14ac:dyDescent="0.25">
      <c r="A346" t="s">
        <v>1340</v>
      </c>
      <c r="B346" s="6">
        <f t="shared" si="37"/>
        <v>9.9528333333333325</v>
      </c>
      <c r="C346" s="3">
        <f t="shared" si="38"/>
        <v>31</v>
      </c>
      <c r="D346" s="3" t="str">
        <f t="shared" si="39"/>
        <v/>
      </c>
      <c r="E346" s="3">
        <f t="shared" si="40"/>
        <v>156</v>
      </c>
      <c r="F346" s="5" t="str">
        <f>IF(C346=0,"Broadcast",IF(D346="",IF(E346="","",IF(E346&lt;128,"Verbind "&amp;E346,INDEX(KdoCodeTab,MATCH(E346,KdoWertTab,0)))),"StatusAbfr "&amp;D346))</f>
        <v>Mark</v>
      </c>
      <c r="G346" t="str">
        <f t="shared" si="41"/>
        <v/>
      </c>
      <c r="H346" t="str">
        <f t="shared" si="42"/>
        <v>Mark</v>
      </c>
      <c r="I346" t="str">
        <f t="shared" si="43"/>
        <v/>
      </c>
    </row>
    <row r="347" spans="1:9" x14ac:dyDescent="0.25">
      <c r="A347" t="s">
        <v>1341</v>
      </c>
      <c r="B347" s="6">
        <f t="shared" si="37"/>
        <v>9.9589999999999996</v>
      </c>
      <c r="C347" s="3">
        <f t="shared" si="38"/>
        <v>100</v>
      </c>
      <c r="D347" s="3" t="str">
        <f t="shared" si="39"/>
        <v/>
      </c>
      <c r="E347" s="3" t="str">
        <f t="shared" si="40"/>
        <v/>
      </c>
      <c r="F347" s="5" t="str">
        <f>IF(C347=0,"Broadcast",IF(D347="",IF(E347="","",IF(E347&lt;128,"Verbind "&amp;E347,INDEX(KdoCodeTab,MATCH(E347,KdoWertTab,0)))),"StatusAbfr "&amp;D347))</f>
        <v/>
      </c>
      <c r="G347" t="str">
        <f t="shared" si="41"/>
        <v/>
      </c>
      <c r="H347" t="str">
        <f t="shared" si="42"/>
        <v/>
      </c>
      <c r="I347" t="str">
        <f t="shared" si="43"/>
        <v/>
      </c>
    </row>
    <row r="348" spans="1:9" x14ac:dyDescent="0.25">
      <c r="A348" t="s">
        <v>1342</v>
      </c>
      <c r="B348" s="6">
        <f t="shared" si="37"/>
        <v>9.9976666666666674</v>
      </c>
      <c r="C348" s="3">
        <f t="shared" si="38"/>
        <v>101</v>
      </c>
      <c r="D348" s="3" t="str">
        <f t="shared" si="39"/>
        <v/>
      </c>
      <c r="E348" s="3">
        <f t="shared" si="40"/>
        <v>169</v>
      </c>
      <c r="F348" s="5" t="str">
        <f>IF(C348=0,"Broadcast",IF(D348="",IF(E348="","",IF(E348&lt;128,"Verbind "&amp;E348,INDEX(KdoCodeTab,MATCH(E348,KdoWertTab,0)))),"StatusAbfr "&amp;D348))</f>
        <v>BusLebenszeichen</v>
      </c>
      <c r="G348" t="str">
        <f t="shared" si="41"/>
        <v>BusLebenszeichen</v>
      </c>
      <c r="H348" t="str">
        <f t="shared" si="42"/>
        <v/>
      </c>
      <c r="I348" t="str">
        <f t="shared" si="43"/>
        <v/>
      </c>
    </row>
    <row r="349" spans="1:9" x14ac:dyDescent="0.25">
      <c r="A349" t="s">
        <v>1343</v>
      </c>
      <c r="B349" s="6">
        <f t="shared" si="37"/>
        <v>10.003333333333334</v>
      </c>
      <c r="C349" s="3">
        <f t="shared" si="38"/>
        <v>31</v>
      </c>
      <c r="D349" s="3" t="str">
        <f t="shared" si="39"/>
        <v/>
      </c>
      <c r="E349" s="3">
        <f t="shared" si="40"/>
        <v>147</v>
      </c>
      <c r="F349" s="5" t="str">
        <f>IF(C349=0,"Broadcast",IF(D349="",IF(E349="","",IF(E349&lt;128,"Verbind "&amp;E349,INDEX(KdoCodeTab,MATCH(E349,KdoWertTab,0)))),"StatusAbfr "&amp;D349))</f>
        <v>Space</v>
      </c>
      <c r="G349" t="str">
        <f t="shared" si="41"/>
        <v/>
      </c>
      <c r="H349" t="str">
        <f t="shared" si="42"/>
        <v>Space</v>
      </c>
      <c r="I349" t="str">
        <f t="shared" si="43"/>
        <v/>
      </c>
    </row>
    <row r="350" spans="1:9" x14ac:dyDescent="0.25">
      <c r="A350" t="s">
        <v>1344</v>
      </c>
      <c r="B350" s="6">
        <f t="shared" si="37"/>
        <v>10.009333333333334</v>
      </c>
      <c r="C350" s="3">
        <f t="shared" si="38"/>
        <v>31</v>
      </c>
      <c r="D350" s="3" t="str">
        <f t="shared" si="39"/>
        <v/>
      </c>
      <c r="E350" s="3">
        <f t="shared" si="40"/>
        <v>150</v>
      </c>
      <c r="F350" s="5" t="str">
        <f>IF(C350=0,"Broadcast",IF(D350="",IF(E350="","",IF(E350&lt;128,"Verbind "&amp;E350,INDEX(KdoCodeTab,MATCH(E350,KdoWertTab,0)))),"StatusAbfr "&amp;D350))</f>
        <v>SpaceWdh</v>
      </c>
      <c r="G350" t="str">
        <f t="shared" si="41"/>
        <v/>
      </c>
      <c r="H350" t="str">
        <f t="shared" si="42"/>
        <v>SpaceWdh</v>
      </c>
      <c r="I350" t="str">
        <f t="shared" si="43"/>
        <v/>
      </c>
    </row>
    <row r="351" spans="1:9" x14ac:dyDescent="0.25">
      <c r="A351" t="s">
        <v>1345</v>
      </c>
      <c r="B351" s="6">
        <f t="shared" si="37"/>
        <v>10.0235</v>
      </c>
      <c r="C351" s="3">
        <f t="shared" si="38"/>
        <v>31</v>
      </c>
      <c r="D351" s="3" t="str">
        <f t="shared" si="39"/>
        <v/>
      </c>
      <c r="E351" s="3">
        <f t="shared" si="40"/>
        <v>156</v>
      </c>
      <c r="F351" s="5" t="str">
        <f>IF(C351=0,"Broadcast",IF(D351="",IF(E351="","",IF(E351&lt;128,"Verbind "&amp;E351,INDEX(KdoCodeTab,MATCH(E351,KdoWertTab,0)))),"StatusAbfr "&amp;D351))</f>
        <v>Mark</v>
      </c>
      <c r="G351" t="str">
        <f t="shared" si="41"/>
        <v/>
      </c>
      <c r="H351" t="str">
        <f t="shared" si="42"/>
        <v>Mark</v>
      </c>
      <c r="I351" t="str">
        <f t="shared" si="43"/>
        <v/>
      </c>
    </row>
    <row r="352" spans="1:9" x14ac:dyDescent="0.25">
      <c r="A352" t="s">
        <v>1346</v>
      </c>
      <c r="B352" s="6">
        <f t="shared" si="37"/>
        <v>10.029500000000001</v>
      </c>
      <c r="C352" s="3">
        <f t="shared" si="38"/>
        <v>31</v>
      </c>
      <c r="D352" s="3" t="str">
        <f t="shared" si="39"/>
        <v/>
      </c>
      <c r="E352" s="3">
        <f t="shared" si="40"/>
        <v>154</v>
      </c>
      <c r="F352" s="5" t="str">
        <f>IF(C352=0,"Broadcast",IF(D352="",IF(E352="","",IF(E352&lt;128,"Verbind "&amp;E352,INDEX(KdoCodeTab,MATCH(E352,KdoWertTab,0)))),"StatusAbfr "&amp;D352))</f>
        <v>MarkWdh</v>
      </c>
      <c r="G352" t="str">
        <f t="shared" si="41"/>
        <v/>
      </c>
      <c r="H352" t="str">
        <f t="shared" si="42"/>
        <v>MarkWdh</v>
      </c>
      <c r="I352" t="str">
        <f t="shared" si="43"/>
        <v/>
      </c>
    </row>
    <row r="353" spans="1:9" x14ac:dyDescent="0.25">
      <c r="A353" t="s">
        <v>1347</v>
      </c>
      <c r="B353" s="6">
        <f t="shared" si="37"/>
        <v>10.154500000000001</v>
      </c>
      <c r="C353" s="3">
        <f t="shared" si="38"/>
        <v>31</v>
      </c>
      <c r="D353" s="3" t="str">
        <f t="shared" si="39"/>
        <v/>
      </c>
      <c r="E353" s="3">
        <f t="shared" si="40"/>
        <v>147</v>
      </c>
      <c r="F353" s="5" t="str">
        <f>IF(C353=0,"Broadcast",IF(D353="",IF(E353="","",IF(E353&lt;128,"Verbind "&amp;E353,INDEX(KdoCodeTab,MATCH(E353,KdoWertTab,0)))),"StatusAbfr "&amp;D353))</f>
        <v>Space</v>
      </c>
      <c r="G353" t="str">
        <f t="shared" si="41"/>
        <v/>
      </c>
      <c r="H353" t="str">
        <f t="shared" si="42"/>
        <v>Space</v>
      </c>
      <c r="I353" t="str">
        <f t="shared" si="43"/>
        <v/>
      </c>
    </row>
    <row r="354" spans="1:9" x14ac:dyDescent="0.25">
      <c r="A354" t="s">
        <v>1348</v>
      </c>
      <c r="B354" s="6">
        <f t="shared" si="37"/>
        <v>10.160500000000001</v>
      </c>
      <c r="C354" s="3">
        <f t="shared" si="38"/>
        <v>31</v>
      </c>
      <c r="D354" s="3" t="str">
        <f t="shared" si="39"/>
        <v/>
      </c>
      <c r="E354" s="3">
        <f t="shared" si="40"/>
        <v>150</v>
      </c>
      <c r="F354" s="5" t="str">
        <f>IF(C354=0,"Broadcast",IF(D354="",IF(E354="","",IF(E354&lt;128,"Verbind "&amp;E354,INDEX(KdoCodeTab,MATCH(E354,KdoWertTab,0)))),"StatusAbfr "&amp;D354))</f>
        <v>SpaceWdh</v>
      </c>
      <c r="G354" t="str">
        <f t="shared" si="41"/>
        <v/>
      </c>
      <c r="H354" t="str">
        <f t="shared" si="42"/>
        <v>SpaceWdh</v>
      </c>
      <c r="I354" t="str">
        <f t="shared" si="43"/>
        <v/>
      </c>
    </row>
    <row r="355" spans="1:9" x14ac:dyDescent="0.25">
      <c r="A355" t="s">
        <v>1349</v>
      </c>
      <c r="B355" s="6">
        <f t="shared" si="37"/>
        <v>10.174666666666667</v>
      </c>
      <c r="C355" s="3">
        <f t="shared" si="38"/>
        <v>31</v>
      </c>
      <c r="D355" s="3" t="str">
        <f t="shared" si="39"/>
        <v/>
      </c>
      <c r="E355" s="3">
        <f t="shared" si="40"/>
        <v>156</v>
      </c>
      <c r="F355" s="5" t="str">
        <f>IF(C355=0,"Broadcast",IF(D355="",IF(E355="","",IF(E355&lt;128,"Verbind "&amp;E355,INDEX(KdoCodeTab,MATCH(E355,KdoWertTab,0)))),"StatusAbfr "&amp;D355))</f>
        <v>Mark</v>
      </c>
      <c r="G355" t="str">
        <f t="shared" si="41"/>
        <v/>
      </c>
      <c r="H355" t="str">
        <f t="shared" si="42"/>
        <v>Mark</v>
      </c>
      <c r="I355" t="str">
        <f t="shared" si="43"/>
        <v/>
      </c>
    </row>
    <row r="356" spans="1:9" x14ac:dyDescent="0.25">
      <c r="A356" t="s">
        <v>1350</v>
      </c>
      <c r="B356" s="6">
        <f t="shared" si="37"/>
        <v>10.180666666666667</v>
      </c>
      <c r="C356" s="3">
        <f t="shared" si="38"/>
        <v>31</v>
      </c>
      <c r="D356" s="3" t="str">
        <f t="shared" si="39"/>
        <v/>
      </c>
      <c r="E356" s="3">
        <f t="shared" si="40"/>
        <v>154</v>
      </c>
      <c r="F356" s="5" t="str">
        <f>IF(C356=0,"Broadcast",IF(D356="",IF(E356="","",IF(E356&lt;128,"Verbind "&amp;E356,INDEX(KdoCodeTab,MATCH(E356,KdoWertTab,0)))),"StatusAbfr "&amp;D356))</f>
        <v>MarkWdh</v>
      </c>
      <c r="G356" t="str">
        <f t="shared" si="41"/>
        <v/>
      </c>
      <c r="H356" t="str">
        <f t="shared" si="42"/>
        <v>MarkWdh</v>
      </c>
      <c r="I356" t="str">
        <f t="shared" si="43"/>
        <v/>
      </c>
    </row>
    <row r="357" spans="1:9" x14ac:dyDescent="0.25">
      <c r="A357" t="s">
        <v>1351</v>
      </c>
      <c r="B357" s="6">
        <f t="shared" si="37"/>
        <v>10.215</v>
      </c>
      <c r="C357" s="3">
        <f t="shared" si="38"/>
        <v>31</v>
      </c>
      <c r="D357" s="3" t="str">
        <f t="shared" si="39"/>
        <v/>
      </c>
      <c r="E357" s="3">
        <f t="shared" si="40"/>
        <v>147</v>
      </c>
      <c r="F357" s="5" t="str">
        <f>IF(C357=0,"Broadcast",IF(D357="",IF(E357="","",IF(E357&lt;128,"Verbind "&amp;E357,INDEX(KdoCodeTab,MATCH(E357,KdoWertTab,0)))),"StatusAbfr "&amp;D357))</f>
        <v>Space</v>
      </c>
      <c r="G357" t="str">
        <f t="shared" si="41"/>
        <v/>
      </c>
      <c r="H357" t="str">
        <f t="shared" si="42"/>
        <v>Space</v>
      </c>
      <c r="I357" t="str">
        <f t="shared" si="43"/>
        <v/>
      </c>
    </row>
    <row r="358" spans="1:9" x14ac:dyDescent="0.25">
      <c r="A358" t="s">
        <v>1352</v>
      </c>
      <c r="B358" s="6">
        <f t="shared" si="37"/>
        <v>10.221</v>
      </c>
      <c r="C358" s="3">
        <f t="shared" si="38"/>
        <v>31</v>
      </c>
      <c r="D358" s="3" t="str">
        <f t="shared" si="39"/>
        <v/>
      </c>
      <c r="E358" s="3">
        <f t="shared" si="40"/>
        <v>150</v>
      </c>
      <c r="F358" s="5" t="str">
        <f>IF(C358=0,"Broadcast",IF(D358="",IF(E358="","",IF(E358&lt;128,"Verbind "&amp;E358,INDEX(KdoCodeTab,MATCH(E358,KdoWertTab,0)))),"StatusAbfr "&amp;D358))</f>
        <v>SpaceWdh</v>
      </c>
      <c r="G358" t="str">
        <f t="shared" si="41"/>
        <v/>
      </c>
      <c r="H358" t="str">
        <f t="shared" si="42"/>
        <v>SpaceWdh</v>
      </c>
      <c r="I358" t="str">
        <f t="shared" si="43"/>
        <v/>
      </c>
    </row>
    <row r="359" spans="1:9" x14ac:dyDescent="0.25">
      <c r="A359" t="s">
        <v>1353</v>
      </c>
      <c r="B359" s="6">
        <f t="shared" si="37"/>
        <v>10.275500000000001</v>
      </c>
      <c r="C359" s="3">
        <f t="shared" si="38"/>
        <v>31</v>
      </c>
      <c r="D359" s="3" t="str">
        <f t="shared" si="39"/>
        <v/>
      </c>
      <c r="E359" s="3">
        <f t="shared" si="40"/>
        <v>156</v>
      </c>
      <c r="F359" s="5" t="str">
        <f>IF(C359=0,"Broadcast",IF(D359="",IF(E359="","",IF(E359&lt;128,"Verbind "&amp;E359,INDEX(KdoCodeTab,MATCH(E359,KdoWertTab,0)))),"StatusAbfr "&amp;D359))</f>
        <v>Mark</v>
      </c>
      <c r="G359" t="str">
        <f t="shared" si="41"/>
        <v/>
      </c>
      <c r="H359" t="str">
        <f t="shared" si="42"/>
        <v>Mark</v>
      </c>
      <c r="I359" t="str">
        <f t="shared" si="43"/>
        <v/>
      </c>
    </row>
    <row r="360" spans="1:9" x14ac:dyDescent="0.25">
      <c r="A360" t="s">
        <v>1354</v>
      </c>
      <c r="B360" s="6">
        <f t="shared" si="37"/>
        <v>10.281500000000001</v>
      </c>
      <c r="C360" s="3">
        <f t="shared" si="38"/>
        <v>31</v>
      </c>
      <c r="D360" s="3" t="str">
        <f t="shared" si="39"/>
        <v/>
      </c>
      <c r="E360" s="3">
        <f t="shared" si="40"/>
        <v>154</v>
      </c>
      <c r="F360" s="5" t="str">
        <f>IF(C360=0,"Broadcast",IF(D360="",IF(E360="","",IF(E360&lt;128,"Verbind "&amp;E360,INDEX(KdoCodeTab,MATCH(E360,KdoWertTab,0)))),"StatusAbfr "&amp;D360))</f>
        <v>MarkWdh</v>
      </c>
      <c r="G360" t="str">
        <f t="shared" si="41"/>
        <v/>
      </c>
      <c r="H360" t="str">
        <f t="shared" si="42"/>
        <v>MarkWdh</v>
      </c>
      <c r="I360" t="str">
        <f t="shared" si="43"/>
        <v/>
      </c>
    </row>
    <row r="361" spans="1:9" x14ac:dyDescent="0.25">
      <c r="A361" t="s">
        <v>1355</v>
      </c>
      <c r="B361" s="6">
        <f t="shared" si="37"/>
        <v>10.313833333333333</v>
      </c>
      <c r="C361" s="3">
        <f t="shared" si="38"/>
        <v>31</v>
      </c>
      <c r="D361" s="3" t="str">
        <f t="shared" si="39"/>
        <v/>
      </c>
      <c r="E361" s="3">
        <f t="shared" si="40"/>
        <v>147</v>
      </c>
      <c r="F361" s="5" t="str">
        <f>IF(C361=0,"Broadcast",IF(D361="",IF(E361="","",IF(E361&lt;128,"Verbind "&amp;E361,INDEX(KdoCodeTab,MATCH(E361,KdoWertTab,0)))),"StatusAbfr "&amp;D361))</f>
        <v>Space</v>
      </c>
      <c r="G361" t="str">
        <f t="shared" si="41"/>
        <v/>
      </c>
      <c r="H361" t="str">
        <f t="shared" si="42"/>
        <v>Space</v>
      </c>
      <c r="I361" t="str">
        <f t="shared" si="43"/>
        <v/>
      </c>
    </row>
    <row r="362" spans="1:9" x14ac:dyDescent="0.25">
      <c r="A362" t="s">
        <v>1356</v>
      </c>
      <c r="B362" s="6">
        <f t="shared" si="37"/>
        <v>10.319833333333333</v>
      </c>
      <c r="C362" s="3">
        <f t="shared" si="38"/>
        <v>31</v>
      </c>
      <c r="D362" s="3" t="str">
        <f t="shared" si="39"/>
        <v/>
      </c>
      <c r="E362" s="3">
        <f t="shared" si="40"/>
        <v>150</v>
      </c>
      <c r="F362" s="5" t="str">
        <f>IF(C362=0,"Broadcast",IF(D362="",IF(E362="","",IF(E362&lt;128,"Verbind "&amp;E362,INDEX(KdoCodeTab,MATCH(E362,KdoWertTab,0)))),"StatusAbfr "&amp;D362))</f>
        <v>SpaceWdh</v>
      </c>
      <c r="G362" t="str">
        <f t="shared" si="41"/>
        <v/>
      </c>
      <c r="H362" t="str">
        <f t="shared" si="42"/>
        <v>SpaceWdh</v>
      </c>
      <c r="I362" t="str">
        <f t="shared" si="43"/>
        <v/>
      </c>
    </row>
    <row r="363" spans="1:9" x14ac:dyDescent="0.25">
      <c r="A363" t="s">
        <v>1357</v>
      </c>
      <c r="B363" s="6">
        <f t="shared" si="37"/>
        <v>10.374166666666667</v>
      </c>
      <c r="C363" s="3">
        <f t="shared" si="38"/>
        <v>31</v>
      </c>
      <c r="D363" s="3" t="str">
        <f t="shared" si="39"/>
        <v/>
      </c>
      <c r="E363" s="3">
        <f t="shared" si="40"/>
        <v>156</v>
      </c>
      <c r="F363" s="5" t="str">
        <f>IF(C363=0,"Broadcast",IF(D363="",IF(E363="","",IF(E363&lt;128,"Verbind "&amp;E363,INDEX(KdoCodeTab,MATCH(E363,KdoWertTab,0)))),"StatusAbfr "&amp;D363))</f>
        <v>Mark</v>
      </c>
      <c r="G363" t="str">
        <f t="shared" si="41"/>
        <v/>
      </c>
      <c r="H363" t="str">
        <f t="shared" si="42"/>
        <v>Mark</v>
      </c>
      <c r="I363" t="str">
        <f t="shared" si="43"/>
        <v/>
      </c>
    </row>
    <row r="364" spans="1:9" x14ac:dyDescent="0.25">
      <c r="A364" t="s">
        <v>1358</v>
      </c>
      <c r="B364" s="6">
        <f t="shared" si="37"/>
        <v>10.380333333333335</v>
      </c>
      <c r="C364" s="3">
        <f t="shared" si="38"/>
        <v>31</v>
      </c>
      <c r="D364" s="3" t="str">
        <f t="shared" si="39"/>
        <v/>
      </c>
      <c r="E364" s="3">
        <f t="shared" si="40"/>
        <v>154</v>
      </c>
      <c r="F364" s="5" t="str">
        <f>IF(C364=0,"Broadcast",IF(D364="",IF(E364="","",IF(E364&lt;128,"Verbind "&amp;E364,INDEX(KdoCodeTab,MATCH(E364,KdoWertTab,0)))),"StatusAbfr "&amp;D364))</f>
        <v>MarkWdh</v>
      </c>
      <c r="G364" t="str">
        <f t="shared" si="41"/>
        <v/>
      </c>
      <c r="H364" t="str">
        <f t="shared" si="42"/>
        <v>MarkWdh</v>
      </c>
      <c r="I364" t="str">
        <f t="shared" si="43"/>
        <v/>
      </c>
    </row>
    <row r="365" spans="1:9" x14ac:dyDescent="0.25">
      <c r="A365" t="s">
        <v>1359</v>
      </c>
      <c r="B365" s="6">
        <f t="shared" si="37"/>
        <v>10.394333333333334</v>
      </c>
      <c r="C365" s="3">
        <f t="shared" si="38"/>
        <v>31</v>
      </c>
      <c r="D365" s="3" t="str">
        <f t="shared" si="39"/>
        <v/>
      </c>
      <c r="E365" s="3">
        <f t="shared" si="40"/>
        <v>147</v>
      </c>
      <c r="F365" s="5" t="str">
        <f>IF(C365=0,"Broadcast",IF(D365="",IF(E365="","",IF(E365&lt;128,"Verbind "&amp;E365,INDEX(KdoCodeTab,MATCH(E365,KdoWertTab,0)))),"StatusAbfr "&amp;D365))</f>
        <v>Space</v>
      </c>
      <c r="G365" t="str">
        <f t="shared" si="41"/>
        <v/>
      </c>
      <c r="H365" t="str">
        <f t="shared" si="42"/>
        <v>Space</v>
      </c>
      <c r="I365" t="str">
        <f t="shared" si="43"/>
        <v/>
      </c>
    </row>
    <row r="366" spans="1:9" x14ac:dyDescent="0.25">
      <c r="A366" t="s">
        <v>1360</v>
      </c>
      <c r="B366" s="6">
        <f t="shared" si="37"/>
        <v>10.400500000000001</v>
      </c>
      <c r="C366" s="3">
        <f t="shared" si="38"/>
        <v>31</v>
      </c>
      <c r="D366" s="3" t="str">
        <f t="shared" si="39"/>
        <v/>
      </c>
      <c r="E366" s="3">
        <f t="shared" si="40"/>
        <v>150</v>
      </c>
      <c r="F366" s="5" t="str">
        <f>IF(C366=0,"Broadcast",IF(D366="",IF(E366="","",IF(E366&lt;128,"Verbind "&amp;E366,INDEX(KdoCodeTab,MATCH(E366,KdoWertTab,0)))),"StatusAbfr "&amp;D366))</f>
        <v>SpaceWdh</v>
      </c>
      <c r="G366" t="str">
        <f t="shared" si="41"/>
        <v/>
      </c>
      <c r="H366" t="str">
        <f t="shared" si="42"/>
        <v>SpaceWdh</v>
      </c>
      <c r="I366" t="str">
        <f t="shared" si="43"/>
        <v/>
      </c>
    </row>
    <row r="367" spans="1:9" x14ac:dyDescent="0.25">
      <c r="A367" t="s">
        <v>1361</v>
      </c>
      <c r="B367" s="6">
        <f t="shared" si="37"/>
        <v>10.434666666666667</v>
      </c>
      <c r="C367" s="3">
        <f t="shared" si="38"/>
        <v>31</v>
      </c>
      <c r="D367" s="3" t="str">
        <f t="shared" si="39"/>
        <v/>
      </c>
      <c r="E367" s="3">
        <f t="shared" si="40"/>
        <v>156</v>
      </c>
      <c r="F367" s="5" t="str">
        <f>IF(C367=0,"Broadcast",IF(D367="",IF(E367="","",IF(E367&lt;128,"Verbind "&amp;E367,INDEX(KdoCodeTab,MATCH(E367,KdoWertTab,0)))),"StatusAbfr "&amp;D367))</f>
        <v>Mark</v>
      </c>
      <c r="G367" t="str">
        <f t="shared" si="41"/>
        <v/>
      </c>
      <c r="H367" t="str">
        <f t="shared" si="42"/>
        <v>Mark</v>
      </c>
      <c r="I367" t="str">
        <f t="shared" si="43"/>
        <v/>
      </c>
    </row>
    <row r="368" spans="1:9" x14ac:dyDescent="0.25">
      <c r="A368" t="s">
        <v>1362</v>
      </c>
      <c r="B368" s="6">
        <f t="shared" si="37"/>
        <v>10.440833333333332</v>
      </c>
      <c r="C368" s="3">
        <f t="shared" si="38"/>
        <v>31</v>
      </c>
      <c r="D368" s="3" t="str">
        <f t="shared" si="39"/>
        <v/>
      </c>
      <c r="E368" s="3">
        <f t="shared" si="40"/>
        <v>154</v>
      </c>
      <c r="F368" s="5" t="str">
        <f>IF(C368=0,"Broadcast",IF(D368="",IF(E368="","",IF(E368&lt;128,"Verbind "&amp;E368,INDEX(KdoCodeTab,MATCH(E368,KdoWertTab,0)))),"StatusAbfr "&amp;D368))</f>
        <v>MarkWdh</v>
      </c>
      <c r="G368" t="str">
        <f t="shared" si="41"/>
        <v/>
      </c>
      <c r="H368" t="str">
        <f t="shared" si="42"/>
        <v>MarkWdh</v>
      </c>
      <c r="I368" t="str">
        <f t="shared" si="43"/>
        <v/>
      </c>
    </row>
    <row r="369" spans="1:9" x14ac:dyDescent="0.25">
      <c r="A369" t="s">
        <v>1363</v>
      </c>
      <c r="B369" s="6">
        <f t="shared" si="37"/>
        <v>10.485166666666666</v>
      </c>
      <c r="C369" s="3">
        <f t="shared" si="38"/>
        <v>31</v>
      </c>
      <c r="D369" s="3" t="str">
        <f t="shared" si="39"/>
        <v/>
      </c>
      <c r="E369" s="3">
        <f t="shared" si="40"/>
        <v>147</v>
      </c>
      <c r="F369" s="5" t="str">
        <f>IF(C369=0,"Broadcast",IF(D369="",IF(E369="","",IF(E369&lt;128,"Verbind "&amp;E369,INDEX(KdoCodeTab,MATCH(E369,KdoWertTab,0)))),"StatusAbfr "&amp;D369))</f>
        <v>Space</v>
      </c>
      <c r="G369" t="str">
        <f t="shared" si="41"/>
        <v/>
      </c>
      <c r="H369" t="str">
        <f t="shared" si="42"/>
        <v>Space</v>
      </c>
      <c r="I369" t="str">
        <f t="shared" si="43"/>
        <v/>
      </c>
    </row>
    <row r="370" spans="1:9" x14ac:dyDescent="0.25">
      <c r="A370" t="s">
        <v>1364</v>
      </c>
      <c r="B370" s="6">
        <f t="shared" si="37"/>
        <v>10.491166666666667</v>
      </c>
      <c r="C370" s="3">
        <f t="shared" si="38"/>
        <v>31</v>
      </c>
      <c r="D370" s="3" t="str">
        <f t="shared" si="39"/>
        <v/>
      </c>
      <c r="E370" s="3">
        <f t="shared" si="40"/>
        <v>150</v>
      </c>
      <c r="F370" s="5" t="str">
        <f>IF(C370=0,"Broadcast",IF(D370="",IF(E370="","",IF(E370&lt;128,"Verbind "&amp;E370,INDEX(KdoCodeTab,MATCH(E370,KdoWertTab,0)))),"StatusAbfr "&amp;D370))</f>
        <v>SpaceWdh</v>
      </c>
      <c r="G370" t="str">
        <f t="shared" si="41"/>
        <v/>
      </c>
      <c r="H370" t="str">
        <f t="shared" si="42"/>
        <v>SpaceWdh</v>
      </c>
      <c r="I370" t="str">
        <f t="shared" si="43"/>
        <v/>
      </c>
    </row>
    <row r="371" spans="1:9" x14ac:dyDescent="0.25">
      <c r="A371" t="s">
        <v>1365</v>
      </c>
      <c r="B371" s="6">
        <f t="shared" si="37"/>
        <v>10.586</v>
      </c>
      <c r="C371" s="3">
        <f t="shared" si="38"/>
        <v>31</v>
      </c>
      <c r="D371" s="3" t="str">
        <f t="shared" si="39"/>
        <v/>
      </c>
      <c r="E371" s="3">
        <f t="shared" si="40"/>
        <v>156</v>
      </c>
      <c r="F371" s="5" t="str">
        <f>IF(C371=0,"Broadcast",IF(D371="",IF(E371="","",IF(E371&lt;128,"Verbind "&amp;E371,INDEX(KdoCodeTab,MATCH(E371,KdoWertTab,0)))),"StatusAbfr "&amp;D371))</f>
        <v>Mark</v>
      </c>
      <c r="G371" t="str">
        <f t="shared" si="41"/>
        <v/>
      </c>
      <c r="H371" t="str">
        <f t="shared" si="42"/>
        <v>Mark</v>
      </c>
      <c r="I371" t="str">
        <f t="shared" si="43"/>
        <v/>
      </c>
    </row>
    <row r="372" spans="1:9" x14ac:dyDescent="0.25">
      <c r="A372" t="s">
        <v>1366</v>
      </c>
      <c r="B372" s="6">
        <f t="shared" si="37"/>
        <v>10.592000000000001</v>
      </c>
      <c r="C372" s="3">
        <f t="shared" si="38"/>
        <v>31</v>
      </c>
      <c r="D372" s="3" t="str">
        <f t="shared" si="39"/>
        <v/>
      </c>
      <c r="E372" s="3">
        <f t="shared" si="40"/>
        <v>154</v>
      </c>
      <c r="F372" s="5" t="str">
        <f>IF(C372=0,"Broadcast",IF(D372="",IF(E372="","",IF(E372&lt;128,"Verbind "&amp;E372,INDEX(KdoCodeTab,MATCH(E372,KdoWertTab,0)))),"StatusAbfr "&amp;D372))</f>
        <v>MarkWdh</v>
      </c>
      <c r="G372" t="str">
        <f t="shared" si="41"/>
        <v/>
      </c>
      <c r="H372" t="str">
        <f t="shared" si="42"/>
        <v>MarkWdh</v>
      </c>
      <c r="I372" t="str">
        <f t="shared" si="43"/>
        <v/>
      </c>
    </row>
    <row r="373" spans="1:9" x14ac:dyDescent="0.25">
      <c r="A373" t="s">
        <v>1367</v>
      </c>
      <c r="B373" s="6">
        <f t="shared" si="37"/>
        <v>10.656500000000001</v>
      </c>
      <c r="C373" s="3">
        <f t="shared" si="38"/>
        <v>31</v>
      </c>
      <c r="D373" s="3" t="str">
        <f t="shared" si="39"/>
        <v/>
      </c>
      <c r="E373" s="3">
        <f t="shared" si="40"/>
        <v>147</v>
      </c>
      <c r="F373" s="5" t="str">
        <f>IF(C373=0,"Broadcast",IF(D373="",IF(E373="","",IF(E373&lt;128,"Verbind "&amp;E373,INDEX(KdoCodeTab,MATCH(E373,KdoWertTab,0)))),"StatusAbfr "&amp;D373))</f>
        <v>Space</v>
      </c>
      <c r="G373" t="str">
        <f t="shared" si="41"/>
        <v/>
      </c>
      <c r="H373" t="str">
        <f t="shared" si="42"/>
        <v>Space</v>
      </c>
      <c r="I373" t="str">
        <f t="shared" si="43"/>
        <v/>
      </c>
    </row>
    <row r="374" spans="1:9" x14ac:dyDescent="0.25">
      <c r="A374" t="s">
        <v>1368</v>
      </c>
      <c r="B374" s="6">
        <f t="shared" si="37"/>
        <v>10.662500000000001</v>
      </c>
      <c r="C374" s="3">
        <f t="shared" si="38"/>
        <v>31</v>
      </c>
      <c r="D374" s="3" t="str">
        <f t="shared" si="39"/>
        <v/>
      </c>
      <c r="E374" s="3">
        <f t="shared" si="40"/>
        <v>150</v>
      </c>
      <c r="F374" s="5" t="str">
        <f>IF(C374=0,"Broadcast",IF(D374="",IF(E374="","",IF(E374&lt;128,"Verbind "&amp;E374,INDEX(KdoCodeTab,MATCH(E374,KdoWertTab,0)))),"StatusAbfr "&amp;D374))</f>
        <v>SpaceWdh</v>
      </c>
      <c r="G374" t="str">
        <f t="shared" si="41"/>
        <v/>
      </c>
      <c r="H374" t="str">
        <f t="shared" si="42"/>
        <v>SpaceWdh</v>
      </c>
      <c r="I374" t="str">
        <f t="shared" si="43"/>
        <v/>
      </c>
    </row>
    <row r="375" spans="1:9" x14ac:dyDescent="0.25">
      <c r="A375" t="s">
        <v>1369</v>
      </c>
      <c r="B375" s="6">
        <f t="shared" si="37"/>
        <v>10.679500000000001</v>
      </c>
      <c r="C375" s="3">
        <f t="shared" si="38"/>
        <v>101</v>
      </c>
      <c r="D375" s="3" t="str">
        <f t="shared" si="39"/>
        <v/>
      </c>
      <c r="E375" s="3">
        <f t="shared" si="40"/>
        <v>169</v>
      </c>
      <c r="F375" s="5" t="str">
        <f>IF(C375=0,"Broadcast",IF(D375="",IF(E375="","",IF(E375&lt;128,"Verbind "&amp;E375,INDEX(KdoCodeTab,MATCH(E375,KdoWertTab,0)))),"StatusAbfr "&amp;D375))</f>
        <v>BusLebenszeichen</v>
      </c>
      <c r="G375" t="str">
        <f t="shared" si="41"/>
        <v>BusLebenszeichen</v>
      </c>
      <c r="H375" t="str">
        <f t="shared" si="42"/>
        <v/>
      </c>
      <c r="I375" t="str">
        <f t="shared" si="43"/>
        <v/>
      </c>
    </row>
    <row r="376" spans="1:9" x14ac:dyDescent="0.25">
      <c r="A376" t="s">
        <v>1370</v>
      </c>
      <c r="B376" s="6">
        <f t="shared" si="37"/>
        <v>10.696833333333332</v>
      </c>
      <c r="C376" s="3">
        <f t="shared" si="38"/>
        <v>31</v>
      </c>
      <c r="D376" s="3" t="str">
        <f t="shared" si="39"/>
        <v/>
      </c>
      <c r="E376" s="3">
        <f t="shared" si="40"/>
        <v>156</v>
      </c>
      <c r="F376" s="5" t="str">
        <f>IF(C376=0,"Broadcast",IF(D376="",IF(E376="","",IF(E376&lt;128,"Verbind "&amp;E376,INDEX(KdoCodeTab,MATCH(E376,KdoWertTab,0)))),"StatusAbfr "&amp;D376))</f>
        <v>Mark</v>
      </c>
      <c r="G376" t="str">
        <f t="shared" si="41"/>
        <v/>
      </c>
      <c r="H376" t="str">
        <f t="shared" si="42"/>
        <v>Mark</v>
      </c>
      <c r="I376" t="str">
        <f t="shared" si="43"/>
        <v/>
      </c>
    </row>
    <row r="377" spans="1:9" x14ac:dyDescent="0.25">
      <c r="A377" t="s">
        <v>1371</v>
      </c>
      <c r="B377" s="6">
        <f t="shared" si="37"/>
        <v>10.702833333333333</v>
      </c>
      <c r="C377" s="3">
        <f t="shared" si="38"/>
        <v>31</v>
      </c>
      <c r="D377" s="3" t="str">
        <f t="shared" si="39"/>
        <v/>
      </c>
      <c r="E377" s="3">
        <f t="shared" si="40"/>
        <v>154</v>
      </c>
      <c r="F377" s="5" t="str">
        <f>IF(C377=0,"Broadcast",IF(D377="",IF(E377="","",IF(E377&lt;128,"Verbind "&amp;E377,INDEX(KdoCodeTab,MATCH(E377,KdoWertTab,0)))),"StatusAbfr "&amp;D377))</f>
        <v>MarkWdh</v>
      </c>
      <c r="G377" t="str">
        <f t="shared" si="41"/>
        <v/>
      </c>
      <c r="H377" t="str">
        <f t="shared" si="42"/>
        <v>MarkWdh</v>
      </c>
      <c r="I377" t="str">
        <f t="shared" si="43"/>
        <v/>
      </c>
    </row>
    <row r="378" spans="1:9" x14ac:dyDescent="0.25">
      <c r="A378" t="s">
        <v>1372</v>
      </c>
      <c r="B378" s="6">
        <f t="shared" si="37"/>
        <v>10.717000000000001</v>
      </c>
      <c r="C378" s="3">
        <f t="shared" si="38"/>
        <v>31</v>
      </c>
      <c r="D378" s="3" t="str">
        <f t="shared" si="39"/>
        <v/>
      </c>
      <c r="E378" s="3">
        <f t="shared" si="40"/>
        <v>147</v>
      </c>
      <c r="F378" s="5" t="str">
        <f>IF(C378=0,"Broadcast",IF(D378="",IF(E378="","",IF(E378&lt;128,"Verbind "&amp;E378,INDEX(KdoCodeTab,MATCH(E378,KdoWertTab,0)))),"StatusAbfr "&amp;D378))</f>
        <v>Space</v>
      </c>
      <c r="G378" t="str">
        <f t="shared" si="41"/>
        <v/>
      </c>
      <c r="H378" t="str">
        <f t="shared" si="42"/>
        <v>Space</v>
      </c>
      <c r="I378" t="str">
        <f t="shared" si="43"/>
        <v/>
      </c>
    </row>
    <row r="379" spans="1:9" x14ac:dyDescent="0.25">
      <c r="A379" t="s">
        <v>1373</v>
      </c>
      <c r="B379" s="6">
        <f t="shared" si="37"/>
        <v>10.723000000000001</v>
      </c>
      <c r="C379" s="3">
        <f t="shared" si="38"/>
        <v>31</v>
      </c>
      <c r="D379" s="3" t="str">
        <f t="shared" si="39"/>
        <v/>
      </c>
      <c r="E379" s="3">
        <f t="shared" si="40"/>
        <v>150</v>
      </c>
      <c r="F379" s="5" t="str">
        <f>IF(C379=0,"Broadcast",IF(D379="",IF(E379="","",IF(E379&lt;128,"Verbind "&amp;E379,INDEX(KdoCodeTab,MATCH(E379,KdoWertTab,0)))),"StatusAbfr "&amp;D379))</f>
        <v>SpaceWdh</v>
      </c>
      <c r="G379" t="str">
        <f t="shared" si="41"/>
        <v/>
      </c>
      <c r="H379" t="str">
        <f t="shared" si="42"/>
        <v>SpaceWdh</v>
      </c>
      <c r="I379" t="str">
        <f t="shared" si="43"/>
        <v/>
      </c>
    </row>
    <row r="380" spans="1:9" x14ac:dyDescent="0.25">
      <c r="A380" t="s">
        <v>1374</v>
      </c>
      <c r="B380" s="6">
        <f t="shared" si="37"/>
        <v>10.737166666666667</v>
      </c>
      <c r="C380" s="3">
        <f t="shared" si="38"/>
        <v>31</v>
      </c>
      <c r="D380" s="3" t="str">
        <f t="shared" si="39"/>
        <v/>
      </c>
      <c r="E380" s="3">
        <f t="shared" si="40"/>
        <v>156</v>
      </c>
      <c r="F380" s="5" t="str">
        <f>IF(C380=0,"Broadcast",IF(D380="",IF(E380="","",IF(E380&lt;128,"Verbind "&amp;E380,INDEX(KdoCodeTab,MATCH(E380,KdoWertTab,0)))),"StatusAbfr "&amp;D380))</f>
        <v>Mark</v>
      </c>
      <c r="G380" t="str">
        <f t="shared" si="41"/>
        <v/>
      </c>
      <c r="H380" t="str">
        <f t="shared" si="42"/>
        <v>Mark</v>
      </c>
      <c r="I380" t="str">
        <f t="shared" si="43"/>
        <v/>
      </c>
    </row>
    <row r="381" spans="1:9" x14ac:dyDescent="0.25">
      <c r="A381" t="s">
        <v>1375</v>
      </c>
      <c r="B381" s="6">
        <f t="shared" si="37"/>
        <v>10.743166666666667</v>
      </c>
      <c r="C381" s="3">
        <f t="shared" si="38"/>
        <v>31</v>
      </c>
      <c r="D381" s="3" t="str">
        <f t="shared" si="39"/>
        <v/>
      </c>
      <c r="E381" s="3">
        <f t="shared" si="40"/>
        <v>154</v>
      </c>
      <c r="F381" s="5" t="str">
        <f>IF(C381=0,"Broadcast",IF(D381="",IF(E381="","",IF(E381&lt;128,"Verbind "&amp;E381,INDEX(KdoCodeTab,MATCH(E381,KdoWertTab,0)))),"StatusAbfr "&amp;D381))</f>
        <v>MarkWdh</v>
      </c>
      <c r="G381" t="str">
        <f t="shared" si="41"/>
        <v/>
      </c>
      <c r="H381" t="str">
        <f t="shared" si="42"/>
        <v>MarkWdh</v>
      </c>
      <c r="I381" t="str">
        <f t="shared" si="43"/>
        <v/>
      </c>
    </row>
    <row r="382" spans="1:9" x14ac:dyDescent="0.25">
      <c r="A382" t="s">
        <v>1376</v>
      </c>
      <c r="B382" s="6">
        <f t="shared" si="37"/>
        <v>10.757333333333333</v>
      </c>
      <c r="C382" s="3">
        <f t="shared" si="38"/>
        <v>31</v>
      </c>
      <c r="D382" s="3" t="str">
        <f t="shared" si="39"/>
        <v/>
      </c>
      <c r="E382" s="3">
        <f t="shared" si="40"/>
        <v>147</v>
      </c>
      <c r="F382" s="5" t="str">
        <f>IF(C382=0,"Broadcast",IF(D382="",IF(E382="","",IF(E382&lt;128,"Verbind "&amp;E382,INDEX(KdoCodeTab,MATCH(E382,KdoWertTab,0)))),"StatusAbfr "&amp;D382))</f>
        <v>Space</v>
      </c>
      <c r="G382" t="str">
        <f t="shared" si="41"/>
        <v/>
      </c>
      <c r="H382" t="str">
        <f t="shared" si="42"/>
        <v>Space</v>
      </c>
      <c r="I382" t="str">
        <f t="shared" si="43"/>
        <v/>
      </c>
    </row>
    <row r="383" spans="1:9" x14ac:dyDescent="0.25">
      <c r="A383" t="s">
        <v>1377</v>
      </c>
      <c r="B383" s="6">
        <f t="shared" si="37"/>
        <v>10.763333333333334</v>
      </c>
      <c r="C383" s="3">
        <f t="shared" si="38"/>
        <v>31</v>
      </c>
      <c r="D383" s="3" t="str">
        <f t="shared" si="39"/>
        <v/>
      </c>
      <c r="E383" s="3">
        <f t="shared" si="40"/>
        <v>150</v>
      </c>
      <c r="F383" s="5" t="str">
        <f>IF(C383=0,"Broadcast",IF(D383="",IF(E383="","",IF(E383&lt;128,"Verbind "&amp;E383,INDEX(KdoCodeTab,MATCH(E383,KdoWertTab,0)))),"StatusAbfr "&amp;D383))</f>
        <v>SpaceWdh</v>
      </c>
      <c r="G383" t="str">
        <f t="shared" si="41"/>
        <v/>
      </c>
      <c r="H383" t="str">
        <f t="shared" si="42"/>
        <v>SpaceWdh</v>
      </c>
      <c r="I383" t="str">
        <f t="shared" si="43"/>
        <v/>
      </c>
    </row>
    <row r="384" spans="1:9" x14ac:dyDescent="0.25">
      <c r="A384" t="s">
        <v>1378</v>
      </c>
      <c r="B384" s="6">
        <f t="shared" si="37"/>
        <v>10.7775</v>
      </c>
      <c r="C384" s="3">
        <f t="shared" si="38"/>
        <v>31</v>
      </c>
      <c r="D384" s="3" t="str">
        <f t="shared" si="39"/>
        <v/>
      </c>
      <c r="E384" s="3">
        <f t="shared" si="40"/>
        <v>156</v>
      </c>
      <c r="F384" s="5" t="str">
        <f>IF(C384=0,"Broadcast",IF(D384="",IF(E384="","",IF(E384&lt;128,"Verbind "&amp;E384,INDEX(KdoCodeTab,MATCH(E384,KdoWertTab,0)))),"StatusAbfr "&amp;D384))</f>
        <v>Mark</v>
      </c>
      <c r="G384" t="str">
        <f t="shared" si="41"/>
        <v/>
      </c>
      <c r="H384" t="str">
        <f t="shared" si="42"/>
        <v>Mark</v>
      </c>
      <c r="I384" t="str">
        <f t="shared" si="43"/>
        <v/>
      </c>
    </row>
    <row r="385" spans="1:9" x14ac:dyDescent="0.25">
      <c r="A385" t="s">
        <v>1379</v>
      </c>
      <c r="B385" s="6">
        <f t="shared" si="37"/>
        <v>10.7835</v>
      </c>
      <c r="C385" s="3">
        <f t="shared" si="38"/>
        <v>31</v>
      </c>
      <c r="D385" s="3" t="str">
        <f t="shared" si="39"/>
        <v/>
      </c>
      <c r="E385" s="3">
        <f t="shared" si="40"/>
        <v>154</v>
      </c>
      <c r="F385" s="5" t="str">
        <f>IF(C385=0,"Broadcast",IF(D385="",IF(E385="","",IF(E385&lt;128,"Verbind "&amp;E385,INDEX(KdoCodeTab,MATCH(E385,KdoWertTab,0)))),"StatusAbfr "&amp;D385))</f>
        <v>MarkWdh</v>
      </c>
      <c r="G385" t="str">
        <f t="shared" si="41"/>
        <v/>
      </c>
      <c r="H385" t="str">
        <f t="shared" si="42"/>
        <v>MarkWdh</v>
      </c>
      <c r="I385" t="str">
        <f t="shared" si="43"/>
        <v/>
      </c>
    </row>
    <row r="386" spans="1:9" x14ac:dyDescent="0.25">
      <c r="A386" t="s">
        <v>1380</v>
      </c>
      <c r="B386" s="6">
        <f t="shared" si="37"/>
        <v>10.825833333333332</v>
      </c>
      <c r="C386" s="3">
        <f t="shared" si="38"/>
        <v>31</v>
      </c>
      <c r="D386" s="3" t="str">
        <f t="shared" si="39"/>
        <v/>
      </c>
      <c r="E386" s="3">
        <f t="shared" si="40"/>
        <v>147</v>
      </c>
      <c r="F386" s="5" t="str">
        <f>IF(C386=0,"Broadcast",IF(D386="",IF(E386="","",IF(E386&lt;128,"Verbind "&amp;E386,INDEX(KdoCodeTab,MATCH(E386,KdoWertTab,0)))),"StatusAbfr "&amp;D386))</f>
        <v>Space</v>
      </c>
      <c r="G386" t="str">
        <f t="shared" si="41"/>
        <v/>
      </c>
      <c r="H386" t="str">
        <f t="shared" si="42"/>
        <v>Space</v>
      </c>
      <c r="I386" t="str">
        <f t="shared" si="43"/>
        <v/>
      </c>
    </row>
    <row r="387" spans="1:9" x14ac:dyDescent="0.25">
      <c r="A387" t="s">
        <v>1381</v>
      </c>
      <c r="B387" s="6">
        <f t="shared" si="37"/>
        <v>10.831833333333332</v>
      </c>
      <c r="C387" s="3">
        <f t="shared" si="38"/>
        <v>31</v>
      </c>
      <c r="D387" s="3" t="str">
        <f t="shared" si="39"/>
        <v/>
      </c>
      <c r="E387" s="3">
        <f t="shared" si="40"/>
        <v>150</v>
      </c>
      <c r="F387" s="5" t="str">
        <f>IF(C387=0,"Broadcast",IF(D387="",IF(E387="","",IF(E387&lt;128,"Verbind "&amp;E387,INDEX(KdoCodeTab,MATCH(E387,KdoWertTab,0)))),"StatusAbfr "&amp;D387))</f>
        <v>SpaceWdh</v>
      </c>
      <c r="G387" t="str">
        <f t="shared" si="41"/>
        <v/>
      </c>
      <c r="H387" t="str">
        <f t="shared" si="42"/>
        <v>SpaceWdh</v>
      </c>
      <c r="I387" t="str">
        <f t="shared" si="43"/>
        <v/>
      </c>
    </row>
    <row r="388" spans="1:9" x14ac:dyDescent="0.25">
      <c r="A388" t="s">
        <v>1382</v>
      </c>
      <c r="B388" s="6">
        <f t="shared" si="37"/>
        <v>10.846</v>
      </c>
      <c r="C388" s="3">
        <f t="shared" si="38"/>
        <v>19</v>
      </c>
      <c r="D388" s="3" t="str">
        <f t="shared" si="39"/>
        <v/>
      </c>
      <c r="E388" s="3" t="str">
        <f t="shared" si="40"/>
        <v/>
      </c>
      <c r="F388" s="5" t="str">
        <f>IF(C388=0,"Broadcast",IF(D388="",IF(E388="","",IF(E388&lt;128,"Verbind "&amp;E388,INDEX(KdoCodeTab,MATCH(E388,KdoWertTab,0)))),"StatusAbfr "&amp;D388))</f>
        <v/>
      </c>
      <c r="G388" t="str">
        <f t="shared" si="41"/>
        <v/>
      </c>
      <c r="H388" t="str">
        <f t="shared" si="42"/>
        <v/>
      </c>
      <c r="I388" t="str">
        <f t="shared" si="43"/>
        <v/>
      </c>
    </row>
    <row r="389" spans="1:9" x14ac:dyDescent="0.25">
      <c r="A389" t="s">
        <v>1383</v>
      </c>
      <c r="B389" s="6">
        <f t="shared" ref="B389:B452" si="44">MID(A389,1,5)/1000+(CODE(MID(A389,6,1))-CODE("a"))/6000</f>
        <v>10.852</v>
      </c>
      <c r="C389" s="3">
        <f t="shared" ref="C389:C452" si="45">INT(HEX2DEC(MID(A389,8,2))/2)</f>
        <v>31</v>
      </c>
      <c r="D389" s="3" t="str">
        <f t="shared" ref="D389:D442" si="46">IF(MID(A389,10,1)="&lt;",MID(A389,12,2),"")</f>
        <v/>
      </c>
      <c r="E389" s="3">
        <f t="shared" ref="E389:E442" si="47">IF(MID(A389,10,1)="&gt;",HEX2DEC(MID(A389,12,2)),"")</f>
        <v>154</v>
      </c>
      <c r="F389" s="5" t="str">
        <f>IF(C389=0,"Broadcast",IF(D389="",IF(E389="","",IF(E389&lt;128,"Verbind "&amp;E389,INDEX(KdoCodeTab,MATCH(E389,KdoWertTab,0)))),"StatusAbfr "&amp;D389))</f>
        <v>MarkWdh</v>
      </c>
      <c r="G389" t="str">
        <f t="shared" ref="G389:G442" si="48">IF(C389=$G$2,F389,"")</f>
        <v/>
      </c>
      <c r="H389" t="str">
        <f t="shared" ref="H389:H442" si="49">IF(C389=$H$2,F389,"")</f>
        <v>MarkWdh</v>
      </c>
      <c r="I389" t="str">
        <f t="shared" ref="I389:I442" si="50">IF(G389&amp;H389="",F389,"")</f>
        <v/>
      </c>
    </row>
    <row r="390" spans="1:9" x14ac:dyDescent="0.25">
      <c r="A390" t="s">
        <v>1384</v>
      </c>
      <c r="B390" s="6">
        <f t="shared" si="44"/>
        <v>10.866166666666667</v>
      </c>
      <c r="C390" s="3">
        <f t="shared" si="45"/>
        <v>31</v>
      </c>
      <c r="D390" s="3" t="str">
        <f t="shared" si="46"/>
        <v/>
      </c>
      <c r="E390" s="3">
        <f t="shared" si="47"/>
        <v>147</v>
      </c>
      <c r="F390" s="5" t="str">
        <f>IF(C390=0,"Broadcast",IF(D390="",IF(E390="","",IF(E390&lt;128,"Verbind "&amp;E390,INDEX(KdoCodeTab,MATCH(E390,KdoWertTab,0)))),"StatusAbfr "&amp;D390))</f>
        <v>Space</v>
      </c>
      <c r="G390" t="str">
        <f t="shared" si="48"/>
        <v/>
      </c>
      <c r="H390" t="str">
        <f t="shared" si="49"/>
        <v>Space</v>
      </c>
      <c r="I390" t="str">
        <f t="shared" si="50"/>
        <v/>
      </c>
    </row>
    <row r="391" spans="1:9" x14ac:dyDescent="0.25">
      <c r="A391" t="s">
        <v>1385</v>
      </c>
      <c r="B391" s="6">
        <f t="shared" si="44"/>
        <v>10.872166666666667</v>
      </c>
      <c r="C391" s="3">
        <f t="shared" si="45"/>
        <v>31</v>
      </c>
      <c r="D391" s="3" t="str">
        <f t="shared" si="46"/>
        <v/>
      </c>
      <c r="E391" s="3">
        <f t="shared" si="47"/>
        <v>150</v>
      </c>
      <c r="F391" s="5" t="str">
        <f>IF(C391=0,"Broadcast",IF(D391="",IF(E391="","",IF(E391&lt;128,"Verbind "&amp;E391,INDEX(KdoCodeTab,MATCH(E391,KdoWertTab,0)))),"StatusAbfr "&amp;D391))</f>
        <v>SpaceWdh</v>
      </c>
      <c r="G391" t="str">
        <f t="shared" si="48"/>
        <v/>
      </c>
      <c r="H391" t="str">
        <f t="shared" si="49"/>
        <v>SpaceWdh</v>
      </c>
      <c r="I391" t="str">
        <f t="shared" si="50"/>
        <v/>
      </c>
    </row>
    <row r="392" spans="1:9" x14ac:dyDescent="0.25">
      <c r="A392" t="s">
        <v>1386</v>
      </c>
      <c r="B392" s="6">
        <f t="shared" si="44"/>
        <v>2.4166666666666666E-2</v>
      </c>
      <c r="C392" s="3">
        <f t="shared" si="45"/>
        <v>31</v>
      </c>
      <c r="D392" s="3" t="str">
        <f t="shared" si="46"/>
        <v/>
      </c>
      <c r="E392" s="3">
        <f t="shared" si="47"/>
        <v>156</v>
      </c>
      <c r="F392" s="5" t="str">
        <f>IF(C392=0,"Broadcast",IF(D392="",IF(E392="","",IF(E392&lt;128,"Verbind "&amp;E392,INDEX(KdoCodeTab,MATCH(E392,KdoWertTab,0)))),"StatusAbfr "&amp;D392))</f>
        <v>Mark</v>
      </c>
      <c r="G392" t="str">
        <f t="shared" si="48"/>
        <v/>
      </c>
      <c r="H392" t="str">
        <f t="shared" si="49"/>
        <v>Mark</v>
      </c>
      <c r="I392" t="str">
        <f t="shared" si="50"/>
        <v/>
      </c>
    </row>
    <row r="393" spans="1:9" x14ac:dyDescent="0.25">
      <c r="A393" t="s">
        <v>1387</v>
      </c>
      <c r="B393" s="6">
        <f t="shared" si="44"/>
        <v>3.0166666666666665E-2</v>
      </c>
      <c r="C393" s="3">
        <f t="shared" si="45"/>
        <v>31</v>
      </c>
      <c r="D393" s="3" t="str">
        <f t="shared" si="46"/>
        <v/>
      </c>
      <c r="E393" s="3">
        <f t="shared" si="47"/>
        <v>154</v>
      </c>
      <c r="F393" s="5" t="str">
        <f>IF(C393=0,"Broadcast",IF(D393="",IF(E393="","",IF(E393&lt;128,"Verbind "&amp;E393,INDEX(KdoCodeTab,MATCH(E393,KdoWertTab,0)))),"StatusAbfr "&amp;D393))</f>
        <v>MarkWdh</v>
      </c>
      <c r="G393" t="str">
        <f t="shared" si="48"/>
        <v/>
      </c>
      <c r="H393" t="str">
        <f t="shared" si="49"/>
        <v>MarkWdh</v>
      </c>
      <c r="I393" t="str">
        <f t="shared" si="50"/>
        <v/>
      </c>
    </row>
    <row r="394" spans="1:9" x14ac:dyDescent="0.25">
      <c r="A394" t="s">
        <v>1388</v>
      </c>
      <c r="B394" s="6">
        <f t="shared" si="44"/>
        <v>7.4499999999999997E-2</v>
      </c>
      <c r="C394" s="3">
        <f t="shared" si="45"/>
        <v>31</v>
      </c>
      <c r="D394" s="3" t="str">
        <f t="shared" si="46"/>
        <v/>
      </c>
      <c r="E394" s="3">
        <f t="shared" si="47"/>
        <v>147</v>
      </c>
      <c r="F394" s="5" t="str">
        <f>IF(C394=0,"Broadcast",IF(D394="",IF(E394="","",IF(E394&lt;128,"Verbind "&amp;E394,INDEX(KdoCodeTab,MATCH(E394,KdoWertTab,0)))),"StatusAbfr "&amp;D394))</f>
        <v>Space</v>
      </c>
      <c r="G394" t="str">
        <f t="shared" si="48"/>
        <v/>
      </c>
      <c r="H394" t="str">
        <f t="shared" si="49"/>
        <v>Space</v>
      </c>
      <c r="I394" t="str">
        <f t="shared" si="50"/>
        <v/>
      </c>
    </row>
    <row r="395" spans="1:9" x14ac:dyDescent="0.25">
      <c r="A395" t="s">
        <v>1389</v>
      </c>
      <c r="B395" s="6">
        <f t="shared" si="44"/>
        <v>8.0500000000000002E-2</v>
      </c>
      <c r="C395" s="3">
        <f t="shared" si="45"/>
        <v>31</v>
      </c>
      <c r="D395" s="3" t="str">
        <f t="shared" si="46"/>
        <v/>
      </c>
      <c r="E395" s="3">
        <f t="shared" si="47"/>
        <v>150</v>
      </c>
      <c r="F395" s="5" t="str">
        <f>IF(C395=0,"Broadcast",IF(D395="",IF(E395="","",IF(E395&lt;128,"Verbind "&amp;E395,INDEX(KdoCodeTab,MATCH(E395,KdoWertTab,0)))),"StatusAbfr "&amp;D395))</f>
        <v>SpaceWdh</v>
      </c>
      <c r="G395" t="str">
        <f t="shared" si="48"/>
        <v/>
      </c>
      <c r="H395" t="str">
        <f t="shared" si="49"/>
        <v>SpaceWdh</v>
      </c>
      <c r="I395" t="str">
        <f t="shared" si="50"/>
        <v/>
      </c>
    </row>
    <row r="396" spans="1:9" x14ac:dyDescent="0.25">
      <c r="A396" t="s">
        <v>1390</v>
      </c>
      <c r="B396" s="6">
        <f t="shared" si="44"/>
        <v>9.4666666666666663E-2</v>
      </c>
      <c r="C396" s="3">
        <f t="shared" si="45"/>
        <v>31</v>
      </c>
      <c r="D396" s="3" t="str">
        <f t="shared" si="46"/>
        <v/>
      </c>
      <c r="E396" s="3">
        <f t="shared" si="47"/>
        <v>156</v>
      </c>
      <c r="F396" s="5" t="str">
        <f>IF(C396=0,"Broadcast",IF(D396="",IF(E396="","",IF(E396&lt;128,"Verbind "&amp;E396,INDEX(KdoCodeTab,MATCH(E396,KdoWertTab,0)))),"StatusAbfr "&amp;D396))</f>
        <v>Mark</v>
      </c>
      <c r="G396" t="str">
        <f t="shared" si="48"/>
        <v/>
      </c>
      <c r="H396" t="str">
        <f t="shared" si="49"/>
        <v>Mark</v>
      </c>
      <c r="I396" t="str">
        <f t="shared" si="50"/>
        <v/>
      </c>
    </row>
    <row r="397" spans="1:9" x14ac:dyDescent="0.25">
      <c r="A397" t="s">
        <v>1391</v>
      </c>
      <c r="B397" s="6">
        <f t="shared" si="44"/>
        <v>0.10066666666666667</v>
      </c>
      <c r="C397" s="3">
        <f t="shared" si="45"/>
        <v>31</v>
      </c>
      <c r="D397" s="3" t="str">
        <f t="shared" si="46"/>
        <v/>
      </c>
      <c r="E397" s="3">
        <f t="shared" si="47"/>
        <v>154</v>
      </c>
      <c r="F397" s="5" t="str">
        <f>IF(C397=0,"Broadcast",IF(D397="",IF(E397="","",IF(E397&lt;128,"Verbind "&amp;E397,INDEX(KdoCodeTab,MATCH(E397,KdoWertTab,0)))),"StatusAbfr "&amp;D397))</f>
        <v>MarkWdh</v>
      </c>
      <c r="G397" t="str">
        <f t="shared" si="48"/>
        <v/>
      </c>
      <c r="H397" t="str">
        <f t="shared" si="49"/>
        <v>MarkWdh</v>
      </c>
      <c r="I397" t="str">
        <f t="shared" si="50"/>
        <v/>
      </c>
    </row>
    <row r="398" spans="1:9" x14ac:dyDescent="0.25">
      <c r="A398" t="s">
        <v>1392</v>
      </c>
      <c r="B398" s="6">
        <f t="shared" si="44"/>
        <v>0.15516666666666667</v>
      </c>
      <c r="C398" s="3">
        <f t="shared" si="45"/>
        <v>31</v>
      </c>
      <c r="D398" s="3" t="str">
        <f t="shared" si="46"/>
        <v/>
      </c>
      <c r="E398" s="3">
        <f t="shared" si="47"/>
        <v>147</v>
      </c>
      <c r="F398" s="5" t="str">
        <f>IF(C398=0,"Broadcast",IF(D398="",IF(E398="","",IF(E398&lt;128,"Verbind "&amp;E398,INDEX(KdoCodeTab,MATCH(E398,KdoWertTab,0)))),"StatusAbfr "&amp;D398))</f>
        <v>Space</v>
      </c>
      <c r="G398" t="str">
        <f t="shared" si="48"/>
        <v/>
      </c>
      <c r="H398" t="str">
        <f t="shared" si="49"/>
        <v>Space</v>
      </c>
      <c r="I398" t="str">
        <f t="shared" si="50"/>
        <v/>
      </c>
    </row>
    <row r="399" spans="1:9" x14ac:dyDescent="0.25">
      <c r="A399" t="s">
        <v>1393</v>
      </c>
      <c r="B399" s="6">
        <f t="shared" si="44"/>
        <v>0.16116666666666668</v>
      </c>
      <c r="C399" s="3">
        <f t="shared" si="45"/>
        <v>31</v>
      </c>
      <c r="D399" s="3" t="str">
        <f t="shared" si="46"/>
        <v/>
      </c>
      <c r="E399" s="3">
        <f t="shared" si="47"/>
        <v>150</v>
      </c>
      <c r="F399" s="5" t="str">
        <f>IF(C399=0,"Broadcast",IF(D399="",IF(E399="","",IF(E399&lt;128,"Verbind "&amp;E399,INDEX(KdoCodeTab,MATCH(E399,KdoWertTab,0)))),"StatusAbfr "&amp;D399))</f>
        <v>SpaceWdh</v>
      </c>
      <c r="G399" t="str">
        <f t="shared" si="48"/>
        <v/>
      </c>
      <c r="H399" t="str">
        <f t="shared" si="49"/>
        <v>SpaceWdh</v>
      </c>
      <c r="I399" t="str">
        <f t="shared" si="50"/>
        <v/>
      </c>
    </row>
    <row r="400" spans="1:9" x14ac:dyDescent="0.25">
      <c r="A400" t="s">
        <v>1394</v>
      </c>
      <c r="B400" s="6">
        <f t="shared" si="44"/>
        <v>0.19550000000000001</v>
      </c>
      <c r="C400" s="3">
        <f t="shared" si="45"/>
        <v>31</v>
      </c>
      <c r="D400" s="3" t="str">
        <f t="shared" si="46"/>
        <v/>
      </c>
      <c r="E400" s="3">
        <f t="shared" si="47"/>
        <v>156</v>
      </c>
      <c r="F400" s="5" t="str">
        <f>IF(C400=0,"Broadcast",IF(D400="",IF(E400="","",IF(E400&lt;128,"Verbind "&amp;E400,INDEX(KdoCodeTab,MATCH(E400,KdoWertTab,0)))),"StatusAbfr "&amp;D400))</f>
        <v>Mark</v>
      </c>
      <c r="G400" t="str">
        <f t="shared" si="48"/>
        <v/>
      </c>
      <c r="H400" t="str">
        <f t="shared" si="49"/>
        <v>Mark</v>
      </c>
      <c r="I400" t="str">
        <f t="shared" si="50"/>
        <v/>
      </c>
    </row>
    <row r="401" spans="1:9" x14ac:dyDescent="0.25">
      <c r="A401" t="s">
        <v>1395</v>
      </c>
      <c r="B401" s="6">
        <f t="shared" si="44"/>
        <v>0.20150000000000001</v>
      </c>
      <c r="C401" s="3">
        <f t="shared" si="45"/>
        <v>31</v>
      </c>
      <c r="D401" s="3" t="str">
        <f t="shared" si="46"/>
        <v/>
      </c>
      <c r="E401" s="3">
        <f t="shared" si="47"/>
        <v>154</v>
      </c>
      <c r="F401" s="5" t="str">
        <f>IF(C401=0,"Broadcast",IF(D401="",IF(E401="","",IF(E401&lt;128,"Verbind "&amp;E401,INDEX(KdoCodeTab,MATCH(E401,KdoWertTab,0)))),"StatusAbfr "&amp;D401))</f>
        <v>MarkWdh</v>
      </c>
      <c r="G401" t="str">
        <f t="shared" si="48"/>
        <v/>
      </c>
      <c r="H401" t="str">
        <f t="shared" si="49"/>
        <v>MarkWdh</v>
      </c>
      <c r="I401" t="str">
        <f t="shared" si="50"/>
        <v/>
      </c>
    </row>
    <row r="402" spans="1:9" x14ac:dyDescent="0.25">
      <c r="A402" t="s">
        <v>1396</v>
      </c>
      <c r="B402" s="6">
        <f t="shared" si="44"/>
        <v>0.24383333333333332</v>
      </c>
      <c r="C402" s="3">
        <f t="shared" si="45"/>
        <v>31</v>
      </c>
      <c r="D402" s="3" t="str">
        <f t="shared" si="46"/>
        <v/>
      </c>
      <c r="E402" s="3">
        <f t="shared" si="47"/>
        <v>147</v>
      </c>
      <c r="F402" s="5" t="str">
        <f>IF(C402=0,"Broadcast",IF(D402="",IF(E402="","",IF(E402&lt;128,"Verbind "&amp;E402,INDEX(KdoCodeTab,MATCH(E402,KdoWertTab,0)))),"StatusAbfr "&amp;D402))</f>
        <v>Space</v>
      </c>
      <c r="G402" t="str">
        <f t="shared" si="48"/>
        <v/>
      </c>
      <c r="H402" t="str">
        <f t="shared" si="49"/>
        <v>Space</v>
      </c>
      <c r="I402" t="str">
        <f t="shared" si="50"/>
        <v/>
      </c>
    </row>
    <row r="403" spans="1:9" x14ac:dyDescent="0.25">
      <c r="A403" t="s">
        <v>1397</v>
      </c>
      <c r="B403" s="6">
        <f t="shared" si="44"/>
        <v>0.24983333333333332</v>
      </c>
      <c r="C403" s="3">
        <f t="shared" si="45"/>
        <v>18</v>
      </c>
      <c r="D403" s="3" t="str">
        <f t="shared" si="46"/>
        <v/>
      </c>
      <c r="E403" s="3" t="str">
        <f t="shared" si="47"/>
        <v/>
      </c>
      <c r="F403" s="5" t="str">
        <f>IF(C403=0,"Broadcast",IF(D403="",IF(E403="","",IF(E403&lt;128,"Verbind "&amp;E403,INDEX(KdoCodeTab,MATCH(E403,KdoWertTab,0)))),"StatusAbfr "&amp;D403))</f>
        <v/>
      </c>
      <c r="G403" t="str">
        <f t="shared" si="48"/>
        <v/>
      </c>
      <c r="H403" t="str">
        <f t="shared" si="49"/>
        <v/>
      </c>
      <c r="I403" t="str">
        <f t="shared" si="50"/>
        <v/>
      </c>
    </row>
    <row r="404" spans="1:9" x14ac:dyDescent="0.25">
      <c r="A404" t="s">
        <v>1398</v>
      </c>
      <c r="B404" s="6">
        <f t="shared" si="44"/>
        <v>0.30433333333333334</v>
      </c>
      <c r="C404" s="3">
        <f t="shared" si="45"/>
        <v>31</v>
      </c>
      <c r="D404" s="3" t="str">
        <f t="shared" si="46"/>
        <v/>
      </c>
      <c r="E404" s="3">
        <f t="shared" si="47"/>
        <v>156</v>
      </c>
      <c r="F404" s="5" t="str">
        <f>IF(C404=0,"Broadcast",IF(D404="",IF(E404="","",IF(E404&lt;128,"Verbind "&amp;E404,INDEX(KdoCodeTab,MATCH(E404,KdoWertTab,0)))),"StatusAbfr "&amp;D404))</f>
        <v>Mark</v>
      </c>
      <c r="G404" t="str">
        <f t="shared" si="48"/>
        <v/>
      </c>
      <c r="H404" t="str">
        <f t="shared" si="49"/>
        <v>Mark</v>
      </c>
      <c r="I404" t="str">
        <f t="shared" si="50"/>
        <v/>
      </c>
    </row>
    <row r="405" spans="1:9" x14ac:dyDescent="0.25">
      <c r="A405" t="s">
        <v>1399</v>
      </c>
      <c r="B405" s="6">
        <f t="shared" si="44"/>
        <v>0.31066666666666665</v>
      </c>
      <c r="C405" s="3">
        <f t="shared" si="45"/>
        <v>19</v>
      </c>
      <c r="D405" s="3" t="str">
        <f t="shared" si="46"/>
        <v/>
      </c>
      <c r="E405" s="3">
        <f t="shared" si="47"/>
        <v>0</v>
      </c>
      <c r="F405" s="5" t="str">
        <f>IF(C405=0,"Broadcast",IF(D405="",IF(E405="","",IF(E405&lt;128,"Verbind "&amp;E405,INDEX(KdoCodeTab,MATCH(E405,KdoWertTab,0)))),"StatusAbfr "&amp;D405))</f>
        <v>Verbind 0</v>
      </c>
      <c r="G405" t="str">
        <f t="shared" si="48"/>
        <v/>
      </c>
      <c r="H405" t="str">
        <f t="shared" si="49"/>
        <v/>
      </c>
      <c r="I405" t="str">
        <f t="shared" si="50"/>
        <v>Verbind 0</v>
      </c>
    </row>
    <row r="406" spans="1:9" x14ac:dyDescent="0.25">
      <c r="A406" t="s">
        <v>1400</v>
      </c>
      <c r="B406" s="6">
        <f t="shared" si="44"/>
        <v>0.32450000000000001</v>
      </c>
      <c r="C406" s="3">
        <f t="shared" si="45"/>
        <v>31</v>
      </c>
      <c r="D406" s="3" t="str">
        <f t="shared" si="46"/>
        <v/>
      </c>
      <c r="E406" s="3">
        <f t="shared" si="47"/>
        <v>147</v>
      </c>
      <c r="F406" s="5" t="str">
        <f>IF(C406=0,"Broadcast",IF(D406="",IF(E406="","",IF(E406&lt;128,"Verbind "&amp;E406,INDEX(KdoCodeTab,MATCH(E406,KdoWertTab,0)))),"StatusAbfr "&amp;D406))</f>
        <v>Space</v>
      </c>
      <c r="G406" t="str">
        <f t="shared" si="48"/>
        <v/>
      </c>
      <c r="H406" t="str">
        <f t="shared" si="49"/>
        <v>Space</v>
      </c>
      <c r="I406" t="str">
        <f t="shared" si="50"/>
        <v/>
      </c>
    </row>
    <row r="407" spans="1:9" x14ac:dyDescent="0.25">
      <c r="A407" t="s">
        <v>1401</v>
      </c>
      <c r="B407" s="6">
        <f t="shared" si="44"/>
        <v>0.33050000000000002</v>
      </c>
      <c r="C407" s="3">
        <f t="shared" si="45"/>
        <v>31</v>
      </c>
      <c r="D407" s="3" t="str">
        <f t="shared" si="46"/>
        <v/>
      </c>
      <c r="E407" s="3">
        <f t="shared" si="47"/>
        <v>150</v>
      </c>
      <c r="F407" s="5" t="str">
        <f>IF(C407=0,"Broadcast",IF(D407="",IF(E407="","",IF(E407&lt;128,"Verbind "&amp;E407,INDEX(KdoCodeTab,MATCH(E407,KdoWertTab,0)))),"StatusAbfr "&amp;D407))</f>
        <v>SpaceWdh</v>
      </c>
      <c r="G407" t="str">
        <f t="shared" si="48"/>
        <v/>
      </c>
      <c r="H407" t="str">
        <f t="shared" si="49"/>
        <v>SpaceWdh</v>
      </c>
      <c r="I407" t="str">
        <f t="shared" si="50"/>
        <v/>
      </c>
    </row>
    <row r="408" spans="1:9" x14ac:dyDescent="0.25">
      <c r="A408" t="s">
        <v>3</v>
      </c>
      <c r="B408" s="6">
        <f t="shared" si="44"/>
        <v>0.36483333333333334</v>
      </c>
      <c r="C408" s="3">
        <f t="shared" si="45"/>
        <v>31</v>
      </c>
      <c r="D408" s="3" t="str">
        <f t="shared" si="46"/>
        <v/>
      </c>
      <c r="E408" s="3">
        <f t="shared" si="47"/>
        <v>156</v>
      </c>
      <c r="F408" s="5" t="str">
        <f>IF(C408=0,"Broadcast",IF(D408="",IF(E408="","",IF(E408&lt;128,"Verbind "&amp;E408,INDEX(KdoCodeTab,MATCH(E408,KdoWertTab,0)))),"StatusAbfr "&amp;D408))</f>
        <v>Mark</v>
      </c>
      <c r="G408" t="str">
        <f t="shared" si="48"/>
        <v/>
      </c>
      <c r="H408" t="str">
        <f t="shared" si="49"/>
        <v>Mark</v>
      </c>
      <c r="I408" t="str">
        <f t="shared" si="50"/>
        <v/>
      </c>
    </row>
    <row r="409" spans="1:9" x14ac:dyDescent="0.25">
      <c r="A409" t="s">
        <v>1402</v>
      </c>
      <c r="B409" s="6">
        <f t="shared" si="44"/>
        <v>0.37083333333333335</v>
      </c>
      <c r="C409" s="3">
        <f t="shared" si="45"/>
        <v>31</v>
      </c>
      <c r="D409" s="3" t="str">
        <f t="shared" si="46"/>
        <v/>
      </c>
      <c r="E409" s="3">
        <f t="shared" si="47"/>
        <v>154</v>
      </c>
      <c r="F409" s="5" t="str">
        <f>IF(C409=0,"Broadcast",IF(D409="",IF(E409="","",IF(E409&lt;128,"Verbind "&amp;E409,INDEX(KdoCodeTab,MATCH(E409,KdoWertTab,0)))),"StatusAbfr "&amp;D409))</f>
        <v>MarkWdh</v>
      </c>
      <c r="G409" t="str">
        <f t="shared" si="48"/>
        <v/>
      </c>
      <c r="H409" t="str">
        <f t="shared" si="49"/>
        <v>MarkWdh</v>
      </c>
      <c r="I409" t="str">
        <f t="shared" si="50"/>
        <v/>
      </c>
    </row>
    <row r="410" spans="1:9" x14ac:dyDescent="0.25">
      <c r="A410" t="s">
        <v>1403</v>
      </c>
      <c r="B410" s="6">
        <f t="shared" si="44"/>
        <v>0.41516666666666663</v>
      </c>
      <c r="C410" s="3">
        <f t="shared" si="45"/>
        <v>18</v>
      </c>
      <c r="D410" s="3" t="str">
        <f t="shared" si="46"/>
        <v/>
      </c>
      <c r="E410" s="3">
        <f t="shared" si="47"/>
        <v>0</v>
      </c>
      <c r="F410" s="5" t="str">
        <f>IF(C410=0,"Broadcast",IF(D410="",IF(E410="","",IF(E410&lt;128,"Verbind "&amp;E410,INDEX(KdoCodeTab,MATCH(E410,KdoWertTab,0)))),"StatusAbfr "&amp;D410))</f>
        <v>Verbind 0</v>
      </c>
      <c r="G410" t="str">
        <f t="shared" si="48"/>
        <v/>
      </c>
      <c r="H410" t="str">
        <f t="shared" si="49"/>
        <v/>
      </c>
      <c r="I410" t="str">
        <f t="shared" si="50"/>
        <v>Verbind 0</v>
      </c>
    </row>
    <row r="411" spans="1:9" x14ac:dyDescent="0.25">
      <c r="A411" t="s">
        <v>1404</v>
      </c>
      <c r="B411" s="6">
        <f t="shared" si="44"/>
        <v>0.42133333333333334</v>
      </c>
      <c r="C411" s="3">
        <f t="shared" si="45"/>
        <v>31</v>
      </c>
      <c r="D411" s="3" t="str">
        <f t="shared" si="46"/>
        <v/>
      </c>
      <c r="E411" s="3">
        <f t="shared" si="47"/>
        <v>150</v>
      </c>
      <c r="F411" s="5" t="str">
        <f>IF(C411=0,"Broadcast",IF(D411="",IF(E411="","",IF(E411&lt;128,"Verbind "&amp;E411,INDEX(KdoCodeTab,MATCH(E411,KdoWertTab,0)))),"StatusAbfr "&amp;D411))</f>
        <v>SpaceWdh</v>
      </c>
      <c r="G411" t="str">
        <f t="shared" si="48"/>
        <v/>
      </c>
      <c r="H411" t="str">
        <f t="shared" si="49"/>
        <v>SpaceWdh</v>
      </c>
      <c r="I411" t="str">
        <f t="shared" si="50"/>
        <v/>
      </c>
    </row>
    <row r="412" spans="1:9" x14ac:dyDescent="0.25">
      <c r="A412" t="s">
        <v>1405</v>
      </c>
      <c r="B412" s="6">
        <f t="shared" si="44"/>
        <v>0.43533333333333335</v>
      </c>
      <c r="C412" s="3">
        <f t="shared" si="45"/>
        <v>31</v>
      </c>
      <c r="D412" s="3" t="str">
        <f t="shared" si="46"/>
        <v/>
      </c>
      <c r="E412" s="3">
        <f t="shared" si="47"/>
        <v>156</v>
      </c>
      <c r="F412" s="5" t="str">
        <f>IF(C412=0,"Broadcast",IF(D412="",IF(E412="","",IF(E412&lt;128,"Verbind "&amp;E412,INDEX(KdoCodeTab,MATCH(E412,KdoWertTab,0)))),"StatusAbfr "&amp;D412))</f>
        <v>Mark</v>
      </c>
      <c r="G412" t="str">
        <f t="shared" si="48"/>
        <v/>
      </c>
      <c r="H412" t="str">
        <f t="shared" si="49"/>
        <v>Mark</v>
      </c>
      <c r="I412" t="str">
        <f t="shared" si="50"/>
        <v/>
      </c>
    </row>
    <row r="413" spans="1:9" x14ac:dyDescent="0.25">
      <c r="A413" t="s">
        <v>1406</v>
      </c>
      <c r="B413" s="6">
        <f t="shared" si="44"/>
        <v>0.43866666666666665</v>
      </c>
      <c r="C413" s="3">
        <f t="shared" si="45"/>
        <v>101</v>
      </c>
      <c r="D413" s="3" t="str">
        <f t="shared" si="46"/>
        <v/>
      </c>
      <c r="E413" s="3">
        <f t="shared" si="47"/>
        <v>169</v>
      </c>
      <c r="F413" s="5" t="str">
        <f>IF(C413=0,"Broadcast",IF(D413="",IF(E413="","",IF(E413&lt;128,"Verbind "&amp;E413,INDEX(KdoCodeTab,MATCH(E413,KdoWertTab,0)))),"StatusAbfr "&amp;D413))</f>
        <v>BusLebenszeichen</v>
      </c>
      <c r="G413" t="str">
        <f t="shared" si="48"/>
        <v>BusLebenszeichen</v>
      </c>
      <c r="H413" t="str">
        <f t="shared" si="49"/>
        <v/>
      </c>
      <c r="I413" t="str">
        <f t="shared" si="50"/>
        <v/>
      </c>
    </row>
    <row r="414" spans="1:9" x14ac:dyDescent="0.25">
      <c r="A414" t="s">
        <v>1407</v>
      </c>
      <c r="B414" s="6">
        <f t="shared" si="44"/>
        <v>0.4415</v>
      </c>
      <c r="C414" s="3">
        <f t="shared" si="45"/>
        <v>31</v>
      </c>
      <c r="D414" s="3" t="str">
        <f t="shared" si="46"/>
        <v/>
      </c>
      <c r="E414" s="3">
        <f t="shared" si="47"/>
        <v>154</v>
      </c>
      <c r="F414" s="5" t="str">
        <f>IF(C414=0,"Broadcast",IF(D414="",IF(E414="","",IF(E414&lt;128,"Verbind "&amp;E414,INDEX(KdoCodeTab,MATCH(E414,KdoWertTab,0)))),"StatusAbfr "&amp;D414))</f>
        <v>MarkWdh</v>
      </c>
      <c r="G414" t="str">
        <f t="shared" si="48"/>
        <v/>
      </c>
      <c r="H414" t="str">
        <f t="shared" si="49"/>
        <v>MarkWdh</v>
      </c>
      <c r="I414" t="str">
        <f t="shared" si="50"/>
        <v/>
      </c>
    </row>
    <row r="415" spans="1:9" x14ac:dyDescent="0.25">
      <c r="A415" t="s">
        <v>1408</v>
      </c>
      <c r="B415" s="6">
        <f t="shared" si="44"/>
        <v>0.45550000000000002</v>
      </c>
      <c r="C415" s="3">
        <f t="shared" si="45"/>
        <v>31</v>
      </c>
      <c r="D415" s="3" t="str">
        <f t="shared" si="46"/>
        <v/>
      </c>
      <c r="E415" s="3">
        <f t="shared" si="47"/>
        <v>147</v>
      </c>
      <c r="F415" s="5" t="str">
        <f>IF(C415=0,"Broadcast",IF(D415="",IF(E415="","",IF(E415&lt;128,"Verbind "&amp;E415,INDEX(KdoCodeTab,MATCH(E415,KdoWertTab,0)))),"StatusAbfr "&amp;D415))</f>
        <v>Space</v>
      </c>
      <c r="G415" t="str">
        <f t="shared" si="48"/>
        <v/>
      </c>
      <c r="H415" t="str">
        <f t="shared" si="49"/>
        <v>Space</v>
      </c>
      <c r="I415" t="str">
        <f t="shared" si="50"/>
        <v/>
      </c>
    </row>
    <row r="416" spans="1:9" x14ac:dyDescent="0.25">
      <c r="A416" t="s">
        <v>1409</v>
      </c>
      <c r="B416" s="6">
        <f t="shared" si="44"/>
        <v>0.46166666666666667</v>
      </c>
      <c r="C416" s="3">
        <f t="shared" si="45"/>
        <v>31</v>
      </c>
      <c r="D416" s="3" t="str">
        <f t="shared" si="46"/>
        <v/>
      </c>
      <c r="E416" s="3">
        <f t="shared" si="47"/>
        <v>150</v>
      </c>
      <c r="F416" s="5" t="str">
        <f>IF(C416=0,"Broadcast",IF(D416="",IF(E416="","",IF(E416&lt;128,"Verbind "&amp;E416,INDEX(KdoCodeTab,MATCH(E416,KdoWertTab,0)))),"StatusAbfr "&amp;D416))</f>
        <v>SpaceWdh</v>
      </c>
      <c r="G416" t="str">
        <f t="shared" si="48"/>
        <v/>
      </c>
      <c r="H416" t="str">
        <f t="shared" si="49"/>
        <v>SpaceWdh</v>
      </c>
      <c r="I416" t="str">
        <f t="shared" si="50"/>
        <v/>
      </c>
    </row>
    <row r="417" spans="1:9" x14ac:dyDescent="0.25">
      <c r="A417" t="s">
        <v>1410</v>
      </c>
      <c r="B417" s="6">
        <f t="shared" si="44"/>
        <v>0.49583333333333335</v>
      </c>
      <c r="C417" s="3">
        <f t="shared" si="45"/>
        <v>31</v>
      </c>
      <c r="D417" s="3" t="str">
        <f t="shared" si="46"/>
        <v/>
      </c>
      <c r="E417" s="3">
        <f t="shared" si="47"/>
        <v>156</v>
      </c>
      <c r="F417" s="5" t="str">
        <f>IF(C417=0,"Broadcast",IF(D417="",IF(E417="","",IF(E417&lt;128,"Verbind "&amp;E417,INDEX(KdoCodeTab,MATCH(E417,KdoWertTab,0)))),"StatusAbfr "&amp;D417))</f>
        <v>Mark</v>
      </c>
      <c r="G417" t="str">
        <f t="shared" si="48"/>
        <v/>
      </c>
      <c r="H417" t="str">
        <f t="shared" si="49"/>
        <v>Mark</v>
      </c>
      <c r="I417" t="str">
        <f t="shared" si="50"/>
        <v/>
      </c>
    </row>
    <row r="418" spans="1:9" x14ac:dyDescent="0.25">
      <c r="A418" t="s">
        <v>1411</v>
      </c>
      <c r="B418" s="6">
        <f t="shared" si="44"/>
        <v>0.50183333333333335</v>
      </c>
      <c r="C418" s="3">
        <f t="shared" si="45"/>
        <v>31</v>
      </c>
      <c r="D418" s="3" t="str">
        <f t="shared" si="46"/>
        <v/>
      </c>
      <c r="E418" s="3">
        <f t="shared" si="47"/>
        <v>154</v>
      </c>
      <c r="F418" s="5" t="str">
        <f>IF(C418=0,"Broadcast",IF(D418="",IF(E418="","",IF(E418&lt;128,"Verbind "&amp;E418,INDEX(KdoCodeTab,MATCH(E418,KdoWertTab,0)))),"StatusAbfr "&amp;D418))</f>
        <v>MarkWdh</v>
      </c>
      <c r="G418" t="str">
        <f t="shared" si="48"/>
        <v/>
      </c>
      <c r="H418" t="str">
        <f t="shared" si="49"/>
        <v>MarkWdh</v>
      </c>
      <c r="I418" t="str">
        <f t="shared" si="50"/>
        <v/>
      </c>
    </row>
    <row r="419" spans="1:9" x14ac:dyDescent="0.25">
      <c r="A419" t="s">
        <v>1412</v>
      </c>
      <c r="B419" s="6">
        <f t="shared" si="44"/>
        <v>0.51600000000000001</v>
      </c>
      <c r="C419" s="3">
        <f t="shared" si="45"/>
        <v>31</v>
      </c>
      <c r="D419" s="3" t="str">
        <f t="shared" si="46"/>
        <v/>
      </c>
      <c r="E419" s="3">
        <f t="shared" si="47"/>
        <v>147</v>
      </c>
      <c r="F419" s="5" t="str">
        <f>IF(C419=0,"Broadcast",IF(D419="",IF(E419="","",IF(E419&lt;128,"Verbind "&amp;E419,INDEX(KdoCodeTab,MATCH(E419,KdoWertTab,0)))),"StatusAbfr "&amp;D419))</f>
        <v>Space</v>
      </c>
      <c r="G419" t="str">
        <f t="shared" si="48"/>
        <v/>
      </c>
      <c r="H419" t="str">
        <f t="shared" si="49"/>
        <v>Space</v>
      </c>
      <c r="I419" t="str">
        <f t="shared" si="50"/>
        <v/>
      </c>
    </row>
    <row r="420" spans="1:9" x14ac:dyDescent="0.25">
      <c r="A420" t="s">
        <v>1413</v>
      </c>
      <c r="B420" s="6">
        <f t="shared" si="44"/>
        <v>0.52200000000000002</v>
      </c>
      <c r="C420" s="3">
        <f t="shared" si="45"/>
        <v>31</v>
      </c>
      <c r="D420" s="3" t="str">
        <f t="shared" si="46"/>
        <v/>
      </c>
      <c r="E420" s="3">
        <f t="shared" si="47"/>
        <v>150</v>
      </c>
      <c r="F420" s="5" t="str">
        <f>IF(C420=0,"Broadcast",IF(D420="",IF(E420="","",IF(E420&lt;128,"Verbind "&amp;E420,INDEX(KdoCodeTab,MATCH(E420,KdoWertTab,0)))),"StatusAbfr "&amp;D420))</f>
        <v>SpaceWdh</v>
      </c>
      <c r="G420" t="str">
        <f t="shared" si="48"/>
        <v/>
      </c>
      <c r="H420" t="str">
        <f t="shared" si="49"/>
        <v>SpaceWdh</v>
      </c>
      <c r="I420" t="str">
        <f t="shared" si="50"/>
        <v/>
      </c>
    </row>
    <row r="421" spans="1:9" x14ac:dyDescent="0.25">
      <c r="A421" t="s">
        <v>1414</v>
      </c>
      <c r="B421" s="6">
        <f t="shared" si="44"/>
        <v>0.53616666666666668</v>
      </c>
      <c r="C421" s="3">
        <f t="shared" si="45"/>
        <v>31</v>
      </c>
      <c r="D421" s="3" t="str">
        <f t="shared" si="46"/>
        <v/>
      </c>
      <c r="E421" s="3">
        <f t="shared" si="47"/>
        <v>156</v>
      </c>
      <c r="F421" s="5" t="str">
        <f>IF(C421=0,"Broadcast",IF(D421="",IF(E421="","",IF(E421&lt;128,"Verbind "&amp;E421,INDEX(KdoCodeTab,MATCH(E421,KdoWertTab,0)))),"StatusAbfr "&amp;D421))</f>
        <v>Mark</v>
      </c>
      <c r="G421" t="str">
        <f t="shared" si="48"/>
        <v/>
      </c>
      <c r="H421" t="str">
        <f t="shared" si="49"/>
        <v>Mark</v>
      </c>
      <c r="I421" t="str">
        <f t="shared" si="50"/>
        <v/>
      </c>
    </row>
    <row r="422" spans="1:9" x14ac:dyDescent="0.25">
      <c r="A422" t="s">
        <v>1415</v>
      </c>
      <c r="B422" s="6">
        <f t="shared" si="44"/>
        <v>0.54216666666666669</v>
      </c>
      <c r="C422" s="3">
        <f t="shared" si="45"/>
        <v>31</v>
      </c>
      <c r="D422" s="3" t="str">
        <f t="shared" si="46"/>
        <v/>
      </c>
      <c r="E422" s="3">
        <f t="shared" si="47"/>
        <v>154</v>
      </c>
      <c r="F422" s="5" t="str">
        <f>IF(C422=0,"Broadcast",IF(D422="",IF(E422="","",IF(E422&lt;128,"Verbind "&amp;E422,INDEX(KdoCodeTab,MATCH(E422,KdoWertTab,0)))),"StatusAbfr "&amp;D422))</f>
        <v>MarkWdh</v>
      </c>
      <c r="G422" t="str">
        <f t="shared" si="48"/>
        <v/>
      </c>
      <c r="H422" t="str">
        <f t="shared" si="49"/>
        <v>MarkWdh</v>
      </c>
      <c r="I422" t="str">
        <f t="shared" si="50"/>
        <v/>
      </c>
    </row>
    <row r="423" spans="1:9" x14ac:dyDescent="0.25">
      <c r="A423" t="s">
        <v>1416</v>
      </c>
      <c r="B423" s="6">
        <f t="shared" si="44"/>
        <v>0.58449999999999991</v>
      </c>
      <c r="C423" s="3">
        <f t="shared" si="45"/>
        <v>31</v>
      </c>
      <c r="D423" s="3" t="str">
        <f t="shared" si="46"/>
        <v/>
      </c>
      <c r="E423" s="3">
        <f t="shared" si="47"/>
        <v>147</v>
      </c>
      <c r="F423" s="5" t="str">
        <f>IF(C423=0,"Broadcast",IF(D423="",IF(E423="","",IF(E423&lt;128,"Verbind "&amp;E423,INDEX(KdoCodeTab,MATCH(E423,KdoWertTab,0)))),"StatusAbfr "&amp;D423))</f>
        <v>Space</v>
      </c>
      <c r="G423" t="str">
        <f t="shared" si="48"/>
        <v/>
      </c>
      <c r="H423" t="str">
        <f t="shared" si="49"/>
        <v>Space</v>
      </c>
      <c r="I423" t="str">
        <f t="shared" si="50"/>
        <v/>
      </c>
    </row>
    <row r="424" spans="1:9" x14ac:dyDescent="0.25">
      <c r="A424" t="s">
        <v>1417</v>
      </c>
      <c r="B424" s="6">
        <f t="shared" si="44"/>
        <v>0.59066666666666667</v>
      </c>
      <c r="C424" s="3">
        <f t="shared" si="45"/>
        <v>31</v>
      </c>
      <c r="D424" s="3" t="str">
        <f t="shared" si="46"/>
        <v/>
      </c>
      <c r="E424" s="3">
        <f t="shared" si="47"/>
        <v>150</v>
      </c>
      <c r="F424" s="5" t="str">
        <f>IF(C424=0,"Broadcast",IF(D424="",IF(E424="","",IF(E424&lt;128,"Verbind "&amp;E424,INDEX(KdoCodeTab,MATCH(E424,KdoWertTab,0)))),"StatusAbfr "&amp;D424))</f>
        <v>SpaceWdh</v>
      </c>
      <c r="G424" t="str">
        <f t="shared" si="48"/>
        <v/>
      </c>
      <c r="H424" t="str">
        <f t="shared" si="49"/>
        <v>SpaceWdh</v>
      </c>
      <c r="I424" t="str">
        <f t="shared" si="50"/>
        <v/>
      </c>
    </row>
    <row r="425" spans="1:9" x14ac:dyDescent="0.25">
      <c r="A425" t="s">
        <v>1418</v>
      </c>
      <c r="B425" s="6">
        <f t="shared" si="44"/>
        <v>0.60466666666666669</v>
      </c>
      <c r="C425" s="3">
        <f t="shared" si="45"/>
        <v>31</v>
      </c>
      <c r="D425" s="3" t="str">
        <f t="shared" si="46"/>
        <v/>
      </c>
      <c r="E425" s="3">
        <f t="shared" si="47"/>
        <v>156</v>
      </c>
      <c r="F425" s="5" t="str">
        <f>IF(C425=0,"Broadcast",IF(D425="",IF(E425="","",IF(E425&lt;128,"Verbind "&amp;E425,INDEX(KdoCodeTab,MATCH(E425,KdoWertTab,0)))),"StatusAbfr "&amp;D425))</f>
        <v>Mark</v>
      </c>
      <c r="G425" t="str">
        <f t="shared" si="48"/>
        <v/>
      </c>
      <c r="H425" t="str">
        <f t="shared" si="49"/>
        <v>Mark</v>
      </c>
      <c r="I425" t="str">
        <f t="shared" si="50"/>
        <v/>
      </c>
    </row>
    <row r="426" spans="1:9" x14ac:dyDescent="0.25">
      <c r="A426" t="s">
        <v>1419</v>
      </c>
      <c r="B426" s="6">
        <f t="shared" si="44"/>
        <v>0.61083333333333334</v>
      </c>
      <c r="C426" s="3">
        <f t="shared" si="45"/>
        <v>31</v>
      </c>
      <c r="D426" s="3" t="str">
        <f t="shared" si="46"/>
        <v/>
      </c>
      <c r="E426" s="3">
        <f t="shared" si="47"/>
        <v>154</v>
      </c>
      <c r="F426" s="5" t="str">
        <f>IF(C426=0,"Broadcast",IF(D426="",IF(E426="","",IF(E426&lt;128,"Verbind "&amp;E426,INDEX(KdoCodeTab,MATCH(E426,KdoWertTab,0)))),"StatusAbfr "&amp;D426))</f>
        <v>MarkWdh</v>
      </c>
      <c r="G426" t="str">
        <f t="shared" si="48"/>
        <v/>
      </c>
      <c r="H426" t="str">
        <f t="shared" si="49"/>
        <v>MarkWdh</v>
      </c>
      <c r="I426" t="str">
        <f t="shared" si="50"/>
        <v/>
      </c>
    </row>
    <row r="427" spans="1:9" x14ac:dyDescent="0.25">
      <c r="A427" t="s">
        <v>1420</v>
      </c>
      <c r="B427" s="6">
        <f t="shared" si="44"/>
        <v>1.1168333333333333</v>
      </c>
      <c r="C427" s="3">
        <f t="shared" si="45"/>
        <v>31</v>
      </c>
      <c r="D427" s="3" t="str">
        <f t="shared" si="46"/>
        <v/>
      </c>
      <c r="E427" s="3">
        <f t="shared" si="47"/>
        <v>154</v>
      </c>
      <c r="F427" s="5" t="str">
        <f>IF(C427=0,"Broadcast",IF(D427="",IF(E427="","",IF(E427&lt;128,"Verbind "&amp;E427,INDEX(KdoCodeTab,MATCH(E427,KdoWertTab,0)))),"StatusAbfr "&amp;D427))</f>
        <v>MarkWdh</v>
      </c>
      <c r="G427" t="str">
        <f t="shared" si="48"/>
        <v/>
      </c>
      <c r="H427" t="str">
        <f t="shared" si="49"/>
        <v>MarkWdh</v>
      </c>
      <c r="I427" t="str">
        <f t="shared" si="50"/>
        <v/>
      </c>
    </row>
    <row r="428" spans="1:9" x14ac:dyDescent="0.25">
      <c r="A428" t="s">
        <v>1421</v>
      </c>
      <c r="B428" s="6">
        <f t="shared" si="44"/>
        <v>1.1206666666666667</v>
      </c>
      <c r="C428" s="3">
        <f t="shared" si="45"/>
        <v>101</v>
      </c>
      <c r="D428" s="3" t="str">
        <f t="shared" si="46"/>
        <v/>
      </c>
      <c r="E428" s="3">
        <f t="shared" si="47"/>
        <v>169</v>
      </c>
      <c r="F428" s="5" t="str">
        <f>IF(C428=0,"Broadcast",IF(D428="",IF(E428="","",IF(E428&lt;128,"Verbind "&amp;E428,INDEX(KdoCodeTab,MATCH(E428,KdoWertTab,0)))),"StatusAbfr "&amp;D428))</f>
        <v>BusLebenszeichen</v>
      </c>
      <c r="G428" t="str">
        <f t="shared" si="48"/>
        <v>BusLebenszeichen</v>
      </c>
      <c r="H428" t="str">
        <f t="shared" si="49"/>
        <v/>
      </c>
      <c r="I428" t="str">
        <f t="shared" si="50"/>
        <v/>
      </c>
    </row>
    <row r="429" spans="1:9" x14ac:dyDescent="0.25">
      <c r="A429" t="s">
        <v>1422</v>
      </c>
      <c r="B429" s="6">
        <f t="shared" si="44"/>
        <v>1.6228333333333333</v>
      </c>
      <c r="C429" s="3">
        <f t="shared" si="45"/>
        <v>31</v>
      </c>
      <c r="D429" s="3" t="str">
        <f t="shared" si="46"/>
        <v/>
      </c>
      <c r="E429" s="3">
        <f t="shared" si="47"/>
        <v>154</v>
      </c>
      <c r="F429" s="5" t="str">
        <f>IF(C429=0,"Broadcast",IF(D429="",IF(E429="","",IF(E429&lt;128,"Verbind "&amp;E429,INDEX(KdoCodeTab,MATCH(E429,KdoWertTab,0)))),"StatusAbfr "&amp;D429))</f>
        <v>MarkWdh</v>
      </c>
      <c r="G429" t="str">
        <f t="shared" si="48"/>
        <v/>
      </c>
      <c r="H429" t="str">
        <f t="shared" si="49"/>
        <v>MarkWdh</v>
      </c>
      <c r="I429" t="str">
        <f t="shared" si="50"/>
        <v/>
      </c>
    </row>
    <row r="430" spans="1:9" x14ac:dyDescent="0.25">
      <c r="A430" t="s">
        <v>1423</v>
      </c>
      <c r="B430" s="6">
        <f t="shared" si="44"/>
        <v>1.6613333333333333</v>
      </c>
      <c r="C430" s="3">
        <f t="shared" si="45"/>
        <v>101</v>
      </c>
      <c r="D430" s="3" t="str">
        <f t="shared" si="46"/>
        <v/>
      </c>
      <c r="E430" s="3">
        <f t="shared" si="47"/>
        <v>147</v>
      </c>
      <c r="F430" s="5" t="str">
        <f>IF(C430=0,"Broadcast",IF(D430="",IF(E430="","",IF(E430&lt;128,"Verbind "&amp;E430,INDEX(KdoCodeTab,MATCH(E430,KdoWertTab,0)))),"StatusAbfr "&amp;D430))</f>
        <v>Space</v>
      </c>
      <c r="G430" t="str">
        <f t="shared" si="48"/>
        <v>Space</v>
      </c>
      <c r="H430" t="str">
        <f t="shared" si="49"/>
        <v/>
      </c>
      <c r="I430" t="str">
        <f t="shared" si="50"/>
        <v/>
      </c>
    </row>
    <row r="431" spans="1:9" x14ac:dyDescent="0.25">
      <c r="A431" t="s">
        <v>1424</v>
      </c>
      <c r="B431" s="6">
        <f t="shared" si="44"/>
        <v>1.6623333333333332</v>
      </c>
      <c r="C431" s="3">
        <f t="shared" si="45"/>
        <v>101</v>
      </c>
      <c r="D431" s="3" t="str">
        <f t="shared" si="46"/>
        <v/>
      </c>
      <c r="E431" s="3">
        <f t="shared" si="47"/>
        <v>150</v>
      </c>
      <c r="F431" s="5" t="str">
        <f>IF(C431=0,"Broadcast",IF(D431="",IF(E431="","",IF(E431&lt;128,"Verbind "&amp;E431,INDEX(KdoCodeTab,MATCH(E431,KdoWertTab,0)))),"StatusAbfr "&amp;D431))</f>
        <v>SpaceWdh</v>
      </c>
      <c r="G431" t="str">
        <f t="shared" si="48"/>
        <v>SpaceWdh</v>
      </c>
      <c r="H431" t="str">
        <f t="shared" si="49"/>
        <v/>
      </c>
      <c r="I431" t="str">
        <f t="shared" si="50"/>
        <v/>
      </c>
    </row>
    <row r="432" spans="1:9" x14ac:dyDescent="0.25">
      <c r="A432" t="s">
        <v>1425</v>
      </c>
      <c r="B432" s="6">
        <f t="shared" si="44"/>
        <v>1.6824999999999999</v>
      </c>
      <c r="C432" s="3">
        <f t="shared" si="45"/>
        <v>101</v>
      </c>
      <c r="D432" s="3" t="str">
        <f t="shared" si="46"/>
        <v/>
      </c>
      <c r="E432" s="3">
        <f t="shared" si="47"/>
        <v>156</v>
      </c>
      <c r="F432" s="5" t="str">
        <f>IF(C432=0,"Broadcast",IF(D432="",IF(E432="","",IF(E432&lt;128,"Verbind "&amp;E432,INDEX(KdoCodeTab,MATCH(E432,KdoWertTab,0)))),"StatusAbfr "&amp;D432))</f>
        <v>Mark</v>
      </c>
      <c r="G432" t="str">
        <f t="shared" si="48"/>
        <v>Mark</v>
      </c>
      <c r="H432" t="str">
        <f t="shared" si="49"/>
        <v/>
      </c>
      <c r="I432" t="str">
        <f t="shared" si="50"/>
        <v/>
      </c>
    </row>
    <row r="433" spans="1:9" x14ac:dyDescent="0.25">
      <c r="A433" t="s">
        <v>1426</v>
      </c>
      <c r="B433" s="6">
        <f t="shared" si="44"/>
        <v>1.6835</v>
      </c>
      <c r="C433" s="3">
        <f t="shared" si="45"/>
        <v>101</v>
      </c>
      <c r="D433" s="3" t="str">
        <f t="shared" si="46"/>
        <v/>
      </c>
      <c r="E433" s="3">
        <f t="shared" si="47"/>
        <v>154</v>
      </c>
      <c r="F433" s="5" t="str">
        <f>IF(C433=0,"Broadcast",IF(D433="",IF(E433="","",IF(E433&lt;128,"Verbind "&amp;E433,INDEX(KdoCodeTab,MATCH(E433,KdoWertTab,0)))),"StatusAbfr "&amp;D433))</f>
        <v>MarkWdh</v>
      </c>
      <c r="G433" t="str">
        <f t="shared" si="48"/>
        <v>MarkWdh</v>
      </c>
      <c r="H433" t="str">
        <f t="shared" si="49"/>
        <v/>
      </c>
      <c r="I433" t="str">
        <f t="shared" si="50"/>
        <v/>
      </c>
    </row>
    <row r="434" spans="1:9" x14ac:dyDescent="0.25">
      <c r="A434" t="s">
        <v>1427</v>
      </c>
      <c r="B434" s="6">
        <f t="shared" si="44"/>
        <v>1.8026666666666666</v>
      </c>
      <c r="C434" s="3">
        <f t="shared" si="45"/>
        <v>101</v>
      </c>
      <c r="D434" s="3" t="str">
        <f t="shared" si="46"/>
        <v/>
      </c>
      <c r="E434" s="3">
        <f t="shared" si="47"/>
        <v>169</v>
      </c>
      <c r="F434" s="5" t="str">
        <f>IF(C434=0,"Broadcast",IF(D434="",IF(E434="","",IF(E434&lt;128,"Verbind "&amp;E434,INDEX(KdoCodeTab,MATCH(E434,KdoWertTab,0)))),"StatusAbfr "&amp;D434))</f>
        <v>BusLebenszeichen</v>
      </c>
      <c r="G434" t="str">
        <f t="shared" si="48"/>
        <v>BusLebenszeichen</v>
      </c>
      <c r="H434" t="str">
        <f t="shared" si="49"/>
        <v/>
      </c>
      <c r="I434" t="str">
        <f t="shared" si="50"/>
        <v/>
      </c>
    </row>
    <row r="435" spans="1:9" x14ac:dyDescent="0.25">
      <c r="A435" t="s">
        <v>1428</v>
      </c>
      <c r="B435" s="6">
        <f t="shared" si="44"/>
        <v>1.8118333333333332</v>
      </c>
      <c r="C435" s="3">
        <f t="shared" si="45"/>
        <v>101</v>
      </c>
      <c r="D435" s="3" t="str">
        <f t="shared" si="46"/>
        <v/>
      </c>
      <c r="E435" s="3">
        <f t="shared" si="47"/>
        <v>147</v>
      </c>
      <c r="F435" s="5" t="str">
        <f>IF(C435=0,"Broadcast",IF(D435="",IF(E435="","",IF(E435&lt;128,"Verbind "&amp;E435,INDEX(KdoCodeTab,MATCH(E435,KdoWertTab,0)))),"StatusAbfr "&amp;D435))</f>
        <v>Space</v>
      </c>
      <c r="G435" t="str">
        <f t="shared" si="48"/>
        <v>Space</v>
      </c>
      <c r="H435" t="str">
        <f t="shared" si="49"/>
        <v/>
      </c>
      <c r="I435" t="str">
        <f t="shared" si="50"/>
        <v/>
      </c>
    </row>
    <row r="436" spans="1:9" x14ac:dyDescent="0.25">
      <c r="A436" t="s">
        <v>1429</v>
      </c>
      <c r="B436" s="6">
        <f t="shared" si="44"/>
        <v>1.8128333333333333</v>
      </c>
      <c r="C436" s="3">
        <f t="shared" si="45"/>
        <v>101</v>
      </c>
      <c r="D436" s="3" t="str">
        <f t="shared" si="46"/>
        <v/>
      </c>
      <c r="E436" s="3">
        <f t="shared" si="47"/>
        <v>150</v>
      </c>
      <c r="F436" s="5" t="str">
        <f>IF(C436=0,"Broadcast",IF(D436="",IF(E436="","",IF(E436&lt;128,"Verbind "&amp;E436,INDEX(KdoCodeTab,MATCH(E436,KdoWertTab,0)))),"StatusAbfr "&amp;D436))</f>
        <v>SpaceWdh</v>
      </c>
      <c r="G436" t="str">
        <f t="shared" si="48"/>
        <v>SpaceWdh</v>
      </c>
      <c r="H436" t="str">
        <f t="shared" si="49"/>
        <v/>
      </c>
      <c r="I436" t="str">
        <f t="shared" si="50"/>
        <v/>
      </c>
    </row>
    <row r="437" spans="1:9" x14ac:dyDescent="0.25">
      <c r="A437" t="s">
        <v>1430</v>
      </c>
      <c r="B437" s="6">
        <f t="shared" si="44"/>
        <v>1.8916666666666666</v>
      </c>
      <c r="C437" s="3">
        <f t="shared" si="45"/>
        <v>101</v>
      </c>
      <c r="D437" s="3" t="str">
        <f t="shared" si="46"/>
        <v/>
      </c>
      <c r="E437" s="3">
        <f t="shared" si="47"/>
        <v>156</v>
      </c>
      <c r="F437" s="5" t="str">
        <f>IF(C437=0,"Broadcast",IF(D437="",IF(E437="","",IF(E437&lt;128,"Verbind "&amp;E437,INDEX(KdoCodeTab,MATCH(E437,KdoWertTab,0)))),"StatusAbfr "&amp;D437))</f>
        <v>Mark</v>
      </c>
      <c r="G437" t="str">
        <f t="shared" si="48"/>
        <v>Mark</v>
      </c>
      <c r="H437" t="str">
        <f t="shared" si="49"/>
        <v/>
      </c>
      <c r="I437" t="str">
        <f t="shared" si="50"/>
        <v/>
      </c>
    </row>
    <row r="438" spans="1:9" x14ac:dyDescent="0.25">
      <c r="A438" t="s">
        <v>1431</v>
      </c>
      <c r="B438" s="6">
        <f t="shared" si="44"/>
        <v>1.8924999999999998</v>
      </c>
      <c r="C438" s="3">
        <f t="shared" si="45"/>
        <v>101</v>
      </c>
      <c r="D438" s="3" t="str">
        <f t="shared" si="46"/>
        <v/>
      </c>
      <c r="E438" s="3">
        <f t="shared" si="47"/>
        <v>154</v>
      </c>
      <c r="F438" s="5" t="str">
        <f>IF(C438=0,"Broadcast",IF(D438="",IF(E438="","",IF(E438&lt;128,"Verbind "&amp;E438,INDEX(KdoCodeTab,MATCH(E438,KdoWertTab,0)))),"StatusAbfr "&amp;D438))</f>
        <v>MarkWdh</v>
      </c>
      <c r="G438" t="str">
        <f t="shared" si="48"/>
        <v>MarkWdh</v>
      </c>
      <c r="H438" t="str">
        <f t="shared" si="49"/>
        <v/>
      </c>
      <c r="I438" t="str">
        <f t="shared" si="50"/>
        <v/>
      </c>
    </row>
    <row r="439" spans="1:9" x14ac:dyDescent="0.25">
      <c r="A439" t="s">
        <v>1432</v>
      </c>
      <c r="B439" s="6">
        <f t="shared" si="44"/>
        <v>1.9118333333333333</v>
      </c>
      <c r="C439" s="3">
        <f t="shared" si="45"/>
        <v>101</v>
      </c>
      <c r="D439" s="3" t="str">
        <f t="shared" si="46"/>
        <v/>
      </c>
      <c r="E439" s="3">
        <f t="shared" si="47"/>
        <v>147</v>
      </c>
      <c r="F439" s="5" t="str">
        <f>IF(C439=0,"Broadcast",IF(D439="",IF(E439="","",IF(E439&lt;128,"Verbind "&amp;E439,INDEX(KdoCodeTab,MATCH(E439,KdoWertTab,0)))),"StatusAbfr "&amp;D439))</f>
        <v>Space</v>
      </c>
      <c r="G439" t="str">
        <f t="shared" si="48"/>
        <v>Space</v>
      </c>
      <c r="H439" t="str">
        <f t="shared" si="49"/>
        <v/>
      </c>
      <c r="I439" t="str">
        <f t="shared" si="50"/>
        <v/>
      </c>
    </row>
    <row r="440" spans="1:9" x14ac:dyDescent="0.25">
      <c r="A440" t="s">
        <v>1433</v>
      </c>
      <c r="B440" s="6">
        <f t="shared" si="44"/>
        <v>1.9126666666666665</v>
      </c>
      <c r="C440" s="3">
        <f t="shared" si="45"/>
        <v>101</v>
      </c>
      <c r="D440" s="3" t="str">
        <f t="shared" si="46"/>
        <v/>
      </c>
      <c r="E440" s="3">
        <f t="shared" si="47"/>
        <v>150</v>
      </c>
      <c r="F440" s="5" t="str">
        <f>IF(C440=0,"Broadcast",IF(D440="",IF(E440="","",IF(E440&lt;128,"Verbind "&amp;E440,INDEX(KdoCodeTab,MATCH(E440,KdoWertTab,0)))),"StatusAbfr "&amp;D440))</f>
        <v>SpaceWdh</v>
      </c>
      <c r="G440" t="str">
        <f t="shared" si="48"/>
        <v>SpaceWdh</v>
      </c>
      <c r="H440" t="str">
        <f t="shared" si="49"/>
        <v/>
      </c>
      <c r="I440" t="str">
        <f t="shared" si="50"/>
        <v/>
      </c>
    </row>
    <row r="441" spans="1:9" x14ac:dyDescent="0.25">
      <c r="A441" t="s">
        <v>1434</v>
      </c>
      <c r="B441" s="6">
        <f t="shared" si="44"/>
        <v>1.9321666666666666</v>
      </c>
      <c r="C441" s="3">
        <f t="shared" si="45"/>
        <v>101</v>
      </c>
      <c r="D441" s="3" t="str">
        <f t="shared" si="46"/>
        <v/>
      </c>
      <c r="E441" s="3">
        <f t="shared" si="47"/>
        <v>156</v>
      </c>
      <c r="F441" s="5" t="str">
        <f>IF(C441=0,"Broadcast",IF(D441="",IF(E441="","",IF(E441&lt;128,"Verbind "&amp;E441,INDEX(KdoCodeTab,MATCH(E441,KdoWertTab,0)))),"StatusAbfr "&amp;D441))</f>
        <v>Mark</v>
      </c>
      <c r="G441" t="str">
        <f t="shared" si="48"/>
        <v>Mark</v>
      </c>
      <c r="H441" t="str">
        <f t="shared" si="49"/>
        <v/>
      </c>
      <c r="I441" t="str">
        <f t="shared" si="50"/>
        <v/>
      </c>
    </row>
    <row r="442" spans="1:9" x14ac:dyDescent="0.25">
      <c r="A442" t="s">
        <v>1435</v>
      </c>
      <c r="B442" s="6">
        <f t="shared" si="44"/>
        <v>1.9330000000000001</v>
      </c>
      <c r="C442" s="3">
        <f t="shared" si="45"/>
        <v>101</v>
      </c>
      <c r="D442" s="3" t="str">
        <f t="shared" si="46"/>
        <v/>
      </c>
      <c r="E442" s="3">
        <f t="shared" si="47"/>
        <v>154</v>
      </c>
      <c r="F442" s="5" t="str">
        <f>IF(C442=0,"Broadcast",IF(D442="",IF(E442="","",IF(E442&lt;128,"Verbind "&amp;E442,INDEX(KdoCodeTab,MATCH(E442,KdoWertTab,0)))),"StatusAbfr "&amp;D442))</f>
        <v>MarkWdh</v>
      </c>
      <c r="G442" t="str">
        <f t="shared" si="48"/>
        <v>MarkWdh</v>
      </c>
      <c r="H442" t="str">
        <f t="shared" si="49"/>
        <v/>
      </c>
      <c r="I442" t="str">
        <f t="shared" si="50"/>
        <v/>
      </c>
    </row>
    <row r="443" spans="1:9" x14ac:dyDescent="0.25">
      <c r="A443" t="s">
        <v>1436</v>
      </c>
      <c r="B443" s="6">
        <f t="shared" si="44"/>
        <v>1.9623333333333333</v>
      </c>
      <c r="C443" s="3">
        <f t="shared" si="45"/>
        <v>101</v>
      </c>
      <c r="D443" s="3" t="str">
        <f t="shared" ref="D443:D506" si="51">IF(MID(A443,10,1)="&lt;",MID(A443,12,2),"")</f>
        <v/>
      </c>
      <c r="E443" s="3">
        <f t="shared" ref="E443:E506" si="52">IF(MID(A443,10,1)="&gt;",HEX2DEC(MID(A443,12,2)),"")</f>
        <v>147</v>
      </c>
      <c r="F443" s="5" t="str">
        <f>IF(C443=0,"Broadcast",IF(D443="",IF(E443="","",IF(E443&lt;128,"Verbind "&amp;E443,INDEX(KdoCodeTab,MATCH(E443,KdoWertTab,0)))),"StatusAbfr "&amp;D443))</f>
        <v>Space</v>
      </c>
      <c r="G443" t="str">
        <f t="shared" ref="G443:G506" si="53">IF(C443=$G$2,F443,"")</f>
        <v>Space</v>
      </c>
      <c r="H443" t="str">
        <f t="shared" ref="H443:H506" si="54">IF(C443=$H$2,F443,"")</f>
        <v/>
      </c>
      <c r="I443" t="str">
        <f t="shared" ref="I443:I506" si="55">IF(G443&amp;H443="",F443,"")</f>
        <v/>
      </c>
    </row>
    <row r="444" spans="1:9" x14ac:dyDescent="0.25">
      <c r="A444" t="s">
        <v>1437</v>
      </c>
      <c r="B444" s="6">
        <f t="shared" si="44"/>
        <v>1.9633333333333334</v>
      </c>
      <c r="C444" s="3">
        <f t="shared" si="45"/>
        <v>101</v>
      </c>
      <c r="D444" s="3" t="str">
        <f t="shared" si="51"/>
        <v/>
      </c>
      <c r="E444" s="3">
        <f t="shared" si="52"/>
        <v>150</v>
      </c>
      <c r="F444" s="5" t="str">
        <f>IF(C444=0,"Broadcast",IF(D444="",IF(E444="","",IF(E444&lt;128,"Verbind "&amp;E444,INDEX(KdoCodeTab,MATCH(E444,KdoWertTab,0)))),"StatusAbfr "&amp;D444))</f>
        <v>SpaceWdh</v>
      </c>
      <c r="G444" t="str">
        <f t="shared" si="53"/>
        <v>SpaceWdh</v>
      </c>
      <c r="H444" t="str">
        <f t="shared" si="54"/>
        <v/>
      </c>
      <c r="I444" t="str">
        <f t="shared" si="55"/>
        <v/>
      </c>
    </row>
    <row r="445" spans="1:9" x14ac:dyDescent="0.25">
      <c r="A445" t="s">
        <v>1438</v>
      </c>
      <c r="B445" s="6">
        <f t="shared" si="44"/>
        <v>2.0018333333333334</v>
      </c>
      <c r="C445" s="3">
        <f t="shared" si="45"/>
        <v>101</v>
      </c>
      <c r="D445" s="3" t="str">
        <f t="shared" si="51"/>
        <v/>
      </c>
      <c r="E445" s="3">
        <f t="shared" si="52"/>
        <v>156</v>
      </c>
      <c r="F445" s="5" t="str">
        <f>IF(C445=0,"Broadcast",IF(D445="",IF(E445="","",IF(E445&lt;128,"Verbind "&amp;E445,INDEX(KdoCodeTab,MATCH(E445,KdoWertTab,0)))),"StatusAbfr "&amp;D445))</f>
        <v>Mark</v>
      </c>
      <c r="G445" t="str">
        <f t="shared" si="53"/>
        <v>Mark</v>
      </c>
      <c r="H445" t="str">
        <f t="shared" si="54"/>
        <v/>
      </c>
      <c r="I445" t="str">
        <f t="shared" si="55"/>
        <v/>
      </c>
    </row>
    <row r="446" spans="1:9" x14ac:dyDescent="0.25">
      <c r="A446" t="s">
        <v>1439</v>
      </c>
      <c r="B446" s="6">
        <f t="shared" si="44"/>
        <v>2.0026666666666664</v>
      </c>
      <c r="C446" s="3">
        <f t="shared" si="45"/>
        <v>101</v>
      </c>
      <c r="D446" s="3" t="str">
        <f t="shared" si="51"/>
        <v/>
      </c>
      <c r="E446" s="3">
        <f t="shared" si="52"/>
        <v>154</v>
      </c>
      <c r="F446" s="5" t="str">
        <f>IF(C446=0,"Broadcast",IF(D446="",IF(E446="","",IF(E446&lt;128,"Verbind "&amp;E446,INDEX(KdoCodeTab,MATCH(E446,KdoWertTab,0)))),"StatusAbfr "&amp;D446))</f>
        <v>MarkWdh</v>
      </c>
      <c r="G446" t="str">
        <f t="shared" si="53"/>
        <v>MarkWdh</v>
      </c>
      <c r="H446" t="str">
        <f t="shared" si="54"/>
        <v/>
      </c>
      <c r="I446" t="str">
        <f t="shared" si="55"/>
        <v/>
      </c>
    </row>
    <row r="447" spans="1:9" x14ac:dyDescent="0.25">
      <c r="A447" t="s">
        <v>39</v>
      </c>
      <c r="B447" s="6">
        <f t="shared" si="44"/>
        <v>2.0219999999999998</v>
      </c>
      <c r="C447" s="3">
        <f t="shared" si="45"/>
        <v>101</v>
      </c>
      <c r="D447" s="3" t="str">
        <f t="shared" si="51"/>
        <v/>
      </c>
      <c r="E447" s="3">
        <f t="shared" si="52"/>
        <v>147</v>
      </c>
      <c r="F447" s="5" t="str">
        <f>IF(C447=0,"Broadcast",IF(D447="",IF(E447="","",IF(E447&lt;128,"Verbind "&amp;E447,INDEX(KdoCodeTab,MATCH(E447,KdoWertTab,0)))),"StatusAbfr "&amp;D447))</f>
        <v>Space</v>
      </c>
      <c r="G447" t="str">
        <f t="shared" si="53"/>
        <v>Space</v>
      </c>
      <c r="H447" t="str">
        <f t="shared" si="54"/>
        <v/>
      </c>
      <c r="I447" t="str">
        <f t="shared" si="55"/>
        <v/>
      </c>
    </row>
    <row r="448" spans="1:9" x14ac:dyDescent="0.25">
      <c r="A448" t="s">
        <v>40</v>
      </c>
      <c r="B448" s="6">
        <f t="shared" si="44"/>
        <v>2.0228333333333333</v>
      </c>
      <c r="C448" s="3">
        <f t="shared" si="45"/>
        <v>101</v>
      </c>
      <c r="D448" s="3" t="str">
        <f t="shared" si="51"/>
        <v/>
      </c>
      <c r="E448" s="3">
        <f t="shared" si="52"/>
        <v>150</v>
      </c>
      <c r="F448" s="5" t="str">
        <f>IF(C448=0,"Broadcast",IF(D448="",IF(E448="","",IF(E448&lt;128,"Verbind "&amp;E448,INDEX(KdoCodeTab,MATCH(E448,KdoWertTab,0)))),"StatusAbfr "&amp;D448))</f>
        <v>SpaceWdh</v>
      </c>
      <c r="G448" t="str">
        <f t="shared" si="53"/>
        <v>SpaceWdh</v>
      </c>
      <c r="H448" t="str">
        <f t="shared" si="54"/>
        <v/>
      </c>
      <c r="I448" t="str">
        <f t="shared" si="55"/>
        <v/>
      </c>
    </row>
    <row r="449" spans="1:9" x14ac:dyDescent="0.25">
      <c r="A449" t="s">
        <v>41</v>
      </c>
      <c r="B449" s="6">
        <f t="shared" si="44"/>
        <v>2.0826666666666664</v>
      </c>
      <c r="C449" s="3">
        <f t="shared" si="45"/>
        <v>101</v>
      </c>
      <c r="D449" s="3" t="str">
        <f t="shared" si="51"/>
        <v/>
      </c>
      <c r="E449" s="3">
        <f t="shared" si="52"/>
        <v>156</v>
      </c>
      <c r="F449" s="5" t="str">
        <f>IF(C449=0,"Broadcast",IF(D449="",IF(E449="","",IF(E449&lt;128,"Verbind "&amp;E449,INDEX(KdoCodeTab,MATCH(E449,KdoWertTab,0)))),"StatusAbfr "&amp;D449))</f>
        <v>Mark</v>
      </c>
      <c r="G449" t="str">
        <f t="shared" si="53"/>
        <v>Mark</v>
      </c>
      <c r="H449" t="str">
        <f t="shared" si="54"/>
        <v/>
      </c>
      <c r="I449" t="str">
        <f t="shared" si="55"/>
        <v/>
      </c>
    </row>
    <row r="450" spans="1:9" x14ac:dyDescent="0.25">
      <c r="A450" t="s">
        <v>42</v>
      </c>
      <c r="B450" s="6">
        <f t="shared" si="44"/>
        <v>2.0835000000000004</v>
      </c>
      <c r="C450" s="3">
        <f t="shared" si="45"/>
        <v>101</v>
      </c>
      <c r="D450" s="3" t="str">
        <f t="shared" si="51"/>
        <v/>
      </c>
      <c r="E450" s="3">
        <f t="shared" si="52"/>
        <v>154</v>
      </c>
      <c r="F450" s="5" t="str">
        <f>IF(C450=0,"Broadcast",IF(D450="",IF(E450="","",IF(E450&lt;128,"Verbind "&amp;E450,INDEX(KdoCodeTab,MATCH(E450,KdoWertTab,0)))),"StatusAbfr "&amp;D450))</f>
        <v>MarkWdh</v>
      </c>
      <c r="G450" t="str">
        <f t="shared" si="53"/>
        <v>MarkWdh</v>
      </c>
      <c r="H450" t="str">
        <f t="shared" si="54"/>
        <v/>
      </c>
      <c r="I450" t="str">
        <f t="shared" si="55"/>
        <v/>
      </c>
    </row>
    <row r="451" spans="1:9" x14ac:dyDescent="0.25">
      <c r="A451" t="s">
        <v>43</v>
      </c>
      <c r="B451" s="6">
        <f t="shared" si="44"/>
        <v>2.1120000000000001</v>
      </c>
      <c r="C451" s="3">
        <f t="shared" si="45"/>
        <v>101</v>
      </c>
      <c r="D451" s="3" t="str">
        <f t="shared" si="51"/>
        <v/>
      </c>
      <c r="E451" s="3">
        <f t="shared" si="52"/>
        <v>147</v>
      </c>
      <c r="F451" s="5" t="str">
        <f>IF(C451=0,"Broadcast",IF(D451="",IF(E451="","",IF(E451&lt;128,"Verbind "&amp;E451,INDEX(KdoCodeTab,MATCH(E451,KdoWertTab,0)))),"StatusAbfr "&amp;D451))</f>
        <v>Space</v>
      </c>
      <c r="G451" t="str">
        <f t="shared" si="53"/>
        <v>Space</v>
      </c>
      <c r="H451" t="str">
        <f t="shared" si="54"/>
        <v/>
      </c>
      <c r="I451" t="str">
        <f t="shared" si="55"/>
        <v/>
      </c>
    </row>
    <row r="452" spans="1:9" x14ac:dyDescent="0.25">
      <c r="A452" t="s">
        <v>44</v>
      </c>
      <c r="B452" s="6">
        <f t="shared" si="44"/>
        <v>2.1128333333333336</v>
      </c>
      <c r="C452" s="3">
        <f t="shared" si="45"/>
        <v>101</v>
      </c>
      <c r="D452" s="3" t="str">
        <f t="shared" si="51"/>
        <v/>
      </c>
      <c r="E452" s="3">
        <f t="shared" si="52"/>
        <v>150</v>
      </c>
      <c r="F452" s="5" t="str">
        <f>IF(C452=0,"Broadcast",IF(D452="",IF(E452="","",IF(E452&lt;128,"Verbind "&amp;E452,INDEX(KdoCodeTab,MATCH(E452,KdoWertTab,0)))),"StatusAbfr "&amp;D452))</f>
        <v>SpaceWdh</v>
      </c>
      <c r="G452" t="str">
        <f t="shared" si="53"/>
        <v>SpaceWdh</v>
      </c>
      <c r="H452" t="str">
        <f t="shared" si="54"/>
        <v/>
      </c>
      <c r="I452" t="str">
        <f t="shared" si="55"/>
        <v/>
      </c>
    </row>
    <row r="453" spans="1:9" x14ac:dyDescent="0.25">
      <c r="A453" t="s">
        <v>45</v>
      </c>
      <c r="B453" s="6">
        <f t="shared" ref="B453:B516" si="56">MID(A453,1,5)/1000+(CODE(MID(A453,6,1))-CODE("a"))/6000</f>
        <v>2.1288333333333336</v>
      </c>
      <c r="C453" s="3">
        <f t="shared" ref="C453:C516" si="57">INT(HEX2DEC(MID(A453,8,2))/2)</f>
        <v>31</v>
      </c>
      <c r="D453" s="3" t="str">
        <f t="shared" si="51"/>
        <v/>
      </c>
      <c r="E453" s="3">
        <f t="shared" si="52"/>
        <v>154</v>
      </c>
      <c r="F453" s="5" t="str">
        <f>IF(C453=0,"Broadcast",IF(D453="",IF(E453="","",IF(E453&lt;128,"Verbind "&amp;E453,INDEX(KdoCodeTab,MATCH(E453,KdoWertTab,0)))),"StatusAbfr "&amp;D453))</f>
        <v>MarkWdh</v>
      </c>
      <c r="G453" t="str">
        <f t="shared" si="53"/>
        <v/>
      </c>
      <c r="H453" t="str">
        <f t="shared" si="54"/>
        <v>MarkWdh</v>
      </c>
      <c r="I453" t="str">
        <f t="shared" si="55"/>
        <v/>
      </c>
    </row>
    <row r="454" spans="1:9" x14ac:dyDescent="0.25">
      <c r="A454" t="s">
        <v>46</v>
      </c>
      <c r="B454" s="6">
        <f t="shared" si="56"/>
        <v>2.132166666666667</v>
      </c>
      <c r="C454" s="3">
        <f t="shared" si="57"/>
        <v>101</v>
      </c>
      <c r="D454" s="3" t="str">
        <f t="shared" si="51"/>
        <v/>
      </c>
      <c r="E454" s="3">
        <f t="shared" si="52"/>
        <v>156</v>
      </c>
      <c r="F454" s="5" t="str">
        <f>IF(C454=0,"Broadcast",IF(D454="",IF(E454="","",IF(E454&lt;128,"Verbind "&amp;E454,INDEX(KdoCodeTab,MATCH(E454,KdoWertTab,0)))),"StatusAbfr "&amp;D454))</f>
        <v>Mark</v>
      </c>
      <c r="G454" t="str">
        <f t="shared" si="53"/>
        <v>Mark</v>
      </c>
      <c r="H454" t="str">
        <f t="shared" si="54"/>
        <v/>
      </c>
      <c r="I454" t="str">
        <f t="shared" si="55"/>
        <v/>
      </c>
    </row>
    <row r="455" spans="1:9" x14ac:dyDescent="0.25">
      <c r="A455" t="s">
        <v>47</v>
      </c>
      <c r="B455" s="6">
        <f t="shared" si="56"/>
        <v>2.133</v>
      </c>
      <c r="C455" s="3">
        <f t="shared" si="57"/>
        <v>101</v>
      </c>
      <c r="D455" s="3" t="str">
        <f t="shared" si="51"/>
        <v/>
      </c>
      <c r="E455" s="3">
        <f t="shared" si="52"/>
        <v>154</v>
      </c>
      <c r="F455" s="5" t="str">
        <f>IF(C455=0,"Broadcast",IF(D455="",IF(E455="","",IF(E455&lt;128,"Verbind "&amp;E455,INDEX(KdoCodeTab,MATCH(E455,KdoWertTab,0)))),"StatusAbfr "&amp;D455))</f>
        <v>MarkWdh</v>
      </c>
      <c r="G455" t="str">
        <f t="shared" si="53"/>
        <v>MarkWdh</v>
      </c>
      <c r="H455" t="str">
        <f t="shared" si="54"/>
        <v/>
      </c>
      <c r="I455" t="str">
        <f t="shared" si="55"/>
        <v/>
      </c>
    </row>
    <row r="456" spans="1:9" x14ac:dyDescent="0.25">
      <c r="A456" t="s">
        <v>48</v>
      </c>
      <c r="B456" s="6">
        <f t="shared" si="56"/>
        <v>2.1715</v>
      </c>
      <c r="C456" s="3">
        <f t="shared" si="57"/>
        <v>101</v>
      </c>
      <c r="D456" s="3" t="str">
        <f t="shared" si="51"/>
        <v/>
      </c>
      <c r="E456" s="3">
        <f t="shared" si="52"/>
        <v>147</v>
      </c>
      <c r="F456" s="5" t="str">
        <f>IF(C456=0,"Broadcast",IF(D456="",IF(E456="","",IF(E456&lt;128,"Verbind "&amp;E456,INDEX(KdoCodeTab,MATCH(E456,KdoWertTab,0)))),"StatusAbfr "&amp;D456))</f>
        <v>Space</v>
      </c>
      <c r="G456" t="str">
        <f t="shared" si="53"/>
        <v>Space</v>
      </c>
      <c r="H456" t="str">
        <f t="shared" si="54"/>
        <v/>
      </c>
      <c r="I456" t="str">
        <f t="shared" si="55"/>
        <v/>
      </c>
    </row>
    <row r="457" spans="1:9" x14ac:dyDescent="0.25">
      <c r="A457" t="s">
        <v>49</v>
      </c>
      <c r="B457" s="6">
        <f t="shared" si="56"/>
        <v>2.1723333333333334</v>
      </c>
      <c r="C457" s="3">
        <f t="shared" si="57"/>
        <v>101</v>
      </c>
      <c r="D457" s="3" t="str">
        <f t="shared" si="51"/>
        <v/>
      </c>
      <c r="E457" s="3">
        <f t="shared" si="52"/>
        <v>150</v>
      </c>
      <c r="F457" s="5" t="str">
        <f>IF(C457=0,"Broadcast",IF(D457="",IF(E457="","",IF(E457&lt;128,"Verbind "&amp;E457,INDEX(KdoCodeTab,MATCH(E457,KdoWertTab,0)))),"StatusAbfr "&amp;D457))</f>
        <v>SpaceWdh</v>
      </c>
      <c r="G457" t="str">
        <f t="shared" si="53"/>
        <v>SpaceWdh</v>
      </c>
      <c r="H457" t="str">
        <f t="shared" si="54"/>
        <v/>
      </c>
      <c r="I457" t="str">
        <f t="shared" si="55"/>
        <v/>
      </c>
    </row>
    <row r="458" spans="1:9" x14ac:dyDescent="0.25">
      <c r="A458" t="s">
        <v>50</v>
      </c>
      <c r="B458" s="6">
        <f t="shared" si="56"/>
        <v>2.1918333333333333</v>
      </c>
      <c r="C458" s="3">
        <f t="shared" si="57"/>
        <v>101</v>
      </c>
      <c r="D458" s="3" t="str">
        <f t="shared" si="51"/>
        <v/>
      </c>
      <c r="E458" s="3">
        <f t="shared" si="52"/>
        <v>156</v>
      </c>
      <c r="F458" s="5" t="str">
        <f>IF(C458=0,"Broadcast",IF(D458="",IF(E458="","",IF(E458&lt;128,"Verbind "&amp;E458,INDEX(KdoCodeTab,MATCH(E458,KdoWertTab,0)))),"StatusAbfr "&amp;D458))</f>
        <v>Mark</v>
      </c>
      <c r="G458" t="str">
        <f t="shared" si="53"/>
        <v>Mark</v>
      </c>
      <c r="H458" t="str">
        <f t="shared" si="54"/>
        <v/>
      </c>
      <c r="I458" t="str">
        <f t="shared" si="55"/>
        <v/>
      </c>
    </row>
    <row r="459" spans="1:9" x14ac:dyDescent="0.25">
      <c r="A459" t="s">
        <v>51</v>
      </c>
      <c r="B459" s="6">
        <f t="shared" si="56"/>
        <v>2.1926666666666668</v>
      </c>
      <c r="C459" s="3">
        <f t="shared" si="57"/>
        <v>101</v>
      </c>
      <c r="D459" s="3" t="str">
        <f t="shared" si="51"/>
        <v/>
      </c>
      <c r="E459" s="3">
        <f t="shared" si="52"/>
        <v>154</v>
      </c>
      <c r="F459" s="5" t="str">
        <f>IF(C459=0,"Broadcast",IF(D459="",IF(E459="","",IF(E459&lt;128,"Verbind "&amp;E459,INDEX(KdoCodeTab,MATCH(E459,KdoWertTab,0)))),"StatusAbfr "&amp;D459))</f>
        <v>MarkWdh</v>
      </c>
      <c r="G459" t="str">
        <f t="shared" si="53"/>
        <v>MarkWdh</v>
      </c>
      <c r="H459" t="str">
        <f t="shared" si="54"/>
        <v/>
      </c>
      <c r="I459" t="str">
        <f t="shared" si="55"/>
        <v/>
      </c>
    </row>
    <row r="460" spans="1:9" x14ac:dyDescent="0.25">
      <c r="A460" t="s">
        <v>52</v>
      </c>
      <c r="B460" s="6">
        <f t="shared" si="56"/>
        <v>2.2625000000000002</v>
      </c>
      <c r="C460" s="3">
        <f t="shared" si="57"/>
        <v>101</v>
      </c>
      <c r="D460" s="3" t="str">
        <f t="shared" si="51"/>
        <v/>
      </c>
      <c r="E460" s="3">
        <f t="shared" si="52"/>
        <v>147</v>
      </c>
      <c r="F460" s="5" t="str">
        <f>IF(C460=0,"Broadcast",IF(D460="",IF(E460="","",IF(E460&lt;128,"Verbind "&amp;E460,INDEX(KdoCodeTab,MATCH(E460,KdoWertTab,0)))),"StatusAbfr "&amp;D460))</f>
        <v>Space</v>
      </c>
      <c r="G460" t="str">
        <f t="shared" si="53"/>
        <v>Space</v>
      </c>
      <c r="H460" t="str">
        <f t="shared" si="54"/>
        <v/>
      </c>
      <c r="I460" t="str">
        <f t="shared" si="55"/>
        <v/>
      </c>
    </row>
    <row r="461" spans="1:9" x14ac:dyDescent="0.25">
      <c r="A461" t="s">
        <v>53</v>
      </c>
      <c r="B461" s="6">
        <f t="shared" si="56"/>
        <v>2.2633333333333332</v>
      </c>
      <c r="C461" s="3">
        <f t="shared" si="57"/>
        <v>101</v>
      </c>
      <c r="D461" s="3" t="str">
        <f t="shared" si="51"/>
        <v/>
      </c>
      <c r="E461" s="3">
        <f t="shared" si="52"/>
        <v>150</v>
      </c>
      <c r="F461" s="5" t="str">
        <f>IF(C461=0,"Broadcast",IF(D461="",IF(E461="","",IF(E461&lt;128,"Verbind "&amp;E461,INDEX(KdoCodeTab,MATCH(E461,KdoWertTab,0)))),"StatusAbfr "&amp;D461))</f>
        <v>SpaceWdh</v>
      </c>
      <c r="G461" t="str">
        <f t="shared" si="53"/>
        <v>SpaceWdh</v>
      </c>
      <c r="H461" t="str">
        <f t="shared" si="54"/>
        <v/>
      </c>
      <c r="I461" t="str">
        <f t="shared" si="55"/>
        <v/>
      </c>
    </row>
    <row r="462" spans="1:9" x14ac:dyDescent="0.25">
      <c r="A462" t="s">
        <v>54</v>
      </c>
      <c r="B462" s="6">
        <f t="shared" si="56"/>
        <v>2.3029999999999999</v>
      </c>
      <c r="C462" s="3">
        <f t="shared" si="57"/>
        <v>101</v>
      </c>
      <c r="D462" s="3" t="str">
        <f t="shared" si="51"/>
        <v/>
      </c>
      <c r="E462" s="3">
        <f t="shared" si="52"/>
        <v>156</v>
      </c>
      <c r="F462" s="5" t="str">
        <f>IF(C462=0,"Broadcast",IF(D462="",IF(E462="","",IF(E462&lt;128,"Verbind "&amp;E462,INDEX(KdoCodeTab,MATCH(E462,KdoWertTab,0)))),"StatusAbfr "&amp;D462))</f>
        <v>Mark</v>
      </c>
      <c r="G462" t="str">
        <f t="shared" si="53"/>
        <v>Mark</v>
      </c>
      <c r="H462" t="str">
        <f t="shared" si="54"/>
        <v/>
      </c>
      <c r="I462" t="str">
        <f t="shared" si="55"/>
        <v/>
      </c>
    </row>
    <row r="463" spans="1:9" x14ac:dyDescent="0.25">
      <c r="A463" t="s">
        <v>55</v>
      </c>
      <c r="B463" s="6">
        <f t="shared" si="56"/>
        <v>2.3038333333333334</v>
      </c>
      <c r="C463" s="3">
        <f t="shared" si="57"/>
        <v>101</v>
      </c>
      <c r="D463" s="3" t="str">
        <f t="shared" si="51"/>
        <v/>
      </c>
      <c r="E463" s="3">
        <f t="shared" si="52"/>
        <v>154</v>
      </c>
      <c r="F463" s="5" t="str">
        <f>IF(C463=0,"Broadcast",IF(D463="",IF(E463="","",IF(E463&lt;128,"Verbind "&amp;E463,INDEX(KdoCodeTab,MATCH(E463,KdoWertTab,0)))),"StatusAbfr "&amp;D463))</f>
        <v>MarkWdh</v>
      </c>
      <c r="G463" t="str">
        <f t="shared" si="53"/>
        <v>MarkWdh</v>
      </c>
      <c r="H463" t="str">
        <f t="shared" si="54"/>
        <v/>
      </c>
      <c r="I463" t="str">
        <f t="shared" si="55"/>
        <v/>
      </c>
    </row>
    <row r="464" spans="1:9" x14ac:dyDescent="0.25">
      <c r="A464" t="s">
        <v>56</v>
      </c>
      <c r="B464" s="6">
        <f t="shared" si="56"/>
        <v>2.3423333333333334</v>
      </c>
      <c r="C464" s="3">
        <f t="shared" si="57"/>
        <v>101</v>
      </c>
      <c r="D464" s="3" t="str">
        <f t="shared" si="51"/>
        <v/>
      </c>
      <c r="E464" s="3">
        <f t="shared" si="52"/>
        <v>147</v>
      </c>
      <c r="F464" s="5" t="str">
        <f>IF(C464=0,"Broadcast",IF(D464="",IF(E464="","",IF(E464&lt;128,"Verbind "&amp;E464,INDEX(KdoCodeTab,MATCH(E464,KdoWertTab,0)))),"StatusAbfr "&amp;D464))</f>
        <v>Space</v>
      </c>
      <c r="G464" t="str">
        <f t="shared" si="53"/>
        <v>Space</v>
      </c>
      <c r="H464" t="str">
        <f t="shared" si="54"/>
        <v/>
      </c>
      <c r="I464" t="str">
        <f t="shared" si="55"/>
        <v/>
      </c>
    </row>
    <row r="465" spans="1:9" x14ac:dyDescent="0.25">
      <c r="A465" t="s">
        <v>57</v>
      </c>
      <c r="B465" s="6">
        <f t="shared" si="56"/>
        <v>2.3431666666666668</v>
      </c>
      <c r="C465" s="3">
        <f t="shared" si="57"/>
        <v>101</v>
      </c>
      <c r="D465" s="3" t="str">
        <f t="shared" si="51"/>
        <v/>
      </c>
      <c r="E465" s="3">
        <f t="shared" si="52"/>
        <v>150</v>
      </c>
      <c r="F465" s="5" t="str">
        <f>IF(C465=0,"Broadcast",IF(D465="",IF(E465="","",IF(E465&lt;128,"Verbind "&amp;E465,INDEX(KdoCodeTab,MATCH(E465,KdoWertTab,0)))),"StatusAbfr "&amp;D465))</f>
        <v>SpaceWdh</v>
      </c>
      <c r="G465" t="str">
        <f t="shared" si="53"/>
        <v>SpaceWdh</v>
      </c>
      <c r="H465" t="str">
        <f t="shared" si="54"/>
        <v/>
      </c>
      <c r="I465" t="str">
        <f t="shared" si="55"/>
        <v/>
      </c>
    </row>
    <row r="466" spans="1:9" x14ac:dyDescent="0.25">
      <c r="A466" t="s">
        <v>58</v>
      </c>
      <c r="B466" s="6">
        <f t="shared" si="56"/>
        <v>2.3826666666666667</v>
      </c>
      <c r="C466" s="3">
        <f t="shared" si="57"/>
        <v>101</v>
      </c>
      <c r="D466" s="3" t="str">
        <f t="shared" si="51"/>
        <v/>
      </c>
      <c r="E466" s="3">
        <f t="shared" si="52"/>
        <v>156</v>
      </c>
      <c r="F466" s="5" t="str">
        <f>IF(C466=0,"Broadcast",IF(D466="",IF(E466="","",IF(E466&lt;128,"Verbind "&amp;E466,INDEX(KdoCodeTab,MATCH(E466,KdoWertTab,0)))),"StatusAbfr "&amp;D466))</f>
        <v>Mark</v>
      </c>
      <c r="G466" t="str">
        <f t="shared" si="53"/>
        <v>Mark</v>
      </c>
      <c r="H466" t="str">
        <f t="shared" si="54"/>
        <v/>
      </c>
      <c r="I466" t="str">
        <f t="shared" si="55"/>
        <v/>
      </c>
    </row>
    <row r="467" spans="1:9" x14ac:dyDescent="0.25">
      <c r="A467" t="s">
        <v>59</v>
      </c>
      <c r="B467" s="6">
        <f t="shared" si="56"/>
        <v>2.3835000000000002</v>
      </c>
      <c r="C467" s="3">
        <f t="shared" si="57"/>
        <v>101</v>
      </c>
      <c r="D467" s="3" t="str">
        <f t="shared" si="51"/>
        <v/>
      </c>
      <c r="E467" s="3">
        <f t="shared" si="52"/>
        <v>154</v>
      </c>
      <c r="F467" s="5" t="str">
        <f>IF(C467=0,"Broadcast",IF(D467="",IF(E467="","",IF(E467&lt;128,"Verbind "&amp;E467,INDEX(KdoCodeTab,MATCH(E467,KdoWertTab,0)))),"StatusAbfr "&amp;D467))</f>
        <v>MarkWdh</v>
      </c>
      <c r="G467" t="str">
        <f t="shared" si="53"/>
        <v>MarkWdh</v>
      </c>
      <c r="H467" t="str">
        <f t="shared" si="54"/>
        <v/>
      </c>
      <c r="I467" t="str">
        <f t="shared" si="55"/>
        <v/>
      </c>
    </row>
    <row r="468" spans="1:9" x14ac:dyDescent="0.25">
      <c r="A468" t="s">
        <v>60</v>
      </c>
      <c r="B468" s="6">
        <f t="shared" si="56"/>
        <v>2.4119999999999999</v>
      </c>
      <c r="C468" s="3">
        <f t="shared" si="57"/>
        <v>101</v>
      </c>
      <c r="D468" s="3" t="str">
        <f t="shared" si="51"/>
        <v/>
      </c>
      <c r="E468" s="3">
        <f t="shared" si="52"/>
        <v>147</v>
      </c>
      <c r="F468" s="5" t="str">
        <f>IF(C468=0,"Broadcast",IF(D468="",IF(E468="","",IF(E468&lt;128,"Verbind "&amp;E468,INDEX(KdoCodeTab,MATCH(E468,KdoWertTab,0)))),"StatusAbfr "&amp;D468))</f>
        <v>Space</v>
      </c>
      <c r="G468" t="str">
        <f t="shared" si="53"/>
        <v>Space</v>
      </c>
      <c r="H468" t="str">
        <f t="shared" si="54"/>
        <v/>
      </c>
      <c r="I468" t="str">
        <f t="shared" si="55"/>
        <v/>
      </c>
    </row>
    <row r="469" spans="1:9" x14ac:dyDescent="0.25">
      <c r="A469" t="s">
        <v>61</v>
      </c>
      <c r="B469" s="6">
        <f t="shared" si="56"/>
        <v>2.4128333333333334</v>
      </c>
      <c r="C469" s="3">
        <f t="shared" si="57"/>
        <v>101</v>
      </c>
      <c r="D469" s="3" t="str">
        <f t="shared" si="51"/>
        <v/>
      </c>
      <c r="E469" s="3">
        <f t="shared" si="52"/>
        <v>150</v>
      </c>
      <c r="F469" s="5" t="str">
        <f>IF(C469=0,"Broadcast",IF(D469="",IF(E469="","",IF(E469&lt;128,"Verbind "&amp;E469,INDEX(KdoCodeTab,MATCH(E469,KdoWertTab,0)))),"StatusAbfr "&amp;D469))</f>
        <v>SpaceWdh</v>
      </c>
      <c r="G469" t="str">
        <f t="shared" si="53"/>
        <v>SpaceWdh</v>
      </c>
      <c r="H469" t="str">
        <f t="shared" si="54"/>
        <v/>
      </c>
      <c r="I469" t="str">
        <f t="shared" si="55"/>
        <v/>
      </c>
    </row>
    <row r="470" spans="1:9" x14ac:dyDescent="0.25">
      <c r="A470" t="s">
        <v>62</v>
      </c>
      <c r="B470" s="6">
        <f t="shared" si="56"/>
        <v>2.4845000000000002</v>
      </c>
      <c r="C470" s="3">
        <f t="shared" si="57"/>
        <v>101</v>
      </c>
      <c r="D470" s="3" t="str">
        <f t="shared" si="51"/>
        <v/>
      </c>
      <c r="E470" s="3">
        <f t="shared" si="52"/>
        <v>169</v>
      </c>
      <c r="F470" s="5" t="str">
        <f>IF(C470=0,"Broadcast",IF(D470="",IF(E470="","",IF(E470&lt;128,"Verbind "&amp;E470,INDEX(KdoCodeTab,MATCH(E470,KdoWertTab,0)))),"StatusAbfr "&amp;D470))</f>
        <v>BusLebenszeichen</v>
      </c>
      <c r="G470" t="str">
        <f t="shared" si="53"/>
        <v>BusLebenszeichen</v>
      </c>
      <c r="H470" t="str">
        <f t="shared" si="54"/>
        <v/>
      </c>
      <c r="I470" t="str">
        <f t="shared" si="55"/>
        <v/>
      </c>
    </row>
    <row r="471" spans="1:9" x14ac:dyDescent="0.25">
      <c r="A471" t="s">
        <v>63</v>
      </c>
      <c r="B471" s="6">
        <f t="shared" si="56"/>
        <v>2.512</v>
      </c>
      <c r="C471" s="3">
        <f t="shared" si="57"/>
        <v>101</v>
      </c>
      <c r="D471" s="3" t="str">
        <f t="shared" si="51"/>
        <v/>
      </c>
      <c r="E471" s="3">
        <f t="shared" si="52"/>
        <v>156</v>
      </c>
      <c r="F471" s="5" t="str">
        <f>IF(C471=0,"Broadcast",IF(D471="",IF(E471="","",IF(E471&lt;128,"Verbind "&amp;E471,INDEX(KdoCodeTab,MATCH(E471,KdoWertTab,0)))),"StatusAbfr "&amp;D471))</f>
        <v>Mark</v>
      </c>
      <c r="G471" t="str">
        <f t="shared" si="53"/>
        <v>Mark</v>
      </c>
      <c r="H471" t="str">
        <f t="shared" si="54"/>
        <v/>
      </c>
      <c r="I471" t="str">
        <f t="shared" si="55"/>
        <v/>
      </c>
    </row>
    <row r="472" spans="1:9" x14ac:dyDescent="0.25">
      <c r="A472" t="s">
        <v>64</v>
      </c>
      <c r="B472" s="6">
        <f t="shared" si="56"/>
        <v>2.5129999999999999</v>
      </c>
      <c r="C472" s="3">
        <f t="shared" si="57"/>
        <v>101</v>
      </c>
      <c r="D472" s="3" t="str">
        <f t="shared" si="51"/>
        <v/>
      </c>
      <c r="E472" s="3">
        <f t="shared" si="52"/>
        <v>154</v>
      </c>
      <c r="F472" s="5" t="str">
        <f>IF(C472=0,"Broadcast",IF(D472="",IF(E472="","",IF(E472&lt;128,"Verbind "&amp;E472,INDEX(KdoCodeTab,MATCH(E472,KdoWertTab,0)))),"StatusAbfr "&amp;D472))</f>
        <v>MarkWdh</v>
      </c>
      <c r="G472" t="str">
        <f t="shared" si="53"/>
        <v>MarkWdh</v>
      </c>
      <c r="H472" t="str">
        <f t="shared" si="54"/>
        <v/>
      </c>
      <c r="I472" t="str">
        <f t="shared" si="55"/>
        <v/>
      </c>
    </row>
    <row r="473" spans="1:9" x14ac:dyDescent="0.25">
      <c r="A473" t="s">
        <v>65</v>
      </c>
      <c r="B473" s="6">
        <f t="shared" si="56"/>
        <v>2.5625</v>
      </c>
      <c r="C473" s="3">
        <f t="shared" si="57"/>
        <v>101</v>
      </c>
      <c r="D473" s="3" t="str">
        <f t="shared" si="51"/>
        <v/>
      </c>
      <c r="E473" s="3">
        <f t="shared" si="52"/>
        <v>147</v>
      </c>
      <c r="F473" s="5" t="str">
        <f>IF(C473=0,"Broadcast",IF(D473="",IF(E473="","",IF(E473&lt;128,"Verbind "&amp;E473,INDEX(KdoCodeTab,MATCH(E473,KdoWertTab,0)))),"StatusAbfr "&amp;D473))</f>
        <v>Space</v>
      </c>
      <c r="G473" t="str">
        <f t="shared" si="53"/>
        <v>Space</v>
      </c>
      <c r="H473" t="str">
        <f t="shared" si="54"/>
        <v/>
      </c>
      <c r="I473" t="str">
        <f t="shared" si="55"/>
        <v/>
      </c>
    </row>
    <row r="474" spans="1:9" x14ac:dyDescent="0.25">
      <c r="A474" t="s">
        <v>66</v>
      </c>
      <c r="B474" s="6">
        <f t="shared" si="56"/>
        <v>2.5635000000000003</v>
      </c>
      <c r="C474" s="3">
        <f t="shared" si="57"/>
        <v>101</v>
      </c>
      <c r="D474" s="3" t="str">
        <f t="shared" si="51"/>
        <v/>
      </c>
      <c r="E474" s="3">
        <f t="shared" si="52"/>
        <v>150</v>
      </c>
      <c r="F474" s="5" t="str">
        <f>IF(C474=0,"Broadcast",IF(D474="",IF(E474="","",IF(E474&lt;128,"Verbind "&amp;E474,INDEX(KdoCodeTab,MATCH(E474,KdoWertTab,0)))),"StatusAbfr "&amp;D474))</f>
        <v>SpaceWdh</v>
      </c>
      <c r="G474" t="str">
        <f t="shared" si="53"/>
        <v>SpaceWdh</v>
      </c>
      <c r="H474" t="str">
        <f t="shared" si="54"/>
        <v/>
      </c>
      <c r="I474" t="str">
        <f t="shared" si="55"/>
        <v/>
      </c>
    </row>
    <row r="475" spans="1:9" x14ac:dyDescent="0.25">
      <c r="A475" t="s">
        <v>67</v>
      </c>
      <c r="B475" s="6">
        <f t="shared" si="56"/>
        <v>2.5826666666666664</v>
      </c>
      <c r="C475" s="3">
        <f t="shared" si="57"/>
        <v>101</v>
      </c>
      <c r="D475" s="3" t="str">
        <f t="shared" si="51"/>
        <v/>
      </c>
      <c r="E475" s="3">
        <f t="shared" si="52"/>
        <v>156</v>
      </c>
      <c r="F475" s="5" t="str">
        <f>IF(C475=0,"Broadcast",IF(D475="",IF(E475="","",IF(E475&lt;128,"Verbind "&amp;E475,INDEX(KdoCodeTab,MATCH(E475,KdoWertTab,0)))),"StatusAbfr "&amp;D475))</f>
        <v>Mark</v>
      </c>
      <c r="G475" t="str">
        <f t="shared" si="53"/>
        <v>Mark</v>
      </c>
      <c r="H475" t="str">
        <f t="shared" si="54"/>
        <v/>
      </c>
      <c r="I475" t="str">
        <f t="shared" si="55"/>
        <v/>
      </c>
    </row>
    <row r="476" spans="1:9" x14ac:dyDescent="0.25">
      <c r="A476" t="s">
        <v>68</v>
      </c>
      <c r="B476" s="6">
        <f t="shared" si="56"/>
        <v>2.5836666666666668</v>
      </c>
      <c r="C476" s="3">
        <f t="shared" si="57"/>
        <v>101</v>
      </c>
      <c r="D476" s="3" t="str">
        <f t="shared" si="51"/>
        <v/>
      </c>
      <c r="E476" s="3">
        <f t="shared" si="52"/>
        <v>154</v>
      </c>
      <c r="F476" s="5" t="str">
        <f>IF(C476=0,"Broadcast",IF(D476="",IF(E476="","",IF(E476&lt;128,"Verbind "&amp;E476,INDEX(KdoCodeTab,MATCH(E476,KdoWertTab,0)))),"StatusAbfr "&amp;D476))</f>
        <v>MarkWdh</v>
      </c>
      <c r="G476" t="str">
        <f t="shared" si="53"/>
        <v>MarkWdh</v>
      </c>
      <c r="H476" t="str">
        <f t="shared" si="54"/>
        <v/>
      </c>
      <c r="I476" t="str">
        <f t="shared" si="55"/>
        <v/>
      </c>
    </row>
    <row r="477" spans="1:9" x14ac:dyDescent="0.25">
      <c r="A477" t="s">
        <v>69</v>
      </c>
      <c r="B477" s="6">
        <f t="shared" si="56"/>
        <v>2.6348333333333334</v>
      </c>
      <c r="C477" s="3">
        <f t="shared" si="57"/>
        <v>31</v>
      </c>
      <c r="D477" s="3" t="str">
        <f t="shared" si="51"/>
        <v/>
      </c>
      <c r="E477" s="3">
        <f t="shared" si="52"/>
        <v>154</v>
      </c>
      <c r="F477" s="5" t="str">
        <f>IF(C477=0,"Broadcast",IF(D477="",IF(E477="","",IF(E477&lt;128,"Verbind "&amp;E477,INDEX(KdoCodeTab,MATCH(E477,KdoWertTab,0)))),"StatusAbfr "&amp;D477))</f>
        <v>MarkWdh</v>
      </c>
      <c r="G477" t="str">
        <f t="shared" si="53"/>
        <v/>
      </c>
      <c r="H477" t="str">
        <f t="shared" si="54"/>
        <v>MarkWdh</v>
      </c>
      <c r="I477" t="str">
        <f t="shared" si="55"/>
        <v/>
      </c>
    </row>
    <row r="478" spans="1:9" x14ac:dyDescent="0.25">
      <c r="A478" t="s">
        <v>70</v>
      </c>
      <c r="B478" s="6">
        <f t="shared" si="56"/>
        <v>2.6421666666666668</v>
      </c>
      <c r="C478" s="3">
        <f t="shared" si="57"/>
        <v>101</v>
      </c>
      <c r="D478" s="3" t="str">
        <f t="shared" si="51"/>
        <v/>
      </c>
      <c r="E478" s="3">
        <f t="shared" si="52"/>
        <v>147</v>
      </c>
      <c r="F478" s="5" t="str">
        <f>IF(C478=0,"Broadcast",IF(D478="",IF(E478="","",IF(E478&lt;128,"Verbind "&amp;E478,INDEX(KdoCodeTab,MATCH(E478,KdoWertTab,0)))),"StatusAbfr "&amp;D478))</f>
        <v>Space</v>
      </c>
      <c r="G478" t="str">
        <f t="shared" si="53"/>
        <v>Space</v>
      </c>
      <c r="H478" t="str">
        <f t="shared" si="54"/>
        <v/>
      </c>
      <c r="I478" t="str">
        <f t="shared" si="55"/>
        <v/>
      </c>
    </row>
    <row r="479" spans="1:9" x14ac:dyDescent="0.25">
      <c r="A479" t="s">
        <v>71</v>
      </c>
      <c r="B479" s="6">
        <f t="shared" si="56"/>
        <v>2.6431666666666667</v>
      </c>
      <c r="C479" s="3">
        <f t="shared" si="57"/>
        <v>101</v>
      </c>
      <c r="D479" s="3" t="str">
        <f t="shared" si="51"/>
        <v/>
      </c>
      <c r="E479" s="3">
        <f t="shared" si="52"/>
        <v>150</v>
      </c>
      <c r="F479" s="5" t="str">
        <f>IF(C479=0,"Broadcast",IF(D479="",IF(E479="","",IF(E479&lt;128,"Verbind "&amp;E479,INDEX(KdoCodeTab,MATCH(E479,KdoWertTab,0)))),"StatusAbfr "&amp;D479))</f>
        <v>SpaceWdh</v>
      </c>
      <c r="G479" t="str">
        <f t="shared" si="53"/>
        <v>SpaceWdh</v>
      </c>
      <c r="H479" t="str">
        <f t="shared" si="54"/>
        <v/>
      </c>
      <c r="I479" t="str">
        <f t="shared" si="55"/>
        <v/>
      </c>
    </row>
    <row r="480" spans="1:9" x14ac:dyDescent="0.25">
      <c r="A480" t="s">
        <v>72</v>
      </c>
      <c r="B480" s="6">
        <f t="shared" si="56"/>
        <v>2.6826666666666665</v>
      </c>
      <c r="C480" s="3">
        <f t="shared" si="57"/>
        <v>101</v>
      </c>
      <c r="D480" s="3" t="str">
        <f t="shared" si="51"/>
        <v/>
      </c>
      <c r="E480" s="3">
        <f t="shared" si="52"/>
        <v>156</v>
      </c>
      <c r="F480" s="5" t="str">
        <f>IF(C480=0,"Broadcast",IF(D480="",IF(E480="","",IF(E480&lt;128,"Verbind "&amp;E480,INDEX(KdoCodeTab,MATCH(E480,KdoWertTab,0)))),"StatusAbfr "&amp;D480))</f>
        <v>Mark</v>
      </c>
      <c r="G480" t="str">
        <f t="shared" si="53"/>
        <v>Mark</v>
      </c>
      <c r="H480" t="str">
        <f t="shared" si="54"/>
        <v/>
      </c>
      <c r="I480" t="str">
        <f t="shared" si="55"/>
        <v/>
      </c>
    </row>
    <row r="481" spans="1:9" x14ac:dyDescent="0.25">
      <c r="A481" t="s">
        <v>73</v>
      </c>
      <c r="B481" s="6">
        <f t="shared" si="56"/>
        <v>2.6836666666666664</v>
      </c>
      <c r="C481" s="3">
        <f t="shared" si="57"/>
        <v>101</v>
      </c>
      <c r="D481" s="3" t="str">
        <f t="shared" si="51"/>
        <v/>
      </c>
      <c r="E481" s="3">
        <f t="shared" si="52"/>
        <v>154</v>
      </c>
      <c r="F481" s="5" t="str">
        <f>IF(C481=0,"Broadcast",IF(D481="",IF(E481="","",IF(E481&lt;128,"Verbind "&amp;E481,INDEX(KdoCodeTab,MATCH(E481,KdoWertTab,0)))),"StatusAbfr "&amp;D481))</f>
        <v>MarkWdh</v>
      </c>
      <c r="G481" t="str">
        <f t="shared" si="53"/>
        <v>MarkWdh</v>
      </c>
      <c r="H481" t="str">
        <f t="shared" si="54"/>
        <v/>
      </c>
      <c r="I481" t="str">
        <f t="shared" si="55"/>
        <v/>
      </c>
    </row>
    <row r="482" spans="1:9" x14ac:dyDescent="0.25">
      <c r="A482" t="s">
        <v>74</v>
      </c>
      <c r="B482" s="6">
        <f t="shared" si="56"/>
        <v>2.7120000000000002</v>
      </c>
      <c r="C482" s="3">
        <f t="shared" si="57"/>
        <v>101</v>
      </c>
      <c r="D482" s="3" t="str">
        <f t="shared" si="51"/>
        <v/>
      </c>
      <c r="E482" s="3">
        <f t="shared" si="52"/>
        <v>147</v>
      </c>
      <c r="F482" s="5" t="str">
        <f>IF(C482=0,"Broadcast",IF(D482="",IF(E482="","",IF(E482&lt;128,"Verbind "&amp;E482,INDEX(KdoCodeTab,MATCH(E482,KdoWertTab,0)))),"StatusAbfr "&amp;D482))</f>
        <v>Space</v>
      </c>
      <c r="G482" t="str">
        <f t="shared" si="53"/>
        <v>Space</v>
      </c>
      <c r="H482" t="str">
        <f t="shared" si="54"/>
        <v/>
      </c>
      <c r="I482" t="str">
        <f t="shared" si="55"/>
        <v/>
      </c>
    </row>
    <row r="483" spans="1:9" x14ac:dyDescent="0.25">
      <c r="A483" t="s">
        <v>75</v>
      </c>
      <c r="B483" s="6">
        <f t="shared" si="56"/>
        <v>2.7128333333333337</v>
      </c>
      <c r="C483" s="3">
        <f t="shared" si="57"/>
        <v>101</v>
      </c>
      <c r="D483" s="3" t="str">
        <f t="shared" si="51"/>
        <v/>
      </c>
      <c r="E483" s="3">
        <f t="shared" si="52"/>
        <v>150</v>
      </c>
      <c r="F483" s="5" t="str">
        <f>IF(C483=0,"Broadcast",IF(D483="",IF(E483="","",IF(E483&lt;128,"Verbind "&amp;E483,INDEX(KdoCodeTab,MATCH(E483,KdoWertTab,0)))),"StatusAbfr "&amp;D483))</f>
        <v>SpaceWdh</v>
      </c>
      <c r="G483" t="str">
        <f t="shared" si="53"/>
        <v>SpaceWdh</v>
      </c>
      <c r="H483" t="str">
        <f t="shared" si="54"/>
        <v/>
      </c>
      <c r="I483" t="str">
        <f t="shared" si="55"/>
        <v/>
      </c>
    </row>
    <row r="484" spans="1:9" x14ac:dyDescent="0.25">
      <c r="A484" t="s">
        <v>76</v>
      </c>
      <c r="B484" s="6">
        <f t="shared" si="56"/>
        <v>2.7918333333333334</v>
      </c>
      <c r="C484" s="3">
        <f t="shared" si="57"/>
        <v>101</v>
      </c>
      <c r="D484" s="3" t="str">
        <f t="shared" si="51"/>
        <v/>
      </c>
      <c r="E484" s="3">
        <f t="shared" si="52"/>
        <v>156</v>
      </c>
      <c r="F484" s="5" t="str">
        <f>IF(C484=0,"Broadcast",IF(D484="",IF(E484="","",IF(E484&lt;128,"Verbind "&amp;E484,INDEX(KdoCodeTab,MATCH(E484,KdoWertTab,0)))),"StatusAbfr "&amp;D484))</f>
        <v>Mark</v>
      </c>
      <c r="G484" t="str">
        <f t="shared" si="53"/>
        <v>Mark</v>
      </c>
      <c r="H484" t="str">
        <f t="shared" si="54"/>
        <v/>
      </c>
      <c r="I484" t="str">
        <f t="shared" si="55"/>
        <v/>
      </c>
    </row>
    <row r="485" spans="1:9" x14ac:dyDescent="0.25">
      <c r="A485" t="s">
        <v>77</v>
      </c>
      <c r="B485" s="6">
        <f t="shared" si="56"/>
        <v>2.7928333333333333</v>
      </c>
      <c r="C485" s="3">
        <f t="shared" si="57"/>
        <v>101</v>
      </c>
      <c r="D485" s="3" t="str">
        <f t="shared" si="51"/>
        <v/>
      </c>
      <c r="E485" s="3">
        <f t="shared" si="52"/>
        <v>154</v>
      </c>
      <c r="F485" s="5" t="str">
        <f>IF(C485=0,"Broadcast",IF(D485="",IF(E485="","",IF(E485&lt;128,"Verbind "&amp;E485,INDEX(KdoCodeTab,MATCH(E485,KdoWertTab,0)))),"StatusAbfr "&amp;D485))</f>
        <v>MarkWdh</v>
      </c>
      <c r="G485" t="str">
        <f t="shared" si="53"/>
        <v>MarkWdh</v>
      </c>
      <c r="H485" t="str">
        <f t="shared" si="54"/>
        <v/>
      </c>
      <c r="I485" t="str">
        <f t="shared" si="55"/>
        <v/>
      </c>
    </row>
    <row r="486" spans="1:9" x14ac:dyDescent="0.25">
      <c r="A486" t="s">
        <v>78</v>
      </c>
      <c r="B486" s="6">
        <f t="shared" si="56"/>
        <v>2.8625000000000003</v>
      </c>
      <c r="C486" s="3">
        <f t="shared" si="57"/>
        <v>101</v>
      </c>
      <c r="D486" s="3" t="str">
        <f t="shared" si="51"/>
        <v/>
      </c>
      <c r="E486" s="3">
        <f t="shared" si="52"/>
        <v>147</v>
      </c>
      <c r="F486" s="5" t="str">
        <f>IF(C486=0,"Broadcast",IF(D486="",IF(E486="","",IF(E486&lt;128,"Verbind "&amp;E486,INDEX(KdoCodeTab,MATCH(E486,KdoWertTab,0)))),"StatusAbfr "&amp;D486))</f>
        <v>Space</v>
      </c>
      <c r="G486" t="str">
        <f t="shared" si="53"/>
        <v>Space</v>
      </c>
      <c r="H486" t="str">
        <f t="shared" si="54"/>
        <v/>
      </c>
      <c r="I486" t="str">
        <f t="shared" si="55"/>
        <v/>
      </c>
    </row>
    <row r="487" spans="1:9" x14ac:dyDescent="0.25">
      <c r="A487" t="s">
        <v>79</v>
      </c>
      <c r="B487" s="6">
        <f t="shared" si="56"/>
        <v>2.8635000000000002</v>
      </c>
      <c r="C487" s="3">
        <f t="shared" si="57"/>
        <v>101</v>
      </c>
      <c r="D487" s="3" t="str">
        <f t="shared" si="51"/>
        <v/>
      </c>
      <c r="E487" s="3">
        <f t="shared" si="52"/>
        <v>150</v>
      </c>
      <c r="F487" s="5" t="str">
        <f>IF(C487=0,"Broadcast",IF(D487="",IF(E487="","",IF(E487&lt;128,"Verbind "&amp;E487,INDEX(KdoCodeTab,MATCH(E487,KdoWertTab,0)))),"StatusAbfr "&amp;D487))</f>
        <v>SpaceWdh</v>
      </c>
      <c r="G487" t="str">
        <f t="shared" si="53"/>
        <v>SpaceWdh</v>
      </c>
      <c r="H487" t="str">
        <f t="shared" si="54"/>
        <v/>
      </c>
      <c r="I487" t="str">
        <f t="shared" si="55"/>
        <v/>
      </c>
    </row>
    <row r="488" spans="1:9" x14ac:dyDescent="0.25">
      <c r="A488" t="s">
        <v>80</v>
      </c>
      <c r="B488" s="6">
        <f t="shared" si="56"/>
        <v>2.9423333333333335</v>
      </c>
      <c r="C488" s="3">
        <f t="shared" si="57"/>
        <v>101</v>
      </c>
      <c r="D488" s="3" t="str">
        <f t="shared" si="51"/>
        <v/>
      </c>
      <c r="E488" s="3">
        <f t="shared" si="52"/>
        <v>156</v>
      </c>
      <c r="F488" s="5" t="str">
        <f>IF(C488=0,"Broadcast",IF(D488="",IF(E488="","",IF(E488&lt;128,"Verbind "&amp;E488,INDEX(KdoCodeTab,MATCH(E488,KdoWertTab,0)))),"StatusAbfr "&amp;D488))</f>
        <v>Mark</v>
      </c>
      <c r="G488" t="str">
        <f t="shared" si="53"/>
        <v>Mark</v>
      </c>
      <c r="H488" t="str">
        <f t="shared" si="54"/>
        <v/>
      </c>
      <c r="I488" t="str">
        <f t="shared" si="55"/>
        <v/>
      </c>
    </row>
    <row r="489" spans="1:9" x14ac:dyDescent="0.25">
      <c r="A489" t="s">
        <v>81</v>
      </c>
      <c r="B489" s="6">
        <f t="shared" si="56"/>
        <v>2.9431666666666669</v>
      </c>
      <c r="C489" s="3">
        <f t="shared" si="57"/>
        <v>101</v>
      </c>
      <c r="D489" s="3" t="str">
        <f t="shared" si="51"/>
        <v/>
      </c>
      <c r="E489" s="3">
        <f t="shared" si="52"/>
        <v>154</v>
      </c>
      <c r="F489" s="5" t="str">
        <f>IF(C489=0,"Broadcast",IF(D489="",IF(E489="","",IF(E489&lt;128,"Verbind "&amp;E489,INDEX(KdoCodeTab,MATCH(E489,KdoWertTab,0)))),"StatusAbfr "&amp;D489))</f>
        <v>MarkWdh</v>
      </c>
      <c r="G489" t="str">
        <f t="shared" si="53"/>
        <v>MarkWdh</v>
      </c>
      <c r="H489" t="str">
        <f t="shared" si="54"/>
        <v/>
      </c>
      <c r="I489" t="str">
        <f t="shared" si="55"/>
        <v/>
      </c>
    </row>
    <row r="490" spans="1:9" x14ac:dyDescent="0.25">
      <c r="A490" t="s">
        <v>82</v>
      </c>
      <c r="B490" s="6">
        <f t="shared" si="56"/>
        <v>3.0121666666666669</v>
      </c>
      <c r="C490" s="3">
        <f t="shared" si="57"/>
        <v>101</v>
      </c>
      <c r="D490" s="3" t="str">
        <f t="shared" si="51"/>
        <v/>
      </c>
      <c r="E490" s="3">
        <f t="shared" si="52"/>
        <v>147</v>
      </c>
      <c r="F490" s="5" t="str">
        <f>IF(C490=0,"Broadcast",IF(D490="",IF(E490="","",IF(E490&lt;128,"Verbind "&amp;E490,INDEX(KdoCodeTab,MATCH(E490,KdoWertTab,0)))),"StatusAbfr "&amp;D490))</f>
        <v>Space</v>
      </c>
      <c r="G490" t="str">
        <f t="shared" si="53"/>
        <v>Space</v>
      </c>
      <c r="H490" t="str">
        <f t="shared" si="54"/>
        <v/>
      </c>
      <c r="I490" t="str">
        <f t="shared" si="55"/>
        <v/>
      </c>
    </row>
    <row r="491" spans="1:9" x14ac:dyDescent="0.25">
      <c r="A491" t="s">
        <v>83</v>
      </c>
      <c r="B491" s="6">
        <f t="shared" si="56"/>
        <v>3.0129999999999999</v>
      </c>
      <c r="C491" s="3">
        <f t="shared" si="57"/>
        <v>101</v>
      </c>
      <c r="D491" s="3" t="str">
        <f t="shared" si="51"/>
        <v/>
      </c>
      <c r="E491" s="3">
        <f t="shared" si="52"/>
        <v>150</v>
      </c>
      <c r="F491" s="5" t="str">
        <f>IF(C491=0,"Broadcast",IF(D491="",IF(E491="","",IF(E491&lt;128,"Verbind "&amp;E491,INDEX(KdoCodeTab,MATCH(E491,KdoWertTab,0)))),"StatusAbfr "&amp;D491))</f>
        <v>SpaceWdh</v>
      </c>
      <c r="G491" t="str">
        <f t="shared" si="53"/>
        <v>SpaceWdh</v>
      </c>
      <c r="H491" t="str">
        <f t="shared" si="54"/>
        <v/>
      </c>
      <c r="I491" t="str">
        <f t="shared" si="55"/>
        <v/>
      </c>
    </row>
    <row r="492" spans="1:9" x14ac:dyDescent="0.25">
      <c r="A492" t="s">
        <v>84</v>
      </c>
      <c r="B492" s="6">
        <f t="shared" si="56"/>
        <v>3.0323333333333333</v>
      </c>
      <c r="C492" s="3">
        <f t="shared" si="57"/>
        <v>101</v>
      </c>
      <c r="D492" s="3" t="str">
        <f t="shared" si="51"/>
        <v/>
      </c>
      <c r="E492" s="3">
        <f t="shared" si="52"/>
        <v>156</v>
      </c>
      <c r="F492" s="5" t="str">
        <f>IF(C492=0,"Broadcast",IF(D492="",IF(E492="","",IF(E492&lt;128,"Verbind "&amp;E492,INDEX(KdoCodeTab,MATCH(E492,KdoWertTab,0)))),"StatusAbfr "&amp;D492))</f>
        <v>Mark</v>
      </c>
      <c r="G492" t="str">
        <f t="shared" si="53"/>
        <v>Mark</v>
      </c>
      <c r="H492" t="str">
        <f t="shared" si="54"/>
        <v/>
      </c>
      <c r="I492" t="str">
        <f t="shared" si="55"/>
        <v/>
      </c>
    </row>
    <row r="493" spans="1:9" x14ac:dyDescent="0.25">
      <c r="A493" t="s">
        <v>85</v>
      </c>
      <c r="B493" s="6">
        <f t="shared" si="56"/>
        <v>3.0331666666666668</v>
      </c>
      <c r="C493" s="3">
        <f t="shared" si="57"/>
        <v>101</v>
      </c>
      <c r="D493" s="3" t="str">
        <f t="shared" si="51"/>
        <v/>
      </c>
      <c r="E493" s="3">
        <f t="shared" si="52"/>
        <v>154</v>
      </c>
      <c r="F493" s="5" t="str">
        <f>IF(C493=0,"Broadcast",IF(D493="",IF(E493="","",IF(E493&lt;128,"Verbind "&amp;E493,INDEX(KdoCodeTab,MATCH(E493,KdoWertTab,0)))),"StatusAbfr "&amp;D493))</f>
        <v>MarkWdh</v>
      </c>
      <c r="G493" t="str">
        <f t="shared" si="53"/>
        <v>MarkWdh</v>
      </c>
      <c r="H493" t="str">
        <f t="shared" si="54"/>
        <v/>
      </c>
      <c r="I493" t="str">
        <f t="shared" si="55"/>
        <v/>
      </c>
    </row>
    <row r="494" spans="1:9" x14ac:dyDescent="0.25">
      <c r="A494" t="s">
        <v>86</v>
      </c>
      <c r="B494" s="6">
        <f t="shared" si="56"/>
        <v>3.0726666666666667</v>
      </c>
      <c r="C494" s="3">
        <f t="shared" si="57"/>
        <v>101</v>
      </c>
      <c r="D494" s="3" t="str">
        <f t="shared" si="51"/>
        <v/>
      </c>
      <c r="E494" s="3">
        <f t="shared" si="52"/>
        <v>147</v>
      </c>
      <c r="F494" s="5" t="str">
        <f>IF(C494=0,"Broadcast",IF(D494="",IF(E494="","",IF(E494&lt;128,"Verbind "&amp;E494,INDEX(KdoCodeTab,MATCH(E494,KdoWertTab,0)))),"StatusAbfr "&amp;D494))</f>
        <v>Space</v>
      </c>
      <c r="G494" t="str">
        <f t="shared" si="53"/>
        <v>Space</v>
      </c>
      <c r="H494" t="str">
        <f t="shared" si="54"/>
        <v/>
      </c>
      <c r="I494" t="str">
        <f t="shared" si="55"/>
        <v/>
      </c>
    </row>
    <row r="495" spans="1:9" x14ac:dyDescent="0.25">
      <c r="A495" t="s">
        <v>87</v>
      </c>
      <c r="B495" s="6">
        <f t="shared" si="56"/>
        <v>3.0736666666666665</v>
      </c>
      <c r="C495" s="3">
        <f t="shared" si="57"/>
        <v>101</v>
      </c>
      <c r="D495" s="3" t="str">
        <f t="shared" si="51"/>
        <v/>
      </c>
      <c r="E495" s="3">
        <f t="shared" si="52"/>
        <v>150</v>
      </c>
      <c r="F495" s="5" t="str">
        <f>IF(C495=0,"Broadcast",IF(D495="",IF(E495="","",IF(E495&lt;128,"Verbind "&amp;E495,INDEX(KdoCodeTab,MATCH(E495,KdoWertTab,0)))),"StatusAbfr "&amp;D495))</f>
        <v>SpaceWdh</v>
      </c>
      <c r="G495" t="str">
        <f t="shared" si="53"/>
        <v>SpaceWdh</v>
      </c>
      <c r="H495" t="str">
        <f t="shared" si="54"/>
        <v/>
      </c>
      <c r="I495" t="str">
        <f t="shared" si="55"/>
        <v/>
      </c>
    </row>
    <row r="496" spans="1:9" x14ac:dyDescent="0.25">
      <c r="A496" t="s">
        <v>88</v>
      </c>
      <c r="B496" s="6">
        <f t="shared" si="56"/>
        <v>3.1120000000000001</v>
      </c>
      <c r="C496" s="3">
        <f t="shared" si="57"/>
        <v>101</v>
      </c>
      <c r="D496" s="3" t="str">
        <f t="shared" si="51"/>
        <v/>
      </c>
      <c r="E496" s="3">
        <f t="shared" si="52"/>
        <v>156</v>
      </c>
      <c r="F496" s="5" t="str">
        <f>IF(C496=0,"Broadcast",IF(D496="",IF(E496="","",IF(E496&lt;128,"Verbind "&amp;E496,INDEX(KdoCodeTab,MATCH(E496,KdoWertTab,0)))),"StatusAbfr "&amp;D496))</f>
        <v>Mark</v>
      </c>
      <c r="G496" t="str">
        <f t="shared" si="53"/>
        <v>Mark</v>
      </c>
      <c r="H496" t="str">
        <f t="shared" si="54"/>
        <v/>
      </c>
      <c r="I496" t="str">
        <f t="shared" si="55"/>
        <v/>
      </c>
    </row>
    <row r="497" spans="1:9" x14ac:dyDescent="0.25">
      <c r="A497" t="s">
        <v>89</v>
      </c>
      <c r="B497" s="6">
        <f t="shared" si="56"/>
        <v>3.113</v>
      </c>
      <c r="C497" s="3">
        <f t="shared" si="57"/>
        <v>101</v>
      </c>
      <c r="D497" s="3" t="str">
        <f t="shared" si="51"/>
        <v/>
      </c>
      <c r="E497" s="3">
        <f t="shared" si="52"/>
        <v>154</v>
      </c>
      <c r="F497" s="5" t="str">
        <f>IF(C497=0,"Broadcast",IF(D497="",IF(E497="","",IF(E497&lt;128,"Verbind "&amp;E497,INDEX(KdoCodeTab,MATCH(E497,KdoWertTab,0)))),"StatusAbfr "&amp;D497))</f>
        <v>MarkWdh</v>
      </c>
      <c r="G497" t="str">
        <f t="shared" si="53"/>
        <v>MarkWdh</v>
      </c>
      <c r="H497" t="str">
        <f t="shared" si="54"/>
        <v/>
      </c>
      <c r="I497" t="str">
        <f t="shared" si="55"/>
        <v/>
      </c>
    </row>
    <row r="498" spans="1:9" x14ac:dyDescent="0.25">
      <c r="A498" t="s">
        <v>90</v>
      </c>
      <c r="B498" s="6">
        <f t="shared" si="56"/>
        <v>3.1408333333333336</v>
      </c>
      <c r="C498" s="3">
        <f t="shared" si="57"/>
        <v>31</v>
      </c>
      <c r="D498" s="3" t="str">
        <f t="shared" si="51"/>
        <v/>
      </c>
      <c r="E498" s="3">
        <f t="shared" si="52"/>
        <v>154</v>
      </c>
      <c r="F498" s="5" t="str">
        <f>IF(C498=0,"Broadcast",IF(D498="",IF(E498="","",IF(E498&lt;128,"Verbind "&amp;E498,INDEX(KdoCodeTab,MATCH(E498,KdoWertTab,0)))),"StatusAbfr "&amp;D498))</f>
        <v>MarkWdh</v>
      </c>
      <c r="G498" t="str">
        <f t="shared" si="53"/>
        <v/>
      </c>
      <c r="H498" t="str">
        <f t="shared" si="54"/>
        <v>MarkWdh</v>
      </c>
      <c r="I498" t="str">
        <f t="shared" si="55"/>
        <v/>
      </c>
    </row>
    <row r="499" spans="1:9" x14ac:dyDescent="0.25">
      <c r="A499" t="s">
        <v>91</v>
      </c>
      <c r="B499" s="6">
        <f t="shared" si="56"/>
        <v>3.1626666666666665</v>
      </c>
      <c r="C499" s="3">
        <f t="shared" si="57"/>
        <v>101</v>
      </c>
      <c r="D499" s="3" t="str">
        <f t="shared" si="51"/>
        <v/>
      </c>
      <c r="E499" s="3">
        <f t="shared" si="52"/>
        <v>147</v>
      </c>
      <c r="F499" s="5" t="str">
        <f>IF(C499=0,"Broadcast",IF(D499="",IF(E499="","",IF(E499&lt;128,"Verbind "&amp;E499,INDEX(KdoCodeTab,MATCH(E499,KdoWertTab,0)))),"StatusAbfr "&amp;D499))</f>
        <v>Space</v>
      </c>
      <c r="G499" t="str">
        <f t="shared" si="53"/>
        <v>Space</v>
      </c>
      <c r="H499" t="str">
        <f t="shared" si="54"/>
        <v/>
      </c>
      <c r="I499" t="str">
        <f t="shared" si="55"/>
        <v/>
      </c>
    </row>
    <row r="500" spans="1:9" x14ac:dyDescent="0.25">
      <c r="A500" t="s">
        <v>92</v>
      </c>
      <c r="B500" s="6">
        <f t="shared" si="56"/>
        <v>3.1635</v>
      </c>
      <c r="C500" s="3">
        <f t="shared" si="57"/>
        <v>101</v>
      </c>
      <c r="D500" s="3" t="str">
        <f t="shared" si="51"/>
        <v/>
      </c>
      <c r="E500" s="3">
        <f t="shared" si="52"/>
        <v>150</v>
      </c>
      <c r="F500" s="5" t="str">
        <f>IF(C500=0,"Broadcast",IF(D500="",IF(E500="","",IF(E500&lt;128,"Verbind "&amp;E500,INDEX(KdoCodeTab,MATCH(E500,KdoWertTab,0)))),"StatusAbfr "&amp;D500))</f>
        <v>SpaceWdh</v>
      </c>
      <c r="G500" t="str">
        <f t="shared" si="53"/>
        <v>SpaceWdh</v>
      </c>
      <c r="H500" t="str">
        <f t="shared" si="54"/>
        <v/>
      </c>
      <c r="I500" t="str">
        <f t="shared" si="55"/>
        <v/>
      </c>
    </row>
    <row r="501" spans="1:9" x14ac:dyDescent="0.25">
      <c r="A501" t="s">
        <v>93</v>
      </c>
      <c r="B501" s="6">
        <f t="shared" si="56"/>
        <v>3.1665000000000001</v>
      </c>
      <c r="C501" s="3">
        <f t="shared" si="57"/>
        <v>101</v>
      </c>
      <c r="D501" s="3" t="str">
        <f t="shared" si="51"/>
        <v/>
      </c>
      <c r="E501" s="3">
        <f t="shared" si="52"/>
        <v>169</v>
      </c>
      <c r="F501" s="5" t="str">
        <f>IF(C501=0,"Broadcast",IF(D501="",IF(E501="","",IF(E501&lt;128,"Verbind "&amp;E501,INDEX(KdoCodeTab,MATCH(E501,KdoWertTab,0)))),"StatusAbfr "&amp;D501))</f>
        <v>BusLebenszeichen</v>
      </c>
      <c r="G501" t="str">
        <f t="shared" si="53"/>
        <v>BusLebenszeichen</v>
      </c>
      <c r="H501" t="str">
        <f t="shared" si="54"/>
        <v/>
      </c>
      <c r="I501" t="str">
        <f t="shared" si="55"/>
        <v/>
      </c>
    </row>
    <row r="502" spans="1:9" x14ac:dyDescent="0.25">
      <c r="A502" t="s">
        <v>94</v>
      </c>
      <c r="B502" s="6">
        <f t="shared" si="56"/>
        <v>3.2029999999999998</v>
      </c>
      <c r="C502" s="3">
        <f t="shared" si="57"/>
        <v>101</v>
      </c>
      <c r="D502" s="3" t="str">
        <f t="shared" si="51"/>
        <v/>
      </c>
      <c r="E502" s="3">
        <f t="shared" si="52"/>
        <v>156</v>
      </c>
      <c r="F502" s="5" t="str">
        <f>IF(C502=0,"Broadcast",IF(D502="",IF(E502="","",IF(E502&lt;128,"Verbind "&amp;E502,INDEX(KdoCodeTab,MATCH(E502,KdoWertTab,0)))),"StatusAbfr "&amp;D502))</f>
        <v>Mark</v>
      </c>
      <c r="G502" t="str">
        <f t="shared" si="53"/>
        <v>Mark</v>
      </c>
      <c r="H502" t="str">
        <f t="shared" si="54"/>
        <v/>
      </c>
      <c r="I502" t="str">
        <f t="shared" si="55"/>
        <v/>
      </c>
    </row>
    <row r="503" spans="1:9" x14ac:dyDescent="0.25">
      <c r="A503" t="s">
        <v>95</v>
      </c>
      <c r="B503" s="6">
        <f t="shared" si="56"/>
        <v>3.2040000000000002</v>
      </c>
      <c r="C503" s="3">
        <f t="shared" si="57"/>
        <v>101</v>
      </c>
      <c r="D503" s="3" t="str">
        <f t="shared" si="51"/>
        <v/>
      </c>
      <c r="E503" s="3">
        <f t="shared" si="52"/>
        <v>154</v>
      </c>
      <c r="F503" s="5" t="str">
        <f>IF(C503=0,"Broadcast",IF(D503="",IF(E503="","",IF(E503&lt;128,"Verbind "&amp;E503,INDEX(KdoCodeTab,MATCH(E503,KdoWertTab,0)))),"StatusAbfr "&amp;D503))</f>
        <v>MarkWdh</v>
      </c>
      <c r="G503" t="str">
        <f t="shared" si="53"/>
        <v>MarkWdh</v>
      </c>
      <c r="H503" t="str">
        <f t="shared" si="54"/>
        <v/>
      </c>
      <c r="I503" t="str">
        <f t="shared" si="55"/>
        <v/>
      </c>
    </row>
    <row r="504" spans="1:9" x14ac:dyDescent="0.25">
      <c r="A504" t="s">
        <v>96</v>
      </c>
      <c r="B504" s="6">
        <f t="shared" si="56"/>
        <v>3.2223333333333333</v>
      </c>
      <c r="C504" s="3">
        <f t="shared" si="57"/>
        <v>101</v>
      </c>
      <c r="D504" s="3" t="str">
        <f t="shared" si="51"/>
        <v/>
      </c>
      <c r="E504" s="3">
        <f t="shared" si="52"/>
        <v>147</v>
      </c>
      <c r="F504" s="5" t="str">
        <f>IF(C504=0,"Broadcast",IF(D504="",IF(E504="","",IF(E504&lt;128,"Verbind "&amp;E504,INDEX(KdoCodeTab,MATCH(E504,KdoWertTab,0)))),"StatusAbfr "&amp;D504))</f>
        <v>Space</v>
      </c>
      <c r="G504" t="str">
        <f t="shared" si="53"/>
        <v>Space</v>
      </c>
      <c r="H504" t="str">
        <f t="shared" si="54"/>
        <v/>
      </c>
      <c r="I504" t="str">
        <f t="shared" si="55"/>
        <v/>
      </c>
    </row>
    <row r="505" spans="1:9" x14ac:dyDescent="0.25">
      <c r="A505" t="s">
        <v>97</v>
      </c>
      <c r="B505" s="6">
        <f t="shared" si="56"/>
        <v>3.2248333333333337</v>
      </c>
      <c r="C505" s="3">
        <f t="shared" si="57"/>
        <v>101</v>
      </c>
      <c r="D505" s="3" t="str">
        <f t="shared" si="51"/>
        <v/>
      </c>
      <c r="E505" s="3">
        <f t="shared" si="52"/>
        <v>150</v>
      </c>
      <c r="F505" s="5" t="str">
        <f>IF(C505=0,"Broadcast",IF(D505="",IF(E505="","",IF(E505&lt;128,"Verbind "&amp;E505,INDEX(KdoCodeTab,MATCH(E505,KdoWertTab,0)))),"StatusAbfr "&amp;D505))</f>
        <v>SpaceWdh</v>
      </c>
      <c r="G505" t="str">
        <f t="shared" si="53"/>
        <v>SpaceWdh</v>
      </c>
      <c r="H505" t="str">
        <f t="shared" si="54"/>
        <v/>
      </c>
      <c r="I505" t="str">
        <f t="shared" si="55"/>
        <v/>
      </c>
    </row>
    <row r="506" spans="1:9" x14ac:dyDescent="0.25">
      <c r="A506" t="s">
        <v>98</v>
      </c>
      <c r="B506" s="6">
        <f t="shared" si="56"/>
        <v>3.2423333333333333</v>
      </c>
      <c r="C506" s="3">
        <f t="shared" si="57"/>
        <v>101</v>
      </c>
      <c r="D506" s="3" t="str">
        <f t="shared" si="51"/>
        <v/>
      </c>
      <c r="E506" s="3">
        <f t="shared" si="52"/>
        <v>156</v>
      </c>
      <c r="F506" s="5" t="str">
        <f>IF(C506=0,"Broadcast",IF(D506="",IF(E506="","",IF(E506&lt;128,"Verbind "&amp;E506,INDEX(KdoCodeTab,MATCH(E506,KdoWertTab,0)))),"StatusAbfr "&amp;D506))</f>
        <v>Mark</v>
      </c>
      <c r="G506" t="str">
        <f t="shared" si="53"/>
        <v>Mark</v>
      </c>
      <c r="H506" t="str">
        <f t="shared" si="54"/>
        <v/>
      </c>
      <c r="I506" t="str">
        <f t="shared" si="55"/>
        <v/>
      </c>
    </row>
    <row r="507" spans="1:9" x14ac:dyDescent="0.25">
      <c r="A507" t="s">
        <v>99</v>
      </c>
      <c r="B507" s="6">
        <f t="shared" si="56"/>
        <v>3.2433333333333332</v>
      </c>
      <c r="C507" s="3">
        <f t="shared" si="57"/>
        <v>101</v>
      </c>
      <c r="D507" s="3" t="str">
        <f t="shared" ref="D507:D570" si="58">IF(MID(A507,10,1)="&lt;",MID(A507,12,2),"")</f>
        <v/>
      </c>
      <c r="E507" s="3">
        <f t="shared" ref="E507:E570" si="59">IF(MID(A507,10,1)="&gt;",HEX2DEC(MID(A507,12,2)),"")</f>
        <v>154</v>
      </c>
      <c r="F507" s="5" t="str">
        <f>IF(C507=0,"Broadcast",IF(D507="",IF(E507="","",IF(E507&lt;128,"Verbind "&amp;E507,INDEX(KdoCodeTab,MATCH(E507,KdoWertTab,0)))),"StatusAbfr "&amp;D507))</f>
        <v>MarkWdh</v>
      </c>
      <c r="G507" t="str">
        <f t="shared" ref="G507:G570" si="60">IF(C507=$G$2,F507,"")</f>
        <v>MarkWdh</v>
      </c>
      <c r="H507" t="str">
        <f t="shared" ref="H507:H570" si="61">IF(C507=$H$2,F507,"")</f>
        <v/>
      </c>
      <c r="I507" t="str">
        <f t="shared" ref="I507:I570" si="62">IF(G507&amp;H507="",F507,"")</f>
        <v/>
      </c>
    </row>
    <row r="508" spans="1:9" x14ac:dyDescent="0.25">
      <c r="A508" t="s">
        <v>100</v>
      </c>
      <c r="B508" s="6">
        <f t="shared" si="56"/>
        <v>3.2625000000000002</v>
      </c>
      <c r="C508" s="3">
        <f t="shared" si="57"/>
        <v>101</v>
      </c>
      <c r="D508" s="3" t="str">
        <f t="shared" si="58"/>
        <v/>
      </c>
      <c r="E508" s="3">
        <f t="shared" si="59"/>
        <v>147</v>
      </c>
      <c r="F508" s="5" t="str">
        <f>IF(C508=0,"Broadcast",IF(D508="",IF(E508="","",IF(E508&lt;128,"Verbind "&amp;E508,INDEX(KdoCodeTab,MATCH(E508,KdoWertTab,0)))),"StatusAbfr "&amp;D508))</f>
        <v>Space</v>
      </c>
      <c r="G508" t="str">
        <f t="shared" si="60"/>
        <v>Space</v>
      </c>
      <c r="H508" t="str">
        <f t="shared" si="61"/>
        <v/>
      </c>
      <c r="I508" t="str">
        <f t="shared" si="62"/>
        <v/>
      </c>
    </row>
    <row r="509" spans="1:9" x14ac:dyDescent="0.25">
      <c r="A509" t="s">
        <v>101</v>
      </c>
      <c r="B509" s="6">
        <f t="shared" si="56"/>
        <v>3.2635000000000001</v>
      </c>
      <c r="C509" s="3">
        <f t="shared" si="57"/>
        <v>101</v>
      </c>
      <c r="D509" s="3" t="str">
        <f t="shared" si="58"/>
        <v/>
      </c>
      <c r="E509" s="3">
        <f t="shared" si="59"/>
        <v>150</v>
      </c>
      <c r="F509" s="5" t="str">
        <f>IF(C509=0,"Broadcast",IF(D509="",IF(E509="","",IF(E509&lt;128,"Verbind "&amp;E509,INDEX(KdoCodeTab,MATCH(E509,KdoWertTab,0)))),"StatusAbfr "&amp;D509))</f>
        <v>SpaceWdh</v>
      </c>
      <c r="G509" t="str">
        <f t="shared" si="60"/>
        <v>SpaceWdh</v>
      </c>
      <c r="H509" t="str">
        <f t="shared" si="61"/>
        <v/>
      </c>
      <c r="I509" t="str">
        <f t="shared" si="62"/>
        <v/>
      </c>
    </row>
    <row r="510" spans="1:9" x14ac:dyDescent="0.25">
      <c r="A510" t="s">
        <v>102</v>
      </c>
      <c r="B510" s="6">
        <f t="shared" si="56"/>
        <v>3.2828333333333335</v>
      </c>
      <c r="C510" s="3">
        <f t="shared" si="57"/>
        <v>101</v>
      </c>
      <c r="D510" s="3" t="str">
        <f t="shared" si="58"/>
        <v/>
      </c>
      <c r="E510" s="3">
        <f t="shared" si="59"/>
        <v>156</v>
      </c>
      <c r="F510" s="5" t="str">
        <f>IF(C510=0,"Broadcast",IF(D510="",IF(E510="","",IF(E510&lt;128,"Verbind "&amp;E510,INDEX(KdoCodeTab,MATCH(E510,KdoWertTab,0)))),"StatusAbfr "&amp;D510))</f>
        <v>Mark</v>
      </c>
      <c r="G510" t="str">
        <f t="shared" si="60"/>
        <v>Mark</v>
      </c>
      <c r="H510" t="str">
        <f t="shared" si="61"/>
        <v/>
      </c>
      <c r="I510" t="str">
        <f t="shared" si="62"/>
        <v/>
      </c>
    </row>
    <row r="511" spans="1:9" x14ac:dyDescent="0.25">
      <c r="A511" t="s">
        <v>103</v>
      </c>
      <c r="B511" s="6">
        <f t="shared" si="56"/>
        <v>3.2838333333333334</v>
      </c>
      <c r="C511" s="3">
        <f t="shared" si="57"/>
        <v>101</v>
      </c>
      <c r="D511" s="3" t="str">
        <f t="shared" si="58"/>
        <v/>
      </c>
      <c r="E511" s="3">
        <f t="shared" si="59"/>
        <v>154</v>
      </c>
      <c r="F511" s="5" t="str">
        <f>IF(C511=0,"Broadcast",IF(D511="",IF(E511="","",IF(E511&lt;128,"Verbind "&amp;E511,INDEX(KdoCodeTab,MATCH(E511,KdoWertTab,0)))),"StatusAbfr "&amp;D511))</f>
        <v>MarkWdh</v>
      </c>
      <c r="G511" t="str">
        <f t="shared" si="60"/>
        <v>MarkWdh</v>
      </c>
      <c r="H511" t="str">
        <f t="shared" si="61"/>
        <v/>
      </c>
      <c r="I511" t="str">
        <f t="shared" si="62"/>
        <v/>
      </c>
    </row>
    <row r="512" spans="1:9" x14ac:dyDescent="0.25">
      <c r="A512" t="s">
        <v>104</v>
      </c>
      <c r="B512" s="6">
        <f t="shared" si="56"/>
        <v>3.3121666666666667</v>
      </c>
      <c r="C512" s="3">
        <f t="shared" si="57"/>
        <v>101</v>
      </c>
      <c r="D512" s="3" t="str">
        <f t="shared" si="58"/>
        <v/>
      </c>
      <c r="E512" s="3">
        <f t="shared" si="59"/>
        <v>147</v>
      </c>
      <c r="F512" s="5" t="str">
        <f>IF(C512=0,"Broadcast",IF(D512="",IF(E512="","",IF(E512&lt;128,"Verbind "&amp;E512,INDEX(KdoCodeTab,MATCH(E512,KdoWertTab,0)))),"StatusAbfr "&amp;D512))</f>
        <v>Space</v>
      </c>
      <c r="G512" t="str">
        <f t="shared" si="60"/>
        <v>Space</v>
      </c>
      <c r="H512" t="str">
        <f t="shared" si="61"/>
        <v/>
      </c>
      <c r="I512" t="str">
        <f t="shared" si="62"/>
        <v/>
      </c>
    </row>
    <row r="513" spans="1:9" x14ac:dyDescent="0.25">
      <c r="A513" t="s">
        <v>105</v>
      </c>
      <c r="B513" s="6">
        <f t="shared" si="56"/>
        <v>3.3130000000000002</v>
      </c>
      <c r="C513" s="3">
        <f t="shared" si="57"/>
        <v>101</v>
      </c>
      <c r="D513" s="3" t="str">
        <f t="shared" si="58"/>
        <v/>
      </c>
      <c r="E513" s="3">
        <f t="shared" si="59"/>
        <v>150</v>
      </c>
      <c r="F513" s="5" t="str">
        <f>IF(C513=0,"Broadcast",IF(D513="",IF(E513="","",IF(E513&lt;128,"Verbind "&amp;E513,INDEX(KdoCodeTab,MATCH(E513,KdoWertTab,0)))),"StatusAbfr "&amp;D513))</f>
        <v>SpaceWdh</v>
      </c>
      <c r="G513" t="str">
        <f t="shared" si="60"/>
        <v>SpaceWdh</v>
      </c>
      <c r="H513" t="str">
        <f t="shared" si="61"/>
        <v/>
      </c>
      <c r="I513" t="str">
        <f t="shared" si="62"/>
        <v/>
      </c>
    </row>
    <row r="514" spans="1:9" x14ac:dyDescent="0.25">
      <c r="A514" t="s">
        <v>106</v>
      </c>
      <c r="B514" s="6">
        <f t="shared" si="56"/>
        <v>3.3728333333333333</v>
      </c>
      <c r="C514" s="3">
        <f t="shared" si="57"/>
        <v>101</v>
      </c>
      <c r="D514" s="3" t="str">
        <f t="shared" si="58"/>
        <v/>
      </c>
      <c r="E514" s="3">
        <f t="shared" si="59"/>
        <v>156</v>
      </c>
      <c r="F514" s="5" t="str">
        <f>IF(C514=0,"Broadcast",IF(D514="",IF(E514="","",IF(E514&lt;128,"Verbind "&amp;E514,INDEX(KdoCodeTab,MATCH(E514,KdoWertTab,0)))),"StatusAbfr "&amp;D514))</f>
        <v>Mark</v>
      </c>
      <c r="G514" t="str">
        <f t="shared" si="60"/>
        <v>Mark</v>
      </c>
      <c r="H514" t="str">
        <f t="shared" si="61"/>
        <v/>
      </c>
      <c r="I514" t="str">
        <f t="shared" si="62"/>
        <v/>
      </c>
    </row>
    <row r="515" spans="1:9" x14ac:dyDescent="0.25">
      <c r="A515" t="s">
        <v>107</v>
      </c>
      <c r="B515" s="6">
        <f t="shared" si="56"/>
        <v>3.3736666666666668</v>
      </c>
      <c r="C515" s="3">
        <f t="shared" si="57"/>
        <v>101</v>
      </c>
      <c r="D515" s="3" t="str">
        <f t="shared" si="58"/>
        <v/>
      </c>
      <c r="E515" s="3">
        <f t="shared" si="59"/>
        <v>154</v>
      </c>
      <c r="F515" s="5" t="str">
        <f>IF(C515=0,"Broadcast",IF(D515="",IF(E515="","",IF(E515&lt;128,"Verbind "&amp;E515,INDEX(KdoCodeTab,MATCH(E515,KdoWertTab,0)))),"StatusAbfr "&amp;D515))</f>
        <v>MarkWdh</v>
      </c>
      <c r="G515" t="str">
        <f t="shared" si="60"/>
        <v>MarkWdh</v>
      </c>
      <c r="H515" t="str">
        <f t="shared" si="61"/>
        <v/>
      </c>
      <c r="I515" t="str">
        <f t="shared" si="62"/>
        <v/>
      </c>
    </row>
    <row r="516" spans="1:9" x14ac:dyDescent="0.25">
      <c r="A516" t="s">
        <v>108</v>
      </c>
      <c r="B516" s="6">
        <f t="shared" si="56"/>
        <v>3.3928333333333334</v>
      </c>
      <c r="C516" s="3">
        <f t="shared" si="57"/>
        <v>101</v>
      </c>
      <c r="D516" s="3" t="str">
        <f t="shared" si="58"/>
        <v/>
      </c>
      <c r="E516" s="3">
        <f t="shared" si="59"/>
        <v>147</v>
      </c>
      <c r="F516" s="5" t="str">
        <f>IF(C516=0,"Broadcast",IF(D516="",IF(E516="","",IF(E516&lt;128,"Verbind "&amp;E516,INDEX(KdoCodeTab,MATCH(E516,KdoWertTab,0)))),"StatusAbfr "&amp;D516))</f>
        <v>Space</v>
      </c>
      <c r="G516" t="str">
        <f t="shared" si="60"/>
        <v>Space</v>
      </c>
      <c r="H516" t="str">
        <f t="shared" si="61"/>
        <v/>
      </c>
      <c r="I516" t="str">
        <f t="shared" si="62"/>
        <v/>
      </c>
    </row>
    <row r="517" spans="1:9" x14ac:dyDescent="0.25">
      <c r="A517" t="s">
        <v>109</v>
      </c>
      <c r="B517" s="6">
        <f t="shared" ref="B517:B580" si="63">MID(A517,1,5)/1000+(CODE(MID(A517,6,1))-CODE("a"))/6000</f>
        <v>3.3938333333333333</v>
      </c>
      <c r="C517" s="3">
        <f t="shared" ref="C517:C580" si="64">INT(HEX2DEC(MID(A517,8,2))/2)</f>
        <v>101</v>
      </c>
      <c r="D517" s="3" t="str">
        <f t="shared" si="58"/>
        <v/>
      </c>
      <c r="E517" s="3">
        <f t="shared" si="59"/>
        <v>150</v>
      </c>
      <c r="F517" s="5" t="str">
        <f>IF(C517=0,"Broadcast",IF(D517="",IF(E517="","",IF(E517&lt;128,"Verbind "&amp;E517,INDEX(KdoCodeTab,MATCH(E517,KdoWertTab,0)))),"StatusAbfr "&amp;D517))</f>
        <v>SpaceWdh</v>
      </c>
      <c r="G517" t="str">
        <f t="shared" si="60"/>
        <v>SpaceWdh</v>
      </c>
      <c r="H517" t="str">
        <f t="shared" si="61"/>
        <v/>
      </c>
      <c r="I517" t="str">
        <f t="shared" si="62"/>
        <v/>
      </c>
    </row>
    <row r="518" spans="1:9" x14ac:dyDescent="0.25">
      <c r="A518" t="s">
        <v>110</v>
      </c>
      <c r="B518" s="6">
        <f t="shared" si="63"/>
        <v>3.4333333333333331</v>
      </c>
      <c r="C518" s="3">
        <f t="shared" si="64"/>
        <v>101</v>
      </c>
      <c r="D518" s="3" t="str">
        <f t="shared" si="58"/>
        <v/>
      </c>
      <c r="E518" s="3">
        <f t="shared" si="59"/>
        <v>156</v>
      </c>
      <c r="F518" s="5" t="str">
        <f>IF(C518=0,"Broadcast",IF(D518="",IF(E518="","",IF(E518&lt;128,"Verbind "&amp;E518,INDEX(KdoCodeTab,MATCH(E518,KdoWertTab,0)))),"StatusAbfr "&amp;D518))</f>
        <v>Mark</v>
      </c>
      <c r="G518" t="str">
        <f t="shared" si="60"/>
        <v>Mark</v>
      </c>
      <c r="H518" t="str">
        <f t="shared" si="61"/>
        <v/>
      </c>
      <c r="I518" t="str">
        <f t="shared" si="62"/>
        <v/>
      </c>
    </row>
    <row r="519" spans="1:9" x14ac:dyDescent="0.25">
      <c r="A519" t="s">
        <v>111</v>
      </c>
      <c r="B519" s="6">
        <f t="shared" si="63"/>
        <v>3.4343333333333335</v>
      </c>
      <c r="C519" s="3">
        <f t="shared" si="64"/>
        <v>101</v>
      </c>
      <c r="D519" s="3" t="str">
        <f t="shared" si="58"/>
        <v/>
      </c>
      <c r="E519" s="3">
        <f t="shared" si="59"/>
        <v>154</v>
      </c>
      <c r="F519" s="5" t="str">
        <f>IF(C519=0,"Broadcast",IF(D519="",IF(E519="","",IF(E519&lt;128,"Verbind "&amp;E519,INDEX(KdoCodeTab,MATCH(E519,KdoWertTab,0)))),"StatusAbfr "&amp;D519))</f>
        <v>MarkWdh</v>
      </c>
      <c r="G519" t="str">
        <f t="shared" si="60"/>
        <v>MarkWdh</v>
      </c>
      <c r="H519" t="str">
        <f t="shared" si="61"/>
        <v/>
      </c>
      <c r="I519" t="str">
        <f t="shared" si="62"/>
        <v/>
      </c>
    </row>
    <row r="520" spans="1:9" x14ac:dyDescent="0.25">
      <c r="A520" t="s">
        <v>112</v>
      </c>
      <c r="B520" s="6">
        <f t="shared" si="63"/>
        <v>3.4626666666666668</v>
      </c>
      <c r="C520" s="3">
        <f t="shared" si="64"/>
        <v>101</v>
      </c>
      <c r="D520" s="3" t="str">
        <f t="shared" si="58"/>
        <v/>
      </c>
      <c r="E520" s="3">
        <f t="shared" si="59"/>
        <v>147</v>
      </c>
      <c r="F520" s="5" t="str">
        <f>IF(C520=0,"Broadcast",IF(D520="",IF(E520="","",IF(E520&lt;128,"Verbind "&amp;E520,INDEX(KdoCodeTab,MATCH(E520,KdoWertTab,0)))),"StatusAbfr "&amp;D520))</f>
        <v>Space</v>
      </c>
      <c r="G520" t="str">
        <f t="shared" si="60"/>
        <v>Space</v>
      </c>
      <c r="H520" t="str">
        <f t="shared" si="61"/>
        <v/>
      </c>
      <c r="I520" t="str">
        <f t="shared" si="62"/>
        <v/>
      </c>
    </row>
    <row r="521" spans="1:9" x14ac:dyDescent="0.25">
      <c r="A521" t="s">
        <v>113</v>
      </c>
      <c r="B521" s="6">
        <f t="shared" si="63"/>
        <v>3.4638333333333335</v>
      </c>
      <c r="C521" s="3">
        <f t="shared" si="64"/>
        <v>101</v>
      </c>
      <c r="D521" s="3" t="str">
        <f t="shared" si="58"/>
        <v/>
      </c>
      <c r="E521" s="3">
        <f t="shared" si="59"/>
        <v>150</v>
      </c>
      <c r="F521" s="5" t="str">
        <f>IF(C521=0,"Broadcast",IF(D521="",IF(E521="","",IF(E521&lt;128,"Verbind "&amp;E521,INDEX(KdoCodeTab,MATCH(E521,KdoWertTab,0)))),"StatusAbfr "&amp;D521))</f>
        <v>SpaceWdh</v>
      </c>
      <c r="G521" t="str">
        <f t="shared" si="60"/>
        <v>SpaceWdh</v>
      </c>
      <c r="H521" t="str">
        <f t="shared" si="61"/>
        <v/>
      </c>
      <c r="I521" t="str">
        <f t="shared" si="62"/>
        <v/>
      </c>
    </row>
    <row r="522" spans="1:9" x14ac:dyDescent="0.25">
      <c r="A522" t="s">
        <v>114</v>
      </c>
      <c r="B522" s="6">
        <f t="shared" si="63"/>
        <v>3.4828333333333337</v>
      </c>
      <c r="C522" s="3">
        <f t="shared" si="64"/>
        <v>101</v>
      </c>
      <c r="D522" s="3" t="str">
        <f t="shared" si="58"/>
        <v/>
      </c>
      <c r="E522" s="3">
        <f t="shared" si="59"/>
        <v>156</v>
      </c>
      <c r="F522" s="5" t="str">
        <f>IF(C522=0,"Broadcast",IF(D522="",IF(E522="","",IF(E522&lt;128,"Verbind "&amp;E522,INDEX(KdoCodeTab,MATCH(E522,KdoWertTab,0)))),"StatusAbfr "&amp;D522))</f>
        <v>Mark</v>
      </c>
      <c r="G522" t="str">
        <f t="shared" si="60"/>
        <v>Mark</v>
      </c>
      <c r="H522" t="str">
        <f t="shared" si="61"/>
        <v/>
      </c>
      <c r="I522" t="str">
        <f t="shared" si="62"/>
        <v/>
      </c>
    </row>
    <row r="523" spans="1:9" x14ac:dyDescent="0.25">
      <c r="A523" t="s">
        <v>115</v>
      </c>
      <c r="B523" s="6">
        <f t="shared" si="63"/>
        <v>3.4836666666666667</v>
      </c>
      <c r="C523" s="3">
        <f t="shared" si="64"/>
        <v>101</v>
      </c>
      <c r="D523" s="3" t="str">
        <f t="shared" si="58"/>
        <v/>
      </c>
      <c r="E523" s="3">
        <f t="shared" si="59"/>
        <v>154</v>
      </c>
      <c r="F523" s="5" t="str">
        <f>IF(C523=0,"Broadcast",IF(D523="",IF(E523="","",IF(E523&lt;128,"Verbind "&amp;E523,INDEX(KdoCodeTab,MATCH(E523,KdoWertTab,0)))),"StatusAbfr "&amp;D523))</f>
        <v>MarkWdh</v>
      </c>
      <c r="G523" t="str">
        <f t="shared" si="60"/>
        <v>MarkWdh</v>
      </c>
      <c r="H523" t="str">
        <f t="shared" si="61"/>
        <v/>
      </c>
      <c r="I523" t="str">
        <f t="shared" si="62"/>
        <v/>
      </c>
    </row>
    <row r="524" spans="1:9" x14ac:dyDescent="0.25">
      <c r="A524" t="s">
        <v>116</v>
      </c>
      <c r="B524" s="6">
        <f t="shared" si="63"/>
        <v>3.612166666666667</v>
      </c>
      <c r="C524" s="3">
        <f t="shared" si="64"/>
        <v>101</v>
      </c>
      <c r="D524" s="3" t="str">
        <f t="shared" si="58"/>
        <v/>
      </c>
      <c r="E524" s="3">
        <f t="shared" si="59"/>
        <v>147</v>
      </c>
      <c r="F524" s="5" t="str">
        <f>IF(C524=0,"Broadcast",IF(D524="",IF(E524="","",IF(E524&lt;128,"Verbind "&amp;E524,INDEX(KdoCodeTab,MATCH(E524,KdoWertTab,0)))),"StatusAbfr "&amp;D524))</f>
        <v>Space</v>
      </c>
      <c r="G524" t="str">
        <f t="shared" si="60"/>
        <v>Space</v>
      </c>
      <c r="H524" t="str">
        <f t="shared" si="61"/>
        <v/>
      </c>
      <c r="I524" t="str">
        <f t="shared" si="62"/>
        <v/>
      </c>
    </row>
    <row r="525" spans="1:9" x14ac:dyDescent="0.25">
      <c r="A525" t="s">
        <v>117</v>
      </c>
      <c r="B525" s="6">
        <f t="shared" si="63"/>
        <v>3.613</v>
      </c>
      <c r="C525" s="3">
        <f t="shared" si="64"/>
        <v>101</v>
      </c>
      <c r="D525" s="3" t="str">
        <f t="shared" si="58"/>
        <v/>
      </c>
      <c r="E525" s="3">
        <f t="shared" si="59"/>
        <v>150</v>
      </c>
      <c r="F525" s="5" t="str">
        <f>IF(C525=0,"Broadcast",IF(D525="",IF(E525="","",IF(E525&lt;128,"Verbind "&amp;E525,INDEX(KdoCodeTab,MATCH(E525,KdoWertTab,0)))),"StatusAbfr "&amp;D525))</f>
        <v>SpaceWdh</v>
      </c>
      <c r="G525" t="str">
        <f t="shared" si="60"/>
        <v>SpaceWdh</v>
      </c>
      <c r="H525" t="str">
        <f t="shared" si="61"/>
        <v/>
      </c>
      <c r="I525" t="str">
        <f t="shared" si="62"/>
        <v/>
      </c>
    </row>
    <row r="526" spans="1:9" x14ac:dyDescent="0.25">
      <c r="A526" t="s">
        <v>118</v>
      </c>
      <c r="B526" s="6">
        <f t="shared" si="63"/>
        <v>3.6468333333333334</v>
      </c>
      <c r="C526" s="3">
        <f t="shared" si="64"/>
        <v>19</v>
      </c>
      <c r="D526" s="3" t="str">
        <f t="shared" si="58"/>
        <v/>
      </c>
      <c r="E526" s="3">
        <f t="shared" si="59"/>
        <v>0</v>
      </c>
      <c r="F526" s="5" t="str">
        <f>IF(C526=0,"Broadcast",IF(D526="",IF(E526="","",IF(E526&lt;128,"Verbind "&amp;E526,INDEX(KdoCodeTab,MATCH(E526,KdoWertTab,0)))),"StatusAbfr "&amp;D526))</f>
        <v>Verbind 0</v>
      </c>
      <c r="G526" t="str">
        <f t="shared" si="60"/>
        <v/>
      </c>
      <c r="H526" t="str">
        <f t="shared" si="61"/>
        <v/>
      </c>
      <c r="I526" t="str">
        <f t="shared" si="62"/>
        <v>Verbind 0</v>
      </c>
    </row>
    <row r="527" spans="1:9" x14ac:dyDescent="0.25">
      <c r="A527" t="s">
        <v>119</v>
      </c>
      <c r="B527" s="6">
        <f t="shared" si="63"/>
        <v>3.6728333333333336</v>
      </c>
      <c r="C527" s="3">
        <f t="shared" si="64"/>
        <v>101</v>
      </c>
      <c r="D527" s="3" t="str">
        <f t="shared" si="58"/>
        <v/>
      </c>
      <c r="E527" s="3">
        <f t="shared" si="59"/>
        <v>156</v>
      </c>
      <c r="F527" s="5" t="str">
        <f>IF(C527=0,"Broadcast",IF(D527="",IF(E527="","",IF(E527&lt;128,"Verbind "&amp;E527,INDEX(KdoCodeTab,MATCH(E527,KdoWertTab,0)))),"StatusAbfr "&amp;D527))</f>
        <v>Mark</v>
      </c>
      <c r="G527" t="str">
        <f t="shared" si="60"/>
        <v>Mark</v>
      </c>
      <c r="H527" t="str">
        <f t="shared" si="61"/>
        <v/>
      </c>
      <c r="I527" t="str">
        <f t="shared" si="62"/>
        <v/>
      </c>
    </row>
    <row r="528" spans="1:9" x14ac:dyDescent="0.25">
      <c r="A528" t="s">
        <v>120</v>
      </c>
      <c r="B528" s="6">
        <f t="shared" si="63"/>
        <v>3.6736666666666666</v>
      </c>
      <c r="C528" s="3">
        <f t="shared" si="64"/>
        <v>101</v>
      </c>
      <c r="D528" s="3" t="str">
        <f t="shared" si="58"/>
        <v/>
      </c>
      <c r="E528" s="3">
        <f t="shared" si="59"/>
        <v>154</v>
      </c>
      <c r="F528" s="5" t="str">
        <f>IF(C528=0,"Broadcast",IF(D528="",IF(E528="","",IF(E528&lt;128,"Verbind "&amp;E528,INDEX(KdoCodeTab,MATCH(E528,KdoWertTab,0)))),"StatusAbfr "&amp;D528))</f>
        <v>MarkWdh</v>
      </c>
      <c r="G528" t="str">
        <f t="shared" si="60"/>
        <v>MarkWdh</v>
      </c>
      <c r="H528" t="str">
        <f t="shared" si="61"/>
        <v/>
      </c>
      <c r="I528" t="str">
        <f t="shared" si="62"/>
        <v/>
      </c>
    </row>
    <row r="529" spans="1:9" x14ac:dyDescent="0.25">
      <c r="A529" t="s">
        <v>121</v>
      </c>
      <c r="B529" s="6">
        <f t="shared" si="63"/>
        <v>3.6930000000000001</v>
      </c>
      <c r="C529" s="3">
        <f t="shared" si="64"/>
        <v>101</v>
      </c>
      <c r="D529" s="3" t="str">
        <f t="shared" si="58"/>
        <v/>
      </c>
      <c r="E529" s="3">
        <f t="shared" si="59"/>
        <v>147</v>
      </c>
      <c r="F529" s="5" t="str">
        <f>IF(C529=0,"Broadcast",IF(D529="",IF(E529="","",IF(E529&lt;128,"Verbind "&amp;E529,INDEX(KdoCodeTab,MATCH(E529,KdoWertTab,0)))),"StatusAbfr "&amp;D529))</f>
        <v>Space</v>
      </c>
      <c r="G529" t="str">
        <f t="shared" si="60"/>
        <v>Space</v>
      </c>
      <c r="H529" t="str">
        <f t="shared" si="61"/>
        <v/>
      </c>
      <c r="I529" t="str">
        <f t="shared" si="62"/>
        <v/>
      </c>
    </row>
    <row r="530" spans="1:9" x14ac:dyDescent="0.25">
      <c r="A530" t="s">
        <v>122</v>
      </c>
      <c r="B530" s="6">
        <f t="shared" si="63"/>
        <v>3.6938333333333335</v>
      </c>
      <c r="C530" s="3">
        <f t="shared" si="64"/>
        <v>101</v>
      </c>
      <c r="D530" s="3" t="str">
        <f t="shared" si="58"/>
        <v/>
      </c>
      <c r="E530" s="3">
        <f t="shared" si="59"/>
        <v>150</v>
      </c>
      <c r="F530" s="5" t="str">
        <f>IF(C530=0,"Broadcast",IF(D530="",IF(E530="","",IF(E530&lt;128,"Verbind "&amp;E530,INDEX(KdoCodeTab,MATCH(E530,KdoWertTab,0)))),"StatusAbfr "&amp;D530))</f>
        <v>SpaceWdh</v>
      </c>
      <c r="G530" t="str">
        <f t="shared" si="60"/>
        <v>SpaceWdh</v>
      </c>
      <c r="H530" t="str">
        <f t="shared" si="61"/>
        <v/>
      </c>
      <c r="I530" t="str">
        <f t="shared" si="62"/>
        <v/>
      </c>
    </row>
    <row r="531" spans="1:9" x14ac:dyDescent="0.25">
      <c r="A531" t="s">
        <v>123</v>
      </c>
      <c r="B531" s="6">
        <f t="shared" si="63"/>
        <v>3.7121666666666671</v>
      </c>
      <c r="C531" s="3">
        <f t="shared" si="64"/>
        <v>101</v>
      </c>
      <c r="D531" s="3" t="str">
        <f t="shared" si="58"/>
        <v/>
      </c>
      <c r="E531" s="3">
        <f t="shared" si="59"/>
        <v>156</v>
      </c>
      <c r="F531" s="5" t="str">
        <f>IF(C531=0,"Broadcast",IF(D531="",IF(E531="","",IF(E531&lt;128,"Verbind "&amp;E531,INDEX(KdoCodeTab,MATCH(E531,KdoWertTab,0)))),"StatusAbfr "&amp;D531))</f>
        <v>Mark</v>
      </c>
      <c r="G531" t="str">
        <f t="shared" si="60"/>
        <v>Mark</v>
      </c>
      <c r="H531" t="str">
        <f t="shared" si="61"/>
        <v/>
      </c>
      <c r="I531" t="str">
        <f t="shared" si="62"/>
        <v/>
      </c>
    </row>
    <row r="532" spans="1:9" x14ac:dyDescent="0.25">
      <c r="A532" t="s">
        <v>124</v>
      </c>
      <c r="B532" s="6">
        <f t="shared" si="63"/>
        <v>3.7130000000000001</v>
      </c>
      <c r="C532" s="3">
        <f t="shared" si="64"/>
        <v>101</v>
      </c>
      <c r="D532" s="3" t="str">
        <f t="shared" si="58"/>
        <v/>
      </c>
      <c r="E532" s="3">
        <f t="shared" si="59"/>
        <v>154</v>
      </c>
      <c r="F532" s="5" t="str">
        <f>IF(C532=0,"Broadcast",IF(D532="",IF(E532="","",IF(E532&lt;128,"Verbind "&amp;E532,INDEX(KdoCodeTab,MATCH(E532,KdoWertTab,0)))),"StatusAbfr "&amp;D532))</f>
        <v>MarkWdh</v>
      </c>
      <c r="G532" t="str">
        <f t="shared" si="60"/>
        <v>MarkWdh</v>
      </c>
      <c r="H532" t="str">
        <f t="shared" si="61"/>
        <v/>
      </c>
      <c r="I532" t="str">
        <f t="shared" si="62"/>
        <v/>
      </c>
    </row>
    <row r="533" spans="1:9" x14ac:dyDescent="0.25">
      <c r="A533" t="s">
        <v>125</v>
      </c>
      <c r="B533" s="6">
        <f t="shared" si="63"/>
        <v>3.7626666666666666</v>
      </c>
      <c r="C533" s="3">
        <f t="shared" si="64"/>
        <v>101</v>
      </c>
      <c r="D533" s="3" t="str">
        <f t="shared" si="58"/>
        <v/>
      </c>
      <c r="E533" s="3">
        <f t="shared" si="59"/>
        <v>147</v>
      </c>
      <c r="F533" s="5" t="str">
        <f>IF(C533=0,"Broadcast",IF(D533="",IF(E533="","",IF(E533&lt;128,"Verbind "&amp;E533,INDEX(KdoCodeTab,MATCH(E533,KdoWertTab,0)))),"StatusAbfr "&amp;D533))</f>
        <v>Space</v>
      </c>
      <c r="G533" t="str">
        <f t="shared" si="60"/>
        <v>Space</v>
      </c>
      <c r="H533" t="str">
        <f t="shared" si="61"/>
        <v/>
      </c>
      <c r="I533" t="str">
        <f t="shared" si="62"/>
        <v/>
      </c>
    </row>
    <row r="534" spans="1:9" x14ac:dyDescent="0.25">
      <c r="A534" t="s">
        <v>126</v>
      </c>
      <c r="B534" s="6">
        <f t="shared" si="63"/>
        <v>3.7636666666666665</v>
      </c>
      <c r="C534" s="3">
        <f t="shared" si="64"/>
        <v>101</v>
      </c>
      <c r="D534" s="3" t="str">
        <f t="shared" si="58"/>
        <v/>
      </c>
      <c r="E534" s="3">
        <f t="shared" si="59"/>
        <v>150</v>
      </c>
      <c r="F534" s="5" t="str">
        <f>IF(C534=0,"Broadcast",IF(D534="",IF(E534="","",IF(E534&lt;128,"Verbind "&amp;E534,INDEX(KdoCodeTab,MATCH(E534,KdoWertTab,0)))),"StatusAbfr "&amp;D534))</f>
        <v>SpaceWdh</v>
      </c>
      <c r="G534" t="str">
        <f t="shared" si="60"/>
        <v>SpaceWdh</v>
      </c>
      <c r="H534" t="str">
        <f t="shared" si="61"/>
        <v/>
      </c>
      <c r="I534" t="str">
        <f t="shared" si="62"/>
        <v/>
      </c>
    </row>
    <row r="535" spans="1:9" x14ac:dyDescent="0.25">
      <c r="A535" t="s">
        <v>127</v>
      </c>
      <c r="B535" s="6">
        <f t="shared" si="63"/>
        <v>3.7829999999999999</v>
      </c>
      <c r="C535" s="3">
        <f t="shared" si="64"/>
        <v>101</v>
      </c>
      <c r="D535" s="3" t="str">
        <f t="shared" si="58"/>
        <v/>
      </c>
      <c r="E535" s="3">
        <f t="shared" si="59"/>
        <v>156</v>
      </c>
      <c r="F535" s="5" t="str">
        <f>IF(C535=0,"Broadcast",IF(D535="",IF(E535="","",IF(E535&lt;128,"Verbind "&amp;E535,INDEX(KdoCodeTab,MATCH(E535,KdoWertTab,0)))),"StatusAbfr "&amp;D535))</f>
        <v>Mark</v>
      </c>
      <c r="G535" t="str">
        <f t="shared" si="60"/>
        <v>Mark</v>
      </c>
      <c r="H535" t="str">
        <f t="shared" si="61"/>
        <v/>
      </c>
      <c r="I535" t="str">
        <f t="shared" si="62"/>
        <v/>
      </c>
    </row>
    <row r="536" spans="1:9" x14ac:dyDescent="0.25">
      <c r="A536" t="s">
        <v>128</v>
      </c>
      <c r="B536" s="6">
        <f t="shared" si="63"/>
        <v>3.7838333333333334</v>
      </c>
      <c r="C536" s="3">
        <f t="shared" si="64"/>
        <v>101</v>
      </c>
      <c r="D536" s="3" t="str">
        <f t="shared" si="58"/>
        <v/>
      </c>
      <c r="E536" s="3">
        <f t="shared" si="59"/>
        <v>154</v>
      </c>
      <c r="F536" s="5" t="str">
        <f>IF(C536=0,"Broadcast",IF(D536="",IF(E536="","",IF(E536&lt;128,"Verbind "&amp;E536,INDEX(KdoCodeTab,MATCH(E536,KdoWertTab,0)))),"StatusAbfr "&amp;D536))</f>
        <v>MarkWdh</v>
      </c>
      <c r="G536" t="str">
        <f t="shared" si="60"/>
        <v>MarkWdh</v>
      </c>
      <c r="H536" t="str">
        <f t="shared" si="61"/>
        <v/>
      </c>
      <c r="I536" t="str">
        <f t="shared" si="62"/>
        <v/>
      </c>
    </row>
    <row r="537" spans="1:9" x14ac:dyDescent="0.25">
      <c r="A537" t="s">
        <v>129</v>
      </c>
      <c r="B537" s="6">
        <f t="shared" si="63"/>
        <v>3.8233333333333333</v>
      </c>
      <c r="C537" s="3">
        <f t="shared" si="64"/>
        <v>101</v>
      </c>
      <c r="D537" s="3" t="str">
        <f t="shared" si="58"/>
        <v/>
      </c>
      <c r="E537" s="3">
        <f t="shared" si="59"/>
        <v>147</v>
      </c>
      <c r="F537" s="5" t="str">
        <f>IF(C537=0,"Broadcast",IF(D537="",IF(E537="","",IF(E537&lt;128,"Verbind "&amp;E537,INDEX(KdoCodeTab,MATCH(E537,KdoWertTab,0)))),"StatusAbfr "&amp;D537))</f>
        <v>Space</v>
      </c>
      <c r="G537" t="str">
        <f t="shared" si="60"/>
        <v>Space</v>
      </c>
      <c r="H537" t="str">
        <f t="shared" si="61"/>
        <v/>
      </c>
      <c r="I537" t="str">
        <f t="shared" si="62"/>
        <v/>
      </c>
    </row>
    <row r="538" spans="1:9" x14ac:dyDescent="0.25">
      <c r="A538" t="s">
        <v>130</v>
      </c>
      <c r="B538" s="6">
        <f t="shared" si="63"/>
        <v>3.8241666666666667</v>
      </c>
      <c r="C538" s="3">
        <f t="shared" si="64"/>
        <v>101</v>
      </c>
      <c r="D538" s="3" t="str">
        <f t="shared" si="58"/>
        <v/>
      </c>
      <c r="E538" s="3">
        <f t="shared" si="59"/>
        <v>150</v>
      </c>
      <c r="F538" s="5" t="str">
        <f>IF(C538=0,"Broadcast",IF(D538="",IF(E538="","",IF(E538&lt;128,"Verbind "&amp;E538,INDEX(KdoCodeTab,MATCH(E538,KdoWertTab,0)))),"StatusAbfr "&amp;D538))</f>
        <v>SpaceWdh</v>
      </c>
      <c r="G538" t="str">
        <f t="shared" si="60"/>
        <v>SpaceWdh</v>
      </c>
      <c r="H538" t="str">
        <f t="shared" si="61"/>
        <v/>
      </c>
      <c r="I538" t="str">
        <f t="shared" si="62"/>
        <v/>
      </c>
    </row>
    <row r="539" spans="1:9" x14ac:dyDescent="0.25">
      <c r="A539" t="s">
        <v>131</v>
      </c>
      <c r="B539" s="6">
        <f t="shared" si="63"/>
        <v>3.8485</v>
      </c>
      <c r="C539" s="3">
        <f t="shared" si="64"/>
        <v>101</v>
      </c>
      <c r="D539" s="3" t="str">
        <f t="shared" si="58"/>
        <v/>
      </c>
      <c r="E539" s="3">
        <f t="shared" si="59"/>
        <v>169</v>
      </c>
      <c r="F539" s="5" t="str">
        <f>IF(C539=0,"Broadcast",IF(D539="",IF(E539="","",IF(E539&lt;128,"Verbind "&amp;E539,INDEX(KdoCodeTab,MATCH(E539,KdoWertTab,0)))),"StatusAbfr "&amp;D539))</f>
        <v>BusLebenszeichen</v>
      </c>
      <c r="G539" t="str">
        <f t="shared" si="60"/>
        <v>BusLebenszeichen</v>
      </c>
      <c r="H539" t="str">
        <f t="shared" si="61"/>
        <v/>
      </c>
      <c r="I539" t="str">
        <f t="shared" si="62"/>
        <v/>
      </c>
    </row>
    <row r="540" spans="1:9" x14ac:dyDescent="0.25">
      <c r="A540" t="s">
        <v>132</v>
      </c>
      <c r="B540" s="6">
        <f t="shared" si="63"/>
        <v>3.8828333333333336</v>
      </c>
      <c r="C540" s="3">
        <f t="shared" si="64"/>
        <v>101</v>
      </c>
      <c r="D540" s="3" t="str">
        <f t="shared" si="58"/>
        <v/>
      </c>
      <c r="E540" s="3">
        <f t="shared" si="59"/>
        <v>156</v>
      </c>
      <c r="F540" s="5" t="str">
        <f>IF(C540=0,"Broadcast",IF(D540="",IF(E540="","",IF(E540&lt;128,"Verbind "&amp;E540,INDEX(KdoCodeTab,MATCH(E540,KdoWertTab,0)))),"StatusAbfr "&amp;D540))</f>
        <v>Mark</v>
      </c>
      <c r="G540" t="str">
        <f t="shared" si="60"/>
        <v>Mark</v>
      </c>
      <c r="H540" t="str">
        <f t="shared" si="61"/>
        <v/>
      </c>
      <c r="I540" t="str">
        <f t="shared" si="62"/>
        <v/>
      </c>
    </row>
    <row r="541" spans="1:9" x14ac:dyDescent="0.25">
      <c r="A541" t="s">
        <v>133</v>
      </c>
      <c r="B541" s="6">
        <f t="shared" si="63"/>
        <v>3.8838333333333335</v>
      </c>
      <c r="C541" s="3">
        <f t="shared" si="64"/>
        <v>101</v>
      </c>
      <c r="D541" s="3" t="str">
        <f t="shared" si="58"/>
        <v/>
      </c>
      <c r="E541" s="3">
        <f t="shared" si="59"/>
        <v>154</v>
      </c>
      <c r="F541" s="5" t="str">
        <f>IF(C541=0,"Broadcast",IF(D541="",IF(E541="","",IF(E541&lt;128,"Verbind "&amp;E541,INDEX(KdoCodeTab,MATCH(E541,KdoWertTab,0)))),"StatusAbfr "&amp;D541))</f>
        <v>MarkWdh</v>
      </c>
      <c r="G541" t="str">
        <f t="shared" si="60"/>
        <v>MarkWdh</v>
      </c>
      <c r="H541" t="str">
        <f t="shared" si="61"/>
        <v/>
      </c>
      <c r="I541" t="str">
        <f t="shared" si="62"/>
        <v/>
      </c>
    </row>
    <row r="542" spans="1:9" x14ac:dyDescent="0.25">
      <c r="A542" t="s">
        <v>134</v>
      </c>
      <c r="B542" s="6">
        <f t="shared" si="63"/>
        <v>3.9131666666666667</v>
      </c>
      <c r="C542" s="3">
        <f t="shared" si="64"/>
        <v>101</v>
      </c>
      <c r="D542" s="3" t="str">
        <f t="shared" si="58"/>
        <v/>
      </c>
      <c r="E542" s="3">
        <f t="shared" si="59"/>
        <v>147</v>
      </c>
      <c r="F542" s="5" t="str">
        <f>IF(C542=0,"Broadcast",IF(D542="",IF(E542="","",IF(E542&lt;128,"Verbind "&amp;E542,INDEX(KdoCodeTab,MATCH(E542,KdoWertTab,0)))),"StatusAbfr "&amp;D542))</f>
        <v>Space</v>
      </c>
      <c r="G542" t="str">
        <f t="shared" si="60"/>
        <v>Space</v>
      </c>
      <c r="H542" t="str">
        <f t="shared" si="61"/>
        <v/>
      </c>
      <c r="I542" t="str">
        <f t="shared" si="62"/>
        <v/>
      </c>
    </row>
    <row r="543" spans="1:9" x14ac:dyDescent="0.25">
      <c r="A543" t="s">
        <v>135</v>
      </c>
      <c r="B543" s="6">
        <f t="shared" si="63"/>
        <v>3.914166666666667</v>
      </c>
      <c r="C543" s="3">
        <f t="shared" si="64"/>
        <v>101</v>
      </c>
      <c r="D543" s="3" t="str">
        <f t="shared" si="58"/>
        <v/>
      </c>
      <c r="E543" s="3">
        <f t="shared" si="59"/>
        <v>150</v>
      </c>
      <c r="F543" s="5" t="str">
        <f>IF(C543=0,"Broadcast",IF(D543="",IF(E543="","",IF(E543&lt;128,"Verbind "&amp;E543,INDEX(KdoCodeTab,MATCH(E543,KdoWertTab,0)))),"StatusAbfr "&amp;D543))</f>
        <v>SpaceWdh</v>
      </c>
      <c r="G543" t="str">
        <f t="shared" si="60"/>
        <v>SpaceWdh</v>
      </c>
      <c r="H543" t="str">
        <f t="shared" si="61"/>
        <v/>
      </c>
      <c r="I543" t="str">
        <f t="shared" si="62"/>
        <v/>
      </c>
    </row>
    <row r="544" spans="1:9" x14ac:dyDescent="0.25">
      <c r="A544" t="s">
        <v>136</v>
      </c>
      <c r="B544" s="6">
        <f t="shared" si="63"/>
        <v>3.9335</v>
      </c>
      <c r="C544" s="3">
        <f t="shared" si="64"/>
        <v>101</v>
      </c>
      <c r="D544" s="3" t="str">
        <f t="shared" si="58"/>
        <v/>
      </c>
      <c r="E544" s="3">
        <f t="shared" si="59"/>
        <v>156</v>
      </c>
      <c r="F544" s="5" t="str">
        <f>IF(C544=0,"Broadcast",IF(D544="",IF(E544="","",IF(E544&lt;128,"Verbind "&amp;E544,INDEX(KdoCodeTab,MATCH(E544,KdoWertTab,0)))),"StatusAbfr "&amp;D544))</f>
        <v>Mark</v>
      </c>
      <c r="G544" t="str">
        <f t="shared" si="60"/>
        <v>Mark</v>
      </c>
      <c r="H544" t="str">
        <f t="shared" si="61"/>
        <v/>
      </c>
      <c r="I544" t="str">
        <f t="shared" si="62"/>
        <v/>
      </c>
    </row>
    <row r="545" spans="1:9" x14ac:dyDescent="0.25">
      <c r="A545" t="s">
        <v>137</v>
      </c>
      <c r="B545" s="6">
        <f t="shared" si="63"/>
        <v>3.9343333333333335</v>
      </c>
      <c r="C545" s="3">
        <f t="shared" si="64"/>
        <v>101</v>
      </c>
      <c r="D545" s="3" t="str">
        <f t="shared" si="58"/>
        <v/>
      </c>
      <c r="E545" s="3">
        <f t="shared" si="59"/>
        <v>154</v>
      </c>
      <c r="F545" s="5" t="str">
        <f>IF(C545=0,"Broadcast",IF(D545="",IF(E545="","",IF(E545&lt;128,"Verbind "&amp;E545,INDEX(KdoCodeTab,MATCH(E545,KdoWertTab,0)))),"StatusAbfr "&amp;D545))</f>
        <v>MarkWdh</v>
      </c>
      <c r="G545" t="str">
        <f t="shared" si="60"/>
        <v>MarkWdh</v>
      </c>
      <c r="H545" t="str">
        <f t="shared" si="61"/>
        <v/>
      </c>
      <c r="I545" t="str">
        <f t="shared" si="62"/>
        <v/>
      </c>
    </row>
    <row r="546" spans="1:9" x14ac:dyDescent="0.25">
      <c r="A546" t="s">
        <v>138</v>
      </c>
      <c r="B546" s="6">
        <f t="shared" si="63"/>
        <v>3.9728333333333334</v>
      </c>
      <c r="C546" s="3">
        <f t="shared" si="64"/>
        <v>101</v>
      </c>
      <c r="D546" s="3" t="str">
        <f t="shared" si="58"/>
        <v/>
      </c>
      <c r="E546" s="3">
        <f t="shared" si="59"/>
        <v>147</v>
      </c>
      <c r="F546" s="5" t="str">
        <f>IF(C546=0,"Broadcast",IF(D546="",IF(E546="","",IF(E546&lt;128,"Verbind "&amp;E546,INDEX(KdoCodeTab,MATCH(E546,KdoWertTab,0)))),"StatusAbfr "&amp;D546))</f>
        <v>Space</v>
      </c>
      <c r="G546" t="str">
        <f t="shared" si="60"/>
        <v>Space</v>
      </c>
      <c r="H546" t="str">
        <f t="shared" si="61"/>
        <v/>
      </c>
      <c r="I546" t="str">
        <f t="shared" si="62"/>
        <v/>
      </c>
    </row>
    <row r="547" spans="1:9" x14ac:dyDescent="0.25">
      <c r="A547" t="s">
        <v>139</v>
      </c>
      <c r="B547" s="6">
        <f t="shared" si="63"/>
        <v>3.9736666666666665</v>
      </c>
      <c r="C547" s="3">
        <f t="shared" si="64"/>
        <v>101</v>
      </c>
      <c r="D547" s="3" t="str">
        <f t="shared" si="58"/>
        <v/>
      </c>
      <c r="E547" s="3">
        <f t="shared" si="59"/>
        <v>150</v>
      </c>
      <c r="F547" s="5" t="str">
        <f>IF(C547=0,"Broadcast",IF(D547="",IF(E547="","",IF(E547&lt;128,"Verbind "&amp;E547,INDEX(KdoCodeTab,MATCH(E547,KdoWertTab,0)))),"StatusAbfr "&amp;D547))</f>
        <v>SpaceWdh</v>
      </c>
      <c r="G547" t="str">
        <f t="shared" si="60"/>
        <v>SpaceWdh</v>
      </c>
      <c r="H547" t="str">
        <f t="shared" si="61"/>
        <v/>
      </c>
      <c r="I547" t="str">
        <f t="shared" si="62"/>
        <v/>
      </c>
    </row>
    <row r="548" spans="1:9" x14ac:dyDescent="0.25">
      <c r="A548" t="s">
        <v>140</v>
      </c>
      <c r="B548" s="6">
        <f t="shared" si="63"/>
        <v>4.0121666666666664</v>
      </c>
      <c r="C548" s="3">
        <f t="shared" si="64"/>
        <v>101</v>
      </c>
      <c r="D548" s="3" t="str">
        <f t="shared" si="58"/>
        <v/>
      </c>
      <c r="E548" s="3">
        <f t="shared" si="59"/>
        <v>156</v>
      </c>
      <c r="F548" s="5" t="str">
        <f>IF(C548=0,"Broadcast",IF(D548="",IF(E548="","",IF(E548&lt;128,"Verbind "&amp;E548,INDEX(KdoCodeTab,MATCH(E548,KdoWertTab,0)))),"StatusAbfr "&amp;D548))</f>
        <v>Mark</v>
      </c>
      <c r="G548" t="str">
        <f t="shared" si="60"/>
        <v>Mark</v>
      </c>
      <c r="H548" t="str">
        <f t="shared" si="61"/>
        <v/>
      </c>
      <c r="I548" t="str">
        <f t="shared" si="62"/>
        <v/>
      </c>
    </row>
    <row r="549" spans="1:9" x14ac:dyDescent="0.25">
      <c r="A549" t="s">
        <v>141</v>
      </c>
      <c r="B549" s="6">
        <f t="shared" si="63"/>
        <v>4.0131666666666668</v>
      </c>
      <c r="C549" s="3">
        <f t="shared" si="64"/>
        <v>101</v>
      </c>
      <c r="D549" s="3" t="str">
        <f t="shared" si="58"/>
        <v/>
      </c>
      <c r="E549" s="3">
        <f t="shared" si="59"/>
        <v>154</v>
      </c>
      <c r="F549" s="5" t="str">
        <f>IF(C549=0,"Broadcast",IF(D549="",IF(E549="","",IF(E549&lt;128,"Verbind "&amp;E549,INDEX(KdoCodeTab,MATCH(E549,KdoWertTab,0)))),"StatusAbfr "&amp;D549))</f>
        <v>MarkWdh</v>
      </c>
      <c r="G549" t="str">
        <f t="shared" si="60"/>
        <v>MarkWdh</v>
      </c>
      <c r="H549" t="str">
        <f t="shared" si="61"/>
        <v/>
      </c>
      <c r="I549" t="str">
        <f t="shared" si="62"/>
        <v/>
      </c>
    </row>
    <row r="550" spans="1:9" x14ac:dyDescent="0.25">
      <c r="A550" t="s">
        <v>142</v>
      </c>
      <c r="B550" s="6">
        <f t="shared" si="63"/>
        <v>4.0626666666666669</v>
      </c>
      <c r="C550" s="3">
        <f t="shared" si="64"/>
        <v>101</v>
      </c>
      <c r="D550" s="3" t="str">
        <f t="shared" si="58"/>
        <v/>
      </c>
      <c r="E550" s="3">
        <f t="shared" si="59"/>
        <v>147</v>
      </c>
      <c r="F550" s="5" t="str">
        <f>IF(C550=0,"Broadcast",IF(D550="",IF(E550="","",IF(E550&lt;128,"Verbind "&amp;E550,INDEX(KdoCodeTab,MATCH(E550,KdoWertTab,0)))),"StatusAbfr "&amp;D550))</f>
        <v>Space</v>
      </c>
      <c r="G550" t="str">
        <f t="shared" si="60"/>
        <v>Space</v>
      </c>
      <c r="H550" t="str">
        <f t="shared" si="61"/>
        <v/>
      </c>
      <c r="I550" t="str">
        <f t="shared" si="62"/>
        <v/>
      </c>
    </row>
    <row r="551" spans="1:9" x14ac:dyDescent="0.25">
      <c r="A551" t="s">
        <v>143</v>
      </c>
      <c r="B551" s="6">
        <f t="shared" si="63"/>
        <v>4.0636666666666663</v>
      </c>
      <c r="C551" s="3">
        <f t="shared" si="64"/>
        <v>101</v>
      </c>
      <c r="D551" s="3" t="str">
        <f t="shared" si="58"/>
        <v/>
      </c>
      <c r="E551" s="3">
        <f t="shared" si="59"/>
        <v>150</v>
      </c>
      <c r="F551" s="5" t="str">
        <f>IF(C551=0,"Broadcast",IF(D551="",IF(E551="","",IF(E551&lt;128,"Verbind "&amp;E551,INDEX(KdoCodeTab,MATCH(E551,KdoWertTab,0)))),"StatusAbfr "&amp;D551))</f>
        <v>SpaceWdh</v>
      </c>
      <c r="G551" t="str">
        <f t="shared" si="60"/>
        <v>SpaceWdh</v>
      </c>
      <c r="H551" t="str">
        <f t="shared" si="61"/>
        <v/>
      </c>
      <c r="I551" t="str">
        <f t="shared" si="62"/>
        <v/>
      </c>
    </row>
    <row r="552" spans="1:9" x14ac:dyDescent="0.25">
      <c r="A552" t="s">
        <v>144</v>
      </c>
      <c r="B552" s="6">
        <f t="shared" si="63"/>
        <v>4.0828333333333333</v>
      </c>
      <c r="C552" s="3">
        <f t="shared" si="64"/>
        <v>101</v>
      </c>
      <c r="D552" s="3" t="str">
        <f t="shared" si="58"/>
        <v/>
      </c>
      <c r="E552" s="3">
        <f t="shared" si="59"/>
        <v>156</v>
      </c>
      <c r="F552" s="5" t="str">
        <f>IF(C552=0,"Broadcast",IF(D552="",IF(E552="","",IF(E552&lt;128,"Verbind "&amp;E552,INDEX(KdoCodeTab,MATCH(E552,KdoWertTab,0)))),"StatusAbfr "&amp;D552))</f>
        <v>Mark</v>
      </c>
      <c r="G552" t="str">
        <f t="shared" si="60"/>
        <v>Mark</v>
      </c>
      <c r="H552" t="str">
        <f t="shared" si="61"/>
        <v/>
      </c>
      <c r="I552" t="str">
        <f t="shared" si="62"/>
        <v/>
      </c>
    </row>
    <row r="553" spans="1:9" x14ac:dyDescent="0.25">
      <c r="A553" t="s">
        <v>145</v>
      </c>
      <c r="B553" s="6">
        <f t="shared" si="63"/>
        <v>4.0838333333333336</v>
      </c>
      <c r="C553" s="3">
        <f t="shared" si="64"/>
        <v>101</v>
      </c>
      <c r="D553" s="3" t="str">
        <f t="shared" si="58"/>
        <v/>
      </c>
      <c r="E553" s="3">
        <f t="shared" si="59"/>
        <v>154</v>
      </c>
      <c r="F553" s="5" t="str">
        <f>IF(C553=0,"Broadcast",IF(D553="",IF(E553="","",IF(E553&lt;128,"Verbind "&amp;E553,INDEX(KdoCodeTab,MATCH(E553,KdoWertTab,0)))),"StatusAbfr "&amp;D553))</f>
        <v>MarkWdh</v>
      </c>
      <c r="G553" t="str">
        <f t="shared" si="60"/>
        <v>MarkWdh</v>
      </c>
      <c r="H553" t="str">
        <f t="shared" si="61"/>
        <v/>
      </c>
      <c r="I553" t="str">
        <f t="shared" si="62"/>
        <v/>
      </c>
    </row>
    <row r="554" spans="1:9" x14ac:dyDescent="0.25">
      <c r="A554" t="s">
        <v>146</v>
      </c>
      <c r="B554" s="6">
        <f t="shared" si="63"/>
        <v>4.1031666666666666</v>
      </c>
      <c r="C554" s="3">
        <f t="shared" si="64"/>
        <v>101</v>
      </c>
      <c r="D554" s="3" t="str">
        <f t="shared" si="58"/>
        <v/>
      </c>
      <c r="E554" s="3">
        <f t="shared" si="59"/>
        <v>147</v>
      </c>
      <c r="F554" s="5" t="str">
        <f>IF(C554=0,"Broadcast",IF(D554="",IF(E554="","",IF(E554&lt;128,"Verbind "&amp;E554,INDEX(KdoCodeTab,MATCH(E554,KdoWertTab,0)))),"StatusAbfr "&amp;D554))</f>
        <v>Space</v>
      </c>
      <c r="G554" t="str">
        <f t="shared" si="60"/>
        <v>Space</v>
      </c>
      <c r="H554" t="str">
        <f t="shared" si="61"/>
        <v/>
      </c>
      <c r="I554" t="str">
        <f t="shared" si="62"/>
        <v/>
      </c>
    </row>
    <row r="555" spans="1:9" x14ac:dyDescent="0.25">
      <c r="A555" t="s">
        <v>147</v>
      </c>
      <c r="B555" s="6">
        <f t="shared" si="63"/>
        <v>4.104166666666667</v>
      </c>
      <c r="C555" s="3">
        <f t="shared" si="64"/>
        <v>101</v>
      </c>
      <c r="D555" s="3" t="str">
        <f t="shared" si="58"/>
        <v/>
      </c>
      <c r="E555" s="3">
        <f t="shared" si="59"/>
        <v>150</v>
      </c>
      <c r="F555" s="5" t="str">
        <f>IF(C555=0,"Broadcast",IF(D555="",IF(E555="","",IF(E555&lt;128,"Verbind "&amp;E555,INDEX(KdoCodeTab,MATCH(E555,KdoWertTab,0)))),"StatusAbfr "&amp;D555))</f>
        <v>SpaceWdh</v>
      </c>
      <c r="G555" t="str">
        <f t="shared" si="60"/>
        <v>SpaceWdh</v>
      </c>
      <c r="H555" t="str">
        <f t="shared" si="61"/>
        <v/>
      </c>
      <c r="I555" t="str">
        <f t="shared" si="62"/>
        <v/>
      </c>
    </row>
    <row r="556" spans="1:9" x14ac:dyDescent="0.25">
      <c r="A556" t="s">
        <v>148</v>
      </c>
      <c r="B556" s="6">
        <f t="shared" si="63"/>
        <v>4.1528333333333336</v>
      </c>
      <c r="C556" s="3">
        <f t="shared" si="64"/>
        <v>31</v>
      </c>
      <c r="D556" s="3" t="str">
        <f t="shared" si="58"/>
        <v/>
      </c>
      <c r="E556" s="3">
        <f t="shared" si="59"/>
        <v>154</v>
      </c>
      <c r="F556" s="5" t="str">
        <f>IF(C556=0,"Broadcast",IF(D556="",IF(E556="","",IF(E556&lt;128,"Verbind "&amp;E556,INDEX(KdoCodeTab,MATCH(E556,KdoWertTab,0)))),"StatusAbfr "&amp;D556))</f>
        <v>MarkWdh</v>
      </c>
      <c r="G556" t="str">
        <f t="shared" si="60"/>
        <v/>
      </c>
      <c r="H556" t="str">
        <f t="shared" si="61"/>
        <v>MarkWdh</v>
      </c>
      <c r="I556" t="str">
        <f t="shared" si="62"/>
        <v/>
      </c>
    </row>
    <row r="557" spans="1:9" x14ac:dyDescent="0.25">
      <c r="A557" t="s">
        <v>149</v>
      </c>
      <c r="B557" s="6">
        <f t="shared" si="63"/>
        <v>4.1829999999999998</v>
      </c>
      <c r="C557" s="3">
        <f t="shared" si="64"/>
        <v>101</v>
      </c>
      <c r="D557" s="3" t="str">
        <f t="shared" si="58"/>
        <v/>
      </c>
      <c r="E557" s="3">
        <f t="shared" si="59"/>
        <v>156</v>
      </c>
      <c r="F557" s="5" t="str">
        <f>IF(C557=0,"Broadcast",IF(D557="",IF(E557="","",IF(E557&lt;128,"Verbind "&amp;E557,INDEX(KdoCodeTab,MATCH(E557,KdoWertTab,0)))),"StatusAbfr "&amp;D557))</f>
        <v>Mark</v>
      </c>
      <c r="G557" t="str">
        <f t="shared" si="60"/>
        <v>Mark</v>
      </c>
      <c r="H557" t="str">
        <f t="shared" si="61"/>
        <v/>
      </c>
      <c r="I557" t="str">
        <f t="shared" si="62"/>
        <v/>
      </c>
    </row>
    <row r="558" spans="1:9" x14ac:dyDescent="0.25">
      <c r="A558" t="s">
        <v>150</v>
      </c>
      <c r="B558" s="6">
        <f t="shared" si="63"/>
        <v>4.1838333333333333</v>
      </c>
      <c r="C558" s="3">
        <f t="shared" si="64"/>
        <v>101</v>
      </c>
      <c r="D558" s="3" t="str">
        <f t="shared" si="58"/>
        <v/>
      </c>
      <c r="E558" s="3">
        <f t="shared" si="59"/>
        <v>154</v>
      </c>
      <c r="F558" s="5" t="str">
        <f>IF(C558=0,"Broadcast",IF(D558="",IF(E558="","",IF(E558&lt;128,"Verbind "&amp;E558,INDEX(KdoCodeTab,MATCH(E558,KdoWertTab,0)))),"StatusAbfr "&amp;D558))</f>
        <v>MarkWdh</v>
      </c>
      <c r="G558" t="str">
        <f t="shared" si="60"/>
        <v>MarkWdh</v>
      </c>
      <c r="H558" t="str">
        <f t="shared" si="61"/>
        <v/>
      </c>
      <c r="I558" t="str">
        <f t="shared" si="62"/>
        <v/>
      </c>
    </row>
    <row r="559" spans="1:9" x14ac:dyDescent="0.25">
      <c r="A559" t="s">
        <v>151</v>
      </c>
      <c r="B559" s="6">
        <f t="shared" si="63"/>
        <v>4.2133333333333338</v>
      </c>
      <c r="C559" s="3">
        <f t="shared" si="64"/>
        <v>101</v>
      </c>
      <c r="D559" s="3" t="str">
        <f t="shared" si="58"/>
        <v/>
      </c>
      <c r="E559" s="3">
        <f t="shared" si="59"/>
        <v>147</v>
      </c>
      <c r="F559" s="5" t="str">
        <f>IF(C559=0,"Broadcast",IF(D559="",IF(E559="","",IF(E559&lt;128,"Verbind "&amp;E559,INDEX(KdoCodeTab,MATCH(E559,KdoWertTab,0)))),"StatusAbfr "&amp;D559))</f>
        <v>Space</v>
      </c>
      <c r="G559" t="str">
        <f t="shared" si="60"/>
        <v>Space</v>
      </c>
      <c r="H559" t="str">
        <f t="shared" si="61"/>
        <v/>
      </c>
      <c r="I559" t="str">
        <f t="shared" si="62"/>
        <v/>
      </c>
    </row>
    <row r="560" spans="1:9" x14ac:dyDescent="0.25">
      <c r="A560" t="s">
        <v>152</v>
      </c>
      <c r="B560" s="6">
        <f t="shared" si="63"/>
        <v>4.2141666666666673</v>
      </c>
      <c r="C560" s="3">
        <f t="shared" si="64"/>
        <v>101</v>
      </c>
      <c r="D560" s="3" t="str">
        <f t="shared" si="58"/>
        <v/>
      </c>
      <c r="E560" s="3">
        <f t="shared" si="59"/>
        <v>150</v>
      </c>
      <c r="F560" s="5" t="str">
        <f>IF(C560=0,"Broadcast",IF(D560="",IF(E560="","",IF(E560&lt;128,"Verbind "&amp;E560,INDEX(KdoCodeTab,MATCH(E560,KdoWertTab,0)))),"StatusAbfr "&amp;D560))</f>
        <v>SpaceWdh</v>
      </c>
      <c r="G560" t="str">
        <f t="shared" si="60"/>
        <v>SpaceWdh</v>
      </c>
      <c r="H560" t="str">
        <f t="shared" si="61"/>
        <v/>
      </c>
      <c r="I560" t="str">
        <f t="shared" si="62"/>
        <v/>
      </c>
    </row>
    <row r="561" spans="1:9" x14ac:dyDescent="0.25">
      <c r="A561" t="s">
        <v>153</v>
      </c>
      <c r="B561" s="6">
        <f t="shared" si="63"/>
        <v>4.2728333333333337</v>
      </c>
      <c r="C561" s="3">
        <f t="shared" si="64"/>
        <v>101</v>
      </c>
      <c r="D561" s="3" t="str">
        <f t="shared" si="58"/>
        <v/>
      </c>
      <c r="E561" s="3">
        <f t="shared" si="59"/>
        <v>156</v>
      </c>
      <c r="F561" s="5" t="str">
        <f>IF(C561=0,"Broadcast",IF(D561="",IF(E561="","",IF(E561&lt;128,"Verbind "&amp;E561,INDEX(KdoCodeTab,MATCH(E561,KdoWertTab,0)))),"StatusAbfr "&amp;D561))</f>
        <v>Mark</v>
      </c>
      <c r="G561" t="str">
        <f t="shared" si="60"/>
        <v>Mark</v>
      </c>
      <c r="H561" t="str">
        <f t="shared" si="61"/>
        <v/>
      </c>
      <c r="I561" t="str">
        <f t="shared" si="62"/>
        <v/>
      </c>
    </row>
    <row r="562" spans="1:9" x14ac:dyDescent="0.25">
      <c r="A562" t="s">
        <v>154</v>
      </c>
      <c r="B562" s="6">
        <f t="shared" si="63"/>
        <v>4.2738333333333332</v>
      </c>
      <c r="C562" s="3">
        <f t="shared" si="64"/>
        <v>101</v>
      </c>
      <c r="D562" s="3" t="str">
        <f t="shared" si="58"/>
        <v/>
      </c>
      <c r="E562" s="3">
        <f t="shared" si="59"/>
        <v>154</v>
      </c>
      <c r="F562" s="5" t="str">
        <f>IF(C562=0,"Broadcast",IF(D562="",IF(E562="","",IF(E562&lt;128,"Verbind "&amp;E562,INDEX(KdoCodeTab,MATCH(E562,KdoWertTab,0)))),"StatusAbfr "&amp;D562))</f>
        <v>MarkWdh</v>
      </c>
      <c r="G562" t="str">
        <f t="shared" si="60"/>
        <v>MarkWdh</v>
      </c>
      <c r="H562" t="str">
        <f t="shared" si="61"/>
        <v/>
      </c>
      <c r="I562" t="str">
        <f t="shared" si="62"/>
        <v/>
      </c>
    </row>
    <row r="563" spans="1:9" x14ac:dyDescent="0.25">
      <c r="A563" t="s">
        <v>155</v>
      </c>
      <c r="B563" s="6">
        <f t="shared" si="63"/>
        <v>4.2930000000000001</v>
      </c>
      <c r="C563" s="3">
        <f t="shared" si="64"/>
        <v>101</v>
      </c>
      <c r="D563" s="3" t="str">
        <f t="shared" si="58"/>
        <v/>
      </c>
      <c r="E563" s="3">
        <f t="shared" si="59"/>
        <v>147</v>
      </c>
      <c r="F563" s="5" t="str">
        <f>IF(C563=0,"Broadcast",IF(D563="",IF(E563="","",IF(E563&lt;128,"Verbind "&amp;E563,INDEX(KdoCodeTab,MATCH(E563,KdoWertTab,0)))),"StatusAbfr "&amp;D563))</f>
        <v>Space</v>
      </c>
      <c r="G563" t="str">
        <f t="shared" si="60"/>
        <v>Space</v>
      </c>
      <c r="H563" t="str">
        <f t="shared" si="61"/>
        <v/>
      </c>
      <c r="I563" t="str">
        <f t="shared" si="62"/>
        <v/>
      </c>
    </row>
    <row r="564" spans="1:9" x14ac:dyDescent="0.25">
      <c r="A564" t="s">
        <v>156</v>
      </c>
      <c r="B564" s="6">
        <f t="shared" si="63"/>
        <v>4.2939999999999996</v>
      </c>
      <c r="C564" s="3">
        <f t="shared" si="64"/>
        <v>101</v>
      </c>
      <c r="D564" s="3" t="str">
        <f t="shared" si="58"/>
        <v/>
      </c>
      <c r="E564" s="3">
        <f t="shared" si="59"/>
        <v>150</v>
      </c>
      <c r="F564" s="5" t="str">
        <f>IF(C564=0,"Broadcast",IF(D564="",IF(E564="","",IF(E564&lt;128,"Verbind "&amp;E564,INDEX(KdoCodeTab,MATCH(E564,KdoWertTab,0)))),"StatusAbfr "&amp;D564))</f>
        <v>SpaceWdh</v>
      </c>
      <c r="G564" t="str">
        <f t="shared" si="60"/>
        <v>SpaceWdh</v>
      </c>
      <c r="H564" t="str">
        <f t="shared" si="61"/>
        <v/>
      </c>
      <c r="I564" t="str">
        <f t="shared" si="62"/>
        <v/>
      </c>
    </row>
    <row r="565" spans="1:9" x14ac:dyDescent="0.25">
      <c r="A565" t="s">
        <v>157</v>
      </c>
      <c r="B565" s="6">
        <f t="shared" si="63"/>
        <v>4.3334999999999999</v>
      </c>
      <c r="C565" s="3">
        <f t="shared" si="64"/>
        <v>101</v>
      </c>
      <c r="D565" s="3" t="str">
        <f t="shared" si="58"/>
        <v/>
      </c>
      <c r="E565" s="3">
        <f t="shared" si="59"/>
        <v>156</v>
      </c>
      <c r="F565" s="5" t="str">
        <f>IF(C565=0,"Broadcast",IF(D565="",IF(E565="","",IF(E565&lt;128,"Verbind "&amp;E565,INDEX(KdoCodeTab,MATCH(E565,KdoWertTab,0)))),"StatusAbfr "&amp;D565))</f>
        <v>Mark</v>
      </c>
      <c r="G565" t="str">
        <f t="shared" si="60"/>
        <v>Mark</v>
      </c>
      <c r="H565" t="str">
        <f t="shared" si="61"/>
        <v/>
      </c>
      <c r="I565" t="str">
        <f t="shared" si="62"/>
        <v/>
      </c>
    </row>
    <row r="566" spans="1:9" x14ac:dyDescent="0.25">
      <c r="A566" t="s">
        <v>158</v>
      </c>
      <c r="B566" s="6">
        <f t="shared" si="63"/>
        <v>4.3344999999999994</v>
      </c>
      <c r="C566" s="3">
        <f t="shared" si="64"/>
        <v>101</v>
      </c>
      <c r="D566" s="3" t="str">
        <f t="shared" si="58"/>
        <v/>
      </c>
      <c r="E566" s="3">
        <f t="shared" si="59"/>
        <v>154</v>
      </c>
      <c r="F566" s="5" t="str">
        <f>IF(C566=0,"Broadcast",IF(D566="",IF(E566="","",IF(E566&lt;128,"Verbind "&amp;E566,INDEX(KdoCodeTab,MATCH(E566,KdoWertTab,0)))),"StatusAbfr "&amp;D566))</f>
        <v>MarkWdh</v>
      </c>
      <c r="G566" t="str">
        <f t="shared" si="60"/>
        <v>MarkWdh</v>
      </c>
      <c r="H566" t="str">
        <f t="shared" si="61"/>
        <v/>
      </c>
      <c r="I566" t="str">
        <f t="shared" si="62"/>
        <v/>
      </c>
    </row>
    <row r="567" spans="1:9" x14ac:dyDescent="0.25">
      <c r="A567" t="s">
        <v>159</v>
      </c>
      <c r="B567" s="6">
        <f t="shared" si="63"/>
        <v>4.3628333333333336</v>
      </c>
      <c r="C567" s="3">
        <f t="shared" si="64"/>
        <v>101</v>
      </c>
      <c r="D567" s="3" t="str">
        <f t="shared" si="58"/>
        <v/>
      </c>
      <c r="E567" s="3">
        <f t="shared" si="59"/>
        <v>147</v>
      </c>
      <c r="F567" s="5" t="str">
        <f>IF(C567=0,"Broadcast",IF(D567="",IF(E567="","",IF(E567&lt;128,"Verbind "&amp;E567,INDEX(KdoCodeTab,MATCH(E567,KdoWertTab,0)))),"StatusAbfr "&amp;D567))</f>
        <v>Space</v>
      </c>
      <c r="G567" t="str">
        <f t="shared" si="60"/>
        <v>Space</v>
      </c>
      <c r="H567" t="str">
        <f t="shared" si="61"/>
        <v/>
      </c>
      <c r="I567" t="str">
        <f t="shared" si="62"/>
        <v/>
      </c>
    </row>
    <row r="568" spans="1:9" x14ac:dyDescent="0.25">
      <c r="A568" t="s">
        <v>160</v>
      </c>
      <c r="B568" s="6">
        <f t="shared" si="63"/>
        <v>4.3638333333333339</v>
      </c>
      <c r="C568" s="3">
        <f t="shared" si="64"/>
        <v>101</v>
      </c>
      <c r="D568" s="3" t="str">
        <f t="shared" si="58"/>
        <v/>
      </c>
      <c r="E568" s="3">
        <f t="shared" si="59"/>
        <v>150</v>
      </c>
      <c r="F568" s="5" t="str">
        <f>IF(C568=0,"Broadcast",IF(D568="",IF(E568="","",IF(E568&lt;128,"Verbind "&amp;E568,INDEX(KdoCodeTab,MATCH(E568,KdoWertTab,0)))),"StatusAbfr "&amp;D568))</f>
        <v>SpaceWdh</v>
      </c>
      <c r="G568" t="str">
        <f t="shared" si="60"/>
        <v>SpaceWdh</v>
      </c>
      <c r="H568" t="str">
        <f t="shared" si="61"/>
        <v/>
      </c>
      <c r="I568" t="str">
        <f t="shared" si="62"/>
        <v/>
      </c>
    </row>
    <row r="569" spans="1:9" x14ac:dyDescent="0.25">
      <c r="A569" t="s">
        <v>161</v>
      </c>
      <c r="B569" s="6">
        <f t="shared" si="63"/>
        <v>4.3840000000000003</v>
      </c>
      <c r="C569" s="3">
        <f t="shared" si="64"/>
        <v>101</v>
      </c>
      <c r="D569" s="3" t="str">
        <f t="shared" si="58"/>
        <v/>
      </c>
      <c r="E569" s="3">
        <f t="shared" si="59"/>
        <v>156</v>
      </c>
      <c r="F569" s="5" t="str">
        <f>IF(C569=0,"Broadcast",IF(D569="",IF(E569="","",IF(E569&lt;128,"Verbind "&amp;E569,INDEX(KdoCodeTab,MATCH(E569,KdoWertTab,0)))),"StatusAbfr "&amp;D569))</f>
        <v>Mark</v>
      </c>
      <c r="G569" t="str">
        <f t="shared" si="60"/>
        <v>Mark</v>
      </c>
      <c r="H569" t="str">
        <f t="shared" si="61"/>
        <v/>
      </c>
      <c r="I569" t="str">
        <f t="shared" si="62"/>
        <v/>
      </c>
    </row>
    <row r="570" spans="1:9" x14ac:dyDescent="0.25">
      <c r="A570" t="s">
        <v>162</v>
      </c>
      <c r="B570" s="6">
        <f t="shared" si="63"/>
        <v>4.3848333333333338</v>
      </c>
      <c r="C570" s="3">
        <f t="shared" si="64"/>
        <v>101</v>
      </c>
      <c r="D570" s="3" t="str">
        <f t="shared" si="58"/>
        <v/>
      </c>
      <c r="E570" s="3">
        <f t="shared" si="59"/>
        <v>154</v>
      </c>
      <c r="F570" s="5" t="str">
        <f>IF(C570=0,"Broadcast",IF(D570="",IF(E570="","",IF(E570&lt;128,"Verbind "&amp;E570,INDEX(KdoCodeTab,MATCH(E570,KdoWertTab,0)))),"StatusAbfr "&amp;D570))</f>
        <v>MarkWdh</v>
      </c>
      <c r="G570" t="str">
        <f t="shared" si="60"/>
        <v>MarkWdh</v>
      </c>
      <c r="H570" t="str">
        <f t="shared" si="61"/>
        <v/>
      </c>
      <c r="I570" t="str">
        <f t="shared" si="62"/>
        <v/>
      </c>
    </row>
    <row r="571" spans="1:9" x14ac:dyDescent="0.25">
      <c r="A571" t="s">
        <v>163</v>
      </c>
      <c r="B571" s="6">
        <f t="shared" si="63"/>
        <v>4.4031666666666665</v>
      </c>
      <c r="C571" s="3">
        <f t="shared" si="64"/>
        <v>101</v>
      </c>
      <c r="D571" s="3" t="str">
        <f t="shared" ref="D571:D634" si="65">IF(MID(A571,10,1)="&lt;",MID(A571,12,2),"")</f>
        <v/>
      </c>
      <c r="E571" s="3">
        <f t="shared" ref="E571:E634" si="66">IF(MID(A571,10,1)="&gt;",HEX2DEC(MID(A571,12,2)),"")</f>
        <v>147</v>
      </c>
      <c r="F571" s="5" t="str">
        <f>IF(C571=0,"Broadcast",IF(D571="",IF(E571="","",IF(E571&lt;128,"Verbind "&amp;E571,INDEX(KdoCodeTab,MATCH(E571,KdoWertTab,0)))),"StatusAbfr "&amp;D571))</f>
        <v>Space</v>
      </c>
      <c r="G571" t="str">
        <f t="shared" ref="G571:G634" si="67">IF(C571=$G$2,F571,"")</f>
        <v>Space</v>
      </c>
      <c r="H571" t="str">
        <f t="shared" ref="H571:H634" si="68">IF(C571=$H$2,F571,"")</f>
        <v/>
      </c>
      <c r="I571" t="str">
        <f t="shared" ref="I571:I634" si="69">IF(G571&amp;H571="",F571,"")</f>
        <v/>
      </c>
    </row>
    <row r="572" spans="1:9" x14ac:dyDescent="0.25">
      <c r="A572" t="s">
        <v>164</v>
      </c>
      <c r="B572" s="6">
        <f t="shared" si="63"/>
        <v>4.4041666666666668</v>
      </c>
      <c r="C572" s="3">
        <f t="shared" si="64"/>
        <v>101</v>
      </c>
      <c r="D572" s="3" t="str">
        <f t="shared" si="65"/>
        <v/>
      </c>
      <c r="E572" s="3">
        <f t="shared" si="66"/>
        <v>150</v>
      </c>
      <c r="F572" s="5" t="str">
        <f>IF(C572=0,"Broadcast",IF(D572="",IF(E572="","",IF(E572&lt;128,"Verbind "&amp;E572,INDEX(KdoCodeTab,MATCH(E572,KdoWertTab,0)))),"StatusAbfr "&amp;D572))</f>
        <v>SpaceWdh</v>
      </c>
      <c r="G572" t="str">
        <f t="shared" si="67"/>
        <v>SpaceWdh</v>
      </c>
      <c r="H572" t="str">
        <f t="shared" si="68"/>
        <v/>
      </c>
      <c r="I572" t="str">
        <f t="shared" si="69"/>
        <v/>
      </c>
    </row>
    <row r="573" spans="1:9" x14ac:dyDescent="0.25">
      <c r="A573" t="s">
        <v>165</v>
      </c>
      <c r="B573" s="6">
        <f t="shared" si="63"/>
        <v>4.4434999999999993</v>
      </c>
      <c r="C573" s="3">
        <f t="shared" si="64"/>
        <v>101</v>
      </c>
      <c r="D573" s="3" t="str">
        <f t="shared" si="65"/>
        <v/>
      </c>
      <c r="E573" s="3">
        <f t="shared" si="66"/>
        <v>156</v>
      </c>
      <c r="F573" s="5" t="str">
        <f>IF(C573=0,"Broadcast",IF(D573="",IF(E573="","",IF(E573&lt;128,"Verbind "&amp;E573,INDEX(KdoCodeTab,MATCH(E573,KdoWertTab,0)))),"StatusAbfr "&amp;D573))</f>
        <v>Mark</v>
      </c>
      <c r="G573" t="str">
        <f t="shared" si="67"/>
        <v>Mark</v>
      </c>
      <c r="H573" t="str">
        <f t="shared" si="68"/>
        <v/>
      </c>
      <c r="I573" t="str">
        <f t="shared" si="69"/>
        <v/>
      </c>
    </row>
    <row r="574" spans="1:9" x14ac:dyDescent="0.25">
      <c r="A574" t="s">
        <v>166</v>
      </c>
      <c r="B574" s="6">
        <f t="shared" si="63"/>
        <v>4.4444999999999997</v>
      </c>
      <c r="C574" s="3">
        <f t="shared" si="64"/>
        <v>101</v>
      </c>
      <c r="D574" s="3" t="str">
        <f t="shared" si="65"/>
        <v/>
      </c>
      <c r="E574" s="3">
        <f t="shared" si="66"/>
        <v>154</v>
      </c>
      <c r="F574" s="5" t="str">
        <f>IF(C574=0,"Broadcast",IF(D574="",IF(E574="","",IF(E574&lt;128,"Verbind "&amp;E574,INDEX(KdoCodeTab,MATCH(E574,KdoWertTab,0)))),"StatusAbfr "&amp;D574))</f>
        <v>MarkWdh</v>
      </c>
      <c r="G574" t="str">
        <f t="shared" si="67"/>
        <v>MarkWdh</v>
      </c>
      <c r="H574" t="str">
        <f t="shared" si="68"/>
        <v/>
      </c>
      <c r="I574" t="str">
        <f t="shared" si="69"/>
        <v/>
      </c>
    </row>
    <row r="575" spans="1:9" x14ac:dyDescent="0.25">
      <c r="A575" t="s">
        <v>167</v>
      </c>
      <c r="B575" s="6">
        <f t="shared" si="63"/>
        <v>4.4638333333333335</v>
      </c>
      <c r="C575" s="3">
        <f t="shared" si="64"/>
        <v>101</v>
      </c>
      <c r="D575" s="3" t="str">
        <f t="shared" si="65"/>
        <v/>
      </c>
      <c r="E575" s="3">
        <f t="shared" si="66"/>
        <v>147</v>
      </c>
      <c r="F575" s="5" t="str">
        <f>IF(C575=0,"Broadcast",IF(D575="",IF(E575="","",IF(E575&lt;128,"Verbind "&amp;E575,INDEX(KdoCodeTab,MATCH(E575,KdoWertTab,0)))),"StatusAbfr "&amp;D575))</f>
        <v>Space</v>
      </c>
      <c r="G575" t="str">
        <f t="shared" si="67"/>
        <v>Space</v>
      </c>
      <c r="H575" t="str">
        <f t="shared" si="68"/>
        <v/>
      </c>
      <c r="I575" t="str">
        <f t="shared" si="69"/>
        <v/>
      </c>
    </row>
    <row r="576" spans="1:9" x14ac:dyDescent="0.25">
      <c r="A576" t="s">
        <v>168</v>
      </c>
      <c r="B576" s="6">
        <f t="shared" si="63"/>
        <v>4.4648333333333339</v>
      </c>
      <c r="C576" s="3">
        <f t="shared" si="64"/>
        <v>101</v>
      </c>
      <c r="D576" s="3" t="str">
        <f t="shared" si="65"/>
        <v/>
      </c>
      <c r="E576" s="3">
        <f t="shared" si="66"/>
        <v>150</v>
      </c>
      <c r="F576" s="5" t="str">
        <f>IF(C576=0,"Broadcast",IF(D576="",IF(E576="","",IF(E576&lt;128,"Verbind "&amp;E576,INDEX(KdoCodeTab,MATCH(E576,KdoWertTab,0)))),"StatusAbfr "&amp;D576))</f>
        <v>SpaceWdh</v>
      </c>
      <c r="G576" t="str">
        <f t="shared" si="67"/>
        <v>SpaceWdh</v>
      </c>
      <c r="H576" t="str">
        <f t="shared" si="68"/>
        <v/>
      </c>
      <c r="I576" t="str">
        <f t="shared" si="69"/>
        <v/>
      </c>
    </row>
    <row r="577" spans="1:9" x14ac:dyDescent="0.25">
      <c r="A577" t="s">
        <v>169</v>
      </c>
      <c r="B577" s="6">
        <f t="shared" si="63"/>
        <v>4.484</v>
      </c>
      <c r="C577" s="3">
        <f t="shared" si="64"/>
        <v>101</v>
      </c>
      <c r="D577" s="3" t="str">
        <f t="shared" si="65"/>
        <v/>
      </c>
      <c r="E577" s="3">
        <f t="shared" si="66"/>
        <v>156</v>
      </c>
      <c r="F577" s="5" t="str">
        <f>IF(C577=0,"Broadcast",IF(D577="",IF(E577="","",IF(E577&lt;128,"Verbind "&amp;E577,INDEX(KdoCodeTab,MATCH(E577,KdoWertTab,0)))),"StatusAbfr "&amp;D577))</f>
        <v>Mark</v>
      </c>
      <c r="G577" t="str">
        <f t="shared" si="67"/>
        <v>Mark</v>
      </c>
      <c r="H577" t="str">
        <f t="shared" si="68"/>
        <v/>
      </c>
      <c r="I577" t="str">
        <f t="shared" si="69"/>
        <v/>
      </c>
    </row>
    <row r="578" spans="1:9" x14ac:dyDescent="0.25">
      <c r="A578" t="s">
        <v>170</v>
      </c>
      <c r="B578" s="6">
        <f t="shared" si="63"/>
        <v>4.4850000000000003</v>
      </c>
      <c r="C578" s="3">
        <f t="shared" si="64"/>
        <v>101</v>
      </c>
      <c r="D578" s="3" t="str">
        <f t="shared" si="65"/>
        <v/>
      </c>
      <c r="E578" s="3">
        <f t="shared" si="66"/>
        <v>154</v>
      </c>
      <c r="F578" s="5" t="str">
        <f>IF(C578=0,"Broadcast",IF(D578="",IF(E578="","",IF(E578&lt;128,"Verbind "&amp;E578,INDEX(KdoCodeTab,MATCH(E578,KdoWertTab,0)))),"StatusAbfr "&amp;D578))</f>
        <v>MarkWdh</v>
      </c>
      <c r="G578" t="str">
        <f t="shared" si="67"/>
        <v>MarkWdh</v>
      </c>
      <c r="H578" t="str">
        <f t="shared" si="68"/>
        <v/>
      </c>
      <c r="I578" t="str">
        <f t="shared" si="69"/>
        <v/>
      </c>
    </row>
    <row r="579" spans="1:9" x14ac:dyDescent="0.25">
      <c r="A579" t="s">
        <v>171</v>
      </c>
      <c r="B579" s="6">
        <f t="shared" si="63"/>
        <v>4.5133333333333336</v>
      </c>
      <c r="C579" s="3">
        <f t="shared" si="64"/>
        <v>101</v>
      </c>
      <c r="D579" s="3" t="str">
        <f t="shared" si="65"/>
        <v/>
      </c>
      <c r="E579" s="3">
        <f t="shared" si="66"/>
        <v>147</v>
      </c>
      <c r="F579" s="5" t="str">
        <f>IF(C579=0,"Broadcast",IF(D579="",IF(E579="","",IF(E579&lt;128,"Verbind "&amp;E579,INDEX(KdoCodeTab,MATCH(E579,KdoWertTab,0)))),"StatusAbfr "&amp;D579))</f>
        <v>Space</v>
      </c>
      <c r="G579" t="str">
        <f t="shared" si="67"/>
        <v>Space</v>
      </c>
      <c r="H579" t="str">
        <f t="shared" si="68"/>
        <v/>
      </c>
      <c r="I579" t="str">
        <f t="shared" si="69"/>
        <v/>
      </c>
    </row>
    <row r="580" spans="1:9" x14ac:dyDescent="0.25">
      <c r="A580" t="s">
        <v>172</v>
      </c>
      <c r="B580" s="6">
        <f t="shared" si="63"/>
        <v>4.514333333333334</v>
      </c>
      <c r="C580" s="3">
        <f t="shared" si="64"/>
        <v>101</v>
      </c>
      <c r="D580" s="3" t="str">
        <f t="shared" si="65"/>
        <v/>
      </c>
      <c r="E580" s="3">
        <f t="shared" si="66"/>
        <v>150</v>
      </c>
      <c r="F580" s="5" t="str">
        <f>IF(C580=0,"Broadcast",IF(D580="",IF(E580="","",IF(E580&lt;128,"Verbind "&amp;E580,INDEX(KdoCodeTab,MATCH(E580,KdoWertTab,0)))),"StatusAbfr "&amp;D580))</f>
        <v>SpaceWdh</v>
      </c>
      <c r="G580" t="str">
        <f t="shared" si="67"/>
        <v>SpaceWdh</v>
      </c>
      <c r="H580" t="str">
        <f t="shared" si="68"/>
        <v/>
      </c>
      <c r="I580" t="str">
        <f t="shared" si="69"/>
        <v/>
      </c>
    </row>
    <row r="581" spans="1:9" x14ac:dyDescent="0.25">
      <c r="A581" t="s">
        <v>173</v>
      </c>
      <c r="B581" s="6">
        <f t="shared" ref="B581:B644" si="70">MID(A581,1,5)/1000+(CODE(MID(A581,6,1))-CODE("a"))/6000</f>
        <v>4.5305</v>
      </c>
      <c r="C581" s="3">
        <f t="shared" ref="C581:C644" si="71">INT(HEX2DEC(MID(A581,8,2))/2)</f>
        <v>101</v>
      </c>
      <c r="D581" s="3" t="str">
        <f t="shared" si="65"/>
        <v/>
      </c>
      <c r="E581" s="3">
        <f t="shared" si="66"/>
        <v>169</v>
      </c>
      <c r="F581" s="5" t="str">
        <f>IF(C581=0,"Broadcast",IF(D581="",IF(E581="","",IF(E581&lt;128,"Verbind "&amp;E581,INDEX(KdoCodeTab,MATCH(E581,KdoWertTab,0)))),"StatusAbfr "&amp;D581))</f>
        <v>BusLebenszeichen</v>
      </c>
      <c r="G581" t="str">
        <f t="shared" si="67"/>
        <v>BusLebenszeichen</v>
      </c>
      <c r="H581" t="str">
        <f t="shared" si="68"/>
        <v/>
      </c>
      <c r="I581" t="str">
        <f t="shared" si="69"/>
        <v/>
      </c>
    </row>
    <row r="582" spans="1:9" x14ac:dyDescent="0.25">
      <c r="A582" t="s">
        <v>174</v>
      </c>
      <c r="B582" s="6">
        <f t="shared" si="70"/>
        <v>4.5335000000000001</v>
      </c>
      <c r="C582" s="3">
        <f t="shared" si="71"/>
        <v>101</v>
      </c>
      <c r="D582" s="3" t="str">
        <f t="shared" si="65"/>
        <v/>
      </c>
      <c r="E582" s="3">
        <f t="shared" si="66"/>
        <v>156</v>
      </c>
      <c r="F582" s="5" t="str">
        <f>IF(C582=0,"Broadcast",IF(D582="",IF(E582="","",IF(E582&lt;128,"Verbind "&amp;E582,INDEX(KdoCodeTab,MATCH(E582,KdoWertTab,0)))),"StatusAbfr "&amp;D582))</f>
        <v>Mark</v>
      </c>
      <c r="G582" t="str">
        <f t="shared" si="67"/>
        <v>Mark</v>
      </c>
      <c r="H582" t="str">
        <f t="shared" si="68"/>
        <v/>
      </c>
      <c r="I582" t="str">
        <f t="shared" si="69"/>
        <v/>
      </c>
    </row>
    <row r="583" spans="1:9" x14ac:dyDescent="0.25">
      <c r="A583" t="s">
        <v>175</v>
      </c>
      <c r="B583" s="6">
        <f t="shared" si="70"/>
        <v>4.5344999999999995</v>
      </c>
      <c r="C583" s="3">
        <f t="shared" si="71"/>
        <v>101</v>
      </c>
      <c r="D583" s="3" t="str">
        <f t="shared" si="65"/>
        <v/>
      </c>
      <c r="E583" s="3">
        <f t="shared" si="66"/>
        <v>154</v>
      </c>
      <c r="F583" s="5" t="str">
        <f>IF(C583=0,"Broadcast",IF(D583="",IF(E583="","",IF(E583&lt;128,"Verbind "&amp;E583,INDEX(KdoCodeTab,MATCH(E583,KdoWertTab,0)))),"StatusAbfr "&amp;D583))</f>
        <v>MarkWdh</v>
      </c>
      <c r="G583" t="str">
        <f t="shared" si="67"/>
        <v>MarkWdh</v>
      </c>
      <c r="H583" t="str">
        <f t="shared" si="68"/>
        <v/>
      </c>
      <c r="I583" t="str">
        <f t="shared" si="69"/>
        <v/>
      </c>
    </row>
    <row r="584" spans="1:9" x14ac:dyDescent="0.25">
      <c r="A584" t="s">
        <v>176</v>
      </c>
      <c r="B584" s="6">
        <f t="shared" si="70"/>
        <v>4.6589999999999998</v>
      </c>
      <c r="C584" s="3">
        <f t="shared" si="71"/>
        <v>31</v>
      </c>
      <c r="D584" s="3" t="str">
        <f t="shared" si="65"/>
        <v/>
      </c>
      <c r="E584" s="3">
        <f t="shared" si="66"/>
        <v>154</v>
      </c>
      <c r="F584" s="5" t="str">
        <f>IF(C584=0,"Broadcast",IF(D584="",IF(E584="","",IF(E584&lt;128,"Verbind "&amp;E584,INDEX(KdoCodeTab,MATCH(E584,KdoWertTab,0)))),"StatusAbfr "&amp;D584))</f>
        <v>MarkWdh</v>
      </c>
      <c r="G584" t="str">
        <f t="shared" si="67"/>
        <v/>
      </c>
      <c r="H584" t="str">
        <f t="shared" si="68"/>
        <v>MarkWdh</v>
      </c>
      <c r="I584" t="str">
        <f t="shared" si="69"/>
        <v/>
      </c>
    </row>
    <row r="585" spans="1:9" x14ac:dyDescent="0.25">
      <c r="A585" t="s">
        <v>177</v>
      </c>
      <c r="B585" s="6">
        <f t="shared" si="70"/>
        <v>5.165</v>
      </c>
      <c r="C585" s="3">
        <f t="shared" si="71"/>
        <v>31</v>
      </c>
      <c r="D585" s="3" t="str">
        <f t="shared" si="65"/>
        <v/>
      </c>
      <c r="E585" s="3">
        <f t="shared" si="66"/>
        <v>154</v>
      </c>
      <c r="F585" s="5" t="str">
        <f>IF(C585=0,"Broadcast",IF(D585="",IF(E585="","",IF(E585&lt;128,"Verbind "&amp;E585,INDEX(KdoCodeTab,MATCH(E585,KdoWertTab,0)))),"StatusAbfr "&amp;D585))</f>
        <v>MarkWdh</v>
      </c>
      <c r="G585" t="str">
        <f t="shared" si="67"/>
        <v/>
      </c>
      <c r="H585" t="str">
        <f t="shared" si="68"/>
        <v>MarkWdh</v>
      </c>
      <c r="I585" t="str">
        <f t="shared" si="69"/>
        <v/>
      </c>
    </row>
    <row r="586" spans="1:9" x14ac:dyDescent="0.25">
      <c r="A586" t="s">
        <v>178</v>
      </c>
      <c r="B586" s="6">
        <f t="shared" si="70"/>
        <v>5.2123333333333335</v>
      </c>
      <c r="C586" s="3">
        <f t="shared" si="71"/>
        <v>101</v>
      </c>
      <c r="D586" s="3" t="str">
        <f t="shared" si="65"/>
        <v/>
      </c>
      <c r="E586" s="3">
        <f t="shared" si="66"/>
        <v>169</v>
      </c>
      <c r="F586" s="5" t="str">
        <f>IF(C586=0,"Broadcast",IF(D586="",IF(E586="","",IF(E586&lt;128,"Verbind "&amp;E586,INDEX(KdoCodeTab,MATCH(E586,KdoWertTab,0)))),"StatusAbfr "&amp;D586))</f>
        <v>BusLebenszeichen</v>
      </c>
      <c r="G586" t="str">
        <f t="shared" si="67"/>
        <v>BusLebenszeichen</v>
      </c>
      <c r="H586" t="str">
        <f t="shared" si="68"/>
        <v/>
      </c>
      <c r="I586" t="str">
        <f t="shared" si="69"/>
        <v/>
      </c>
    </row>
    <row r="587" spans="1:9" x14ac:dyDescent="0.25">
      <c r="A587" t="s">
        <v>179</v>
      </c>
      <c r="B587" s="6">
        <f t="shared" si="70"/>
        <v>5.2983333333333338</v>
      </c>
      <c r="C587" s="3">
        <f t="shared" si="71"/>
        <v>101</v>
      </c>
      <c r="D587" s="3" t="str">
        <f t="shared" si="65"/>
        <v/>
      </c>
      <c r="E587" s="3">
        <f t="shared" si="66"/>
        <v>147</v>
      </c>
      <c r="F587" s="5" t="str">
        <f>IF(C587=0,"Broadcast",IF(D587="",IF(E587="","",IF(E587&lt;128,"Verbind "&amp;E587,INDEX(KdoCodeTab,MATCH(E587,KdoWertTab,0)))),"StatusAbfr "&amp;D587))</f>
        <v>Space</v>
      </c>
      <c r="G587" t="str">
        <f t="shared" si="67"/>
        <v>Space</v>
      </c>
      <c r="H587" t="str">
        <f t="shared" si="68"/>
        <v/>
      </c>
      <c r="I587" t="str">
        <f t="shared" si="69"/>
        <v/>
      </c>
    </row>
    <row r="588" spans="1:9" x14ac:dyDescent="0.25">
      <c r="A588" t="s">
        <v>180</v>
      </c>
      <c r="B588" s="6">
        <f t="shared" si="70"/>
        <v>5.2993333333333341</v>
      </c>
      <c r="C588" s="3">
        <f t="shared" si="71"/>
        <v>101</v>
      </c>
      <c r="D588" s="3" t="str">
        <f t="shared" si="65"/>
        <v/>
      </c>
      <c r="E588" s="3">
        <f t="shared" si="66"/>
        <v>150</v>
      </c>
      <c r="F588" s="5" t="str">
        <f>IF(C588=0,"Broadcast",IF(D588="",IF(E588="","",IF(E588&lt;128,"Verbind "&amp;E588,INDEX(KdoCodeTab,MATCH(E588,KdoWertTab,0)))),"StatusAbfr "&amp;D588))</f>
        <v>SpaceWdh</v>
      </c>
      <c r="G588" t="str">
        <f t="shared" si="67"/>
        <v>SpaceWdh</v>
      </c>
      <c r="H588" t="str">
        <f t="shared" si="68"/>
        <v/>
      </c>
      <c r="I588" t="str">
        <f t="shared" si="69"/>
        <v/>
      </c>
    </row>
    <row r="589" spans="1:9" x14ac:dyDescent="0.25">
      <c r="A589" t="s">
        <v>181</v>
      </c>
      <c r="B589" s="6">
        <f t="shared" si="70"/>
        <v>5.378166666666667</v>
      </c>
      <c r="C589" s="3">
        <f t="shared" si="71"/>
        <v>101</v>
      </c>
      <c r="D589" s="3" t="str">
        <f t="shared" si="65"/>
        <v/>
      </c>
      <c r="E589" s="3">
        <f t="shared" si="66"/>
        <v>156</v>
      </c>
      <c r="F589" s="5" t="str">
        <f>IF(C589=0,"Broadcast",IF(D589="",IF(E589="","",IF(E589&lt;128,"Verbind "&amp;E589,INDEX(KdoCodeTab,MATCH(E589,KdoWertTab,0)))),"StatusAbfr "&amp;D589))</f>
        <v>Mark</v>
      </c>
      <c r="G589" t="str">
        <f t="shared" si="67"/>
        <v>Mark</v>
      </c>
      <c r="H589" t="str">
        <f t="shared" si="68"/>
        <v/>
      </c>
      <c r="I589" t="str">
        <f t="shared" si="69"/>
        <v/>
      </c>
    </row>
    <row r="590" spans="1:9" x14ac:dyDescent="0.25">
      <c r="A590" t="s">
        <v>182</v>
      </c>
      <c r="B590" s="6">
        <f t="shared" si="70"/>
        <v>5.3789999999999996</v>
      </c>
      <c r="C590" s="3">
        <f t="shared" si="71"/>
        <v>101</v>
      </c>
      <c r="D590" s="3" t="str">
        <f t="shared" si="65"/>
        <v/>
      </c>
      <c r="E590" s="3">
        <f t="shared" si="66"/>
        <v>154</v>
      </c>
      <c r="F590" s="5" t="str">
        <f>IF(C590=0,"Broadcast",IF(D590="",IF(E590="","",IF(E590&lt;128,"Verbind "&amp;E590,INDEX(KdoCodeTab,MATCH(E590,KdoWertTab,0)))),"StatusAbfr "&amp;D590))</f>
        <v>MarkWdh</v>
      </c>
      <c r="G590" t="str">
        <f t="shared" si="67"/>
        <v>MarkWdh</v>
      </c>
      <c r="H590" t="str">
        <f t="shared" si="68"/>
        <v/>
      </c>
      <c r="I590" t="str">
        <f t="shared" si="69"/>
        <v/>
      </c>
    </row>
    <row r="591" spans="1:9" x14ac:dyDescent="0.25">
      <c r="A591" t="s">
        <v>183</v>
      </c>
      <c r="B591" s="6">
        <f t="shared" si="70"/>
        <v>5.3983333333333334</v>
      </c>
      <c r="C591" s="3">
        <f t="shared" si="71"/>
        <v>101</v>
      </c>
      <c r="D591" s="3" t="str">
        <f t="shared" si="65"/>
        <v/>
      </c>
      <c r="E591" s="3">
        <f t="shared" si="66"/>
        <v>147</v>
      </c>
      <c r="F591" s="5" t="str">
        <f>IF(C591=0,"Broadcast",IF(D591="",IF(E591="","",IF(E591&lt;128,"Verbind "&amp;E591,INDEX(KdoCodeTab,MATCH(E591,KdoWertTab,0)))),"StatusAbfr "&amp;D591))</f>
        <v>Space</v>
      </c>
      <c r="G591" t="str">
        <f t="shared" si="67"/>
        <v>Space</v>
      </c>
      <c r="H591" t="str">
        <f t="shared" si="68"/>
        <v/>
      </c>
      <c r="I591" t="str">
        <f t="shared" si="69"/>
        <v/>
      </c>
    </row>
    <row r="592" spans="1:9" x14ac:dyDescent="0.25">
      <c r="A592" t="s">
        <v>184</v>
      </c>
      <c r="B592" s="6">
        <f t="shared" si="70"/>
        <v>5.3991666666666669</v>
      </c>
      <c r="C592" s="3">
        <f t="shared" si="71"/>
        <v>101</v>
      </c>
      <c r="D592" s="3" t="str">
        <f t="shared" si="65"/>
        <v/>
      </c>
      <c r="E592" s="3">
        <f t="shared" si="66"/>
        <v>150</v>
      </c>
      <c r="F592" s="5" t="str">
        <f>IF(C592=0,"Broadcast",IF(D592="",IF(E592="","",IF(E592&lt;128,"Verbind "&amp;E592,INDEX(KdoCodeTab,MATCH(E592,KdoWertTab,0)))),"StatusAbfr "&amp;D592))</f>
        <v>SpaceWdh</v>
      </c>
      <c r="G592" t="str">
        <f t="shared" si="67"/>
        <v>SpaceWdh</v>
      </c>
      <c r="H592" t="str">
        <f t="shared" si="68"/>
        <v/>
      </c>
      <c r="I592" t="str">
        <f t="shared" si="69"/>
        <v/>
      </c>
    </row>
    <row r="593" spans="1:9" x14ac:dyDescent="0.25">
      <c r="A593" t="s">
        <v>185</v>
      </c>
      <c r="B593" s="6">
        <f t="shared" si="70"/>
        <v>5.4186666666666667</v>
      </c>
      <c r="C593" s="3">
        <f t="shared" si="71"/>
        <v>101</v>
      </c>
      <c r="D593" s="3" t="str">
        <f t="shared" si="65"/>
        <v/>
      </c>
      <c r="E593" s="3">
        <f t="shared" si="66"/>
        <v>156</v>
      </c>
      <c r="F593" s="5" t="str">
        <f>IF(C593=0,"Broadcast",IF(D593="",IF(E593="","",IF(E593&lt;128,"Verbind "&amp;E593,INDEX(KdoCodeTab,MATCH(E593,KdoWertTab,0)))),"StatusAbfr "&amp;D593))</f>
        <v>Mark</v>
      </c>
      <c r="G593" t="str">
        <f t="shared" si="67"/>
        <v>Mark</v>
      </c>
      <c r="H593" t="str">
        <f t="shared" si="68"/>
        <v/>
      </c>
      <c r="I593" t="str">
        <f t="shared" si="69"/>
        <v/>
      </c>
    </row>
    <row r="594" spans="1:9" x14ac:dyDescent="0.25">
      <c r="A594" t="s">
        <v>186</v>
      </c>
      <c r="B594" s="6">
        <f t="shared" si="70"/>
        <v>5.4194999999999993</v>
      </c>
      <c r="C594" s="3">
        <f t="shared" si="71"/>
        <v>101</v>
      </c>
      <c r="D594" s="3" t="str">
        <f t="shared" si="65"/>
        <v/>
      </c>
      <c r="E594" s="3">
        <f t="shared" si="66"/>
        <v>154</v>
      </c>
      <c r="F594" s="5" t="str">
        <f>IF(C594=0,"Broadcast",IF(D594="",IF(E594="","",IF(E594&lt;128,"Verbind "&amp;E594,INDEX(KdoCodeTab,MATCH(E594,KdoWertTab,0)))),"StatusAbfr "&amp;D594))</f>
        <v>MarkWdh</v>
      </c>
      <c r="G594" t="str">
        <f t="shared" si="67"/>
        <v>MarkWdh</v>
      </c>
      <c r="H594" t="str">
        <f t="shared" si="68"/>
        <v/>
      </c>
      <c r="I594" t="str">
        <f t="shared" si="69"/>
        <v/>
      </c>
    </row>
    <row r="595" spans="1:9" x14ac:dyDescent="0.25">
      <c r="A595" t="s">
        <v>187</v>
      </c>
      <c r="B595" s="6">
        <f t="shared" si="70"/>
        <v>5.5356666666666667</v>
      </c>
      <c r="C595" s="3">
        <f t="shared" si="71"/>
        <v>101</v>
      </c>
      <c r="D595" s="3" t="str">
        <f t="shared" si="65"/>
        <v/>
      </c>
      <c r="E595" s="3">
        <f t="shared" si="66"/>
        <v>147</v>
      </c>
      <c r="F595" s="5" t="str">
        <f>IF(C595=0,"Broadcast",IF(D595="",IF(E595="","",IF(E595&lt;128,"Verbind "&amp;E595,INDEX(KdoCodeTab,MATCH(E595,KdoWertTab,0)))),"StatusAbfr "&amp;D595))</f>
        <v>Space</v>
      </c>
      <c r="G595" t="str">
        <f t="shared" si="67"/>
        <v>Space</v>
      </c>
      <c r="H595" t="str">
        <f t="shared" si="68"/>
        <v/>
      </c>
      <c r="I595" t="str">
        <f t="shared" si="69"/>
        <v/>
      </c>
    </row>
    <row r="596" spans="1:9" x14ac:dyDescent="0.25">
      <c r="A596" t="s">
        <v>188</v>
      </c>
      <c r="B596" s="6">
        <f t="shared" si="70"/>
        <v>5.5366666666666662</v>
      </c>
      <c r="C596" s="3">
        <f t="shared" si="71"/>
        <v>101</v>
      </c>
      <c r="D596" s="3" t="str">
        <f t="shared" si="65"/>
        <v/>
      </c>
      <c r="E596" s="3">
        <f t="shared" si="66"/>
        <v>150</v>
      </c>
      <c r="F596" s="5" t="str">
        <f>IF(C596=0,"Broadcast",IF(D596="",IF(E596="","",IF(E596&lt;128,"Verbind "&amp;E596,INDEX(KdoCodeTab,MATCH(E596,KdoWertTab,0)))),"StatusAbfr "&amp;D596))</f>
        <v>SpaceWdh</v>
      </c>
      <c r="G596" t="str">
        <f t="shared" si="67"/>
        <v>SpaceWdh</v>
      </c>
      <c r="H596" t="str">
        <f t="shared" si="68"/>
        <v/>
      </c>
      <c r="I596" t="str">
        <f t="shared" si="69"/>
        <v/>
      </c>
    </row>
    <row r="597" spans="1:9" x14ac:dyDescent="0.25">
      <c r="A597" t="s">
        <v>189</v>
      </c>
      <c r="B597" s="6">
        <f t="shared" si="70"/>
        <v>5.5761666666666665</v>
      </c>
      <c r="C597" s="3">
        <f t="shared" si="71"/>
        <v>101</v>
      </c>
      <c r="D597" s="3" t="str">
        <f t="shared" si="65"/>
        <v/>
      </c>
      <c r="E597" s="3">
        <f t="shared" si="66"/>
        <v>156</v>
      </c>
      <c r="F597" s="5" t="str">
        <f>IF(C597=0,"Broadcast",IF(D597="",IF(E597="","",IF(E597&lt;128,"Verbind "&amp;E597,INDEX(KdoCodeTab,MATCH(E597,KdoWertTab,0)))),"StatusAbfr "&amp;D597))</f>
        <v>Mark</v>
      </c>
      <c r="G597" t="str">
        <f t="shared" si="67"/>
        <v>Mark</v>
      </c>
      <c r="H597" t="str">
        <f t="shared" si="68"/>
        <v/>
      </c>
      <c r="I597" t="str">
        <f t="shared" si="69"/>
        <v/>
      </c>
    </row>
    <row r="598" spans="1:9" x14ac:dyDescent="0.25">
      <c r="A598" t="s">
        <v>190</v>
      </c>
      <c r="B598" s="6">
        <f t="shared" si="70"/>
        <v>5.5771666666666668</v>
      </c>
      <c r="C598" s="3">
        <f t="shared" si="71"/>
        <v>101</v>
      </c>
      <c r="D598" s="3" t="str">
        <f t="shared" si="65"/>
        <v/>
      </c>
      <c r="E598" s="3">
        <f t="shared" si="66"/>
        <v>154</v>
      </c>
      <c r="F598" s="5" t="str">
        <f>IF(C598=0,"Broadcast",IF(D598="",IF(E598="","",IF(E598&lt;128,"Verbind "&amp;E598,INDEX(KdoCodeTab,MATCH(E598,KdoWertTab,0)))),"StatusAbfr "&amp;D598))</f>
        <v>MarkWdh</v>
      </c>
      <c r="G598" t="str">
        <f t="shared" si="67"/>
        <v>MarkWdh</v>
      </c>
      <c r="H598" t="str">
        <f t="shared" si="68"/>
        <v/>
      </c>
      <c r="I598" t="str">
        <f t="shared" si="69"/>
        <v/>
      </c>
    </row>
    <row r="599" spans="1:9" x14ac:dyDescent="0.25">
      <c r="A599" t="s">
        <v>191</v>
      </c>
      <c r="B599" s="6">
        <f t="shared" si="70"/>
        <v>5.5963333333333338</v>
      </c>
      <c r="C599" s="3">
        <f t="shared" si="71"/>
        <v>101</v>
      </c>
      <c r="D599" s="3" t="str">
        <f t="shared" si="65"/>
        <v/>
      </c>
      <c r="E599" s="3">
        <f t="shared" si="66"/>
        <v>147</v>
      </c>
      <c r="F599" s="5" t="str">
        <f>IF(C599=0,"Broadcast",IF(D599="",IF(E599="","",IF(E599&lt;128,"Verbind "&amp;E599,INDEX(KdoCodeTab,MATCH(E599,KdoWertTab,0)))),"StatusAbfr "&amp;D599))</f>
        <v>Space</v>
      </c>
      <c r="G599" t="str">
        <f t="shared" si="67"/>
        <v>Space</v>
      </c>
      <c r="H599" t="str">
        <f t="shared" si="68"/>
        <v/>
      </c>
      <c r="I599" t="str">
        <f t="shared" si="69"/>
        <v/>
      </c>
    </row>
    <row r="600" spans="1:9" x14ac:dyDescent="0.25">
      <c r="A600" t="s">
        <v>192</v>
      </c>
      <c r="B600" s="6">
        <f t="shared" si="70"/>
        <v>5.5973333333333342</v>
      </c>
      <c r="C600" s="3">
        <f t="shared" si="71"/>
        <v>101</v>
      </c>
      <c r="D600" s="3" t="str">
        <f t="shared" si="65"/>
        <v/>
      </c>
      <c r="E600" s="3">
        <f t="shared" si="66"/>
        <v>150</v>
      </c>
      <c r="F600" s="5" t="str">
        <f>IF(C600=0,"Broadcast",IF(D600="",IF(E600="","",IF(E600&lt;128,"Verbind "&amp;E600,INDEX(KdoCodeTab,MATCH(E600,KdoWertTab,0)))),"StatusAbfr "&amp;D600))</f>
        <v>SpaceWdh</v>
      </c>
      <c r="G600" t="str">
        <f t="shared" si="67"/>
        <v>SpaceWdh</v>
      </c>
      <c r="H600" t="str">
        <f t="shared" si="68"/>
        <v/>
      </c>
      <c r="I600" t="str">
        <f t="shared" si="69"/>
        <v/>
      </c>
    </row>
    <row r="601" spans="1:9" x14ac:dyDescent="0.25">
      <c r="A601" t="s">
        <v>193</v>
      </c>
      <c r="B601" s="6">
        <f t="shared" si="70"/>
        <v>5.6559999999999997</v>
      </c>
      <c r="C601" s="3">
        <f t="shared" si="71"/>
        <v>101</v>
      </c>
      <c r="D601" s="3" t="str">
        <f t="shared" si="65"/>
        <v/>
      </c>
      <c r="E601" s="3">
        <f t="shared" si="66"/>
        <v>156</v>
      </c>
      <c r="F601" s="5" t="str">
        <f>IF(C601=0,"Broadcast",IF(D601="",IF(E601="","",IF(E601&lt;128,"Verbind "&amp;E601,INDEX(KdoCodeTab,MATCH(E601,KdoWertTab,0)))),"StatusAbfr "&amp;D601))</f>
        <v>Mark</v>
      </c>
      <c r="G601" t="str">
        <f t="shared" si="67"/>
        <v>Mark</v>
      </c>
      <c r="H601" t="str">
        <f t="shared" si="68"/>
        <v/>
      </c>
      <c r="I601" t="str">
        <f t="shared" si="69"/>
        <v/>
      </c>
    </row>
    <row r="602" spans="1:9" x14ac:dyDescent="0.25">
      <c r="A602" t="s">
        <v>194</v>
      </c>
      <c r="B602" s="6">
        <f t="shared" si="70"/>
        <v>5.6568333333333332</v>
      </c>
      <c r="C602" s="3">
        <f t="shared" si="71"/>
        <v>101</v>
      </c>
      <c r="D602" s="3" t="str">
        <f t="shared" si="65"/>
        <v/>
      </c>
      <c r="E602" s="3">
        <f t="shared" si="66"/>
        <v>154</v>
      </c>
      <c r="F602" s="5" t="str">
        <f>IF(C602=0,"Broadcast",IF(D602="",IF(E602="","",IF(E602&lt;128,"Verbind "&amp;E602,INDEX(KdoCodeTab,MATCH(E602,KdoWertTab,0)))),"StatusAbfr "&amp;D602))</f>
        <v>MarkWdh</v>
      </c>
      <c r="G602" t="str">
        <f t="shared" si="67"/>
        <v>MarkWdh</v>
      </c>
      <c r="H602" t="str">
        <f t="shared" si="68"/>
        <v/>
      </c>
      <c r="I602" t="str">
        <f t="shared" si="69"/>
        <v/>
      </c>
    </row>
    <row r="603" spans="1:9" x14ac:dyDescent="0.25">
      <c r="A603" t="s">
        <v>195</v>
      </c>
      <c r="B603" s="6">
        <f t="shared" si="70"/>
        <v>5.6710000000000003</v>
      </c>
      <c r="C603" s="3">
        <f t="shared" si="71"/>
        <v>31</v>
      </c>
      <c r="D603" s="3" t="str">
        <f t="shared" si="65"/>
        <v/>
      </c>
      <c r="E603" s="3">
        <f t="shared" si="66"/>
        <v>154</v>
      </c>
      <c r="F603" s="5" t="str">
        <f>IF(C603=0,"Broadcast",IF(D603="",IF(E603="","",IF(E603&lt;128,"Verbind "&amp;E603,INDEX(KdoCodeTab,MATCH(E603,KdoWertTab,0)))),"StatusAbfr "&amp;D603))</f>
        <v>MarkWdh</v>
      </c>
      <c r="G603" t="str">
        <f t="shared" si="67"/>
        <v/>
      </c>
      <c r="H603" t="str">
        <f t="shared" si="68"/>
        <v>MarkWdh</v>
      </c>
      <c r="I603" t="str">
        <f t="shared" si="69"/>
        <v/>
      </c>
    </row>
    <row r="604" spans="1:9" x14ac:dyDescent="0.25">
      <c r="A604" t="s">
        <v>196</v>
      </c>
      <c r="B604" s="6">
        <f t="shared" si="70"/>
        <v>5.7266666666666666</v>
      </c>
      <c r="C604" s="3">
        <f t="shared" si="71"/>
        <v>101</v>
      </c>
      <c r="D604" s="3" t="str">
        <f t="shared" si="65"/>
        <v/>
      </c>
      <c r="E604" s="3">
        <f t="shared" si="66"/>
        <v>147</v>
      </c>
      <c r="F604" s="5" t="str">
        <f>IF(C604=0,"Broadcast",IF(D604="",IF(E604="","",IF(E604&lt;128,"Verbind "&amp;E604,INDEX(KdoCodeTab,MATCH(E604,KdoWertTab,0)))),"StatusAbfr "&amp;D604))</f>
        <v>Space</v>
      </c>
      <c r="G604" t="str">
        <f t="shared" si="67"/>
        <v>Space</v>
      </c>
      <c r="H604" t="str">
        <f t="shared" si="68"/>
        <v/>
      </c>
      <c r="I604" t="str">
        <f t="shared" si="69"/>
        <v/>
      </c>
    </row>
    <row r="605" spans="1:9" x14ac:dyDescent="0.25">
      <c r="A605" t="s">
        <v>197</v>
      </c>
      <c r="B605" s="6">
        <f t="shared" si="70"/>
        <v>5.7275</v>
      </c>
      <c r="C605" s="3">
        <f t="shared" si="71"/>
        <v>101</v>
      </c>
      <c r="D605" s="3" t="str">
        <f t="shared" si="65"/>
        <v/>
      </c>
      <c r="E605" s="3">
        <f t="shared" si="66"/>
        <v>150</v>
      </c>
      <c r="F605" s="5" t="str">
        <f>IF(C605=0,"Broadcast",IF(D605="",IF(E605="","",IF(E605&lt;128,"Verbind "&amp;E605,INDEX(KdoCodeTab,MATCH(E605,KdoWertTab,0)))),"StatusAbfr "&amp;D605))</f>
        <v>SpaceWdh</v>
      </c>
      <c r="G605" t="str">
        <f t="shared" si="67"/>
        <v>SpaceWdh</v>
      </c>
      <c r="H605" t="str">
        <f t="shared" si="68"/>
        <v/>
      </c>
      <c r="I605" t="str">
        <f t="shared" si="69"/>
        <v/>
      </c>
    </row>
    <row r="606" spans="1:9" x14ac:dyDescent="0.25">
      <c r="A606" t="s">
        <v>198</v>
      </c>
      <c r="B606" s="6">
        <f t="shared" si="70"/>
        <v>5.7661666666666669</v>
      </c>
      <c r="C606" s="3">
        <f t="shared" si="71"/>
        <v>101</v>
      </c>
      <c r="D606" s="3" t="str">
        <f t="shared" si="65"/>
        <v/>
      </c>
      <c r="E606" s="3">
        <f t="shared" si="66"/>
        <v>156</v>
      </c>
      <c r="F606" s="5" t="str">
        <f>IF(C606=0,"Broadcast",IF(D606="",IF(E606="","",IF(E606&lt;128,"Verbind "&amp;E606,INDEX(KdoCodeTab,MATCH(E606,KdoWertTab,0)))),"StatusAbfr "&amp;D606))</f>
        <v>Mark</v>
      </c>
      <c r="G606" t="str">
        <f t="shared" si="67"/>
        <v>Mark</v>
      </c>
      <c r="H606" t="str">
        <f t="shared" si="68"/>
        <v/>
      </c>
      <c r="I606" t="str">
        <f t="shared" si="69"/>
        <v/>
      </c>
    </row>
    <row r="607" spans="1:9" x14ac:dyDescent="0.25">
      <c r="A607" t="s">
        <v>199</v>
      </c>
      <c r="B607" s="6">
        <f t="shared" si="70"/>
        <v>5.7670000000000003</v>
      </c>
      <c r="C607" s="3">
        <f t="shared" si="71"/>
        <v>101</v>
      </c>
      <c r="D607" s="3" t="str">
        <f t="shared" si="65"/>
        <v/>
      </c>
      <c r="E607" s="3">
        <f t="shared" si="66"/>
        <v>154</v>
      </c>
      <c r="F607" s="5" t="str">
        <f>IF(C607=0,"Broadcast",IF(D607="",IF(E607="","",IF(E607&lt;128,"Verbind "&amp;E607,INDEX(KdoCodeTab,MATCH(E607,KdoWertTab,0)))),"StatusAbfr "&amp;D607))</f>
        <v>MarkWdh</v>
      </c>
      <c r="G607" t="str">
        <f t="shared" si="67"/>
        <v>MarkWdh</v>
      </c>
      <c r="H607" t="str">
        <f t="shared" si="68"/>
        <v/>
      </c>
      <c r="I607" t="str">
        <f t="shared" si="69"/>
        <v/>
      </c>
    </row>
    <row r="608" spans="1:9" x14ac:dyDescent="0.25">
      <c r="A608" t="s">
        <v>200</v>
      </c>
      <c r="B608" s="6">
        <f t="shared" si="70"/>
        <v>5.7863333333333333</v>
      </c>
      <c r="C608" s="3">
        <f t="shared" si="71"/>
        <v>101</v>
      </c>
      <c r="D608" s="3" t="str">
        <f t="shared" si="65"/>
        <v/>
      </c>
      <c r="E608" s="3">
        <f t="shared" si="66"/>
        <v>147</v>
      </c>
      <c r="F608" s="5" t="str">
        <f>IF(C608=0,"Broadcast",IF(D608="",IF(E608="","",IF(E608&lt;128,"Verbind "&amp;E608,INDEX(KdoCodeTab,MATCH(E608,KdoWertTab,0)))),"StatusAbfr "&amp;D608))</f>
        <v>Space</v>
      </c>
      <c r="G608" t="str">
        <f t="shared" si="67"/>
        <v>Space</v>
      </c>
      <c r="H608" t="str">
        <f t="shared" si="68"/>
        <v/>
      </c>
      <c r="I608" t="str">
        <f t="shared" si="69"/>
        <v/>
      </c>
    </row>
    <row r="609" spans="1:9" x14ac:dyDescent="0.25">
      <c r="A609" t="s">
        <v>201</v>
      </c>
      <c r="B609" s="6">
        <f t="shared" si="70"/>
        <v>5.7871666666666668</v>
      </c>
      <c r="C609" s="3">
        <f t="shared" si="71"/>
        <v>101</v>
      </c>
      <c r="D609" s="3" t="str">
        <f t="shared" si="65"/>
        <v/>
      </c>
      <c r="E609" s="3">
        <f t="shared" si="66"/>
        <v>150</v>
      </c>
      <c r="F609" s="5" t="str">
        <f>IF(C609=0,"Broadcast",IF(D609="",IF(E609="","",IF(E609&lt;128,"Verbind "&amp;E609,INDEX(KdoCodeTab,MATCH(E609,KdoWertTab,0)))),"StatusAbfr "&amp;D609))</f>
        <v>SpaceWdh</v>
      </c>
      <c r="G609" t="str">
        <f t="shared" si="67"/>
        <v>SpaceWdh</v>
      </c>
      <c r="H609" t="str">
        <f t="shared" si="68"/>
        <v/>
      </c>
      <c r="I609" t="str">
        <f t="shared" si="69"/>
        <v/>
      </c>
    </row>
    <row r="610" spans="1:9" x14ac:dyDescent="0.25">
      <c r="A610" t="s">
        <v>202</v>
      </c>
      <c r="B610" s="6">
        <f t="shared" si="70"/>
        <v>5.8470000000000004</v>
      </c>
      <c r="C610" s="3">
        <f t="shared" si="71"/>
        <v>101</v>
      </c>
      <c r="D610" s="3" t="str">
        <f t="shared" si="65"/>
        <v/>
      </c>
      <c r="E610" s="3">
        <f t="shared" si="66"/>
        <v>156</v>
      </c>
      <c r="F610" s="5" t="str">
        <f>IF(C610=0,"Broadcast",IF(D610="",IF(E610="","",IF(E610&lt;128,"Verbind "&amp;E610,INDEX(KdoCodeTab,MATCH(E610,KdoWertTab,0)))),"StatusAbfr "&amp;D610))</f>
        <v>Mark</v>
      </c>
      <c r="G610" t="str">
        <f t="shared" si="67"/>
        <v>Mark</v>
      </c>
      <c r="H610" t="str">
        <f t="shared" si="68"/>
        <v/>
      </c>
      <c r="I610" t="str">
        <f t="shared" si="69"/>
        <v/>
      </c>
    </row>
    <row r="611" spans="1:9" x14ac:dyDescent="0.25">
      <c r="A611" t="s">
        <v>203</v>
      </c>
      <c r="B611" s="6">
        <f t="shared" si="70"/>
        <v>5.8478333333333339</v>
      </c>
      <c r="C611" s="3">
        <f t="shared" si="71"/>
        <v>101</v>
      </c>
      <c r="D611" s="3" t="str">
        <f t="shared" si="65"/>
        <v/>
      </c>
      <c r="E611" s="3">
        <f t="shared" si="66"/>
        <v>154</v>
      </c>
      <c r="F611" s="5" t="str">
        <f>IF(C611=0,"Broadcast",IF(D611="",IF(E611="","",IF(E611&lt;128,"Verbind "&amp;E611,INDEX(KdoCodeTab,MATCH(E611,KdoWertTab,0)))),"StatusAbfr "&amp;D611))</f>
        <v>MarkWdh</v>
      </c>
      <c r="G611" t="str">
        <f t="shared" si="67"/>
        <v>MarkWdh</v>
      </c>
      <c r="H611" t="str">
        <f t="shared" si="68"/>
        <v/>
      </c>
      <c r="I611" t="str">
        <f t="shared" si="69"/>
        <v/>
      </c>
    </row>
    <row r="612" spans="1:9" x14ac:dyDescent="0.25">
      <c r="A612" t="s">
        <v>204</v>
      </c>
      <c r="B612" s="6">
        <f t="shared" si="70"/>
        <v>5.894166666666667</v>
      </c>
      <c r="C612" s="3">
        <f t="shared" si="71"/>
        <v>101</v>
      </c>
      <c r="D612" s="3" t="str">
        <f t="shared" si="65"/>
        <v/>
      </c>
      <c r="E612" s="3">
        <f t="shared" si="66"/>
        <v>169</v>
      </c>
      <c r="F612" s="5" t="str">
        <f>IF(C612=0,"Broadcast",IF(D612="",IF(E612="","",IF(E612&lt;128,"Verbind "&amp;E612,INDEX(KdoCodeTab,MATCH(E612,KdoWertTab,0)))),"StatusAbfr "&amp;D612))</f>
        <v>BusLebenszeichen</v>
      </c>
      <c r="G612" t="str">
        <f t="shared" si="67"/>
        <v>BusLebenszeichen</v>
      </c>
      <c r="H612" t="str">
        <f t="shared" si="68"/>
        <v/>
      </c>
      <c r="I612" t="str">
        <f t="shared" si="69"/>
        <v/>
      </c>
    </row>
    <row r="613" spans="1:9" x14ac:dyDescent="0.25">
      <c r="A613" t="s">
        <v>205</v>
      </c>
      <c r="B613" s="6">
        <f t="shared" si="70"/>
        <v>6.1479999999999997</v>
      </c>
      <c r="C613" s="3">
        <f t="shared" si="71"/>
        <v>101</v>
      </c>
      <c r="D613" s="3" t="str">
        <f t="shared" si="65"/>
        <v/>
      </c>
      <c r="E613" s="3">
        <f t="shared" si="66"/>
        <v>147</v>
      </c>
      <c r="F613" s="5" t="str">
        <f>IF(C613=0,"Broadcast",IF(D613="",IF(E613="","",IF(E613&lt;128,"Verbind "&amp;E613,INDEX(KdoCodeTab,MATCH(E613,KdoWertTab,0)))),"StatusAbfr "&amp;D613))</f>
        <v>Space</v>
      </c>
      <c r="G613" t="str">
        <f t="shared" si="67"/>
        <v>Space</v>
      </c>
      <c r="H613" t="str">
        <f t="shared" si="68"/>
        <v/>
      </c>
      <c r="I613" t="str">
        <f t="shared" si="69"/>
        <v/>
      </c>
    </row>
    <row r="614" spans="1:9" x14ac:dyDescent="0.25">
      <c r="A614" t="s">
        <v>206</v>
      </c>
      <c r="B614" s="6">
        <f t="shared" si="70"/>
        <v>6.1488333333333332</v>
      </c>
      <c r="C614" s="3">
        <f t="shared" si="71"/>
        <v>101</v>
      </c>
      <c r="D614" s="3" t="str">
        <f t="shared" si="65"/>
        <v/>
      </c>
      <c r="E614" s="3">
        <f t="shared" si="66"/>
        <v>150</v>
      </c>
      <c r="F614" s="5" t="str">
        <f>IF(C614=0,"Broadcast",IF(D614="",IF(E614="","",IF(E614&lt;128,"Verbind "&amp;E614,INDEX(KdoCodeTab,MATCH(E614,KdoWertTab,0)))),"StatusAbfr "&amp;D614))</f>
        <v>SpaceWdh</v>
      </c>
      <c r="G614" t="str">
        <f t="shared" si="67"/>
        <v>SpaceWdh</v>
      </c>
      <c r="H614" t="str">
        <f t="shared" si="68"/>
        <v/>
      </c>
      <c r="I614" t="str">
        <f t="shared" si="69"/>
        <v/>
      </c>
    </row>
    <row r="615" spans="1:9" x14ac:dyDescent="0.25">
      <c r="A615" t="s">
        <v>207</v>
      </c>
      <c r="B615" s="6">
        <f t="shared" si="70"/>
        <v>6.1769999999999996</v>
      </c>
      <c r="C615" s="3">
        <f t="shared" si="71"/>
        <v>31</v>
      </c>
      <c r="D615" s="3" t="str">
        <f t="shared" si="65"/>
        <v/>
      </c>
      <c r="E615" s="3">
        <f t="shared" si="66"/>
        <v>154</v>
      </c>
      <c r="F615" s="5" t="str">
        <f>IF(C615=0,"Broadcast",IF(D615="",IF(E615="","",IF(E615&lt;128,"Verbind "&amp;E615,INDEX(KdoCodeTab,MATCH(E615,KdoWertTab,0)))),"StatusAbfr "&amp;D615))</f>
        <v>MarkWdh</v>
      </c>
      <c r="G615" t="str">
        <f t="shared" si="67"/>
        <v/>
      </c>
      <c r="H615" t="str">
        <f t="shared" si="68"/>
        <v>MarkWdh</v>
      </c>
      <c r="I615" t="str">
        <f t="shared" si="69"/>
        <v/>
      </c>
    </row>
    <row r="616" spans="1:9" x14ac:dyDescent="0.25">
      <c r="A616" t="s">
        <v>208</v>
      </c>
      <c r="B616" s="6">
        <f t="shared" si="70"/>
        <v>6.2084999999999999</v>
      </c>
      <c r="C616" s="3">
        <f t="shared" si="71"/>
        <v>101</v>
      </c>
      <c r="D616" s="3" t="str">
        <f t="shared" si="65"/>
        <v/>
      </c>
      <c r="E616" s="3">
        <f t="shared" si="66"/>
        <v>156</v>
      </c>
      <c r="F616" s="5" t="str">
        <f>IF(C616=0,"Broadcast",IF(D616="",IF(E616="","",IF(E616&lt;128,"Verbind "&amp;E616,INDEX(KdoCodeTab,MATCH(E616,KdoWertTab,0)))),"StatusAbfr "&amp;D616))</f>
        <v>Mark</v>
      </c>
      <c r="G616" t="str">
        <f t="shared" si="67"/>
        <v>Mark</v>
      </c>
      <c r="H616" t="str">
        <f t="shared" si="68"/>
        <v/>
      </c>
      <c r="I616" t="str">
        <f t="shared" si="69"/>
        <v/>
      </c>
    </row>
    <row r="617" spans="1:9" x14ac:dyDescent="0.25">
      <c r="A617" t="s">
        <v>209</v>
      </c>
      <c r="B617" s="6">
        <f t="shared" si="70"/>
        <v>6.2094999999999994</v>
      </c>
      <c r="C617" s="3">
        <f t="shared" si="71"/>
        <v>101</v>
      </c>
      <c r="D617" s="3" t="str">
        <f t="shared" si="65"/>
        <v/>
      </c>
      <c r="E617" s="3">
        <f t="shared" si="66"/>
        <v>154</v>
      </c>
      <c r="F617" s="5" t="str">
        <f>IF(C617=0,"Broadcast",IF(D617="",IF(E617="","",IF(E617&lt;128,"Verbind "&amp;E617,INDEX(KdoCodeTab,MATCH(E617,KdoWertTab,0)))),"StatusAbfr "&amp;D617))</f>
        <v>MarkWdh</v>
      </c>
      <c r="G617" t="str">
        <f t="shared" si="67"/>
        <v>MarkWdh</v>
      </c>
      <c r="H617" t="str">
        <f t="shared" si="68"/>
        <v/>
      </c>
      <c r="I617" t="str">
        <f t="shared" si="69"/>
        <v/>
      </c>
    </row>
    <row r="618" spans="1:9" x14ac:dyDescent="0.25">
      <c r="A618" t="s">
        <v>210</v>
      </c>
      <c r="B618" s="6">
        <f t="shared" si="70"/>
        <v>6.2288333333333332</v>
      </c>
      <c r="C618" s="3">
        <f t="shared" si="71"/>
        <v>101</v>
      </c>
      <c r="D618" s="3" t="str">
        <f t="shared" si="65"/>
        <v/>
      </c>
      <c r="E618" s="3">
        <f t="shared" si="66"/>
        <v>147</v>
      </c>
      <c r="F618" s="5" t="str">
        <f>IF(C618=0,"Broadcast",IF(D618="",IF(E618="","",IF(E618&lt;128,"Verbind "&amp;E618,INDEX(KdoCodeTab,MATCH(E618,KdoWertTab,0)))),"StatusAbfr "&amp;D618))</f>
        <v>Space</v>
      </c>
      <c r="G618" t="str">
        <f t="shared" si="67"/>
        <v>Space</v>
      </c>
      <c r="H618" t="str">
        <f t="shared" si="68"/>
        <v/>
      </c>
      <c r="I618" t="str">
        <f t="shared" si="69"/>
        <v/>
      </c>
    </row>
    <row r="619" spans="1:9" x14ac:dyDescent="0.25">
      <c r="A619" t="s">
        <v>211</v>
      </c>
      <c r="B619" s="6">
        <f t="shared" si="70"/>
        <v>6.2298333333333336</v>
      </c>
      <c r="C619" s="3">
        <f t="shared" si="71"/>
        <v>101</v>
      </c>
      <c r="D619" s="3" t="str">
        <f t="shared" si="65"/>
        <v/>
      </c>
      <c r="E619" s="3">
        <f t="shared" si="66"/>
        <v>150</v>
      </c>
      <c r="F619" s="5" t="str">
        <f>IF(C619=0,"Broadcast",IF(D619="",IF(E619="","",IF(E619&lt;128,"Verbind "&amp;E619,INDEX(KdoCodeTab,MATCH(E619,KdoWertTab,0)))),"StatusAbfr "&amp;D619))</f>
        <v>SpaceWdh</v>
      </c>
      <c r="G619" t="str">
        <f t="shared" si="67"/>
        <v>SpaceWdh</v>
      </c>
      <c r="H619" t="str">
        <f t="shared" si="68"/>
        <v/>
      </c>
      <c r="I619" t="str">
        <f t="shared" si="69"/>
        <v/>
      </c>
    </row>
    <row r="620" spans="1:9" x14ac:dyDescent="0.25">
      <c r="A620" t="s">
        <v>212</v>
      </c>
      <c r="B620" s="6">
        <f t="shared" si="70"/>
        <v>6.2480000000000002</v>
      </c>
      <c r="C620" s="3">
        <f t="shared" si="71"/>
        <v>101</v>
      </c>
      <c r="D620" s="3" t="str">
        <f t="shared" si="65"/>
        <v/>
      </c>
      <c r="E620" s="3">
        <f t="shared" si="66"/>
        <v>156</v>
      </c>
      <c r="F620" s="5" t="str">
        <f>IF(C620=0,"Broadcast",IF(D620="",IF(E620="","",IF(E620&lt;128,"Verbind "&amp;E620,INDEX(KdoCodeTab,MATCH(E620,KdoWertTab,0)))),"StatusAbfr "&amp;D620))</f>
        <v>Mark</v>
      </c>
      <c r="G620" t="str">
        <f t="shared" si="67"/>
        <v>Mark</v>
      </c>
      <c r="H620" t="str">
        <f t="shared" si="68"/>
        <v/>
      </c>
      <c r="I620" t="str">
        <f t="shared" si="69"/>
        <v/>
      </c>
    </row>
    <row r="621" spans="1:9" x14ac:dyDescent="0.25">
      <c r="A621" t="s">
        <v>213</v>
      </c>
      <c r="B621" s="6">
        <f t="shared" si="70"/>
        <v>6.2488333333333337</v>
      </c>
      <c r="C621" s="3">
        <f t="shared" si="71"/>
        <v>101</v>
      </c>
      <c r="D621" s="3" t="str">
        <f t="shared" si="65"/>
        <v/>
      </c>
      <c r="E621" s="3">
        <f t="shared" si="66"/>
        <v>154</v>
      </c>
      <c r="F621" s="5" t="str">
        <f>IF(C621=0,"Broadcast",IF(D621="",IF(E621="","",IF(E621&lt;128,"Verbind "&amp;E621,INDEX(KdoCodeTab,MATCH(E621,KdoWertTab,0)))),"StatusAbfr "&amp;D621))</f>
        <v>MarkWdh</v>
      </c>
      <c r="G621" t="str">
        <f t="shared" si="67"/>
        <v>MarkWdh</v>
      </c>
      <c r="H621" t="str">
        <f t="shared" si="68"/>
        <v/>
      </c>
      <c r="I621" t="str">
        <f t="shared" si="69"/>
        <v/>
      </c>
    </row>
    <row r="622" spans="1:9" x14ac:dyDescent="0.25">
      <c r="A622" t="s">
        <v>214</v>
      </c>
      <c r="B622" s="6">
        <f t="shared" si="70"/>
        <v>6.3550000000000004</v>
      </c>
      <c r="C622" s="3">
        <f t="shared" si="71"/>
        <v>101</v>
      </c>
      <c r="D622" s="3" t="str">
        <f t="shared" si="65"/>
        <v/>
      </c>
      <c r="E622" s="3">
        <f t="shared" si="66"/>
        <v>147</v>
      </c>
      <c r="F622" s="5" t="str">
        <f>IF(C622=0,"Broadcast",IF(D622="",IF(E622="","",IF(E622&lt;128,"Verbind "&amp;E622,INDEX(KdoCodeTab,MATCH(E622,KdoWertTab,0)))),"StatusAbfr "&amp;D622))</f>
        <v>Space</v>
      </c>
      <c r="G622" t="str">
        <f t="shared" si="67"/>
        <v>Space</v>
      </c>
      <c r="H622" t="str">
        <f t="shared" si="68"/>
        <v/>
      </c>
      <c r="I622" t="str">
        <f t="shared" si="69"/>
        <v/>
      </c>
    </row>
    <row r="623" spans="1:9" x14ac:dyDescent="0.25">
      <c r="A623" t="s">
        <v>215</v>
      </c>
      <c r="B623" s="6">
        <f t="shared" si="70"/>
        <v>6.3563333333333336</v>
      </c>
      <c r="C623" s="3">
        <f t="shared" si="71"/>
        <v>101</v>
      </c>
      <c r="D623" s="3" t="str">
        <f t="shared" si="65"/>
        <v/>
      </c>
      <c r="E623" s="3">
        <f t="shared" si="66"/>
        <v>150</v>
      </c>
      <c r="F623" s="5" t="str">
        <f>IF(C623=0,"Broadcast",IF(D623="",IF(E623="","",IF(E623&lt;128,"Verbind "&amp;E623,INDEX(KdoCodeTab,MATCH(E623,KdoWertTab,0)))),"StatusAbfr "&amp;D623))</f>
        <v>SpaceWdh</v>
      </c>
      <c r="G623" t="str">
        <f t="shared" si="67"/>
        <v>SpaceWdh</v>
      </c>
      <c r="H623" t="str">
        <f t="shared" si="68"/>
        <v/>
      </c>
      <c r="I623" t="str">
        <f t="shared" si="69"/>
        <v/>
      </c>
    </row>
    <row r="624" spans="1:9" x14ac:dyDescent="0.25">
      <c r="A624" t="s">
        <v>216</v>
      </c>
      <c r="B624" s="6">
        <f t="shared" si="70"/>
        <v>6.3751666666666669</v>
      </c>
      <c r="C624" s="3">
        <f t="shared" si="71"/>
        <v>101</v>
      </c>
      <c r="D624" s="3" t="str">
        <f t="shared" si="65"/>
        <v/>
      </c>
      <c r="E624" s="3">
        <f t="shared" si="66"/>
        <v>156</v>
      </c>
      <c r="F624" s="5" t="str">
        <f>IF(C624=0,"Broadcast",IF(D624="",IF(E624="","",IF(E624&lt;128,"Verbind "&amp;E624,INDEX(KdoCodeTab,MATCH(E624,KdoWertTab,0)))),"StatusAbfr "&amp;D624))</f>
        <v>Mark</v>
      </c>
      <c r="G624" t="str">
        <f t="shared" si="67"/>
        <v>Mark</v>
      </c>
      <c r="H624" t="str">
        <f t="shared" si="68"/>
        <v/>
      </c>
      <c r="I624" t="str">
        <f t="shared" si="69"/>
        <v/>
      </c>
    </row>
    <row r="625" spans="1:9" x14ac:dyDescent="0.25">
      <c r="A625" t="s">
        <v>217</v>
      </c>
      <c r="B625" s="6">
        <f t="shared" si="70"/>
        <v>6.3761666666666672</v>
      </c>
      <c r="C625" s="3">
        <f t="shared" si="71"/>
        <v>101</v>
      </c>
      <c r="D625" s="3" t="str">
        <f t="shared" si="65"/>
        <v/>
      </c>
      <c r="E625" s="3">
        <f t="shared" si="66"/>
        <v>154</v>
      </c>
      <c r="F625" s="5" t="str">
        <f>IF(C625=0,"Broadcast",IF(D625="",IF(E625="","",IF(E625&lt;128,"Verbind "&amp;E625,INDEX(KdoCodeTab,MATCH(E625,KdoWertTab,0)))),"StatusAbfr "&amp;D625))</f>
        <v>MarkWdh</v>
      </c>
      <c r="G625" t="str">
        <f t="shared" si="67"/>
        <v>MarkWdh</v>
      </c>
      <c r="H625" t="str">
        <f t="shared" si="68"/>
        <v/>
      </c>
      <c r="I625" t="str">
        <f t="shared" si="69"/>
        <v/>
      </c>
    </row>
    <row r="626" spans="1:9" x14ac:dyDescent="0.25">
      <c r="A626" t="s">
        <v>218</v>
      </c>
      <c r="B626" s="6">
        <f t="shared" si="70"/>
        <v>6.4156666666666666</v>
      </c>
      <c r="C626" s="3">
        <f t="shared" si="71"/>
        <v>101</v>
      </c>
      <c r="D626" s="3" t="str">
        <f t="shared" si="65"/>
        <v/>
      </c>
      <c r="E626" s="3">
        <f t="shared" si="66"/>
        <v>147</v>
      </c>
      <c r="F626" s="5" t="str">
        <f>IF(C626=0,"Broadcast",IF(D626="",IF(E626="","",IF(E626&lt;128,"Verbind "&amp;E626,INDEX(KdoCodeTab,MATCH(E626,KdoWertTab,0)))),"StatusAbfr "&amp;D626))</f>
        <v>Space</v>
      </c>
      <c r="G626" t="str">
        <f t="shared" si="67"/>
        <v>Space</v>
      </c>
      <c r="H626" t="str">
        <f t="shared" si="68"/>
        <v/>
      </c>
      <c r="I626" t="str">
        <f t="shared" si="69"/>
        <v/>
      </c>
    </row>
    <row r="627" spans="1:9" x14ac:dyDescent="0.25">
      <c r="A627" t="s">
        <v>219</v>
      </c>
      <c r="B627" s="6">
        <f t="shared" si="70"/>
        <v>6.4165000000000001</v>
      </c>
      <c r="C627" s="3">
        <f t="shared" si="71"/>
        <v>101</v>
      </c>
      <c r="D627" s="3" t="str">
        <f t="shared" si="65"/>
        <v/>
      </c>
      <c r="E627" s="3">
        <f t="shared" si="66"/>
        <v>150</v>
      </c>
      <c r="F627" s="5" t="str">
        <f>IF(C627=0,"Broadcast",IF(D627="",IF(E627="","",IF(E627&lt;128,"Verbind "&amp;E627,INDEX(KdoCodeTab,MATCH(E627,KdoWertTab,0)))),"StatusAbfr "&amp;D627))</f>
        <v>SpaceWdh</v>
      </c>
      <c r="G627" t="str">
        <f t="shared" si="67"/>
        <v>SpaceWdh</v>
      </c>
      <c r="H627" t="str">
        <f t="shared" si="68"/>
        <v/>
      </c>
      <c r="I627" t="str">
        <f t="shared" si="69"/>
        <v/>
      </c>
    </row>
    <row r="628" spans="1:9" x14ac:dyDescent="0.25">
      <c r="A628" t="s">
        <v>220</v>
      </c>
      <c r="B628" s="6">
        <f t="shared" si="70"/>
        <v>6.4763333333333337</v>
      </c>
      <c r="C628" s="3">
        <f t="shared" si="71"/>
        <v>101</v>
      </c>
      <c r="D628" s="3" t="str">
        <f t="shared" si="65"/>
        <v/>
      </c>
      <c r="E628" s="3">
        <f t="shared" si="66"/>
        <v>156</v>
      </c>
      <c r="F628" s="5" t="str">
        <f>IF(C628=0,"Broadcast",IF(D628="",IF(E628="","",IF(E628&lt;128,"Verbind "&amp;E628,INDEX(KdoCodeTab,MATCH(E628,KdoWertTab,0)))),"StatusAbfr "&amp;D628))</f>
        <v>Mark</v>
      </c>
      <c r="G628" t="str">
        <f t="shared" si="67"/>
        <v>Mark</v>
      </c>
      <c r="H628" t="str">
        <f t="shared" si="68"/>
        <v/>
      </c>
      <c r="I628" t="str">
        <f t="shared" si="69"/>
        <v/>
      </c>
    </row>
    <row r="629" spans="1:9" x14ac:dyDescent="0.25">
      <c r="A629" t="s">
        <v>221</v>
      </c>
      <c r="B629" s="6">
        <f t="shared" si="70"/>
        <v>6.4771666666666672</v>
      </c>
      <c r="C629" s="3">
        <f t="shared" si="71"/>
        <v>101</v>
      </c>
      <c r="D629" s="3" t="str">
        <f t="shared" si="65"/>
        <v/>
      </c>
      <c r="E629" s="3">
        <f t="shared" si="66"/>
        <v>154</v>
      </c>
      <c r="F629" s="5" t="str">
        <f>IF(C629=0,"Broadcast",IF(D629="",IF(E629="","",IF(E629&lt;128,"Verbind "&amp;E629,INDEX(KdoCodeTab,MATCH(E629,KdoWertTab,0)))),"StatusAbfr "&amp;D629))</f>
        <v>MarkWdh</v>
      </c>
      <c r="G629" t="str">
        <f t="shared" si="67"/>
        <v>MarkWdh</v>
      </c>
      <c r="H629" t="str">
        <f t="shared" si="68"/>
        <v/>
      </c>
      <c r="I629" t="str">
        <f t="shared" si="69"/>
        <v/>
      </c>
    </row>
    <row r="630" spans="1:9" x14ac:dyDescent="0.25">
      <c r="A630" t="s">
        <v>222</v>
      </c>
      <c r="B630" s="6">
        <f t="shared" si="70"/>
        <v>6.570333333333334</v>
      </c>
      <c r="C630" s="3">
        <f t="shared" si="71"/>
        <v>101</v>
      </c>
      <c r="D630" s="3" t="str">
        <f t="shared" si="65"/>
        <v/>
      </c>
      <c r="E630" s="3">
        <f t="shared" si="66"/>
        <v>147</v>
      </c>
      <c r="F630" s="5" t="str">
        <f>IF(C630=0,"Broadcast",IF(D630="",IF(E630="","",IF(E630&lt;128,"Verbind "&amp;E630,INDEX(KdoCodeTab,MATCH(E630,KdoWertTab,0)))),"StatusAbfr "&amp;D630))</f>
        <v>Space</v>
      </c>
      <c r="G630" t="str">
        <f t="shared" si="67"/>
        <v>Space</v>
      </c>
      <c r="H630" t="str">
        <f t="shared" si="68"/>
        <v/>
      </c>
      <c r="I630" t="str">
        <f t="shared" si="69"/>
        <v/>
      </c>
    </row>
    <row r="631" spans="1:9" x14ac:dyDescent="0.25">
      <c r="A631" t="s">
        <v>223</v>
      </c>
      <c r="B631" s="6">
        <f t="shared" si="70"/>
        <v>6.5711666666666666</v>
      </c>
      <c r="C631" s="3">
        <f t="shared" si="71"/>
        <v>101</v>
      </c>
      <c r="D631" s="3" t="str">
        <f t="shared" si="65"/>
        <v/>
      </c>
      <c r="E631" s="3">
        <f t="shared" si="66"/>
        <v>150</v>
      </c>
      <c r="F631" s="5" t="str">
        <f>IF(C631=0,"Broadcast",IF(D631="",IF(E631="","",IF(E631&lt;128,"Verbind "&amp;E631,INDEX(KdoCodeTab,MATCH(E631,KdoWertTab,0)))),"StatusAbfr "&amp;D631))</f>
        <v>SpaceWdh</v>
      </c>
      <c r="G631" t="str">
        <f t="shared" si="67"/>
        <v>SpaceWdh</v>
      </c>
      <c r="H631" t="str">
        <f t="shared" si="68"/>
        <v/>
      </c>
      <c r="I631" t="str">
        <f t="shared" si="69"/>
        <v/>
      </c>
    </row>
    <row r="632" spans="1:9" x14ac:dyDescent="0.25">
      <c r="A632" t="s">
        <v>224</v>
      </c>
      <c r="B632" s="6">
        <f t="shared" si="70"/>
        <v>6.5761666666666665</v>
      </c>
      <c r="C632" s="3">
        <f t="shared" si="71"/>
        <v>101</v>
      </c>
      <c r="D632" s="3" t="str">
        <f t="shared" si="65"/>
        <v/>
      </c>
      <c r="E632" s="3">
        <f t="shared" si="66"/>
        <v>169</v>
      </c>
      <c r="F632" s="5" t="str">
        <f>IF(C632=0,"Broadcast",IF(D632="",IF(E632="","",IF(E632&lt;128,"Verbind "&amp;E632,INDEX(KdoCodeTab,MATCH(E632,KdoWertTab,0)))),"StatusAbfr "&amp;D632))</f>
        <v>BusLebenszeichen</v>
      </c>
      <c r="G632" t="str">
        <f t="shared" si="67"/>
        <v>BusLebenszeichen</v>
      </c>
      <c r="H632" t="str">
        <f t="shared" si="68"/>
        <v/>
      </c>
      <c r="I632" t="str">
        <f t="shared" si="69"/>
        <v/>
      </c>
    </row>
    <row r="633" spans="1:9" x14ac:dyDescent="0.25">
      <c r="A633" t="s">
        <v>225</v>
      </c>
      <c r="B633" s="6">
        <f t="shared" si="70"/>
        <v>6.6106666666666669</v>
      </c>
      <c r="C633" s="3">
        <f t="shared" si="71"/>
        <v>101</v>
      </c>
      <c r="D633" s="3" t="str">
        <f t="shared" si="65"/>
        <v/>
      </c>
      <c r="E633" s="3">
        <f t="shared" si="66"/>
        <v>156</v>
      </c>
      <c r="F633" s="5" t="str">
        <f>IF(C633=0,"Broadcast",IF(D633="",IF(E633="","",IF(E633&lt;128,"Verbind "&amp;E633,INDEX(KdoCodeTab,MATCH(E633,KdoWertTab,0)))),"StatusAbfr "&amp;D633))</f>
        <v>Mark</v>
      </c>
      <c r="G633" t="str">
        <f t="shared" si="67"/>
        <v>Mark</v>
      </c>
      <c r="H633" t="str">
        <f t="shared" si="68"/>
        <v/>
      </c>
      <c r="I633" t="str">
        <f t="shared" si="69"/>
        <v/>
      </c>
    </row>
    <row r="634" spans="1:9" x14ac:dyDescent="0.25">
      <c r="A634" t="s">
        <v>226</v>
      </c>
      <c r="B634" s="6">
        <f t="shared" si="70"/>
        <v>6.6116666666666664</v>
      </c>
      <c r="C634" s="3">
        <f t="shared" si="71"/>
        <v>101</v>
      </c>
      <c r="D634" s="3" t="str">
        <f t="shared" si="65"/>
        <v/>
      </c>
      <c r="E634" s="3">
        <f t="shared" si="66"/>
        <v>154</v>
      </c>
      <c r="F634" s="5" t="str">
        <f>IF(C634=0,"Broadcast",IF(D634="",IF(E634="","",IF(E634&lt;128,"Verbind "&amp;E634,INDEX(KdoCodeTab,MATCH(E634,KdoWertTab,0)))),"StatusAbfr "&amp;D634))</f>
        <v>MarkWdh</v>
      </c>
      <c r="G634" t="str">
        <f t="shared" si="67"/>
        <v>MarkWdh</v>
      </c>
      <c r="H634" t="str">
        <f t="shared" si="68"/>
        <v/>
      </c>
      <c r="I634" t="str">
        <f t="shared" si="69"/>
        <v/>
      </c>
    </row>
    <row r="635" spans="1:9" x14ac:dyDescent="0.25">
      <c r="A635" t="s">
        <v>227</v>
      </c>
      <c r="B635" s="6">
        <f t="shared" si="70"/>
        <v>6.629833333333333</v>
      </c>
      <c r="C635" s="3">
        <f t="shared" si="71"/>
        <v>101</v>
      </c>
      <c r="D635" s="3" t="str">
        <f t="shared" ref="D635:D698" si="72">IF(MID(A635,10,1)="&lt;",MID(A635,12,2),"")</f>
        <v/>
      </c>
      <c r="E635" s="3">
        <f t="shared" ref="E635:E698" si="73">IF(MID(A635,10,1)="&gt;",HEX2DEC(MID(A635,12,2)),"")</f>
        <v>147</v>
      </c>
      <c r="F635" s="5" t="str">
        <f>IF(C635=0,"Broadcast",IF(D635="",IF(E635="","",IF(E635&lt;128,"Verbind "&amp;E635,INDEX(KdoCodeTab,MATCH(E635,KdoWertTab,0)))),"StatusAbfr "&amp;D635))</f>
        <v>Space</v>
      </c>
      <c r="G635" t="str">
        <f t="shared" ref="G635:G698" si="74">IF(C635=$G$2,F635,"")</f>
        <v>Space</v>
      </c>
      <c r="H635" t="str">
        <f t="shared" ref="H635:H698" si="75">IF(C635=$H$2,F635,"")</f>
        <v/>
      </c>
      <c r="I635" t="str">
        <f t="shared" ref="I635:I698" si="76">IF(G635&amp;H635="",F635,"")</f>
        <v/>
      </c>
    </row>
    <row r="636" spans="1:9" x14ac:dyDescent="0.25">
      <c r="A636" t="s">
        <v>228</v>
      </c>
      <c r="B636" s="6">
        <f t="shared" si="70"/>
        <v>6.6306666666666665</v>
      </c>
      <c r="C636" s="3">
        <f t="shared" si="71"/>
        <v>101</v>
      </c>
      <c r="D636" s="3" t="str">
        <f t="shared" si="72"/>
        <v/>
      </c>
      <c r="E636" s="3">
        <f t="shared" si="73"/>
        <v>150</v>
      </c>
      <c r="F636" s="5" t="str">
        <f>IF(C636=0,"Broadcast",IF(D636="",IF(E636="","",IF(E636&lt;128,"Verbind "&amp;E636,INDEX(KdoCodeTab,MATCH(E636,KdoWertTab,0)))),"StatusAbfr "&amp;D636))</f>
        <v>SpaceWdh</v>
      </c>
      <c r="G636" t="str">
        <f t="shared" si="74"/>
        <v>SpaceWdh</v>
      </c>
      <c r="H636" t="str">
        <f t="shared" si="75"/>
        <v/>
      </c>
      <c r="I636" t="str">
        <f t="shared" si="76"/>
        <v/>
      </c>
    </row>
    <row r="637" spans="1:9" x14ac:dyDescent="0.25">
      <c r="A637" t="s">
        <v>229</v>
      </c>
      <c r="B637" s="6">
        <f t="shared" si="70"/>
        <v>6.6703333333333337</v>
      </c>
      <c r="C637" s="3">
        <f t="shared" si="71"/>
        <v>101</v>
      </c>
      <c r="D637" s="3" t="str">
        <f t="shared" si="72"/>
        <v/>
      </c>
      <c r="E637" s="3">
        <f t="shared" si="73"/>
        <v>156</v>
      </c>
      <c r="F637" s="5" t="str">
        <f>IF(C637=0,"Broadcast",IF(D637="",IF(E637="","",IF(E637&lt;128,"Verbind "&amp;E637,INDEX(KdoCodeTab,MATCH(E637,KdoWertTab,0)))),"StatusAbfr "&amp;D637))</f>
        <v>Mark</v>
      </c>
      <c r="G637" t="str">
        <f t="shared" si="74"/>
        <v>Mark</v>
      </c>
      <c r="H637" t="str">
        <f t="shared" si="75"/>
        <v/>
      </c>
      <c r="I637" t="str">
        <f t="shared" si="76"/>
        <v/>
      </c>
    </row>
    <row r="638" spans="1:9" x14ac:dyDescent="0.25">
      <c r="A638" t="s">
        <v>230</v>
      </c>
      <c r="B638" s="6">
        <f t="shared" si="70"/>
        <v>6.6711666666666671</v>
      </c>
      <c r="C638" s="3">
        <f t="shared" si="71"/>
        <v>101</v>
      </c>
      <c r="D638" s="3" t="str">
        <f t="shared" si="72"/>
        <v/>
      </c>
      <c r="E638" s="3">
        <f t="shared" si="73"/>
        <v>154</v>
      </c>
      <c r="F638" s="5" t="str">
        <f>IF(C638=0,"Broadcast",IF(D638="",IF(E638="","",IF(E638&lt;128,"Verbind "&amp;E638,INDEX(KdoCodeTab,MATCH(E638,KdoWertTab,0)))),"StatusAbfr "&amp;D638))</f>
        <v>MarkWdh</v>
      </c>
      <c r="G638" t="str">
        <f t="shared" si="74"/>
        <v>MarkWdh</v>
      </c>
      <c r="H638" t="str">
        <f t="shared" si="75"/>
        <v/>
      </c>
      <c r="I638" t="str">
        <f t="shared" si="76"/>
        <v/>
      </c>
    </row>
    <row r="639" spans="1:9" x14ac:dyDescent="0.25">
      <c r="A639" t="s">
        <v>231</v>
      </c>
      <c r="B639" s="6">
        <f t="shared" si="70"/>
        <v>6.6829999999999998</v>
      </c>
      <c r="C639" s="3">
        <f t="shared" si="71"/>
        <v>31</v>
      </c>
      <c r="D639" s="3" t="str">
        <f t="shared" si="72"/>
        <v/>
      </c>
      <c r="E639" s="3">
        <f t="shared" si="73"/>
        <v>154</v>
      </c>
      <c r="F639" s="5" t="str">
        <f>IF(C639=0,"Broadcast",IF(D639="",IF(E639="","",IF(E639&lt;128,"Verbind "&amp;E639,INDEX(KdoCodeTab,MATCH(E639,KdoWertTab,0)))),"StatusAbfr "&amp;D639))</f>
        <v>MarkWdh</v>
      </c>
      <c r="G639" t="str">
        <f t="shared" si="74"/>
        <v/>
      </c>
      <c r="H639" t="str">
        <f t="shared" si="75"/>
        <v>MarkWdh</v>
      </c>
      <c r="I639" t="str">
        <f t="shared" si="76"/>
        <v/>
      </c>
    </row>
    <row r="640" spans="1:9" x14ac:dyDescent="0.25">
      <c r="A640" t="s">
        <v>232</v>
      </c>
      <c r="B640" s="6">
        <f t="shared" si="70"/>
        <v>6.7208333333333332</v>
      </c>
      <c r="C640" s="3">
        <f t="shared" si="71"/>
        <v>101</v>
      </c>
      <c r="D640" s="3" t="str">
        <f t="shared" si="72"/>
        <v/>
      </c>
      <c r="E640" s="3">
        <f t="shared" si="73"/>
        <v>147</v>
      </c>
      <c r="F640" s="5" t="str">
        <f>IF(C640=0,"Broadcast",IF(D640="",IF(E640="","",IF(E640&lt;128,"Verbind "&amp;E640,INDEX(KdoCodeTab,MATCH(E640,KdoWertTab,0)))),"StatusAbfr "&amp;D640))</f>
        <v>Space</v>
      </c>
      <c r="G640" t="str">
        <f t="shared" si="74"/>
        <v>Space</v>
      </c>
      <c r="H640" t="str">
        <f t="shared" si="75"/>
        <v/>
      </c>
      <c r="I640" t="str">
        <f t="shared" si="76"/>
        <v/>
      </c>
    </row>
    <row r="641" spans="1:9" x14ac:dyDescent="0.25">
      <c r="A641" t="s">
        <v>233</v>
      </c>
      <c r="B641" s="6">
        <f t="shared" si="70"/>
        <v>6.7216666666666667</v>
      </c>
      <c r="C641" s="3">
        <f t="shared" si="71"/>
        <v>101</v>
      </c>
      <c r="D641" s="3" t="str">
        <f t="shared" si="72"/>
        <v/>
      </c>
      <c r="E641" s="3">
        <f t="shared" si="73"/>
        <v>150</v>
      </c>
      <c r="F641" s="5" t="str">
        <f>IF(C641=0,"Broadcast",IF(D641="",IF(E641="","",IF(E641&lt;128,"Verbind "&amp;E641,INDEX(KdoCodeTab,MATCH(E641,KdoWertTab,0)))),"StatusAbfr "&amp;D641))</f>
        <v>SpaceWdh</v>
      </c>
      <c r="G641" t="str">
        <f t="shared" si="74"/>
        <v>SpaceWdh</v>
      </c>
      <c r="H641" t="str">
        <f t="shared" si="75"/>
        <v/>
      </c>
      <c r="I641" t="str">
        <f t="shared" si="76"/>
        <v/>
      </c>
    </row>
    <row r="642" spans="1:9" x14ac:dyDescent="0.25">
      <c r="A642" t="s">
        <v>234</v>
      </c>
      <c r="B642" s="6">
        <f t="shared" si="70"/>
        <v>6.7613333333333339</v>
      </c>
      <c r="C642" s="3">
        <f t="shared" si="71"/>
        <v>101</v>
      </c>
      <c r="D642" s="3" t="str">
        <f t="shared" si="72"/>
        <v/>
      </c>
      <c r="E642" s="3">
        <f t="shared" si="73"/>
        <v>156</v>
      </c>
      <c r="F642" s="5" t="str">
        <f>IF(C642=0,"Broadcast",IF(D642="",IF(E642="","",IF(E642&lt;128,"Verbind "&amp;E642,INDEX(KdoCodeTab,MATCH(E642,KdoWertTab,0)))),"StatusAbfr "&amp;D642))</f>
        <v>Mark</v>
      </c>
      <c r="G642" t="str">
        <f t="shared" si="74"/>
        <v>Mark</v>
      </c>
      <c r="H642" t="str">
        <f t="shared" si="75"/>
        <v/>
      </c>
      <c r="I642" t="str">
        <f t="shared" si="76"/>
        <v/>
      </c>
    </row>
    <row r="643" spans="1:9" x14ac:dyDescent="0.25">
      <c r="A643" t="s">
        <v>235</v>
      </c>
      <c r="B643" s="6">
        <f t="shared" si="70"/>
        <v>6.7621666666666664</v>
      </c>
      <c r="C643" s="3">
        <f t="shared" si="71"/>
        <v>101</v>
      </c>
      <c r="D643" s="3" t="str">
        <f t="shared" si="72"/>
        <v/>
      </c>
      <c r="E643" s="3">
        <f t="shared" si="73"/>
        <v>154</v>
      </c>
      <c r="F643" s="5" t="str">
        <f>IF(C643=0,"Broadcast",IF(D643="",IF(E643="","",IF(E643&lt;128,"Verbind "&amp;E643,INDEX(KdoCodeTab,MATCH(E643,KdoWertTab,0)))),"StatusAbfr "&amp;D643))</f>
        <v>MarkWdh</v>
      </c>
      <c r="G643" t="str">
        <f t="shared" si="74"/>
        <v>MarkWdh</v>
      </c>
      <c r="H643" t="str">
        <f t="shared" si="75"/>
        <v/>
      </c>
      <c r="I643" t="str">
        <f t="shared" si="76"/>
        <v/>
      </c>
    </row>
    <row r="644" spans="1:9" x14ac:dyDescent="0.25">
      <c r="A644" t="s">
        <v>236</v>
      </c>
      <c r="B644" s="6">
        <f t="shared" si="70"/>
        <v>6.780333333333334</v>
      </c>
      <c r="C644" s="3">
        <f t="shared" si="71"/>
        <v>101</v>
      </c>
      <c r="D644" s="3" t="str">
        <f t="shared" si="72"/>
        <v/>
      </c>
      <c r="E644" s="3">
        <f t="shared" si="73"/>
        <v>147</v>
      </c>
      <c r="F644" s="5" t="str">
        <f>IF(C644=0,"Broadcast",IF(D644="",IF(E644="","",IF(E644&lt;128,"Verbind "&amp;E644,INDEX(KdoCodeTab,MATCH(E644,KdoWertTab,0)))),"StatusAbfr "&amp;D644))</f>
        <v>Space</v>
      </c>
      <c r="G644" t="str">
        <f t="shared" si="74"/>
        <v>Space</v>
      </c>
      <c r="H644" t="str">
        <f t="shared" si="75"/>
        <v/>
      </c>
      <c r="I644" t="str">
        <f t="shared" si="76"/>
        <v/>
      </c>
    </row>
    <row r="645" spans="1:9" x14ac:dyDescent="0.25">
      <c r="A645" t="s">
        <v>237</v>
      </c>
      <c r="B645" s="6">
        <f t="shared" ref="B645:B708" si="77">MID(A645,1,5)/1000+(CODE(MID(A645,6,1))-CODE("a"))/6000</f>
        <v>6.7813333333333334</v>
      </c>
      <c r="C645" s="3">
        <f t="shared" ref="C645:C708" si="78">INT(HEX2DEC(MID(A645,8,2))/2)</f>
        <v>101</v>
      </c>
      <c r="D645" s="3" t="str">
        <f t="shared" si="72"/>
        <v/>
      </c>
      <c r="E645" s="3">
        <f t="shared" si="73"/>
        <v>150</v>
      </c>
      <c r="F645" s="5" t="str">
        <f>IF(C645=0,"Broadcast",IF(D645="",IF(E645="","",IF(E645&lt;128,"Verbind "&amp;E645,INDEX(KdoCodeTab,MATCH(E645,KdoWertTab,0)))),"StatusAbfr "&amp;D645))</f>
        <v>SpaceWdh</v>
      </c>
      <c r="G645" t="str">
        <f t="shared" si="74"/>
        <v>SpaceWdh</v>
      </c>
      <c r="H645" t="str">
        <f t="shared" si="75"/>
        <v/>
      </c>
      <c r="I645" t="str">
        <f t="shared" si="76"/>
        <v/>
      </c>
    </row>
    <row r="646" spans="1:9" x14ac:dyDescent="0.25">
      <c r="A646" t="s">
        <v>238</v>
      </c>
      <c r="B646" s="6">
        <f t="shared" si="77"/>
        <v>6.8208333333333337</v>
      </c>
      <c r="C646" s="3">
        <f t="shared" si="78"/>
        <v>101</v>
      </c>
      <c r="D646" s="3" t="str">
        <f t="shared" si="72"/>
        <v/>
      </c>
      <c r="E646" s="3">
        <f t="shared" si="73"/>
        <v>156</v>
      </c>
      <c r="F646" s="5" t="str">
        <f>IF(C646=0,"Broadcast",IF(D646="",IF(E646="","",IF(E646&lt;128,"Verbind "&amp;E646,INDEX(KdoCodeTab,MATCH(E646,KdoWertTab,0)))),"StatusAbfr "&amp;D646))</f>
        <v>Mark</v>
      </c>
      <c r="G646" t="str">
        <f t="shared" si="74"/>
        <v>Mark</v>
      </c>
      <c r="H646" t="str">
        <f t="shared" si="75"/>
        <v/>
      </c>
      <c r="I646" t="str">
        <f t="shared" si="76"/>
        <v/>
      </c>
    </row>
    <row r="647" spans="1:9" x14ac:dyDescent="0.25">
      <c r="A647" t="s">
        <v>239</v>
      </c>
      <c r="B647" s="6">
        <f t="shared" si="77"/>
        <v>6.8218333333333332</v>
      </c>
      <c r="C647" s="3">
        <f t="shared" si="78"/>
        <v>101</v>
      </c>
      <c r="D647" s="3" t="str">
        <f t="shared" si="72"/>
        <v/>
      </c>
      <c r="E647" s="3">
        <f t="shared" si="73"/>
        <v>154</v>
      </c>
      <c r="F647" s="5" t="str">
        <f>IF(C647=0,"Broadcast",IF(D647="",IF(E647="","",IF(E647&lt;128,"Verbind "&amp;E647,INDEX(KdoCodeTab,MATCH(E647,KdoWertTab,0)))),"StatusAbfr "&amp;D647))</f>
        <v>MarkWdh</v>
      </c>
      <c r="G647" t="str">
        <f t="shared" si="74"/>
        <v>MarkWdh</v>
      </c>
      <c r="H647" t="str">
        <f t="shared" si="75"/>
        <v/>
      </c>
      <c r="I647" t="str">
        <f t="shared" si="76"/>
        <v/>
      </c>
    </row>
    <row r="648" spans="1:9" x14ac:dyDescent="0.25">
      <c r="A648" t="s">
        <v>240</v>
      </c>
      <c r="B648" s="6">
        <f t="shared" si="77"/>
        <v>6.9349999999999996</v>
      </c>
      <c r="C648" s="3">
        <f t="shared" si="78"/>
        <v>101</v>
      </c>
      <c r="D648" s="3" t="str">
        <f t="shared" si="72"/>
        <v/>
      </c>
      <c r="E648" s="3">
        <f t="shared" si="73"/>
        <v>147</v>
      </c>
      <c r="F648" s="5" t="str">
        <f>IF(C648=0,"Broadcast",IF(D648="",IF(E648="","",IF(E648&lt;128,"Verbind "&amp;E648,INDEX(KdoCodeTab,MATCH(E648,KdoWertTab,0)))),"StatusAbfr "&amp;D648))</f>
        <v>Space</v>
      </c>
      <c r="G648" t="str">
        <f t="shared" si="74"/>
        <v>Space</v>
      </c>
      <c r="H648" t="str">
        <f t="shared" si="75"/>
        <v/>
      </c>
      <c r="I648" t="str">
        <f t="shared" si="76"/>
        <v/>
      </c>
    </row>
    <row r="649" spans="1:9" x14ac:dyDescent="0.25">
      <c r="A649" t="s">
        <v>241</v>
      </c>
      <c r="B649" s="6">
        <f t="shared" si="77"/>
        <v>6.9359999999999999</v>
      </c>
      <c r="C649" s="3">
        <f t="shared" si="78"/>
        <v>101</v>
      </c>
      <c r="D649" s="3" t="str">
        <f t="shared" si="72"/>
        <v/>
      </c>
      <c r="E649" s="3">
        <f t="shared" si="73"/>
        <v>150</v>
      </c>
      <c r="F649" s="5" t="str">
        <f>IF(C649=0,"Broadcast",IF(D649="",IF(E649="","",IF(E649&lt;128,"Verbind "&amp;E649,INDEX(KdoCodeTab,MATCH(E649,KdoWertTab,0)))),"StatusAbfr "&amp;D649))</f>
        <v>SpaceWdh</v>
      </c>
      <c r="G649" t="str">
        <f t="shared" si="74"/>
        <v>SpaceWdh</v>
      </c>
      <c r="H649" t="str">
        <f t="shared" si="75"/>
        <v/>
      </c>
      <c r="I649" t="str">
        <f t="shared" si="76"/>
        <v/>
      </c>
    </row>
    <row r="650" spans="1:9" x14ac:dyDescent="0.25">
      <c r="A650" t="s">
        <v>242</v>
      </c>
      <c r="B650" s="6">
        <f t="shared" si="77"/>
        <v>7.0148333333333337</v>
      </c>
      <c r="C650" s="3">
        <f t="shared" si="78"/>
        <v>101</v>
      </c>
      <c r="D650" s="3" t="str">
        <f t="shared" si="72"/>
        <v/>
      </c>
      <c r="E650" s="3">
        <f t="shared" si="73"/>
        <v>156</v>
      </c>
      <c r="F650" s="5" t="str">
        <f>IF(C650=0,"Broadcast",IF(D650="",IF(E650="","",IF(E650&lt;128,"Verbind "&amp;E650,INDEX(KdoCodeTab,MATCH(E650,KdoWertTab,0)))),"StatusAbfr "&amp;D650))</f>
        <v>Mark</v>
      </c>
      <c r="G650" t="str">
        <f t="shared" si="74"/>
        <v>Mark</v>
      </c>
      <c r="H650" t="str">
        <f t="shared" si="75"/>
        <v/>
      </c>
      <c r="I650" t="str">
        <f t="shared" si="76"/>
        <v/>
      </c>
    </row>
    <row r="651" spans="1:9" x14ac:dyDescent="0.25">
      <c r="A651" t="s">
        <v>243</v>
      </c>
      <c r="B651" s="6">
        <f t="shared" si="77"/>
        <v>7.0156666666666663</v>
      </c>
      <c r="C651" s="3">
        <f t="shared" si="78"/>
        <v>101</v>
      </c>
      <c r="D651" s="3" t="str">
        <f t="shared" si="72"/>
        <v/>
      </c>
      <c r="E651" s="3">
        <f t="shared" si="73"/>
        <v>154</v>
      </c>
      <c r="F651" s="5" t="str">
        <f>IF(C651=0,"Broadcast",IF(D651="",IF(E651="","",IF(E651&lt;128,"Verbind "&amp;E651,INDEX(KdoCodeTab,MATCH(E651,KdoWertTab,0)))),"StatusAbfr "&amp;D651))</f>
        <v>MarkWdh</v>
      </c>
      <c r="G651" t="str">
        <f t="shared" si="74"/>
        <v>MarkWdh</v>
      </c>
      <c r="H651" t="str">
        <f t="shared" si="75"/>
        <v/>
      </c>
      <c r="I651" t="str">
        <f t="shared" si="76"/>
        <v/>
      </c>
    </row>
    <row r="652" spans="1:9" x14ac:dyDescent="0.25">
      <c r="A652" t="s">
        <v>244</v>
      </c>
      <c r="B652" s="6">
        <f t="shared" si="77"/>
        <v>7.1890000000000001</v>
      </c>
      <c r="C652" s="3">
        <f t="shared" si="78"/>
        <v>31</v>
      </c>
      <c r="D652" s="3" t="str">
        <f t="shared" si="72"/>
        <v/>
      </c>
      <c r="E652" s="3">
        <f t="shared" si="73"/>
        <v>154</v>
      </c>
      <c r="F652" s="5" t="str">
        <f>IF(C652=0,"Broadcast",IF(D652="",IF(E652="","",IF(E652&lt;128,"Verbind "&amp;E652,INDEX(KdoCodeTab,MATCH(E652,KdoWertTab,0)))),"StatusAbfr "&amp;D652))</f>
        <v>MarkWdh</v>
      </c>
      <c r="G652" t="str">
        <f t="shared" si="74"/>
        <v/>
      </c>
      <c r="H652" t="str">
        <f t="shared" si="75"/>
        <v>MarkWdh</v>
      </c>
      <c r="I652" t="str">
        <f t="shared" si="76"/>
        <v/>
      </c>
    </row>
    <row r="653" spans="1:9" x14ac:dyDescent="0.25">
      <c r="A653" t="s">
        <v>245</v>
      </c>
      <c r="B653" s="6">
        <f t="shared" si="77"/>
        <v>7.2581666666666669</v>
      </c>
      <c r="C653" s="3">
        <f t="shared" si="78"/>
        <v>101</v>
      </c>
      <c r="D653" s="3" t="str">
        <f t="shared" si="72"/>
        <v/>
      </c>
      <c r="E653" s="3">
        <f t="shared" si="73"/>
        <v>169</v>
      </c>
      <c r="F653" s="5" t="str">
        <f>IF(C653=0,"Broadcast",IF(D653="",IF(E653="","",IF(E653&lt;128,"Verbind "&amp;E653,INDEX(KdoCodeTab,MATCH(E653,KdoWertTab,0)))),"StatusAbfr "&amp;D653))</f>
        <v>BusLebenszeichen</v>
      </c>
      <c r="G653" t="str">
        <f t="shared" si="74"/>
        <v>BusLebenszeichen</v>
      </c>
      <c r="H653" t="str">
        <f t="shared" si="75"/>
        <v/>
      </c>
      <c r="I653" t="str">
        <f t="shared" si="76"/>
        <v/>
      </c>
    </row>
    <row r="654" spans="1:9" x14ac:dyDescent="0.25">
      <c r="A654" t="s">
        <v>246</v>
      </c>
      <c r="B654" s="6">
        <f t="shared" si="77"/>
        <v>7.2653333333333334</v>
      </c>
      <c r="C654" s="3">
        <f t="shared" si="78"/>
        <v>101</v>
      </c>
      <c r="D654" s="3" t="str">
        <f t="shared" si="72"/>
        <v/>
      </c>
      <c r="E654" s="3">
        <f t="shared" si="73"/>
        <v>147</v>
      </c>
      <c r="F654" s="5" t="str">
        <f>IF(C654=0,"Broadcast",IF(D654="",IF(E654="","",IF(E654&lt;128,"Verbind "&amp;E654,INDEX(KdoCodeTab,MATCH(E654,KdoWertTab,0)))),"StatusAbfr "&amp;D654))</f>
        <v>Space</v>
      </c>
      <c r="G654" t="str">
        <f t="shared" si="74"/>
        <v>Space</v>
      </c>
      <c r="H654" t="str">
        <f t="shared" si="75"/>
        <v/>
      </c>
      <c r="I654" t="str">
        <f t="shared" si="76"/>
        <v/>
      </c>
    </row>
    <row r="655" spans="1:9" x14ac:dyDescent="0.25">
      <c r="A655" t="s">
        <v>247</v>
      </c>
      <c r="B655" s="6">
        <f t="shared" si="77"/>
        <v>7.2663333333333338</v>
      </c>
      <c r="C655" s="3">
        <f t="shared" si="78"/>
        <v>101</v>
      </c>
      <c r="D655" s="3" t="str">
        <f t="shared" si="72"/>
        <v/>
      </c>
      <c r="E655" s="3">
        <f t="shared" si="73"/>
        <v>150</v>
      </c>
      <c r="F655" s="5" t="str">
        <f>IF(C655=0,"Broadcast",IF(D655="",IF(E655="","",IF(E655&lt;128,"Verbind "&amp;E655,INDEX(KdoCodeTab,MATCH(E655,KdoWertTab,0)))),"StatusAbfr "&amp;D655))</f>
        <v>SpaceWdh</v>
      </c>
      <c r="G655" t="str">
        <f t="shared" si="74"/>
        <v>SpaceWdh</v>
      </c>
      <c r="H655" t="str">
        <f t="shared" si="75"/>
        <v/>
      </c>
      <c r="I655" t="str">
        <f t="shared" si="76"/>
        <v/>
      </c>
    </row>
    <row r="656" spans="1:9" x14ac:dyDescent="0.25">
      <c r="A656" t="s">
        <v>248</v>
      </c>
      <c r="B656" s="6">
        <f t="shared" si="77"/>
        <v>7.3250000000000002</v>
      </c>
      <c r="C656" s="3">
        <f t="shared" si="78"/>
        <v>101</v>
      </c>
      <c r="D656" s="3" t="str">
        <f t="shared" si="72"/>
        <v/>
      </c>
      <c r="E656" s="3">
        <f t="shared" si="73"/>
        <v>156</v>
      </c>
      <c r="F656" s="5" t="str">
        <f>IF(C656=0,"Broadcast",IF(D656="",IF(E656="","",IF(E656&lt;128,"Verbind "&amp;E656,INDEX(KdoCodeTab,MATCH(E656,KdoWertTab,0)))),"StatusAbfr "&amp;D656))</f>
        <v>Mark</v>
      </c>
      <c r="G656" t="str">
        <f t="shared" si="74"/>
        <v>Mark</v>
      </c>
      <c r="H656" t="str">
        <f t="shared" si="75"/>
        <v/>
      </c>
      <c r="I656" t="str">
        <f t="shared" si="76"/>
        <v/>
      </c>
    </row>
    <row r="657" spans="1:9" x14ac:dyDescent="0.25">
      <c r="A657" t="s">
        <v>249</v>
      </c>
      <c r="B657" s="6">
        <f t="shared" si="77"/>
        <v>7.3258333333333336</v>
      </c>
      <c r="C657" s="3">
        <f t="shared" si="78"/>
        <v>101</v>
      </c>
      <c r="D657" s="3" t="str">
        <f t="shared" si="72"/>
        <v/>
      </c>
      <c r="E657" s="3">
        <f t="shared" si="73"/>
        <v>154</v>
      </c>
      <c r="F657" s="5" t="str">
        <f>IF(C657=0,"Broadcast",IF(D657="",IF(E657="","",IF(E657&lt;128,"Verbind "&amp;E657,INDEX(KdoCodeTab,MATCH(E657,KdoWertTab,0)))),"StatusAbfr "&amp;D657))</f>
        <v>MarkWdh</v>
      </c>
      <c r="G657" t="str">
        <f t="shared" si="74"/>
        <v>MarkWdh</v>
      </c>
      <c r="H657" t="str">
        <f t="shared" si="75"/>
        <v/>
      </c>
      <c r="I657" t="str">
        <f t="shared" si="76"/>
        <v/>
      </c>
    </row>
    <row r="658" spans="1:9" x14ac:dyDescent="0.25">
      <c r="A658" t="s">
        <v>250</v>
      </c>
      <c r="B658" s="6">
        <f t="shared" si="77"/>
        <v>7.3451666666666666</v>
      </c>
      <c r="C658" s="3">
        <f t="shared" si="78"/>
        <v>101</v>
      </c>
      <c r="D658" s="3" t="str">
        <f t="shared" si="72"/>
        <v/>
      </c>
      <c r="E658" s="3">
        <f t="shared" si="73"/>
        <v>147</v>
      </c>
      <c r="F658" s="5" t="str">
        <f>IF(C658=0,"Broadcast",IF(D658="",IF(E658="","",IF(E658&lt;128,"Verbind "&amp;E658,INDEX(KdoCodeTab,MATCH(E658,KdoWertTab,0)))),"StatusAbfr "&amp;D658))</f>
        <v>Space</v>
      </c>
      <c r="G658" t="str">
        <f t="shared" si="74"/>
        <v>Space</v>
      </c>
      <c r="H658" t="str">
        <f t="shared" si="75"/>
        <v/>
      </c>
      <c r="I658" t="str">
        <f t="shared" si="76"/>
        <v/>
      </c>
    </row>
    <row r="659" spans="1:9" x14ac:dyDescent="0.25">
      <c r="A659" t="s">
        <v>251</v>
      </c>
      <c r="B659" s="6">
        <f t="shared" si="77"/>
        <v>7.3460000000000001</v>
      </c>
      <c r="C659" s="3">
        <f t="shared" si="78"/>
        <v>101</v>
      </c>
      <c r="D659" s="3" t="str">
        <f t="shared" si="72"/>
        <v/>
      </c>
      <c r="E659" s="3">
        <f t="shared" si="73"/>
        <v>150</v>
      </c>
      <c r="F659" s="5" t="str">
        <f>IF(C659=0,"Broadcast",IF(D659="",IF(E659="","",IF(E659&lt;128,"Verbind "&amp;E659,INDEX(KdoCodeTab,MATCH(E659,KdoWertTab,0)))),"StatusAbfr "&amp;D659))</f>
        <v>SpaceWdh</v>
      </c>
      <c r="G659" t="str">
        <f t="shared" si="74"/>
        <v>SpaceWdh</v>
      </c>
      <c r="H659" t="str">
        <f t="shared" si="75"/>
        <v/>
      </c>
      <c r="I659" t="str">
        <f t="shared" si="76"/>
        <v/>
      </c>
    </row>
    <row r="660" spans="1:9" x14ac:dyDescent="0.25">
      <c r="A660" t="s">
        <v>252</v>
      </c>
      <c r="B660" s="6">
        <f t="shared" si="77"/>
        <v>7.3854999999999995</v>
      </c>
      <c r="C660" s="3">
        <f t="shared" si="78"/>
        <v>101</v>
      </c>
      <c r="D660" s="3" t="str">
        <f t="shared" si="72"/>
        <v/>
      </c>
      <c r="E660" s="3">
        <f t="shared" si="73"/>
        <v>156</v>
      </c>
      <c r="F660" s="5" t="str">
        <f>IF(C660=0,"Broadcast",IF(D660="",IF(E660="","",IF(E660&lt;128,"Verbind "&amp;E660,INDEX(KdoCodeTab,MATCH(E660,KdoWertTab,0)))),"StatusAbfr "&amp;D660))</f>
        <v>Mark</v>
      </c>
      <c r="G660" t="str">
        <f t="shared" si="74"/>
        <v>Mark</v>
      </c>
      <c r="H660" t="str">
        <f t="shared" si="75"/>
        <v/>
      </c>
      <c r="I660" t="str">
        <f t="shared" si="76"/>
        <v/>
      </c>
    </row>
    <row r="661" spans="1:9" x14ac:dyDescent="0.25">
      <c r="A661" t="s">
        <v>253</v>
      </c>
      <c r="B661" s="6">
        <f t="shared" si="77"/>
        <v>7.3863333333333339</v>
      </c>
      <c r="C661" s="3">
        <f t="shared" si="78"/>
        <v>101</v>
      </c>
      <c r="D661" s="3" t="str">
        <f t="shared" si="72"/>
        <v/>
      </c>
      <c r="E661" s="3">
        <f t="shared" si="73"/>
        <v>154</v>
      </c>
      <c r="F661" s="5" t="str">
        <f>IF(C661=0,"Broadcast",IF(D661="",IF(E661="","",IF(E661&lt;128,"Verbind "&amp;E661,INDEX(KdoCodeTab,MATCH(E661,KdoWertTab,0)))),"StatusAbfr "&amp;D661))</f>
        <v>MarkWdh</v>
      </c>
      <c r="G661" t="str">
        <f t="shared" si="74"/>
        <v>MarkWdh</v>
      </c>
      <c r="H661" t="str">
        <f t="shared" si="75"/>
        <v/>
      </c>
      <c r="I661" t="str">
        <f t="shared" si="76"/>
        <v/>
      </c>
    </row>
    <row r="662" spans="1:9" x14ac:dyDescent="0.25">
      <c r="A662" t="s">
        <v>254</v>
      </c>
      <c r="B662" s="6">
        <f t="shared" si="77"/>
        <v>7.5531666666666668</v>
      </c>
      <c r="C662" s="3">
        <f t="shared" si="78"/>
        <v>101</v>
      </c>
      <c r="D662" s="3" t="str">
        <f t="shared" si="72"/>
        <v/>
      </c>
      <c r="E662" s="3">
        <f t="shared" si="73"/>
        <v>147</v>
      </c>
      <c r="F662" s="5" t="str">
        <f>IF(C662=0,"Broadcast",IF(D662="",IF(E662="","",IF(E662&lt;128,"Verbind "&amp;E662,INDEX(KdoCodeTab,MATCH(E662,KdoWertTab,0)))),"StatusAbfr "&amp;D662))</f>
        <v>Space</v>
      </c>
      <c r="G662" t="str">
        <f t="shared" si="74"/>
        <v>Space</v>
      </c>
      <c r="H662" t="str">
        <f t="shared" si="75"/>
        <v/>
      </c>
      <c r="I662" t="str">
        <f t="shared" si="76"/>
        <v/>
      </c>
    </row>
    <row r="663" spans="1:9" x14ac:dyDescent="0.25">
      <c r="A663" t="s">
        <v>255</v>
      </c>
      <c r="B663" s="6">
        <f t="shared" si="77"/>
        <v>7.5541666666666671</v>
      </c>
      <c r="C663" s="3">
        <f t="shared" si="78"/>
        <v>101</v>
      </c>
      <c r="D663" s="3" t="str">
        <f t="shared" si="72"/>
        <v/>
      </c>
      <c r="E663" s="3">
        <f t="shared" si="73"/>
        <v>150</v>
      </c>
      <c r="F663" s="5" t="str">
        <f>IF(C663=0,"Broadcast",IF(D663="",IF(E663="","",IF(E663&lt;128,"Verbind "&amp;E663,INDEX(KdoCodeTab,MATCH(E663,KdoWertTab,0)))),"StatusAbfr "&amp;D663))</f>
        <v>SpaceWdh</v>
      </c>
      <c r="G663" t="str">
        <f t="shared" si="74"/>
        <v>SpaceWdh</v>
      </c>
      <c r="H663" t="str">
        <f t="shared" si="75"/>
        <v/>
      </c>
      <c r="I663" t="str">
        <f t="shared" si="76"/>
        <v/>
      </c>
    </row>
    <row r="664" spans="1:9" x14ac:dyDescent="0.25">
      <c r="A664" t="s">
        <v>256</v>
      </c>
      <c r="B664" s="6">
        <f t="shared" si="77"/>
        <v>7.6128333333333336</v>
      </c>
      <c r="C664" s="3">
        <f t="shared" si="78"/>
        <v>101</v>
      </c>
      <c r="D664" s="3" t="str">
        <f t="shared" si="72"/>
        <v/>
      </c>
      <c r="E664" s="3">
        <f t="shared" si="73"/>
        <v>156</v>
      </c>
      <c r="F664" s="5" t="str">
        <f>IF(C664=0,"Broadcast",IF(D664="",IF(E664="","",IF(E664&lt;128,"Verbind "&amp;E664,INDEX(KdoCodeTab,MATCH(E664,KdoWertTab,0)))),"StatusAbfr "&amp;D664))</f>
        <v>Mark</v>
      </c>
      <c r="G664" t="str">
        <f t="shared" si="74"/>
        <v>Mark</v>
      </c>
      <c r="H664" t="str">
        <f t="shared" si="75"/>
        <v/>
      </c>
      <c r="I664" t="str">
        <f t="shared" si="76"/>
        <v/>
      </c>
    </row>
    <row r="665" spans="1:9" x14ac:dyDescent="0.25">
      <c r="A665" t="s">
        <v>257</v>
      </c>
      <c r="B665" s="6">
        <f t="shared" si="77"/>
        <v>7.613666666666667</v>
      </c>
      <c r="C665" s="3">
        <f t="shared" si="78"/>
        <v>101</v>
      </c>
      <c r="D665" s="3" t="str">
        <f t="shared" si="72"/>
        <v/>
      </c>
      <c r="E665" s="3">
        <f t="shared" si="73"/>
        <v>154</v>
      </c>
      <c r="F665" s="5" t="str">
        <f>IF(C665=0,"Broadcast",IF(D665="",IF(E665="","",IF(E665&lt;128,"Verbind "&amp;E665,INDEX(KdoCodeTab,MATCH(E665,KdoWertTab,0)))),"StatusAbfr "&amp;D665))</f>
        <v>MarkWdh</v>
      </c>
      <c r="G665" t="str">
        <f t="shared" si="74"/>
        <v>MarkWdh</v>
      </c>
      <c r="H665" t="str">
        <f t="shared" si="75"/>
        <v/>
      </c>
      <c r="I665" t="str">
        <f t="shared" si="76"/>
        <v/>
      </c>
    </row>
    <row r="666" spans="1:9" x14ac:dyDescent="0.25">
      <c r="A666" t="s">
        <v>258</v>
      </c>
      <c r="B666" s="6">
        <f t="shared" si="77"/>
        <v>7.633</v>
      </c>
      <c r="C666" s="3">
        <f t="shared" si="78"/>
        <v>101</v>
      </c>
      <c r="D666" s="3" t="str">
        <f t="shared" si="72"/>
        <v/>
      </c>
      <c r="E666" s="3">
        <f t="shared" si="73"/>
        <v>147</v>
      </c>
      <c r="F666" s="5" t="str">
        <f>IF(C666=0,"Broadcast",IF(D666="",IF(E666="","",IF(E666&lt;128,"Verbind "&amp;E666,INDEX(KdoCodeTab,MATCH(E666,KdoWertTab,0)))),"StatusAbfr "&amp;D666))</f>
        <v>Space</v>
      </c>
      <c r="G666" t="str">
        <f t="shared" si="74"/>
        <v>Space</v>
      </c>
      <c r="H666" t="str">
        <f t="shared" si="75"/>
        <v/>
      </c>
      <c r="I666" t="str">
        <f t="shared" si="76"/>
        <v/>
      </c>
    </row>
    <row r="667" spans="1:9" x14ac:dyDescent="0.25">
      <c r="A667" t="s">
        <v>259</v>
      </c>
      <c r="B667" s="6">
        <f t="shared" si="77"/>
        <v>7.6340000000000003</v>
      </c>
      <c r="C667" s="3">
        <f t="shared" si="78"/>
        <v>101</v>
      </c>
      <c r="D667" s="3" t="str">
        <f t="shared" si="72"/>
        <v/>
      </c>
      <c r="E667" s="3">
        <f t="shared" si="73"/>
        <v>150</v>
      </c>
      <c r="F667" s="5" t="str">
        <f>IF(C667=0,"Broadcast",IF(D667="",IF(E667="","",IF(E667&lt;128,"Verbind "&amp;E667,INDEX(KdoCodeTab,MATCH(E667,KdoWertTab,0)))),"StatusAbfr "&amp;D667))</f>
        <v>SpaceWdh</v>
      </c>
      <c r="G667" t="str">
        <f t="shared" si="74"/>
        <v>SpaceWdh</v>
      </c>
      <c r="H667" t="str">
        <f t="shared" si="75"/>
        <v/>
      </c>
      <c r="I667" t="str">
        <f t="shared" si="76"/>
        <v/>
      </c>
    </row>
    <row r="668" spans="1:9" x14ac:dyDescent="0.25">
      <c r="A668" t="s">
        <v>260</v>
      </c>
      <c r="B668" s="6">
        <f t="shared" si="77"/>
        <v>7.6523333333333339</v>
      </c>
      <c r="C668" s="3">
        <f t="shared" si="78"/>
        <v>101</v>
      </c>
      <c r="D668" s="3" t="str">
        <f t="shared" si="72"/>
        <v/>
      </c>
      <c r="E668" s="3">
        <f t="shared" si="73"/>
        <v>156</v>
      </c>
      <c r="F668" s="5" t="str">
        <f>IF(C668=0,"Broadcast",IF(D668="",IF(E668="","",IF(E668&lt;128,"Verbind "&amp;E668,INDEX(KdoCodeTab,MATCH(E668,KdoWertTab,0)))),"StatusAbfr "&amp;D668))</f>
        <v>Mark</v>
      </c>
      <c r="G668" t="str">
        <f t="shared" si="74"/>
        <v>Mark</v>
      </c>
      <c r="H668" t="str">
        <f t="shared" si="75"/>
        <v/>
      </c>
      <c r="I668" t="str">
        <f t="shared" si="76"/>
        <v/>
      </c>
    </row>
    <row r="669" spans="1:9" x14ac:dyDescent="0.25">
      <c r="A669" t="s">
        <v>261</v>
      </c>
      <c r="B669" s="6">
        <f t="shared" si="77"/>
        <v>7.6531666666666665</v>
      </c>
      <c r="C669" s="3">
        <f t="shared" si="78"/>
        <v>101</v>
      </c>
      <c r="D669" s="3" t="str">
        <f t="shared" si="72"/>
        <v/>
      </c>
      <c r="E669" s="3">
        <f t="shared" si="73"/>
        <v>154</v>
      </c>
      <c r="F669" s="5" t="str">
        <f>IF(C669=0,"Broadcast",IF(D669="",IF(E669="","",IF(E669&lt;128,"Verbind "&amp;E669,INDEX(KdoCodeTab,MATCH(E669,KdoWertTab,0)))),"StatusAbfr "&amp;D669))</f>
        <v>MarkWdh</v>
      </c>
      <c r="G669" t="str">
        <f t="shared" si="74"/>
        <v>MarkWdh</v>
      </c>
      <c r="H669" t="str">
        <f t="shared" si="75"/>
        <v/>
      </c>
      <c r="I669" t="str">
        <f t="shared" si="76"/>
        <v/>
      </c>
    </row>
    <row r="670" spans="1:9" x14ac:dyDescent="0.25">
      <c r="A670" t="s">
        <v>262</v>
      </c>
      <c r="B670" s="6">
        <f t="shared" si="77"/>
        <v>7.6950000000000003</v>
      </c>
      <c r="C670" s="3">
        <f t="shared" si="78"/>
        <v>31</v>
      </c>
      <c r="D670" s="3" t="str">
        <f t="shared" si="72"/>
        <v/>
      </c>
      <c r="E670" s="3">
        <f t="shared" si="73"/>
        <v>154</v>
      </c>
      <c r="F670" s="5" t="str">
        <f>IF(C670=0,"Broadcast",IF(D670="",IF(E670="","",IF(E670&lt;128,"Verbind "&amp;E670,INDEX(KdoCodeTab,MATCH(E670,KdoWertTab,0)))),"StatusAbfr "&amp;D670))</f>
        <v>MarkWdh</v>
      </c>
      <c r="G670" t="str">
        <f t="shared" si="74"/>
        <v/>
      </c>
      <c r="H670" t="str">
        <f t="shared" si="75"/>
        <v>MarkWdh</v>
      </c>
      <c r="I670" t="str">
        <f t="shared" si="76"/>
        <v/>
      </c>
    </row>
    <row r="671" spans="1:9" x14ac:dyDescent="0.25">
      <c r="A671" t="s">
        <v>263</v>
      </c>
      <c r="B671" s="6">
        <f t="shared" si="77"/>
        <v>7.7694999999999999</v>
      </c>
      <c r="C671" s="3">
        <f t="shared" si="78"/>
        <v>101</v>
      </c>
      <c r="D671" s="3" t="str">
        <f t="shared" si="72"/>
        <v/>
      </c>
      <c r="E671" s="3">
        <f t="shared" si="73"/>
        <v>147</v>
      </c>
      <c r="F671" s="5" t="str">
        <f>IF(C671=0,"Broadcast",IF(D671="",IF(E671="","",IF(E671&lt;128,"Verbind "&amp;E671,INDEX(KdoCodeTab,MATCH(E671,KdoWertTab,0)))),"StatusAbfr "&amp;D671))</f>
        <v>Space</v>
      </c>
      <c r="G671" t="str">
        <f t="shared" si="74"/>
        <v>Space</v>
      </c>
      <c r="H671" t="str">
        <f t="shared" si="75"/>
        <v/>
      </c>
      <c r="I671" t="str">
        <f t="shared" si="76"/>
        <v/>
      </c>
    </row>
    <row r="672" spans="1:9" x14ac:dyDescent="0.25">
      <c r="A672" t="s">
        <v>264</v>
      </c>
      <c r="B672" s="6">
        <f t="shared" si="77"/>
        <v>7.7703333333333333</v>
      </c>
      <c r="C672" s="3">
        <f t="shared" si="78"/>
        <v>101</v>
      </c>
      <c r="D672" s="3" t="str">
        <f t="shared" si="72"/>
        <v/>
      </c>
      <c r="E672" s="3">
        <f t="shared" si="73"/>
        <v>150</v>
      </c>
      <c r="F672" s="5" t="str">
        <f>IF(C672=0,"Broadcast",IF(D672="",IF(E672="","",IF(E672&lt;128,"Verbind "&amp;E672,INDEX(KdoCodeTab,MATCH(E672,KdoWertTab,0)))),"StatusAbfr "&amp;D672))</f>
        <v>SpaceWdh</v>
      </c>
      <c r="G672" t="str">
        <f t="shared" si="74"/>
        <v>SpaceWdh</v>
      </c>
      <c r="H672" t="str">
        <f t="shared" si="75"/>
        <v/>
      </c>
      <c r="I672" t="str">
        <f t="shared" si="76"/>
        <v/>
      </c>
    </row>
    <row r="673" spans="1:9" x14ac:dyDescent="0.25">
      <c r="A673" t="s">
        <v>265</v>
      </c>
      <c r="B673" s="6">
        <f t="shared" si="77"/>
        <v>7.7896666666666663</v>
      </c>
      <c r="C673" s="3">
        <f t="shared" si="78"/>
        <v>101</v>
      </c>
      <c r="D673" s="3" t="str">
        <f t="shared" si="72"/>
        <v/>
      </c>
      <c r="E673" s="3">
        <f t="shared" si="73"/>
        <v>156</v>
      </c>
      <c r="F673" s="5" t="str">
        <f>IF(C673=0,"Broadcast",IF(D673="",IF(E673="","",IF(E673&lt;128,"Verbind "&amp;E673,INDEX(KdoCodeTab,MATCH(E673,KdoWertTab,0)))),"StatusAbfr "&amp;D673))</f>
        <v>Mark</v>
      </c>
      <c r="G673" t="str">
        <f t="shared" si="74"/>
        <v>Mark</v>
      </c>
      <c r="H673" t="str">
        <f t="shared" si="75"/>
        <v/>
      </c>
      <c r="I673" t="str">
        <f t="shared" si="76"/>
        <v/>
      </c>
    </row>
    <row r="674" spans="1:9" x14ac:dyDescent="0.25">
      <c r="A674" t="s">
        <v>266</v>
      </c>
      <c r="B674" s="6">
        <f t="shared" si="77"/>
        <v>7.7904999999999998</v>
      </c>
      <c r="C674" s="3">
        <f t="shared" si="78"/>
        <v>101</v>
      </c>
      <c r="D674" s="3" t="str">
        <f t="shared" si="72"/>
        <v/>
      </c>
      <c r="E674" s="3">
        <f t="shared" si="73"/>
        <v>154</v>
      </c>
      <c r="F674" s="5" t="str">
        <f>IF(C674=0,"Broadcast",IF(D674="",IF(E674="","",IF(E674&lt;128,"Verbind "&amp;E674,INDEX(KdoCodeTab,MATCH(E674,KdoWertTab,0)))),"StatusAbfr "&amp;D674))</f>
        <v>MarkWdh</v>
      </c>
      <c r="G674" t="str">
        <f t="shared" si="74"/>
        <v>MarkWdh</v>
      </c>
      <c r="H674" t="str">
        <f t="shared" si="75"/>
        <v/>
      </c>
      <c r="I674" t="str">
        <f t="shared" si="76"/>
        <v/>
      </c>
    </row>
    <row r="675" spans="1:9" x14ac:dyDescent="0.25">
      <c r="A675" t="s">
        <v>267</v>
      </c>
      <c r="B675" s="6">
        <f t="shared" si="77"/>
        <v>7.8098333333333336</v>
      </c>
      <c r="C675" s="3">
        <f t="shared" si="78"/>
        <v>101</v>
      </c>
      <c r="D675" s="3" t="str">
        <f t="shared" si="72"/>
        <v/>
      </c>
      <c r="E675" s="3">
        <f t="shared" si="73"/>
        <v>147</v>
      </c>
      <c r="F675" s="5" t="str">
        <f>IF(C675=0,"Broadcast",IF(D675="",IF(E675="","",IF(E675&lt;128,"Verbind "&amp;E675,INDEX(KdoCodeTab,MATCH(E675,KdoWertTab,0)))),"StatusAbfr "&amp;D675))</f>
        <v>Space</v>
      </c>
      <c r="G675" t="str">
        <f t="shared" si="74"/>
        <v>Space</v>
      </c>
      <c r="H675" t="str">
        <f t="shared" si="75"/>
        <v/>
      </c>
      <c r="I675" t="str">
        <f t="shared" si="76"/>
        <v/>
      </c>
    </row>
    <row r="676" spans="1:9" x14ac:dyDescent="0.25">
      <c r="A676" t="s">
        <v>268</v>
      </c>
      <c r="B676" s="6">
        <f t="shared" si="77"/>
        <v>7.8108333333333331</v>
      </c>
      <c r="C676" s="3">
        <f t="shared" si="78"/>
        <v>101</v>
      </c>
      <c r="D676" s="3" t="str">
        <f t="shared" si="72"/>
        <v/>
      </c>
      <c r="E676" s="3">
        <f t="shared" si="73"/>
        <v>150</v>
      </c>
      <c r="F676" s="5" t="str">
        <f>IF(C676=0,"Broadcast",IF(D676="",IF(E676="","",IF(E676&lt;128,"Verbind "&amp;E676,INDEX(KdoCodeTab,MATCH(E676,KdoWertTab,0)))),"StatusAbfr "&amp;D676))</f>
        <v>SpaceWdh</v>
      </c>
      <c r="G676" t="str">
        <f t="shared" si="74"/>
        <v>SpaceWdh</v>
      </c>
      <c r="H676" t="str">
        <f t="shared" si="75"/>
        <v/>
      </c>
      <c r="I676" t="str">
        <f t="shared" si="76"/>
        <v/>
      </c>
    </row>
    <row r="677" spans="1:9" x14ac:dyDescent="0.25">
      <c r="A677" t="s">
        <v>269</v>
      </c>
      <c r="B677" s="6">
        <f t="shared" si="77"/>
        <v>7.8896666666666668</v>
      </c>
      <c r="C677" s="3">
        <f t="shared" si="78"/>
        <v>101</v>
      </c>
      <c r="D677" s="3" t="str">
        <f t="shared" si="72"/>
        <v/>
      </c>
      <c r="E677" s="3">
        <f t="shared" si="73"/>
        <v>156</v>
      </c>
      <c r="F677" s="5" t="str">
        <f>IF(C677=0,"Broadcast",IF(D677="",IF(E677="","",IF(E677&lt;128,"Verbind "&amp;E677,INDEX(KdoCodeTab,MATCH(E677,KdoWertTab,0)))),"StatusAbfr "&amp;D677))</f>
        <v>Mark</v>
      </c>
      <c r="G677" t="str">
        <f t="shared" si="74"/>
        <v>Mark</v>
      </c>
      <c r="H677" t="str">
        <f t="shared" si="75"/>
        <v/>
      </c>
      <c r="I677" t="str">
        <f t="shared" si="76"/>
        <v/>
      </c>
    </row>
    <row r="678" spans="1:9" x14ac:dyDescent="0.25">
      <c r="A678" t="s">
        <v>270</v>
      </c>
      <c r="B678" s="6">
        <f t="shared" si="77"/>
        <v>7.8904999999999994</v>
      </c>
      <c r="C678" s="3">
        <f t="shared" si="78"/>
        <v>101</v>
      </c>
      <c r="D678" s="3" t="str">
        <f t="shared" si="72"/>
        <v/>
      </c>
      <c r="E678" s="3">
        <f t="shared" si="73"/>
        <v>154</v>
      </c>
      <c r="F678" s="5" t="str">
        <f>IF(C678=0,"Broadcast",IF(D678="",IF(E678="","",IF(E678&lt;128,"Verbind "&amp;E678,INDEX(KdoCodeTab,MATCH(E678,KdoWertTab,0)))),"StatusAbfr "&amp;D678))</f>
        <v>MarkWdh</v>
      </c>
      <c r="G678" t="str">
        <f t="shared" si="74"/>
        <v>MarkWdh</v>
      </c>
      <c r="H678" t="str">
        <f t="shared" si="75"/>
        <v/>
      </c>
      <c r="I678" t="str">
        <f t="shared" si="76"/>
        <v/>
      </c>
    </row>
    <row r="679" spans="1:9" x14ac:dyDescent="0.25">
      <c r="A679" t="s">
        <v>271</v>
      </c>
      <c r="B679" s="6">
        <f t="shared" si="77"/>
        <v>7.92</v>
      </c>
      <c r="C679" s="3">
        <f t="shared" si="78"/>
        <v>101</v>
      </c>
      <c r="D679" s="3" t="str">
        <f t="shared" si="72"/>
        <v/>
      </c>
      <c r="E679" s="3">
        <f t="shared" si="73"/>
        <v>147</v>
      </c>
      <c r="F679" s="5" t="str">
        <f>IF(C679=0,"Broadcast",IF(D679="",IF(E679="","",IF(E679&lt;128,"Verbind "&amp;E679,INDEX(KdoCodeTab,MATCH(E679,KdoWertTab,0)))),"StatusAbfr "&amp;D679))</f>
        <v>Space</v>
      </c>
      <c r="G679" t="str">
        <f t="shared" si="74"/>
        <v>Space</v>
      </c>
      <c r="H679" t="str">
        <f t="shared" si="75"/>
        <v/>
      </c>
      <c r="I679" t="str">
        <f t="shared" si="76"/>
        <v/>
      </c>
    </row>
    <row r="680" spans="1:9" x14ac:dyDescent="0.25">
      <c r="A680" t="s">
        <v>272</v>
      </c>
      <c r="B680" s="6">
        <f t="shared" si="77"/>
        <v>7.9210000000000003</v>
      </c>
      <c r="C680" s="3">
        <f t="shared" si="78"/>
        <v>101</v>
      </c>
      <c r="D680" s="3" t="str">
        <f t="shared" si="72"/>
        <v/>
      </c>
      <c r="E680" s="3">
        <f t="shared" si="73"/>
        <v>150</v>
      </c>
      <c r="F680" s="5" t="str">
        <f>IF(C680=0,"Broadcast",IF(D680="",IF(E680="","",IF(E680&lt;128,"Verbind "&amp;E680,INDEX(KdoCodeTab,MATCH(E680,KdoWertTab,0)))),"StatusAbfr "&amp;D680))</f>
        <v>SpaceWdh</v>
      </c>
      <c r="G680" t="str">
        <f t="shared" si="74"/>
        <v>SpaceWdh</v>
      </c>
      <c r="H680" t="str">
        <f t="shared" si="75"/>
        <v/>
      </c>
      <c r="I680" t="str">
        <f t="shared" si="76"/>
        <v/>
      </c>
    </row>
    <row r="681" spans="1:9" x14ac:dyDescent="0.25">
      <c r="A681" t="s">
        <v>273</v>
      </c>
      <c r="B681" s="6">
        <f t="shared" si="77"/>
        <v>7.94</v>
      </c>
      <c r="C681" s="3">
        <f t="shared" si="78"/>
        <v>101</v>
      </c>
      <c r="D681" s="3" t="str">
        <f t="shared" si="72"/>
        <v/>
      </c>
      <c r="E681" s="3">
        <f t="shared" si="73"/>
        <v>169</v>
      </c>
      <c r="F681" s="5" t="str">
        <f>IF(C681=0,"Broadcast",IF(D681="",IF(E681="","",IF(E681&lt;128,"Verbind "&amp;E681,INDEX(KdoCodeTab,MATCH(E681,KdoWertTab,0)))),"StatusAbfr "&amp;D681))</f>
        <v>BusLebenszeichen</v>
      </c>
      <c r="G681" t="str">
        <f t="shared" si="74"/>
        <v>BusLebenszeichen</v>
      </c>
      <c r="H681" t="str">
        <f t="shared" si="75"/>
        <v/>
      </c>
      <c r="I681" t="str">
        <f t="shared" si="76"/>
        <v/>
      </c>
    </row>
    <row r="682" spans="1:9" x14ac:dyDescent="0.25">
      <c r="A682" t="s">
        <v>274</v>
      </c>
      <c r="B682" s="6">
        <f t="shared" si="77"/>
        <v>7.9805000000000001</v>
      </c>
      <c r="C682" s="3">
        <f t="shared" si="78"/>
        <v>101</v>
      </c>
      <c r="D682" s="3" t="str">
        <f t="shared" si="72"/>
        <v/>
      </c>
      <c r="E682" s="3">
        <f t="shared" si="73"/>
        <v>156</v>
      </c>
      <c r="F682" s="5" t="str">
        <f>IF(C682=0,"Broadcast",IF(D682="",IF(E682="","",IF(E682&lt;128,"Verbind "&amp;E682,INDEX(KdoCodeTab,MATCH(E682,KdoWertTab,0)))),"StatusAbfr "&amp;D682))</f>
        <v>Mark</v>
      </c>
      <c r="G682" t="str">
        <f t="shared" si="74"/>
        <v>Mark</v>
      </c>
      <c r="H682" t="str">
        <f t="shared" si="75"/>
        <v/>
      </c>
      <c r="I682" t="str">
        <f t="shared" si="76"/>
        <v/>
      </c>
    </row>
    <row r="683" spans="1:9" x14ac:dyDescent="0.25">
      <c r="A683" t="s">
        <v>275</v>
      </c>
      <c r="B683" s="6">
        <f t="shared" si="77"/>
        <v>7.9828333333333337</v>
      </c>
      <c r="C683" s="3">
        <f t="shared" si="78"/>
        <v>101</v>
      </c>
      <c r="D683" s="3" t="str">
        <f t="shared" si="72"/>
        <v/>
      </c>
      <c r="E683" s="3">
        <f t="shared" si="73"/>
        <v>154</v>
      </c>
      <c r="F683" s="5" t="str">
        <f>IF(C683=0,"Broadcast",IF(D683="",IF(E683="","",IF(E683&lt;128,"Verbind "&amp;E683,INDEX(KdoCodeTab,MATCH(E683,KdoWertTab,0)))),"StatusAbfr "&amp;D683))</f>
        <v>MarkWdh</v>
      </c>
      <c r="G683" t="str">
        <f t="shared" si="74"/>
        <v>MarkWdh</v>
      </c>
      <c r="H683" t="str">
        <f t="shared" si="75"/>
        <v/>
      </c>
      <c r="I683" t="str">
        <f t="shared" si="76"/>
        <v/>
      </c>
    </row>
    <row r="684" spans="1:9" x14ac:dyDescent="0.25">
      <c r="A684" t="s">
        <v>276</v>
      </c>
      <c r="B684" s="6">
        <f t="shared" si="77"/>
        <v>8.02</v>
      </c>
      <c r="C684" s="3">
        <f t="shared" si="78"/>
        <v>101</v>
      </c>
      <c r="D684" s="3" t="str">
        <f t="shared" si="72"/>
        <v/>
      </c>
      <c r="E684" s="3">
        <f t="shared" si="73"/>
        <v>147</v>
      </c>
      <c r="F684" s="5" t="str">
        <f>IF(C684=0,"Broadcast",IF(D684="",IF(E684="","",IF(E684&lt;128,"Verbind "&amp;E684,INDEX(KdoCodeTab,MATCH(E684,KdoWertTab,0)))),"StatusAbfr "&amp;D684))</f>
        <v>Space</v>
      </c>
      <c r="G684" t="str">
        <f t="shared" si="74"/>
        <v>Space</v>
      </c>
      <c r="H684" t="str">
        <f t="shared" si="75"/>
        <v/>
      </c>
      <c r="I684" t="str">
        <f t="shared" si="76"/>
        <v/>
      </c>
    </row>
    <row r="685" spans="1:9" x14ac:dyDescent="0.25">
      <c r="A685" t="s">
        <v>277</v>
      </c>
      <c r="B685" s="6">
        <f t="shared" si="77"/>
        <v>8.0210000000000008</v>
      </c>
      <c r="C685" s="3">
        <f t="shared" si="78"/>
        <v>101</v>
      </c>
      <c r="D685" s="3" t="str">
        <f t="shared" si="72"/>
        <v/>
      </c>
      <c r="E685" s="3">
        <f t="shared" si="73"/>
        <v>150</v>
      </c>
      <c r="F685" s="5" t="str">
        <f>IF(C685=0,"Broadcast",IF(D685="",IF(E685="","",IF(E685&lt;128,"Verbind "&amp;E685,INDEX(KdoCodeTab,MATCH(E685,KdoWertTab,0)))),"StatusAbfr "&amp;D685))</f>
        <v>SpaceWdh</v>
      </c>
      <c r="G685" t="str">
        <f t="shared" si="74"/>
        <v>SpaceWdh</v>
      </c>
      <c r="H685" t="str">
        <f t="shared" si="75"/>
        <v/>
      </c>
      <c r="I685" t="str">
        <f t="shared" si="76"/>
        <v/>
      </c>
    </row>
    <row r="686" spans="1:9" x14ac:dyDescent="0.25">
      <c r="A686" t="s">
        <v>278</v>
      </c>
      <c r="B686" s="6">
        <f t="shared" si="77"/>
        <v>8.040166666666666</v>
      </c>
      <c r="C686" s="3">
        <f t="shared" si="78"/>
        <v>101</v>
      </c>
      <c r="D686" s="3" t="str">
        <f t="shared" si="72"/>
        <v/>
      </c>
      <c r="E686" s="3">
        <f t="shared" si="73"/>
        <v>156</v>
      </c>
      <c r="F686" s="5" t="str">
        <f>IF(C686=0,"Broadcast",IF(D686="",IF(E686="","",IF(E686&lt;128,"Verbind "&amp;E686,INDEX(KdoCodeTab,MATCH(E686,KdoWertTab,0)))),"StatusAbfr "&amp;D686))</f>
        <v>Mark</v>
      </c>
      <c r="G686" t="str">
        <f t="shared" si="74"/>
        <v>Mark</v>
      </c>
      <c r="H686" t="str">
        <f t="shared" si="75"/>
        <v/>
      </c>
      <c r="I686" t="str">
        <f t="shared" si="76"/>
        <v/>
      </c>
    </row>
    <row r="687" spans="1:9" x14ac:dyDescent="0.25">
      <c r="A687" t="s">
        <v>279</v>
      </c>
      <c r="B687" s="6">
        <f t="shared" si="77"/>
        <v>8.0411666666666672</v>
      </c>
      <c r="C687" s="3">
        <f t="shared" si="78"/>
        <v>101</v>
      </c>
      <c r="D687" s="3" t="str">
        <f t="shared" si="72"/>
        <v/>
      </c>
      <c r="E687" s="3">
        <f t="shared" si="73"/>
        <v>154</v>
      </c>
      <c r="F687" s="5" t="str">
        <f>IF(C687=0,"Broadcast",IF(D687="",IF(E687="","",IF(E687&lt;128,"Verbind "&amp;E687,INDEX(KdoCodeTab,MATCH(E687,KdoWertTab,0)))),"StatusAbfr "&amp;D687))</f>
        <v>MarkWdh</v>
      </c>
      <c r="G687" t="str">
        <f t="shared" si="74"/>
        <v>MarkWdh</v>
      </c>
      <c r="H687" t="str">
        <f t="shared" si="75"/>
        <v/>
      </c>
      <c r="I687" t="str">
        <f t="shared" si="76"/>
        <v/>
      </c>
    </row>
    <row r="688" spans="1:9" x14ac:dyDescent="0.25">
      <c r="A688" t="s">
        <v>280</v>
      </c>
      <c r="B688" s="6">
        <f t="shared" si="77"/>
        <v>8.0695000000000014</v>
      </c>
      <c r="C688" s="3">
        <f t="shared" si="78"/>
        <v>101</v>
      </c>
      <c r="D688" s="3" t="str">
        <f t="shared" si="72"/>
        <v/>
      </c>
      <c r="E688" s="3">
        <f t="shared" si="73"/>
        <v>147</v>
      </c>
      <c r="F688" s="5" t="str">
        <f>IF(C688=0,"Broadcast",IF(D688="",IF(E688="","",IF(E688&lt;128,"Verbind "&amp;E688,INDEX(KdoCodeTab,MATCH(E688,KdoWertTab,0)))),"StatusAbfr "&amp;D688))</f>
        <v>Space</v>
      </c>
      <c r="G688" t="str">
        <f t="shared" si="74"/>
        <v>Space</v>
      </c>
      <c r="H688" t="str">
        <f t="shared" si="75"/>
        <v/>
      </c>
      <c r="I688" t="str">
        <f t="shared" si="76"/>
        <v/>
      </c>
    </row>
    <row r="689" spans="1:9" x14ac:dyDescent="0.25">
      <c r="A689" t="s">
        <v>281</v>
      </c>
      <c r="B689" s="6">
        <f t="shared" si="77"/>
        <v>8.0705000000000009</v>
      </c>
      <c r="C689" s="3">
        <f t="shared" si="78"/>
        <v>101</v>
      </c>
      <c r="D689" s="3" t="str">
        <f t="shared" si="72"/>
        <v/>
      </c>
      <c r="E689" s="3">
        <f t="shared" si="73"/>
        <v>150</v>
      </c>
      <c r="F689" s="5" t="str">
        <f>IF(C689=0,"Broadcast",IF(D689="",IF(E689="","",IF(E689&lt;128,"Verbind "&amp;E689,INDEX(KdoCodeTab,MATCH(E689,KdoWertTab,0)))),"StatusAbfr "&amp;D689))</f>
        <v>SpaceWdh</v>
      </c>
      <c r="G689" t="str">
        <f t="shared" si="74"/>
        <v>SpaceWdh</v>
      </c>
      <c r="H689" t="str">
        <f t="shared" si="75"/>
        <v/>
      </c>
      <c r="I689" t="str">
        <f t="shared" si="76"/>
        <v/>
      </c>
    </row>
    <row r="690" spans="1:9" x14ac:dyDescent="0.25">
      <c r="A690" t="s">
        <v>282</v>
      </c>
      <c r="B690" s="6">
        <f t="shared" si="77"/>
        <v>8.1301666666666677</v>
      </c>
      <c r="C690" s="3">
        <f t="shared" si="78"/>
        <v>101</v>
      </c>
      <c r="D690" s="3" t="str">
        <f t="shared" si="72"/>
        <v/>
      </c>
      <c r="E690" s="3">
        <f t="shared" si="73"/>
        <v>156</v>
      </c>
      <c r="F690" s="5" t="str">
        <f>IF(C690=0,"Broadcast",IF(D690="",IF(E690="","",IF(E690&lt;128,"Verbind "&amp;E690,INDEX(KdoCodeTab,MATCH(E690,KdoWertTab,0)))),"StatusAbfr "&amp;D690))</f>
        <v>Mark</v>
      </c>
      <c r="G690" t="str">
        <f t="shared" si="74"/>
        <v>Mark</v>
      </c>
      <c r="H690" t="str">
        <f t="shared" si="75"/>
        <v/>
      </c>
      <c r="I690" t="str">
        <f t="shared" si="76"/>
        <v/>
      </c>
    </row>
    <row r="691" spans="1:9" x14ac:dyDescent="0.25">
      <c r="A691" t="s">
        <v>283</v>
      </c>
      <c r="B691" s="6">
        <f t="shared" si="77"/>
        <v>8.1310000000000002</v>
      </c>
      <c r="C691" s="3">
        <f t="shared" si="78"/>
        <v>101</v>
      </c>
      <c r="D691" s="3" t="str">
        <f t="shared" si="72"/>
        <v/>
      </c>
      <c r="E691" s="3">
        <f t="shared" si="73"/>
        <v>154</v>
      </c>
      <c r="F691" s="5" t="str">
        <f>IF(C691=0,"Broadcast",IF(D691="",IF(E691="","",IF(E691&lt;128,"Verbind "&amp;E691,INDEX(KdoCodeTab,MATCH(E691,KdoWertTab,0)))),"StatusAbfr "&amp;D691))</f>
        <v>MarkWdh</v>
      </c>
      <c r="G691" t="str">
        <f t="shared" si="74"/>
        <v>MarkWdh</v>
      </c>
      <c r="H691" t="str">
        <f t="shared" si="75"/>
        <v/>
      </c>
      <c r="I691" t="str">
        <f t="shared" si="76"/>
        <v/>
      </c>
    </row>
    <row r="692" spans="1:9" x14ac:dyDescent="0.25">
      <c r="A692" t="s">
        <v>284</v>
      </c>
      <c r="B692" s="6">
        <f t="shared" si="77"/>
        <v>8.1706666666666674</v>
      </c>
      <c r="C692" s="3">
        <f t="shared" si="78"/>
        <v>101</v>
      </c>
      <c r="D692" s="3" t="str">
        <f t="shared" si="72"/>
        <v/>
      </c>
      <c r="E692" s="3">
        <f t="shared" si="73"/>
        <v>147</v>
      </c>
      <c r="F692" s="5" t="str">
        <f>IF(C692=0,"Broadcast",IF(D692="",IF(E692="","",IF(E692&lt;128,"Verbind "&amp;E692,INDEX(KdoCodeTab,MATCH(E692,KdoWertTab,0)))),"StatusAbfr "&amp;D692))</f>
        <v>Space</v>
      </c>
      <c r="G692" t="str">
        <f t="shared" si="74"/>
        <v>Space</v>
      </c>
      <c r="H692" t="str">
        <f t="shared" si="75"/>
        <v/>
      </c>
      <c r="I692" t="str">
        <f t="shared" si="76"/>
        <v/>
      </c>
    </row>
    <row r="693" spans="1:9" x14ac:dyDescent="0.25">
      <c r="A693" t="s">
        <v>285</v>
      </c>
      <c r="B693" s="6">
        <f t="shared" si="77"/>
        <v>8.1715</v>
      </c>
      <c r="C693" s="3">
        <f t="shared" si="78"/>
        <v>101</v>
      </c>
      <c r="D693" s="3" t="str">
        <f t="shared" si="72"/>
        <v/>
      </c>
      <c r="E693" s="3">
        <f t="shared" si="73"/>
        <v>150</v>
      </c>
      <c r="F693" s="5" t="str">
        <f>IF(C693=0,"Broadcast",IF(D693="",IF(E693="","",IF(E693&lt;128,"Verbind "&amp;E693,INDEX(KdoCodeTab,MATCH(E693,KdoWertTab,0)))),"StatusAbfr "&amp;D693))</f>
        <v>SpaceWdh</v>
      </c>
      <c r="G693" t="str">
        <f t="shared" si="74"/>
        <v>SpaceWdh</v>
      </c>
      <c r="H693" t="str">
        <f t="shared" si="75"/>
        <v/>
      </c>
      <c r="I693" t="str">
        <f t="shared" si="76"/>
        <v/>
      </c>
    </row>
    <row r="694" spans="1:9" x14ac:dyDescent="0.25">
      <c r="A694" t="s">
        <v>286</v>
      </c>
      <c r="B694" s="6">
        <f t="shared" si="77"/>
        <v>8.1908333333333321</v>
      </c>
      <c r="C694" s="3">
        <f t="shared" si="78"/>
        <v>101</v>
      </c>
      <c r="D694" s="3" t="str">
        <f t="shared" si="72"/>
        <v/>
      </c>
      <c r="E694" s="3">
        <f t="shared" si="73"/>
        <v>156</v>
      </c>
      <c r="F694" s="5" t="str">
        <f>IF(C694=0,"Broadcast",IF(D694="",IF(E694="","",IF(E694&lt;128,"Verbind "&amp;E694,INDEX(KdoCodeTab,MATCH(E694,KdoWertTab,0)))),"StatusAbfr "&amp;D694))</f>
        <v>Mark</v>
      </c>
      <c r="G694" t="str">
        <f t="shared" si="74"/>
        <v>Mark</v>
      </c>
      <c r="H694" t="str">
        <f t="shared" si="75"/>
        <v/>
      </c>
      <c r="I694" t="str">
        <f t="shared" si="76"/>
        <v/>
      </c>
    </row>
    <row r="695" spans="1:9" x14ac:dyDescent="0.25">
      <c r="A695" t="s">
        <v>287</v>
      </c>
      <c r="B695" s="6">
        <f t="shared" si="77"/>
        <v>8.1916666666666682</v>
      </c>
      <c r="C695" s="3">
        <f t="shared" si="78"/>
        <v>101</v>
      </c>
      <c r="D695" s="3" t="str">
        <f t="shared" si="72"/>
        <v/>
      </c>
      <c r="E695" s="3">
        <f t="shared" si="73"/>
        <v>154</v>
      </c>
      <c r="F695" s="5" t="str">
        <f>IF(C695=0,"Broadcast",IF(D695="",IF(E695="","",IF(E695&lt;128,"Verbind "&amp;E695,INDEX(KdoCodeTab,MATCH(E695,KdoWertTab,0)))),"StatusAbfr "&amp;D695))</f>
        <v>MarkWdh</v>
      </c>
      <c r="G695" t="str">
        <f t="shared" si="74"/>
        <v>MarkWdh</v>
      </c>
      <c r="H695" t="str">
        <f t="shared" si="75"/>
        <v/>
      </c>
      <c r="I695" t="str">
        <f t="shared" si="76"/>
        <v/>
      </c>
    </row>
    <row r="696" spans="1:9" x14ac:dyDescent="0.25">
      <c r="A696" t="s">
        <v>288</v>
      </c>
      <c r="B696" s="6">
        <f t="shared" si="77"/>
        <v>8.2010000000000005</v>
      </c>
      <c r="C696" s="3">
        <f t="shared" si="78"/>
        <v>31</v>
      </c>
      <c r="D696" s="3" t="str">
        <f t="shared" si="72"/>
        <v/>
      </c>
      <c r="E696" s="3">
        <f t="shared" si="73"/>
        <v>154</v>
      </c>
      <c r="F696" s="5" t="str">
        <f>IF(C696=0,"Broadcast",IF(D696="",IF(E696="","",IF(E696&lt;128,"Verbind "&amp;E696,INDEX(KdoCodeTab,MATCH(E696,KdoWertTab,0)))),"StatusAbfr "&amp;D696))</f>
        <v>MarkWdh</v>
      </c>
      <c r="G696" t="str">
        <f t="shared" si="74"/>
        <v/>
      </c>
      <c r="H696" t="str">
        <f t="shared" si="75"/>
        <v>MarkWdh</v>
      </c>
      <c r="I696" t="str">
        <f t="shared" si="76"/>
        <v/>
      </c>
    </row>
    <row r="697" spans="1:9" x14ac:dyDescent="0.25">
      <c r="A697" t="s">
        <v>289</v>
      </c>
      <c r="B697" s="6">
        <f t="shared" si="77"/>
        <v>8.259500000000001</v>
      </c>
      <c r="C697" s="3">
        <f t="shared" si="78"/>
        <v>101</v>
      </c>
      <c r="D697" s="3" t="str">
        <f t="shared" si="72"/>
        <v/>
      </c>
      <c r="E697" s="3">
        <f t="shared" si="73"/>
        <v>147</v>
      </c>
      <c r="F697" s="5" t="str">
        <f>IF(C697=0,"Broadcast",IF(D697="",IF(E697="","",IF(E697&lt;128,"Verbind "&amp;E697,INDEX(KdoCodeTab,MATCH(E697,KdoWertTab,0)))),"StatusAbfr "&amp;D697))</f>
        <v>Space</v>
      </c>
      <c r="G697" t="str">
        <f t="shared" si="74"/>
        <v>Space</v>
      </c>
      <c r="H697" t="str">
        <f t="shared" si="75"/>
        <v/>
      </c>
      <c r="I697" t="str">
        <f t="shared" si="76"/>
        <v/>
      </c>
    </row>
    <row r="698" spans="1:9" x14ac:dyDescent="0.25">
      <c r="A698" t="s">
        <v>290</v>
      </c>
      <c r="B698" s="6">
        <f t="shared" si="77"/>
        <v>8.2603333333333335</v>
      </c>
      <c r="C698" s="3">
        <f t="shared" si="78"/>
        <v>101</v>
      </c>
      <c r="D698" s="3" t="str">
        <f t="shared" si="72"/>
        <v/>
      </c>
      <c r="E698" s="3">
        <f t="shared" si="73"/>
        <v>150</v>
      </c>
      <c r="F698" s="5" t="str">
        <f>IF(C698=0,"Broadcast",IF(D698="",IF(E698="","",IF(E698&lt;128,"Verbind "&amp;E698,INDEX(KdoCodeTab,MATCH(E698,KdoWertTab,0)))),"StatusAbfr "&amp;D698))</f>
        <v>SpaceWdh</v>
      </c>
      <c r="G698" t="str">
        <f t="shared" si="74"/>
        <v>SpaceWdh</v>
      </c>
      <c r="H698" t="str">
        <f t="shared" si="75"/>
        <v/>
      </c>
      <c r="I698" t="str">
        <f t="shared" si="76"/>
        <v/>
      </c>
    </row>
    <row r="699" spans="1:9" x14ac:dyDescent="0.25">
      <c r="A699" t="s">
        <v>291</v>
      </c>
      <c r="B699" s="6">
        <f t="shared" si="77"/>
        <v>8.3000000000000007</v>
      </c>
      <c r="C699" s="3">
        <f t="shared" si="78"/>
        <v>101</v>
      </c>
      <c r="D699" s="3" t="str">
        <f t="shared" ref="D699:D762" si="79">IF(MID(A699,10,1)="&lt;",MID(A699,12,2),"")</f>
        <v/>
      </c>
      <c r="E699" s="3">
        <f t="shared" ref="E699:E762" si="80">IF(MID(A699,10,1)="&gt;",HEX2DEC(MID(A699,12,2)),"")</f>
        <v>156</v>
      </c>
      <c r="F699" s="5" t="str">
        <f>IF(C699=0,"Broadcast",IF(D699="",IF(E699="","",IF(E699&lt;128,"Verbind "&amp;E699,INDEX(KdoCodeTab,MATCH(E699,KdoWertTab,0)))),"StatusAbfr "&amp;D699))</f>
        <v>Mark</v>
      </c>
      <c r="G699" t="str">
        <f t="shared" ref="G699:G762" si="81">IF(C699=$G$2,F699,"")</f>
        <v>Mark</v>
      </c>
      <c r="H699" t="str">
        <f t="shared" ref="H699:H762" si="82">IF(C699=$H$2,F699,"")</f>
        <v/>
      </c>
      <c r="I699" t="str">
        <f t="shared" ref="I699:I762" si="83">IF(G699&amp;H699="",F699,"")</f>
        <v/>
      </c>
    </row>
    <row r="700" spans="1:9" x14ac:dyDescent="0.25">
      <c r="A700" t="s">
        <v>292</v>
      </c>
      <c r="B700" s="6">
        <f t="shared" si="77"/>
        <v>8.3008333333333333</v>
      </c>
      <c r="C700" s="3">
        <f t="shared" si="78"/>
        <v>101</v>
      </c>
      <c r="D700" s="3" t="str">
        <f t="shared" si="79"/>
        <v/>
      </c>
      <c r="E700" s="3">
        <f t="shared" si="80"/>
        <v>154</v>
      </c>
      <c r="F700" s="5" t="str">
        <f>IF(C700=0,"Broadcast",IF(D700="",IF(E700="","",IF(E700&lt;128,"Verbind "&amp;E700,INDEX(KdoCodeTab,MATCH(E700,KdoWertTab,0)))),"StatusAbfr "&amp;D700))</f>
        <v>MarkWdh</v>
      </c>
      <c r="G700" t="str">
        <f t="shared" si="81"/>
        <v>MarkWdh</v>
      </c>
      <c r="H700" t="str">
        <f t="shared" si="82"/>
        <v/>
      </c>
      <c r="I700" t="str">
        <f t="shared" si="83"/>
        <v/>
      </c>
    </row>
    <row r="701" spans="1:9" x14ac:dyDescent="0.25">
      <c r="A701" t="s">
        <v>293</v>
      </c>
      <c r="B701" s="6">
        <f t="shared" si="77"/>
        <v>8.3393333333333342</v>
      </c>
      <c r="C701" s="3">
        <f t="shared" si="78"/>
        <v>101</v>
      </c>
      <c r="D701" s="3" t="str">
        <f t="shared" si="79"/>
        <v/>
      </c>
      <c r="E701" s="3">
        <f t="shared" si="80"/>
        <v>147</v>
      </c>
      <c r="F701" s="5" t="str">
        <f>IF(C701=0,"Broadcast",IF(D701="",IF(E701="","",IF(E701&lt;128,"Verbind "&amp;E701,INDEX(KdoCodeTab,MATCH(E701,KdoWertTab,0)))),"StatusAbfr "&amp;D701))</f>
        <v>Space</v>
      </c>
      <c r="G701" t="str">
        <f t="shared" si="81"/>
        <v>Space</v>
      </c>
      <c r="H701" t="str">
        <f t="shared" si="82"/>
        <v/>
      </c>
      <c r="I701" t="str">
        <f t="shared" si="83"/>
        <v/>
      </c>
    </row>
    <row r="702" spans="1:9" x14ac:dyDescent="0.25">
      <c r="A702" t="s">
        <v>294</v>
      </c>
      <c r="B702" s="6">
        <f t="shared" si="77"/>
        <v>8.3401666666666667</v>
      </c>
      <c r="C702" s="3">
        <f t="shared" si="78"/>
        <v>101</v>
      </c>
      <c r="D702" s="3" t="str">
        <f t="shared" si="79"/>
        <v/>
      </c>
      <c r="E702" s="3">
        <f t="shared" si="80"/>
        <v>150</v>
      </c>
      <c r="F702" s="5" t="str">
        <f>IF(C702=0,"Broadcast",IF(D702="",IF(E702="","",IF(E702&lt;128,"Verbind "&amp;E702,INDEX(KdoCodeTab,MATCH(E702,KdoWertTab,0)))),"StatusAbfr "&amp;D702))</f>
        <v>SpaceWdh</v>
      </c>
      <c r="G702" t="str">
        <f t="shared" si="81"/>
        <v>SpaceWdh</v>
      </c>
      <c r="H702" t="str">
        <f t="shared" si="82"/>
        <v/>
      </c>
      <c r="I702" t="str">
        <f t="shared" si="83"/>
        <v/>
      </c>
    </row>
    <row r="703" spans="1:9" x14ac:dyDescent="0.25">
      <c r="A703" t="s">
        <v>295</v>
      </c>
      <c r="B703" s="6">
        <f t="shared" si="77"/>
        <v>8.379666666666667</v>
      </c>
      <c r="C703" s="3">
        <f t="shared" si="78"/>
        <v>101</v>
      </c>
      <c r="D703" s="3" t="str">
        <f t="shared" si="79"/>
        <v/>
      </c>
      <c r="E703" s="3">
        <f t="shared" si="80"/>
        <v>156</v>
      </c>
      <c r="F703" s="5" t="str">
        <f>IF(C703=0,"Broadcast",IF(D703="",IF(E703="","",IF(E703&lt;128,"Verbind "&amp;E703,INDEX(KdoCodeTab,MATCH(E703,KdoWertTab,0)))),"StatusAbfr "&amp;D703))</f>
        <v>Mark</v>
      </c>
      <c r="G703" t="str">
        <f t="shared" si="81"/>
        <v>Mark</v>
      </c>
      <c r="H703" t="str">
        <f t="shared" si="82"/>
        <v/>
      </c>
      <c r="I703" t="str">
        <f t="shared" si="83"/>
        <v/>
      </c>
    </row>
    <row r="704" spans="1:9" x14ac:dyDescent="0.25">
      <c r="A704" t="s">
        <v>296</v>
      </c>
      <c r="B704" s="6">
        <f t="shared" si="77"/>
        <v>8.3806666666666683</v>
      </c>
      <c r="C704" s="3">
        <f t="shared" si="78"/>
        <v>101</v>
      </c>
      <c r="D704" s="3" t="str">
        <f t="shared" si="79"/>
        <v/>
      </c>
      <c r="E704" s="3">
        <f t="shared" si="80"/>
        <v>154</v>
      </c>
      <c r="F704" s="5" t="str">
        <f>IF(C704=0,"Broadcast",IF(D704="",IF(E704="","",IF(E704&lt;128,"Verbind "&amp;E704,INDEX(KdoCodeTab,MATCH(E704,KdoWertTab,0)))),"StatusAbfr "&amp;D704))</f>
        <v>MarkWdh</v>
      </c>
      <c r="G704" t="str">
        <f t="shared" si="81"/>
        <v>MarkWdh</v>
      </c>
      <c r="H704" t="str">
        <f t="shared" si="82"/>
        <v/>
      </c>
      <c r="I704" t="str">
        <f t="shared" si="83"/>
        <v/>
      </c>
    </row>
    <row r="705" spans="1:9" x14ac:dyDescent="0.25">
      <c r="A705" t="s">
        <v>297</v>
      </c>
      <c r="B705" s="6">
        <f t="shared" si="77"/>
        <v>8.4938333333333329</v>
      </c>
      <c r="C705" s="3">
        <f t="shared" si="78"/>
        <v>101</v>
      </c>
      <c r="D705" s="3" t="str">
        <f t="shared" si="79"/>
        <v/>
      </c>
      <c r="E705" s="3">
        <f t="shared" si="80"/>
        <v>147</v>
      </c>
      <c r="F705" s="5" t="str">
        <f>IF(C705=0,"Broadcast",IF(D705="",IF(E705="","",IF(E705&lt;128,"Verbind "&amp;E705,INDEX(KdoCodeTab,MATCH(E705,KdoWertTab,0)))),"StatusAbfr "&amp;D705))</f>
        <v>Space</v>
      </c>
      <c r="G705" t="str">
        <f t="shared" si="81"/>
        <v>Space</v>
      </c>
      <c r="H705" t="str">
        <f t="shared" si="82"/>
        <v/>
      </c>
      <c r="I705" t="str">
        <f t="shared" si="83"/>
        <v/>
      </c>
    </row>
    <row r="706" spans="1:9" x14ac:dyDescent="0.25">
      <c r="A706" t="s">
        <v>298</v>
      </c>
      <c r="B706" s="6">
        <f t="shared" si="77"/>
        <v>8.4948333333333323</v>
      </c>
      <c r="C706" s="3">
        <f t="shared" si="78"/>
        <v>101</v>
      </c>
      <c r="D706" s="3" t="str">
        <f t="shared" si="79"/>
        <v/>
      </c>
      <c r="E706" s="3">
        <f t="shared" si="80"/>
        <v>150</v>
      </c>
      <c r="F706" s="5" t="str">
        <f>IF(C706=0,"Broadcast",IF(D706="",IF(E706="","",IF(E706&lt;128,"Verbind "&amp;E706,INDEX(KdoCodeTab,MATCH(E706,KdoWertTab,0)))),"StatusAbfr "&amp;D706))</f>
        <v>SpaceWdh</v>
      </c>
      <c r="G706" t="str">
        <f t="shared" si="81"/>
        <v>SpaceWdh</v>
      </c>
      <c r="H706" t="str">
        <f t="shared" si="82"/>
        <v/>
      </c>
      <c r="I706" t="str">
        <f t="shared" si="83"/>
        <v/>
      </c>
    </row>
    <row r="707" spans="1:9" x14ac:dyDescent="0.25">
      <c r="A707" t="s">
        <v>299</v>
      </c>
      <c r="B707" s="6">
        <f t="shared" si="77"/>
        <v>8.5545000000000009</v>
      </c>
      <c r="C707" s="3">
        <f t="shared" si="78"/>
        <v>101</v>
      </c>
      <c r="D707" s="3" t="str">
        <f t="shared" si="79"/>
        <v/>
      </c>
      <c r="E707" s="3">
        <f t="shared" si="80"/>
        <v>156</v>
      </c>
      <c r="F707" s="5" t="str">
        <f>IF(C707=0,"Broadcast",IF(D707="",IF(E707="","",IF(E707&lt;128,"Verbind "&amp;E707,INDEX(KdoCodeTab,MATCH(E707,KdoWertTab,0)))),"StatusAbfr "&amp;D707))</f>
        <v>Mark</v>
      </c>
      <c r="G707" t="str">
        <f t="shared" si="81"/>
        <v>Mark</v>
      </c>
      <c r="H707" t="str">
        <f t="shared" si="82"/>
        <v/>
      </c>
      <c r="I707" t="str">
        <f t="shared" si="83"/>
        <v/>
      </c>
    </row>
    <row r="708" spans="1:9" x14ac:dyDescent="0.25">
      <c r="A708" t="s">
        <v>300</v>
      </c>
      <c r="B708" s="6">
        <f t="shared" si="77"/>
        <v>8.5553333333333335</v>
      </c>
      <c r="C708" s="3">
        <f t="shared" si="78"/>
        <v>101</v>
      </c>
      <c r="D708" s="3" t="str">
        <f t="shared" si="79"/>
        <v/>
      </c>
      <c r="E708" s="3">
        <f t="shared" si="80"/>
        <v>154</v>
      </c>
      <c r="F708" s="5" t="str">
        <f>IF(C708=0,"Broadcast",IF(D708="",IF(E708="","",IF(E708&lt;128,"Verbind "&amp;E708,INDEX(KdoCodeTab,MATCH(E708,KdoWertTab,0)))),"StatusAbfr "&amp;D708))</f>
        <v>MarkWdh</v>
      </c>
      <c r="G708" t="str">
        <f t="shared" si="81"/>
        <v>MarkWdh</v>
      </c>
      <c r="H708" t="str">
        <f t="shared" si="82"/>
        <v/>
      </c>
      <c r="I708" t="str">
        <f t="shared" si="83"/>
        <v/>
      </c>
    </row>
    <row r="709" spans="1:9" x14ac:dyDescent="0.25">
      <c r="A709" t="s">
        <v>301</v>
      </c>
      <c r="B709" s="6">
        <f t="shared" ref="B709:B772" si="84">MID(A709,1,5)/1000+(CODE(MID(A709,6,1))-CODE("a"))/6000</f>
        <v>8.594833333333332</v>
      </c>
      <c r="C709" s="3">
        <f t="shared" ref="C709:C772" si="85">INT(HEX2DEC(MID(A709,8,2))/2)</f>
        <v>101</v>
      </c>
      <c r="D709" s="3" t="str">
        <f t="shared" si="79"/>
        <v/>
      </c>
      <c r="E709" s="3">
        <f t="shared" si="80"/>
        <v>147</v>
      </c>
      <c r="F709" s="5" t="str">
        <f>IF(C709=0,"Broadcast",IF(D709="",IF(E709="","",IF(E709&lt;128,"Verbind "&amp;E709,INDEX(KdoCodeTab,MATCH(E709,KdoWertTab,0)))),"StatusAbfr "&amp;D709))</f>
        <v>Space</v>
      </c>
      <c r="G709" t="str">
        <f t="shared" si="81"/>
        <v>Space</v>
      </c>
      <c r="H709" t="str">
        <f t="shared" si="82"/>
        <v/>
      </c>
      <c r="I709" t="str">
        <f t="shared" si="83"/>
        <v/>
      </c>
    </row>
    <row r="710" spans="1:9" x14ac:dyDescent="0.25">
      <c r="A710" t="s">
        <v>302</v>
      </c>
      <c r="B710" s="6">
        <f t="shared" si="84"/>
        <v>8.5956666666666681</v>
      </c>
      <c r="C710" s="3">
        <f t="shared" si="85"/>
        <v>101</v>
      </c>
      <c r="D710" s="3" t="str">
        <f t="shared" si="79"/>
        <v/>
      </c>
      <c r="E710" s="3">
        <f t="shared" si="80"/>
        <v>150</v>
      </c>
      <c r="F710" s="5" t="str">
        <f>IF(C710=0,"Broadcast",IF(D710="",IF(E710="","",IF(E710&lt;128,"Verbind "&amp;E710,INDEX(KdoCodeTab,MATCH(E710,KdoWertTab,0)))),"StatusAbfr "&amp;D710))</f>
        <v>SpaceWdh</v>
      </c>
      <c r="G710" t="str">
        <f t="shared" si="81"/>
        <v>SpaceWdh</v>
      </c>
      <c r="H710" t="str">
        <f t="shared" si="82"/>
        <v/>
      </c>
      <c r="I710" t="str">
        <f t="shared" si="83"/>
        <v/>
      </c>
    </row>
    <row r="711" spans="1:9" x14ac:dyDescent="0.25">
      <c r="A711" t="s">
        <v>303</v>
      </c>
      <c r="B711" s="6">
        <f t="shared" si="84"/>
        <v>8.6151666666666671</v>
      </c>
      <c r="C711" s="3">
        <f t="shared" si="85"/>
        <v>101</v>
      </c>
      <c r="D711" s="3" t="str">
        <f t="shared" si="79"/>
        <v/>
      </c>
      <c r="E711" s="3">
        <f t="shared" si="80"/>
        <v>156</v>
      </c>
      <c r="F711" s="5" t="str">
        <f>IF(C711=0,"Broadcast",IF(D711="",IF(E711="","",IF(E711&lt;128,"Verbind "&amp;E711,INDEX(KdoCodeTab,MATCH(E711,KdoWertTab,0)))),"StatusAbfr "&amp;D711))</f>
        <v>Mark</v>
      </c>
      <c r="G711" t="str">
        <f t="shared" si="81"/>
        <v>Mark</v>
      </c>
      <c r="H711" t="str">
        <f t="shared" si="82"/>
        <v/>
      </c>
      <c r="I711" t="str">
        <f t="shared" si="83"/>
        <v/>
      </c>
    </row>
    <row r="712" spans="1:9" x14ac:dyDescent="0.25">
      <c r="A712" t="s">
        <v>304</v>
      </c>
      <c r="B712" s="6">
        <f t="shared" si="84"/>
        <v>8.6159999999999997</v>
      </c>
      <c r="C712" s="3">
        <f t="shared" si="85"/>
        <v>101</v>
      </c>
      <c r="D712" s="3" t="str">
        <f t="shared" si="79"/>
        <v/>
      </c>
      <c r="E712" s="3">
        <f t="shared" si="80"/>
        <v>154</v>
      </c>
      <c r="F712" s="5" t="str">
        <f>IF(C712=0,"Broadcast",IF(D712="",IF(E712="","",IF(E712&lt;128,"Verbind "&amp;E712,INDEX(KdoCodeTab,MATCH(E712,KdoWertTab,0)))),"StatusAbfr "&amp;D712))</f>
        <v>MarkWdh</v>
      </c>
      <c r="G712" t="str">
        <f t="shared" si="81"/>
        <v>MarkWdh</v>
      </c>
      <c r="H712" t="str">
        <f t="shared" si="82"/>
        <v/>
      </c>
      <c r="I712" t="str">
        <f t="shared" si="83"/>
        <v/>
      </c>
    </row>
    <row r="713" spans="1:9" x14ac:dyDescent="0.25">
      <c r="A713" t="s">
        <v>305</v>
      </c>
      <c r="B713" s="6">
        <f t="shared" si="84"/>
        <v>8.6219999999999999</v>
      </c>
      <c r="C713" s="3">
        <f t="shared" si="85"/>
        <v>101</v>
      </c>
      <c r="D713" s="3" t="str">
        <f t="shared" si="79"/>
        <v/>
      </c>
      <c r="E713" s="3">
        <f t="shared" si="80"/>
        <v>169</v>
      </c>
      <c r="F713" s="5" t="str">
        <f>IF(C713=0,"Broadcast",IF(D713="",IF(E713="","",IF(E713&lt;128,"Verbind "&amp;E713,INDEX(KdoCodeTab,MATCH(E713,KdoWertTab,0)))),"StatusAbfr "&amp;D713))</f>
        <v>BusLebenszeichen</v>
      </c>
      <c r="G713" t="str">
        <f t="shared" si="81"/>
        <v>BusLebenszeichen</v>
      </c>
      <c r="H713" t="str">
        <f t="shared" si="82"/>
        <v/>
      </c>
      <c r="I713" t="str">
        <f t="shared" si="83"/>
        <v/>
      </c>
    </row>
    <row r="714" spans="1:9" x14ac:dyDescent="0.25">
      <c r="A714" t="s">
        <v>306</v>
      </c>
      <c r="B714" s="6">
        <f t="shared" si="84"/>
        <v>8.7071666666666676</v>
      </c>
      <c r="C714" s="3">
        <f t="shared" si="85"/>
        <v>31</v>
      </c>
      <c r="D714" s="3" t="str">
        <f t="shared" si="79"/>
        <v/>
      </c>
      <c r="E714" s="3">
        <f t="shared" si="80"/>
        <v>154</v>
      </c>
      <c r="F714" s="5" t="str">
        <f>IF(C714=0,"Broadcast",IF(D714="",IF(E714="","",IF(E714&lt;128,"Verbind "&amp;E714,INDEX(KdoCodeTab,MATCH(E714,KdoWertTab,0)))),"StatusAbfr "&amp;D714))</f>
        <v>MarkWdh</v>
      </c>
      <c r="G714" t="str">
        <f t="shared" si="81"/>
        <v/>
      </c>
      <c r="H714" t="str">
        <f t="shared" si="82"/>
        <v>MarkWdh</v>
      </c>
      <c r="I714" t="str">
        <f t="shared" si="83"/>
        <v/>
      </c>
    </row>
    <row r="715" spans="1:9" x14ac:dyDescent="0.25">
      <c r="A715" t="s">
        <v>307</v>
      </c>
      <c r="B715" s="6">
        <f t="shared" si="84"/>
        <v>8.7189999999999994</v>
      </c>
      <c r="C715" s="3">
        <f t="shared" si="85"/>
        <v>101</v>
      </c>
      <c r="D715" s="3" t="str">
        <f t="shared" si="79"/>
        <v/>
      </c>
      <c r="E715" s="3">
        <f t="shared" si="80"/>
        <v>147</v>
      </c>
      <c r="F715" s="5" t="str">
        <f>IF(C715=0,"Broadcast",IF(D715="",IF(E715="","",IF(E715&lt;128,"Verbind "&amp;E715,INDEX(KdoCodeTab,MATCH(E715,KdoWertTab,0)))),"StatusAbfr "&amp;D715))</f>
        <v>Space</v>
      </c>
      <c r="G715" t="str">
        <f t="shared" si="81"/>
        <v>Space</v>
      </c>
      <c r="H715" t="str">
        <f t="shared" si="82"/>
        <v/>
      </c>
      <c r="I715" t="str">
        <f t="shared" si="83"/>
        <v/>
      </c>
    </row>
    <row r="716" spans="1:9" x14ac:dyDescent="0.25">
      <c r="A716" t="s">
        <v>308</v>
      </c>
      <c r="B716" s="6">
        <f t="shared" si="84"/>
        <v>8.7200000000000006</v>
      </c>
      <c r="C716" s="3">
        <f t="shared" si="85"/>
        <v>101</v>
      </c>
      <c r="D716" s="3" t="str">
        <f t="shared" si="79"/>
        <v/>
      </c>
      <c r="E716" s="3">
        <f t="shared" si="80"/>
        <v>150</v>
      </c>
      <c r="F716" s="5" t="str">
        <f>IF(C716=0,"Broadcast",IF(D716="",IF(E716="","",IF(E716&lt;128,"Verbind "&amp;E716,INDEX(KdoCodeTab,MATCH(E716,KdoWertTab,0)))),"StatusAbfr "&amp;D716))</f>
        <v>SpaceWdh</v>
      </c>
      <c r="G716" t="str">
        <f t="shared" si="81"/>
        <v>SpaceWdh</v>
      </c>
      <c r="H716" t="str">
        <f t="shared" si="82"/>
        <v/>
      </c>
      <c r="I716" t="str">
        <f t="shared" si="83"/>
        <v/>
      </c>
    </row>
    <row r="717" spans="1:9" x14ac:dyDescent="0.25">
      <c r="A717" t="s">
        <v>309</v>
      </c>
      <c r="B717" s="6">
        <f t="shared" si="84"/>
        <v>8.7596666666666678</v>
      </c>
      <c r="C717" s="3">
        <f t="shared" si="85"/>
        <v>101</v>
      </c>
      <c r="D717" s="3" t="str">
        <f t="shared" si="79"/>
        <v/>
      </c>
      <c r="E717" s="3">
        <f t="shared" si="80"/>
        <v>156</v>
      </c>
      <c r="F717" s="5" t="str">
        <f>IF(C717=0,"Broadcast",IF(D717="",IF(E717="","",IF(E717&lt;128,"Verbind "&amp;E717,INDEX(KdoCodeTab,MATCH(E717,KdoWertTab,0)))),"StatusAbfr "&amp;D717))</f>
        <v>Mark</v>
      </c>
      <c r="G717" t="str">
        <f t="shared" si="81"/>
        <v>Mark</v>
      </c>
      <c r="H717" t="str">
        <f t="shared" si="82"/>
        <v/>
      </c>
      <c r="I717" t="str">
        <f t="shared" si="83"/>
        <v/>
      </c>
    </row>
    <row r="718" spans="1:9" x14ac:dyDescent="0.25">
      <c r="A718" t="s">
        <v>310</v>
      </c>
      <c r="B718" s="6">
        <f t="shared" si="84"/>
        <v>8.7605000000000004</v>
      </c>
      <c r="C718" s="3">
        <f t="shared" si="85"/>
        <v>101</v>
      </c>
      <c r="D718" s="3" t="str">
        <f t="shared" si="79"/>
        <v/>
      </c>
      <c r="E718" s="3">
        <f t="shared" si="80"/>
        <v>154</v>
      </c>
      <c r="F718" s="5" t="str">
        <f>IF(C718=0,"Broadcast",IF(D718="",IF(E718="","",IF(E718&lt;128,"Verbind "&amp;E718,INDEX(KdoCodeTab,MATCH(E718,KdoWertTab,0)))),"StatusAbfr "&amp;D718))</f>
        <v>MarkWdh</v>
      </c>
      <c r="G718" t="str">
        <f t="shared" si="81"/>
        <v>MarkWdh</v>
      </c>
      <c r="H718" t="str">
        <f t="shared" si="82"/>
        <v/>
      </c>
      <c r="I718" t="str">
        <f t="shared" si="83"/>
        <v/>
      </c>
    </row>
    <row r="719" spans="1:9" x14ac:dyDescent="0.25">
      <c r="A719" t="s">
        <v>311</v>
      </c>
      <c r="B719" s="6">
        <f t="shared" si="84"/>
        <v>8.778666666666668</v>
      </c>
      <c r="C719" s="3">
        <f t="shared" si="85"/>
        <v>101</v>
      </c>
      <c r="D719" s="3" t="str">
        <f t="shared" si="79"/>
        <v/>
      </c>
      <c r="E719" s="3">
        <f t="shared" si="80"/>
        <v>147</v>
      </c>
      <c r="F719" s="5" t="str">
        <f>IF(C719=0,"Broadcast",IF(D719="",IF(E719="","",IF(E719&lt;128,"Verbind "&amp;E719,INDEX(KdoCodeTab,MATCH(E719,KdoWertTab,0)))),"StatusAbfr "&amp;D719))</f>
        <v>Space</v>
      </c>
      <c r="G719" t="str">
        <f t="shared" si="81"/>
        <v>Space</v>
      </c>
      <c r="H719" t="str">
        <f t="shared" si="82"/>
        <v/>
      </c>
      <c r="I719" t="str">
        <f t="shared" si="83"/>
        <v/>
      </c>
    </row>
    <row r="720" spans="1:9" x14ac:dyDescent="0.25">
      <c r="A720" t="s">
        <v>312</v>
      </c>
      <c r="B720" s="6">
        <f t="shared" si="84"/>
        <v>8.7796666666666674</v>
      </c>
      <c r="C720" s="3">
        <f t="shared" si="85"/>
        <v>101</v>
      </c>
      <c r="D720" s="3" t="str">
        <f t="shared" si="79"/>
        <v/>
      </c>
      <c r="E720" s="3">
        <f t="shared" si="80"/>
        <v>150</v>
      </c>
      <c r="F720" s="5" t="str">
        <f>IF(C720=0,"Broadcast",IF(D720="",IF(E720="","",IF(E720&lt;128,"Verbind "&amp;E720,INDEX(KdoCodeTab,MATCH(E720,KdoWertTab,0)))),"StatusAbfr "&amp;D720))</f>
        <v>SpaceWdh</v>
      </c>
      <c r="G720" t="str">
        <f t="shared" si="81"/>
        <v>SpaceWdh</v>
      </c>
      <c r="H720" t="str">
        <f t="shared" si="82"/>
        <v/>
      </c>
      <c r="I720" t="str">
        <f t="shared" si="83"/>
        <v/>
      </c>
    </row>
    <row r="721" spans="1:9" x14ac:dyDescent="0.25">
      <c r="A721" t="s">
        <v>313</v>
      </c>
      <c r="B721" s="6">
        <f t="shared" si="84"/>
        <v>8.7989999999999995</v>
      </c>
      <c r="C721" s="3">
        <f t="shared" si="85"/>
        <v>101</v>
      </c>
      <c r="D721" s="3" t="str">
        <f t="shared" si="79"/>
        <v/>
      </c>
      <c r="E721" s="3">
        <f t="shared" si="80"/>
        <v>156</v>
      </c>
      <c r="F721" s="5" t="str">
        <f>IF(C721=0,"Broadcast",IF(D721="",IF(E721="","",IF(E721&lt;128,"Verbind "&amp;E721,INDEX(KdoCodeTab,MATCH(E721,KdoWertTab,0)))),"StatusAbfr "&amp;D721))</f>
        <v>Mark</v>
      </c>
      <c r="G721" t="str">
        <f t="shared" si="81"/>
        <v>Mark</v>
      </c>
      <c r="H721" t="str">
        <f t="shared" si="82"/>
        <v/>
      </c>
      <c r="I721" t="str">
        <f t="shared" si="83"/>
        <v/>
      </c>
    </row>
    <row r="722" spans="1:9" x14ac:dyDescent="0.25">
      <c r="A722" t="s">
        <v>314</v>
      </c>
      <c r="B722" s="6">
        <f t="shared" si="84"/>
        <v>8.8000000000000007</v>
      </c>
      <c r="C722" s="3">
        <f t="shared" si="85"/>
        <v>101</v>
      </c>
      <c r="D722" s="3" t="str">
        <f t="shared" si="79"/>
        <v/>
      </c>
      <c r="E722" s="3">
        <f t="shared" si="80"/>
        <v>154</v>
      </c>
      <c r="F722" s="5" t="str">
        <f>IF(C722=0,"Broadcast",IF(D722="",IF(E722="","",IF(E722&lt;128,"Verbind "&amp;E722,INDEX(KdoCodeTab,MATCH(E722,KdoWertTab,0)))),"StatusAbfr "&amp;D722))</f>
        <v>MarkWdh</v>
      </c>
      <c r="G722" t="str">
        <f t="shared" si="81"/>
        <v>MarkWdh</v>
      </c>
      <c r="H722" t="str">
        <f t="shared" si="82"/>
        <v/>
      </c>
      <c r="I722" t="str">
        <f t="shared" si="83"/>
        <v/>
      </c>
    </row>
    <row r="723" spans="1:9" x14ac:dyDescent="0.25">
      <c r="A723" t="s">
        <v>315</v>
      </c>
      <c r="B723" s="6">
        <f t="shared" si="84"/>
        <v>9.01</v>
      </c>
      <c r="C723" s="3">
        <f t="shared" si="85"/>
        <v>101</v>
      </c>
      <c r="D723" s="3" t="str">
        <f t="shared" si="79"/>
        <v/>
      </c>
      <c r="E723" s="3">
        <f t="shared" si="80"/>
        <v>147</v>
      </c>
      <c r="F723" s="5" t="str">
        <f>IF(C723=0,"Broadcast",IF(D723="",IF(E723="","",IF(E723&lt;128,"Verbind "&amp;E723,INDEX(KdoCodeTab,MATCH(E723,KdoWertTab,0)))),"StatusAbfr "&amp;D723))</f>
        <v>Space</v>
      </c>
      <c r="G723" t="str">
        <f t="shared" si="81"/>
        <v>Space</v>
      </c>
      <c r="H723" t="str">
        <f t="shared" si="82"/>
        <v/>
      </c>
      <c r="I723" t="str">
        <f t="shared" si="83"/>
        <v/>
      </c>
    </row>
    <row r="724" spans="1:9" x14ac:dyDescent="0.25">
      <c r="A724" t="s">
        <v>316</v>
      </c>
      <c r="B724" s="6">
        <f t="shared" si="84"/>
        <v>9.0109999999999992</v>
      </c>
      <c r="C724" s="3">
        <f t="shared" si="85"/>
        <v>101</v>
      </c>
      <c r="D724" s="3" t="str">
        <f t="shared" si="79"/>
        <v/>
      </c>
      <c r="E724" s="3">
        <f t="shared" si="80"/>
        <v>150</v>
      </c>
      <c r="F724" s="5" t="str">
        <f>IF(C724=0,"Broadcast",IF(D724="",IF(E724="","",IF(E724&lt;128,"Verbind "&amp;E724,INDEX(KdoCodeTab,MATCH(E724,KdoWertTab,0)))),"StatusAbfr "&amp;D724))</f>
        <v>SpaceWdh</v>
      </c>
      <c r="G724" t="str">
        <f t="shared" si="81"/>
        <v>SpaceWdh</v>
      </c>
      <c r="H724" t="str">
        <f t="shared" si="82"/>
        <v/>
      </c>
      <c r="I724" t="str">
        <f t="shared" si="83"/>
        <v/>
      </c>
    </row>
    <row r="725" spans="1:9" x14ac:dyDescent="0.25">
      <c r="A725" t="s">
        <v>317</v>
      </c>
      <c r="B725" s="6">
        <f t="shared" si="84"/>
        <v>9.0301666666666662</v>
      </c>
      <c r="C725" s="3">
        <f t="shared" si="85"/>
        <v>101</v>
      </c>
      <c r="D725" s="3" t="str">
        <f t="shared" si="79"/>
        <v/>
      </c>
      <c r="E725" s="3">
        <f t="shared" si="80"/>
        <v>156</v>
      </c>
      <c r="F725" s="5" t="str">
        <f>IF(C725=0,"Broadcast",IF(D725="",IF(E725="","",IF(E725&lt;128,"Verbind "&amp;E725,INDEX(KdoCodeTab,MATCH(E725,KdoWertTab,0)))),"StatusAbfr "&amp;D725))</f>
        <v>Mark</v>
      </c>
      <c r="G725" t="str">
        <f t="shared" si="81"/>
        <v>Mark</v>
      </c>
      <c r="H725" t="str">
        <f t="shared" si="82"/>
        <v/>
      </c>
      <c r="I725" t="str">
        <f t="shared" si="83"/>
        <v/>
      </c>
    </row>
    <row r="726" spans="1:9" x14ac:dyDescent="0.25">
      <c r="A726" t="s">
        <v>318</v>
      </c>
      <c r="B726" s="6">
        <f t="shared" si="84"/>
        <v>9.0311666666666675</v>
      </c>
      <c r="C726" s="3">
        <f t="shared" si="85"/>
        <v>101</v>
      </c>
      <c r="D726" s="3" t="str">
        <f t="shared" si="79"/>
        <v/>
      </c>
      <c r="E726" s="3">
        <f t="shared" si="80"/>
        <v>154</v>
      </c>
      <c r="F726" s="5" t="str">
        <f>IF(C726=0,"Broadcast",IF(D726="",IF(E726="","",IF(E726&lt;128,"Verbind "&amp;E726,INDEX(KdoCodeTab,MATCH(E726,KdoWertTab,0)))),"StatusAbfr "&amp;D726))</f>
        <v>MarkWdh</v>
      </c>
      <c r="G726" t="str">
        <f t="shared" si="81"/>
        <v>MarkWdh</v>
      </c>
      <c r="H726" t="str">
        <f t="shared" si="82"/>
        <v/>
      </c>
      <c r="I726" t="str">
        <f t="shared" si="83"/>
        <v/>
      </c>
    </row>
    <row r="727" spans="1:9" x14ac:dyDescent="0.25">
      <c r="A727" t="s">
        <v>319</v>
      </c>
      <c r="B727" s="6">
        <f t="shared" si="84"/>
        <v>9.0696666666666683</v>
      </c>
      <c r="C727" s="3">
        <f t="shared" si="85"/>
        <v>101</v>
      </c>
      <c r="D727" s="3" t="str">
        <f t="shared" si="79"/>
        <v/>
      </c>
      <c r="E727" s="3">
        <f t="shared" si="80"/>
        <v>147</v>
      </c>
      <c r="F727" s="5" t="str">
        <f>IF(C727=0,"Broadcast",IF(D727="",IF(E727="","",IF(E727&lt;128,"Verbind "&amp;E727,INDEX(KdoCodeTab,MATCH(E727,KdoWertTab,0)))),"StatusAbfr "&amp;D727))</f>
        <v>Space</v>
      </c>
      <c r="G727" t="str">
        <f t="shared" si="81"/>
        <v>Space</v>
      </c>
      <c r="H727" t="str">
        <f t="shared" si="82"/>
        <v/>
      </c>
      <c r="I727" t="str">
        <f t="shared" si="83"/>
        <v/>
      </c>
    </row>
    <row r="728" spans="1:9" x14ac:dyDescent="0.25">
      <c r="A728" t="s">
        <v>320</v>
      </c>
      <c r="B728" s="6">
        <f t="shared" si="84"/>
        <v>9.0706666666666678</v>
      </c>
      <c r="C728" s="3">
        <f t="shared" si="85"/>
        <v>101</v>
      </c>
      <c r="D728" s="3" t="str">
        <f t="shared" si="79"/>
        <v/>
      </c>
      <c r="E728" s="3">
        <f t="shared" si="80"/>
        <v>150</v>
      </c>
      <c r="F728" s="5" t="str">
        <f>IF(C728=0,"Broadcast",IF(D728="",IF(E728="","",IF(E728&lt;128,"Verbind "&amp;E728,INDEX(KdoCodeTab,MATCH(E728,KdoWertTab,0)))),"StatusAbfr "&amp;D728))</f>
        <v>SpaceWdh</v>
      </c>
      <c r="G728" t="str">
        <f t="shared" si="81"/>
        <v>SpaceWdh</v>
      </c>
      <c r="H728" t="str">
        <f t="shared" si="82"/>
        <v/>
      </c>
      <c r="I728" t="str">
        <f t="shared" si="83"/>
        <v/>
      </c>
    </row>
    <row r="729" spans="1:9" x14ac:dyDescent="0.25">
      <c r="A729" t="s">
        <v>321</v>
      </c>
      <c r="B729" s="6">
        <f t="shared" si="84"/>
        <v>9.089833333333333</v>
      </c>
      <c r="C729" s="3">
        <f t="shared" si="85"/>
        <v>101</v>
      </c>
      <c r="D729" s="3" t="str">
        <f t="shared" si="79"/>
        <v/>
      </c>
      <c r="E729" s="3">
        <f t="shared" si="80"/>
        <v>156</v>
      </c>
      <c r="F729" s="5" t="str">
        <f>IF(C729=0,"Broadcast",IF(D729="",IF(E729="","",IF(E729&lt;128,"Verbind "&amp;E729,INDEX(KdoCodeTab,MATCH(E729,KdoWertTab,0)))),"StatusAbfr "&amp;D729))</f>
        <v>Mark</v>
      </c>
      <c r="G729" t="str">
        <f t="shared" si="81"/>
        <v>Mark</v>
      </c>
      <c r="H729" t="str">
        <f t="shared" si="82"/>
        <v/>
      </c>
      <c r="I729" t="str">
        <f t="shared" si="83"/>
        <v/>
      </c>
    </row>
    <row r="730" spans="1:9" x14ac:dyDescent="0.25">
      <c r="A730" t="s">
        <v>322</v>
      </c>
      <c r="B730" s="6">
        <f t="shared" si="84"/>
        <v>9.0908333333333324</v>
      </c>
      <c r="C730" s="3">
        <f t="shared" si="85"/>
        <v>101</v>
      </c>
      <c r="D730" s="3" t="str">
        <f t="shared" si="79"/>
        <v/>
      </c>
      <c r="E730" s="3">
        <f t="shared" si="80"/>
        <v>154</v>
      </c>
      <c r="F730" s="5" t="str">
        <f>IF(C730=0,"Broadcast",IF(D730="",IF(E730="","",IF(E730&lt;128,"Verbind "&amp;E730,INDEX(KdoCodeTab,MATCH(E730,KdoWertTab,0)))),"StatusAbfr "&amp;D730))</f>
        <v>MarkWdh</v>
      </c>
      <c r="G730" t="str">
        <f t="shared" si="81"/>
        <v>MarkWdh</v>
      </c>
      <c r="H730" t="str">
        <f t="shared" si="82"/>
        <v/>
      </c>
      <c r="I730" t="str">
        <f t="shared" si="83"/>
        <v/>
      </c>
    </row>
    <row r="731" spans="1:9" x14ac:dyDescent="0.25">
      <c r="A731" t="s">
        <v>323</v>
      </c>
      <c r="B731" s="6">
        <f t="shared" si="84"/>
        <v>9.1596666666666682</v>
      </c>
      <c r="C731" s="3">
        <f t="shared" si="85"/>
        <v>101</v>
      </c>
      <c r="D731" s="3" t="str">
        <f t="shared" si="79"/>
        <v/>
      </c>
      <c r="E731" s="3">
        <f t="shared" si="80"/>
        <v>147</v>
      </c>
      <c r="F731" s="5" t="str">
        <f>IF(C731=0,"Broadcast",IF(D731="",IF(E731="","",IF(E731&lt;128,"Verbind "&amp;E731,INDEX(KdoCodeTab,MATCH(E731,KdoWertTab,0)))),"StatusAbfr "&amp;D731))</f>
        <v>Space</v>
      </c>
      <c r="G731" t="str">
        <f t="shared" si="81"/>
        <v>Space</v>
      </c>
      <c r="H731" t="str">
        <f t="shared" si="82"/>
        <v/>
      </c>
      <c r="I731" t="str">
        <f t="shared" si="83"/>
        <v/>
      </c>
    </row>
    <row r="732" spans="1:9" x14ac:dyDescent="0.25">
      <c r="A732" t="s">
        <v>324</v>
      </c>
      <c r="B732" s="6">
        <f t="shared" si="84"/>
        <v>9.1605000000000008</v>
      </c>
      <c r="C732" s="3">
        <f t="shared" si="85"/>
        <v>101</v>
      </c>
      <c r="D732" s="3" t="str">
        <f t="shared" si="79"/>
        <v/>
      </c>
      <c r="E732" s="3">
        <f t="shared" si="80"/>
        <v>150</v>
      </c>
      <c r="F732" s="5" t="str">
        <f>IF(C732=0,"Broadcast",IF(D732="",IF(E732="","",IF(E732&lt;128,"Verbind "&amp;E732,INDEX(KdoCodeTab,MATCH(E732,KdoWertTab,0)))),"StatusAbfr "&amp;D732))</f>
        <v>SpaceWdh</v>
      </c>
      <c r="G732" t="str">
        <f t="shared" si="81"/>
        <v>SpaceWdh</v>
      </c>
      <c r="H732" t="str">
        <f t="shared" si="82"/>
        <v/>
      </c>
      <c r="I732" t="str">
        <f t="shared" si="83"/>
        <v/>
      </c>
    </row>
    <row r="733" spans="1:9" x14ac:dyDescent="0.25">
      <c r="A733" t="s">
        <v>325</v>
      </c>
      <c r="B733" s="6">
        <f t="shared" si="84"/>
        <v>9.2131666666666661</v>
      </c>
      <c r="C733" s="3">
        <f t="shared" si="85"/>
        <v>31</v>
      </c>
      <c r="D733" s="3" t="str">
        <f t="shared" si="79"/>
        <v/>
      </c>
      <c r="E733" s="3">
        <f t="shared" si="80"/>
        <v>154</v>
      </c>
      <c r="F733" s="5" t="str">
        <f>IF(C733=0,"Broadcast",IF(D733="",IF(E733="","",IF(E733&lt;128,"Verbind "&amp;E733,INDEX(KdoCodeTab,MATCH(E733,KdoWertTab,0)))),"StatusAbfr "&amp;D733))</f>
        <v>MarkWdh</v>
      </c>
      <c r="G733" t="str">
        <f t="shared" si="81"/>
        <v/>
      </c>
      <c r="H733" t="str">
        <f t="shared" si="82"/>
        <v>MarkWdh</v>
      </c>
      <c r="I733" t="str">
        <f t="shared" si="83"/>
        <v/>
      </c>
    </row>
    <row r="734" spans="1:9" x14ac:dyDescent="0.25">
      <c r="A734" t="s">
        <v>326</v>
      </c>
      <c r="B734" s="6">
        <f t="shared" si="84"/>
        <v>9.2201666666666675</v>
      </c>
      <c r="C734" s="3">
        <f t="shared" si="85"/>
        <v>101</v>
      </c>
      <c r="D734" s="3" t="str">
        <f t="shared" si="79"/>
        <v/>
      </c>
      <c r="E734" s="3">
        <f t="shared" si="80"/>
        <v>156</v>
      </c>
      <c r="F734" s="5" t="str">
        <f>IF(C734=0,"Broadcast",IF(D734="",IF(E734="","",IF(E734&lt;128,"Verbind "&amp;E734,INDEX(KdoCodeTab,MATCH(E734,KdoWertTab,0)))),"StatusAbfr "&amp;D734))</f>
        <v>Mark</v>
      </c>
      <c r="G734" t="str">
        <f t="shared" si="81"/>
        <v>Mark</v>
      </c>
      <c r="H734" t="str">
        <f t="shared" si="82"/>
        <v/>
      </c>
      <c r="I734" t="str">
        <f t="shared" si="83"/>
        <v/>
      </c>
    </row>
    <row r="735" spans="1:9" x14ac:dyDescent="0.25">
      <c r="A735" t="s">
        <v>327</v>
      </c>
      <c r="B735" s="6">
        <f t="shared" si="84"/>
        <v>9.221166666666667</v>
      </c>
      <c r="C735" s="3">
        <f t="shared" si="85"/>
        <v>101</v>
      </c>
      <c r="D735" s="3" t="str">
        <f t="shared" si="79"/>
        <v/>
      </c>
      <c r="E735" s="3">
        <f t="shared" si="80"/>
        <v>154</v>
      </c>
      <c r="F735" s="5" t="str">
        <f>IF(C735=0,"Broadcast",IF(D735="",IF(E735="","",IF(E735&lt;128,"Verbind "&amp;E735,INDEX(KdoCodeTab,MATCH(E735,KdoWertTab,0)))),"StatusAbfr "&amp;D735))</f>
        <v>MarkWdh</v>
      </c>
      <c r="G735" t="str">
        <f t="shared" si="81"/>
        <v>MarkWdh</v>
      </c>
      <c r="H735" t="str">
        <f t="shared" si="82"/>
        <v/>
      </c>
      <c r="I735" t="str">
        <f t="shared" si="83"/>
        <v/>
      </c>
    </row>
    <row r="736" spans="1:9" x14ac:dyDescent="0.25">
      <c r="A736" t="s">
        <v>328</v>
      </c>
      <c r="B736" s="6">
        <f t="shared" si="84"/>
        <v>9.2596666666666678</v>
      </c>
      <c r="C736" s="3">
        <f t="shared" si="85"/>
        <v>101</v>
      </c>
      <c r="D736" s="3" t="str">
        <f t="shared" si="79"/>
        <v/>
      </c>
      <c r="E736" s="3">
        <f t="shared" si="80"/>
        <v>147</v>
      </c>
      <c r="F736" s="5" t="str">
        <f>IF(C736=0,"Broadcast",IF(D736="",IF(E736="","",IF(E736&lt;128,"Verbind "&amp;E736,INDEX(KdoCodeTab,MATCH(E736,KdoWertTab,0)))),"StatusAbfr "&amp;D736))</f>
        <v>Space</v>
      </c>
      <c r="G736" t="str">
        <f t="shared" si="81"/>
        <v>Space</v>
      </c>
      <c r="H736" t="str">
        <f t="shared" si="82"/>
        <v/>
      </c>
      <c r="I736" t="str">
        <f t="shared" si="83"/>
        <v/>
      </c>
    </row>
    <row r="737" spans="1:9" x14ac:dyDescent="0.25">
      <c r="A737" t="s">
        <v>329</v>
      </c>
      <c r="B737" s="6">
        <f t="shared" si="84"/>
        <v>9.2606666666666673</v>
      </c>
      <c r="C737" s="3">
        <f t="shared" si="85"/>
        <v>101</v>
      </c>
      <c r="D737" s="3" t="str">
        <f t="shared" si="79"/>
        <v/>
      </c>
      <c r="E737" s="3">
        <f t="shared" si="80"/>
        <v>150</v>
      </c>
      <c r="F737" s="5" t="str">
        <f>IF(C737=0,"Broadcast",IF(D737="",IF(E737="","",IF(E737&lt;128,"Verbind "&amp;E737,INDEX(KdoCodeTab,MATCH(E737,KdoWertTab,0)))),"StatusAbfr "&amp;D737))</f>
        <v>SpaceWdh</v>
      </c>
      <c r="G737" t="str">
        <f t="shared" si="81"/>
        <v>SpaceWdh</v>
      </c>
      <c r="H737" t="str">
        <f t="shared" si="82"/>
        <v/>
      </c>
      <c r="I737" t="str">
        <f t="shared" si="83"/>
        <v/>
      </c>
    </row>
    <row r="738" spans="1:9" x14ac:dyDescent="0.25">
      <c r="A738" t="s">
        <v>330</v>
      </c>
      <c r="B738" s="6">
        <f t="shared" si="84"/>
        <v>9.2798333333333325</v>
      </c>
      <c r="C738" s="3">
        <f t="shared" si="85"/>
        <v>101</v>
      </c>
      <c r="D738" s="3" t="str">
        <f t="shared" si="79"/>
        <v/>
      </c>
      <c r="E738" s="3">
        <f t="shared" si="80"/>
        <v>156</v>
      </c>
      <c r="F738" s="5" t="str">
        <f>IF(C738=0,"Broadcast",IF(D738="",IF(E738="","",IF(E738&lt;128,"Verbind "&amp;E738,INDEX(KdoCodeTab,MATCH(E738,KdoWertTab,0)))),"StatusAbfr "&amp;D738))</f>
        <v>Mark</v>
      </c>
      <c r="G738" t="str">
        <f t="shared" si="81"/>
        <v>Mark</v>
      </c>
      <c r="H738" t="str">
        <f t="shared" si="82"/>
        <v/>
      </c>
      <c r="I738" t="str">
        <f t="shared" si="83"/>
        <v/>
      </c>
    </row>
    <row r="739" spans="1:9" x14ac:dyDescent="0.25">
      <c r="A739" t="s">
        <v>331</v>
      </c>
      <c r="B739" s="6">
        <f t="shared" si="84"/>
        <v>9.2808333333333319</v>
      </c>
      <c r="C739" s="3">
        <f t="shared" si="85"/>
        <v>101</v>
      </c>
      <c r="D739" s="3" t="str">
        <f t="shared" si="79"/>
        <v/>
      </c>
      <c r="E739" s="3">
        <f t="shared" si="80"/>
        <v>154</v>
      </c>
      <c r="F739" s="5" t="str">
        <f>IF(C739=0,"Broadcast",IF(D739="",IF(E739="","",IF(E739&lt;128,"Verbind "&amp;E739,INDEX(KdoCodeTab,MATCH(E739,KdoWertTab,0)))),"StatusAbfr "&amp;D739))</f>
        <v>MarkWdh</v>
      </c>
      <c r="G739" t="str">
        <f t="shared" si="81"/>
        <v>MarkWdh</v>
      </c>
      <c r="H739" t="str">
        <f t="shared" si="82"/>
        <v/>
      </c>
      <c r="I739" t="str">
        <f t="shared" si="83"/>
        <v/>
      </c>
    </row>
    <row r="740" spans="1:9" x14ac:dyDescent="0.25">
      <c r="A740" t="s">
        <v>332</v>
      </c>
      <c r="B740" s="6">
        <f t="shared" si="84"/>
        <v>9.3040000000000003</v>
      </c>
      <c r="C740" s="3">
        <f t="shared" si="85"/>
        <v>101</v>
      </c>
      <c r="D740" s="3" t="str">
        <f t="shared" si="79"/>
        <v/>
      </c>
      <c r="E740" s="3">
        <f t="shared" si="80"/>
        <v>169</v>
      </c>
      <c r="F740" s="5" t="str">
        <f>IF(C740=0,"Broadcast",IF(D740="",IF(E740="","",IF(E740&lt;128,"Verbind "&amp;E740,INDEX(KdoCodeTab,MATCH(E740,KdoWertTab,0)))),"StatusAbfr "&amp;D740))</f>
        <v>BusLebenszeichen</v>
      </c>
      <c r="G740" t="str">
        <f t="shared" si="81"/>
        <v>BusLebenszeichen</v>
      </c>
      <c r="H740" t="str">
        <f t="shared" si="82"/>
        <v/>
      </c>
      <c r="I740" t="str">
        <f t="shared" si="83"/>
        <v/>
      </c>
    </row>
    <row r="741" spans="1:9" x14ac:dyDescent="0.25">
      <c r="A741" t="s">
        <v>333</v>
      </c>
      <c r="B741" s="6">
        <f t="shared" si="84"/>
        <v>9.3101666666666674</v>
      </c>
      <c r="C741" s="3">
        <f t="shared" si="85"/>
        <v>101</v>
      </c>
      <c r="D741" s="3" t="str">
        <f t="shared" si="79"/>
        <v/>
      </c>
      <c r="E741" s="3">
        <f t="shared" si="80"/>
        <v>147</v>
      </c>
      <c r="F741" s="5" t="str">
        <f>IF(C741=0,"Broadcast",IF(D741="",IF(E741="","",IF(E741&lt;128,"Verbind "&amp;E741,INDEX(KdoCodeTab,MATCH(E741,KdoWertTab,0)))),"StatusAbfr "&amp;D741))</f>
        <v>Space</v>
      </c>
      <c r="G741" t="str">
        <f t="shared" si="81"/>
        <v>Space</v>
      </c>
      <c r="H741" t="str">
        <f t="shared" si="82"/>
        <v/>
      </c>
      <c r="I741" t="str">
        <f t="shared" si="83"/>
        <v/>
      </c>
    </row>
    <row r="742" spans="1:9" x14ac:dyDescent="0.25">
      <c r="A742" t="s">
        <v>334</v>
      </c>
      <c r="B742" s="6">
        <f t="shared" si="84"/>
        <v>9.3109999999999999</v>
      </c>
      <c r="C742" s="3">
        <f t="shared" si="85"/>
        <v>101</v>
      </c>
      <c r="D742" s="3" t="str">
        <f t="shared" si="79"/>
        <v/>
      </c>
      <c r="E742" s="3">
        <f t="shared" si="80"/>
        <v>150</v>
      </c>
      <c r="F742" s="5" t="str">
        <f>IF(C742=0,"Broadcast",IF(D742="",IF(E742="","",IF(E742&lt;128,"Verbind "&amp;E742,INDEX(KdoCodeTab,MATCH(E742,KdoWertTab,0)))),"StatusAbfr "&amp;D742))</f>
        <v>SpaceWdh</v>
      </c>
      <c r="G742" t="str">
        <f t="shared" si="81"/>
        <v>SpaceWdh</v>
      </c>
      <c r="H742" t="str">
        <f t="shared" si="82"/>
        <v/>
      </c>
      <c r="I742" t="str">
        <f t="shared" si="83"/>
        <v/>
      </c>
    </row>
    <row r="743" spans="1:9" x14ac:dyDescent="0.25">
      <c r="A743" t="s">
        <v>335</v>
      </c>
      <c r="B743" s="6">
        <f t="shared" si="84"/>
        <v>9.3708333333333318</v>
      </c>
      <c r="C743" s="3">
        <f t="shared" si="85"/>
        <v>101</v>
      </c>
      <c r="D743" s="3" t="str">
        <f t="shared" si="79"/>
        <v/>
      </c>
      <c r="E743" s="3">
        <f t="shared" si="80"/>
        <v>156</v>
      </c>
      <c r="F743" s="5" t="str">
        <f>IF(C743=0,"Broadcast",IF(D743="",IF(E743="","",IF(E743&lt;128,"Verbind "&amp;E743,INDEX(KdoCodeTab,MATCH(E743,KdoWertTab,0)))),"StatusAbfr "&amp;D743))</f>
        <v>Mark</v>
      </c>
      <c r="G743" t="str">
        <f t="shared" si="81"/>
        <v>Mark</v>
      </c>
      <c r="H743" t="str">
        <f t="shared" si="82"/>
        <v/>
      </c>
      <c r="I743" t="str">
        <f t="shared" si="83"/>
        <v/>
      </c>
    </row>
    <row r="744" spans="1:9" x14ac:dyDescent="0.25">
      <c r="A744" t="s">
        <v>336</v>
      </c>
      <c r="B744" s="6">
        <f t="shared" si="84"/>
        <v>9.3716666666666679</v>
      </c>
      <c r="C744" s="3">
        <f t="shared" si="85"/>
        <v>101</v>
      </c>
      <c r="D744" s="3" t="str">
        <f t="shared" si="79"/>
        <v/>
      </c>
      <c r="E744" s="3">
        <f t="shared" si="80"/>
        <v>154</v>
      </c>
      <c r="F744" s="5" t="str">
        <f>IF(C744=0,"Broadcast",IF(D744="",IF(E744="","",IF(E744&lt;128,"Verbind "&amp;E744,INDEX(KdoCodeTab,MATCH(E744,KdoWertTab,0)))),"StatusAbfr "&amp;D744))</f>
        <v>MarkWdh</v>
      </c>
      <c r="G744" t="str">
        <f t="shared" si="81"/>
        <v>MarkWdh</v>
      </c>
      <c r="H744" t="str">
        <f t="shared" si="82"/>
        <v/>
      </c>
      <c r="I744" t="str">
        <f t="shared" si="83"/>
        <v/>
      </c>
    </row>
    <row r="745" spans="1:9" x14ac:dyDescent="0.25">
      <c r="A745" t="s">
        <v>337</v>
      </c>
      <c r="B745" s="6">
        <f t="shared" si="84"/>
        <v>9.39</v>
      </c>
      <c r="C745" s="3">
        <f t="shared" si="85"/>
        <v>101</v>
      </c>
      <c r="D745" s="3" t="str">
        <f t="shared" si="79"/>
        <v/>
      </c>
      <c r="E745" s="3">
        <f t="shared" si="80"/>
        <v>147</v>
      </c>
      <c r="F745" s="5" t="str">
        <f>IF(C745=0,"Broadcast",IF(D745="",IF(E745="","",IF(E745&lt;128,"Verbind "&amp;E745,INDEX(KdoCodeTab,MATCH(E745,KdoWertTab,0)))),"StatusAbfr "&amp;D745))</f>
        <v>Space</v>
      </c>
      <c r="G745" t="str">
        <f t="shared" si="81"/>
        <v>Space</v>
      </c>
      <c r="H745" t="str">
        <f t="shared" si="82"/>
        <v/>
      </c>
      <c r="I745" t="str">
        <f t="shared" si="83"/>
        <v/>
      </c>
    </row>
    <row r="746" spans="1:9" x14ac:dyDescent="0.25">
      <c r="A746" t="s">
        <v>338</v>
      </c>
      <c r="B746" s="6">
        <f t="shared" si="84"/>
        <v>9.391</v>
      </c>
      <c r="C746" s="3">
        <f t="shared" si="85"/>
        <v>101</v>
      </c>
      <c r="D746" s="3" t="str">
        <f t="shared" si="79"/>
        <v/>
      </c>
      <c r="E746" s="3">
        <f t="shared" si="80"/>
        <v>150</v>
      </c>
      <c r="F746" s="5" t="str">
        <f>IF(C746=0,"Broadcast",IF(D746="",IF(E746="","",IF(E746&lt;128,"Verbind "&amp;E746,INDEX(KdoCodeTab,MATCH(E746,KdoWertTab,0)))),"StatusAbfr "&amp;D746))</f>
        <v>SpaceWdh</v>
      </c>
      <c r="G746" t="str">
        <f t="shared" si="81"/>
        <v>SpaceWdh</v>
      </c>
      <c r="H746" t="str">
        <f t="shared" si="82"/>
        <v/>
      </c>
      <c r="I746" t="str">
        <f t="shared" si="83"/>
        <v/>
      </c>
    </row>
    <row r="747" spans="1:9" x14ac:dyDescent="0.25">
      <c r="A747" t="s">
        <v>339</v>
      </c>
      <c r="B747" s="6">
        <f t="shared" si="84"/>
        <v>9.4303333333333335</v>
      </c>
      <c r="C747" s="3">
        <f t="shared" si="85"/>
        <v>101</v>
      </c>
      <c r="D747" s="3" t="str">
        <f t="shared" si="79"/>
        <v/>
      </c>
      <c r="E747" s="3">
        <f t="shared" si="80"/>
        <v>156</v>
      </c>
      <c r="F747" s="5" t="str">
        <f>IF(C747=0,"Broadcast",IF(D747="",IF(E747="","",IF(E747&lt;128,"Verbind "&amp;E747,INDEX(KdoCodeTab,MATCH(E747,KdoWertTab,0)))),"StatusAbfr "&amp;D747))</f>
        <v>Mark</v>
      </c>
      <c r="G747" t="str">
        <f t="shared" si="81"/>
        <v>Mark</v>
      </c>
      <c r="H747" t="str">
        <f t="shared" si="82"/>
        <v/>
      </c>
      <c r="I747" t="str">
        <f t="shared" si="83"/>
        <v/>
      </c>
    </row>
    <row r="748" spans="1:9" x14ac:dyDescent="0.25">
      <c r="A748" t="s">
        <v>340</v>
      </c>
      <c r="B748" s="6">
        <f t="shared" si="84"/>
        <v>9.4313333333333329</v>
      </c>
      <c r="C748" s="3">
        <f t="shared" si="85"/>
        <v>101</v>
      </c>
      <c r="D748" s="3" t="str">
        <f t="shared" si="79"/>
        <v/>
      </c>
      <c r="E748" s="3">
        <f t="shared" si="80"/>
        <v>154</v>
      </c>
      <c r="F748" s="5" t="str">
        <f>IF(C748=0,"Broadcast",IF(D748="",IF(E748="","",IF(E748&lt;128,"Verbind "&amp;E748,INDEX(KdoCodeTab,MATCH(E748,KdoWertTab,0)))),"StatusAbfr "&amp;D748))</f>
        <v>MarkWdh</v>
      </c>
      <c r="G748" t="str">
        <f t="shared" si="81"/>
        <v>MarkWdh</v>
      </c>
      <c r="H748" t="str">
        <f t="shared" si="82"/>
        <v/>
      </c>
      <c r="I748" t="str">
        <f t="shared" si="83"/>
        <v/>
      </c>
    </row>
    <row r="749" spans="1:9" x14ac:dyDescent="0.25">
      <c r="A749" t="s">
        <v>341</v>
      </c>
      <c r="B749" s="6">
        <f t="shared" si="84"/>
        <v>9.5526666666666671</v>
      </c>
      <c r="C749" s="3">
        <f t="shared" si="85"/>
        <v>101</v>
      </c>
      <c r="D749" s="3" t="str">
        <f t="shared" si="79"/>
        <v/>
      </c>
      <c r="E749" s="3">
        <f t="shared" si="80"/>
        <v>147</v>
      </c>
      <c r="F749" s="5" t="str">
        <f>IF(C749=0,"Broadcast",IF(D749="",IF(E749="","",IF(E749&lt;128,"Verbind "&amp;E749,INDEX(KdoCodeTab,MATCH(E749,KdoWertTab,0)))),"StatusAbfr "&amp;D749))</f>
        <v>Space</v>
      </c>
      <c r="G749" t="str">
        <f t="shared" si="81"/>
        <v>Space</v>
      </c>
      <c r="H749" t="str">
        <f t="shared" si="82"/>
        <v/>
      </c>
      <c r="I749" t="str">
        <f t="shared" si="83"/>
        <v/>
      </c>
    </row>
    <row r="750" spans="1:9" x14ac:dyDescent="0.25">
      <c r="A750" t="s">
        <v>342</v>
      </c>
      <c r="B750" s="6">
        <f t="shared" si="84"/>
        <v>9.5535000000000014</v>
      </c>
      <c r="C750" s="3">
        <f t="shared" si="85"/>
        <v>101</v>
      </c>
      <c r="D750" s="3" t="str">
        <f t="shared" si="79"/>
        <v/>
      </c>
      <c r="E750" s="3">
        <f t="shared" si="80"/>
        <v>150</v>
      </c>
      <c r="F750" s="5" t="str">
        <f>IF(C750=0,"Broadcast",IF(D750="",IF(E750="","",IF(E750&lt;128,"Verbind "&amp;E750,INDEX(KdoCodeTab,MATCH(E750,KdoWertTab,0)))),"StatusAbfr "&amp;D750))</f>
        <v>SpaceWdh</v>
      </c>
      <c r="G750" t="str">
        <f t="shared" si="81"/>
        <v>SpaceWdh</v>
      </c>
      <c r="H750" t="str">
        <f t="shared" si="82"/>
        <v/>
      </c>
      <c r="I750" t="str">
        <f t="shared" si="83"/>
        <v/>
      </c>
    </row>
    <row r="751" spans="1:9" x14ac:dyDescent="0.25">
      <c r="A751" t="s">
        <v>343</v>
      </c>
      <c r="B751" s="6">
        <f t="shared" si="84"/>
        <v>9.573833333333333</v>
      </c>
      <c r="C751" s="3">
        <f t="shared" si="85"/>
        <v>101</v>
      </c>
      <c r="D751" s="3" t="str">
        <f t="shared" si="79"/>
        <v/>
      </c>
      <c r="E751" s="3">
        <f t="shared" si="80"/>
        <v>156</v>
      </c>
      <c r="F751" s="5" t="str">
        <f>IF(C751=0,"Broadcast",IF(D751="",IF(E751="","",IF(E751&lt;128,"Verbind "&amp;E751,INDEX(KdoCodeTab,MATCH(E751,KdoWertTab,0)))),"StatusAbfr "&amp;D751))</f>
        <v>Mark</v>
      </c>
      <c r="G751" t="str">
        <f t="shared" si="81"/>
        <v>Mark</v>
      </c>
      <c r="H751" t="str">
        <f t="shared" si="82"/>
        <v/>
      </c>
      <c r="I751" t="str">
        <f t="shared" si="83"/>
        <v/>
      </c>
    </row>
    <row r="752" spans="1:9" x14ac:dyDescent="0.25">
      <c r="A752" t="s">
        <v>344</v>
      </c>
      <c r="B752" s="6">
        <f t="shared" si="84"/>
        <v>9.5748333333333324</v>
      </c>
      <c r="C752" s="3">
        <f t="shared" si="85"/>
        <v>101</v>
      </c>
      <c r="D752" s="3" t="str">
        <f t="shared" si="79"/>
        <v/>
      </c>
      <c r="E752" s="3">
        <f t="shared" si="80"/>
        <v>154</v>
      </c>
      <c r="F752" s="5" t="str">
        <f>IF(C752=0,"Broadcast",IF(D752="",IF(E752="","",IF(E752&lt;128,"Verbind "&amp;E752,INDEX(KdoCodeTab,MATCH(E752,KdoWertTab,0)))),"StatusAbfr "&amp;D752))</f>
        <v>MarkWdh</v>
      </c>
      <c r="G752" t="str">
        <f t="shared" si="81"/>
        <v>MarkWdh</v>
      </c>
      <c r="H752" t="str">
        <f t="shared" si="82"/>
        <v/>
      </c>
      <c r="I752" t="str">
        <f t="shared" si="83"/>
        <v/>
      </c>
    </row>
    <row r="753" spans="1:9" x14ac:dyDescent="0.25">
      <c r="A753" t="s">
        <v>345</v>
      </c>
      <c r="B753" s="6">
        <f t="shared" si="84"/>
        <v>9.7029999999999994</v>
      </c>
      <c r="C753" s="3">
        <f t="shared" si="85"/>
        <v>101</v>
      </c>
      <c r="D753" s="3" t="str">
        <f t="shared" si="79"/>
        <v/>
      </c>
      <c r="E753" s="3">
        <f t="shared" si="80"/>
        <v>147</v>
      </c>
      <c r="F753" s="5" t="str">
        <f>IF(C753=0,"Broadcast",IF(D753="",IF(E753="","",IF(E753&lt;128,"Verbind "&amp;E753,INDEX(KdoCodeTab,MATCH(E753,KdoWertTab,0)))),"StatusAbfr "&amp;D753))</f>
        <v>Space</v>
      </c>
      <c r="G753" t="str">
        <f t="shared" si="81"/>
        <v>Space</v>
      </c>
      <c r="H753" t="str">
        <f t="shared" si="82"/>
        <v/>
      </c>
      <c r="I753" t="str">
        <f t="shared" si="83"/>
        <v/>
      </c>
    </row>
    <row r="754" spans="1:9" x14ac:dyDescent="0.25">
      <c r="A754" t="s">
        <v>346</v>
      </c>
      <c r="B754" s="6">
        <f t="shared" si="84"/>
        <v>9.7040000000000006</v>
      </c>
      <c r="C754" s="3">
        <f t="shared" si="85"/>
        <v>101</v>
      </c>
      <c r="D754" s="3" t="str">
        <f t="shared" si="79"/>
        <v/>
      </c>
      <c r="E754" s="3">
        <f t="shared" si="80"/>
        <v>150</v>
      </c>
      <c r="F754" s="5" t="str">
        <f>IF(C754=0,"Broadcast",IF(D754="",IF(E754="","",IF(E754&lt;128,"Verbind "&amp;E754,INDEX(KdoCodeTab,MATCH(E754,KdoWertTab,0)))),"StatusAbfr "&amp;D754))</f>
        <v>SpaceWdh</v>
      </c>
      <c r="G754" t="str">
        <f t="shared" si="81"/>
        <v>SpaceWdh</v>
      </c>
      <c r="H754" t="str">
        <f t="shared" si="82"/>
        <v/>
      </c>
      <c r="I754" t="str">
        <f t="shared" si="83"/>
        <v/>
      </c>
    </row>
    <row r="755" spans="1:9" x14ac:dyDescent="0.25">
      <c r="A755" t="s">
        <v>347</v>
      </c>
      <c r="B755" s="6">
        <f t="shared" si="84"/>
        <v>9.7191666666666663</v>
      </c>
      <c r="C755" s="3">
        <f t="shared" si="85"/>
        <v>31</v>
      </c>
      <c r="D755" s="3" t="str">
        <f t="shared" si="79"/>
        <v/>
      </c>
      <c r="E755" s="3">
        <f t="shared" si="80"/>
        <v>154</v>
      </c>
      <c r="F755" s="5" t="str">
        <f>IF(C755=0,"Broadcast",IF(D755="",IF(E755="","",IF(E755&lt;128,"Verbind "&amp;E755,INDEX(KdoCodeTab,MATCH(E755,KdoWertTab,0)))),"StatusAbfr "&amp;D755))</f>
        <v>MarkWdh</v>
      </c>
      <c r="G755" t="str">
        <f t="shared" si="81"/>
        <v/>
      </c>
      <c r="H755" t="str">
        <f t="shared" si="82"/>
        <v>MarkWdh</v>
      </c>
      <c r="I755" t="str">
        <f t="shared" si="83"/>
        <v/>
      </c>
    </row>
    <row r="756" spans="1:9" x14ac:dyDescent="0.25">
      <c r="A756" t="s">
        <v>348</v>
      </c>
      <c r="B756" s="6">
        <f t="shared" si="84"/>
        <v>9.7233333333333345</v>
      </c>
      <c r="C756" s="3">
        <f t="shared" si="85"/>
        <v>101</v>
      </c>
      <c r="D756" s="3" t="str">
        <f t="shared" si="79"/>
        <v/>
      </c>
      <c r="E756" s="3">
        <f t="shared" si="80"/>
        <v>156</v>
      </c>
      <c r="F756" s="5" t="str">
        <f>IF(C756=0,"Broadcast",IF(D756="",IF(E756="","",IF(E756&lt;128,"Verbind "&amp;E756,INDEX(KdoCodeTab,MATCH(E756,KdoWertTab,0)))),"StatusAbfr "&amp;D756))</f>
        <v>Mark</v>
      </c>
      <c r="G756" t="str">
        <f t="shared" si="81"/>
        <v>Mark</v>
      </c>
      <c r="H756" t="str">
        <f t="shared" si="82"/>
        <v/>
      </c>
      <c r="I756" t="str">
        <f t="shared" si="83"/>
        <v/>
      </c>
    </row>
    <row r="757" spans="1:9" x14ac:dyDescent="0.25">
      <c r="A757" t="s">
        <v>349</v>
      </c>
      <c r="B757" s="6">
        <f t="shared" si="84"/>
        <v>9.7243333333333339</v>
      </c>
      <c r="C757" s="3">
        <f t="shared" si="85"/>
        <v>101</v>
      </c>
      <c r="D757" s="3" t="str">
        <f t="shared" si="79"/>
        <v/>
      </c>
      <c r="E757" s="3">
        <f t="shared" si="80"/>
        <v>154</v>
      </c>
      <c r="F757" s="5" t="str">
        <f>IF(C757=0,"Broadcast",IF(D757="",IF(E757="","",IF(E757&lt;128,"Verbind "&amp;E757,INDEX(KdoCodeTab,MATCH(E757,KdoWertTab,0)))),"StatusAbfr "&amp;D757))</f>
        <v>MarkWdh</v>
      </c>
      <c r="G757" t="str">
        <f t="shared" si="81"/>
        <v>MarkWdh</v>
      </c>
      <c r="H757" t="str">
        <f t="shared" si="82"/>
        <v/>
      </c>
      <c r="I757" t="str">
        <f t="shared" si="83"/>
        <v/>
      </c>
    </row>
    <row r="758" spans="1:9" x14ac:dyDescent="0.25">
      <c r="A758" t="s">
        <v>350</v>
      </c>
      <c r="B758" s="6">
        <f t="shared" si="84"/>
        <v>9.7435000000000009</v>
      </c>
      <c r="C758" s="3">
        <f t="shared" si="85"/>
        <v>101</v>
      </c>
      <c r="D758" s="3" t="str">
        <f t="shared" si="79"/>
        <v/>
      </c>
      <c r="E758" s="3">
        <f t="shared" si="80"/>
        <v>147</v>
      </c>
      <c r="F758" s="5" t="str">
        <f>IF(C758=0,"Broadcast",IF(D758="",IF(E758="","",IF(E758&lt;128,"Verbind "&amp;E758,INDEX(KdoCodeTab,MATCH(E758,KdoWertTab,0)))),"StatusAbfr "&amp;D758))</f>
        <v>Space</v>
      </c>
      <c r="G758" t="str">
        <f t="shared" si="81"/>
        <v>Space</v>
      </c>
      <c r="H758" t="str">
        <f t="shared" si="82"/>
        <v/>
      </c>
      <c r="I758" t="str">
        <f t="shared" si="83"/>
        <v/>
      </c>
    </row>
    <row r="759" spans="1:9" x14ac:dyDescent="0.25">
      <c r="A759" t="s">
        <v>351</v>
      </c>
      <c r="B759" s="6">
        <f t="shared" si="84"/>
        <v>9.7445000000000004</v>
      </c>
      <c r="C759" s="3">
        <f t="shared" si="85"/>
        <v>101</v>
      </c>
      <c r="D759" s="3" t="str">
        <f t="shared" si="79"/>
        <v/>
      </c>
      <c r="E759" s="3">
        <f t="shared" si="80"/>
        <v>150</v>
      </c>
      <c r="F759" s="5" t="str">
        <f>IF(C759=0,"Broadcast",IF(D759="",IF(E759="","",IF(E759&lt;128,"Verbind "&amp;E759,INDEX(KdoCodeTab,MATCH(E759,KdoWertTab,0)))),"StatusAbfr "&amp;D759))</f>
        <v>SpaceWdh</v>
      </c>
      <c r="G759" t="str">
        <f t="shared" si="81"/>
        <v>SpaceWdh</v>
      </c>
      <c r="H759" t="str">
        <f t="shared" si="82"/>
        <v/>
      </c>
      <c r="I759" t="str">
        <f t="shared" si="83"/>
        <v/>
      </c>
    </row>
    <row r="760" spans="1:9" x14ac:dyDescent="0.25">
      <c r="A760" t="s">
        <v>352</v>
      </c>
      <c r="B760" s="6">
        <f t="shared" si="84"/>
        <v>9.7636666666666674</v>
      </c>
      <c r="C760" s="3">
        <f t="shared" si="85"/>
        <v>101</v>
      </c>
      <c r="D760" s="3" t="str">
        <f t="shared" si="79"/>
        <v/>
      </c>
      <c r="E760" s="3">
        <f t="shared" si="80"/>
        <v>156</v>
      </c>
      <c r="F760" s="5" t="str">
        <f>IF(C760=0,"Broadcast",IF(D760="",IF(E760="","",IF(E760&lt;128,"Verbind "&amp;E760,INDEX(KdoCodeTab,MATCH(E760,KdoWertTab,0)))),"StatusAbfr "&amp;D760))</f>
        <v>Mark</v>
      </c>
      <c r="G760" t="str">
        <f t="shared" si="81"/>
        <v>Mark</v>
      </c>
      <c r="H760" t="str">
        <f t="shared" si="82"/>
        <v/>
      </c>
      <c r="I760" t="str">
        <f t="shared" si="83"/>
        <v/>
      </c>
    </row>
    <row r="761" spans="1:9" x14ac:dyDescent="0.25">
      <c r="A761" t="s">
        <v>353</v>
      </c>
      <c r="B761" s="6">
        <f t="shared" si="84"/>
        <v>9.7646666666666668</v>
      </c>
      <c r="C761" s="3">
        <f t="shared" si="85"/>
        <v>101</v>
      </c>
      <c r="D761" s="3" t="str">
        <f t="shared" si="79"/>
        <v/>
      </c>
      <c r="E761" s="3">
        <f t="shared" si="80"/>
        <v>154</v>
      </c>
      <c r="F761" s="5" t="str">
        <f>IF(C761=0,"Broadcast",IF(D761="",IF(E761="","",IF(E761&lt;128,"Verbind "&amp;E761,INDEX(KdoCodeTab,MATCH(E761,KdoWertTab,0)))),"StatusAbfr "&amp;D761))</f>
        <v>MarkWdh</v>
      </c>
      <c r="G761" t="str">
        <f t="shared" si="81"/>
        <v>MarkWdh</v>
      </c>
      <c r="H761" t="str">
        <f t="shared" si="82"/>
        <v/>
      </c>
      <c r="I761" t="str">
        <f t="shared" si="83"/>
        <v/>
      </c>
    </row>
    <row r="762" spans="1:9" x14ac:dyDescent="0.25">
      <c r="A762" t="s">
        <v>354</v>
      </c>
      <c r="B762" s="6">
        <f t="shared" si="84"/>
        <v>9.8041666666666671</v>
      </c>
      <c r="C762" s="3">
        <f t="shared" si="85"/>
        <v>101</v>
      </c>
      <c r="D762" s="3" t="str">
        <f t="shared" si="79"/>
        <v/>
      </c>
      <c r="E762" s="3">
        <f t="shared" si="80"/>
        <v>147</v>
      </c>
      <c r="F762" s="5" t="str">
        <f>IF(C762=0,"Broadcast",IF(D762="",IF(E762="","",IF(E762&lt;128,"Verbind "&amp;E762,INDEX(KdoCodeTab,MATCH(E762,KdoWertTab,0)))),"StatusAbfr "&amp;D762))</f>
        <v>Space</v>
      </c>
      <c r="G762" t="str">
        <f t="shared" si="81"/>
        <v>Space</v>
      </c>
      <c r="H762" t="str">
        <f t="shared" si="82"/>
        <v/>
      </c>
      <c r="I762" t="str">
        <f t="shared" si="83"/>
        <v/>
      </c>
    </row>
    <row r="763" spans="1:9" x14ac:dyDescent="0.25">
      <c r="A763" t="s">
        <v>355</v>
      </c>
      <c r="B763" s="6">
        <f t="shared" si="84"/>
        <v>9.8051666666666666</v>
      </c>
      <c r="C763" s="3">
        <f t="shared" si="85"/>
        <v>101</v>
      </c>
      <c r="D763" s="3" t="str">
        <f t="shared" ref="D763:D826" si="86">IF(MID(A763,10,1)="&lt;",MID(A763,12,2),"")</f>
        <v/>
      </c>
      <c r="E763" s="3">
        <f t="shared" ref="E763:E826" si="87">IF(MID(A763,10,1)="&gt;",HEX2DEC(MID(A763,12,2)),"")</f>
        <v>150</v>
      </c>
      <c r="F763" s="5" t="str">
        <f>IF(C763=0,"Broadcast",IF(D763="",IF(E763="","",IF(E763&lt;128,"Verbind "&amp;E763,INDEX(KdoCodeTab,MATCH(E763,KdoWertTab,0)))),"StatusAbfr "&amp;D763))</f>
        <v>SpaceWdh</v>
      </c>
      <c r="G763" t="str">
        <f t="shared" ref="G763:G826" si="88">IF(C763=$G$2,F763,"")</f>
        <v>SpaceWdh</v>
      </c>
      <c r="H763" t="str">
        <f t="shared" ref="H763:H826" si="89">IF(C763=$H$2,F763,"")</f>
        <v/>
      </c>
      <c r="I763" t="str">
        <f t="shared" ref="I763:I826" si="90">IF(G763&amp;H763="",F763,"")</f>
        <v/>
      </c>
    </row>
    <row r="764" spans="1:9" x14ac:dyDescent="0.25">
      <c r="A764" t="s">
        <v>356</v>
      </c>
      <c r="B764" s="6">
        <f t="shared" si="84"/>
        <v>9.8243333333333336</v>
      </c>
      <c r="C764" s="3">
        <f t="shared" si="85"/>
        <v>101</v>
      </c>
      <c r="D764" s="3" t="str">
        <f t="shared" si="86"/>
        <v/>
      </c>
      <c r="E764" s="3">
        <f t="shared" si="87"/>
        <v>156</v>
      </c>
      <c r="F764" s="5" t="str">
        <f>IF(C764=0,"Broadcast",IF(D764="",IF(E764="","",IF(E764&lt;128,"Verbind "&amp;E764,INDEX(KdoCodeTab,MATCH(E764,KdoWertTab,0)))),"StatusAbfr "&amp;D764))</f>
        <v>Mark</v>
      </c>
      <c r="G764" t="str">
        <f t="shared" si="88"/>
        <v>Mark</v>
      </c>
      <c r="H764" t="str">
        <f t="shared" si="89"/>
        <v/>
      </c>
      <c r="I764" t="str">
        <f t="shared" si="90"/>
        <v/>
      </c>
    </row>
    <row r="765" spans="1:9" x14ac:dyDescent="0.25">
      <c r="A765" t="s">
        <v>357</v>
      </c>
      <c r="B765" s="6">
        <f t="shared" si="84"/>
        <v>9.825333333333333</v>
      </c>
      <c r="C765" s="3">
        <f t="shared" si="85"/>
        <v>101</v>
      </c>
      <c r="D765" s="3" t="str">
        <f t="shared" si="86"/>
        <v/>
      </c>
      <c r="E765" s="3">
        <f t="shared" si="87"/>
        <v>154</v>
      </c>
      <c r="F765" s="5" t="str">
        <f>IF(C765=0,"Broadcast",IF(D765="",IF(E765="","",IF(E765&lt;128,"Verbind "&amp;E765,INDEX(KdoCodeTab,MATCH(E765,KdoWertTab,0)))),"StatusAbfr "&amp;D765))</f>
        <v>MarkWdh</v>
      </c>
      <c r="G765" t="str">
        <f t="shared" si="88"/>
        <v>MarkWdh</v>
      </c>
      <c r="H765" t="str">
        <f t="shared" si="89"/>
        <v/>
      </c>
      <c r="I765" t="str">
        <f t="shared" si="90"/>
        <v/>
      </c>
    </row>
    <row r="766" spans="1:9" x14ac:dyDescent="0.25">
      <c r="A766" t="s">
        <v>358</v>
      </c>
      <c r="B766" s="6">
        <f t="shared" si="84"/>
        <v>9.8536666666666672</v>
      </c>
      <c r="C766" s="3">
        <f t="shared" si="85"/>
        <v>101</v>
      </c>
      <c r="D766" s="3" t="str">
        <f t="shared" si="86"/>
        <v/>
      </c>
      <c r="E766" s="3">
        <f t="shared" si="87"/>
        <v>147</v>
      </c>
      <c r="F766" s="5" t="str">
        <f>IF(C766=0,"Broadcast",IF(D766="",IF(E766="","",IF(E766&lt;128,"Verbind "&amp;E766,INDEX(KdoCodeTab,MATCH(E766,KdoWertTab,0)))),"StatusAbfr "&amp;D766))</f>
        <v>Space</v>
      </c>
      <c r="G766" t="str">
        <f t="shared" si="88"/>
        <v>Space</v>
      </c>
      <c r="H766" t="str">
        <f t="shared" si="89"/>
        <v/>
      </c>
      <c r="I766" t="str">
        <f t="shared" si="90"/>
        <v/>
      </c>
    </row>
    <row r="767" spans="1:9" x14ac:dyDescent="0.25">
      <c r="A767" t="s">
        <v>359</v>
      </c>
      <c r="B767" s="6">
        <f t="shared" si="84"/>
        <v>9.8544999999999998</v>
      </c>
      <c r="C767" s="3">
        <f t="shared" si="85"/>
        <v>101</v>
      </c>
      <c r="D767" s="3" t="str">
        <f t="shared" si="86"/>
        <v/>
      </c>
      <c r="E767" s="3">
        <f t="shared" si="87"/>
        <v>150</v>
      </c>
      <c r="F767" s="5" t="str">
        <f>IF(C767=0,"Broadcast",IF(D767="",IF(E767="","",IF(E767&lt;128,"Verbind "&amp;E767,INDEX(KdoCodeTab,MATCH(E767,KdoWertTab,0)))),"StatusAbfr "&amp;D767))</f>
        <v>SpaceWdh</v>
      </c>
      <c r="G767" t="str">
        <f t="shared" si="88"/>
        <v>SpaceWdh</v>
      </c>
      <c r="H767" t="str">
        <f t="shared" si="89"/>
        <v/>
      </c>
      <c r="I767" t="str">
        <f t="shared" si="90"/>
        <v/>
      </c>
    </row>
    <row r="768" spans="1:9" x14ac:dyDescent="0.25">
      <c r="A768" t="s">
        <v>360</v>
      </c>
      <c r="B768" s="6">
        <f t="shared" si="84"/>
        <v>9.894166666666667</v>
      </c>
      <c r="C768" s="3">
        <f t="shared" si="85"/>
        <v>101</v>
      </c>
      <c r="D768" s="3" t="str">
        <f t="shared" si="86"/>
        <v/>
      </c>
      <c r="E768" s="3">
        <f t="shared" si="87"/>
        <v>156</v>
      </c>
      <c r="F768" s="5" t="str">
        <f>IF(C768=0,"Broadcast",IF(D768="",IF(E768="","",IF(E768&lt;128,"Verbind "&amp;E768,INDEX(KdoCodeTab,MATCH(E768,KdoWertTab,0)))),"StatusAbfr "&amp;D768))</f>
        <v>Mark</v>
      </c>
      <c r="G768" t="str">
        <f t="shared" si="88"/>
        <v>Mark</v>
      </c>
      <c r="H768" t="str">
        <f t="shared" si="89"/>
        <v/>
      </c>
      <c r="I768" t="str">
        <f t="shared" si="90"/>
        <v/>
      </c>
    </row>
    <row r="769" spans="1:9" x14ac:dyDescent="0.25">
      <c r="A769" t="s">
        <v>361</v>
      </c>
      <c r="B769" s="6">
        <f t="shared" si="84"/>
        <v>9.8949999999999996</v>
      </c>
      <c r="C769" s="3">
        <f t="shared" si="85"/>
        <v>101</v>
      </c>
      <c r="D769" s="3" t="str">
        <f t="shared" si="86"/>
        <v/>
      </c>
      <c r="E769" s="3">
        <f t="shared" si="87"/>
        <v>154</v>
      </c>
      <c r="F769" s="5" t="str">
        <f>IF(C769=0,"Broadcast",IF(D769="",IF(E769="","",IF(E769&lt;128,"Verbind "&amp;E769,INDEX(KdoCodeTab,MATCH(E769,KdoWertTab,0)))),"StatusAbfr "&amp;D769))</f>
        <v>MarkWdh</v>
      </c>
      <c r="G769" t="str">
        <f t="shared" si="88"/>
        <v>MarkWdh</v>
      </c>
      <c r="H769" t="str">
        <f t="shared" si="89"/>
        <v/>
      </c>
      <c r="I769" t="str">
        <f t="shared" si="90"/>
        <v/>
      </c>
    </row>
    <row r="770" spans="1:9" x14ac:dyDescent="0.25">
      <c r="A770" t="s">
        <v>362</v>
      </c>
      <c r="B770" s="6">
        <f t="shared" si="84"/>
        <v>9.9143333333333334</v>
      </c>
      <c r="C770" s="3">
        <f t="shared" si="85"/>
        <v>101</v>
      </c>
      <c r="D770" s="3" t="str">
        <f t="shared" si="86"/>
        <v/>
      </c>
      <c r="E770" s="3">
        <f t="shared" si="87"/>
        <v>147</v>
      </c>
      <c r="F770" s="5" t="str">
        <f>IF(C770=0,"Broadcast",IF(D770="",IF(E770="","",IF(E770&lt;128,"Verbind "&amp;E770,INDEX(KdoCodeTab,MATCH(E770,KdoWertTab,0)))),"StatusAbfr "&amp;D770))</f>
        <v>Space</v>
      </c>
      <c r="G770" t="str">
        <f t="shared" si="88"/>
        <v>Space</v>
      </c>
      <c r="H770" t="str">
        <f t="shared" si="89"/>
        <v/>
      </c>
      <c r="I770" t="str">
        <f t="shared" si="90"/>
        <v/>
      </c>
    </row>
    <row r="771" spans="1:9" x14ac:dyDescent="0.25">
      <c r="A771" t="s">
        <v>363</v>
      </c>
      <c r="B771" s="6">
        <f t="shared" si="84"/>
        <v>9.915166666666666</v>
      </c>
      <c r="C771" s="3">
        <f t="shared" si="85"/>
        <v>101</v>
      </c>
      <c r="D771" s="3" t="str">
        <f t="shared" si="86"/>
        <v/>
      </c>
      <c r="E771" s="3">
        <f t="shared" si="87"/>
        <v>150</v>
      </c>
      <c r="F771" s="5" t="str">
        <f>IF(C771=0,"Broadcast",IF(D771="",IF(E771="","",IF(E771&lt;128,"Verbind "&amp;E771,INDEX(KdoCodeTab,MATCH(E771,KdoWertTab,0)))),"StatusAbfr "&amp;D771))</f>
        <v>SpaceWdh</v>
      </c>
      <c r="G771" t="str">
        <f t="shared" si="88"/>
        <v>SpaceWdh</v>
      </c>
      <c r="H771" t="str">
        <f t="shared" si="89"/>
        <v/>
      </c>
      <c r="I771" t="str">
        <f t="shared" si="90"/>
        <v/>
      </c>
    </row>
    <row r="772" spans="1:9" x14ac:dyDescent="0.25">
      <c r="A772" t="s">
        <v>364</v>
      </c>
      <c r="B772" s="6">
        <f t="shared" si="84"/>
        <v>9.9344999999999999</v>
      </c>
      <c r="C772" s="3">
        <f t="shared" si="85"/>
        <v>101</v>
      </c>
      <c r="D772" s="3" t="str">
        <f t="shared" si="86"/>
        <v/>
      </c>
      <c r="E772" s="3">
        <f t="shared" si="87"/>
        <v>156</v>
      </c>
      <c r="F772" s="5" t="str">
        <f>IF(C772=0,"Broadcast",IF(D772="",IF(E772="","",IF(E772&lt;128,"Verbind "&amp;E772,INDEX(KdoCodeTab,MATCH(E772,KdoWertTab,0)))),"StatusAbfr "&amp;D772))</f>
        <v>Mark</v>
      </c>
      <c r="G772" t="str">
        <f t="shared" si="88"/>
        <v>Mark</v>
      </c>
      <c r="H772" t="str">
        <f t="shared" si="89"/>
        <v/>
      </c>
      <c r="I772" t="str">
        <f t="shared" si="90"/>
        <v/>
      </c>
    </row>
    <row r="773" spans="1:9" x14ac:dyDescent="0.25">
      <c r="A773" t="s">
        <v>365</v>
      </c>
      <c r="B773" s="6">
        <f t="shared" ref="B773:B836" si="91">MID(A773,1,5)/1000+(CODE(MID(A773,6,1))-CODE("a"))/6000</f>
        <v>9.9353333333333342</v>
      </c>
      <c r="C773" s="3">
        <f t="shared" ref="C773:C836" si="92">INT(HEX2DEC(MID(A773,8,2))/2)</f>
        <v>101</v>
      </c>
      <c r="D773" s="3" t="str">
        <f t="shared" si="86"/>
        <v/>
      </c>
      <c r="E773" s="3">
        <f t="shared" si="87"/>
        <v>154</v>
      </c>
      <c r="F773" s="5" t="str">
        <f>IF(C773=0,"Broadcast",IF(D773="",IF(E773="","",IF(E773&lt;128,"Verbind "&amp;E773,INDEX(KdoCodeTab,MATCH(E773,KdoWertTab,0)))),"StatusAbfr "&amp;D773))</f>
        <v>MarkWdh</v>
      </c>
      <c r="G773" t="str">
        <f t="shared" si="88"/>
        <v>MarkWdh</v>
      </c>
      <c r="H773" t="str">
        <f t="shared" si="89"/>
        <v/>
      </c>
      <c r="I773" t="str">
        <f t="shared" si="90"/>
        <v/>
      </c>
    </row>
    <row r="774" spans="1:9" x14ac:dyDescent="0.25">
      <c r="A774" t="s">
        <v>366</v>
      </c>
      <c r="B774" s="6">
        <f t="shared" si="91"/>
        <v>9.9536666666666669</v>
      </c>
      <c r="C774" s="3">
        <f t="shared" si="92"/>
        <v>101</v>
      </c>
      <c r="D774" s="3" t="str">
        <f t="shared" si="86"/>
        <v/>
      </c>
      <c r="E774" s="3">
        <f t="shared" si="87"/>
        <v>147</v>
      </c>
      <c r="F774" s="5" t="str">
        <f>IF(C774=0,"Broadcast",IF(D774="",IF(E774="","",IF(E774&lt;128,"Verbind "&amp;E774,INDEX(KdoCodeTab,MATCH(E774,KdoWertTab,0)))),"StatusAbfr "&amp;D774))</f>
        <v>Space</v>
      </c>
      <c r="G774" t="str">
        <f t="shared" si="88"/>
        <v>Space</v>
      </c>
      <c r="H774" t="str">
        <f t="shared" si="89"/>
        <v/>
      </c>
      <c r="I774" t="str">
        <f t="shared" si="90"/>
        <v/>
      </c>
    </row>
    <row r="775" spans="1:9" x14ac:dyDescent="0.25">
      <c r="A775" t="s">
        <v>367</v>
      </c>
      <c r="B775" s="6">
        <f t="shared" si="91"/>
        <v>9.9546666666666681</v>
      </c>
      <c r="C775" s="3">
        <f t="shared" si="92"/>
        <v>101</v>
      </c>
      <c r="D775" s="3" t="str">
        <f t="shared" si="86"/>
        <v/>
      </c>
      <c r="E775" s="3">
        <f t="shared" si="87"/>
        <v>150</v>
      </c>
      <c r="F775" s="5" t="str">
        <f>IF(C775=0,"Broadcast",IF(D775="",IF(E775="","",IF(E775&lt;128,"Verbind "&amp;E775,INDEX(KdoCodeTab,MATCH(E775,KdoWertTab,0)))),"StatusAbfr "&amp;D775))</f>
        <v>SpaceWdh</v>
      </c>
      <c r="G775" t="str">
        <f t="shared" si="88"/>
        <v>SpaceWdh</v>
      </c>
      <c r="H775" t="str">
        <f t="shared" si="89"/>
        <v/>
      </c>
      <c r="I775" t="str">
        <f t="shared" si="90"/>
        <v/>
      </c>
    </row>
    <row r="776" spans="1:9" x14ac:dyDescent="0.25">
      <c r="A776" t="s">
        <v>368</v>
      </c>
      <c r="B776" s="6">
        <f t="shared" si="91"/>
        <v>9.9738333333333333</v>
      </c>
      <c r="C776" s="3">
        <f t="shared" si="92"/>
        <v>101</v>
      </c>
      <c r="D776" s="3" t="str">
        <f t="shared" si="86"/>
        <v/>
      </c>
      <c r="E776" s="3">
        <f t="shared" si="87"/>
        <v>156</v>
      </c>
      <c r="F776" s="5" t="str">
        <f>IF(C776=0,"Broadcast",IF(D776="",IF(E776="","",IF(E776&lt;128,"Verbind "&amp;E776,INDEX(KdoCodeTab,MATCH(E776,KdoWertTab,0)))),"StatusAbfr "&amp;D776))</f>
        <v>Mark</v>
      </c>
      <c r="G776" t="str">
        <f t="shared" si="88"/>
        <v>Mark</v>
      </c>
      <c r="H776" t="str">
        <f t="shared" si="89"/>
        <v/>
      </c>
      <c r="I776" t="str">
        <f t="shared" si="90"/>
        <v/>
      </c>
    </row>
    <row r="777" spans="1:9" x14ac:dyDescent="0.25">
      <c r="A777" t="s">
        <v>369</v>
      </c>
      <c r="B777" s="6">
        <f t="shared" si="91"/>
        <v>9.9748333333333328</v>
      </c>
      <c r="C777" s="3">
        <f t="shared" si="92"/>
        <v>101</v>
      </c>
      <c r="D777" s="3" t="str">
        <f t="shared" si="86"/>
        <v/>
      </c>
      <c r="E777" s="3">
        <f t="shared" si="87"/>
        <v>154</v>
      </c>
      <c r="F777" s="5" t="str">
        <f>IF(C777=0,"Broadcast",IF(D777="",IF(E777="","",IF(E777&lt;128,"Verbind "&amp;E777,INDEX(KdoCodeTab,MATCH(E777,KdoWertTab,0)))),"StatusAbfr "&amp;D777))</f>
        <v>MarkWdh</v>
      </c>
      <c r="G777" t="str">
        <f t="shared" si="88"/>
        <v>MarkWdh</v>
      </c>
      <c r="H777" t="str">
        <f t="shared" si="89"/>
        <v/>
      </c>
      <c r="I777" t="str">
        <f t="shared" si="90"/>
        <v/>
      </c>
    </row>
    <row r="778" spans="1:9" x14ac:dyDescent="0.25">
      <c r="A778" t="s">
        <v>370</v>
      </c>
      <c r="B778" s="6">
        <f t="shared" si="91"/>
        <v>9.9860000000000007</v>
      </c>
      <c r="C778" s="3">
        <f t="shared" si="92"/>
        <v>101</v>
      </c>
      <c r="D778" s="3" t="str">
        <f t="shared" si="86"/>
        <v/>
      </c>
      <c r="E778" s="3">
        <f t="shared" si="87"/>
        <v>169</v>
      </c>
      <c r="F778" s="5" t="str">
        <f>IF(C778=0,"Broadcast",IF(D778="",IF(E778="","",IF(E778&lt;128,"Verbind "&amp;E778,INDEX(KdoCodeTab,MATCH(E778,KdoWertTab,0)))),"StatusAbfr "&amp;D778))</f>
        <v>BusLebenszeichen</v>
      </c>
      <c r="G778" t="str">
        <f t="shared" si="88"/>
        <v>BusLebenszeichen</v>
      </c>
      <c r="H778" t="str">
        <f t="shared" si="89"/>
        <v/>
      </c>
      <c r="I778" t="str">
        <f t="shared" si="90"/>
        <v/>
      </c>
    </row>
    <row r="779" spans="1:9" x14ac:dyDescent="0.25">
      <c r="A779" t="s">
        <v>371</v>
      </c>
      <c r="B779" s="6">
        <f t="shared" si="91"/>
        <v>10.004333333333333</v>
      </c>
      <c r="C779" s="3">
        <f t="shared" si="92"/>
        <v>101</v>
      </c>
      <c r="D779" s="3" t="str">
        <f t="shared" si="86"/>
        <v/>
      </c>
      <c r="E779" s="3">
        <f t="shared" si="87"/>
        <v>147</v>
      </c>
      <c r="F779" s="5" t="str">
        <f>IF(C779=0,"Broadcast",IF(D779="",IF(E779="","",IF(E779&lt;128,"Verbind "&amp;E779,INDEX(KdoCodeTab,MATCH(E779,KdoWertTab,0)))),"StatusAbfr "&amp;D779))</f>
        <v>Space</v>
      </c>
      <c r="G779" t="str">
        <f t="shared" si="88"/>
        <v>Space</v>
      </c>
      <c r="H779" t="str">
        <f t="shared" si="89"/>
        <v/>
      </c>
      <c r="I779" t="str">
        <f t="shared" si="90"/>
        <v/>
      </c>
    </row>
    <row r="780" spans="1:9" x14ac:dyDescent="0.25">
      <c r="A780" t="s">
        <v>372</v>
      </c>
      <c r="B780" s="6">
        <f t="shared" si="91"/>
        <v>10.005166666666668</v>
      </c>
      <c r="C780" s="3">
        <f t="shared" si="92"/>
        <v>101</v>
      </c>
      <c r="D780" s="3" t="str">
        <f t="shared" si="86"/>
        <v/>
      </c>
      <c r="E780" s="3">
        <f t="shared" si="87"/>
        <v>150</v>
      </c>
      <c r="F780" s="5" t="str">
        <f>IF(C780=0,"Broadcast",IF(D780="",IF(E780="","",IF(E780&lt;128,"Verbind "&amp;E780,INDEX(KdoCodeTab,MATCH(E780,KdoWertTab,0)))),"StatusAbfr "&amp;D780))</f>
        <v>SpaceWdh</v>
      </c>
      <c r="G780" t="str">
        <f t="shared" si="88"/>
        <v>SpaceWdh</v>
      </c>
      <c r="H780" t="str">
        <f t="shared" si="89"/>
        <v/>
      </c>
      <c r="I780" t="str">
        <f t="shared" si="90"/>
        <v/>
      </c>
    </row>
    <row r="781" spans="1:9" x14ac:dyDescent="0.25">
      <c r="A781" t="s">
        <v>373</v>
      </c>
      <c r="B781" s="6">
        <f t="shared" si="91"/>
        <v>10.0245</v>
      </c>
      <c r="C781" s="3">
        <f t="shared" si="92"/>
        <v>101</v>
      </c>
      <c r="D781" s="3" t="str">
        <f t="shared" si="86"/>
        <v/>
      </c>
      <c r="E781" s="3">
        <f t="shared" si="87"/>
        <v>156</v>
      </c>
      <c r="F781" s="5" t="str">
        <f>IF(C781=0,"Broadcast",IF(D781="",IF(E781="","",IF(E781&lt;128,"Verbind "&amp;E781,INDEX(KdoCodeTab,MATCH(E781,KdoWertTab,0)))),"StatusAbfr "&amp;D781))</f>
        <v>Mark</v>
      </c>
      <c r="G781" t="str">
        <f t="shared" si="88"/>
        <v>Mark</v>
      </c>
      <c r="H781" t="str">
        <f t="shared" si="89"/>
        <v/>
      </c>
      <c r="I781" t="str">
        <f t="shared" si="90"/>
        <v/>
      </c>
    </row>
    <row r="782" spans="1:9" x14ac:dyDescent="0.25">
      <c r="A782" t="s">
        <v>374</v>
      </c>
      <c r="B782" s="6">
        <f t="shared" si="91"/>
        <v>10.025333333333334</v>
      </c>
      <c r="C782" s="3">
        <f t="shared" si="92"/>
        <v>101</v>
      </c>
      <c r="D782" s="3" t="str">
        <f t="shared" si="86"/>
        <v/>
      </c>
      <c r="E782" s="3">
        <f t="shared" si="87"/>
        <v>154</v>
      </c>
      <c r="F782" s="5" t="str">
        <f>IF(C782=0,"Broadcast",IF(D782="",IF(E782="","",IF(E782&lt;128,"Verbind "&amp;E782,INDEX(KdoCodeTab,MATCH(E782,KdoWertTab,0)))),"StatusAbfr "&amp;D782))</f>
        <v>MarkWdh</v>
      </c>
      <c r="G782" t="str">
        <f t="shared" si="88"/>
        <v>MarkWdh</v>
      </c>
      <c r="H782" t="str">
        <f t="shared" si="89"/>
        <v/>
      </c>
      <c r="I782" t="str">
        <f t="shared" si="90"/>
        <v/>
      </c>
    </row>
    <row r="783" spans="1:9" x14ac:dyDescent="0.25">
      <c r="A783" t="s">
        <v>375</v>
      </c>
      <c r="B783" s="6">
        <f t="shared" si="91"/>
        <v>10.044666666666668</v>
      </c>
      <c r="C783" s="3">
        <f t="shared" si="92"/>
        <v>101</v>
      </c>
      <c r="D783" s="3" t="str">
        <f t="shared" si="86"/>
        <v/>
      </c>
      <c r="E783" s="3">
        <f t="shared" si="87"/>
        <v>147</v>
      </c>
      <c r="F783" s="5" t="str">
        <f>IF(C783=0,"Broadcast",IF(D783="",IF(E783="","",IF(E783&lt;128,"Verbind "&amp;E783,INDEX(KdoCodeTab,MATCH(E783,KdoWertTab,0)))),"StatusAbfr "&amp;D783))</f>
        <v>Space</v>
      </c>
      <c r="G783" t="str">
        <f t="shared" si="88"/>
        <v>Space</v>
      </c>
      <c r="H783" t="str">
        <f t="shared" si="89"/>
        <v/>
      </c>
      <c r="I783" t="str">
        <f t="shared" si="90"/>
        <v/>
      </c>
    </row>
    <row r="784" spans="1:9" x14ac:dyDescent="0.25">
      <c r="A784" t="s">
        <v>376</v>
      </c>
      <c r="B784" s="6">
        <f t="shared" si="91"/>
        <v>10.045500000000001</v>
      </c>
      <c r="C784" s="3">
        <f t="shared" si="92"/>
        <v>101</v>
      </c>
      <c r="D784" s="3" t="str">
        <f t="shared" si="86"/>
        <v/>
      </c>
      <c r="E784" s="3">
        <f t="shared" si="87"/>
        <v>150</v>
      </c>
      <c r="F784" s="5" t="str">
        <f>IF(C784=0,"Broadcast",IF(D784="",IF(E784="","",IF(E784&lt;128,"Verbind "&amp;E784,INDEX(KdoCodeTab,MATCH(E784,KdoWertTab,0)))),"StatusAbfr "&amp;D784))</f>
        <v>SpaceWdh</v>
      </c>
      <c r="G784" t="str">
        <f t="shared" si="88"/>
        <v>SpaceWdh</v>
      </c>
      <c r="H784" t="str">
        <f t="shared" si="89"/>
        <v/>
      </c>
      <c r="I784" t="str">
        <f t="shared" si="90"/>
        <v/>
      </c>
    </row>
    <row r="785" spans="1:9" x14ac:dyDescent="0.25">
      <c r="A785" t="s">
        <v>377</v>
      </c>
      <c r="B785" s="6">
        <f t="shared" si="91"/>
        <v>10.124333333333334</v>
      </c>
      <c r="C785" s="3">
        <f t="shared" si="92"/>
        <v>101</v>
      </c>
      <c r="D785" s="3" t="str">
        <f t="shared" si="86"/>
        <v/>
      </c>
      <c r="E785" s="3">
        <f t="shared" si="87"/>
        <v>156</v>
      </c>
      <c r="F785" s="5" t="str">
        <f>IF(C785=0,"Broadcast",IF(D785="",IF(E785="","",IF(E785&lt;128,"Verbind "&amp;E785,INDEX(KdoCodeTab,MATCH(E785,KdoWertTab,0)))),"StatusAbfr "&amp;D785))</f>
        <v>Mark</v>
      </c>
      <c r="G785" t="str">
        <f t="shared" si="88"/>
        <v>Mark</v>
      </c>
      <c r="H785" t="str">
        <f t="shared" si="89"/>
        <v/>
      </c>
      <c r="I785" t="str">
        <f t="shared" si="90"/>
        <v/>
      </c>
    </row>
    <row r="786" spans="1:9" x14ac:dyDescent="0.25">
      <c r="A786" t="s">
        <v>378</v>
      </c>
      <c r="B786" s="6">
        <f t="shared" si="91"/>
        <v>10.125333333333334</v>
      </c>
      <c r="C786" s="3">
        <f t="shared" si="92"/>
        <v>101</v>
      </c>
      <c r="D786" s="3" t="str">
        <f t="shared" si="86"/>
        <v/>
      </c>
      <c r="E786" s="3">
        <f t="shared" si="87"/>
        <v>154</v>
      </c>
      <c r="F786" s="5" t="str">
        <f>IF(C786=0,"Broadcast",IF(D786="",IF(E786="","",IF(E786&lt;128,"Verbind "&amp;E786,INDEX(KdoCodeTab,MATCH(E786,KdoWertTab,0)))),"StatusAbfr "&amp;D786))</f>
        <v>MarkWdh</v>
      </c>
      <c r="G786" t="str">
        <f t="shared" si="88"/>
        <v>MarkWdh</v>
      </c>
      <c r="H786" t="str">
        <f t="shared" si="89"/>
        <v/>
      </c>
      <c r="I786" t="str">
        <f t="shared" si="90"/>
        <v/>
      </c>
    </row>
    <row r="787" spans="1:9" x14ac:dyDescent="0.25">
      <c r="A787" t="s">
        <v>379</v>
      </c>
      <c r="B787" s="6">
        <f t="shared" si="91"/>
        <v>10.177</v>
      </c>
      <c r="C787" s="3">
        <f t="shared" si="92"/>
        <v>101</v>
      </c>
      <c r="D787" s="3" t="str">
        <f t="shared" si="86"/>
        <v/>
      </c>
      <c r="E787" s="3">
        <f t="shared" si="87"/>
        <v>147</v>
      </c>
      <c r="F787" s="5" t="str">
        <f>IF(C787=0,"Broadcast",IF(D787="",IF(E787="","",IF(E787&lt;128,"Verbind "&amp;E787,INDEX(KdoCodeTab,MATCH(E787,KdoWertTab,0)))),"StatusAbfr "&amp;D787))</f>
        <v>Space</v>
      </c>
      <c r="G787" t="str">
        <f t="shared" si="88"/>
        <v>Space</v>
      </c>
      <c r="H787" t="str">
        <f t="shared" si="89"/>
        <v/>
      </c>
      <c r="I787" t="str">
        <f t="shared" si="90"/>
        <v/>
      </c>
    </row>
    <row r="788" spans="1:9" x14ac:dyDescent="0.25">
      <c r="A788" t="s">
        <v>380</v>
      </c>
      <c r="B788" s="6">
        <f t="shared" si="91"/>
        <v>10.177833333333332</v>
      </c>
      <c r="C788" s="3">
        <f t="shared" si="92"/>
        <v>101</v>
      </c>
      <c r="D788" s="3" t="str">
        <f t="shared" si="86"/>
        <v/>
      </c>
      <c r="E788" s="3">
        <f t="shared" si="87"/>
        <v>150</v>
      </c>
      <c r="F788" s="5" t="str">
        <f>IF(C788=0,"Broadcast",IF(D788="",IF(E788="","",IF(E788&lt;128,"Verbind "&amp;E788,INDEX(KdoCodeTab,MATCH(E788,KdoWertTab,0)))),"StatusAbfr "&amp;D788))</f>
        <v>SpaceWdh</v>
      </c>
      <c r="G788" t="str">
        <f t="shared" si="88"/>
        <v>SpaceWdh</v>
      </c>
      <c r="H788" t="str">
        <f t="shared" si="89"/>
        <v/>
      </c>
      <c r="I788" t="str">
        <f t="shared" si="90"/>
        <v/>
      </c>
    </row>
    <row r="789" spans="1:9" x14ac:dyDescent="0.25">
      <c r="A789" t="s">
        <v>381</v>
      </c>
      <c r="B789" s="6">
        <f t="shared" si="91"/>
        <v>10.197166666666666</v>
      </c>
      <c r="C789" s="3">
        <f t="shared" si="92"/>
        <v>101</v>
      </c>
      <c r="D789" s="3" t="str">
        <f t="shared" si="86"/>
        <v/>
      </c>
      <c r="E789" s="3">
        <f t="shared" si="87"/>
        <v>156</v>
      </c>
      <c r="F789" s="5" t="str">
        <f>IF(C789=0,"Broadcast",IF(D789="",IF(E789="","",IF(E789&lt;128,"Verbind "&amp;E789,INDEX(KdoCodeTab,MATCH(E789,KdoWertTab,0)))),"StatusAbfr "&amp;D789))</f>
        <v>Mark</v>
      </c>
      <c r="G789" t="str">
        <f t="shared" si="88"/>
        <v>Mark</v>
      </c>
      <c r="H789" t="str">
        <f t="shared" si="89"/>
        <v/>
      </c>
      <c r="I789" t="str">
        <f t="shared" si="90"/>
        <v/>
      </c>
    </row>
    <row r="790" spans="1:9" x14ac:dyDescent="0.25">
      <c r="A790" t="s">
        <v>382</v>
      </c>
      <c r="B790" s="6">
        <f t="shared" si="91"/>
        <v>10.198333333333334</v>
      </c>
      <c r="C790" s="3">
        <f t="shared" si="92"/>
        <v>101</v>
      </c>
      <c r="D790" s="3" t="str">
        <f t="shared" si="86"/>
        <v/>
      </c>
      <c r="E790" s="3">
        <f t="shared" si="87"/>
        <v>154</v>
      </c>
      <c r="F790" s="5" t="str">
        <f>IF(C790=0,"Broadcast",IF(D790="",IF(E790="","",IF(E790&lt;128,"Verbind "&amp;E790,INDEX(KdoCodeTab,MATCH(E790,KdoWertTab,0)))),"StatusAbfr "&amp;D790))</f>
        <v>MarkWdh</v>
      </c>
      <c r="G790" t="str">
        <f t="shared" si="88"/>
        <v>MarkWdh</v>
      </c>
      <c r="H790" t="str">
        <f t="shared" si="89"/>
        <v/>
      </c>
      <c r="I790" t="str">
        <f t="shared" si="90"/>
        <v/>
      </c>
    </row>
    <row r="791" spans="1:9" x14ac:dyDescent="0.25">
      <c r="A791" t="s">
        <v>383</v>
      </c>
      <c r="B791" s="6">
        <f t="shared" si="91"/>
        <v>10.217333333333334</v>
      </c>
      <c r="C791" s="3">
        <f t="shared" si="92"/>
        <v>101</v>
      </c>
      <c r="D791" s="3" t="str">
        <f t="shared" si="86"/>
        <v/>
      </c>
      <c r="E791" s="3">
        <f t="shared" si="87"/>
        <v>147</v>
      </c>
      <c r="F791" s="5" t="str">
        <f>IF(C791=0,"Broadcast",IF(D791="",IF(E791="","",IF(E791&lt;128,"Verbind "&amp;E791,INDEX(KdoCodeTab,MATCH(E791,KdoWertTab,0)))),"StatusAbfr "&amp;D791))</f>
        <v>Space</v>
      </c>
      <c r="G791" t="str">
        <f t="shared" si="88"/>
        <v>Space</v>
      </c>
      <c r="H791" t="str">
        <f t="shared" si="89"/>
        <v/>
      </c>
      <c r="I791" t="str">
        <f t="shared" si="90"/>
        <v/>
      </c>
    </row>
    <row r="792" spans="1:9" x14ac:dyDescent="0.25">
      <c r="A792" t="s">
        <v>384</v>
      </c>
      <c r="B792" s="6">
        <f t="shared" si="91"/>
        <v>10.218333333333334</v>
      </c>
      <c r="C792" s="3">
        <f t="shared" si="92"/>
        <v>101</v>
      </c>
      <c r="D792" s="3" t="str">
        <f t="shared" si="86"/>
        <v/>
      </c>
      <c r="E792" s="3">
        <f t="shared" si="87"/>
        <v>150</v>
      </c>
      <c r="F792" s="5" t="str">
        <f>IF(C792=0,"Broadcast",IF(D792="",IF(E792="","",IF(E792&lt;128,"Verbind "&amp;E792,INDEX(KdoCodeTab,MATCH(E792,KdoWertTab,0)))),"StatusAbfr "&amp;D792))</f>
        <v>SpaceWdh</v>
      </c>
      <c r="G792" t="str">
        <f t="shared" si="88"/>
        <v>SpaceWdh</v>
      </c>
      <c r="H792" t="str">
        <f t="shared" si="89"/>
        <v/>
      </c>
      <c r="I792" t="str">
        <f t="shared" si="90"/>
        <v/>
      </c>
    </row>
    <row r="793" spans="1:9" x14ac:dyDescent="0.25">
      <c r="A793" t="s">
        <v>385</v>
      </c>
      <c r="B793" s="6">
        <f t="shared" si="91"/>
        <v>10.225166666666667</v>
      </c>
      <c r="C793" s="3">
        <f t="shared" si="92"/>
        <v>31</v>
      </c>
      <c r="D793" s="3" t="str">
        <f t="shared" si="86"/>
        <v/>
      </c>
      <c r="E793" s="3">
        <f t="shared" si="87"/>
        <v>154</v>
      </c>
      <c r="F793" s="5" t="str">
        <f>IF(C793=0,"Broadcast",IF(D793="",IF(E793="","",IF(E793&lt;128,"Verbind "&amp;E793,INDEX(KdoCodeTab,MATCH(E793,KdoWertTab,0)))),"StatusAbfr "&amp;D793))</f>
        <v>MarkWdh</v>
      </c>
      <c r="G793" t="str">
        <f t="shared" si="88"/>
        <v/>
      </c>
      <c r="H793" t="str">
        <f t="shared" si="89"/>
        <v>MarkWdh</v>
      </c>
      <c r="I793" t="str">
        <f t="shared" si="90"/>
        <v/>
      </c>
    </row>
    <row r="794" spans="1:9" x14ac:dyDescent="0.25">
      <c r="A794" t="s">
        <v>386</v>
      </c>
      <c r="B794" s="6">
        <f t="shared" si="91"/>
        <v>10.256833333333333</v>
      </c>
      <c r="C794" s="3">
        <f t="shared" si="92"/>
        <v>101</v>
      </c>
      <c r="D794" s="3" t="str">
        <f t="shared" si="86"/>
        <v/>
      </c>
      <c r="E794" s="3">
        <f t="shared" si="87"/>
        <v>156</v>
      </c>
      <c r="F794" s="5" t="str">
        <f>IF(C794=0,"Broadcast",IF(D794="",IF(E794="","",IF(E794&lt;128,"Verbind "&amp;E794,INDEX(KdoCodeTab,MATCH(E794,KdoWertTab,0)))),"StatusAbfr "&amp;D794))</f>
        <v>Mark</v>
      </c>
      <c r="G794" t="str">
        <f t="shared" si="88"/>
        <v>Mark</v>
      </c>
      <c r="H794" t="str">
        <f t="shared" si="89"/>
        <v/>
      </c>
      <c r="I794" t="str">
        <f t="shared" si="90"/>
        <v/>
      </c>
    </row>
    <row r="795" spans="1:9" x14ac:dyDescent="0.25">
      <c r="A795" t="s">
        <v>387</v>
      </c>
      <c r="B795" s="6">
        <f t="shared" si="91"/>
        <v>10.257666666666667</v>
      </c>
      <c r="C795" s="3">
        <f t="shared" si="92"/>
        <v>101</v>
      </c>
      <c r="D795" s="3" t="str">
        <f t="shared" si="86"/>
        <v/>
      </c>
      <c r="E795" s="3">
        <f t="shared" si="87"/>
        <v>154</v>
      </c>
      <c r="F795" s="5" t="str">
        <f>IF(C795=0,"Broadcast",IF(D795="",IF(E795="","",IF(E795&lt;128,"Verbind "&amp;E795,INDEX(KdoCodeTab,MATCH(E795,KdoWertTab,0)))),"StatusAbfr "&amp;D795))</f>
        <v>MarkWdh</v>
      </c>
      <c r="G795" t="str">
        <f t="shared" si="88"/>
        <v>MarkWdh</v>
      </c>
      <c r="H795" t="str">
        <f t="shared" si="89"/>
        <v/>
      </c>
      <c r="I795" t="str">
        <f t="shared" si="90"/>
        <v/>
      </c>
    </row>
    <row r="796" spans="1:9" x14ac:dyDescent="0.25">
      <c r="A796" t="s">
        <v>388</v>
      </c>
      <c r="B796" s="6">
        <f t="shared" si="91"/>
        <v>10.278</v>
      </c>
      <c r="C796" s="3">
        <f t="shared" si="92"/>
        <v>101</v>
      </c>
      <c r="D796" s="3" t="str">
        <f t="shared" si="86"/>
        <v/>
      </c>
      <c r="E796" s="3">
        <f t="shared" si="87"/>
        <v>147</v>
      </c>
      <c r="F796" s="5" t="str">
        <f>IF(C796=0,"Broadcast",IF(D796="",IF(E796="","",IF(E796&lt;128,"Verbind "&amp;E796,INDEX(KdoCodeTab,MATCH(E796,KdoWertTab,0)))),"StatusAbfr "&amp;D796))</f>
        <v>Space</v>
      </c>
      <c r="G796" t="str">
        <f t="shared" si="88"/>
        <v>Space</v>
      </c>
      <c r="H796" t="str">
        <f t="shared" si="89"/>
        <v/>
      </c>
      <c r="I796" t="str">
        <f t="shared" si="90"/>
        <v/>
      </c>
    </row>
    <row r="797" spans="1:9" x14ac:dyDescent="0.25">
      <c r="A797" t="s">
        <v>389</v>
      </c>
      <c r="B797" s="6">
        <f t="shared" si="91"/>
        <v>10.279</v>
      </c>
      <c r="C797" s="3">
        <f t="shared" si="92"/>
        <v>101</v>
      </c>
      <c r="D797" s="3" t="str">
        <f t="shared" si="86"/>
        <v/>
      </c>
      <c r="E797" s="3">
        <f t="shared" si="87"/>
        <v>150</v>
      </c>
      <c r="F797" s="5" t="str">
        <f>IF(C797=0,"Broadcast",IF(D797="",IF(E797="","",IF(E797&lt;128,"Verbind "&amp;E797,INDEX(KdoCodeTab,MATCH(E797,KdoWertTab,0)))),"StatusAbfr "&amp;D797))</f>
        <v>SpaceWdh</v>
      </c>
      <c r="G797" t="str">
        <f t="shared" si="88"/>
        <v>SpaceWdh</v>
      </c>
      <c r="H797" t="str">
        <f t="shared" si="89"/>
        <v/>
      </c>
      <c r="I797" t="str">
        <f t="shared" si="90"/>
        <v/>
      </c>
    </row>
    <row r="798" spans="1:9" x14ac:dyDescent="0.25">
      <c r="A798" t="s">
        <v>390</v>
      </c>
      <c r="B798" s="6">
        <f t="shared" si="91"/>
        <v>10.297166666666667</v>
      </c>
      <c r="C798" s="3">
        <f t="shared" si="92"/>
        <v>101</v>
      </c>
      <c r="D798" s="3" t="str">
        <f t="shared" si="86"/>
        <v/>
      </c>
      <c r="E798" s="3">
        <f t="shared" si="87"/>
        <v>156</v>
      </c>
      <c r="F798" s="5" t="str">
        <f>IF(C798=0,"Broadcast",IF(D798="",IF(E798="","",IF(E798&lt;128,"Verbind "&amp;E798,INDEX(KdoCodeTab,MATCH(E798,KdoWertTab,0)))),"StatusAbfr "&amp;D798))</f>
        <v>Mark</v>
      </c>
      <c r="G798" t="str">
        <f t="shared" si="88"/>
        <v>Mark</v>
      </c>
      <c r="H798" t="str">
        <f t="shared" si="89"/>
        <v/>
      </c>
      <c r="I798" t="str">
        <f t="shared" si="90"/>
        <v/>
      </c>
    </row>
    <row r="799" spans="1:9" x14ac:dyDescent="0.25">
      <c r="A799" t="s">
        <v>391</v>
      </c>
      <c r="B799" s="6">
        <f t="shared" si="91"/>
        <v>10.298166666666667</v>
      </c>
      <c r="C799" s="3">
        <f t="shared" si="92"/>
        <v>101</v>
      </c>
      <c r="D799" s="3" t="str">
        <f t="shared" si="86"/>
        <v/>
      </c>
      <c r="E799" s="3">
        <f t="shared" si="87"/>
        <v>154</v>
      </c>
      <c r="F799" s="5" t="str">
        <f>IF(C799=0,"Broadcast",IF(D799="",IF(E799="","",IF(E799&lt;128,"Verbind "&amp;E799,INDEX(KdoCodeTab,MATCH(E799,KdoWertTab,0)))),"StatusAbfr "&amp;D799))</f>
        <v>MarkWdh</v>
      </c>
      <c r="G799" t="str">
        <f t="shared" si="88"/>
        <v>MarkWdh</v>
      </c>
      <c r="H799" t="str">
        <f t="shared" si="89"/>
        <v/>
      </c>
      <c r="I799" t="str">
        <f t="shared" si="90"/>
        <v/>
      </c>
    </row>
    <row r="800" spans="1:9" x14ac:dyDescent="0.25">
      <c r="A800" t="s">
        <v>392</v>
      </c>
      <c r="B800" s="6">
        <f t="shared" si="91"/>
        <v>10.327500000000001</v>
      </c>
      <c r="C800" s="3">
        <f t="shared" si="92"/>
        <v>101</v>
      </c>
      <c r="D800" s="3" t="str">
        <f t="shared" si="86"/>
        <v/>
      </c>
      <c r="E800" s="3">
        <f t="shared" si="87"/>
        <v>147</v>
      </c>
      <c r="F800" s="5" t="str">
        <f>IF(C800=0,"Broadcast",IF(D800="",IF(E800="","",IF(E800&lt;128,"Verbind "&amp;E800,INDEX(KdoCodeTab,MATCH(E800,KdoWertTab,0)))),"StatusAbfr "&amp;D800))</f>
        <v>Space</v>
      </c>
      <c r="G800" t="str">
        <f t="shared" si="88"/>
        <v>Space</v>
      </c>
      <c r="H800" t="str">
        <f t="shared" si="89"/>
        <v/>
      </c>
      <c r="I800" t="str">
        <f t="shared" si="90"/>
        <v/>
      </c>
    </row>
    <row r="801" spans="1:9" x14ac:dyDescent="0.25">
      <c r="A801" t="s">
        <v>393</v>
      </c>
      <c r="B801" s="6">
        <f t="shared" si="91"/>
        <v>10.3285</v>
      </c>
      <c r="C801" s="3">
        <f t="shared" si="92"/>
        <v>101</v>
      </c>
      <c r="D801" s="3" t="str">
        <f t="shared" si="86"/>
        <v/>
      </c>
      <c r="E801" s="3">
        <f t="shared" si="87"/>
        <v>150</v>
      </c>
      <c r="F801" s="5" t="str">
        <f>IF(C801=0,"Broadcast",IF(D801="",IF(E801="","",IF(E801&lt;128,"Verbind "&amp;E801,INDEX(KdoCodeTab,MATCH(E801,KdoWertTab,0)))),"StatusAbfr "&amp;D801))</f>
        <v>SpaceWdh</v>
      </c>
      <c r="G801" t="str">
        <f t="shared" si="88"/>
        <v>SpaceWdh</v>
      </c>
      <c r="H801" t="str">
        <f t="shared" si="89"/>
        <v/>
      </c>
      <c r="I801" t="str">
        <f t="shared" si="90"/>
        <v/>
      </c>
    </row>
    <row r="802" spans="1:9" x14ac:dyDescent="0.25">
      <c r="A802" t="s">
        <v>394</v>
      </c>
      <c r="B802" s="6">
        <f t="shared" si="91"/>
        <v>10.387166666666667</v>
      </c>
      <c r="C802" s="3">
        <f t="shared" si="92"/>
        <v>101</v>
      </c>
      <c r="D802" s="3" t="str">
        <f t="shared" si="86"/>
        <v/>
      </c>
      <c r="E802" s="3">
        <f t="shared" si="87"/>
        <v>156</v>
      </c>
      <c r="F802" s="5" t="str">
        <f>IF(C802=0,"Broadcast",IF(D802="",IF(E802="","",IF(E802&lt;128,"Verbind "&amp;E802,INDEX(KdoCodeTab,MATCH(E802,KdoWertTab,0)))),"StatusAbfr "&amp;D802))</f>
        <v>Mark</v>
      </c>
      <c r="G802" t="str">
        <f t="shared" si="88"/>
        <v>Mark</v>
      </c>
      <c r="H802" t="str">
        <f t="shared" si="89"/>
        <v/>
      </c>
      <c r="I802" t="str">
        <f t="shared" si="90"/>
        <v/>
      </c>
    </row>
    <row r="803" spans="1:9" x14ac:dyDescent="0.25">
      <c r="A803" t="s">
        <v>395</v>
      </c>
      <c r="B803" s="6">
        <f t="shared" si="91"/>
        <v>10.388166666666667</v>
      </c>
      <c r="C803" s="3">
        <f t="shared" si="92"/>
        <v>101</v>
      </c>
      <c r="D803" s="3" t="str">
        <f t="shared" si="86"/>
        <v/>
      </c>
      <c r="E803" s="3">
        <f t="shared" si="87"/>
        <v>154</v>
      </c>
      <c r="F803" s="5" t="str">
        <f>IF(C803=0,"Broadcast",IF(D803="",IF(E803="","",IF(E803&lt;128,"Verbind "&amp;E803,INDEX(KdoCodeTab,MATCH(E803,KdoWertTab,0)))),"StatusAbfr "&amp;D803))</f>
        <v>MarkWdh</v>
      </c>
      <c r="G803" t="str">
        <f t="shared" si="88"/>
        <v>MarkWdh</v>
      </c>
      <c r="H803" t="str">
        <f t="shared" si="89"/>
        <v/>
      </c>
      <c r="I803" t="str">
        <f t="shared" si="90"/>
        <v/>
      </c>
    </row>
    <row r="804" spans="1:9" x14ac:dyDescent="0.25">
      <c r="A804" t="s">
        <v>396</v>
      </c>
      <c r="B804" s="6">
        <f t="shared" si="91"/>
        <v>10.407333333333334</v>
      </c>
      <c r="C804" s="3">
        <f t="shared" si="92"/>
        <v>101</v>
      </c>
      <c r="D804" s="3" t="str">
        <f t="shared" si="86"/>
        <v/>
      </c>
      <c r="E804" s="3">
        <f t="shared" si="87"/>
        <v>147</v>
      </c>
      <c r="F804" s="5" t="str">
        <f>IF(C804=0,"Broadcast",IF(D804="",IF(E804="","",IF(E804&lt;128,"Verbind "&amp;E804,INDEX(KdoCodeTab,MATCH(E804,KdoWertTab,0)))),"StatusAbfr "&amp;D804))</f>
        <v>Space</v>
      </c>
      <c r="G804" t="str">
        <f t="shared" si="88"/>
        <v>Space</v>
      </c>
      <c r="H804" t="str">
        <f t="shared" si="89"/>
        <v/>
      </c>
      <c r="I804" t="str">
        <f t="shared" si="90"/>
        <v/>
      </c>
    </row>
    <row r="805" spans="1:9" x14ac:dyDescent="0.25">
      <c r="A805" t="s">
        <v>397</v>
      </c>
      <c r="B805" s="6">
        <f t="shared" si="91"/>
        <v>10.408166666666666</v>
      </c>
      <c r="C805" s="3">
        <f t="shared" si="92"/>
        <v>101</v>
      </c>
      <c r="D805" s="3" t="str">
        <f t="shared" si="86"/>
        <v/>
      </c>
      <c r="E805" s="3">
        <f t="shared" si="87"/>
        <v>150</v>
      </c>
      <c r="F805" s="5" t="str">
        <f>IF(C805=0,"Broadcast",IF(D805="",IF(E805="","",IF(E805&lt;128,"Verbind "&amp;E805,INDEX(KdoCodeTab,MATCH(E805,KdoWertTab,0)))),"StatusAbfr "&amp;D805))</f>
        <v>SpaceWdh</v>
      </c>
      <c r="G805" t="str">
        <f t="shared" si="88"/>
        <v>SpaceWdh</v>
      </c>
      <c r="H805" t="str">
        <f t="shared" si="89"/>
        <v/>
      </c>
      <c r="I805" t="str">
        <f t="shared" si="90"/>
        <v/>
      </c>
    </row>
    <row r="806" spans="1:9" x14ac:dyDescent="0.25">
      <c r="A806" t="s">
        <v>398</v>
      </c>
      <c r="B806" s="6">
        <f t="shared" si="91"/>
        <v>10.447666666666667</v>
      </c>
      <c r="C806" s="3">
        <f t="shared" si="92"/>
        <v>101</v>
      </c>
      <c r="D806" s="3" t="str">
        <f t="shared" si="86"/>
        <v/>
      </c>
      <c r="E806" s="3">
        <f t="shared" si="87"/>
        <v>156</v>
      </c>
      <c r="F806" s="5" t="str">
        <f>IF(C806=0,"Broadcast",IF(D806="",IF(E806="","",IF(E806&lt;128,"Verbind "&amp;E806,INDEX(KdoCodeTab,MATCH(E806,KdoWertTab,0)))),"StatusAbfr "&amp;D806))</f>
        <v>Mark</v>
      </c>
      <c r="G806" t="str">
        <f t="shared" si="88"/>
        <v>Mark</v>
      </c>
      <c r="H806" t="str">
        <f t="shared" si="89"/>
        <v/>
      </c>
      <c r="I806" t="str">
        <f t="shared" si="90"/>
        <v/>
      </c>
    </row>
    <row r="807" spans="1:9" x14ac:dyDescent="0.25">
      <c r="A807" t="s">
        <v>399</v>
      </c>
      <c r="B807" s="6">
        <f t="shared" si="91"/>
        <v>10.448500000000001</v>
      </c>
      <c r="C807" s="3">
        <f t="shared" si="92"/>
        <v>101</v>
      </c>
      <c r="D807" s="3" t="str">
        <f t="shared" si="86"/>
        <v/>
      </c>
      <c r="E807" s="3">
        <f t="shared" si="87"/>
        <v>154</v>
      </c>
      <c r="F807" s="5" t="str">
        <f>IF(C807=0,"Broadcast",IF(D807="",IF(E807="","",IF(E807&lt;128,"Verbind "&amp;E807,INDEX(KdoCodeTab,MATCH(E807,KdoWertTab,0)))),"StatusAbfr "&amp;D807))</f>
        <v>MarkWdh</v>
      </c>
      <c r="G807" t="str">
        <f t="shared" si="88"/>
        <v>MarkWdh</v>
      </c>
      <c r="H807" t="str">
        <f t="shared" si="89"/>
        <v/>
      </c>
      <c r="I807" t="str">
        <f t="shared" si="90"/>
        <v/>
      </c>
    </row>
    <row r="808" spans="1:9" x14ac:dyDescent="0.25">
      <c r="A808" t="s">
        <v>400</v>
      </c>
      <c r="B808" s="6">
        <f t="shared" si="91"/>
        <v>10.667833333333332</v>
      </c>
      <c r="C808" s="3">
        <f t="shared" si="92"/>
        <v>101</v>
      </c>
      <c r="D808" s="3" t="str">
        <f t="shared" si="86"/>
        <v/>
      </c>
      <c r="E808" s="3">
        <f t="shared" si="87"/>
        <v>169</v>
      </c>
      <c r="F808" s="5" t="str">
        <f>IF(C808=0,"Broadcast",IF(D808="",IF(E808="","",IF(E808&lt;128,"Verbind "&amp;E808,INDEX(KdoCodeTab,MATCH(E808,KdoWertTab,0)))),"StatusAbfr "&amp;D808))</f>
        <v>BusLebenszeichen</v>
      </c>
      <c r="G808" t="str">
        <f t="shared" si="88"/>
        <v>BusLebenszeichen</v>
      </c>
      <c r="H808" t="str">
        <f t="shared" si="89"/>
        <v/>
      </c>
      <c r="I808" t="str">
        <f t="shared" si="90"/>
        <v/>
      </c>
    </row>
    <row r="809" spans="1:9" x14ac:dyDescent="0.25">
      <c r="A809" t="s">
        <v>401</v>
      </c>
      <c r="B809" s="6">
        <f t="shared" si="91"/>
        <v>10.731166666666667</v>
      </c>
      <c r="C809" s="3">
        <f t="shared" si="92"/>
        <v>31</v>
      </c>
      <c r="D809" s="3" t="str">
        <f t="shared" si="86"/>
        <v/>
      </c>
      <c r="E809" s="3">
        <f t="shared" si="87"/>
        <v>154</v>
      </c>
      <c r="F809" s="5" t="str">
        <f>IF(C809=0,"Broadcast",IF(D809="",IF(E809="","",IF(E809&lt;128,"Verbind "&amp;E809,INDEX(KdoCodeTab,MATCH(E809,KdoWertTab,0)))),"StatusAbfr "&amp;D809))</f>
        <v>MarkWdh</v>
      </c>
      <c r="G809" t="str">
        <f t="shared" si="88"/>
        <v/>
      </c>
      <c r="H809" t="str">
        <f t="shared" si="89"/>
        <v>MarkWdh</v>
      </c>
      <c r="I809" t="str">
        <f t="shared" si="90"/>
        <v/>
      </c>
    </row>
    <row r="810" spans="1:9" x14ac:dyDescent="0.25">
      <c r="A810" t="s">
        <v>402</v>
      </c>
      <c r="B810" s="6">
        <f t="shared" si="91"/>
        <v>0.17983333333333332</v>
      </c>
      <c r="C810" s="3">
        <f t="shared" si="92"/>
        <v>101</v>
      </c>
      <c r="D810" s="3" t="str">
        <f t="shared" si="86"/>
        <v/>
      </c>
      <c r="E810" s="3">
        <f t="shared" si="87"/>
        <v>147</v>
      </c>
      <c r="F810" s="5" t="str">
        <f>IF(C810=0,"Broadcast",IF(D810="",IF(E810="","",IF(E810&lt;128,"Verbind "&amp;E810,INDEX(KdoCodeTab,MATCH(E810,KdoWertTab,0)))),"StatusAbfr "&amp;D810))</f>
        <v>Space</v>
      </c>
      <c r="G810" t="str">
        <f t="shared" si="88"/>
        <v>Space</v>
      </c>
      <c r="H810" t="str">
        <f t="shared" si="89"/>
        <v/>
      </c>
      <c r="I810" t="str">
        <f t="shared" si="90"/>
        <v/>
      </c>
    </row>
    <row r="811" spans="1:9" x14ac:dyDescent="0.25">
      <c r="A811" t="s">
        <v>403</v>
      </c>
      <c r="B811" s="6">
        <f t="shared" si="91"/>
        <v>0.18066666666666667</v>
      </c>
      <c r="C811" s="3">
        <f t="shared" si="92"/>
        <v>101</v>
      </c>
      <c r="D811" s="3" t="str">
        <f t="shared" si="86"/>
        <v/>
      </c>
      <c r="E811" s="3">
        <f t="shared" si="87"/>
        <v>150</v>
      </c>
      <c r="F811" s="5" t="str">
        <f>IF(C811=0,"Broadcast",IF(D811="",IF(E811="","",IF(E811&lt;128,"Verbind "&amp;E811,INDEX(KdoCodeTab,MATCH(E811,KdoWertTab,0)))),"StatusAbfr "&amp;D811))</f>
        <v>SpaceWdh</v>
      </c>
      <c r="G811" t="str">
        <f t="shared" si="88"/>
        <v>SpaceWdh</v>
      </c>
      <c r="H811" t="str">
        <f t="shared" si="89"/>
        <v/>
      </c>
      <c r="I811" t="str">
        <f t="shared" si="90"/>
        <v/>
      </c>
    </row>
    <row r="812" spans="1:9" x14ac:dyDescent="0.25">
      <c r="A812" t="s">
        <v>404</v>
      </c>
      <c r="B812" s="6">
        <f t="shared" si="91"/>
        <v>0.23933333333333331</v>
      </c>
      <c r="C812" s="3">
        <f t="shared" si="92"/>
        <v>101</v>
      </c>
      <c r="D812" s="3" t="str">
        <f t="shared" si="86"/>
        <v/>
      </c>
      <c r="E812" s="3">
        <f t="shared" si="87"/>
        <v>156</v>
      </c>
      <c r="F812" s="5" t="str">
        <f>IF(C812=0,"Broadcast",IF(D812="",IF(E812="","",IF(E812&lt;128,"Verbind "&amp;E812,INDEX(KdoCodeTab,MATCH(E812,KdoWertTab,0)))),"StatusAbfr "&amp;D812))</f>
        <v>Mark</v>
      </c>
      <c r="G812" t="str">
        <f t="shared" si="88"/>
        <v>Mark</v>
      </c>
      <c r="H812" t="str">
        <f t="shared" si="89"/>
        <v/>
      </c>
      <c r="I812" t="str">
        <f t="shared" si="90"/>
        <v/>
      </c>
    </row>
    <row r="813" spans="1:9" x14ac:dyDescent="0.25">
      <c r="A813" t="s">
        <v>405</v>
      </c>
      <c r="B813" s="6">
        <f t="shared" si="91"/>
        <v>0.24033333333333332</v>
      </c>
      <c r="C813" s="3">
        <f t="shared" si="92"/>
        <v>101</v>
      </c>
      <c r="D813" s="3" t="str">
        <f t="shared" si="86"/>
        <v/>
      </c>
      <c r="E813" s="3">
        <f t="shared" si="87"/>
        <v>154</v>
      </c>
      <c r="F813" s="5" t="str">
        <f>IF(C813=0,"Broadcast",IF(D813="",IF(E813="","",IF(E813&lt;128,"Verbind "&amp;E813,INDEX(KdoCodeTab,MATCH(E813,KdoWertTab,0)))),"StatusAbfr "&amp;D813))</f>
        <v>MarkWdh</v>
      </c>
      <c r="G813" t="str">
        <f t="shared" si="88"/>
        <v>MarkWdh</v>
      </c>
      <c r="H813" t="str">
        <f t="shared" si="89"/>
        <v/>
      </c>
      <c r="I813" t="str">
        <f t="shared" si="90"/>
        <v/>
      </c>
    </row>
    <row r="814" spans="1:9" x14ac:dyDescent="0.25">
      <c r="A814" t="s">
        <v>406</v>
      </c>
      <c r="B814" s="6">
        <f t="shared" si="91"/>
        <v>0.25950000000000001</v>
      </c>
      <c r="C814" s="3">
        <f t="shared" si="92"/>
        <v>101</v>
      </c>
      <c r="D814" s="3" t="str">
        <f t="shared" si="86"/>
        <v/>
      </c>
      <c r="E814" s="3">
        <f t="shared" si="87"/>
        <v>147</v>
      </c>
      <c r="F814" s="5" t="str">
        <f>IF(C814=0,"Broadcast",IF(D814="",IF(E814="","",IF(E814&lt;128,"Verbind "&amp;E814,INDEX(KdoCodeTab,MATCH(E814,KdoWertTab,0)))),"StatusAbfr "&amp;D814))</f>
        <v>Space</v>
      </c>
      <c r="G814" t="str">
        <f t="shared" si="88"/>
        <v>Space</v>
      </c>
      <c r="H814" t="str">
        <f t="shared" si="89"/>
        <v/>
      </c>
      <c r="I814" t="str">
        <f t="shared" si="90"/>
        <v/>
      </c>
    </row>
    <row r="815" spans="1:9" x14ac:dyDescent="0.25">
      <c r="A815" t="s">
        <v>407</v>
      </c>
      <c r="B815" s="6">
        <f t="shared" si="91"/>
        <v>0.26050000000000001</v>
      </c>
      <c r="C815" s="3">
        <f t="shared" si="92"/>
        <v>101</v>
      </c>
      <c r="D815" s="3" t="str">
        <f t="shared" si="86"/>
        <v/>
      </c>
      <c r="E815" s="3">
        <f t="shared" si="87"/>
        <v>150</v>
      </c>
      <c r="F815" s="5" t="str">
        <f>IF(C815=0,"Broadcast",IF(D815="",IF(E815="","",IF(E815&lt;128,"Verbind "&amp;E815,INDEX(KdoCodeTab,MATCH(E815,KdoWertTab,0)))),"StatusAbfr "&amp;D815))</f>
        <v>SpaceWdh</v>
      </c>
      <c r="G815" t="str">
        <f t="shared" si="88"/>
        <v>SpaceWdh</v>
      </c>
      <c r="H815" t="str">
        <f t="shared" si="89"/>
        <v/>
      </c>
      <c r="I815" t="str">
        <f t="shared" si="90"/>
        <v/>
      </c>
    </row>
    <row r="816" spans="1:9" x14ac:dyDescent="0.25">
      <c r="A816" t="s">
        <v>408</v>
      </c>
      <c r="B816" s="6">
        <f t="shared" si="91"/>
        <v>0.27966666666666667</v>
      </c>
      <c r="C816" s="3">
        <f t="shared" si="92"/>
        <v>101</v>
      </c>
      <c r="D816" s="3" t="str">
        <f t="shared" si="86"/>
        <v/>
      </c>
      <c r="E816" s="3">
        <f t="shared" si="87"/>
        <v>156</v>
      </c>
      <c r="F816" s="5" t="str">
        <f>IF(C816=0,"Broadcast",IF(D816="",IF(E816="","",IF(E816&lt;128,"Verbind "&amp;E816,INDEX(KdoCodeTab,MATCH(E816,KdoWertTab,0)))),"StatusAbfr "&amp;D816))</f>
        <v>Mark</v>
      </c>
      <c r="G816" t="str">
        <f t="shared" si="88"/>
        <v>Mark</v>
      </c>
      <c r="H816" t="str">
        <f t="shared" si="89"/>
        <v/>
      </c>
      <c r="I816" t="str">
        <f t="shared" si="90"/>
        <v/>
      </c>
    </row>
    <row r="817" spans="1:9" x14ac:dyDescent="0.25">
      <c r="A817" t="s">
        <v>409</v>
      </c>
      <c r="B817" s="6">
        <f t="shared" si="91"/>
        <v>0.28066666666666668</v>
      </c>
      <c r="C817" s="3">
        <f t="shared" si="92"/>
        <v>101</v>
      </c>
      <c r="D817" s="3" t="str">
        <f t="shared" si="86"/>
        <v/>
      </c>
      <c r="E817" s="3">
        <f t="shared" si="87"/>
        <v>154</v>
      </c>
      <c r="F817" s="5" t="str">
        <f>IF(C817=0,"Broadcast",IF(D817="",IF(E817="","",IF(E817&lt;128,"Verbind "&amp;E817,INDEX(KdoCodeTab,MATCH(E817,KdoWertTab,0)))),"StatusAbfr "&amp;D817))</f>
        <v>MarkWdh</v>
      </c>
      <c r="G817" t="str">
        <f t="shared" si="88"/>
        <v>MarkWdh</v>
      </c>
      <c r="H817" t="str">
        <f t="shared" si="89"/>
        <v/>
      </c>
      <c r="I817" t="str">
        <f t="shared" si="90"/>
        <v/>
      </c>
    </row>
    <row r="818" spans="1:9" x14ac:dyDescent="0.25">
      <c r="A818" t="s">
        <v>410</v>
      </c>
      <c r="B818" s="6">
        <f t="shared" si="91"/>
        <v>0.3145</v>
      </c>
      <c r="C818" s="3">
        <f t="shared" si="92"/>
        <v>31</v>
      </c>
      <c r="D818" s="3" t="str">
        <f t="shared" si="86"/>
        <v/>
      </c>
      <c r="E818" s="3">
        <f t="shared" si="87"/>
        <v>154</v>
      </c>
      <c r="F818" s="5" t="str">
        <f>IF(C818=0,"Broadcast",IF(D818="",IF(E818="","",IF(E818&lt;128,"Verbind "&amp;E818,INDEX(KdoCodeTab,MATCH(E818,KdoWertTab,0)))),"StatusAbfr "&amp;D818))</f>
        <v>MarkWdh</v>
      </c>
      <c r="G818" t="str">
        <f t="shared" si="88"/>
        <v/>
      </c>
      <c r="H818" t="str">
        <f t="shared" si="89"/>
        <v>MarkWdh</v>
      </c>
      <c r="I818" t="str">
        <f t="shared" si="90"/>
        <v/>
      </c>
    </row>
    <row r="819" spans="1:9" x14ac:dyDescent="0.25">
      <c r="A819" t="s">
        <v>411</v>
      </c>
      <c r="B819" s="6">
        <f t="shared" si="91"/>
        <v>0.41016666666666662</v>
      </c>
      <c r="C819" s="3">
        <f t="shared" si="92"/>
        <v>101</v>
      </c>
      <c r="D819" s="3" t="str">
        <f t="shared" si="86"/>
        <v/>
      </c>
      <c r="E819" s="3">
        <f t="shared" si="87"/>
        <v>147</v>
      </c>
      <c r="F819" s="5" t="str">
        <f>IF(C819=0,"Broadcast",IF(D819="",IF(E819="","",IF(E819&lt;128,"Verbind "&amp;E819,INDEX(KdoCodeTab,MATCH(E819,KdoWertTab,0)))),"StatusAbfr "&amp;D819))</f>
        <v>Space</v>
      </c>
      <c r="G819" t="str">
        <f t="shared" si="88"/>
        <v>Space</v>
      </c>
      <c r="H819" t="str">
        <f t="shared" si="89"/>
        <v/>
      </c>
      <c r="I819" t="str">
        <f t="shared" si="90"/>
        <v/>
      </c>
    </row>
    <row r="820" spans="1:9" x14ac:dyDescent="0.25">
      <c r="A820" t="s">
        <v>412</v>
      </c>
      <c r="B820" s="6">
        <f t="shared" si="91"/>
        <v>0.41099999999999998</v>
      </c>
      <c r="C820" s="3">
        <f t="shared" si="92"/>
        <v>101</v>
      </c>
      <c r="D820" s="3" t="str">
        <f t="shared" si="86"/>
        <v/>
      </c>
      <c r="E820" s="3">
        <f t="shared" si="87"/>
        <v>150</v>
      </c>
      <c r="F820" s="5" t="str">
        <f>IF(C820=0,"Broadcast",IF(D820="",IF(E820="","",IF(E820&lt;128,"Verbind "&amp;E820,INDEX(KdoCodeTab,MATCH(E820,KdoWertTab,0)))),"StatusAbfr "&amp;D820))</f>
        <v>SpaceWdh</v>
      </c>
      <c r="G820" t="str">
        <f t="shared" si="88"/>
        <v>SpaceWdh</v>
      </c>
      <c r="H820" t="str">
        <f t="shared" si="89"/>
        <v/>
      </c>
      <c r="I820" t="str">
        <f t="shared" si="90"/>
        <v/>
      </c>
    </row>
    <row r="821" spans="1:9" x14ac:dyDescent="0.25">
      <c r="A821" t="s">
        <v>413</v>
      </c>
      <c r="B821" s="6">
        <f t="shared" si="91"/>
        <v>0.42699999999999999</v>
      </c>
      <c r="C821" s="3">
        <f t="shared" si="92"/>
        <v>101</v>
      </c>
      <c r="D821" s="3" t="str">
        <f t="shared" si="86"/>
        <v/>
      </c>
      <c r="E821" s="3">
        <f t="shared" si="87"/>
        <v>169</v>
      </c>
      <c r="F821" s="5" t="str">
        <f>IF(C821=0,"Broadcast",IF(D821="",IF(E821="","",IF(E821&lt;128,"Verbind "&amp;E821,INDEX(KdoCodeTab,MATCH(E821,KdoWertTab,0)))),"StatusAbfr "&amp;D821))</f>
        <v>BusLebenszeichen</v>
      </c>
      <c r="G821" t="str">
        <f t="shared" si="88"/>
        <v>BusLebenszeichen</v>
      </c>
      <c r="H821" t="str">
        <f t="shared" si="89"/>
        <v/>
      </c>
      <c r="I821" t="str">
        <f t="shared" si="90"/>
        <v/>
      </c>
    </row>
    <row r="822" spans="1:9" x14ac:dyDescent="0.25">
      <c r="A822" t="s">
        <v>414</v>
      </c>
      <c r="B822" s="6">
        <f t="shared" si="91"/>
        <v>0.44933333333333336</v>
      </c>
      <c r="C822" s="3">
        <f t="shared" si="92"/>
        <v>101</v>
      </c>
      <c r="D822" s="3" t="str">
        <f t="shared" si="86"/>
        <v/>
      </c>
      <c r="E822" s="3">
        <f t="shared" si="87"/>
        <v>156</v>
      </c>
      <c r="F822" s="5" t="str">
        <f>IF(C822=0,"Broadcast",IF(D822="",IF(E822="","",IF(E822&lt;128,"Verbind "&amp;E822,INDEX(KdoCodeTab,MATCH(E822,KdoWertTab,0)))),"StatusAbfr "&amp;D822))</f>
        <v>Mark</v>
      </c>
      <c r="G822" t="str">
        <f t="shared" si="88"/>
        <v>Mark</v>
      </c>
      <c r="H822" t="str">
        <f t="shared" si="89"/>
        <v/>
      </c>
      <c r="I822" t="str">
        <f t="shared" si="90"/>
        <v/>
      </c>
    </row>
    <row r="823" spans="1:9" x14ac:dyDescent="0.25">
      <c r="A823" t="s">
        <v>415</v>
      </c>
      <c r="B823" s="6">
        <f t="shared" si="91"/>
        <v>0.45033333333333336</v>
      </c>
      <c r="C823" s="3">
        <f t="shared" si="92"/>
        <v>101</v>
      </c>
      <c r="D823" s="3" t="str">
        <f t="shared" si="86"/>
        <v/>
      </c>
      <c r="E823" s="3">
        <f t="shared" si="87"/>
        <v>154</v>
      </c>
      <c r="F823" s="5" t="str">
        <f>IF(C823=0,"Broadcast",IF(D823="",IF(E823="","",IF(E823&lt;128,"Verbind "&amp;E823,INDEX(KdoCodeTab,MATCH(E823,KdoWertTab,0)))),"StatusAbfr "&amp;D823))</f>
        <v>MarkWdh</v>
      </c>
      <c r="G823" t="str">
        <f t="shared" si="88"/>
        <v>MarkWdh</v>
      </c>
      <c r="H823" t="str">
        <f t="shared" si="89"/>
        <v/>
      </c>
      <c r="I823" t="str">
        <f t="shared" si="90"/>
        <v/>
      </c>
    </row>
    <row r="824" spans="1:9" x14ac:dyDescent="0.25">
      <c r="A824" t="s">
        <v>416</v>
      </c>
      <c r="B824" s="6">
        <f t="shared" si="91"/>
        <v>0.48983333333333334</v>
      </c>
      <c r="C824" s="3">
        <f t="shared" si="92"/>
        <v>101</v>
      </c>
      <c r="D824" s="3" t="str">
        <f t="shared" si="86"/>
        <v/>
      </c>
      <c r="E824" s="3">
        <f t="shared" si="87"/>
        <v>147</v>
      </c>
      <c r="F824" s="5" t="str">
        <f>IF(C824=0,"Broadcast",IF(D824="",IF(E824="","",IF(E824&lt;128,"Verbind "&amp;E824,INDEX(KdoCodeTab,MATCH(E824,KdoWertTab,0)))),"StatusAbfr "&amp;D824))</f>
        <v>Space</v>
      </c>
      <c r="G824" t="str">
        <f t="shared" si="88"/>
        <v>Space</v>
      </c>
      <c r="H824" t="str">
        <f t="shared" si="89"/>
        <v/>
      </c>
      <c r="I824" t="str">
        <f t="shared" si="90"/>
        <v/>
      </c>
    </row>
    <row r="825" spans="1:9" x14ac:dyDescent="0.25">
      <c r="A825" t="s">
        <v>417</v>
      </c>
      <c r="B825" s="6">
        <f t="shared" si="91"/>
        <v>0.49083333333333334</v>
      </c>
      <c r="C825" s="3">
        <f t="shared" si="92"/>
        <v>101</v>
      </c>
      <c r="D825" s="3" t="str">
        <f t="shared" si="86"/>
        <v/>
      </c>
      <c r="E825" s="3">
        <f t="shared" si="87"/>
        <v>150</v>
      </c>
      <c r="F825" s="5" t="str">
        <f>IF(C825=0,"Broadcast",IF(D825="",IF(E825="","",IF(E825&lt;128,"Verbind "&amp;E825,INDEX(KdoCodeTab,MATCH(E825,KdoWertTab,0)))),"StatusAbfr "&amp;D825))</f>
        <v>SpaceWdh</v>
      </c>
      <c r="G825" t="str">
        <f t="shared" si="88"/>
        <v>SpaceWdh</v>
      </c>
      <c r="H825" t="str">
        <f t="shared" si="89"/>
        <v/>
      </c>
      <c r="I825" t="str">
        <f t="shared" si="90"/>
        <v/>
      </c>
    </row>
    <row r="826" spans="1:9" x14ac:dyDescent="0.25">
      <c r="A826" t="s">
        <v>418</v>
      </c>
      <c r="B826" s="6">
        <f t="shared" si="91"/>
        <v>0.53033333333333332</v>
      </c>
      <c r="C826" s="3">
        <f t="shared" si="92"/>
        <v>101</v>
      </c>
      <c r="D826" s="3" t="str">
        <f t="shared" si="86"/>
        <v/>
      </c>
      <c r="E826" s="3">
        <f t="shared" si="87"/>
        <v>156</v>
      </c>
      <c r="F826" s="5" t="str">
        <f>IF(C826=0,"Broadcast",IF(D826="",IF(E826="","",IF(E826&lt;128,"Verbind "&amp;E826,INDEX(KdoCodeTab,MATCH(E826,KdoWertTab,0)))),"StatusAbfr "&amp;D826))</f>
        <v>Mark</v>
      </c>
      <c r="G826" t="str">
        <f t="shared" si="88"/>
        <v>Mark</v>
      </c>
      <c r="H826" t="str">
        <f t="shared" si="89"/>
        <v/>
      </c>
      <c r="I826" t="str">
        <f t="shared" si="90"/>
        <v/>
      </c>
    </row>
    <row r="827" spans="1:9" x14ac:dyDescent="0.25">
      <c r="A827" t="s">
        <v>419</v>
      </c>
      <c r="B827" s="6">
        <f t="shared" si="91"/>
        <v>0.53133333333333332</v>
      </c>
      <c r="C827" s="3">
        <f t="shared" si="92"/>
        <v>101</v>
      </c>
      <c r="D827" s="3" t="str">
        <f t="shared" ref="D827:D890" si="93">IF(MID(A827,10,1)="&lt;",MID(A827,12,2),"")</f>
        <v/>
      </c>
      <c r="E827" s="3">
        <f t="shared" ref="E827:E890" si="94">IF(MID(A827,10,1)="&gt;",HEX2DEC(MID(A827,12,2)),"")</f>
        <v>154</v>
      </c>
      <c r="F827" s="5" t="str">
        <f>IF(C827=0,"Broadcast",IF(D827="",IF(E827="","",IF(E827&lt;128,"Verbind "&amp;E827,INDEX(KdoCodeTab,MATCH(E827,KdoWertTab,0)))),"StatusAbfr "&amp;D827))</f>
        <v>MarkWdh</v>
      </c>
      <c r="G827" t="str">
        <f t="shared" ref="G827:G890" si="95">IF(C827=$G$2,F827,"")</f>
        <v>MarkWdh</v>
      </c>
      <c r="H827" t="str">
        <f t="shared" ref="H827:H890" si="96">IF(C827=$H$2,F827,"")</f>
        <v/>
      </c>
      <c r="I827" t="str">
        <f t="shared" ref="I827:I890" si="97">IF(G827&amp;H827="",F827,"")</f>
        <v/>
      </c>
    </row>
    <row r="828" spans="1:9" x14ac:dyDescent="0.25">
      <c r="A828" t="s">
        <v>420</v>
      </c>
      <c r="B828" s="6">
        <f t="shared" si="91"/>
        <v>0.5595</v>
      </c>
      <c r="C828" s="3">
        <f t="shared" si="92"/>
        <v>101</v>
      </c>
      <c r="D828" s="3" t="str">
        <f t="shared" si="93"/>
        <v/>
      </c>
      <c r="E828" s="3">
        <f t="shared" si="94"/>
        <v>147</v>
      </c>
      <c r="F828" s="5" t="str">
        <f>IF(C828=0,"Broadcast",IF(D828="",IF(E828="","",IF(E828&lt;128,"Verbind "&amp;E828,INDEX(KdoCodeTab,MATCH(E828,KdoWertTab,0)))),"StatusAbfr "&amp;D828))</f>
        <v>Space</v>
      </c>
      <c r="G828" t="str">
        <f t="shared" si="95"/>
        <v>Space</v>
      </c>
      <c r="H828" t="str">
        <f t="shared" si="96"/>
        <v/>
      </c>
      <c r="I828" t="str">
        <f t="shared" si="97"/>
        <v/>
      </c>
    </row>
    <row r="829" spans="1:9" x14ac:dyDescent="0.25">
      <c r="A829" t="s">
        <v>421</v>
      </c>
      <c r="B829" s="6">
        <f t="shared" si="91"/>
        <v>0.5605</v>
      </c>
      <c r="C829" s="3">
        <f t="shared" si="92"/>
        <v>101</v>
      </c>
      <c r="D829" s="3" t="str">
        <f t="shared" si="93"/>
        <v/>
      </c>
      <c r="E829" s="3">
        <f t="shared" si="94"/>
        <v>150</v>
      </c>
      <c r="F829" s="5" t="str">
        <f>IF(C829=0,"Broadcast",IF(D829="",IF(E829="","",IF(E829&lt;128,"Verbind "&amp;E829,INDEX(KdoCodeTab,MATCH(E829,KdoWertTab,0)))),"StatusAbfr "&amp;D829))</f>
        <v>SpaceWdh</v>
      </c>
      <c r="G829" t="str">
        <f t="shared" si="95"/>
        <v>SpaceWdh</v>
      </c>
      <c r="H829" t="str">
        <f t="shared" si="96"/>
        <v/>
      </c>
      <c r="I829" t="str">
        <f t="shared" si="97"/>
        <v/>
      </c>
    </row>
    <row r="830" spans="1:9" x14ac:dyDescent="0.25">
      <c r="A830" t="s">
        <v>422</v>
      </c>
      <c r="B830" s="6">
        <f t="shared" si="91"/>
        <v>0.57966666666666666</v>
      </c>
      <c r="C830" s="3">
        <f t="shared" si="92"/>
        <v>101</v>
      </c>
      <c r="D830" s="3" t="str">
        <f t="shared" si="93"/>
        <v/>
      </c>
      <c r="E830" s="3">
        <f t="shared" si="94"/>
        <v>156</v>
      </c>
      <c r="F830" s="5" t="str">
        <f>IF(C830=0,"Broadcast",IF(D830="",IF(E830="","",IF(E830&lt;128,"Verbind "&amp;E830,INDEX(KdoCodeTab,MATCH(E830,KdoWertTab,0)))),"StatusAbfr "&amp;D830))</f>
        <v>Mark</v>
      </c>
      <c r="G830" t="str">
        <f t="shared" si="95"/>
        <v>Mark</v>
      </c>
      <c r="H830" t="str">
        <f t="shared" si="96"/>
        <v/>
      </c>
      <c r="I830" t="str">
        <f t="shared" si="97"/>
        <v/>
      </c>
    </row>
    <row r="831" spans="1:9" x14ac:dyDescent="0.25">
      <c r="A831" t="s">
        <v>423</v>
      </c>
      <c r="B831" s="6">
        <f t="shared" si="91"/>
        <v>0.58066666666666666</v>
      </c>
      <c r="C831" s="3">
        <f t="shared" si="92"/>
        <v>101</v>
      </c>
      <c r="D831" s="3" t="str">
        <f t="shared" si="93"/>
        <v/>
      </c>
      <c r="E831" s="3">
        <f t="shared" si="94"/>
        <v>154</v>
      </c>
      <c r="F831" s="5" t="str">
        <f>IF(C831=0,"Broadcast",IF(D831="",IF(E831="","",IF(E831&lt;128,"Verbind "&amp;E831,INDEX(KdoCodeTab,MATCH(E831,KdoWertTab,0)))),"StatusAbfr "&amp;D831))</f>
        <v>MarkWdh</v>
      </c>
      <c r="G831" t="str">
        <f t="shared" si="95"/>
        <v>MarkWdh</v>
      </c>
      <c r="H831" t="str">
        <f t="shared" si="96"/>
        <v/>
      </c>
      <c r="I831" t="str">
        <f t="shared" si="97"/>
        <v/>
      </c>
    </row>
    <row r="832" spans="1:9" x14ac:dyDescent="0.25">
      <c r="A832" t="s">
        <v>424</v>
      </c>
      <c r="B832" s="6">
        <f t="shared" si="91"/>
        <v>0.6</v>
      </c>
      <c r="C832" s="3">
        <f t="shared" si="92"/>
        <v>101</v>
      </c>
      <c r="D832" s="3" t="str">
        <f t="shared" si="93"/>
        <v/>
      </c>
      <c r="E832" s="3">
        <f t="shared" si="94"/>
        <v>147</v>
      </c>
      <c r="F832" s="5" t="str">
        <f>IF(C832=0,"Broadcast",IF(D832="",IF(E832="","",IF(E832&lt;128,"Verbind "&amp;E832,INDEX(KdoCodeTab,MATCH(E832,KdoWertTab,0)))),"StatusAbfr "&amp;D832))</f>
        <v>Space</v>
      </c>
      <c r="G832" t="str">
        <f t="shared" si="95"/>
        <v>Space</v>
      </c>
      <c r="H832" t="str">
        <f t="shared" si="96"/>
        <v/>
      </c>
      <c r="I832" t="str">
        <f t="shared" si="97"/>
        <v/>
      </c>
    </row>
    <row r="833" spans="1:9" x14ac:dyDescent="0.25">
      <c r="A833" t="s">
        <v>425</v>
      </c>
      <c r="B833" s="6">
        <f t="shared" si="91"/>
        <v>0.60083333333333333</v>
      </c>
      <c r="C833" s="3">
        <f t="shared" si="92"/>
        <v>101</v>
      </c>
      <c r="D833" s="3" t="str">
        <f t="shared" si="93"/>
        <v/>
      </c>
      <c r="E833" s="3">
        <f t="shared" si="94"/>
        <v>150</v>
      </c>
      <c r="F833" s="5" t="str">
        <f>IF(C833=0,"Broadcast",IF(D833="",IF(E833="","",IF(E833&lt;128,"Verbind "&amp;E833,INDEX(KdoCodeTab,MATCH(E833,KdoWertTab,0)))),"StatusAbfr "&amp;D833))</f>
        <v>SpaceWdh</v>
      </c>
      <c r="G833" t="str">
        <f t="shared" si="95"/>
        <v>SpaceWdh</v>
      </c>
      <c r="H833" t="str">
        <f t="shared" si="96"/>
        <v/>
      </c>
      <c r="I833" t="str">
        <f t="shared" si="97"/>
        <v/>
      </c>
    </row>
    <row r="834" spans="1:9" x14ac:dyDescent="0.25">
      <c r="A834" t="s">
        <v>426</v>
      </c>
      <c r="B834" s="6">
        <f t="shared" si="91"/>
        <v>0.6808333333333334</v>
      </c>
      <c r="C834" s="3">
        <f t="shared" si="92"/>
        <v>101</v>
      </c>
      <c r="D834" s="3" t="str">
        <f t="shared" si="93"/>
        <v/>
      </c>
      <c r="E834" s="3">
        <f t="shared" si="94"/>
        <v>156</v>
      </c>
      <c r="F834" s="5" t="str">
        <f>IF(C834=0,"Broadcast",IF(D834="",IF(E834="","",IF(E834&lt;128,"Verbind "&amp;E834,INDEX(KdoCodeTab,MATCH(E834,KdoWertTab,0)))),"StatusAbfr "&amp;D834))</f>
        <v>Mark</v>
      </c>
      <c r="G834" t="str">
        <f t="shared" si="95"/>
        <v>Mark</v>
      </c>
      <c r="H834" t="str">
        <f t="shared" si="96"/>
        <v/>
      </c>
      <c r="I834" t="str">
        <f t="shared" si="97"/>
        <v/>
      </c>
    </row>
    <row r="835" spans="1:9" x14ac:dyDescent="0.25">
      <c r="A835" t="s">
        <v>427</v>
      </c>
      <c r="B835" s="6">
        <f t="shared" si="91"/>
        <v>0.68166666666666675</v>
      </c>
      <c r="C835" s="3">
        <f t="shared" si="92"/>
        <v>101</v>
      </c>
      <c r="D835" s="3" t="str">
        <f t="shared" si="93"/>
        <v/>
      </c>
      <c r="E835" s="3">
        <f t="shared" si="94"/>
        <v>154</v>
      </c>
      <c r="F835" s="5" t="str">
        <f>IF(C835=0,"Broadcast",IF(D835="",IF(E835="","",IF(E835&lt;128,"Verbind "&amp;E835,INDEX(KdoCodeTab,MATCH(E835,KdoWertTab,0)))),"StatusAbfr "&amp;D835))</f>
        <v>MarkWdh</v>
      </c>
      <c r="G835" t="str">
        <f t="shared" si="95"/>
        <v>MarkWdh</v>
      </c>
      <c r="H835" t="str">
        <f t="shared" si="96"/>
        <v/>
      </c>
      <c r="I835" t="str">
        <f t="shared" si="97"/>
        <v/>
      </c>
    </row>
    <row r="836" spans="1:9" x14ac:dyDescent="0.25">
      <c r="A836" t="s">
        <v>428</v>
      </c>
      <c r="B836" s="6">
        <f t="shared" si="91"/>
        <v>0.76466666666666672</v>
      </c>
      <c r="C836" s="3">
        <f t="shared" si="92"/>
        <v>101</v>
      </c>
      <c r="D836" s="3" t="str">
        <f t="shared" si="93"/>
        <v/>
      </c>
      <c r="E836" s="3">
        <f t="shared" si="94"/>
        <v>147</v>
      </c>
      <c r="F836" s="5" t="str">
        <f>IF(C836=0,"Broadcast",IF(D836="",IF(E836="","",IF(E836&lt;128,"Verbind "&amp;E836,INDEX(KdoCodeTab,MATCH(E836,KdoWertTab,0)))),"StatusAbfr "&amp;D836))</f>
        <v>Space</v>
      </c>
      <c r="G836" t="str">
        <f t="shared" si="95"/>
        <v>Space</v>
      </c>
      <c r="H836" t="str">
        <f t="shared" si="96"/>
        <v/>
      </c>
      <c r="I836" t="str">
        <f t="shared" si="97"/>
        <v/>
      </c>
    </row>
    <row r="837" spans="1:9" x14ac:dyDescent="0.25">
      <c r="A837" t="s">
        <v>429</v>
      </c>
      <c r="B837" s="6">
        <f t="shared" ref="B837:B900" si="98">MID(A837,1,5)/1000+(CODE(MID(A837,6,1))-CODE("a"))/6000</f>
        <v>0.76716666666666666</v>
      </c>
      <c r="C837" s="3">
        <f t="shared" ref="C837:C900" si="99">INT(HEX2DEC(MID(A837,8,2))/2)</f>
        <v>101</v>
      </c>
      <c r="D837" s="3" t="str">
        <f t="shared" si="93"/>
        <v/>
      </c>
      <c r="E837" s="3">
        <f t="shared" si="94"/>
        <v>150</v>
      </c>
      <c r="F837" s="5" t="str">
        <f>IF(C837=0,"Broadcast",IF(D837="",IF(E837="","",IF(E837&lt;128,"Verbind "&amp;E837,INDEX(KdoCodeTab,MATCH(E837,KdoWertTab,0)))),"StatusAbfr "&amp;D837))</f>
        <v>SpaceWdh</v>
      </c>
      <c r="G837" t="str">
        <f t="shared" si="95"/>
        <v>SpaceWdh</v>
      </c>
      <c r="H837" t="str">
        <f t="shared" si="96"/>
        <v/>
      </c>
      <c r="I837" t="str">
        <f t="shared" si="97"/>
        <v/>
      </c>
    </row>
    <row r="838" spans="1:9" x14ac:dyDescent="0.25">
      <c r="A838" t="s">
        <v>430</v>
      </c>
      <c r="B838" s="6">
        <f t="shared" si="98"/>
        <v>0.8051666666666667</v>
      </c>
      <c r="C838" s="3">
        <f t="shared" si="99"/>
        <v>101</v>
      </c>
      <c r="D838" s="3" t="str">
        <f t="shared" si="93"/>
        <v/>
      </c>
      <c r="E838" s="3">
        <f t="shared" si="94"/>
        <v>156</v>
      </c>
      <c r="F838" s="5" t="str">
        <f>IF(C838=0,"Broadcast",IF(D838="",IF(E838="","",IF(E838&lt;128,"Verbind "&amp;E838,INDEX(KdoCodeTab,MATCH(E838,KdoWertTab,0)))),"StatusAbfr "&amp;D838))</f>
        <v>Mark</v>
      </c>
      <c r="G838" t="str">
        <f t="shared" si="95"/>
        <v>Mark</v>
      </c>
      <c r="H838" t="str">
        <f t="shared" si="96"/>
        <v/>
      </c>
      <c r="I838" t="str">
        <f t="shared" si="97"/>
        <v/>
      </c>
    </row>
    <row r="839" spans="1:9" x14ac:dyDescent="0.25">
      <c r="A839" t="s">
        <v>431</v>
      </c>
      <c r="B839" s="6">
        <f t="shared" si="98"/>
        <v>0.80600000000000005</v>
      </c>
      <c r="C839" s="3">
        <f t="shared" si="99"/>
        <v>101</v>
      </c>
      <c r="D839" s="3" t="str">
        <f t="shared" si="93"/>
        <v/>
      </c>
      <c r="E839" s="3">
        <f t="shared" si="94"/>
        <v>154</v>
      </c>
      <c r="F839" s="5" t="str">
        <f>IF(C839=0,"Broadcast",IF(D839="",IF(E839="","",IF(E839&lt;128,"Verbind "&amp;E839,INDEX(KdoCodeTab,MATCH(E839,KdoWertTab,0)))),"StatusAbfr "&amp;D839))</f>
        <v>MarkWdh</v>
      </c>
      <c r="G839" t="str">
        <f t="shared" si="95"/>
        <v>MarkWdh</v>
      </c>
      <c r="H839" t="str">
        <f t="shared" si="96"/>
        <v/>
      </c>
      <c r="I839" t="str">
        <f t="shared" si="97"/>
        <v/>
      </c>
    </row>
    <row r="840" spans="1:9" x14ac:dyDescent="0.25">
      <c r="A840" t="s">
        <v>4</v>
      </c>
      <c r="B840" s="6">
        <f t="shared" si="98"/>
        <v>0.8204999999999999</v>
      </c>
      <c r="C840" s="3">
        <f t="shared" si="99"/>
        <v>31</v>
      </c>
      <c r="D840" s="3" t="str">
        <f t="shared" si="93"/>
        <v/>
      </c>
      <c r="E840" s="3">
        <f t="shared" si="94"/>
        <v>154</v>
      </c>
      <c r="F840" s="5" t="str">
        <f>IF(C840=0,"Broadcast",IF(D840="",IF(E840="","",IF(E840&lt;128,"Verbind "&amp;E840,INDEX(KdoCodeTab,MATCH(E840,KdoWertTab,0)))),"StatusAbfr "&amp;D840))</f>
        <v>MarkWdh</v>
      </c>
      <c r="G840" t="str">
        <f t="shared" si="95"/>
        <v/>
      </c>
      <c r="H840" t="str">
        <f t="shared" si="96"/>
        <v>MarkWdh</v>
      </c>
      <c r="I840" t="str">
        <f t="shared" si="97"/>
        <v/>
      </c>
    </row>
    <row r="841" spans="1:9" x14ac:dyDescent="0.25">
      <c r="A841" t="s">
        <v>432</v>
      </c>
      <c r="B841" s="6">
        <f t="shared" si="98"/>
        <v>0.82533333333333325</v>
      </c>
      <c r="C841" s="3">
        <f t="shared" si="99"/>
        <v>101</v>
      </c>
      <c r="D841" s="3" t="str">
        <f t="shared" si="93"/>
        <v/>
      </c>
      <c r="E841" s="3">
        <f t="shared" si="94"/>
        <v>147</v>
      </c>
      <c r="F841" s="5" t="str">
        <f>IF(C841=0,"Broadcast",IF(D841="",IF(E841="","",IF(E841&lt;128,"Verbind "&amp;E841,INDEX(KdoCodeTab,MATCH(E841,KdoWertTab,0)))),"StatusAbfr "&amp;D841))</f>
        <v>Space</v>
      </c>
      <c r="G841" t="str">
        <f t="shared" si="95"/>
        <v>Space</v>
      </c>
      <c r="H841" t="str">
        <f t="shared" si="96"/>
        <v/>
      </c>
      <c r="I841" t="str">
        <f t="shared" si="97"/>
        <v/>
      </c>
    </row>
    <row r="842" spans="1:9" x14ac:dyDescent="0.25">
      <c r="A842" t="s">
        <v>433</v>
      </c>
      <c r="B842" s="6">
        <f t="shared" si="98"/>
        <v>0.8261666666666666</v>
      </c>
      <c r="C842" s="3">
        <f t="shared" si="99"/>
        <v>101</v>
      </c>
      <c r="D842" s="3" t="str">
        <f t="shared" si="93"/>
        <v/>
      </c>
      <c r="E842" s="3">
        <f t="shared" si="94"/>
        <v>150</v>
      </c>
      <c r="F842" s="5" t="str">
        <f>IF(C842=0,"Broadcast",IF(D842="",IF(E842="","",IF(E842&lt;128,"Verbind "&amp;E842,INDEX(KdoCodeTab,MATCH(E842,KdoWertTab,0)))),"StatusAbfr "&amp;D842))</f>
        <v>SpaceWdh</v>
      </c>
      <c r="G842" t="str">
        <f t="shared" si="95"/>
        <v>SpaceWdh</v>
      </c>
      <c r="H842" t="str">
        <f t="shared" si="96"/>
        <v/>
      </c>
      <c r="I842" t="str">
        <f t="shared" si="97"/>
        <v/>
      </c>
    </row>
    <row r="843" spans="1:9" x14ac:dyDescent="0.25">
      <c r="A843" t="s">
        <v>434</v>
      </c>
      <c r="B843" s="6">
        <f t="shared" si="98"/>
        <v>0.84549999999999992</v>
      </c>
      <c r="C843" s="3">
        <f t="shared" si="99"/>
        <v>101</v>
      </c>
      <c r="D843" s="3" t="str">
        <f t="shared" si="93"/>
        <v/>
      </c>
      <c r="E843" s="3">
        <f t="shared" si="94"/>
        <v>156</v>
      </c>
      <c r="F843" s="5" t="str">
        <f>IF(C843=0,"Broadcast",IF(D843="",IF(E843="","",IF(E843&lt;128,"Verbind "&amp;E843,INDEX(KdoCodeTab,MATCH(E843,KdoWertTab,0)))),"StatusAbfr "&amp;D843))</f>
        <v>Mark</v>
      </c>
      <c r="G843" t="str">
        <f t="shared" si="95"/>
        <v>Mark</v>
      </c>
      <c r="H843" t="str">
        <f t="shared" si="96"/>
        <v/>
      </c>
      <c r="I843" t="str">
        <f t="shared" si="97"/>
        <v/>
      </c>
    </row>
    <row r="844" spans="1:9" x14ac:dyDescent="0.25">
      <c r="A844" t="s">
        <v>435</v>
      </c>
      <c r="B844" s="6">
        <f t="shared" si="98"/>
        <v>0.84633333333333327</v>
      </c>
      <c r="C844" s="3">
        <f t="shared" si="99"/>
        <v>101</v>
      </c>
      <c r="D844" s="3" t="str">
        <f t="shared" si="93"/>
        <v/>
      </c>
      <c r="E844" s="3">
        <f t="shared" si="94"/>
        <v>154</v>
      </c>
      <c r="F844" s="5" t="str">
        <f>IF(C844=0,"Broadcast",IF(D844="",IF(E844="","",IF(E844&lt;128,"Verbind "&amp;E844,INDEX(KdoCodeTab,MATCH(E844,KdoWertTab,0)))),"StatusAbfr "&amp;D844))</f>
        <v>MarkWdh</v>
      </c>
      <c r="G844" t="str">
        <f t="shared" si="95"/>
        <v>MarkWdh</v>
      </c>
      <c r="H844" t="str">
        <f t="shared" si="96"/>
        <v/>
      </c>
      <c r="I844" t="str">
        <f t="shared" si="97"/>
        <v/>
      </c>
    </row>
    <row r="845" spans="1:9" x14ac:dyDescent="0.25">
      <c r="A845" t="s">
        <v>436</v>
      </c>
      <c r="B845" s="6">
        <f t="shared" si="98"/>
        <v>0.8656666666666667</v>
      </c>
      <c r="C845" s="3">
        <f t="shared" si="99"/>
        <v>101</v>
      </c>
      <c r="D845" s="3" t="str">
        <f t="shared" si="93"/>
        <v/>
      </c>
      <c r="E845" s="3">
        <f t="shared" si="94"/>
        <v>147</v>
      </c>
      <c r="F845" s="5" t="str">
        <f>IF(C845=0,"Broadcast",IF(D845="",IF(E845="","",IF(E845&lt;128,"Verbind "&amp;E845,INDEX(KdoCodeTab,MATCH(E845,KdoWertTab,0)))),"StatusAbfr "&amp;D845))</f>
        <v>Space</v>
      </c>
      <c r="G845" t="str">
        <f t="shared" si="95"/>
        <v>Space</v>
      </c>
      <c r="H845" t="str">
        <f t="shared" si="96"/>
        <v/>
      </c>
      <c r="I845" t="str">
        <f t="shared" si="97"/>
        <v/>
      </c>
    </row>
    <row r="846" spans="1:9" x14ac:dyDescent="0.25">
      <c r="A846" t="s">
        <v>437</v>
      </c>
      <c r="B846" s="6">
        <f t="shared" si="98"/>
        <v>0.86649999999999994</v>
      </c>
      <c r="C846" s="3">
        <f t="shared" si="99"/>
        <v>101</v>
      </c>
      <c r="D846" s="3" t="str">
        <f t="shared" si="93"/>
        <v/>
      </c>
      <c r="E846" s="3">
        <f t="shared" si="94"/>
        <v>150</v>
      </c>
      <c r="F846" s="5" t="str">
        <f>IF(C846=0,"Broadcast",IF(D846="",IF(E846="","",IF(E846&lt;128,"Verbind "&amp;E846,INDEX(KdoCodeTab,MATCH(E846,KdoWertTab,0)))),"StatusAbfr "&amp;D846))</f>
        <v>SpaceWdh</v>
      </c>
      <c r="G846" t="str">
        <f t="shared" si="95"/>
        <v>SpaceWdh</v>
      </c>
      <c r="H846" t="str">
        <f t="shared" si="96"/>
        <v/>
      </c>
      <c r="I846" t="str">
        <f t="shared" si="97"/>
        <v/>
      </c>
    </row>
    <row r="847" spans="1:9" x14ac:dyDescent="0.25">
      <c r="A847" t="s">
        <v>438</v>
      </c>
      <c r="B847" s="6">
        <f t="shared" si="98"/>
        <v>0.88483333333333336</v>
      </c>
      <c r="C847" s="3">
        <f t="shared" si="99"/>
        <v>101</v>
      </c>
      <c r="D847" s="3" t="str">
        <f t="shared" si="93"/>
        <v/>
      </c>
      <c r="E847" s="3">
        <f t="shared" si="94"/>
        <v>156</v>
      </c>
      <c r="F847" s="5" t="str">
        <f>IF(C847=0,"Broadcast",IF(D847="",IF(E847="","",IF(E847&lt;128,"Verbind "&amp;E847,INDEX(KdoCodeTab,MATCH(E847,KdoWertTab,0)))),"StatusAbfr "&amp;D847))</f>
        <v>Mark</v>
      </c>
      <c r="G847" t="str">
        <f t="shared" si="95"/>
        <v>Mark</v>
      </c>
      <c r="H847" t="str">
        <f t="shared" si="96"/>
        <v/>
      </c>
      <c r="I847" t="str">
        <f t="shared" si="97"/>
        <v/>
      </c>
    </row>
    <row r="848" spans="1:9" x14ac:dyDescent="0.25">
      <c r="A848" t="s">
        <v>439</v>
      </c>
      <c r="B848" s="6">
        <f t="shared" si="98"/>
        <v>0.88583333333333336</v>
      </c>
      <c r="C848" s="3">
        <f t="shared" si="99"/>
        <v>101</v>
      </c>
      <c r="D848" s="3" t="str">
        <f t="shared" si="93"/>
        <v/>
      </c>
      <c r="E848" s="3">
        <f t="shared" si="94"/>
        <v>154</v>
      </c>
      <c r="F848" s="5" t="str">
        <f>IF(C848=0,"Broadcast",IF(D848="",IF(E848="","",IF(E848&lt;128,"Verbind "&amp;E848,INDEX(KdoCodeTab,MATCH(E848,KdoWertTab,0)))),"StatusAbfr "&amp;D848))</f>
        <v>MarkWdh</v>
      </c>
      <c r="G848" t="str">
        <f t="shared" si="95"/>
        <v>MarkWdh</v>
      </c>
      <c r="H848" t="str">
        <f t="shared" si="96"/>
        <v/>
      </c>
      <c r="I848" t="str">
        <f t="shared" si="97"/>
        <v/>
      </c>
    </row>
    <row r="849" spans="1:9" x14ac:dyDescent="0.25">
      <c r="A849" t="s">
        <v>440</v>
      </c>
      <c r="B849" s="6">
        <f t="shared" si="98"/>
        <v>0.91516666666666668</v>
      </c>
      <c r="C849" s="3">
        <f t="shared" si="99"/>
        <v>101</v>
      </c>
      <c r="D849" s="3" t="str">
        <f t="shared" si="93"/>
        <v/>
      </c>
      <c r="E849" s="3">
        <f t="shared" si="94"/>
        <v>147</v>
      </c>
      <c r="F849" s="5" t="str">
        <f>IF(C849=0,"Broadcast",IF(D849="",IF(E849="","",IF(E849&lt;128,"Verbind "&amp;E849,INDEX(KdoCodeTab,MATCH(E849,KdoWertTab,0)))),"StatusAbfr "&amp;D849))</f>
        <v>Space</v>
      </c>
      <c r="G849" t="str">
        <f t="shared" si="95"/>
        <v>Space</v>
      </c>
      <c r="H849" t="str">
        <f t="shared" si="96"/>
        <v/>
      </c>
      <c r="I849" t="str">
        <f t="shared" si="97"/>
        <v/>
      </c>
    </row>
    <row r="850" spans="1:9" x14ac:dyDescent="0.25">
      <c r="A850" t="s">
        <v>441</v>
      </c>
      <c r="B850" s="6">
        <f t="shared" si="98"/>
        <v>0.91616666666666668</v>
      </c>
      <c r="C850" s="3">
        <f t="shared" si="99"/>
        <v>101</v>
      </c>
      <c r="D850" s="3" t="str">
        <f t="shared" si="93"/>
        <v/>
      </c>
      <c r="E850" s="3">
        <f t="shared" si="94"/>
        <v>150</v>
      </c>
      <c r="F850" s="5" t="str">
        <f>IF(C850=0,"Broadcast",IF(D850="",IF(E850="","",IF(E850&lt;128,"Verbind "&amp;E850,INDEX(KdoCodeTab,MATCH(E850,KdoWertTab,0)))),"StatusAbfr "&amp;D850))</f>
        <v>SpaceWdh</v>
      </c>
      <c r="G850" t="str">
        <f t="shared" si="95"/>
        <v>SpaceWdh</v>
      </c>
      <c r="H850" t="str">
        <f t="shared" si="96"/>
        <v/>
      </c>
      <c r="I850" t="str">
        <f t="shared" si="97"/>
        <v/>
      </c>
    </row>
    <row r="851" spans="1:9" x14ac:dyDescent="0.25">
      <c r="A851" t="s">
        <v>442</v>
      </c>
      <c r="B851" s="6">
        <f t="shared" si="98"/>
        <v>0.97483333333333333</v>
      </c>
      <c r="C851" s="3">
        <f t="shared" si="99"/>
        <v>101</v>
      </c>
      <c r="D851" s="3" t="str">
        <f t="shared" si="93"/>
        <v/>
      </c>
      <c r="E851" s="3">
        <f t="shared" si="94"/>
        <v>156</v>
      </c>
      <c r="F851" s="5" t="str">
        <f>IF(C851=0,"Broadcast",IF(D851="",IF(E851="","",IF(E851&lt;128,"Verbind "&amp;E851,INDEX(KdoCodeTab,MATCH(E851,KdoWertTab,0)))),"StatusAbfr "&amp;D851))</f>
        <v>Mark</v>
      </c>
      <c r="G851" t="str">
        <f t="shared" si="95"/>
        <v>Mark</v>
      </c>
      <c r="H851" t="str">
        <f t="shared" si="96"/>
        <v/>
      </c>
      <c r="I851" t="str">
        <f t="shared" si="97"/>
        <v/>
      </c>
    </row>
    <row r="852" spans="1:9" x14ac:dyDescent="0.25">
      <c r="A852" t="s">
        <v>443</v>
      </c>
      <c r="B852" s="6">
        <f t="shared" si="98"/>
        <v>0.97566666666666668</v>
      </c>
      <c r="C852" s="3">
        <f t="shared" si="99"/>
        <v>101</v>
      </c>
      <c r="D852" s="3" t="str">
        <f t="shared" si="93"/>
        <v/>
      </c>
      <c r="E852" s="3">
        <f t="shared" si="94"/>
        <v>154</v>
      </c>
      <c r="F852" s="5" t="str">
        <f>IF(C852=0,"Broadcast",IF(D852="",IF(E852="","",IF(E852&lt;128,"Verbind "&amp;E852,INDEX(KdoCodeTab,MATCH(E852,KdoWertTab,0)))),"StatusAbfr "&amp;D852))</f>
        <v>MarkWdh</v>
      </c>
      <c r="G852" t="str">
        <f t="shared" si="95"/>
        <v>MarkWdh</v>
      </c>
      <c r="H852" t="str">
        <f t="shared" si="96"/>
        <v/>
      </c>
      <c r="I852" t="str">
        <f t="shared" si="97"/>
        <v/>
      </c>
    </row>
    <row r="853" spans="1:9" x14ac:dyDescent="0.25">
      <c r="A853" t="s">
        <v>444</v>
      </c>
      <c r="B853" s="6">
        <f t="shared" si="98"/>
        <v>0.99516666666666664</v>
      </c>
      <c r="C853" s="3">
        <f t="shared" si="99"/>
        <v>101</v>
      </c>
      <c r="D853" s="3" t="str">
        <f t="shared" si="93"/>
        <v/>
      </c>
      <c r="E853" s="3">
        <f t="shared" si="94"/>
        <v>147</v>
      </c>
      <c r="F853" s="5" t="str">
        <f>IF(C853=0,"Broadcast",IF(D853="",IF(E853="","",IF(E853&lt;128,"Verbind "&amp;E853,INDEX(KdoCodeTab,MATCH(E853,KdoWertTab,0)))),"StatusAbfr "&amp;D853))</f>
        <v>Space</v>
      </c>
      <c r="G853" t="str">
        <f t="shared" si="95"/>
        <v>Space</v>
      </c>
      <c r="H853" t="str">
        <f t="shared" si="96"/>
        <v/>
      </c>
      <c r="I853" t="str">
        <f t="shared" si="97"/>
        <v/>
      </c>
    </row>
    <row r="854" spans="1:9" x14ac:dyDescent="0.25">
      <c r="A854" t="s">
        <v>445</v>
      </c>
      <c r="B854" s="6">
        <f t="shared" si="98"/>
        <v>0.996</v>
      </c>
      <c r="C854" s="3">
        <f t="shared" si="99"/>
        <v>101</v>
      </c>
      <c r="D854" s="3" t="str">
        <f t="shared" si="93"/>
        <v/>
      </c>
      <c r="E854" s="3">
        <f t="shared" si="94"/>
        <v>150</v>
      </c>
      <c r="F854" s="5" t="str">
        <f>IF(C854=0,"Broadcast",IF(D854="",IF(E854="","",IF(E854&lt;128,"Verbind "&amp;E854,INDEX(KdoCodeTab,MATCH(E854,KdoWertTab,0)))),"StatusAbfr "&amp;D854))</f>
        <v>SpaceWdh</v>
      </c>
      <c r="G854" t="str">
        <f t="shared" si="95"/>
        <v>SpaceWdh</v>
      </c>
      <c r="H854" t="str">
        <f t="shared" si="96"/>
        <v/>
      </c>
      <c r="I854" t="str">
        <f t="shared" si="97"/>
        <v/>
      </c>
    </row>
    <row r="855" spans="1:9" x14ac:dyDescent="0.25">
      <c r="A855" t="s">
        <v>446</v>
      </c>
      <c r="B855" s="6">
        <f t="shared" si="98"/>
        <v>1.0354999999999999</v>
      </c>
      <c r="C855" s="3">
        <f t="shared" si="99"/>
        <v>101</v>
      </c>
      <c r="D855" s="3" t="str">
        <f t="shared" si="93"/>
        <v/>
      </c>
      <c r="E855" s="3">
        <f t="shared" si="94"/>
        <v>156</v>
      </c>
      <c r="F855" s="5" t="str">
        <f>IF(C855=0,"Broadcast",IF(D855="",IF(E855="","",IF(E855&lt;128,"Verbind "&amp;E855,INDEX(KdoCodeTab,MATCH(E855,KdoWertTab,0)))),"StatusAbfr "&amp;D855))</f>
        <v>Mark</v>
      </c>
      <c r="G855" t="str">
        <f t="shared" si="95"/>
        <v>Mark</v>
      </c>
      <c r="H855" t="str">
        <f t="shared" si="96"/>
        <v/>
      </c>
      <c r="I855" t="str">
        <f t="shared" si="97"/>
        <v/>
      </c>
    </row>
    <row r="856" spans="1:9" x14ac:dyDescent="0.25">
      <c r="A856" t="s">
        <v>447</v>
      </c>
      <c r="B856" s="6">
        <f t="shared" si="98"/>
        <v>1.0363333333333333</v>
      </c>
      <c r="C856" s="3">
        <f t="shared" si="99"/>
        <v>101</v>
      </c>
      <c r="D856" s="3" t="str">
        <f t="shared" si="93"/>
        <v/>
      </c>
      <c r="E856" s="3">
        <f t="shared" si="94"/>
        <v>154</v>
      </c>
      <c r="F856" s="5" t="str">
        <f>IF(C856=0,"Broadcast",IF(D856="",IF(E856="","",IF(E856&lt;128,"Verbind "&amp;E856,INDEX(KdoCodeTab,MATCH(E856,KdoWertTab,0)))),"StatusAbfr "&amp;D856))</f>
        <v>MarkWdh</v>
      </c>
      <c r="G856" t="str">
        <f t="shared" si="95"/>
        <v>MarkWdh</v>
      </c>
      <c r="H856" t="str">
        <f t="shared" si="96"/>
        <v/>
      </c>
      <c r="I856" t="str">
        <f t="shared" si="97"/>
        <v/>
      </c>
    </row>
    <row r="857" spans="1:9" x14ac:dyDescent="0.25">
      <c r="A857" t="s">
        <v>448</v>
      </c>
      <c r="B857" s="6">
        <f t="shared" si="98"/>
        <v>1.109</v>
      </c>
      <c r="C857" s="3">
        <f t="shared" si="99"/>
        <v>101</v>
      </c>
      <c r="D857" s="3" t="str">
        <f t="shared" si="93"/>
        <v/>
      </c>
      <c r="E857" s="3">
        <f t="shared" si="94"/>
        <v>169</v>
      </c>
      <c r="F857" s="5" t="str">
        <f>IF(C857=0,"Broadcast",IF(D857="",IF(E857="","",IF(E857&lt;128,"Verbind "&amp;E857,INDEX(KdoCodeTab,MATCH(E857,KdoWertTab,0)))),"StatusAbfr "&amp;D857))</f>
        <v>BusLebenszeichen</v>
      </c>
      <c r="G857" t="str">
        <f t="shared" si="95"/>
        <v>BusLebenszeichen</v>
      </c>
      <c r="H857" t="str">
        <f t="shared" si="96"/>
        <v/>
      </c>
      <c r="I857" t="str">
        <f t="shared" si="97"/>
        <v/>
      </c>
    </row>
    <row r="858" spans="1:9" x14ac:dyDescent="0.25">
      <c r="A858" t="s">
        <v>449</v>
      </c>
      <c r="B858" s="6">
        <f t="shared" si="98"/>
        <v>1.1333333333333333</v>
      </c>
      <c r="C858" s="3">
        <f t="shared" si="99"/>
        <v>101</v>
      </c>
      <c r="D858" s="3" t="str">
        <f t="shared" si="93"/>
        <v/>
      </c>
      <c r="E858" s="3">
        <f t="shared" si="94"/>
        <v>147</v>
      </c>
      <c r="F858" s="5" t="str">
        <f>IF(C858=0,"Broadcast",IF(D858="",IF(E858="","",IF(E858&lt;128,"Verbind "&amp;E858,INDEX(KdoCodeTab,MATCH(E858,KdoWertTab,0)))),"StatusAbfr "&amp;D858))</f>
        <v>Space</v>
      </c>
      <c r="G858" t="str">
        <f t="shared" si="95"/>
        <v>Space</v>
      </c>
      <c r="H858" t="str">
        <f t="shared" si="96"/>
        <v/>
      </c>
      <c r="I858" t="str">
        <f t="shared" si="97"/>
        <v/>
      </c>
    </row>
    <row r="859" spans="1:9" x14ac:dyDescent="0.25">
      <c r="A859" t="s">
        <v>450</v>
      </c>
      <c r="B859" s="6">
        <f t="shared" si="98"/>
        <v>1.1343333333333332</v>
      </c>
      <c r="C859" s="3">
        <f t="shared" si="99"/>
        <v>101</v>
      </c>
      <c r="D859" s="3" t="str">
        <f t="shared" si="93"/>
        <v/>
      </c>
      <c r="E859" s="3">
        <f t="shared" si="94"/>
        <v>150</v>
      </c>
      <c r="F859" s="5" t="str">
        <f>IF(C859=0,"Broadcast",IF(D859="",IF(E859="","",IF(E859&lt;128,"Verbind "&amp;E859,INDEX(KdoCodeTab,MATCH(E859,KdoWertTab,0)))),"StatusAbfr "&amp;D859))</f>
        <v>SpaceWdh</v>
      </c>
      <c r="G859" t="str">
        <f t="shared" si="95"/>
        <v>SpaceWdh</v>
      </c>
      <c r="H859" t="str">
        <f t="shared" si="96"/>
        <v/>
      </c>
      <c r="I859" t="str">
        <f t="shared" si="97"/>
        <v/>
      </c>
    </row>
    <row r="860" spans="1:9" x14ac:dyDescent="0.25">
      <c r="A860" t="s">
        <v>451</v>
      </c>
      <c r="B860" s="6">
        <f t="shared" si="98"/>
        <v>1.194</v>
      </c>
      <c r="C860" s="3">
        <f t="shared" si="99"/>
        <v>101</v>
      </c>
      <c r="D860" s="3" t="str">
        <f t="shared" si="93"/>
        <v/>
      </c>
      <c r="E860" s="3">
        <f t="shared" si="94"/>
        <v>156</v>
      </c>
      <c r="F860" s="5" t="str">
        <f>IF(C860=0,"Broadcast",IF(D860="",IF(E860="","",IF(E860&lt;128,"Verbind "&amp;E860,INDEX(KdoCodeTab,MATCH(E860,KdoWertTab,0)))),"StatusAbfr "&amp;D860))</f>
        <v>Mark</v>
      </c>
      <c r="G860" t="str">
        <f t="shared" si="95"/>
        <v>Mark</v>
      </c>
      <c r="H860" t="str">
        <f t="shared" si="96"/>
        <v/>
      </c>
      <c r="I860" t="str">
        <f t="shared" si="97"/>
        <v/>
      </c>
    </row>
    <row r="861" spans="1:9" x14ac:dyDescent="0.25">
      <c r="A861" t="s">
        <v>452</v>
      </c>
      <c r="B861" s="6">
        <f t="shared" si="98"/>
        <v>1.1950000000000001</v>
      </c>
      <c r="C861" s="3">
        <f t="shared" si="99"/>
        <v>101</v>
      </c>
      <c r="D861" s="3" t="str">
        <f t="shared" si="93"/>
        <v/>
      </c>
      <c r="E861" s="3">
        <f t="shared" si="94"/>
        <v>154</v>
      </c>
      <c r="F861" s="5" t="str">
        <f>IF(C861=0,"Broadcast",IF(D861="",IF(E861="","",IF(E861&lt;128,"Verbind "&amp;E861,INDEX(KdoCodeTab,MATCH(E861,KdoWertTab,0)))),"StatusAbfr "&amp;D861))</f>
        <v>MarkWdh</v>
      </c>
      <c r="G861" t="str">
        <f t="shared" si="95"/>
        <v>MarkWdh</v>
      </c>
      <c r="H861" t="str">
        <f t="shared" si="96"/>
        <v/>
      </c>
      <c r="I861" t="str">
        <f t="shared" si="97"/>
        <v/>
      </c>
    </row>
    <row r="862" spans="1:9" x14ac:dyDescent="0.25">
      <c r="A862" t="s">
        <v>453</v>
      </c>
      <c r="B862" s="6">
        <f t="shared" si="98"/>
        <v>1.3265</v>
      </c>
      <c r="C862" s="3">
        <f t="shared" si="99"/>
        <v>31</v>
      </c>
      <c r="D862" s="3" t="str">
        <f t="shared" si="93"/>
        <v/>
      </c>
      <c r="E862" s="3">
        <f t="shared" si="94"/>
        <v>154</v>
      </c>
      <c r="F862" s="5" t="str">
        <f>IF(C862=0,"Broadcast",IF(D862="",IF(E862="","",IF(E862&lt;128,"Verbind "&amp;E862,INDEX(KdoCodeTab,MATCH(E862,KdoWertTab,0)))),"StatusAbfr "&amp;D862))</f>
        <v>MarkWdh</v>
      </c>
      <c r="G862" t="str">
        <f t="shared" si="95"/>
        <v/>
      </c>
      <c r="H862" t="str">
        <f t="shared" si="96"/>
        <v>MarkWdh</v>
      </c>
      <c r="I862" t="str">
        <f t="shared" si="97"/>
        <v/>
      </c>
    </row>
    <row r="863" spans="1:9" x14ac:dyDescent="0.25">
      <c r="A863" t="s">
        <v>454</v>
      </c>
      <c r="B863" s="6">
        <f t="shared" si="98"/>
        <v>1.3818333333333332</v>
      </c>
      <c r="C863" s="3">
        <f t="shared" si="99"/>
        <v>101</v>
      </c>
      <c r="D863" s="3" t="str">
        <f t="shared" si="93"/>
        <v/>
      </c>
      <c r="E863" s="3">
        <f t="shared" si="94"/>
        <v>147</v>
      </c>
      <c r="F863" s="5" t="str">
        <f>IF(C863=0,"Broadcast",IF(D863="",IF(E863="","",IF(E863&lt;128,"Verbind "&amp;E863,INDEX(KdoCodeTab,MATCH(E863,KdoWertTab,0)))),"StatusAbfr "&amp;D863))</f>
        <v>Space</v>
      </c>
      <c r="G863" t="str">
        <f t="shared" si="95"/>
        <v>Space</v>
      </c>
      <c r="H863" t="str">
        <f t="shared" si="96"/>
        <v/>
      </c>
      <c r="I863" t="str">
        <f t="shared" si="97"/>
        <v/>
      </c>
    </row>
    <row r="864" spans="1:9" x14ac:dyDescent="0.25">
      <c r="A864" t="s">
        <v>455</v>
      </c>
      <c r="B864" s="6">
        <f t="shared" si="98"/>
        <v>1.3828333333333331</v>
      </c>
      <c r="C864" s="3">
        <f t="shared" si="99"/>
        <v>101</v>
      </c>
      <c r="D864" s="3" t="str">
        <f t="shared" si="93"/>
        <v/>
      </c>
      <c r="E864" s="3">
        <f t="shared" si="94"/>
        <v>150</v>
      </c>
      <c r="F864" s="5" t="str">
        <f>IF(C864=0,"Broadcast",IF(D864="",IF(E864="","",IF(E864&lt;128,"Verbind "&amp;E864,INDEX(KdoCodeTab,MATCH(E864,KdoWertTab,0)))),"StatusAbfr "&amp;D864))</f>
        <v>SpaceWdh</v>
      </c>
      <c r="G864" t="str">
        <f t="shared" si="95"/>
        <v>SpaceWdh</v>
      </c>
      <c r="H864" t="str">
        <f t="shared" si="96"/>
        <v/>
      </c>
      <c r="I864" t="str">
        <f t="shared" si="97"/>
        <v/>
      </c>
    </row>
    <row r="865" spans="1:9" x14ac:dyDescent="0.25">
      <c r="A865" t="s">
        <v>456</v>
      </c>
      <c r="B865" s="6">
        <f t="shared" si="98"/>
        <v>1.4223333333333332</v>
      </c>
      <c r="C865" s="3">
        <f t="shared" si="99"/>
        <v>101</v>
      </c>
      <c r="D865" s="3" t="str">
        <f t="shared" si="93"/>
        <v/>
      </c>
      <c r="E865" s="3">
        <f t="shared" si="94"/>
        <v>156</v>
      </c>
      <c r="F865" s="5" t="str">
        <f>IF(C865=0,"Broadcast",IF(D865="",IF(E865="","",IF(E865&lt;128,"Verbind "&amp;E865,INDEX(KdoCodeTab,MATCH(E865,KdoWertTab,0)))),"StatusAbfr "&amp;D865))</f>
        <v>Mark</v>
      </c>
      <c r="G865" t="str">
        <f t="shared" si="95"/>
        <v>Mark</v>
      </c>
      <c r="H865" t="str">
        <f t="shared" si="96"/>
        <v/>
      </c>
      <c r="I865" t="str">
        <f t="shared" si="97"/>
        <v/>
      </c>
    </row>
    <row r="866" spans="1:9" x14ac:dyDescent="0.25">
      <c r="A866" t="s">
        <v>457</v>
      </c>
      <c r="B866" s="6">
        <f t="shared" si="98"/>
        <v>1.4233333333333333</v>
      </c>
      <c r="C866" s="3">
        <f t="shared" si="99"/>
        <v>101</v>
      </c>
      <c r="D866" s="3" t="str">
        <f t="shared" si="93"/>
        <v/>
      </c>
      <c r="E866" s="3">
        <f t="shared" si="94"/>
        <v>154</v>
      </c>
      <c r="F866" s="5" t="str">
        <f>IF(C866=0,"Broadcast",IF(D866="",IF(E866="","",IF(E866&lt;128,"Verbind "&amp;E866,INDEX(KdoCodeTab,MATCH(E866,KdoWertTab,0)))),"StatusAbfr "&amp;D866))</f>
        <v>MarkWdh</v>
      </c>
      <c r="G866" t="str">
        <f t="shared" si="95"/>
        <v>MarkWdh</v>
      </c>
      <c r="H866" t="str">
        <f t="shared" si="96"/>
        <v/>
      </c>
      <c r="I866" t="str">
        <f t="shared" si="97"/>
        <v/>
      </c>
    </row>
    <row r="867" spans="1:9" x14ac:dyDescent="0.25">
      <c r="A867" t="s">
        <v>458</v>
      </c>
      <c r="B867" s="6">
        <f t="shared" si="98"/>
        <v>1.4628333333333332</v>
      </c>
      <c r="C867" s="3">
        <f t="shared" si="99"/>
        <v>101</v>
      </c>
      <c r="D867" s="3" t="str">
        <f t="shared" si="93"/>
        <v/>
      </c>
      <c r="E867" s="3">
        <f t="shared" si="94"/>
        <v>147</v>
      </c>
      <c r="F867" s="5" t="str">
        <f>IF(C867=0,"Broadcast",IF(D867="",IF(E867="","",IF(E867&lt;128,"Verbind "&amp;E867,INDEX(KdoCodeTab,MATCH(E867,KdoWertTab,0)))),"StatusAbfr "&amp;D867))</f>
        <v>Space</v>
      </c>
      <c r="G867" t="str">
        <f t="shared" si="95"/>
        <v>Space</v>
      </c>
      <c r="H867" t="str">
        <f t="shared" si="96"/>
        <v/>
      </c>
      <c r="I867" t="str">
        <f t="shared" si="97"/>
        <v/>
      </c>
    </row>
    <row r="868" spans="1:9" x14ac:dyDescent="0.25">
      <c r="A868" t="s">
        <v>459</v>
      </c>
      <c r="B868" s="6">
        <f t="shared" si="98"/>
        <v>1.4636666666666667</v>
      </c>
      <c r="C868" s="3">
        <f t="shared" si="99"/>
        <v>101</v>
      </c>
      <c r="D868" s="3" t="str">
        <f t="shared" si="93"/>
        <v/>
      </c>
      <c r="E868" s="3">
        <f t="shared" si="94"/>
        <v>150</v>
      </c>
      <c r="F868" s="5" t="str">
        <f>IF(C868=0,"Broadcast",IF(D868="",IF(E868="","",IF(E868&lt;128,"Verbind "&amp;E868,INDEX(KdoCodeTab,MATCH(E868,KdoWertTab,0)))),"StatusAbfr "&amp;D868))</f>
        <v>SpaceWdh</v>
      </c>
      <c r="G868" t="str">
        <f t="shared" si="95"/>
        <v>SpaceWdh</v>
      </c>
      <c r="H868" t="str">
        <f t="shared" si="96"/>
        <v/>
      </c>
      <c r="I868" t="str">
        <f t="shared" si="97"/>
        <v/>
      </c>
    </row>
    <row r="869" spans="1:9" x14ac:dyDescent="0.25">
      <c r="A869" t="s">
        <v>460</v>
      </c>
      <c r="B869" s="6">
        <f t="shared" si="98"/>
        <v>1.5021666666666667</v>
      </c>
      <c r="C869" s="3">
        <f t="shared" si="99"/>
        <v>101</v>
      </c>
      <c r="D869" s="3" t="str">
        <f t="shared" si="93"/>
        <v/>
      </c>
      <c r="E869" s="3">
        <f t="shared" si="94"/>
        <v>156</v>
      </c>
      <c r="F869" s="5" t="str">
        <f>IF(C869=0,"Broadcast",IF(D869="",IF(E869="","",IF(E869&lt;128,"Verbind "&amp;E869,INDEX(KdoCodeTab,MATCH(E869,KdoWertTab,0)))),"StatusAbfr "&amp;D869))</f>
        <v>Mark</v>
      </c>
      <c r="G869" t="str">
        <f t="shared" si="95"/>
        <v>Mark</v>
      </c>
      <c r="H869" t="str">
        <f t="shared" si="96"/>
        <v/>
      </c>
      <c r="I869" t="str">
        <f t="shared" si="97"/>
        <v/>
      </c>
    </row>
    <row r="870" spans="1:9" x14ac:dyDescent="0.25">
      <c r="A870" t="s">
        <v>461</v>
      </c>
      <c r="B870" s="6">
        <f t="shared" si="98"/>
        <v>1.5031666666666665</v>
      </c>
      <c r="C870" s="3">
        <f t="shared" si="99"/>
        <v>101</v>
      </c>
      <c r="D870" s="3" t="str">
        <f t="shared" si="93"/>
        <v/>
      </c>
      <c r="E870" s="3">
        <f t="shared" si="94"/>
        <v>154</v>
      </c>
      <c r="F870" s="5" t="str">
        <f>IF(C870=0,"Broadcast",IF(D870="",IF(E870="","",IF(E870&lt;128,"Verbind "&amp;E870,INDEX(KdoCodeTab,MATCH(E870,KdoWertTab,0)))),"StatusAbfr "&amp;D870))</f>
        <v>MarkWdh</v>
      </c>
      <c r="G870" t="str">
        <f t="shared" si="95"/>
        <v>MarkWdh</v>
      </c>
      <c r="H870" t="str">
        <f t="shared" si="96"/>
        <v/>
      </c>
      <c r="I870" t="str">
        <f t="shared" si="97"/>
        <v/>
      </c>
    </row>
    <row r="871" spans="1:9" x14ac:dyDescent="0.25">
      <c r="A871" t="s">
        <v>462</v>
      </c>
      <c r="B871" s="6">
        <f t="shared" si="98"/>
        <v>1.5425</v>
      </c>
      <c r="C871" s="3">
        <f t="shared" si="99"/>
        <v>101</v>
      </c>
      <c r="D871" s="3" t="str">
        <f t="shared" si="93"/>
        <v/>
      </c>
      <c r="E871" s="3">
        <f t="shared" si="94"/>
        <v>147</v>
      </c>
      <c r="F871" s="5" t="str">
        <f>IF(C871=0,"Broadcast",IF(D871="",IF(E871="","",IF(E871&lt;128,"Verbind "&amp;E871,INDEX(KdoCodeTab,MATCH(E871,KdoWertTab,0)))),"StatusAbfr "&amp;D871))</f>
        <v>Space</v>
      </c>
      <c r="G871" t="str">
        <f t="shared" si="95"/>
        <v>Space</v>
      </c>
      <c r="H871" t="str">
        <f t="shared" si="96"/>
        <v/>
      </c>
      <c r="I871" t="str">
        <f t="shared" si="97"/>
        <v/>
      </c>
    </row>
    <row r="872" spans="1:9" x14ac:dyDescent="0.25">
      <c r="A872" t="s">
        <v>463</v>
      </c>
      <c r="B872" s="6">
        <f t="shared" si="98"/>
        <v>1.5434999999999999</v>
      </c>
      <c r="C872" s="3">
        <f t="shared" si="99"/>
        <v>101</v>
      </c>
      <c r="D872" s="3" t="str">
        <f t="shared" si="93"/>
        <v/>
      </c>
      <c r="E872" s="3">
        <f t="shared" si="94"/>
        <v>150</v>
      </c>
      <c r="F872" s="5" t="str">
        <f>IF(C872=0,"Broadcast",IF(D872="",IF(E872="","",IF(E872&lt;128,"Verbind "&amp;E872,INDEX(KdoCodeTab,MATCH(E872,KdoWertTab,0)))),"StatusAbfr "&amp;D872))</f>
        <v>SpaceWdh</v>
      </c>
      <c r="G872" t="str">
        <f t="shared" si="95"/>
        <v>SpaceWdh</v>
      </c>
      <c r="H872" t="str">
        <f t="shared" si="96"/>
        <v/>
      </c>
      <c r="I872" t="str">
        <f t="shared" si="97"/>
        <v/>
      </c>
    </row>
    <row r="873" spans="1:9" x14ac:dyDescent="0.25">
      <c r="A873" t="s">
        <v>464</v>
      </c>
      <c r="B873" s="6">
        <f t="shared" si="98"/>
        <v>1.6424999999999998</v>
      </c>
      <c r="C873" s="3">
        <f t="shared" si="99"/>
        <v>101</v>
      </c>
      <c r="D873" s="3" t="str">
        <f t="shared" si="93"/>
        <v/>
      </c>
      <c r="E873" s="3">
        <f t="shared" si="94"/>
        <v>156</v>
      </c>
      <c r="F873" s="5" t="str">
        <f>IF(C873=0,"Broadcast",IF(D873="",IF(E873="","",IF(E873&lt;128,"Verbind "&amp;E873,INDEX(KdoCodeTab,MATCH(E873,KdoWertTab,0)))),"StatusAbfr "&amp;D873))</f>
        <v>Mark</v>
      </c>
      <c r="G873" t="str">
        <f t="shared" si="95"/>
        <v>Mark</v>
      </c>
      <c r="H873" t="str">
        <f t="shared" si="96"/>
        <v/>
      </c>
      <c r="I873" t="str">
        <f t="shared" si="97"/>
        <v/>
      </c>
    </row>
    <row r="874" spans="1:9" x14ac:dyDescent="0.25">
      <c r="A874" t="s">
        <v>465</v>
      </c>
      <c r="B874" s="6">
        <f t="shared" si="98"/>
        <v>1.6435</v>
      </c>
      <c r="C874" s="3">
        <f t="shared" si="99"/>
        <v>101</v>
      </c>
      <c r="D874" s="3" t="str">
        <f t="shared" si="93"/>
        <v/>
      </c>
      <c r="E874" s="3">
        <f t="shared" si="94"/>
        <v>154</v>
      </c>
      <c r="F874" s="5" t="str">
        <f>IF(C874=0,"Broadcast",IF(D874="",IF(E874="","",IF(E874&lt;128,"Verbind "&amp;E874,INDEX(KdoCodeTab,MATCH(E874,KdoWertTab,0)))),"StatusAbfr "&amp;D874))</f>
        <v>MarkWdh</v>
      </c>
      <c r="G874" t="str">
        <f t="shared" si="95"/>
        <v>MarkWdh</v>
      </c>
      <c r="H874" t="str">
        <f t="shared" si="96"/>
        <v/>
      </c>
      <c r="I874" t="str">
        <f t="shared" si="97"/>
        <v/>
      </c>
    </row>
    <row r="875" spans="1:9" x14ac:dyDescent="0.25">
      <c r="A875" t="s">
        <v>466</v>
      </c>
      <c r="B875" s="6">
        <f t="shared" si="98"/>
        <v>1.7456666666666667</v>
      </c>
      <c r="C875" s="3">
        <f t="shared" si="99"/>
        <v>101</v>
      </c>
      <c r="D875" s="3" t="str">
        <f t="shared" si="93"/>
        <v/>
      </c>
      <c r="E875" s="3">
        <f t="shared" si="94"/>
        <v>147</v>
      </c>
      <c r="F875" s="5" t="str">
        <f>IF(C875=0,"Broadcast",IF(D875="",IF(E875="","",IF(E875&lt;128,"Verbind "&amp;E875,INDEX(KdoCodeTab,MATCH(E875,KdoWertTab,0)))),"StatusAbfr "&amp;D875))</f>
        <v>Space</v>
      </c>
      <c r="G875" t="str">
        <f t="shared" si="95"/>
        <v>Space</v>
      </c>
      <c r="H875" t="str">
        <f t="shared" si="96"/>
        <v/>
      </c>
      <c r="I875" t="str">
        <f t="shared" si="97"/>
        <v/>
      </c>
    </row>
    <row r="876" spans="1:9" x14ac:dyDescent="0.25">
      <c r="A876" t="s">
        <v>467</v>
      </c>
      <c r="B876" s="6">
        <f t="shared" si="98"/>
        <v>1.7464999999999999</v>
      </c>
      <c r="C876" s="3">
        <f t="shared" si="99"/>
        <v>101</v>
      </c>
      <c r="D876" s="3" t="str">
        <f t="shared" si="93"/>
        <v/>
      </c>
      <c r="E876" s="3">
        <f t="shared" si="94"/>
        <v>150</v>
      </c>
      <c r="F876" s="5" t="str">
        <f>IF(C876=0,"Broadcast",IF(D876="",IF(E876="","",IF(E876&lt;128,"Verbind "&amp;E876,INDEX(KdoCodeTab,MATCH(E876,KdoWertTab,0)))),"StatusAbfr "&amp;D876))</f>
        <v>SpaceWdh</v>
      </c>
      <c r="G876" t="str">
        <f t="shared" si="95"/>
        <v>SpaceWdh</v>
      </c>
      <c r="H876" t="str">
        <f t="shared" si="96"/>
        <v/>
      </c>
      <c r="I876" t="str">
        <f t="shared" si="97"/>
        <v/>
      </c>
    </row>
    <row r="877" spans="1:9" x14ac:dyDescent="0.25">
      <c r="A877" t="s">
        <v>468</v>
      </c>
      <c r="B877" s="6">
        <f t="shared" si="98"/>
        <v>1.7909999999999999</v>
      </c>
      <c r="C877" s="3">
        <f t="shared" si="99"/>
        <v>101</v>
      </c>
      <c r="D877" s="3" t="str">
        <f t="shared" si="93"/>
        <v/>
      </c>
      <c r="E877" s="3">
        <f t="shared" si="94"/>
        <v>169</v>
      </c>
      <c r="F877" s="5" t="str">
        <f>IF(C877=0,"Broadcast",IF(D877="",IF(E877="","",IF(E877&lt;128,"Verbind "&amp;E877,INDEX(KdoCodeTab,MATCH(E877,KdoWertTab,0)))),"StatusAbfr "&amp;D877))</f>
        <v>BusLebenszeichen</v>
      </c>
      <c r="G877" t="str">
        <f t="shared" si="95"/>
        <v>BusLebenszeichen</v>
      </c>
      <c r="H877" t="str">
        <f t="shared" si="96"/>
        <v/>
      </c>
      <c r="I877" t="str">
        <f t="shared" si="97"/>
        <v/>
      </c>
    </row>
    <row r="878" spans="1:9" x14ac:dyDescent="0.25">
      <c r="A878" t="s">
        <v>469</v>
      </c>
      <c r="B878" s="6">
        <f t="shared" si="98"/>
        <v>1.8053333333333332</v>
      </c>
      <c r="C878" s="3">
        <f t="shared" si="99"/>
        <v>101</v>
      </c>
      <c r="D878" s="3" t="str">
        <f t="shared" si="93"/>
        <v/>
      </c>
      <c r="E878" s="3">
        <f t="shared" si="94"/>
        <v>156</v>
      </c>
      <c r="F878" s="5" t="str">
        <f>IF(C878=0,"Broadcast",IF(D878="",IF(E878="","",IF(E878&lt;128,"Verbind "&amp;E878,INDEX(KdoCodeTab,MATCH(E878,KdoWertTab,0)))),"StatusAbfr "&amp;D878))</f>
        <v>Mark</v>
      </c>
      <c r="G878" t="str">
        <f t="shared" si="95"/>
        <v>Mark</v>
      </c>
      <c r="H878" t="str">
        <f t="shared" si="96"/>
        <v/>
      </c>
      <c r="I878" t="str">
        <f t="shared" si="97"/>
        <v/>
      </c>
    </row>
    <row r="879" spans="1:9" x14ac:dyDescent="0.25">
      <c r="A879" t="s">
        <v>470</v>
      </c>
      <c r="B879" s="6">
        <f t="shared" si="98"/>
        <v>1.8061666666666667</v>
      </c>
      <c r="C879" s="3">
        <f t="shared" si="99"/>
        <v>101</v>
      </c>
      <c r="D879" s="3" t="str">
        <f t="shared" si="93"/>
        <v/>
      </c>
      <c r="E879" s="3">
        <f t="shared" si="94"/>
        <v>154</v>
      </c>
      <c r="F879" s="5" t="str">
        <f>IF(C879=0,"Broadcast",IF(D879="",IF(E879="","",IF(E879&lt;128,"Verbind "&amp;E879,INDEX(KdoCodeTab,MATCH(E879,KdoWertTab,0)))),"StatusAbfr "&amp;D879))</f>
        <v>MarkWdh</v>
      </c>
      <c r="G879" t="str">
        <f t="shared" si="95"/>
        <v>MarkWdh</v>
      </c>
      <c r="H879" t="str">
        <f t="shared" si="96"/>
        <v/>
      </c>
      <c r="I879" t="str">
        <f t="shared" si="97"/>
        <v/>
      </c>
    </row>
    <row r="880" spans="1:9" x14ac:dyDescent="0.25">
      <c r="A880" t="s">
        <v>471</v>
      </c>
      <c r="B880" s="6">
        <f t="shared" si="98"/>
        <v>1.8254999999999999</v>
      </c>
      <c r="C880" s="3">
        <f t="shared" si="99"/>
        <v>101</v>
      </c>
      <c r="D880" s="3" t="str">
        <f t="shared" si="93"/>
        <v/>
      </c>
      <c r="E880" s="3">
        <f t="shared" si="94"/>
        <v>147</v>
      </c>
      <c r="F880" s="5" t="str">
        <f>IF(C880=0,"Broadcast",IF(D880="",IF(E880="","",IF(E880&lt;128,"Verbind "&amp;E880,INDEX(KdoCodeTab,MATCH(E880,KdoWertTab,0)))),"StatusAbfr "&amp;D880))</f>
        <v>Space</v>
      </c>
      <c r="G880" t="str">
        <f t="shared" si="95"/>
        <v>Space</v>
      </c>
      <c r="H880" t="str">
        <f t="shared" si="96"/>
        <v/>
      </c>
      <c r="I880" t="str">
        <f t="shared" si="97"/>
        <v/>
      </c>
    </row>
    <row r="881" spans="1:9" x14ac:dyDescent="0.25">
      <c r="A881" t="s">
        <v>472</v>
      </c>
      <c r="B881" s="6">
        <f t="shared" si="98"/>
        <v>1.8263333333333334</v>
      </c>
      <c r="C881" s="3">
        <f t="shared" si="99"/>
        <v>101</v>
      </c>
      <c r="D881" s="3" t="str">
        <f t="shared" si="93"/>
        <v/>
      </c>
      <c r="E881" s="3">
        <f t="shared" si="94"/>
        <v>150</v>
      </c>
      <c r="F881" s="5" t="str">
        <f>IF(C881=0,"Broadcast",IF(D881="",IF(E881="","",IF(E881&lt;128,"Verbind "&amp;E881,INDEX(KdoCodeTab,MATCH(E881,KdoWertTab,0)))),"StatusAbfr "&amp;D881))</f>
        <v>SpaceWdh</v>
      </c>
      <c r="G881" t="str">
        <f t="shared" si="95"/>
        <v>SpaceWdh</v>
      </c>
      <c r="H881" t="str">
        <f t="shared" si="96"/>
        <v/>
      </c>
      <c r="I881" t="str">
        <f t="shared" si="97"/>
        <v/>
      </c>
    </row>
    <row r="882" spans="1:9" x14ac:dyDescent="0.25">
      <c r="A882" t="s">
        <v>473</v>
      </c>
      <c r="B882" s="6">
        <f t="shared" si="98"/>
        <v>1.8325</v>
      </c>
      <c r="C882" s="3">
        <f t="shared" si="99"/>
        <v>31</v>
      </c>
      <c r="D882" s="3" t="str">
        <f t="shared" si="93"/>
        <v/>
      </c>
      <c r="E882" s="3">
        <f t="shared" si="94"/>
        <v>154</v>
      </c>
      <c r="F882" s="5" t="str">
        <f>IF(C882=0,"Broadcast",IF(D882="",IF(E882="","",IF(E882&lt;128,"Verbind "&amp;E882,INDEX(KdoCodeTab,MATCH(E882,KdoWertTab,0)))),"StatusAbfr "&amp;D882))</f>
        <v>MarkWdh</v>
      </c>
      <c r="G882" t="str">
        <f t="shared" si="95"/>
        <v/>
      </c>
      <c r="H882" t="str">
        <f t="shared" si="96"/>
        <v>MarkWdh</v>
      </c>
      <c r="I882" t="str">
        <f t="shared" si="97"/>
        <v/>
      </c>
    </row>
    <row r="883" spans="1:9" x14ac:dyDescent="0.25">
      <c r="A883" t="s">
        <v>474</v>
      </c>
      <c r="B883" s="6">
        <f t="shared" si="98"/>
        <v>1.8658333333333332</v>
      </c>
      <c r="C883" s="3">
        <f t="shared" si="99"/>
        <v>101</v>
      </c>
      <c r="D883" s="3" t="str">
        <f t="shared" si="93"/>
        <v/>
      </c>
      <c r="E883" s="3">
        <f t="shared" si="94"/>
        <v>156</v>
      </c>
      <c r="F883" s="5" t="str">
        <f>IF(C883=0,"Broadcast",IF(D883="",IF(E883="","",IF(E883&lt;128,"Verbind "&amp;E883,INDEX(KdoCodeTab,MATCH(E883,KdoWertTab,0)))),"StatusAbfr "&amp;D883))</f>
        <v>Mark</v>
      </c>
      <c r="G883" t="str">
        <f t="shared" si="95"/>
        <v>Mark</v>
      </c>
      <c r="H883" t="str">
        <f t="shared" si="96"/>
        <v/>
      </c>
      <c r="I883" t="str">
        <f t="shared" si="97"/>
        <v/>
      </c>
    </row>
    <row r="884" spans="1:9" x14ac:dyDescent="0.25">
      <c r="A884" t="s">
        <v>475</v>
      </c>
      <c r="B884" s="6">
        <f t="shared" si="98"/>
        <v>1.8666666666666667</v>
      </c>
      <c r="C884" s="3">
        <f t="shared" si="99"/>
        <v>101</v>
      </c>
      <c r="D884" s="3" t="str">
        <f t="shared" si="93"/>
        <v/>
      </c>
      <c r="E884" s="3">
        <f t="shared" si="94"/>
        <v>154</v>
      </c>
      <c r="F884" s="5" t="str">
        <f>IF(C884=0,"Broadcast",IF(D884="",IF(E884="","",IF(E884&lt;128,"Verbind "&amp;E884,INDEX(KdoCodeTab,MATCH(E884,KdoWertTab,0)))),"StatusAbfr "&amp;D884))</f>
        <v>MarkWdh</v>
      </c>
      <c r="G884" t="str">
        <f t="shared" si="95"/>
        <v>MarkWdh</v>
      </c>
      <c r="H884" t="str">
        <f t="shared" si="96"/>
        <v/>
      </c>
      <c r="I884" t="str">
        <f t="shared" si="97"/>
        <v/>
      </c>
    </row>
    <row r="885" spans="1:9" x14ac:dyDescent="0.25">
      <c r="A885" t="s">
        <v>476</v>
      </c>
      <c r="B885" s="6">
        <f t="shared" si="98"/>
        <v>1.9546666666666666</v>
      </c>
      <c r="C885" s="3">
        <f t="shared" si="99"/>
        <v>101</v>
      </c>
      <c r="D885" s="3" t="str">
        <f t="shared" si="93"/>
        <v/>
      </c>
      <c r="E885" s="3">
        <f t="shared" si="94"/>
        <v>147</v>
      </c>
      <c r="F885" s="5" t="str">
        <f>IF(C885=0,"Broadcast",IF(D885="",IF(E885="","",IF(E885&lt;128,"Verbind "&amp;E885,INDEX(KdoCodeTab,MATCH(E885,KdoWertTab,0)))),"StatusAbfr "&amp;D885))</f>
        <v>Space</v>
      </c>
      <c r="G885" t="str">
        <f t="shared" si="95"/>
        <v>Space</v>
      </c>
      <c r="H885" t="str">
        <f t="shared" si="96"/>
        <v/>
      </c>
      <c r="I885" t="str">
        <f t="shared" si="97"/>
        <v/>
      </c>
    </row>
    <row r="886" spans="1:9" x14ac:dyDescent="0.25">
      <c r="A886" t="s">
        <v>477</v>
      </c>
      <c r="B886" s="6">
        <f t="shared" si="98"/>
        <v>1.9556666666666667</v>
      </c>
      <c r="C886" s="3">
        <f t="shared" si="99"/>
        <v>101</v>
      </c>
      <c r="D886" s="3" t="str">
        <f t="shared" si="93"/>
        <v/>
      </c>
      <c r="E886" s="3">
        <f t="shared" si="94"/>
        <v>150</v>
      </c>
      <c r="F886" s="5" t="str">
        <f>IF(C886=0,"Broadcast",IF(D886="",IF(E886="","",IF(E886&lt;128,"Verbind "&amp;E886,INDEX(KdoCodeTab,MATCH(E886,KdoWertTab,0)))),"StatusAbfr "&amp;D886))</f>
        <v>SpaceWdh</v>
      </c>
      <c r="G886" t="str">
        <f t="shared" si="95"/>
        <v>SpaceWdh</v>
      </c>
      <c r="H886" t="str">
        <f t="shared" si="96"/>
        <v/>
      </c>
      <c r="I886" t="str">
        <f t="shared" si="97"/>
        <v/>
      </c>
    </row>
    <row r="887" spans="1:9" x14ac:dyDescent="0.25">
      <c r="A887" t="s">
        <v>478</v>
      </c>
      <c r="B887" s="6">
        <f t="shared" si="98"/>
        <v>1.9750000000000001</v>
      </c>
      <c r="C887" s="3">
        <f t="shared" si="99"/>
        <v>101</v>
      </c>
      <c r="D887" s="3" t="str">
        <f t="shared" si="93"/>
        <v/>
      </c>
      <c r="E887" s="3">
        <f t="shared" si="94"/>
        <v>156</v>
      </c>
      <c r="F887" s="5" t="str">
        <f>IF(C887=0,"Broadcast",IF(D887="",IF(E887="","",IF(E887&lt;128,"Verbind "&amp;E887,INDEX(KdoCodeTab,MATCH(E887,KdoWertTab,0)))),"StatusAbfr "&amp;D887))</f>
        <v>Mark</v>
      </c>
      <c r="G887" t="str">
        <f t="shared" si="95"/>
        <v>Mark</v>
      </c>
      <c r="H887" t="str">
        <f t="shared" si="96"/>
        <v/>
      </c>
      <c r="I887" t="str">
        <f t="shared" si="97"/>
        <v/>
      </c>
    </row>
    <row r="888" spans="1:9" x14ac:dyDescent="0.25">
      <c r="A888" t="s">
        <v>479</v>
      </c>
      <c r="B888" s="6">
        <f t="shared" si="98"/>
        <v>1.976</v>
      </c>
      <c r="C888" s="3">
        <f t="shared" si="99"/>
        <v>101</v>
      </c>
      <c r="D888" s="3" t="str">
        <f t="shared" si="93"/>
        <v/>
      </c>
      <c r="E888" s="3">
        <f t="shared" si="94"/>
        <v>154</v>
      </c>
      <c r="F888" s="5" t="str">
        <f>IF(C888=0,"Broadcast",IF(D888="",IF(E888="","",IF(E888&lt;128,"Verbind "&amp;E888,INDEX(KdoCodeTab,MATCH(E888,KdoWertTab,0)))),"StatusAbfr "&amp;D888))</f>
        <v>MarkWdh</v>
      </c>
      <c r="G888" t="str">
        <f t="shared" si="95"/>
        <v>MarkWdh</v>
      </c>
      <c r="H888" t="str">
        <f t="shared" si="96"/>
        <v/>
      </c>
      <c r="I888" t="str">
        <f t="shared" si="97"/>
        <v/>
      </c>
    </row>
    <row r="889" spans="1:9" x14ac:dyDescent="0.25">
      <c r="A889" t="s">
        <v>480</v>
      </c>
      <c r="B889" s="6">
        <f t="shared" si="98"/>
        <v>1.9941666666666666</v>
      </c>
      <c r="C889" s="3">
        <f t="shared" si="99"/>
        <v>101</v>
      </c>
      <c r="D889" s="3" t="str">
        <f t="shared" si="93"/>
        <v/>
      </c>
      <c r="E889" s="3">
        <f t="shared" si="94"/>
        <v>147</v>
      </c>
      <c r="F889" s="5" t="str">
        <f>IF(C889=0,"Broadcast",IF(D889="",IF(E889="","",IF(E889&lt;128,"Verbind "&amp;E889,INDEX(KdoCodeTab,MATCH(E889,KdoWertTab,0)))),"StatusAbfr "&amp;D889))</f>
        <v>Space</v>
      </c>
      <c r="G889" t="str">
        <f t="shared" si="95"/>
        <v>Space</v>
      </c>
      <c r="H889" t="str">
        <f t="shared" si="96"/>
        <v/>
      </c>
      <c r="I889" t="str">
        <f t="shared" si="97"/>
        <v/>
      </c>
    </row>
    <row r="890" spans="1:9" x14ac:dyDescent="0.25">
      <c r="A890" t="s">
        <v>481</v>
      </c>
      <c r="B890" s="6">
        <f t="shared" si="98"/>
        <v>1.9950000000000001</v>
      </c>
      <c r="C890" s="3">
        <f t="shared" si="99"/>
        <v>101</v>
      </c>
      <c r="D890" s="3" t="str">
        <f t="shared" si="93"/>
        <v/>
      </c>
      <c r="E890" s="3">
        <f t="shared" si="94"/>
        <v>150</v>
      </c>
      <c r="F890" s="5" t="str">
        <f>IF(C890=0,"Broadcast",IF(D890="",IF(E890="","",IF(E890&lt;128,"Verbind "&amp;E890,INDEX(KdoCodeTab,MATCH(E890,KdoWertTab,0)))),"StatusAbfr "&amp;D890))</f>
        <v>SpaceWdh</v>
      </c>
      <c r="G890" t="str">
        <f t="shared" si="95"/>
        <v>SpaceWdh</v>
      </c>
      <c r="H890" t="str">
        <f t="shared" si="96"/>
        <v/>
      </c>
      <c r="I890" t="str">
        <f t="shared" si="97"/>
        <v/>
      </c>
    </row>
    <row r="891" spans="1:9" x14ac:dyDescent="0.25">
      <c r="A891" t="s">
        <v>482</v>
      </c>
      <c r="B891" s="6">
        <f t="shared" si="98"/>
        <v>2.0739999999999998</v>
      </c>
      <c r="C891" s="3">
        <f t="shared" si="99"/>
        <v>101</v>
      </c>
      <c r="D891" s="3" t="str">
        <f t="shared" ref="D891:D954" si="100">IF(MID(A891,10,1)="&lt;",MID(A891,12,2),"")</f>
        <v/>
      </c>
      <c r="E891" s="3">
        <f t="shared" ref="E891:E954" si="101">IF(MID(A891,10,1)="&gt;",HEX2DEC(MID(A891,12,2)),"")</f>
        <v>156</v>
      </c>
      <c r="F891" s="5" t="str">
        <f>IF(C891=0,"Broadcast",IF(D891="",IF(E891="","",IF(E891&lt;128,"Verbind "&amp;E891,INDEX(KdoCodeTab,MATCH(E891,KdoWertTab,0)))),"StatusAbfr "&amp;D891))</f>
        <v>Mark</v>
      </c>
      <c r="G891" t="str">
        <f t="shared" ref="G891:G954" si="102">IF(C891=$G$2,F891,"")</f>
        <v>Mark</v>
      </c>
      <c r="H891" t="str">
        <f t="shared" ref="H891:H954" si="103">IF(C891=$H$2,F891,"")</f>
        <v/>
      </c>
      <c r="I891" t="str">
        <f t="shared" ref="I891:I954" si="104">IF(G891&amp;H891="",F891,"")</f>
        <v/>
      </c>
    </row>
    <row r="892" spans="1:9" x14ac:dyDescent="0.25">
      <c r="A892" t="s">
        <v>483</v>
      </c>
      <c r="B892" s="6">
        <f t="shared" si="98"/>
        <v>2.0750000000000002</v>
      </c>
      <c r="C892" s="3">
        <f t="shared" si="99"/>
        <v>101</v>
      </c>
      <c r="D892" s="3" t="str">
        <f t="shared" si="100"/>
        <v/>
      </c>
      <c r="E892" s="3">
        <f t="shared" si="101"/>
        <v>154</v>
      </c>
      <c r="F892" s="5" t="str">
        <f>IF(C892=0,"Broadcast",IF(D892="",IF(E892="","",IF(E892&lt;128,"Verbind "&amp;E892,INDEX(KdoCodeTab,MATCH(E892,KdoWertTab,0)))),"StatusAbfr "&amp;D892))</f>
        <v>MarkWdh</v>
      </c>
      <c r="G892" t="str">
        <f t="shared" si="102"/>
        <v>MarkWdh</v>
      </c>
      <c r="H892" t="str">
        <f t="shared" si="103"/>
        <v/>
      </c>
      <c r="I892" t="str">
        <f t="shared" si="104"/>
        <v/>
      </c>
    </row>
    <row r="893" spans="1:9" x14ac:dyDescent="0.25">
      <c r="A893" t="s">
        <v>484</v>
      </c>
      <c r="B893" s="6">
        <f t="shared" si="98"/>
        <v>2.1508333333333334</v>
      </c>
      <c r="C893" s="3">
        <f t="shared" si="99"/>
        <v>101</v>
      </c>
      <c r="D893" s="3" t="str">
        <f t="shared" si="100"/>
        <v/>
      </c>
      <c r="E893" s="3">
        <f t="shared" si="101"/>
        <v>147</v>
      </c>
      <c r="F893" s="5" t="str">
        <f>IF(C893=0,"Broadcast",IF(D893="",IF(E893="","",IF(E893&lt;128,"Verbind "&amp;E893,INDEX(KdoCodeTab,MATCH(E893,KdoWertTab,0)))),"StatusAbfr "&amp;D893))</f>
        <v>Space</v>
      </c>
      <c r="G893" t="str">
        <f t="shared" si="102"/>
        <v>Space</v>
      </c>
      <c r="H893" t="str">
        <f t="shared" si="103"/>
        <v/>
      </c>
      <c r="I893" t="str">
        <f t="shared" si="104"/>
        <v/>
      </c>
    </row>
    <row r="894" spans="1:9" x14ac:dyDescent="0.25">
      <c r="A894" t="s">
        <v>485</v>
      </c>
      <c r="B894" s="6">
        <f t="shared" si="98"/>
        <v>2.1516666666666664</v>
      </c>
      <c r="C894" s="3">
        <f t="shared" si="99"/>
        <v>101</v>
      </c>
      <c r="D894" s="3" t="str">
        <f t="shared" si="100"/>
        <v/>
      </c>
      <c r="E894" s="3">
        <f t="shared" si="101"/>
        <v>150</v>
      </c>
      <c r="F894" s="5" t="str">
        <f>IF(C894=0,"Broadcast",IF(D894="",IF(E894="","",IF(E894&lt;128,"Verbind "&amp;E894,INDEX(KdoCodeTab,MATCH(E894,KdoWertTab,0)))),"StatusAbfr "&amp;D894))</f>
        <v>SpaceWdh</v>
      </c>
      <c r="G894" t="str">
        <f t="shared" si="102"/>
        <v>SpaceWdh</v>
      </c>
      <c r="H894" t="str">
        <f t="shared" si="103"/>
        <v/>
      </c>
      <c r="I894" t="str">
        <f t="shared" si="104"/>
        <v/>
      </c>
    </row>
    <row r="895" spans="1:9" x14ac:dyDescent="0.25">
      <c r="A895" t="s">
        <v>486</v>
      </c>
      <c r="B895" s="6">
        <f t="shared" si="98"/>
        <v>2.1911666666666667</v>
      </c>
      <c r="C895" s="3">
        <f t="shared" si="99"/>
        <v>101</v>
      </c>
      <c r="D895" s="3" t="str">
        <f t="shared" si="100"/>
        <v/>
      </c>
      <c r="E895" s="3">
        <f t="shared" si="101"/>
        <v>156</v>
      </c>
      <c r="F895" s="5" t="str">
        <f>IF(C895=0,"Broadcast",IF(D895="",IF(E895="","",IF(E895&lt;128,"Verbind "&amp;E895,INDEX(KdoCodeTab,MATCH(E895,KdoWertTab,0)))),"StatusAbfr "&amp;D895))</f>
        <v>Mark</v>
      </c>
      <c r="G895" t="str">
        <f t="shared" si="102"/>
        <v>Mark</v>
      </c>
      <c r="H895" t="str">
        <f t="shared" si="103"/>
        <v/>
      </c>
      <c r="I895" t="str">
        <f t="shared" si="104"/>
        <v/>
      </c>
    </row>
    <row r="896" spans="1:9" x14ac:dyDescent="0.25">
      <c r="A896" t="s">
        <v>487</v>
      </c>
      <c r="B896" s="6">
        <f t="shared" si="98"/>
        <v>2.1920000000000002</v>
      </c>
      <c r="C896" s="3">
        <f t="shared" si="99"/>
        <v>101</v>
      </c>
      <c r="D896" s="3" t="str">
        <f t="shared" si="100"/>
        <v/>
      </c>
      <c r="E896" s="3">
        <f t="shared" si="101"/>
        <v>154</v>
      </c>
      <c r="F896" s="5" t="str">
        <f>IF(C896=0,"Broadcast",IF(D896="",IF(E896="","",IF(E896&lt;128,"Verbind "&amp;E896,INDEX(KdoCodeTab,MATCH(E896,KdoWertTab,0)))),"StatusAbfr "&amp;D896))</f>
        <v>MarkWdh</v>
      </c>
      <c r="G896" t="str">
        <f t="shared" si="102"/>
        <v>MarkWdh</v>
      </c>
      <c r="H896" t="str">
        <f t="shared" si="103"/>
        <v/>
      </c>
      <c r="I896" t="str">
        <f t="shared" si="104"/>
        <v/>
      </c>
    </row>
    <row r="897" spans="1:9" x14ac:dyDescent="0.25">
      <c r="A897" t="s">
        <v>488</v>
      </c>
      <c r="B897" s="6">
        <f t="shared" si="98"/>
        <v>2.2305000000000001</v>
      </c>
      <c r="C897" s="3">
        <f t="shared" si="99"/>
        <v>101</v>
      </c>
      <c r="D897" s="3" t="str">
        <f t="shared" si="100"/>
        <v/>
      </c>
      <c r="E897" s="3">
        <f t="shared" si="101"/>
        <v>147</v>
      </c>
      <c r="F897" s="5" t="str">
        <f>IF(C897=0,"Broadcast",IF(D897="",IF(E897="","",IF(E897&lt;128,"Verbind "&amp;E897,INDEX(KdoCodeTab,MATCH(E897,KdoWertTab,0)))),"StatusAbfr "&amp;D897))</f>
        <v>Space</v>
      </c>
      <c r="G897" t="str">
        <f t="shared" si="102"/>
        <v>Space</v>
      </c>
      <c r="H897" t="str">
        <f t="shared" si="103"/>
        <v/>
      </c>
      <c r="I897" t="str">
        <f t="shared" si="104"/>
        <v/>
      </c>
    </row>
    <row r="898" spans="1:9" x14ac:dyDescent="0.25">
      <c r="A898" t="s">
        <v>489</v>
      </c>
      <c r="B898" s="6">
        <f t="shared" si="98"/>
        <v>2.2315</v>
      </c>
      <c r="C898" s="3">
        <f t="shared" si="99"/>
        <v>101</v>
      </c>
      <c r="D898" s="3" t="str">
        <f t="shared" si="100"/>
        <v/>
      </c>
      <c r="E898" s="3">
        <f t="shared" si="101"/>
        <v>150</v>
      </c>
      <c r="F898" s="5" t="str">
        <f>IF(C898=0,"Broadcast",IF(D898="",IF(E898="","",IF(E898&lt;128,"Verbind "&amp;E898,INDEX(KdoCodeTab,MATCH(E898,KdoWertTab,0)))),"StatusAbfr "&amp;D898))</f>
        <v>SpaceWdh</v>
      </c>
      <c r="G898" t="str">
        <f t="shared" si="102"/>
        <v>SpaceWdh</v>
      </c>
      <c r="H898" t="str">
        <f t="shared" si="103"/>
        <v/>
      </c>
      <c r="I898" t="str">
        <f t="shared" si="104"/>
        <v/>
      </c>
    </row>
    <row r="899" spans="1:9" x14ac:dyDescent="0.25">
      <c r="A899" t="s">
        <v>490</v>
      </c>
      <c r="B899" s="6">
        <f t="shared" si="98"/>
        <v>2.2709999999999999</v>
      </c>
      <c r="C899" s="3">
        <f t="shared" si="99"/>
        <v>101</v>
      </c>
      <c r="D899" s="3" t="str">
        <f t="shared" si="100"/>
        <v/>
      </c>
      <c r="E899" s="3">
        <f t="shared" si="101"/>
        <v>156</v>
      </c>
      <c r="F899" s="5" t="str">
        <f>IF(C899=0,"Broadcast",IF(D899="",IF(E899="","",IF(E899&lt;128,"Verbind "&amp;E899,INDEX(KdoCodeTab,MATCH(E899,KdoWertTab,0)))),"StatusAbfr "&amp;D899))</f>
        <v>Mark</v>
      </c>
      <c r="G899" t="str">
        <f t="shared" si="102"/>
        <v>Mark</v>
      </c>
      <c r="H899" t="str">
        <f t="shared" si="103"/>
        <v/>
      </c>
      <c r="I899" t="str">
        <f t="shared" si="104"/>
        <v/>
      </c>
    </row>
    <row r="900" spans="1:9" x14ac:dyDescent="0.25">
      <c r="A900" t="s">
        <v>491</v>
      </c>
      <c r="B900" s="6">
        <f t="shared" si="98"/>
        <v>2.2719999999999998</v>
      </c>
      <c r="C900" s="3">
        <f t="shared" si="99"/>
        <v>101</v>
      </c>
      <c r="D900" s="3" t="str">
        <f t="shared" si="100"/>
        <v/>
      </c>
      <c r="E900" s="3">
        <f t="shared" si="101"/>
        <v>154</v>
      </c>
      <c r="F900" s="5" t="str">
        <f>IF(C900=0,"Broadcast",IF(D900="",IF(E900="","",IF(E900&lt;128,"Verbind "&amp;E900,INDEX(KdoCodeTab,MATCH(E900,KdoWertTab,0)))),"StatusAbfr "&amp;D900))</f>
        <v>MarkWdh</v>
      </c>
      <c r="G900" t="str">
        <f t="shared" si="102"/>
        <v>MarkWdh</v>
      </c>
      <c r="H900" t="str">
        <f t="shared" si="103"/>
        <v/>
      </c>
      <c r="I900" t="str">
        <f t="shared" si="104"/>
        <v/>
      </c>
    </row>
    <row r="901" spans="1:9" x14ac:dyDescent="0.25">
      <c r="A901" t="s">
        <v>492</v>
      </c>
      <c r="B901" s="6">
        <f t="shared" ref="B901:B964" si="105">MID(A901,1,5)/1000+(CODE(MID(A901,6,1))-CODE("a"))/6000</f>
        <v>2.3385000000000002</v>
      </c>
      <c r="C901" s="3">
        <f t="shared" ref="C901:C964" si="106">INT(HEX2DEC(MID(A901,8,2))/2)</f>
        <v>31</v>
      </c>
      <c r="D901" s="3" t="str">
        <f t="shared" si="100"/>
        <v/>
      </c>
      <c r="E901" s="3">
        <f t="shared" si="101"/>
        <v>154</v>
      </c>
      <c r="F901" s="5" t="str">
        <f>IF(C901=0,"Broadcast",IF(D901="",IF(E901="","",IF(E901&lt;128,"Verbind "&amp;E901,INDEX(KdoCodeTab,MATCH(E901,KdoWertTab,0)))),"StatusAbfr "&amp;D901))</f>
        <v>MarkWdh</v>
      </c>
      <c r="G901" t="str">
        <f t="shared" si="102"/>
        <v/>
      </c>
      <c r="H901" t="str">
        <f t="shared" si="103"/>
        <v>MarkWdh</v>
      </c>
      <c r="I901" t="str">
        <f t="shared" si="104"/>
        <v/>
      </c>
    </row>
    <row r="902" spans="1:9" x14ac:dyDescent="0.25">
      <c r="A902" t="s">
        <v>493</v>
      </c>
      <c r="B902" s="6">
        <f t="shared" si="105"/>
        <v>2.3881666666666668</v>
      </c>
      <c r="C902" s="3">
        <f t="shared" si="106"/>
        <v>101</v>
      </c>
      <c r="D902" s="3" t="str">
        <f t="shared" si="100"/>
        <v/>
      </c>
      <c r="E902" s="3">
        <f t="shared" si="101"/>
        <v>147</v>
      </c>
      <c r="F902" s="5" t="str">
        <f>IF(C902=0,"Broadcast",IF(D902="",IF(E902="","",IF(E902&lt;128,"Verbind "&amp;E902,INDEX(KdoCodeTab,MATCH(E902,KdoWertTab,0)))),"StatusAbfr "&amp;D902))</f>
        <v>Space</v>
      </c>
      <c r="G902" t="str">
        <f t="shared" si="102"/>
        <v>Space</v>
      </c>
      <c r="H902" t="str">
        <f t="shared" si="103"/>
        <v/>
      </c>
      <c r="I902" t="str">
        <f t="shared" si="104"/>
        <v/>
      </c>
    </row>
    <row r="903" spans="1:9" x14ac:dyDescent="0.25">
      <c r="A903" t="s">
        <v>494</v>
      </c>
      <c r="B903" s="6">
        <f t="shared" si="105"/>
        <v>2.3889999999999998</v>
      </c>
      <c r="C903" s="3">
        <f t="shared" si="106"/>
        <v>101</v>
      </c>
      <c r="D903" s="3" t="str">
        <f t="shared" si="100"/>
        <v/>
      </c>
      <c r="E903" s="3">
        <f t="shared" si="101"/>
        <v>150</v>
      </c>
      <c r="F903" s="5" t="str">
        <f>IF(C903=0,"Broadcast",IF(D903="",IF(E903="","",IF(E903&lt;128,"Verbind "&amp;E903,INDEX(KdoCodeTab,MATCH(E903,KdoWertTab,0)))),"StatusAbfr "&amp;D903))</f>
        <v>SpaceWdh</v>
      </c>
      <c r="G903" t="str">
        <f t="shared" si="102"/>
        <v>SpaceWdh</v>
      </c>
      <c r="H903" t="str">
        <f t="shared" si="103"/>
        <v/>
      </c>
      <c r="I903" t="str">
        <f t="shared" si="104"/>
        <v/>
      </c>
    </row>
    <row r="904" spans="1:9" x14ac:dyDescent="0.25">
      <c r="A904" t="s">
        <v>495</v>
      </c>
      <c r="B904" s="6">
        <f t="shared" si="105"/>
        <v>2.4488333333333334</v>
      </c>
      <c r="C904" s="3">
        <f t="shared" si="106"/>
        <v>101</v>
      </c>
      <c r="D904" s="3" t="str">
        <f t="shared" si="100"/>
        <v/>
      </c>
      <c r="E904" s="3">
        <f t="shared" si="101"/>
        <v>156</v>
      </c>
      <c r="F904" s="5" t="str">
        <f>IF(C904=0,"Broadcast",IF(D904="",IF(E904="","",IF(E904&lt;128,"Verbind "&amp;E904,INDEX(KdoCodeTab,MATCH(E904,KdoWertTab,0)))),"StatusAbfr "&amp;D904))</f>
        <v>Mark</v>
      </c>
      <c r="G904" t="str">
        <f t="shared" si="102"/>
        <v>Mark</v>
      </c>
      <c r="H904" t="str">
        <f t="shared" si="103"/>
        <v/>
      </c>
      <c r="I904" t="str">
        <f t="shared" si="104"/>
        <v/>
      </c>
    </row>
    <row r="905" spans="1:9" x14ac:dyDescent="0.25">
      <c r="A905" t="s">
        <v>496</v>
      </c>
      <c r="B905" s="6">
        <f t="shared" si="105"/>
        <v>2.4496666666666664</v>
      </c>
      <c r="C905" s="3">
        <f t="shared" si="106"/>
        <v>101</v>
      </c>
      <c r="D905" s="3" t="str">
        <f t="shared" si="100"/>
        <v/>
      </c>
      <c r="E905" s="3">
        <f t="shared" si="101"/>
        <v>154</v>
      </c>
      <c r="F905" s="5" t="str">
        <f>IF(C905=0,"Broadcast",IF(D905="",IF(E905="","",IF(E905&lt;128,"Verbind "&amp;E905,INDEX(KdoCodeTab,MATCH(E905,KdoWertTab,0)))),"StatusAbfr "&amp;D905))</f>
        <v>MarkWdh</v>
      </c>
      <c r="G905" t="str">
        <f t="shared" si="102"/>
        <v>MarkWdh</v>
      </c>
      <c r="H905" t="str">
        <f t="shared" si="103"/>
        <v/>
      </c>
      <c r="I905" t="str">
        <f t="shared" si="104"/>
        <v/>
      </c>
    </row>
    <row r="906" spans="1:9" x14ac:dyDescent="0.25">
      <c r="A906" t="s">
        <v>497</v>
      </c>
      <c r="B906" s="6">
        <f t="shared" si="105"/>
        <v>2.4729999999999999</v>
      </c>
      <c r="C906" s="3">
        <f t="shared" si="106"/>
        <v>101</v>
      </c>
      <c r="D906" s="3" t="str">
        <f t="shared" si="100"/>
        <v/>
      </c>
      <c r="E906" s="3">
        <f t="shared" si="101"/>
        <v>169</v>
      </c>
      <c r="F906" s="5" t="str">
        <f>IF(C906=0,"Broadcast",IF(D906="",IF(E906="","",IF(E906&lt;128,"Verbind "&amp;E906,INDEX(KdoCodeTab,MATCH(E906,KdoWertTab,0)))),"StatusAbfr "&amp;D906))</f>
        <v>BusLebenszeichen</v>
      </c>
      <c r="G906" t="str">
        <f t="shared" si="102"/>
        <v>BusLebenszeichen</v>
      </c>
      <c r="H906" t="str">
        <f t="shared" si="103"/>
        <v/>
      </c>
      <c r="I906" t="str">
        <f t="shared" si="104"/>
        <v/>
      </c>
    </row>
    <row r="907" spans="1:9" x14ac:dyDescent="0.25">
      <c r="A907" t="s">
        <v>498</v>
      </c>
      <c r="B907" s="6">
        <f t="shared" si="105"/>
        <v>2.4883333333333333</v>
      </c>
      <c r="C907" s="3">
        <f t="shared" si="106"/>
        <v>101</v>
      </c>
      <c r="D907" s="3" t="str">
        <f t="shared" si="100"/>
        <v/>
      </c>
      <c r="E907" s="3">
        <f t="shared" si="101"/>
        <v>147</v>
      </c>
      <c r="F907" s="5" t="str">
        <f>IF(C907=0,"Broadcast",IF(D907="",IF(E907="","",IF(E907&lt;128,"Verbind "&amp;E907,INDEX(KdoCodeTab,MATCH(E907,KdoWertTab,0)))),"StatusAbfr "&amp;D907))</f>
        <v>Space</v>
      </c>
      <c r="G907" t="str">
        <f t="shared" si="102"/>
        <v>Space</v>
      </c>
      <c r="H907" t="str">
        <f t="shared" si="103"/>
        <v/>
      </c>
      <c r="I907" t="str">
        <f t="shared" si="104"/>
        <v/>
      </c>
    </row>
    <row r="908" spans="1:9" x14ac:dyDescent="0.25">
      <c r="A908" t="s">
        <v>499</v>
      </c>
      <c r="B908" s="6">
        <f t="shared" si="105"/>
        <v>2.4891666666666667</v>
      </c>
      <c r="C908" s="3">
        <f t="shared" si="106"/>
        <v>101</v>
      </c>
      <c r="D908" s="3" t="str">
        <f t="shared" si="100"/>
        <v/>
      </c>
      <c r="E908" s="3">
        <f t="shared" si="101"/>
        <v>150</v>
      </c>
      <c r="F908" s="5" t="str">
        <f>IF(C908=0,"Broadcast",IF(D908="",IF(E908="","",IF(E908&lt;128,"Verbind "&amp;E908,INDEX(KdoCodeTab,MATCH(E908,KdoWertTab,0)))),"StatusAbfr "&amp;D908))</f>
        <v>SpaceWdh</v>
      </c>
      <c r="G908" t="str">
        <f t="shared" si="102"/>
        <v>SpaceWdh</v>
      </c>
      <c r="H908" t="str">
        <f t="shared" si="103"/>
        <v/>
      </c>
      <c r="I908" t="str">
        <f t="shared" si="104"/>
        <v/>
      </c>
    </row>
    <row r="909" spans="1:9" x14ac:dyDescent="0.25">
      <c r="A909" t="s">
        <v>500</v>
      </c>
      <c r="B909" s="6">
        <f t="shared" si="105"/>
        <v>2.5085000000000002</v>
      </c>
      <c r="C909" s="3">
        <f t="shared" si="106"/>
        <v>101</v>
      </c>
      <c r="D909" s="3" t="str">
        <f t="shared" si="100"/>
        <v/>
      </c>
      <c r="E909" s="3">
        <f t="shared" si="101"/>
        <v>156</v>
      </c>
      <c r="F909" s="5" t="str">
        <f>IF(C909=0,"Broadcast",IF(D909="",IF(E909="","",IF(E909&lt;128,"Verbind "&amp;E909,INDEX(KdoCodeTab,MATCH(E909,KdoWertTab,0)))),"StatusAbfr "&amp;D909))</f>
        <v>Mark</v>
      </c>
      <c r="G909" t="str">
        <f t="shared" si="102"/>
        <v>Mark</v>
      </c>
      <c r="H909" t="str">
        <f t="shared" si="103"/>
        <v/>
      </c>
      <c r="I909" t="str">
        <f t="shared" si="104"/>
        <v/>
      </c>
    </row>
    <row r="910" spans="1:9" x14ac:dyDescent="0.25">
      <c r="A910" t="s">
        <v>501</v>
      </c>
      <c r="B910" s="6">
        <f t="shared" si="105"/>
        <v>2.5093333333333332</v>
      </c>
      <c r="C910" s="3">
        <f t="shared" si="106"/>
        <v>101</v>
      </c>
      <c r="D910" s="3" t="str">
        <f t="shared" si="100"/>
        <v/>
      </c>
      <c r="E910" s="3">
        <f t="shared" si="101"/>
        <v>154</v>
      </c>
      <c r="F910" s="5" t="str">
        <f>IF(C910=0,"Broadcast",IF(D910="",IF(E910="","",IF(E910&lt;128,"Verbind "&amp;E910,INDEX(KdoCodeTab,MATCH(E910,KdoWertTab,0)))),"StatusAbfr "&amp;D910))</f>
        <v>MarkWdh</v>
      </c>
      <c r="G910" t="str">
        <f t="shared" si="102"/>
        <v>MarkWdh</v>
      </c>
      <c r="H910" t="str">
        <f t="shared" si="103"/>
        <v/>
      </c>
      <c r="I910" t="str">
        <f t="shared" si="104"/>
        <v/>
      </c>
    </row>
    <row r="911" spans="1:9" x14ac:dyDescent="0.25">
      <c r="A911" t="s">
        <v>502</v>
      </c>
      <c r="B911" s="6">
        <f t="shared" si="105"/>
        <v>2.5438333333333336</v>
      </c>
      <c r="C911" s="3">
        <f t="shared" si="106"/>
        <v>101</v>
      </c>
      <c r="D911" s="3" t="str">
        <f t="shared" si="100"/>
        <v/>
      </c>
      <c r="E911" s="3">
        <f t="shared" si="101"/>
        <v>147</v>
      </c>
      <c r="F911" s="5" t="str">
        <f>IF(C911=0,"Broadcast",IF(D911="",IF(E911="","",IF(E911&lt;128,"Verbind "&amp;E911,INDEX(KdoCodeTab,MATCH(E911,KdoWertTab,0)))),"StatusAbfr "&amp;D911))</f>
        <v>Space</v>
      </c>
      <c r="G911" t="str">
        <f t="shared" si="102"/>
        <v>Space</v>
      </c>
      <c r="H911" t="str">
        <f t="shared" si="103"/>
        <v/>
      </c>
      <c r="I911" t="str">
        <f t="shared" si="104"/>
        <v/>
      </c>
    </row>
    <row r="912" spans="1:9" x14ac:dyDescent="0.25">
      <c r="A912" t="s">
        <v>503</v>
      </c>
      <c r="B912" s="6">
        <f t="shared" si="105"/>
        <v>2.5446666666666666</v>
      </c>
      <c r="C912" s="3">
        <f t="shared" si="106"/>
        <v>101</v>
      </c>
      <c r="D912" s="3" t="str">
        <f t="shared" si="100"/>
        <v/>
      </c>
      <c r="E912" s="3">
        <f t="shared" si="101"/>
        <v>150</v>
      </c>
      <c r="F912" s="5" t="str">
        <f>IF(C912=0,"Broadcast",IF(D912="",IF(E912="","",IF(E912&lt;128,"Verbind "&amp;E912,INDEX(KdoCodeTab,MATCH(E912,KdoWertTab,0)))),"StatusAbfr "&amp;D912))</f>
        <v>SpaceWdh</v>
      </c>
      <c r="G912" t="str">
        <f t="shared" si="102"/>
        <v>SpaceWdh</v>
      </c>
      <c r="H912" t="str">
        <f t="shared" si="103"/>
        <v/>
      </c>
      <c r="I912" t="str">
        <f t="shared" si="104"/>
        <v/>
      </c>
    </row>
    <row r="913" spans="1:9" x14ac:dyDescent="0.25">
      <c r="A913" t="s">
        <v>504</v>
      </c>
      <c r="B913" s="6">
        <f t="shared" si="105"/>
        <v>2.5638333333333336</v>
      </c>
      <c r="C913" s="3">
        <f t="shared" si="106"/>
        <v>101</v>
      </c>
      <c r="D913" s="3" t="str">
        <f t="shared" si="100"/>
        <v/>
      </c>
      <c r="E913" s="3">
        <f t="shared" si="101"/>
        <v>156</v>
      </c>
      <c r="F913" s="5" t="str">
        <f>IF(C913=0,"Broadcast",IF(D913="",IF(E913="","",IF(E913&lt;128,"Verbind "&amp;E913,INDEX(KdoCodeTab,MATCH(E913,KdoWertTab,0)))),"StatusAbfr "&amp;D913))</f>
        <v>Mark</v>
      </c>
      <c r="G913" t="str">
        <f t="shared" si="102"/>
        <v>Mark</v>
      </c>
      <c r="H913" t="str">
        <f t="shared" si="103"/>
        <v/>
      </c>
      <c r="I913" t="str">
        <f t="shared" si="104"/>
        <v/>
      </c>
    </row>
    <row r="914" spans="1:9" x14ac:dyDescent="0.25">
      <c r="A914" t="s">
        <v>505</v>
      </c>
      <c r="B914" s="6">
        <f t="shared" si="105"/>
        <v>2.5648333333333335</v>
      </c>
      <c r="C914" s="3">
        <f t="shared" si="106"/>
        <v>101</v>
      </c>
      <c r="D914" s="3" t="str">
        <f t="shared" si="100"/>
        <v/>
      </c>
      <c r="E914" s="3">
        <f t="shared" si="101"/>
        <v>154</v>
      </c>
      <c r="F914" s="5" t="str">
        <f>IF(C914=0,"Broadcast",IF(D914="",IF(E914="","",IF(E914&lt;128,"Verbind "&amp;E914,INDEX(KdoCodeTab,MATCH(E914,KdoWertTab,0)))),"StatusAbfr "&amp;D914))</f>
        <v>MarkWdh</v>
      </c>
      <c r="G914" t="str">
        <f t="shared" si="102"/>
        <v>MarkWdh</v>
      </c>
      <c r="H914" t="str">
        <f t="shared" si="103"/>
        <v/>
      </c>
      <c r="I914" t="str">
        <f t="shared" si="104"/>
        <v/>
      </c>
    </row>
    <row r="915" spans="1:9" x14ac:dyDescent="0.25">
      <c r="A915" t="s">
        <v>506</v>
      </c>
      <c r="B915" s="6">
        <f t="shared" si="105"/>
        <v>2.5841666666666669</v>
      </c>
      <c r="C915" s="3">
        <f t="shared" si="106"/>
        <v>101</v>
      </c>
      <c r="D915" s="3" t="str">
        <f t="shared" si="100"/>
        <v/>
      </c>
      <c r="E915" s="3">
        <f t="shared" si="101"/>
        <v>147</v>
      </c>
      <c r="F915" s="5" t="str">
        <f>IF(C915=0,"Broadcast",IF(D915="",IF(E915="","",IF(E915&lt;128,"Verbind "&amp;E915,INDEX(KdoCodeTab,MATCH(E915,KdoWertTab,0)))),"StatusAbfr "&amp;D915))</f>
        <v>Space</v>
      </c>
      <c r="G915" t="str">
        <f t="shared" si="102"/>
        <v>Space</v>
      </c>
      <c r="H915" t="str">
        <f t="shared" si="103"/>
        <v/>
      </c>
      <c r="I915" t="str">
        <f t="shared" si="104"/>
        <v/>
      </c>
    </row>
    <row r="916" spans="1:9" x14ac:dyDescent="0.25">
      <c r="A916" t="s">
        <v>507</v>
      </c>
      <c r="B916" s="6">
        <f t="shared" si="105"/>
        <v>2.5851666666666668</v>
      </c>
      <c r="C916" s="3">
        <f t="shared" si="106"/>
        <v>101</v>
      </c>
      <c r="D916" s="3" t="str">
        <f t="shared" si="100"/>
        <v/>
      </c>
      <c r="E916" s="3">
        <f t="shared" si="101"/>
        <v>150</v>
      </c>
      <c r="F916" s="5" t="str">
        <f>IF(C916=0,"Broadcast",IF(D916="",IF(E916="","",IF(E916&lt;128,"Verbind "&amp;E916,INDEX(KdoCodeTab,MATCH(E916,KdoWertTab,0)))),"StatusAbfr "&amp;D916))</f>
        <v>SpaceWdh</v>
      </c>
      <c r="G916" t="str">
        <f t="shared" si="102"/>
        <v>SpaceWdh</v>
      </c>
      <c r="H916" t="str">
        <f t="shared" si="103"/>
        <v/>
      </c>
      <c r="I916" t="str">
        <f t="shared" si="104"/>
        <v/>
      </c>
    </row>
    <row r="917" spans="1:9" x14ac:dyDescent="0.25">
      <c r="A917" t="s">
        <v>508</v>
      </c>
      <c r="B917" s="6">
        <f t="shared" si="105"/>
        <v>2.6640000000000001</v>
      </c>
      <c r="C917" s="3">
        <f t="shared" si="106"/>
        <v>101</v>
      </c>
      <c r="D917" s="3" t="str">
        <f t="shared" si="100"/>
        <v/>
      </c>
      <c r="E917" s="3">
        <f t="shared" si="101"/>
        <v>156</v>
      </c>
      <c r="F917" s="5" t="str">
        <f>IF(C917=0,"Broadcast",IF(D917="",IF(E917="","",IF(E917&lt;128,"Verbind "&amp;E917,INDEX(KdoCodeTab,MATCH(E917,KdoWertTab,0)))),"StatusAbfr "&amp;D917))</f>
        <v>Mark</v>
      </c>
      <c r="G917" t="str">
        <f t="shared" si="102"/>
        <v>Mark</v>
      </c>
      <c r="H917" t="str">
        <f t="shared" si="103"/>
        <v/>
      </c>
      <c r="I917" t="str">
        <f t="shared" si="104"/>
        <v/>
      </c>
    </row>
    <row r="918" spans="1:9" x14ac:dyDescent="0.25">
      <c r="A918" t="s">
        <v>509</v>
      </c>
      <c r="B918" s="6">
        <f t="shared" si="105"/>
        <v>2.665</v>
      </c>
      <c r="C918" s="3">
        <f t="shared" si="106"/>
        <v>101</v>
      </c>
      <c r="D918" s="3" t="str">
        <f t="shared" si="100"/>
        <v/>
      </c>
      <c r="E918" s="3">
        <f t="shared" si="101"/>
        <v>154</v>
      </c>
      <c r="F918" s="5" t="str">
        <f>IF(C918=0,"Broadcast",IF(D918="",IF(E918="","",IF(E918&lt;128,"Verbind "&amp;E918,INDEX(KdoCodeTab,MATCH(E918,KdoWertTab,0)))),"StatusAbfr "&amp;D918))</f>
        <v>MarkWdh</v>
      </c>
      <c r="G918" t="str">
        <f t="shared" si="102"/>
        <v>MarkWdh</v>
      </c>
      <c r="H918" t="str">
        <f t="shared" si="103"/>
        <v/>
      </c>
      <c r="I918" t="str">
        <f t="shared" si="104"/>
        <v/>
      </c>
    </row>
    <row r="919" spans="1:9" x14ac:dyDescent="0.25">
      <c r="A919" t="s">
        <v>510</v>
      </c>
      <c r="B919" s="6">
        <f t="shared" si="105"/>
        <v>2.6943333333333332</v>
      </c>
      <c r="C919" s="3">
        <f t="shared" si="106"/>
        <v>101</v>
      </c>
      <c r="D919" s="3" t="str">
        <f t="shared" si="100"/>
        <v/>
      </c>
      <c r="E919" s="3">
        <f t="shared" si="101"/>
        <v>147</v>
      </c>
      <c r="F919" s="5" t="str">
        <f>IF(C919=0,"Broadcast",IF(D919="",IF(E919="","",IF(E919&lt;128,"Verbind "&amp;E919,INDEX(KdoCodeTab,MATCH(E919,KdoWertTab,0)))),"StatusAbfr "&amp;D919))</f>
        <v>Space</v>
      </c>
      <c r="G919" t="str">
        <f t="shared" si="102"/>
        <v>Space</v>
      </c>
      <c r="H919" t="str">
        <f t="shared" si="103"/>
        <v/>
      </c>
      <c r="I919" t="str">
        <f t="shared" si="104"/>
        <v/>
      </c>
    </row>
    <row r="920" spans="1:9" x14ac:dyDescent="0.25">
      <c r="A920" t="s">
        <v>511</v>
      </c>
      <c r="B920" s="6">
        <f t="shared" si="105"/>
        <v>2.6951666666666667</v>
      </c>
      <c r="C920" s="3">
        <f t="shared" si="106"/>
        <v>101</v>
      </c>
      <c r="D920" s="3" t="str">
        <f t="shared" si="100"/>
        <v/>
      </c>
      <c r="E920" s="3">
        <f t="shared" si="101"/>
        <v>150</v>
      </c>
      <c r="F920" s="5" t="str">
        <f>IF(C920=0,"Broadcast",IF(D920="",IF(E920="","",IF(E920&lt;128,"Verbind "&amp;E920,INDEX(KdoCodeTab,MATCH(E920,KdoWertTab,0)))),"StatusAbfr "&amp;D920))</f>
        <v>SpaceWdh</v>
      </c>
      <c r="G920" t="str">
        <f t="shared" si="102"/>
        <v>SpaceWdh</v>
      </c>
      <c r="H920" t="str">
        <f t="shared" si="103"/>
        <v/>
      </c>
      <c r="I920" t="str">
        <f t="shared" si="104"/>
        <v/>
      </c>
    </row>
    <row r="921" spans="1:9" x14ac:dyDescent="0.25">
      <c r="A921" t="s">
        <v>512</v>
      </c>
      <c r="B921" s="6">
        <f t="shared" si="105"/>
        <v>2.7549999999999999</v>
      </c>
      <c r="C921" s="3">
        <f t="shared" si="106"/>
        <v>101</v>
      </c>
      <c r="D921" s="3" t="str">
        <f t="shared" si="100"/>
        <v/>
      </c>
      <c r="E921" s="3">
        <f t="shared" si="101"/>
        <v>156</v>
      </c>
      <c r="F921" s="5" t="str">
        <f>IF(C921=0,"Broadcast",IF(D921="",IF(E921="","",IF(E921&lt;128,"Verbind "&amp;E921,INDEX(KdoCodeTab,MATCH(E921,KdoWertTab,0)))),"StatusAbfr "&amp;D921))</f>
        <v>Mark</v>
      </c>
      <c r="G921" t="str">
        <f t="shared" si="102"/>
        <v>Mark</v>
      </c>
      <c r="H921" t="str">
        <f t="shared" si="103"/>
        <v/>
      </c>
      <c r="I921" t="str">
        <f t="shared" si="104"/>
        <v/>
      </c>
    </row>
    <row r="922" spans="1:9" x14ac:dyDescent="0.25">
      <c r="A922" t="s">
        <v>513</v>
      </c>
      <c r="B922" s="6">
        <f t="shared" si="105"/>
        <v>2.7558333333333334</v>
      </c>
      <c r="C922" s="3">
        <f t="shared" si="106"/>
        <v>101</v>
      </c>
      <c r="D922" s="3" t="str">
        <f t="shared" si="100"/>
        <v/>
      </c>
      <c r="E922" s="3">
        <f t="shared" si="101"/>
        <v>154</v>
      </c>
      <c r="F922" s="5" t="str">
        <f>IF(C922=0,"Broadcast",IF(D922="",IF(E922="","",IF(E922&lt;128,"Verbind "&amp;E922,INDEX(KdoCodeTab,MATCH(E922,KdoWertTab,0)))),"StatusAbfr "&amp;D922))</f>
        <v>MarkWdh</v>
      </c>
      <c r="G922" t="str">
        <f t="shared" si="102"/>
        <v>MarkWdh</v>
      </c>
      <c r="H922" t="str">
        <f t="shared" si="103"/>
        <v/>
      </c>
      <c r="I922" t="str">
        <f t="shared" si="104"/>
        <v/>
      </c>
    </row>
    <row r="923" spans="1:9" x14ac:dyDescent="0.25">
      <c r="A923" t="s">
        <v>514</v>
      </c>
      <c r="B923" s="6">
        <f t="shared" si="105"/>
        <v>2.8446666666666665</v>
      </c>
      <c r="C923" s="3">
        <f t="shared" si="106"/>
        <v>31</v>
      </c>
      <c r="D923" s="3" t="str">
        <f t="shared" si="100"/>
        <v/>
      </c>
      <c r="E923" s="3">
        <f t="shared" si="101"/>
        <v>154</v>
      </c>
      <c r="F923" s="5" t="str">
        <f>IF(C923=0,"Broadcast",IF(D923="",IF(E923="","",IF(E923&lt;128,"Verbind "&amp;E923,INDEX(KdoCodeTab,MATCH(E923,KdoWertTab,0)))),"StatusAbfr "&amp;D923))</f>
        <v>MarkWdh</v>
      </c>
      <c r="G923" t="str">
        <f t="shared" si="102"/>
        <v/>
      </c>
      <c r="H923" t="str">
        <f t="shared" si="103"/>
        <v>MarkWdh</v>
      </c>
      <c r="I923" t="str">
        <f t="shared" si="104"/>
        <v/>
      </c>
    </row>
    <row r="924" spans="1:9" x14ac:dyDescent="0.25">
      <c r="A924" t="s">
        <v>515</v>
      </c>
      <c r="B924" s="6">
        <f t="shared" si="105"/>
        <v>2.859</v>
      </c>
      <c r="C924" s="3">
        <f t="shared" si="106"/>
        <v>101</v>
      </c>
      <c r="D924" s="3" t="str">
        <f t="shared" si="100"/>
        <v/>
      </c>
      <c r="E924" s="3">
        <f t="shared" si="101"/>
        <v>147</v>
      </c>
      <c r="F924" s="5" t="str">
        <f>IF(C924=0,"Broadcast",IF(D924="",IF(E924="","",IF(E924&lt;128,"Verbind "&amp;E924,INDEX(KdoCodeTab,MATCH(E924,KdoWertTab,0)))),"StatusAbfr "&amp;D924))</f>
        <v>Space</v>
      </c>
      <c r="G924" t="str">
        <f t="shared" si="102"/>
        <v>Space</v>
      </c>
      <c r="H924" t="str">
        <f t="shared" si="103"/>
        <v/>
      </c>
      <c r="I924" t="str">
        <f t="shared" si="104"/>
        <v/>
      </c>
    </row>
    <row r="925" spans="1:9" x14ac:dyDescent="0.25">
      <c r="A925" t="s">
        <v>516</v>
      </c>
      <c r="B925" s="6">
        <f t="shared" si="105"/>
        <v>2.86</v>
      </c>
      <c r="C925" s="3">
        <f t="shared" si="106"/>
        <v>101</v>
      </c>
      <c r="D925" s="3" t="str">
        <f t="shared" si="100"/>
        <v/>
      </c>
      <c r="E925" s="3">
        <f t="shared" si="101"/>
        <v>150</v>
      </c>
      <c r="F925" s="5" t="str">
        <f>IF(C925=0,"Broadcast",IF(D925="",IF(E925="","",IF(E925&lt;128,"Verbind "&amp;E925,INDEX(KdoCodeTab,MATCH(E925,KdoWertTab,0)))),"StatusAbfr "&amp;D925))</f>
        <v>SpaceWdh</v>
      </c>
      <c r="G925" t="str">
        <f t="shared" si="102"/>
        <v>SpaceWdh</v>
      </c>
      <c r="H925" t="str">
        <f t="shared" si="103"/>
        <v/>
      </c>
      <c r="I925" t="str">
        <f t="shared" si="104"/>
        <v/>
      </c>
    </row>
    <row r="926" spans="1:9" x14ac:dyDescent="0.25">
      <c r="A926" t="s">
        <v>517</v>
      </c>
      <c r="B926" s="6">
        <f t="shared" si="105"/>
        <v>2.9195000000000002</v>
      </c>
      <c r="C926" s="3">
        <f t="shared" si="106"/>
        <v>101</v>
      </c>
      <c r="D926" s="3" t="str">
        <f t="shared" si="100"/>
        <v/>
      </c>
      <c r="E926" s="3">
        <f t="shared" si="101"/>
        <v>156</v>
      </c>
      <c r="F926" s="5" t="str">
        <f>IF(C926=0,"Broadcast",IF(D926="",IF(E926="","",IF(E926&lt;128,"Verbind "&amp;E926,INDEX(KdoCodeTab,MATCH(E926,KdoWertTab,0)))),"StatusAbfr "&amp;D926))</f>
        <v>Mark</v>
      </c>
      <c r="G926" t="str">
        <f t="shared" si="102"/>
        <v>Mark</v>
      </c>
      <c r="H926" t="str">
        <f t="shared" si="103"/>
        <v/>
      </c>
      <c r="I926" t="str">
        <f t="shared" si="104"/>
        <v/>
      </c>
    </row>
    <row r="927" spans="1:9" x14ac:dyDescent="0.25">
      <c r="A927" t="s">
        <v>518</v>
      </c>
      <c r="B927" s="6">
        <f t="shared" si="105"/>
        <v>2.9205000000000001</v>
      </c>
      <c r="C927" s="3">
        <f t="shared" si="106"/>
        <v>101</v>
      </c>
      <c r="D927" s="3" t="str">
        <f t="shared" si="100"/>
        <v/>
      </c>
      <c r="E927" s="3">
        <f t="shared" si="101"/>
        <v>154</v>
      </c>
      <c r="F927" s="5" t="str">
        <f>IF(C927=0,"Broadcast",IF(D927="",IF(E927="","",IF(E927&lt;128,"Verbind "&amp;E927,INDEX(KdoCodeTab,MATCH(E927,KdoWertTab,0)))),"StatusAbfr "&amp;D927))</f>
        <v>MarkWdh</v>
      </c>
      <c r="G927" t="str">
        <f t="shared" si="102"/>
        <v>MarkWdh</v>
      </c>
      <c r="H927" t="str">
        <f t="shared" si="103"/>
        <v/>
      </c>
      <c r="I927" t="str">
        <f t="shared" si="104"/>
        <v/>
      </c>
    </row>
    <row r="928" spans="1:9" x14ac:dyDescent="0.25">
      <c r="A928" t="s">
        <v>519</v>
      </c>
      <c r="B928" s="6">
        <f t="shared" si="105"/>
        <v>2.9396666666666667</v>
      </c>
      <c r="C928" s="3">
        <f t="shared" si="106"/>
        <v>101</v>
      </c>
      <c r="D928" s="3" t="str">
        <f t="shared" si="100"/>
        <v/>
      </c>
      <c r="E928" s="3">
        <f t="shared" si="101"/>
        <v>147</v>
      </c>
      <c r="F928" s="5" t="str">
        <f>IF(C928=0,"Broadcast",IF(D928="",IF(E928="","",IF(E928&lt;128,"Verbind "&amp;E928,INDEX(KdoCodeTab,MATCH(E928,KdoWertTab,0)))),"StatusAbfr "&amp;D928))</f>
        <v>Space</v>
      </c>
      <c r="G928" t="str">
        <f t="shared" si="102"/>
        <v>Space</v>
      </c>
      <c r="H928" t="str">
        <f t="shared" si="103"/>
        <v/>
      </c>
      <c r="I928" t="str">
        <f t="shared" si="104"/>
        <v/>
      </c>
    </row>
    <row r="929" spans="1:9" x14ac:dyDescent="0.25">
      <c r="A929" t="s">
        <v>520</v>
      </c>
      <c r="B929" s="6">
        <f t="shared" si="105"/>
        <v>2.9406666666666665</v>
      </c>
      <c r="C929" s="3">
        <f t="shared" si="106"/>
        <v>101</v>
      </c>
      <c r="D929" s="3" t="str">
        <f t="shared" si="100"/>
        <v/>
      </c>
      <c r="E929" s="3">
        <f t="shared" si="101"/>
        <v>150</v>
      </c>
      <c r="F929" s="5" t="str">
        <f>IF(C929=0,"Broadcast",IF(D929="",IF(E929="","",IF(E929&lt;128,"Verbind "&amp;E929,INDEX(KdoCodeTab,MATCH(E929,KdoWertTab,0)))),"StatusAbfr "&amp;D929))</f>
        <v>SpaceWdh</v>
      </c>
      <c r="G929" t="str">
        <f t="shared" si="102"/>
        <v>SpaceWdh</v>
      </c>
      <c r="H929" t="str">
        <f t="shared" si="103"/>
        <v/>
      </c>
      <c r="I929" t="str">
        <f t="shared" si="104"/>
        <v/>
      </c>
    </row>
    <row r="930" spans="1:9" x14ac:dyDescent="0.25">
      <c r="A930" t="s">
        <v>521</v>
      </c>
      <c r="B930" s="6">
        <f t="shared" si="105"/>
        <v>2.9801666666666669</v>
      </c>
      <c r="C930" s="3">
        <f t="shared" si="106"/>
        <v>101</v>
      </c>
      <c r="D930" s="3" t="str">
        <f t="shared" si="100"/>
        <v/>
      </c>
      <c r="E930" s="3">
        <f t="shared" si="101"/>
        <v>156</v>
      </c>
      <c r="F930" s="5" t="str">
        <f>IF(C930=0,"Broadcast",IF(D930="",IF(E930="","",IF(E930&lt;128,"Verbind "&amp;E930,INDEX(KdoCodeTab,MATCH(E930,KdoWertTab,0)))),"StatusAbfr "&amp;D930))</f>
        <v>Mark</v>
      </c>
      <c r="G930" t="str">
        <f t="shared" si="102"/>
        <v>Mark</v>
      </c>
      <c r="H930" t="str">
        <f t="shared" si="103"/>
        <v/>
      </c>
      <c r="I930" t="str">
        <f t="shared" si="104"/>
        <v/>
      </c>
    </row>
    <row r="931" spans="1:9" x14ac:dyDescent="0.25">
      <c r="A931" t="s">
        <v>522</v>
      </c>
      <c r="B931" s="6">
        <f t="shared" si="105"/>
        <v>2.9811666666666667</v>
      </c>
      <c r="C931" s="3">
        <f t="shared" si="106"/>
        <v>101</v>
      </c>
      <c r="D931" s="3" t="str">
        <f t="shared" si="100"/>
        <v/>
      </c>
      <c r="E931" s="3">
        <f t="shared" si="101"/>
        <v>154</v>
      </c>
      <c r="F931" s="5" t="str">
        <f>IF(C931=0,"Broadcast",IF(D931="",IF(E931="","",IF(E931&lt;128,"Verbind "&amp;E931,INDEX(KdoCodeTab,MATCH(E931,KdoWertTab,0)))),"StatusAbfr "&amp;D931))</f>
        <v>MarkWdh</v>
      </c>
      <c r="G931" t="str">
        <f t="shared" si="102"/>
        <v>MarkWdh</v>
      </c>
      <c r="H931" t="str">
        <f t="shared" si="103"/>
        <v/>
      </c>
      <c r="I931" t="str">
        <f t="shared" si="104"/>
        <v/>
      </c>
    </row>
    <row r="932" spans="1:9" x14ac:dyDescent="0.25">
      <c r="A932" t="s">
        <v>523</v>
      </c>
      <c r="B932" s="6">
        <f t="shared" si="105"/>
        <v>3.1548333333333334</v>
      </c>
      <c r="C932" s="3">
        <f t="shared" si="106"/>
        <v>101</v>
      </c>
      <c r="D932" s="3" t="str">
        <f t="shared" si="100"/>
        <v/>
      </c>
      <c r="E932" s="3">
        <f t="shared" si="101"/>
        <v>169</v>
      </c>
      <c r="F932" s="5" t="str">
        <f>IF(C932=0,"Broadcast",IF(D932="",IF(E932="","",IF(E932&lt;128,"Verbind "&amp;E932,INDEX(KdoCodeTab,MATCH(E932,KdoWertTab,0)))),"StatusAbfr "&amp;D932))</f>
        <v>BusLebenszeichen</v>
      </c>
      <c r="G932" t="str">
        <f t="shared" si="102"/>
        <v>BusLebenszeichen</v>
      </c>
      <c r="H932" t="str">
        <f t="shared" si="103"/>
        <v/>
      </c>
      <c r="I932" t="str">
        <f t="shared" si="104"/>
        <v/>
      </c>
    </row>
    <row r="933" spans="1:9" x14ac:dyDescent="0.25">
      <c r="A933" t="s">
        <v>524</v>
      </c>
      <c r="B933" s="6">
        <f t="shared" si="105"/>
        <v>3.2559999999999998</v>
      </c>
      <c r="C933" s="3">
        <f t="shared" si="106"/>
        <v>101</v>
      </c>
      <c r="D933" s="3" t="str">
        <f t="shared" si="100"/>
        <v/>
      </c>
      <c r="E933" s="3">
        <f t="shared" si="101"/>
        <v>147</v>
      </c>
      <c r="F933" s="5" t="str">
        <f>IF(C933=0,"Broadcast",IF(D933="",IF(E933="","",IF(E933&lt;128,"Verbind "&amp;E933,INDEX(KdoCodeTab,MATCH(E933,KdoWertTab,0)))),"StatusAbfr "&amp;D933))</f>
        <v>Space</v>
      </c>
      <c r="G933" t="str">
        <f t="shared" si="102"/>
        <v>Space</v>
      </c>
      <c r="H933" t="str">
        <f t="shared" si="103"/>
        <v/>
      </c>
      <c r="I933" t="str">
        <f t="shared" si="104"/>
        <v/>
      </c>
    </row>
    <row r="934" spans="1:9" x14ac:dyDescent="0.25">
      <c r="A934" t="s">
        <v>525</v>
      </c>
      <c r="B934" s="6">
        <f t="shared" si="105"/>
        <v>3.2570000000000001</v>
      </c>
      <c r="C934" s="3">
        <f t="shared" si="106"/>
        <v>101</v>
      </c>
      <c r="D934" s="3" t="str">
        <f t="shared" si="100"/>
        <v/>
      </c>
      <c r="E934" s="3">
        <f t="shared" si="101"/>
        <v>150</v>
      </c>
      <c r="F934" s="5" t="str">
        <f>IF(C934=0,"Broadcast",IF(D934="",IF(E934="","",IF(E934&lt;128,"Verbind "&amp;E934,INDEX(KdoCodeTab,MATCH(E934,KdoWertTab,0)))),"StatusAbfr "&amp;D934))</f>
        <v>SpaceWdh</v>
      </c>
      <c r="G934" t="str">
        <f t="shared" si="102"/>
        <v>SpaceWdh</v>
      </c>
      <c r="H934" t="str">
        <f t="shared" si="103"/>
        <v/>
      </c>
      <c r="I934" t="str">
        <f t="shared" si="104"/>
        <v/>
      </c>
    </row>
    <row r="935" spans="1:9" x14ac:dyDescent="0.25">
      <c r="A935" t="s">
        <v>526</v>
      </c>
      <c r="B935" s="6">
        <f t="shared" si="105"/>
        <v>3.2761666666666667</v>
      </c>
      <c r="C935" s="3">
        <f t="shared" si="106"/>
        <v>101</v>
      </c>
      <c r="D935" s="3" t="str">
        <f t="shared" si="100"/>
        <v/>
      </c>
      <c r="E935" s="3">
        <f t="shared" si="101"/>
        <v>156</v>
      </c>
      <c r="F935" s="5" t="str">
        <f>IF(C935=0,"Broadcast",IF(D935="",IF(E935="","",IF(E935&lt;128,"Verbind "&amp;E935,INDEX(KdoCodeTab,MATCH(E935,KdoWertTab,0)))),"StatusAbfr "&amp;D935))</f>
        <v>Mark</v>
      </c>
      <c r="G935" t="str">
        <f t="shared" si="102"/>
        <v>Mark</v>
      </c>
      <c r="H935" t="str">
        <f t="shared" si="103"/>
        <v/>
      </c>
      <c r="I935" t="str">
        <f t="shared" si="104"/>
        <v/>
      </c>
    </row>
    <row r="936" spans="1:9" x14ac:dyDescent="0.25">
      <c r="A936" t="s">
        <v>527</v>
      </c>
      <c r="B936" s="6">
        <f t="shared" si="105"/>
        <v>3.277166666666667</v>
      </c>
      <c r="C936" s="3">
        <f t="shared" si="106"/>
        <v>101</v>
      </c>
      <c r="D936" s="3" t="str">
        <f t="shared" si="100"/>
        <v/>
      </c>
      <c r="E936" s="3">
        <f t="shared" si="101"/>
        <v>154</v>
      </c>
      <c r="F936" s="5" t="str">
        <f>IF(C936=0,"Broadcast",IF(D936="",IF(E936="","",IF(E936&lt;128,"Verbind "&amp;E936,INDEX(KdoCodeTab,MATCH(E936,KdoWertTab,0)))),"StatusAbfr "&amp;D936))</f>
        <v>MarkWdh</v>
      </c>
      <c r="G936" t="str">
        <f t="shared" si="102"/>
        <v>MarkWdh</v>
      </c>
      <c r="H936" t="str">
        <f t="shared" si="103"/>
        <v/>
      </c>
      <c r="I936" t="str">
        <f t="shared" si="104"/>
        <v/>
      </c>
    </row>
    <row r="937" spans="1:9" x14ac:dyDescent="0.25">
      <c r="A937" t="s">
        <v>528</v>
      </c>
      <c r="B937" s="6">
        <f t="shared" si="105"/>
        <v>3.3506666666666667</v>
      </c>
      <c r="C937" s="3">
        <f t="shared" si="106"/>
        <v>31</v>
      </c>
      <c r="D937" s="3" t="str">
        <f t="shared" si="100"/>
        <v/>
      </c>
      <c r="E937" s="3">
        <f t="shared" si="101"/>
        <v>154</v>
      </c>
      <c r="F937" s="5" t="str">
        <f>IF(C937=0,"Broadcast",IF(D937="",IF(E937="","",IF(E937&lt;128,"Verbind "&amp;E937,INDEX(KdoCodeTab,MATCH(E937,KdoWertTab,0)))),"StatusAbfr "&amp;D937))</f>
        <v>MarkWdh</v>
      </c>
      <c r="G937" t="str">
        <f t="shared" si="102"/>
        <v/>
      </c>
      <c r="H937" t="str">
        <f t="shared" si="103"/>
        <v>MarkWdh</v>
      </c>
      <c r="I937" t="str">
        <f t="shared" si="104"/>
        <v/>
      </c>
    </row>
    <row r="938" spans="1:9" x14ac:dyDescent="0.25">
      <c r="A938" t="s">
        <v>529</v>
      </c>
      <c r="B938" s="6">
        <f t="shared" si="105"/>
        <v>3.3559999999999999</v>
      </c>
      <c r="C938" s="3">
        <f t="shared" si="106"/>
        <v>101</v>
      </c>
      <c r="D938" s="3" t="str">
        <f t="shared" si="100"/>
        <v/>
      </c>
      <c r="E938" s="3">
        <f t="shared" si="101"/>
        <v>147</v>
      </c>
      <c r="F938" s="5" t="str">
        <f>IF(C938=0,"Broadcast",IF(D938="",IF(E938="","",IF(E938&lt;128,"Verbind "&amp;E938,INDEX(KdoCodeTab,MATCH(E938,KdoWertTab,0)))),"StatusAbfr "&amp;D938))</f>
        <v>Space</v>
      </c>
      <c r="G938" t="str">
        <f t="shared" si="102"/>
        <v>Space</v>
      </c>
      <c r="H938" t="str">
        <f t="shared" si="103"/>
        <v/>
      </c>
      <c r="I938" t="str">
        <f t="shared" si="104"/>
        <v/>
      </c>
    </row>
    <row r="939" spans="1:9" x14ac:dyDescent="0.25">
      <c r="A939" t="s">
        <v>530</v>
      </c>
      <c r="B939" s="6">
        <f t="shared" si="105"/>
        <v>3.3570000000000002</v>
      </c>
      <c r="C939" s="3">
        <f t="shared" si="106"/>
        <v>101</v>
      </c>
      <c r="D939" s="3" t="str">
        <f t="shared" si="100"/>
        <v/>
      </c>
      <c r="E939" s="3">
        <f t="shared" si="101"/>
        <v>150</v>
      </c>
      <c r="F939" s="5" t="str">
        <f>IF(C939=0,"Broadcast",IF(D939="",IF(E939="","",IF(E939&lt;128,"Verbind "&amp;E939,INDEX(KdoCodeTab,MATCH(E939,KdoWertTab,0)))),"StatusAbfr "&amp;D939))</f>
        <v>SpaceWdh</v>
      </c>
      <c r="G939" t="str">
        <f t="shared" si="102"/>
        <v>SpaceWdh</v>
      </c>
      <c r="H939" t="str">
        <f t="shared" si="103"/>
        <v/>
      </c>
      <c r="I939" t="str">
        <f t="shared" si="104"/>
        <v/>
      </c>
    </row>
    <row r="940" spans="1:9" x14ac:dyDescent="0.25">
      <c r="A940" t="s">
        <v>531</v>
      </c>
      <c r="B940" s="6">
        <f t="shared" si="105"/>
        <v>3.3761666666666668</v>
      </c>
      <c r="C940" s="3">
        <f t="shared" si="106"/>
        <v>101</v>
      </c>
      <c r="D940" s="3" t="str">
        <f t="shared" si="100"/>
        <v/>
      </c>
      <c r="E940" s="3">
        <f t="shared" si="101"/>
        <v>156</v>
      </c>
      <c r="F940" s="5" t="str">
        <f>IF(C940=0,"Broadcast",IF(D940="",IF(E940="","",IF(E940&lt;128,"Verbind "&amp;E940,INDEX(KdoCodeTab,MATCH(E940,KdoWertTab,0)))),"StatusAbfr "&amp;D940))</f>
        <v>Mark</v>
      </c>
      <c r="G940" t="str">
        <f t="shared" si="102"/>
        <v>Mark</v>
      </c>
      <c r="H940" t="str">
        <f t="shared" si="103"/>
        <v/>
      </c>
      <c r="I940" t="str">
        <f t="shared" si="104"/>
        <v/>
      </c>
    </row>
    <row r="941" spans="1:9" x14ac:dyDescent="0.25">
      <c r="A941" t="s">
        <v>532</v>
      </c>
      <c r="B941" s="6">
        <f t="shared" si="105"/>
        <v>3.3771666666666667</v>
      </c>
      <c r="C941" s="3">
        <f t="shared" si="106"/>
        <v>101</v>
      </c>
      <c r="D941" s="3" t="str">
        <f t="shared" si="100"/>
        <v/>
      </c>
      <c r="E941" s="3">
        <f t="shared" si="101"/>
        <v>154</v>
      </c>
      <c r="F941" s="5" t="str">
        <f>IF(C941=0,"Broadcast",IF(D941="",IF(E941="","",IF(E941&lt;128,"Verbind "&amp;E941,INDEX(KdoCodeTab,MATCH(E941,KdoWertTab,0)))),"StatusAbfr "&amp;D941))</f>
        <v>MarkWdh</v>
      </c>
      <c r="G941" t="str">
        <f t="shared" si="102"/>
        <v>MarkWdh</v>
      </c>
      <c r="H941" t="str">
        <f t="shared" si="103"/>
        <v/>
      </c>
      <c r="I941" t="str">
        <f t="shared" si="104"/>
        <v/>
      </c>
    </row>
    <row r="942" spans="1:9" x14ac:dyDescent="0.25">
      <c r="A942" t="s">
        <v>533</v>
      </c>
      <c r="B942" s="6">
        <f t="shared" si="105"/>
        <v>3.456</v>
      </c>
      <c r="C942" s="3">
        <f t="shared" si="106"/>
        <v>101</v>
      </c>
      <c r="D942" s="3" t="str">
        <f t="shared" si="100"/>
        <v/>
      </c>
      <c r="E942" s="3">
        <f t="shared" si="101"/>
        <v>147</v>
      </c>
      <c r="F942" s="5" t="str">
        <f>IF(C942=0,"Broadcast",IF(D942="",IF(E942="","",IF(E942&lt;128,"Verbind "&amp;E942,INDEX(KdoCodeTab,MATCH(E942,KdoWertTab,0)))),"StatusAbfr "&amp;D942))</f>
        <v>Space</v>
      </c>
      <c r="G942" t="str">
        <f t="shared" si="102"/>
        <v>Space</v>
      </c>
      <c r="H942" t="str">
        <f t="shared" si="103"/>
        <v/>
      </c>
      <c r="I942" t="str">
        <f t="shared" si="104"/>
        <v/>
      </c>
    </row>
    <row r="943" spans="1:9" x14ac:dyDescent="0.25">
      <c r="A943" t="s">
        <v>534</v>
      </c>
      <c r="B943" s="6">
        <f t="shared" si="105"/>
        <v>3.4568333333333334</v>
      </c>
      <c r="C943" s="3">
        <f t="shared" si="106"/>
        <v>101</v>
      </c>
      <c r="D943" s="3" t="str">
        <f t="shared" si="100"/>
        <v/>
      </c>
      <c r="E943" s="3">
        <f t="shared" si="101"/>
        <v>150</v>
      </c>
      <c r="F943" s="5" t="str">
        <f>IF(C943=0,"Broadcast",IF(D943="",IF(E943="","",IF(E943&lt;128,"Verbind "&amp;E943,INDEX(KdoCodeTab,MATCH(E943,KdoWertTab,0)))),"StatusAbfr "&amp;D943))</f>
        <v>SpaceWdh</v>
      </c>
      <c r="G943" t="str">
        <f t="shared" si="102"/>
        <v>SpaceWdh</v>
      </c>
      <c r="H943" t="str">
        <f t="shared" si="103"/>
        <v/>
      </c>
      <c r="I943" t="str">
        <f t="shared" si="104"/>
        <v/>
      </c>
    </row>
    <row r="944" spans="1:9" x14ac:dyDescent="0.25">
      <c r="A944" t="s">
        <v>535</v>
      </c>
      <c r="B944" s="6">
        <f t="shared" si="105"/>
        <v>3.4965000000000002</v>
      </c>
      <c r="C944" s="3">
        <f t="shared" si="106"/>
        <v>101</v>
      </c>
      <c r="D944" s="3" t="str">
        <f t="shared" si="100"/>
        <v/>
      </c>
      <c r="E944" s="3">
        <f t="shared" si="101"/>
        <v>156</v>
      </c>
      <c r="F944" s="5" t="str">
        <f>IF(C944=0,"Broadcast",IF(D944="",IF(E944="","",IF(E944&lt;128,"Verbind "&amp;E944,INDEX(KdoCodeTab,MATCH(E944,KdoWertTab,0)))),"StatusAbfr "&amp;D944))</f>
        <v>Mark</v>
      </c>
      <c r="G944" t="str">
        <f t="shared" si="102"/>
        <v>Mark</v>
      </c>
      <c r="H944" t="str">
        <f t="shared" si="103"/>
        <v/>
      </c>
      <c r="I944" t="str">
        <f t="shared" si="104"/>
        <v/>
      </c>
    </row>
    <row r="945" spans="1:9" x14ac:dyDescent="0.25">
      <c r="A945" t="s">
        <v>536</v>
      </c>
      <c r="B945" s="6">
        <f t="shared" si="105"/>
        <v>3.4973333333333332</v>
      </c>
      <c r="C945" s="3">
        <f t="shared" si="106"/>
        <v>101</v>
      </c>
      <c r="D945" s="3" t="str">
        <f t="shared" si="100"/>
        <v/>
      </c>
      <c r="E945" s="3">
        <f t="shared" si="101"/>
        <v>154</v>
      </c>
      <c r="F945" s="5" t="str">
        <f>IF(C945=0,"Broadcast",IF(D945="",IF(E945="","",IF(E945&lt;128,"Verbind "&amp;E945,INDEX(KdoCodeTab,MATCH(E945,KdoWertTab,0)))),"StatusAbfr "&amp;D945))</f>
        <v>MarkWdh</v>
      </c>
      <c r="G945" t="str">
        <f t="shared" si="102"/>
        <v>MarkWdh</v>
      </c>
      <c r="H945" t="str">
        <f t="shared" si="103"/>
        <v/>
      </c>
      <c r="I945" t="str">
        <f t="shared" si="104"/>
        <v/>
      </c>
    </row>
    <row r="946" spans="1:9" x14ac:dyDescent="0.25">
      <c r="A946" t="s">
        <v>537</v>
      </c>
      <c r="B946" s="6">
        <f t="shared" si="105"/>
        <v>3.5166666666666666</v>
      </c>
      <c r="C946" s="3">
        <f t="shared" si="106"/>
        <v>101</v>
      </c>
      <c r="D946" s="3" t="str">
        <f t="shared" si="100"/>
        <v/>
      </c>
      <c r="E946" s="3">
        <f t="shared" si="101"/>
        <v>147</v>
      </c>
      <c r="F946" s="5" t="str">
        <f>IF(C946=0,"Broadcast",IF(D946="",IF(E946="","",IF(E946&lt;128,"Verbind "&amp;E946,INDEX(KdoCodeTab,MATCH(E946,KdoWertTab,0)))),"StatusAbfr "&amp;D946))</f>
        <v>Space</v>
      </c>
      <c r="G946" t="str">
        <f t="shared" si="102"/>
        <v>Space</v>
      </c>
      <c r="H946" t="str">
        <f t="shared" si="103"/>
        <v/>
      </c>
      <c r="I946" t="str">
        <f t="shared" si="104"/>
        <v/>
      </c>
    </row>
    <row r="947" spans="1:9" x14ac:dyDescent="0.25">
      <c r="A947" t="s">
        <v>538</v>
      </c>
      <c r="B947" s="6">
        <f t="shared" si="105"/>
        <v>3.5175000000000001</v>
      </c>
      <c r="C947" s="3">
        <f t="shared" si="106"/>
        <v>101</v>
      </c>
      <c r="D947" s="3" t="str">
        <f t="shared" si="100"/>
        <v/>
      </c>
      <c r="E947" s="3">
        <f t="shared" si="101"/>
        <v>150</v>
      </c>
      <c r="F947" s="5" t="str">
        <f>IF(C947=0,"Broadcast",IF(D947="",IF(E947="","",IF(E947&lt;128,"Verbind "&amp;E947,INDEX(KdoCodeTab,MATCH(E947,KdoWertTab,0)))),"StatusAbfr "&amp;D947))</f>
        <v>SpaceWdh</v>
      </c>
      <c r="G947" t="str">
        <f t="shared" si="102"/>
        <v>SpaceWdh</v>
      </c>
      <c r="H947" t="str">
        <f t="shared" si="103"/>
        <v/>
      </c>
      <c r="I947" t="str">
        <f t="shared" si="104"/>
        <v/>
      </c>
    </row>
    <row r="948" spans="1:9" x14ac:dyDescent="0.25">
      <c r="A948" t="s">
        <v>539</v>
      </c>
      <c r="B948" s="6">
        <f t="shared" si="105"/>
        <v>3.556</v>
      </c>
      <c r="C948" s="3">
        <f t="shared" si="106"/>
        <v>101</v>
      </c>
      <c r="D948" s="3" t="str">
        <f t="shared" si="100"/>
        <v/>
      </c>
      <c r="E948" s="3">
        <f t="shared" si="101"/>
        <v>156</v>
      </c>
      <c r="F948" s="5" t="str">
        <f>IF(C948=0,"Broadcast",IF(D948="",IF(E948="","",IF(E948&lt;128,"Verbind "&amp;E948,INDEX(KdoCodeTab,MATCH(E948,KdoWertTab,0)))),"StatusAbfr "&amp;D948))</f>
        <v>Mark</v>
      </c>
      <c r="G948" t="str">
        <f t="shared" si="102"/>
        <v>Mark</v>
      </c>
      <c r="H948" t="str">
        <f t="shared" si="103"/>
        <v/>
      </c>
      <c r="I948" t="str">
        <f t="shared" si="104"/>
        <v/>
      </c>
    </row>
    <row r="949" spans="1:9" x14ac:dyDescent="0.25">
      <c r="A949" t="s">
        <v>540</v>
      </c>
      <c r="B949" s="6">
        <f t="shared" si="105"/>
        <v>3.5569999999999999</v>
      </c>
      <c r="C949" s="3">
        <f t="shared" si="106"/>
        <v>101</v>
      </c>
      <c r="D949" s="3" t="str">
        <f t="shared" si="100"/>
        <v/>
      </c>
      <c r="E949" s="3">
        <f t="shared" si="101"/>
        <v>154</v>
      </c>
      <c r="F949" s="5" t="str">
        <f>IF(C949=0,"Broadcast",IF(D949="",IF(E949="","",IF(E949&lt;128,"Verbind "&amp;E949,INDEX(KdoCodeTab,MATCH(E949,KdoWertTab,0)))),"StatusAbfr "&amp;D949))</f>
        <v>MarkWdh</v>
      </c>
      <c r="G949" t="str">
        <f t="shared" si="102"/>
        <v>MarkWdh</v>
      </c>
      <c r="H949" t="str">
        <f t="shared" si="103"/>
        <v/>
      </c>
      <c r="I949" t="str">
        <f t="shared" si="104"/>
        <v/>
      </c>
    </row>
    <row r="950" spans="1:9" x14ac:dyDescent="0.25">
      <c r="A950" t="s">
        <v>541</v>
      </c>
      <c r="B950" s="6">
        <f t="shared" si="105"/>
        <v>3.6056666666666666</v>
      </c>
      <c r="C950" s="3">
        <f t="shared" si="106"/>
        <v>101</v>
      </c>
      <c r="D950" s="3" t="str">
        <f t="shared" si="100"/>
        <v/>
      </c>
      <c r="E950" s="3">
        <f t="shared" si="101"/>
        <v>147</v>
      </c>
      <c r="F950" s="5" t="str">
        <f>IF(C950=0,"Broadcast",IF(D950="",IF(E950="","",IF(E950&lt;128,"Verbind "&amp;E950,INDEX(KdoCodeTab,MATCH(E950,KdoWertTab,0)))),"StatusAbfr "&amp;D950))</f>
        <v>Space</v>
      </c>
      <c r="G950" t="str">
        <f t="shared" si="102"/>
        <v>Space</v>
      </c>
      <c r="H950" t="str">
        <f t="shared" si="103"/>
        <v/>
      </c>
      <c r="I950" t="str">
        <f t="shared" si="104"/>
        <v/>
      </c>
    </row>
    <row r="951" spans="1:9" x14ac:dyDescent="0.25">
      <c r="A951" t="s">
        <v>542</v>
      </c>
      <c r="B951" s="6">
        <f t="shared" si="105"/>
        <v>3.6065</v>
      </c>
      <c r="C951" s="3">
        <f t="shared" si="106"/>
        <v>101</v>
      </c>
      <c r="D951" s="3" t="str">
        <f t="shared" si="100"/>
        <v/>
      </c>
      <c r="E951" s="3">
        <f t="shared" si="101"/>
        <v>150</v>
      </c>
      <c r="F951" s="5" t="str">
        <f>IF(C951=0,"Broadcast",IF(D951="",IF(E951="","",IF(E951&lt;128,"Verbind "&amp;E951,INDEX(KdoCodeTab,MATCH(E951,KdoWertTab,0)))),"StatusAbfr "&amp;D951))</f>
        <v>SpaceWdh</v>
      </c>
      <c r="G951" t="str">
        <f t="shared" si="102"/>
        <v>SpaceWdh</v>
      </c>
      <c r="H951" t="str">
        <f t="shared" si="103"/>
        <v/>
      </c>
      <c r="I951" t="str">
        <f t="shared" si="104"/>
        <v/>
      </c>
    </row>
    <row r="952" spans="1:9" x14ac:dyDescent="0.25">
      <c r="A952" t="s">
        <v>543</v>
      </c>
      <c r="B952" s="6">
        <f t="shared" si="105"/>
        <v>3.6268333333333334</v>
      </c>
      <c r="C952" s="3">
        <f t="shared" si="106"/>
        <v>101</v>
      </c>
      <c r="D952" s="3" t="str">
        <f t="shared" si="100"/>
        <v/>
      </c>
      <c r="E952" s="3">
        <f t="shared" si="101"/>
        <v>156</v>
      </c>
      <c r="F952" s="5" t="str">
        <f>IF(C952=0,"Broadcast",IF(D952="",IF(E952="","",IF(E952&lt;128,"Verbind "&amp;E952,INDEX(KdoCodeTab,MATCH(E952,KdoWertTab,0)))),"StatusAbfr "&amp;D952))</f>
        <v>Mark</v>
      </c>
      <c r="G952" t="str">
        <f t="shared" si="102"/>
        <v>Mark</v>
      </c>
      <c r="H952" t="str">
        <f t="shared" si="103"/>
        <v/>
      </c>
      <c r="I952" t="str">
        <f t="shared" si="104"/>
        <v/>
      </c>
    </row>
    <row r="953" spans="1:9" x14ac:dyDescent="0.25">
      <c r="A953" t="s">
        <v>544</v>
      </c>
      <c r="B953" s="6">
        <f t="shared" si="105"/>
        <v>3.6278333333333332</v>
      </c>
      <c r="C953" s="3">
        <f t="shared" si="106"/>
        <v>101</v>
      </c>
      <c r="D953" s="3" t="str">
        <f t="shared" si="100"/>
        <v/>
      </c>
      <c r="E953" s="3">
        <f t="shared" si="101"/>
        <v>154</v>
      </c>
      <c r="F953" s="5" t="str">
        <f>IF(C953=0,"Broadcast",IF(D953="",IF(E953="","",IF(E953&lt;128,"Verbind "&amp;E953,INDEX(KdoCodeTab,MATCH(E953,KdoWertTab,0)))),"StatusAbfr "&amp;D953))</f>
        <v>MarkWdh</v>
      </c>
      <c r="G953" t="str">
        <f t="shared" si="102"/>
        <v>MarkWdh</v>
      </c>
      <c r="H953" t="str">
        <f t="shared" si="103"/>
        <v/>
      </c>
      <c r="I953" t="str">
        <f t="shared" si="104"/>
        <v/>
      </c>
    </row>
    <row r="954" spans="1:9" x14ac:dyDescent="0.25">
      <c r="A954" t="s">
        <v>545</v>
      </c>
      <c r="B954" s="6">
        <f t="shared" si="105"/>
        <v>3.6469999999999998</v>
      </c>
      <c r="C954" s="3">
        <f t="shared" si="106"/>
        <v>101</v>
      </c>
      <c r="D954" s="3" t="str">
        <f t="shared" si="100"/>
        <v/>
      </c>
      <c r="E954" s="3">
        <f t="shared" si="101"/>
        <v>147</v>
      </c>
      <c r="F954" s="5" t="str">
        <f>IF(C954=0,"Broadcast",IF(D954="",IF(E954="","",IF(E954&lt;128,"Verbind "&amp;E954,INDEX(KdoCodeTab,MATCH(E954,KdoWertTab,0)))),"StatusAbfr "&amp;D954))</f>
        <v>Space</v>
      </c>
      <c r="G954" t="str">
        <f t="shared" si="102"/>
        <v>Space</v>
      </c>
      <c r="H954" t="str">
        <f t="shared" si="103"/>
        <v/>
      </c>
      <c r="I954" t="str">
        <f t="shared" si="104"/>
        <v/>
      </c>
    </row>
    <row r="955" spans="1:9" x14ac:dyDescent="0.25">
      <c r="A955" t="s">
        <v>546</v>
      </c>
      <c r="B955" s="6">
        <f t="shared" si="105"/>
        <v>3.6480000000000001</v>
      </c>
      <c r="C955" s="3">
        <f t="shared" si="106"/>
        <v>101</v>
      </c>
      <c r="D955" s="3" t="str">
        <f t="shared" ref="D955:D1018" si="107">IF(MID(A955,10,1)="&lt;",MID(A955,12,2),"")</f>
        <v/>
      </c>
      <c r="E955" s="3">
        <f t="shared" ref="E955:E1018" si="108">IF(MID(A955,10,1)="&gt;",HEX2DEC(MID(A955,12,2)),"")</f>
        <v>150</v>
      </c>
      <c r="F955" s="5" t="str">
        <f>IF(C955=0,"Broadcast",IF(D955="",IF(E955="","",IF(E955&lt;128,"Verbind "&amp;E955,INDEX(KdoCodeTab,MATCH(E955,KdoWertTab,0)))),"StatusAbfr "&amp;D955))</f>
        <v>SpaceWdh</v>
      </c>
      <c r="G955" t="str">
        <f t="shared" ref="G955:G1018" si="109">IF(C955=$G$2,F955,"")</f>
        <v>SpaceWdh</v>
      </c>
      <c r="H955" t="str">
        <f t="shared" ref="H955:H1018" si="110">IF(C955=$H$2,F955,"")</f>
        <v/>
      </c>
      <c r="I955" t="str">
        <f t="shared" ref="I955:I1018" si="111">IF(G955&amp;H955="",F955,"")</f>
        <v/>
      </c>
    </row>
    <row r="956" spans="1:9" x14ac:dyDescent="0.25">
      <c r="A956" t="s">
        <v>547</v>
      </c>
      <c r="B956" s="6">
        <f t="shared" si="105"/>
        <v>3.7268333333333334</v>
      </c>
      <c r="C956" s="3">
        <f t="shared" si="106"/>
        <v>101</v>
      </c>
      <c r="D956" s="3" t="str">
        <f t="shared" si="107"/>
        <v/>
      </c>
      <c r="E956" s="3">
        <f t="shared" si="108"/>
        <v>156</v>
      </c>
      <c r="F956" s="5" t="str">
        <f>IF(C956=0,"Broadcast",IF(D956="",IF(E956="","",IF(E956&lt;128,"Verbind "&amp;E956,INDEX(KdoCodeTab,MATCH(E956,KdoWertTab,0)))),"StatusAbfr "&amp;D956))</f>
        <v>Mark</v>
      </c>
      <c r="G956" t="str">
        <f t="shared" si="109"/>
        <v>Mark</v>
      </c>
      <c r="H956" t="str">
        <f t="shared" si="110"/>
        <v/>
      </c>
      <c r="I956" t="str">
        <f t="shared" si="111"/>
        <v/>
      </c>
    </row>
    <row r="957" spans="1:9" x14ac:dyDescent="0.25">
      <c r="A957" t="s">
        <v>548</v>
      </c>
      <c r="B957" s="6">
        <f t="shared" si="105"/>
        <v>3.7276666666666665</v>
      </c>
      <c r="C957" s="3">
        <f t="shared" si="106"/>
        <v>101</v>
      </c>
      <c r="D957" s="3" t="str">
        <f t="shared" si="107"/>
        <v/>
      </c>
      <c r="E957" s="3">
        <f t="shared" si="108"/>
        <v>154</v>
      </c>
      <c r="F957" s="5" t="str">
        <f>IF(C957=0,"Broadcast",IF(D957="",IF(E957="","",IF(E957&lt;128,"Verbind "&amp;E957,INDEX(KdoCodeTab,MATCH(E957,KdoWertTab,0)))),"StatusAbfr "&amp;D957))</f>
        <v>MarkWdh</v>
      </c>
      <c r="G957" t="str">
        <f t="shared" si="109"/>
        <v>MarkWdh</v>
      </c>
      <c r="H957" t="str">
        <f t="shared" si="110"/>
        <v/>
      </c>
      <c r="I957" t="str">
        <f t="shared" si="111"/>
        <v/>
      </c>
    </row>
    <row r="958" spans="1:9" x14ac:dyDescent="0.25">
      <c r="A958" t="s">
        <v>549</v>
      </c>
      <c r="B958" s="6">
        <f t="shared" si="105"/>
        <v>3.7561666666666667</v>
      </c>
      <c r="C958" s="3">
        <f t="shared" si="106"/>
        <v>101</v>
      </c>
      <c r="D958" s="3" t="str">
        <f t="shared" si="107"/>
        <v/>
      </c>
      <c r="E958" s="3">
        <f t="shared" si="108"/>
        <v>147</v>
      </c>
      <c r="F958" s="5" t="str">
        <f>IF(C958=0,"Broadcast",IF(D958="",IF(E958="","",IF(E958&lt;128,"Verbind "&amp;E958,INDEX(KdoCodeTab,MATCH(E958,KdoWertTab,0)))),"StatusAbfr "&amp;D958))</f>
        <v>Space</v>
      </c>
      <c r="G958" t="str">
        <f t="shared" si="109"/>
        <v>Space</v>
      </c>
      <c r="H958" t="str">
        <f t="shared" si="110"/>
        <v/>
      </c>
      <c r="I958" t="str">
        <f t="shared" si="111"/>
        <v/>
      </c>
    </row>
    <row r="959" spans="1:9" x14ac:dyDescent="0.25">
      <c r="A959" t="s">
        <v>550</v>
      </c>
      <c r="B959" s="6">
        <f t="shared" si="105"/>
        <v>3.7570000000000001</v>
      </c>
      <c r="C959" s="3">
        <f t="shared" si="106"/>
        <v>101</v>
      </c>
      <c r="D959" s="3" t="str">
        <f t="shared" si="107"/>
        <v/>
      </c>
      <c r="E959" s="3">
        <f t="shared" si="108"/>
        <v>150</v>
      </c>
      <c r="F959" s="5" t="str">
        <f>IF(C959=0,"Broadcast",IF(D959="",IF(E959="","",IF(E959&lt;128,"Verbind "&amp;E959,INDEX(KdoCodeTab,MATCH(E959,KdoWertTab,0)))),"StatusAbfr "&amp;D959))</f>
        <v>SpaceWdh</v>
      </c>
      <c r="G959" t="str">
        <f t="shared" si="109"/>
        <v>SpaceWdh</v>
      </c>
      <c r="H959" t="str">
        <f t="shared" si="110"/>
        <v/>
      </c>
      <c r="I959" t="str">
        <f t="shared" si="111"/>
        <v/>
      </c>
    </row>
    <row r="960" spans="1:9" x14ac:dyDescent="0.25">
      <c r="A960" t="s">
        <v>551</v>
      </c>
      <c r="B960" s="6">
        <f t="shared" si="105"/>
        <v>3.7965</v>
      </c>
      <c r="C960" s="3">
        <f t="shared" si="106"/>
        <v>101</v>
      </c>
      <c r="D960" s="3" t="str">
        <f t="shared" si="107"/>
        <v/>
      </c>
      <c r="E960" s="3">
        <f t="shared" si="108"/>
        <v>156</v>
      </c>
      <c r="F960" s="5" t="str">
        <f>IF(C960=0,"Broadcast",IF(D960="",IF(E960="","",IF(E960&lt;128,"Verbind "&amp;E960,INDEX(KdoCodeTab,MATCH(E960,KdoWertTab,0)))),"StatusAbfr "&amp;D960))</f>
        <v>Mark</v>
      </c>
      <c r="G960" t="str">
        <f t="shared" si="109"/>
        <v>Mark</v>
      </c>
      <c r="H960" t="str">
        <f t="shared" si="110"/>
        <v/>
      </c>
      <c r="I960" t="str">
        <f t="shared" si="111"/>
        <v/>
      </c>
    </row>
    <row r="961" spans="1:9" x14ac:dyDescent="0.25">
      <c r="A961" t="s">
        <v>552</v>
      </c>
      <c r="B961" s="6">
        <f t="shared" si="105"/>
        <v>3.7973333333333334</v>
      </c>
      <c r="C961" s="3">
        <f t="shared" si="106"/>
        <v>101</v>
      </c>
      <c r="D961" s="3" t="str">
        <f t="shared" si="107"/>
        <v/>
      </c>
      <c r="E961" s="3">
        <f t="shared" si="108"/>
        <v>154</v>
      </c>
      <c r="F961" s="5" t="str">
        <f>IF(C961=0,"Broadcast",IF(D961="",IF(E961="","",IF(E961&lt;128,"Verbind "&amp;E961,INDEX(KdoCodeTab,MATCH(E961,KdoWertTab,0)))),"StatusAbfr "&amp;D961))</f>
        <v>MarkWdh</v>
      </c>
      <c r="G961" t="str">
        <f t="shared" si="109"/>
        <v>MarkWdh</v>
      </c>
      <c r="H961" t="str">
        <f t="shared" si="110"/>
        <v/>
      </c>
      <c r="I961" t="str">
        <f t="shared" si="111"/>
        <v/>
      </c>
    </row>
    <row r="962" spans="1:9" x14ac:dyDescent="0.25">
      <c r="A962" t="s">
        <v>553</v>
      </c>
      <c r="B962" s="6">
        <f t="shared" si="105"/>
        <v>3.8368333333333333</v>
      </c>
      <c r="C962" s="3">
        <f t="shared" si="106"/>
        <v>101</v>
      </c>
      <c r="D962" s="3" t="str">
        <f t="shared" si="107"/>
        <v/>
      </c>
      <c r="E962" s="3">
        <f t="shared" si="108"/>
        <v>169</v>
      </c>
      <c r="F962" s="5" t="str">
        <f>IF(C962=0,"Broadcast",IF(D962="",IF(E962="","",IF(E962&lt;128,"Verbind "&amp;E962,INDEX(KdoCodeTab,MATCH(E962,KdoWertTab,0)))),"StatusAbfr "&amp;D962))</f>
        <v>BusLebenszeichen</v>
      </c>
      <c r="G962" t="str">
        <f t="shared" si="109"/>
        <v>BusLebenszeichen</v>
      </c>
      <c r="H962" t="str">
        <f t="shared" si="110"/>
        <v/>
      </c>
      <c r="I962" t="str">
        <f t="shared" si="111"/>
        <v/>
      </c>
    </row>
    <row r="963" spans="1:9" x14ac:dyDescent="0.25">
      <c r="A963" t="s">
        <v>554</v>
      </c>
      <c r="B963" s="6">
        <f t="shared" si="105"/>
        <v>3.8378333333333337</v>
      </c>
      <c r="C963" s="3">
        <f t="shared" si="106"/>
        <v>101</v>
      </c>
      <c r="D963" s="3" t="str">
        <f t="shared" si="107"/>
        <v/>
      </c>
      <c r="E963" s="3">
        <f t="shared" si="108"/>
        <v>147</v>
      </c>
      <c r="F963" s="5" t="str">
        <f>IF(C963=0,"Broadcast",IF(D963="",IF(E963="","",IF(E963&lt;128,"Verbind "&amp;E963,INDEX(KdoCodeTab,MATCH(E963,KdoWertTab,0)))),"StatusAbfr "&amp;D963))</f>
        <v>Space</v>
      </c>
      <c r="G963" t="str">
        <f t="shared" si="109"/>
        <v>Space</v>
      </c>
      <c r="H963" t="str">
        <f t="shared" si="110"/>
        <v/>
      </c>
      <c r="I963" t="str">
        <f t="shared" si="111"/>
        <v/>
      </c>
    </row>
    <row r="964" spans="1:9" x14ac:dyDescent="0.25">
      <c r="A964" t="s">
        <v>555</v>
      </c>
      <c r="B964" s="6">
        <f t="shared" si="105"/>
        <v>3.8386666666666667</v>
      </c>
      <c r="C964" s="3">
        <f t="shared" si="106"/>
        <v>101</v>
      </c>
      <c r="D964" s="3" t="str">
        <f t="shared" si="107"/>
        <v/>
      </c>
      <c r="E964" s="3">
        <f t="shared" si="108"/>
        <v>150</v>
      </c>
      <c r="F964" s="5" t="str">
        <f>IF(C964=0,"Broadcast",IF(D964="",IF(E964="","",IF(E964&lt;128,"Verbind "&amp;E964,INDEX(KdoCodeTab,MATCH(E964,KdoWertTab,0)))),"StatusAbfr "&amp;D964))</f>
        <v>SpaceWdh</v>
      </c>
      <c r="G964" t="str">
        <f t="shared" si="109"/>
        <v>SpaceWdh</v>
      </c>
      <c r="H964" t="str">
        <f t="shared" si="110"/>
        <v/>
      </c>
      <c r="I964" t="str">
        <f t="shared" si="111"/>
        <v/>
      </c>
    </row>
    <row r="965" spans="1:9" x14ac:dyDescent="0.25">
      <c r="A965" t="s">
        <v>556</v>
      </c>
      <c r="B965" s="6">
        <f t="shared" ref="B965:B1028" si="112">MID(A965,1,5)/1000+(CODE(MID(A965,6,1))-CODE("a"))/6000</f>
        <v>3.8566666666666665</v>
      </c>
      <c r="C965" s="3">
        <f t="shared" ref="C965:C1028" si="113">INT(HEX2DEC(MID(A965,8,2))/2)</f>
        <v>31</v>
      </c>
      <c r="D965" s="3" t="str">
        <f t="shared" si="107"/>
        <v/>
      </c>
      <c r="E965" s="3">
        <f t="shared" si="108"/>
        <v>154</v>
      </c>
      <c r="F965" s="5" t="str">
        <f>IF(C965=0,"Broadcast",IF(D965="",IF(E965="","",IF(E965&lt;128,"Verbind "&amp;E965,INDEX(KdoCodeTab,MATCH(E965,KdoWertTab,0)))),"StatusAbfr "&amp;D965))</f>
        <v>MarkWdh</v>
      </c>
      <c r="G965" t="str">
        <f t="shared" si="109"/>
        <v/>
      </c>
      <c r="H965" t="str">
        <f t="shared" si="110"/>
        <v>MarkWdh</v>
      </c>
      <c r="I965" t="str">
        <f t="shared" si="111"/>
        <v/>
      </c>
    </row>
    <row r="966" spans="1:9" x14ac:dyDescent="0.25">
      <c r="A966" t="s">
        <v>557</v>
      </c>
      <c r="B966" s="6">
        <f t="shared" si="112"/>
        <v>3.8763333333333332</v>
      </c>
      <c r="C966" s="3">
        <f t="shared" si="113"/>
        <v>101</v>
      </c>
      <c r="D966" s="3" t="str">
        <f t="shared" si="107"/>
        <v/>
      </c>
      <c r="E966" s="3">
        <f t="shared" si="108"/>
        <v>156</v>
      </c>
      <c r="F966" s="5" t="str">
        <f>IF(C966=0,"Broadcast",IF(D966="",IF(E966="","",IF(E966&lt;128,"Verbind "&amp;E966,INDEX(KdoCodeTab,MATCH(E966,KdoWertTab,0)))),"StatusAbfr "&amp;D966))</f>
        <v>Mark</v>
      </c>
      <c r="G966" t="str">
        <f t="shared" si="109"/>
        <v>Mark</v>
      </c>
      <c r="H966" t="str">
        <f t="shared" si="110"/>
        <v/>
      </c>
      <c r="I966" t="str">
        <f t="shared" si="111"/>
        <v/>
      </c>
    </row>
    <row r="967" spans="1:9" x14ac:dyDescent="0.25">
      <c r="A967" t="s">
        <v>558</v>
      </c>
      <c r="B967" s="6">
        <f t="shared" si="112"/>
        <v>3.8771666666666667</v>
      </c>
      <c r="C967" s="3">
        <f t="shared" si="113"/>
        <v>101</v>
      </c>
      <c r="D967" s="3" t="str">
        <f t="shared" si="107"/>
        <v/>
      </c>
      <c r="E967" s="3">
        <f t="shared" si="108"/>
        <v>154</v>
      </c>
      <c r="F967" s="5" t="str">
        <f>IF(C967=0,"Broadcast",IF(D967="",IF(E967="","",IF(E967&lt;128,"Verbind "&amp;E967,INDEX(KdoCodeTab,MATCH(E967,KdoWertTab,0)))),"StatusAbfr "&amp;D967))</f>
        <v>MarkWdh</v>
      </c>
      <c r="G967" t="str">
        <f t="shared" si="109"/>
        <v>MarkWdh</v>
      </c>
      <c r="H967" t="str">
        <f t="shared" si="110"/>
        <v/>
      </c>
      <c r="I967" t="str">
        <f t="shared" si="111"/>
        <v/>
      </c>
    </row>
    <row r="968" spans="1:9" x14ac:dyDescent="0.25">
      <c r="A968" t="s">
        <v>559</v>
      </c>
      <c r="B968" s="6">
        <f t="shared" si="112"/>
        <v>3.9126666666666665</v>
      </c>
      <c r="C968" s="3">
        <f t="shared" si="113"/>
        <v>101</v>
      </c>
      <c r="D968" s="3" t="str">
        <f t="shared" si="107"/>
        <v/>
      </c>
      <c r="E968" s="3">
        <f t="shared" si="108"/>
        <v>147</v>
      </c>
      <c r="F968" s="5" t="str">
        <f>IF(C968=0,"Broadcast",IF(D968="",IF(E968="","",IF(E968&lt;128,"Verbind "&amp;E968,INDEX(KdoCodeTab,MATCH(E968,KdoWertTab,0)))),"StatusAbfr "&amp;D968))</f>
        <v>Space</v>
      </c>
      <c r="G968" t="str">
        <f t="shared" si="109"/>
        <v>Space</v>
      </c>
      <c r="H968" t="str">
        <f t="shared" si="110"/>
        <v/>
      </c>
      <c r="I968" t="str">
        <f t="shared" si="111"/>
        <v/>
      </c>
    </row>
    <row r="969" spans="1:9" x14ac:dyDescent="0.25">
      <c r="A969" t="s">
        <v>560</v>
      </c>
      <c r="B969" s="6">
        <f t="shared" si="112"/>
        <v>3.9136666666666664</v>
      </c>
      <c r="C969" s="3">
        <f t="shared" si="113"/>
        <v>101</v>
      </c>
      <c r="D969" s="3" t="str">
        <f t="shared" si="107"/>
        <v/>
      </c>
      <c r="E969" s="3">
        <f t="shared" si="108"/>
        <v>150</v>
      </c>
      <c r="F969" s="5" t="str">
        <f>IF(C969=0,"Broadcast",IF(D969="",IF(E969="","",IF(E969&lt;128,"Verbind "&amp;E969,INDEX(KdoCodeTab,MATCH(E969,KdoWertTab,0)))),"StatusAbfr "&amp;D969))</f>
        <v>SpaceWdh</v>
      </c>
      <c r="G969" t="str">
        <f t="shared" si="109"/>
        <v>SpaceWdh</v>
      </c>
      <c r="H969" t="str">
        <f t="shared" si="110"/>
        <v/>
      </c>
      <c r="I969" t="str">
        <f t="shared" si="111"/>
        <v/>
      </c>
    </row>
    <row r="970" spans="1:9" x14ac:dyDescent="0.25">
      <c r="A970" t="s">
        <v>561</v>
      </c>
      <c r="B970" s="6">
        <f t="shared" si="112"/>
        <v>3.9733333333333332</v>
      </c>
      <c r="C970" s="3">
        <f t="shared" si="113"/>
        <v>101</v>
      </c>
      <c r="D970" s="3" t="str">
        <f t="shared" si="107"/>
        <v/>
      </c>
      <c r="E970" s="3">
        <f t="shared" si="108"/>
        <v>156</v>
      </c>
      <c r="F970" s="5" t="str">
        <f>IF(C970=0,"Broadcast",IF(D970="",IF(E970="","",IF(E970&lt;128,"Verbind "&amp;E970,INDEX(KdoCodeTab,MATCH(E970,KdoWertTab,0)))),"StatusAbfr "&amp;D970))</f>
        <v>Mark</v>
      </c>
      <c r="G970" t="str">
        <f t="shared" si="109"/>
        <v>Mark</v>
      </c>
      <c r="H970" t="str">
        <f t="shared" si="110"/>
        <v/>
      </c>
      <c r="I970" t="str">
        <f t="shared" si="111"/>
        <v/>
      </c>
    </row>
    <row r="971" spans="1:9" x14ac:dyDescent="0.25">
      <c r="A971" t="s">
        <v>562</v>
      </c>
      <c r="B971" s="6">
        <f t="shared" si="112"/>
        <v>3.9743333333333335</v>
      </c>
      <c r="C971" s="3">
        <f t="shared" si="113"/>
        <v>101</v>
      </c>
      <c r="D971" s="3" t="str">
        <f t="shared" si="107"/>
        <v/>
      </c>
      <c r="E971" s="3">
        <f t="shared" si="108"/>
        <v>154</v>
      </c>
      <c r="F971" s="5" t="str">
        <f>IF(C971=0,"Broadcast",IF(D971="",IF(E971="","",IF(E971&lt;128,"Verbind "&amp;E971,INDEX(KdoCodeTab,MATCH(E971,KdoWertTab,0)))),"StatusAbfr "&amp;D971))</f>
        <v>MarkWdh</v>
      </c>
      <c r="G971" t="str">
        <f t="shared" si="109"/>
        <v>MarkWdh</v>
      </c>
      <c r="H971" t="str">
        <f t="shared" si="110"/>
        <v/>
      </c>
      <c r="I971" t="str">
        <f t="shared" si="111"/>
        <v/>
      </c>
    </row>
    <row r="972" spans="1:9" x14ac:dyDescent="0.25">
      <c r="A972" t="s">
        <v>563</v>
      </c>
      <c r="B972" s="6">
        <f t="shared" si="112"/>
        <v>4.0126666666666662</v>
      </c>
      <c r="C972" s="3">
        <f t="shared" si="113"/>
        <v>101</v>
      </c>
      <c r="D972" s="3" t="str">
        <f t="shared" si="107"/>
        <v/>
      </c>
      <c r="E972" s="3">
        <f t="shared" si="108"/>
        <v>147</v>
      </c>
      <c r="F972" s="5" t="str">
        <f>IF(C972=0,"Broadcast",IF(D972="",IF(E972="","",IF(E972&lt;128,"Verbind "&amp;E972,INDEX(KdoCodeTab,MATCH(E972,KdoWertTab,0)))),"StatusAbfr "&amp;D972))</f>
        <v>Space</v>
      </c>
      <c r="G972" t="str">
        <f t="shared" si="109"/>
        <v>Space</v>
      </c>
      <c r="H972" t="str">
        <f t="shared" si="110"/>
        <v/>
      </c>
      <c r="I972" t="str">
        <f t="shared" si="111"/>
        <v/>
      </c>
    </row>
    <row r="973" spans="1:9" x14ac:dyDescent="0.25">
      <c r="A973" t="s">
        <v>564</v>
      </c>
      <c r="B973" s="6">
        <f t="shared" si="112"/>
        <v>4.0136666666666665</v>
      </c>
      <c r="C973" s="3">
        <f t="shared" si="113"/>
        <v>101</v>
      </c>
      <c r="D973" s="3" t="str">
        <f t="shared" si="107"/>
        <v/>
      </c>
      <c r="E973" s="3">
        <f t="shared" si="108"/>
        <v>150</v>
      </c>
      <c r="F973" s="5" t="str">
        <f>IF(C973=0,"Broadcast",IF(D973="",IF(E973="","",IF(E973&lt;128,"Verbind "&amp;E973,INDEX(KdoCodeTab,MATCH(E973,KdoWertTab,0)))),"StatusAbfr "&amp;D973))</f>
        <v>SpaceWdh</v>
      </c>
      <c r="G973" t="str">
        <f t="shared" si="109"/>
        <v>SpaceWdh</v>
      </c>
      <c r="H973" t="str">
        <f t="shared" si="110"/>
        <v/>
      </c>
      <c r="I973" t="str">
        <f t="shared" si="111"/>
        <v/>
      </c>
    </row>
    <row r="974" spans="1:9" x14ac:dyDescent="0.25">
      <c r="A974" t="s">
        <v>565</v>
      </c>
      <c r="B974" s="6">
        <f t="shared" si="112"/>
        <v>4.0328333333333335</v>
      </c>
      <c r="C974" s="3">
        <f t="shared" si="113"/>
        <v>101</v>
      </c>
      <c r="D974" s="3" t="str">
        <f t="shared" si="107"/>
        <v/>
      </c>
      <c r="E974" s="3">
        <f t="shared" si="108"/>
        <v>156</v>
      </c>
      <c r="F974" s="5" t="str">
        <f>IF(C974=0,"Broadcast",IF(D974="",IF(E974="","",IF(E974&lt;128,"Verbind "&amp;E974,INDEX(KdoCodeTab,MATCH(E974,KdoWertTab,0)))),"StatusAbfr "&amp;D974))</f>
        <v>Mark</v>
      </c>
      <c r="G974" t="str">
        <f t="shared" si="109"/>
        <v>Mark</v>
      </c>
      <c r="H974" t="str">
        <f t="shared" si="110"/>
        <v/>
      </c>
      <c r="I974" t="str">
        <f t="shared" si="111"/>
        <v/>
      </c>
    </row>
    <row r="975" spans="1:9" x14ac:dyDescent="0.25">
      <c r="A975" t="s">
        <v>566</v>
      </c>
      <c r="B975" s="6">
        <f t="shared" si="112"/>
        <v>4.0338333333333338</v>
      </c>
      <c r="C975" s="3">
        <f t="shared" si="113"/>
        <v>101</v>
      </c>
      <c r="D975" s="3" t="str">
        <f t="shared" si="107"/>
        <v/>
      </c>
      <c r="E975" s="3">
        <f t="shared" si="108"/>
        <v>154</v>
      </c>
      <c r="F975" s="5" t="str">
        <f>IF(C975=0,"Broadcast",IF(D975="",IF(E975="","",IF(E975&lt;128,"Verbind "&amp;E975,INDEX(KdoCodeTab,MATCH(E975,KdoWertTab,0)))),"StatusAbfr "&amp;D975))</f>
        <v>MarkWdh</v>
      </c>
      <c r="G975" t="str">
        <f t="shared" si="109"/>
        <v>MarkWdh</v>
      </c>
      <c r="H975" t="str">
        <f t="shared" si="110"/>
        <v/>
      </c>
      <c r="I975" t="str">
        <f t="shared" si="111"/>
        <v/>
      </c>
    </row>
    <row r="976" spans="1:9" x14ac:dyDescent="0.25">
      <c r="A976" t="s">
        <v>567</v>
      </c>
      <c r="B976" s="6">
        <f t="shared" si="112"/>
        <v>4.0631666666666666</v>
      </c>
      <c r="C976" s="3">
        <f t="shared" si="113"/>
        <v>101</v>
      </c>
      <c r="D976" s="3" t="str">
        <f t="shared" si="107"/>
        <v/>
      </c>
      <c r="E976" s="3">
        <f t="shared" si="108"/>
        <v>147</v>
      </c>
      <c r="F976" s="5" t="str">
        <f>IF(C976=0,"Broadcast",IF(D976="",IF(E976="","",IF(E976&lt;128,"Verbind "&amp;E976,INDEX(KdoCodeTab,MATCH(E976,KdoWertTab,0)))),"StatusAbfr "&amp;D976))</f>
        <v>Space</v>
      </c>
      <c r="G976" t="str">
        <f t="shared" si="109"/>
        <v>Space</v>
      </c>
      <c r="H976" t="str">
        <f t="shared" si="110"/>
        <v/>
      </c>
      <c r="I976" t="str">
        <f t="shared" si="111"/>
        <v/>
      </c>
    </row>
    <row r="977" spans="1:9" x14ac:dyDescent="0.25">
      <c r="A977" t="s">
        <v>568</v>
      </c>
      <c r="B977" s="6">
        <f t="shared" si="112"/>
        <v>4.0640000000000001</v>
      </c>
      <c r="C977" s="3">
        <f t="shared" si="113"/>
        <v>101</v>
      </c>
      <c r="D977" s="3" t="str">
        <f t="shared" si="107"/>
        <v/>
      </c>
      <c r="E977" s="3">
        <f t="shared" si="108"/>
        <v>150</v>
      </c>
      <c r="F977" s="5" t="str">
        <f>IF(C977=0,"Broadcast",IF(D977="",IF(E977="","",IF(E977&lt;128,"Verbind "&amp;E977,INDEX(KdoCodeTab,MATCH(E977,KdoWertTab,0)))),"StatusAbfr "&amp;D977))</f>
        <v>SpaceWdh</v>
      </c>
      <c r="G977" t="str">
        <f t="shared" si="109"/>
        <v>SpaceWdh</v>
      </c>
      <c r="H977" t="str">
        <f t="shared" si="110"/>
        <v/>
      </c>
      <c r="I977" t="str">
        <f t="shared" si="111"/>
        <v/>
      </c>
    </row>
    <row r="978" spans="1:9" x14ac:dyDescent="0.25">
      <c r="A978" t="s">
        <v>569</v>
      </c>
      <c r="B978" s="6">
        <f t="shared" si="112"/>
        <v>4.0823333333333336</v>
      </c>
      <c r="C978" s="3">
        <f t="shared" si="113"/>
        <v>101</v>
      </c>
      <c r="D978" s="3" t="str">
        <f t="shared" si="107"/>
        <v/>
      </c>
      <c r="E978" s="3">
        <f t="shared" si="108"/>
        <v>156</v>
      </c>
      <c r="F978" s="5" t="str">
        <f>IF(C978=0,"Broadcast",IF(D978="",IF(E978="","",IF(E978&lt;128,"Verbind "&amp;E978,INDEX(KdoCodeTab,MATCH(E978,KdoWertTab,0)))),"StatusAbfr "&amp;D978))</f>
        <v>Mark</v>
      </c>
      <c r="G978" t="str">
        <f t="shared" si="109"/>
        <v>Mark</v>
      </c>
      <c r="H978" t="str">
        <f t="shared" si="110"/>
        <v/>
      </c>
      <c r="I978" t="str">
        <f t="shared" si="111"/>
        <v/>
      </c>
    </row>
    <row r="979" spans="1:9" x14ac:dyDescent="0.25">
      <c r="A979" t="s">
        <v>570</v>
      </c>
      <c r="B979" s="6">
        <f t="shared" si="112"/>
        <v>4.0833333333333339</v>
      </c>
      <c r="C979" s="3">
        <f t="shared" si="113"/>
        <v>101</v>
      </c>
      <c r="D979" s="3" t="str">
        <f t="shared" si="107"/>
        <v/>
      </c>
      <c r="E979" s="3">
        <f t="shared" si="108"/>
        <v>154</v>
      </c>
      <c r="F979" s="5" t="str">
        <f>IF(C979=0,"Broadcast",IF(D979="",IF(E979="","",IF(E979&lt;128,"Verbind "&amp;E979,INDEX(KdoCodeTab,MATCH(E979,KdoWertTab,0)))),"StatusAbfr "&amp;D979))</f>
        <v>MarkWdh</v>
      </c>
      <c r="G979" t="str">
        <f t="shared" si="109"/>
        <v>MarkWdh</v>
      </c>
      <c r="H979" t="str">
        <f t="shared" si="110"/>
        <v/>
      </c>
      <c r="I979" t="str">
        <f t="shared" si="111"/>
        <v/>
      </c>
    </row>
    <row r="980" spans="1:9" x14ac:dyDescent="0.25">
      <c r="A980" t="s">
        <v>571</v>
      </c>
      <c r="B980" s="6">
        <f t="shared" si="112"/>
        <v>4.1026666666666669</v>
      </c>
      <c r="C980" s="3">
        <f t="shared" si="113"/>
        <v>101</v>
      </c>
      <c r="D980" s="3" t="str">
        <f t="shared" si="107"/>
        <v/>
      </c>
      <c r="E980" s="3">
        <f t="shared" si="108"/>
        <v>147</v>
      </c>
      <c r="F980" s="5" t="str">
        <f>IF(C980=0,"Broadcast",IF(D980="",IF(E980="","",IF(E980&lt;128,"Verbind "&amp;E980,INDEX(KdoCodeTab,MATCH(E980,KdoWertTab,0)))),"StatusAbfr "&amp;D980))</f>
        <v>Space</v>
      </c>
      <c r="G980" t="str">
        <f t="shared" si="109"/>
        <v>Space</v>
      </c>
      <c r="H980" t="str">
        <f t="shared" si="110"/>
        <v/>
      </c>
      <c r="I980" t="str">
        <f t="shared" si="111"/>
        <v/>
      </c>
    </row>
    <row r="981" spans="1:9" x14ac:dyDescent="0.25">
      <c r="A981" t="s">
        <v>572</v>
      </c>
      <c r="B981" s="6">
        <f t="shared" si="112"/>
        <v>4.1034999999999995</v>
      </c>
      <c r="C981" s="3">
        <f t="shared" si="113"/>
        <v>101</v>
      </c>
      <c r="D981" s="3" t="str">
        <f t="shared" si="107"/>
        <v/>
      </c>
      <c r="E981" s="3">
        <f t="shared" si="108"/>
        <v>150</v>
      </c>
      <c r="F981" s="5" t="str">
        <f>IF(C981=0,"Broadcast",IF(D981="",IF(E981="","",IF(E981&lt;128,"Verbind "&amp;E981,INDEX(KdoCodeTab,MATCH(E981,KdoWertTab,0)))),"StatusAbfr "&amp;D981))</f>
        <v>SpaceWdh</v>
      </c>
      <c r="G981" t="str">
        <f t="shared" si="109"/>
        <v>SpaceWdh</v>
      </c>
      <c r="H981" t="str">
        <f t="shared" si="110"/>
        <v/>
      </c>
      <c r="I981" t="str">
        <f t="shared" si="111"/>
        <v/>
      </c>
    </row>
    <row r="982" spans="1:9" x14ac:dyDescent="0.25">
      <c r="A982" t="s">
        <v>573</v>
      </c>
      <c r="B982" s="6">
        <f t="shared" si="112"/>
        <v>4.1825000000000001</v>
      </c>
      <c r="C982" s="3">
        <f t="shared" si="113"/>
        <v>101</v>
      </c>
      <c r="D982" s="3" t="str">
        <f t="shared" si="107"/>
        <v/>
      </c>
      <c r="E982" s="3">
        <f t="shared" si="108"/>
        <v>156</v>
      </c>
      <c r="F982" s="5" t="str">
        <f>IF(C982=0,"Broadcast",IF(D982="",IF(E982="","",IF(E982&lt;128,"Verbind "&amp;E982,INDEX(KdoCodeTab,MATCH(E982,KdoWertTab,0)))),"StatusAbfr "&amp;D982))</f>
        <v>Mark</v>
      </c>
      <c r="G982" t="str">
        <f t="shared" si="109"/>
        <v>Mark</v>
      </c>
      <c r="H982" t="str">
        <f t="shared" si="110"/>
        <v/>
      </c>
      <c r="I982" t="str">
        <f t="shared" si="111"/>
        <v/>
      </c>
    </row>
    <row r="983" spans="1:9" x14ac:dyDescent="0.25">
      <c r="A983" t="s">
        <v>574</v>
      </c>
      <c r="B983" s="6">
        <f t="shared" si="112"/>
        <v>4.1834999999999996</v>
      </c>
      <c r="C983" s="3">
        <f t="shared" si="113"/>
        <v>101</v>
      </c>
      <c r="D983" s="3" t="str">
        <f t="shared" si="107"/>
        <v/>
      </c>
      <c r="E983" s="3">
        <f t="shared" si="108"/>
        <v>154</v>
      </c>
      <c r="F983" s="5" t="str">
        <f>IF(C983=0,"Broadcast",IF(D983="",IF(E983="","",IF(E983&lt;128,"Verbind "&amp;E983,INDEX(KdoCodeTab,MATCH(E983,KdoWertTab,0)))),"StatusAbfr "&amp;D983))</f>
        <v>MarkWdh</v>
      </c>
      <c r="G983" t="str">
        <f t="shared" si="109"/>
        <v>MarkWdh</v>
      </c>
      <c r="H983" t="str">
        <f t="shared" si="110"/>
        <v/>
      </c>
      <c r="I983" t="str">
        <f t="shared" si="111"/>
        <v/>
      </c>
    </row>
    <row r="984" spans="1:9" x14ac:dyDescent="0.25">
      <c r="A984" t="s">
        <v>575</v>
      </c>
      <c r="B984" s="6">
        <f t="shared" si="112"/>
        <v>4.2128333333333332</v>
      </c>
      <c r="C984" s="3">
        <f t="shared" si="113"/>
        <v>101</v>
      </c>
      <c r="D984" s="3" t="str">
        <f t="shared" si="107"/>
        <v/>
      </c>
      <c r="E984" s="3">
        <f t="shared" si="108"/>
        <v>147</v>
      </c>
      <c r="F984" s="5" t="str">
        <f>IF(C984=0,"Broadcast",IF(D984="",IF(E984="","",IF(E984&lt;128,"Verbind "&amp;E984,INDEX(KdoCodeTab,MATCH(E984,KdoWertTab,0)))),"StatusAbfr "&amp;D984))</f>
        <v>Space</v>
      </c>
      <c r="G984" t="str">
        <f t="shared" si="109"/>
        <v>Space</v>
      </c>
      <c r="H984" t="str">
        <f t="shared" si="110"/>
        <v/>
      </c>
      <c r="I984" t="str">
        <f t="shared" si="111"/>
        <v/>
      </c>
    </row>
    <row r="985" spans="1:9" x14ac:dyDescent="0.25">
      <c r="A985" t="s">
        <v>576</v>
      </c>
      <c r="B985" s="6">
        <f t="shared" si="112"/>
        <v>4.2136666666666667</v>
      </c>
      <c r="C985" s="3">
        <f t="shared" si="113"/>
        <v>101</v>
      </c>
      <c r="D985" s="3" t="str">
        <f t="shared" si="107"/>
        <v/>
      </c>
      <c r="E985" s="3">
        <f t="shared" si="108"/>
        <v>150</v>
      </c>
      <c r="F985" s="5" t="str">
        <f>IF(C985=0,"Broadcast",IF(D985="",IF(E985="","",IF(E985&lt;128,"Verbind "&amp;E985,INDEX(KdoCodeTab,MATCH(E985,KdoWertTab,0)))),"StatusAbfr "&amp;D985))</f>
        <v>SpaceWdh</v>
      </c>
      <c r="G985" t="str">
        <f t="shared" si="109"/>
        <v>SpaceWdh</v>
      </c>
      <c r="H985" t="str">
        <f t="shared" si="110"/>
        <v/>
      </c>
      <c r="I985" t="str">
        <f t="shared" si="111"/>
        <v/>
      </c>
    </row>
    <row r="986" spans="1:9" x14ac:dyDescent="0.25">
      <c r="A986" t="s">
        <v>577</v>
      </c>
      <c r="B986" s="6">
        <f t="shared" si="112"/>
        <v>4.272333333333334</v>
      </c>
      <c r="C986" s="3">
        <f t="shared" si="113"/>
        <v>101</v>
      </c>
      <c r="D986" s="3" t="str">
        <f t="shared" si="107"/>
        <v/>
      </c>
      <c r="E986" s="3">
        <f t="shared" si="108"/>
        <v>156</v>
      </c>
      <c r="F986" s="5" t="str">
        <f>IF(C986=0,"Broadcast",IF(D986="",IF(E986="","",IF(E986&lt;128,"Verbind "&amp;E986,INDEX(KdoCodeTab,MATCH(E986,KdoWertTab,0)))),"StatusAbfr "&amp;D986))</f>
        <v>Mark</v>
      </c>
      <c r="G986" t="str">
        <f t="shared" si="109"/>
        <v>Mark</v>
      </c>
      <c r="H986" t="str">
        <f t="shared" si="110"/>
        <v/>
      </c>
      <c r="I986" t="str">
        <f t="shared" si="111"/>
        <v/>
      </c>
    </row>
    <row r="987" spans="1:9" x14ac:dyDescent="0.25">
      <c r="A987" t="s">
        <v>578</v>
      </c>
      <c r="B987" s="6">
        <f t="shared" si="112"/>
        <v>4.2733333333333334</v>
      </c>
      <c r="C987" s="3">
        <f t="shared" si="113"/>
        <v>101</v>
      </c>
      <c r="D987" s="3" t="str">
        <f t="shared" si="107"/>
        <v/>
      </c>
      <c r="E987" s="3">
        <f t="shared" si="108"/>
        <v>154</v>
      </c>
      <c r="F987" s="5" t="str">
        <f>IF(C987=0,"Broadcast",IF(D987="",IF(E987="","",IF(E987&lt;128,"Verbind "&amp;E987,INDEX(KdoCodeTab,MATCH(E987,KdoWertTab,0)))),"StatusAbfr "&amp;D987))</f>
        <v>MarkWdh</v>
      </c>
      <c r="G987" t="str">
        <f t="shared" si="109"/>
        <v>MarkWdh</v>
      </c>
      <c r="H987" t="str">
        <f t="shared" si="110"/>
        <v/>
      </c>
      <c r="I987" t="str">
        <f t="shared" si="111"/>
        <v/>
      </c>
    </row>
    <row r="988" spans="1:9" x14ac:dyDescent="0.25">
      <c r="A988" t="s">
        <v>579</v>
      </c>
      <c r="B988" s="6">
        <f t="shared" si="112"/>
        <v>4.3128333333333337</v>
      </c>
      <c r="C988" s="3">
        <f t="shared" si="113"/>
        <v>101</v>
      </c>
      <c r="D988" s="3" t="str">
        <f t="shared" si="107"/>
        <v/>
      </c>
      <c r="E988" s="3">
        <f t="shared" si="108"/>
        <v>147</v>
      </c>
      <c r="F988" s="5" t="str">
        <f>IF(C988=0,"Broadcast",IF(D988="",IF(E988="","",IF(E988&lt;128,"Verbind "&amp;E988,INDEX(KdoCodeTab,MATCH(E988,KdoWertTab,0)))),"StatusAbfr "&amp;D988))</f>
        <v>Space</v>
      </c>
      <c r="G988" t="str">
        <f t="shared" si="109"/>
        <v>Space</v>
      </c>
      <c r="H988" t="str">
        <f t="shared" si="110"/>
        <v/>
      </c>
      <c r="I988" t="str">
        <f t="shared" si="111"/>
        <v/>
      </c>
    </row>
    <row r="989" spans="1:9" x14ac:dyDescent="0.25">
      <c r="A989" t="s">
        <v>580</v>
      </c>
      <c r="B989" s="6">
        <f t="shared" si="112"/>
        <v>4.3136666666666663</v>
      </c>
      <c r="C989" s="3">
        <f t="shared" si="113"/>
        <v>101</v>
      </c>
      <c r="D989" s="3" t="str">
        <f t="shared" si="107"/>
        <v/>
      </c>
      <c r="E989" s="3">
        <f t="shared" si="108"/>
        <v>150</v>
      </c>
      <c r="F989" s="5" t="str">
        <f>IF(C989=0,"Broadcast",IF(D989="",IF(E989="","",IF(E989&lt;128,"Verbind "&amp;E989,INDEX(KdoCodeTab,MATCH(E989,KdoWertTab,0)))),"StatusAbfr "&amp;D989))</f>
        <v>SpaceWdh</v>
      </c>
      <c r="G989" t="str">
        <f t="shared" si="109"/>
        <v>SpaceWdh</v>
      </c>
      <c r="H989" t="str">
        <f t="shared" si="110"/>
        <v/>
      </c>
      <c r="I989" t="str">
        <f t="shared" si="111"/>
        <v/>
      </c>
    </row>
    <row r="990" spans="1:9" x14ac:dyDescent="0.25">
      <c r="A990" t="s">
        <v>581</v>
      </c>
      <c r="B990" s="6">
        <f t="shared" si="112"/>
        <v>4.3330000000000002</v>
      </c>
      <c r="C990" s="3">
        <f t="shared" si="113"/>
        <v>101</v>
      </c>
      <c r="D990" s="3" t="str">
        <f t="shared" si="107"/>
        <v/>
      </c>
      <c r="E990" s="3">
        <f t="shared" si="108"/>
        <v>156</v>
      </c>
      <c r="F990" s="5" t="str">
        <f>IF(C990=0,"Broadcast",IF(D990="",IF(E990="","",IF(E990&lt;128,"Verbind "&amp;E990,INDEX(KdoCodeTab,MATCH(E990,KdoWertTab,0)))),"StatusAbfr "&amp;D990))</f>
        <v>Mark</v>
      </c>
      <c r="G990" t="str">
        <f t="shared" si="109"/>
        <v>Mark</v>
      </c>
      <c r="H990" t="str">
        <f t="shared" si="110"/>
        <v/>
      </c>
      <c r="I990" t="str">
        <f t="shared" si="111"/>
        <v/>
      </c>
    </row>
    <row r="991" spans="1:9" x14ac:dyDescent="0.25">
      <c r="A991" t="s">
        <v>582</v>
      </c>
      <c r="B991" s="6">
        <f t="shared" si="112"/>
        <v>4.3338333333333336</v>
      </c>
      <c r="C991" s="3">
        <f t="shared" si="113"/>
        <v>101</v>
      </c>
      <c r="D991" s="3" t="str">
        <f t="shared" si="107"/>
        <v/>
      </c>
      <c r="E991" s="3">
        <f t="shared" si="108"/>
        <v>154</v>
      </c>
      <c r="F991" s="5" t="str">
        <f>IF(C991=0,"Broadcast",IF(D991="",IF(E991="","",IF(E991&lt;128,"Verbind "&amp;E991,INDEX(KdoCodeTab,MATCH(E991,KdoWertTab,0)))),"StatusAbfr "&amp;D991))</f>
        <v>MarkWdh</v>
      </c>
      <c r="G991" t="str">
        <f t="shared" si="109"/>
        <v>MarkWdh</v>
      </c>
      <c r="H991" t="str">
        <f t="shared" si="110"/>
        <v/>
      </c>
      <c r="I991" t="str">
        <f t="shared" si="111"/>
        <v/>
      </c>
    </row>
    <row r="992" spans="1:9" x14ac:dyDescent="0.25">
      <c r="A992" t="s">
        <v>583</v>
      </c>
      <c r="B992" s="6">
        <f t="shared" si="112"/>
        <v>4.3623333333333338</v>
      </c>
      <c r="C992" s="3">
        <f t="shared" si="113"/>
        <v>101</v>
      </c>
      <c r="D992" s="3" t="str">
        <f t="shared" si="107"/>
        <v/>
      </c>
      <c r="E992" s="3">
        <f t="shared" si="108"/>
        <v>147</v>
      </c>
      <c r="F992" s="5" t="str">
        <f>IF(C992=0,"Broadcast",IF(D992="",IF(E992="","",IF(E992&lt;128,"Verbind "&amp;E992,INDEX(KdoCodeTab,MATCH(E992,KdoWertTab,0)))),"StatusAbfr "&amp;D992))</f>
        <v>Space</v>
      </c>
      <c r="G992" t="str">
        <f t="shared" si="109"/>
        <v>Space</v>
      </c>
      <c r="H992" t="str">
        <f t="shared" si="110"/>
        <v/>
      </c>
      <c r="I992" t="str">
        <f t="shared" si="111"/>
        <v/>
      </c>
    </row>
    <row r="993" spans="1:9" x14ac:dyDescent="0.25">
      <c r="A993" t="s">
        <v>584</v>
      </c>
      <c r="B993" s="6">
        <f t="shared" si="112"/>
        <v>4.3630000000000004</v>
      </c>
      <c r="C993" s="3">
        <f t="shared" si="113"/>
        <v>31</v>
      </c>
      <c r="D993" s="3" t="str">
        <f t="shared" si="107"/>
        <v/>
      </c>
      <c r="E993" s="3">
        <f t="shared" si="108"/>
        <v>154</v>
      </c>
      <c r="F993" s="5" t="str">
        <f>IF(C993=0,"Broadcast",IF(D993="",IF(E993="","",IF(E993&lt;128,"Verbind "&amp;E993,INDEX(KdoCodeTab,MATCH(E993,KdoWertTab,0)))),"StatusAbfr "&amp;D993))</f>
        <v>MarkWdh</v>
      </c>
      <c r="G993" t="str">
        <f t="shared" si="109"/>
        <v/>
      </c>
      <c r="H993" t="str">
        <f t="shared" si="110"/>
        <v>MarkWdh</v>
      </c>
      <c r="I993" t="str">
        <f t="shared" si="111"/>
        <v/>
      </c>
    </row>
    <row r="994" spans="1:9" x14ac:dyDescent="0.25">
      <c r="A994" t="s">
        <v>585</v>
      </c>
      <c r="B994" s="6">
        <f t="shared" si="112"/>
        <v>4.363666666666667</v>
      </c>
      <c r="C994" s="3">
        <f t="shared" si="113"/>
        <v>101</v>
      </c>
      <c r="D994" s="3" t="str">
        <f t="shared" si="107"/>
        <v/>
      </c>
      <c r="E994" s="3">
        <f t="shared" si="108"/>
        <v>150</v>
      </c>
      <c r="F994" s="5" t="str">
        <f>IF(C994=0,"Broadcast",IF(D994="",IF(E994="","",IF(E994&lt;128,"Verbind "&amp;E994,INDEX(KdoCodeTab,MATCH(E994,KdoWertTab,0)))),"StatusAbfr "&amp;D994))</f>
        <v>SpaceWdh</v>
      </c>
      <c r="G994" t="str">
        <f t="shared" si="109"/>
        <v>SpaceWdh</v>
      </c>
      <c r="H994" t="str">
        <f t="shared" si="110"/>
        <v/>
      </c>
      <c r="I994" t="str">
        <f t="shared" si="111"/>
        <v/>
      </c>
    </row>
    <row r="995" spans="1:9" x14ac:dyDescent="0.25">
      <c r="A995" t="s">
        <v>586</v>
      </c>
      <c r="B995" s="6">
        <f t="shared" si="112"/>
        <v>4.4228333333333332</v>
      </c>
      <c r="C995" s="3">
        <f t="shared" si="113"/>
        <v>101</v>
      </c>
      <c r="D995" s="3" t="str">
        <f t="shared" si="107"/>
        <v/>
      </c>
      <c r="E995" s="3">
        <f t="shared" si="108"/>
        <v>156</v>
      </c>
      <c r="F995" s="5" t="str">
        <f>IF(C995=0,"Broadcast",IF(D995="",IF(E995="","",IF(E995&lt;128,"Verbind "&amp;E995,INDEX(KdoCodeTab,MATCH(E995,KdoWertTab,0)))),"StatusAbfr "&amp;D995))</f>
        <v>Mark</v>
      </c>
      <c r="G995" t="str">
        <f t="shared" si="109"/>
        <v>Mark</v>
      </c>
      <c r="H995" t="str">
        <f t="shared" si="110"/>
        <v/>
      </c>
      <c r="I995" t="str">
        <f t="shared" si="111"/>
        <v/>
      </c>
    </row>
    <row r="996" spans="1:9" x14ac:dyDescent="0.25">
      <c r="A996" t="s">
        <v>587</v>
      </c>
      <c r="B996" s="6">
        <f t="shared" si="112"/>
        <v>4.4238333333333335</v>
      </c>
      <c r="C996" s="3">
        <f t="shared" si="113"/>
        <v>101</v>
      </c>
      <c r="D996" s="3" t="str">
        <f t="shared" si="107"/>
        <v/>
      </c>
      <c r="E996" s="3">
        <f t="shared" si="108"/>
        <v>154</v>
      </c>
      <c r="F996" s="5" t="str">
        <f>IF(C996=0,"Broadcast",IF(D996="",IF(E996="","",IF(E996&lt;128,"Verbind "&amp;E996,INDEX(KdoCodeTab,MATCH(E996,KdoWertTab,0)))),"StatusAbfr "&amp;D996))</f>
        <v>MarkWdh</v>
      </c>
      <c r="G996" t="str">
        <f t="shared" si="109"/>
        <v>MarkWdh</v>
      </c>
      <c r="H996" t="str">
        <f t="shared" si="110"/>
        <v/>
      </c>
      <c r="I996" t="str">
        <f t="shared" si="111"/>
        <v/>
      </c>
    </row>
    <row r="997" spans="1:9" x14ac:dyDescent="0.25">
      <c r="A997" t="s">
        <v>588</v>
      </c>
      <c r="B997" s="6">
        <f t="shared" si="112"/>
        <v>4.4431666666666665</v>
      </c>
      <c r="C997" s="3">
        <f t="shared" si="113"/>
        <v>101</v>
      </c>
      <c r="D997" s="3" t="str">
        <f t="shared" si="107"/>
        <v/>
      </c>
      <c r="E997" s="3">
        <f t="shared" si="108"/>
        <v>147</v>
      </c>
      <c r="F997" s="5" t="str">
        <f>IF(C997=0,"Broadcast",IF(D997="",IF(E997="","",IF(E997&lt;128,"Verbind "&amp;E997,INDEX(KdoCodeTab,MATCH(E997,KdoWertTab,0)))),"StatusAbfr "&amp;D997))</f>
        <v>Space</v>
      </c>
      <c r="G997" t="str">
        <f t="shared" si="109"/>
        <v>Space</v>
      </c>
      <c r="H997" t="str">
        <f t="shared" si="110"/>
        <v/>
      </c>
      <c r="I997" t="str">
        <f t="shared" si="111"/>
        <v/>
      </c>
    </row>
    <row r="998" spans="1:9" x14ac:dyDescent="0.25">
      <c r="A998" t="s">
        <v>589</v>
      </c>
      <c r="B998" s="6">
        <f t="shared" si="112"/>
        <v>4.444</v>
      </c>
      <c r="C998" s="3">
        <f t="shared" si="113"/>
        <v>101</v>
      </c>
      <c r="D998" s="3" t="str">
        <f t="shared" si="107"/>
        <v/>
      </c>
      <c r="E998" s="3">
        <f t="shared" si="108"/>
        <v>150</v>
      </c>
      <c r="F998" s="5" t="str">
        <f>IF(C998=0,"Broadcast",IF(D998="",IF(E998="","",IF(E998&lt;128,"Verbind "&amp;E998,INDEX(KdoCodeTab,MATCH(E998,KdoWertTab,0)))),"StatusAbfr "&amp;D998))</f>
        <v>SpaceWdh</v>
      </c>
      <c r="G998" t="str">
        <f t="shared" si="109"/>
        <v>SpaceWdh</v>
      </c>
      <c r="H998" t="str">
        <f t="shared" si="110"/>
        <v/>
      </c>
      <c r="I998" t="str">
        <f t="shared" si="111"/>
        <v/>
      </c>
    </row>
    <row r="999" spans="1:9" x14ac:dyDescent="0.25">
      <c r="A999" t="s">
        <v>590</v>
      </c>
      <c r="B999" s="6">
        <f t="shared" si="112"/>
        <v>4.4834999999999994</v>
      </c>
      <c r="C999" s="3">
        <f t="shared" si="113"/>
        <v>101</v>
      </c>
      <c r="D999" s="3" t="str">
        <f t="shared" si="107"/>
        <v/>
      </c>
      <c r="E999" s="3">
        <f t="shared" si="108"/>
        <v>156</v>
      </c>
      <c r="F999" s="5" t="str">
        <f>IF(C999=0,"Broadcast",IF(D999="",IF(E999="","",IF(E999&lt;128,"Verbind "&amp;E999,INDEX(KdoCodeTab,MATCH(E999,KdoWertTab,0)))),"StatusAbfr "&amp;D999))</f>
        <v>Mark</v>
      </c>
      <c r="G999" t="str">
        <f t="shared" si="109"/>
        <v>Mark</v>
      </c>
      <c r="H999" t="str">
        <f t="shared" si="110"/>
        <v/>
      </c>
      <c r="I999" t="str">
        <f t="shared" si="111"/>
        <v/>
      </c>
    </row>
    <row r="1000" spans="1:9" x14ac:dyDescent="0.25">
      <c r="A1000" t="s">
        <v>591</v>
      </c>
      <c r="B1000" s="6">
        <f t="shared" si="112"/>
        <v>4.4844999999999997</v>
      </c>
      <c r="C1000" s="3">
        <f t="shared" si="113"/>
        <v>101</v>
      </c>
      <c r="D1000" s="3" t="str">
        <f t="shared" si="107"/>
        <v/>
      </c>
      <c r="E1000" s="3">
        <f t="shared" si="108"/>
        <v>154</v>
      </c>
      <c r="F1000" s="5" t="str">
        <f>IF(C1000=0,"Broadcast",IF(D1000="",IF(E1000="","",IF(E1000&lt;128,"Verbind "&amp;E1000,INDEX(KdoCodeTab,MATCH(E1000,KdoWertTab,0)))),"StatusAbfr "&amp;D1000))</f>
        <v>MarkWdh</v>
      </c>
      <c r="G1000" t="str">
        <f t="shared" si="109"/>
        <v>MarkWdh</v>
      </c>
      <c r="H1000" t="str">
        <f t="shared" si="110"/>
        <v/>
      </c>
      <c r="I1000" t="str">
        <f t="shared" si="111"/>
        <v/>
      </c>
    </row>
    <row r="1001" spans="1:9" x14ac:dyDescent="0.25">
      <c r="A1001" t="s">
        <v>592</v>
      </c>
      <c r="B1001" s="6">
        <f t="shared" si="112"/>
        <v>4.5186666666666664</v>
      </c>
      <c r="C1001" s="3">
        <f t="shared" si="113"/>
        <v>101</v>
      </c>
      <c r="D1001" s="3" t="str">
        <f t="shared" si="107"/>
        <v/>
      </c>
      <c r="E1001" s="3">
        <f t="shared" si="108"/>
        <v>169</v>
      </c>
      <c r="F1001" s="5" t="str">
        <f>IF(C1001=0,"Broadcast",IF(D1001="",IF(E1001="","",IF(E1001&lt;128,"Verbind "&amp;E1001,INDEX(KdoCodeTab,MATCH(E1001,KdoWertTab,0)))),"StatusAbfr "&amp;D1001))</f>
        <v>BusLebenszeichen</v>
      </c>
      <c r="G1001" t="str">
        <f t="shared" si="109"/>
        <v>BusLebenszeichen</v>
      </c>
      <c r="H1001" t="str">
        <f t="shared" si="110"/>
        <v/>
      </c>
      <c r="I1001" t="str">
        <f t="shared" si="111"/>
        <v/>
      </c>
    </row>
    <row r="1002" spans="1:9" x14ac:dyDescent="0.25">
      <c r="A1002" t="s">
        <v>593</v>
      </c>
      <c r="B1002" s="6">
        <f t="shared" si="112"/>
        <v>4.652166666666667</v>
      </c>
      <c r="C1002" s="3">
        <f t="shared" si="113"/>
        <v>101</v>
      </c>
      <c r="D1002" s="3" t="str">
        <f t="shared" si="107"/>
        <v/>
      </c>
      <c r="E1002" s="3">
        <f t="shared" si="108"/>
        <v>147</v>
      </c>
      <c r="F1002" s="5" t="str">
        <f>IF(C1002=0,"Broadcast",IF(D1002="",IF(E1002="","",IF(E1002&lt;128,"Verbind "&amp;E1002,INDEX(KdoCodeTab,MATCH(E1002,KdoWertTab,0)))),"StatusAbfr "&amp;D1002))</f>
        <v>Space</v>
      </c>
      <c r="G1002" t="str">
        <f t="shared" si="109"/>
        <v>Space</v>
      </c>
      <c r="H1002" t="str">
        <f t="shared" si="110"/>
        <v/>
      </c>
      <c r="I1002" t="str">
        <f t="shared" si="111"/>
        <v/>
      </c>
    </row>
    <row r="1003" spans="1:9" x14ac:dyDescent="0.25">
      <c r="A1003" t="s">
        <v>594</v>
      </c>
      <c r="B1003" s="6">
        <f t="shared" si="112"/>
        <v>4.6531666666666665</v>
      </c>
      <c r="C1003" s="3">
        <f t="shared" si="113"/>
        <v>101</v>
      </c>
      <c r="D1003" s="3" t="str">
        <f t="shared" si="107"/>
        <v/>
      </c>
      <c r="E1003" s="3">
        <f t="shared" si="108"/>
        <v>150</v>
      </c>
      <c r="F1003" s="5" t="str">
        <f>IF(C1003=0,"Broadcast",IF(D1003="",IF(E1003="","",IF(E1003&lt;128,"Verbind "&amp;E1003,INDEX(KdoCodeTab,MATCH(E1003,KdoWertTab,0)))),"StatusAbfr "&amp;D1003))</f>
        <v>SpaceWdh</v>
      </c>
      <c r="G1003" t="str">
        <f t="shared" si="109"/>
        <v>SpaceWdh</v>
      </c>
      <c r="H1003" t="str">
        <f t="shared" si="110"/>
        <v/>
      </c>
      <c r="I1003" t="str">
        <f t="shared" si="111"/>
        <v/>
      </c>
    </row>
    <row r="1004" spans="1:9" x14ac:dyDescent="0.25">
      <c r="A1004" t="s">
        <v>595</v>
      </c>
      <c r="B1004" s="6">
        <f t="shared" si="112"/>
        <v>4.7523333333333335</v>
      </c>
      <c r="C1004" s="3">
        <f t="shared" si="113"/>
        <v>101</v>
      </c>
      <c r="D1004" s="3" t="str">
        <f t="shared" si="107"/>
        <v/>
      </c>
      <c r="E1004" s="3">
        <f t="shared" si="108"/>
        <v>156</v>
      </c>
      <c r="F1004" s="5" t="str">
        <f>IF(C1004=0,"Broadcast",IF(D1004="",IF(E1004="","",IF(E1004&lt;128,"Verbind "&amp;E1004,INDEX(KdoCodeTab,MATCH(E1004,KdoWertTab,0)))),"StatusAbfr "&amp;D1004))</f>
        <v>Mark</v>
      </c>
      <c r="G1004" t="str">
        <f t="shared" si="109"/>
        <v>Mark</v>
      </c>
      <c r="H1004" t="str">
        <f t="shared" si="110"/>
        <v/>
      </c>
      <c r="I1004" t="str">
        <f t="shared" si="111"/>
        <v/>
      </c>
    </row>
    <row r="1005" spans="1:9" x14ac:dyDescent="0.25">
      <c r="A1005" t="s">
        <v>596</v>
      </c>
      <c r="B1005" s="6">
        <f t="shared" si="112"/>
        <v>4.753166666666667</v>
      </c>
      <c r="C1005" s="3">
        <f t="shared" si="113"/>
        <v>101</v>
      </c>
      <c r="D1005" s="3" t="str">
        <f t="shared" si="107"/>
        <v/>
      </c>
      <c r="E1005" s="3">
        <f t="shared" si="108"/>
        <v>154</v>
      </c>
      <c r="F1005" s="5" t="str">
        <f>IF(C1005=0,"Broadcast",IF(D1005="",IF(E1005="","",IF(E1005&lt;128,"Verbind "&amp;E1005,INDEX(KdoCodeTab,MATCH(E1005,KdoWertTab,0)))),"StatusAbfr "&amp;D1005))</f>
        <v>MarkWdh</v>
      </c>
      <c r="G1005" t="str">
        <f t="shared" si="109"/>
        <v>MarkWdh</v>
      </c>
      <c r="H1005" t="str">
        <f t="shared" si="110"/>
        <v/>
      </c>
      <c r="I1005" t="str">
        <f t="shared" si="111"/>
        <v/>
      </c>
    </row>
    <row r="1006" spans="1:9" x14ac:dyDescent="0.25">
      <c r="A1006" t="s">
        <v>597</v>
      </c>
      <c r="B1006" s="6">
        <f t="shared" si="112"/>
        <v>4.8028333333333331</v>
      </c>
      <c r="C1006" s="3">
        <f t="shared" si="113"/>
        <v>101</v>
      </c>
      <c r="D1006" s="3" t="str">
        <f t="shared" si="107"/>
        <v/>
      </c>
      <c r="E1006" s="3">
        <f t="shared" si="108"/>
        <v>147</v>
      </c>
      <c r="F1006" s="5" t="str">
        <f>IF(C1006=0,"Broadcast",IF(D1006="",IF(E1006="","",IF(E1006&lt;128,"Verbind "&amp;E1006,INDEX(KdoCodeTab,MATCH(E1006,KdoWertTab,0)))),"StatusAbfr "&amp;D1006))</f>
        <v>Space</v>
      </c>
      <c r="G1006" t="str">
        <f t="shared" si="109"/>
        <v>Space</v>
      </c>
      <c r="H1006" t="str">
        <f t="shared" si="110"/>
        <v/>
      </c>
      <c r="I1006" t="str">
        <f t="shared" si="111"/>
        <v/>
      </c>
    </row>
    <row r="1007" spans="1:9" x14ac:dyDescent="0.25">
      <c r="A1007" t="s">
        <v>598</v>
      </c>
      <c r="B1007" s="6">
        <f t="shared" si="112"/>
        <v>4.8036666666666665</v>
      </c>
      <c r="C1007" s="3">
        <f t="shared" si="113"/>
        <v>101</v>
      </c>
      <c r="D1007" s="3" t="str">
        <f t="shared" si="107"/>
        <v/>
      </c>
      <c r="E1007" s="3">
        <f t="shared" si="108"/>
        <v>150</v>
      </c>
      <c r="F1007" s="5" t="str">
        <f>IF(C1007=0,"Broadcast",IF(D1007="",IF(E1007="","",IF(E1007&lt;128,"Verbind "&amp;E1007,INDEX(KdoCodeTab,MATCH(E1007,KdoWertTab,0)))),"StatusAbfr "&amp;D1007))</f>
        <v>SpaceWdh</v>
      </c>
      <c r="G1007" t="str">
        <f t="shared" si="109"/>
        <v>SpaceWdh</v>
      </c>
      <c r="H1007" t="str">
        <f t="shared" si="110"/>
        <v/>
      </c>
      <c r="I1007" t="str">
        <f t="shared" si="111"/>
        <v/>
      </c>
    </row>
    <row r="1008" spans="1:9" x14ac:dyDescent="0.25">
      <c r="A1008" t="s">
        <v>599</v>
      </c>
      <c r="B1008" s="6">
        <f t="shared" si="112"/>
        <v>4.8230000000000004</v>
      </c>
      <c r="C1008" s="3">
        <f t="shared" si="113"/>
        <v>101</v>
      </c>
      <c r="D1008" s="3" t="str">
        <f t="shared" si="107"/>
        <v/>
      </c>
      <c r="E1008" s="3">
        <f t="shared" si="108"/>
        <v>156</v>
      </c>
      <c r="F1008" s="5" t="str">
        <f>IF(C1008=0,"Broadcast",IF(D1008="",IF(E1008="","",IF(E1008&lt;128,"Verbind "&amp;E1008,INDEX(KdoCodeTab,MATCH(E1008,KdoWertTab,0)))),"StatusAbfr "&amp;D1008))</f>
        <v>Mark</v>
      </c>
      <c r="G1008" t="str">
        <f t="shared" si="109"/>
        <v>Mark</v>
      </c>
      <c r="H1008" t="str">
        <f t="shared" si="110"/>
        <v/>
      </c>
      <c r="I1008" t="str">
        <f t="shared" si="111"/>
        <v/>
      </c>
    </row>
    <row r="1009" spans="1:9" x14ac:dyDescent="0.25">
      <c r="A1009" t="s">
        <v>600</v>
      </c>
      <c r="B1009" s="6">
        <f t="shared" si="112"/>
        <v>4.8238333333333339</v>
      </c>
      <c r="C1009" s="3">
        <f t="shared" si="113"/>
        <v>101</v>
      </c>
      <c r="D1009" s="3" t="str">
        <f t="shared" si="107"/>
        <v/>
      </c>
      <c r="E1009" s="3">
        <f t="shared" si="108"/>
        <v>154</v>
      </c>
      <c r="F1009" s="5" t="str">
        <f>IF(C1009=0,"Broadcast",IF(D1009="",IF(E1009="","",IF(E1009&lt;128,"Verbind "&amp;E1009,INDEX(KdoCodeTab,MATCH(E1009,KdoWertTab,0)))),"StatusAbfr "&amp;D1009))</f>
        <v>MarkWdh</v>
      </c>
      <c r="G1009" t="str">
        <f t="shared" si="109"/>
        <v>MarkWdh</v>
      </c>
      <c r="H1009" t="str">
        <f t="shared" si="110"/>
        <v/>
      </c>
      <c r="I1009" t="str">
        <f t="shared" si="111"/>
        <v/>
      </c>
    </row>
    <row r="1010" spans="1:9" x14ac:dyDescent="0.25">
      <c r="A1010" t="s">
        <v>601</v>
      </c>
      <c r="B1010" s="6">
        <f t="shared" si="112"/>
        <v>4.8431666666666668</v>
      </c>
      <c r="C1010" s="3">
        <f t="shared" si="113"/>
        <v>101</v>
      </c>
      <c r="D1010" s="3" t="str">
        <f t="shared" si="107"/>
        <v/>
      </c>
      <c r="E1010" s="3">
        <f t="shared" si="108"/>
        <v>147</v>
      </c>
      <c r="F1010" s="5" t="str">
        <f>IF(C1010=0,"Broadcast",IF(D1010="",IF(E1010="","",IF(E1010&lt;128,"Verbind "&amp;E1010,INDEX(KdoCodeTab,MATCH(E1010,KdoWertTab,0)))),"StatusAbfr "&amp;D1010))</f>
        <v>Space</v>
      </c>
      <c r="G1010" t="str">
        <f t="shared" si="109"/>
        <v>Space</v>
      </c>
      <c r="H1010" t="str">
        <f t="shared" si="110"/>
        <v/>
      </c>
      <c r="I1010" t="str">
        <f t="shared" si="111"/>
        <v/>
      </c>
    </row>
    <row r="1011" spans="1:9" x14ac:dyDescent="0.25">
      <c r="A1011" t="s">
        <v>602</v>
      </c>
      <c r="B1011" s="6">
        <f t="shared" si="112"/>
        <v>4.8440000000000003</v>
      </c>
      <c r="C1011" s="3">
        <f t="shared" si="113"/>
        <v>101</v>
      </c>
      <c r="D1011" s="3" t="str">
        <f t="shared" si="107"/>
        <v/>
      </c>
      <c r="E1011" s="3">
        <f t="shared" si="108"/>
        <v>150</v>
      </c>
      <c r="F1011" s="5" t="str">
        <f>IF(C1011=0,"Broadcast",IF(D1011="",IF(E1011="","",IF(E1011&lt;128,"Verbind "&amp;E1011,INDEX(KdoCodeTab,MATCH(E1011,KdoWertTab,0)))),"StatusAbfr "&amp;D1011))</f>
        <v>SpaceWdh</v>
      </c>
      <c r="G1011" t="str">
        <f t="shared" si="109"/>
        <v>SpaceWdh</v>
      </c>
      <c r="H1011" t="str">
        <f t="shared" si="110"/>
        <v/>
      </c>
      <c r="I1011" t="str">
        <f t="shared" si="111"/>
        <v/>
      </c>
    </row>
    <row r="1012" spans="1:9" x14ac:dyDescent="0.25">
      <c r="A1012" t="s">
        <v>603</v>
      </c>
      <c r="B1012" s="6">
        <f t="shared" si="112"/>
        <v>4.8686666666666669</v>
      </c>
      <c r="C1012" s="3">
        <f t="shared" si="113"/>
        <v>31</v>
      </c>
      <c r="D1012" s="3" t="str">
        <f t="shared" si="107"/>
        <v/>
      </c>
      <c r="E1012" s="3">
        <f t="shared" si="108"/>
        <v>154</v>
      </c>
      <c r="F1012" s="5" t="str">
        <f>IF(C1012=0,"Broadcast",IF(D1012="",IF(E1012="","",IF(E1012&lt;128,"Verbind "&amp;E1012,INDEX(KdoCodeTab,MATCH(E1012,KdoWertTab,0)))),"StatusAbfr "&amp;D1012))</f>
        <v>MarkWdh</v>
      </c>
      <c r="G1012" t="str">
        <f t="shared" si="109"/>
        <v/>
      </c>
      <c r="H1012" t="str">
        <f t="shared" si="110"/>
        <v>MarkWdh</v>
      </c>
      <c r="I1012" t="str">
        <f t="shared" si="111"/>
        <v/>
      </c>
    </row>
    <row r="1013" spans="1:9" x14ac:dyDescent="0.25">
      <c r="A1013" t="s">
        <v>604</v>
      </c>
      <c r="B1013" s="6">
        <f t="shared" si="112"/>
        <v>4.923</v>
      </c>
      <c r="C1013" s="3">
        <f t="shared" si="113"/>
        <v>101</v>
      </c>
      <c r="D1013" s="3" t="str">
        <f t="shared" si="107"/>
        <v/>
      </c>
      <c r="E1013" s="3">
        <f t="shared" si="108"/>
        <v>156</v>
      </c>
      <c r="F1013" s="5" t="str">
        <f>IF(C1013=0,"Broadcast",IF(D1013="",IF(E1013="","",IF(E1013&lt;128,"Verbind "&amp;E1013,INDEX(KdoCodeTab,MATCH(E1013,KdoWertTab,0)))),"StatusAbfr "&amp;D1013))</f>
        <v>Mark</v>
      </c>
      <c r="G1013" t="str">
        <f t="shared" si="109"/>
        <v>Mark</v>
      </c>
      <c r="H1013" t="str">
        <f t="shared" si="110"/>
        <v/>
      </c>
      <c r="I1013" t="str">
        <f t="shared" si="111"/>
        <v/>
      </c>
    </row>
    <row r="1014" spans="1:9" x14ac:dyDescent="0.25">
      <c r="A1014" t="s">
        <v>605</v>
      </c>
      <c r="B1014" s="6">
        <f t="shared" si="112"/>
        <v>4.9240000000000004</v>
      </c>
      <c r="C1014" s="3">
        <f t="shared" si="113"/>
        <v>101</v>
      </c>
      <c r="D1014" s="3" t="str">
        <f t="shared" si="107"/>
        <v/>
      </c>
      <c r="E1014" s="3">
        <f t="shared" si="108"/>
        <v>154</v>
      </c>
      <c r="F1014" s="5" t="str">
        <f>IF(C1014=0,"Broadcast",IF(D1014="",IF(E1014="","",IF(E1014&lt;128,"Verbind "&amp;E1014,INDEX(KdoCodeTab,MATCH(E1014,KdoWertTab,0)))),"StatusAbfr "&amp;D1014))</f>
        <v>MarkWdh</v>
      </c>
      <c r="G1014" t="str">
        <f t="shared" si="109"/>
        <v>MarkWdh</v>
      </c>
      <c r="H1014" t="str">
        <f t="shared" si="110"/>
        <v/>
      </c>
      <c r="I1014" t="str">
        <f t="shared" si="111"/>
        <v/>
      </c>
    </row>
    <row r="1015" spans="1:9" x14ac:dyDescent="0.25">
      <c r="A1015" t="s">
        <v>606</v>
      </c>
      <c r="B1015" s="6">
        <f t="shared" si="112"/>
        <v>4.9864999999999995</v>
      </c>
      <c r="C1015" s="3">
        <f t="shared" si="113"/>
        <v>101</v>
      </c>
      <c r="D1015" s="3" t="str">
        <f t="shared" si="107"/>
        <v/>
      </c>
      <c r="E1015" s="3">
        <f t="shared" si="108"/>
        <v>147</v>
      </c>
      <c r="F1015" s="5" t="str">
        <f>IF(C1015=0,"Broadcast",IF(D1015="",IF(E1015="","",IF(E1015&lt;128,"Verbind "&amp;E1015,INDEX(KdoCodeTab,MATCH(E1015,KdoWertTab,0)))),"StatusAbfr "&amp;D1015))</f>
        <v>Space</v>
      </c>
      <c r="G1015" t="str">
        <f t="shared" si="109"/>
        <v>Space</v>
      </c>
      <c r="H1015" t="str">
        <f t="shared" si="110"/>
        <v/>
      </c>
      <c r="I1015" t="str">
        <f t="shared" si="111"/>
        <v/>
      </c>
    </row>
    <row r="1016" spans="1:9" x14ac:dyDescent="0.25">
      <c r="A1016" t="s">
        <v>607</v>
      </c>
      <c r="B1016" s="6">
        <f t="shared" si="112"/>
        <v>4.9874999999999998</v>
      </c>
      <c r="C1016" s="3">
        <f t="shared" si="113"/>
        <v>101</v>
      </c>
      <c r="D1016" s="3" t="str">
        <f t="shared" si="107"/>
        <v/>
      </c>
      <c r="E1016" s="3">
        <f t="shared" si="108"/>
        <v>150</v>
      </c>
      <c r="F1016" s="5" t="str">
        <f>IF(C1016=0,"Broadcast",IF(D1016="",IF(E1016="","",IF(E1016&lt;128,"Verbind "&amp;E1016,INDEX(KdoCodeTab,MATCH(E1016,KdoWertTab,0)))),"StatusAbfr "&amp;D1016))</f>
        <v>SpaceWdh</v>
      </c>
      <c r="G1016" t="str">
        <f t="shared" si="109"/>
        <v>SpaceWdh</v>
      </c>
      <c r="H1016" t="str">
        <f t="shared" si="110"/>
        <v/>
      </c>
      <c r="I1016" t="str">
        <f t="shared" si="111"/>
        <v/>
      </c>
    </row>
    <row r="1017" spans="1:9" x14ac:dyDescent="0.25">
      <c r="A1017" t="s">
        <v>608</v>
      </c>
      <c r="B1017" s="6">
        <f t="shared" si="112"/>
        <v>5.0078333333333331</v>
      </c>
      <c r="C1017" s="3">
        <f t="shared" si="113"/>
        <v>101</v>
      </c>
      <c r="D1017" s="3" t="str">
        <f t="shared" si="107"/>
        <v/>
      </c>
      <c r="E1017" s="3">
        <f t="shared" si="108"/>
        <v>156</v>
      </c>
      <c r="F1017" s="5" t="str">
        <f>IF(C1017=0,"Broadcast",IF(D1017="",IF(E1017="","",IF(E1017&lt;128,"Verbind "&amp;E1017,INDEX(KdoCodeTab,MATCH(E1017,KdoWertTab,0)))),"StatusAbfr "&amp;D1017))</f>
        <v>Mark</v>
      </c>
      <c r="G1017" t="str">
        <f t="shared" si="109"/>
        <v>Mark</v>
      </c>
      <c r="H1017" t="str">
        <f t="shared" si="110"/>
        <v/>
      </c>
      <c r="I1017" t="str">
        <f t="shared" si="111"/>
        <v/>
      </c>
    </row>
    <row r="1018" spans="1:9" x14ac:dyDescent="0.25">
      <c r="A1018" t="s">
        <v>609</v>
      </c>
      <c r="B1018" s="6">
        <f t="shared" si="112"/>
        <v>5.0088333333333335</v>
      </c>
      <c r="C1018" s="3">
        <f t="shared" si="113"/>
        <v>101</v>
      </c>
      <c r="D1018" s="3" t="str">
        <f t="shared" si="107"/>
        <v/>
      </c>
      <c r="E1018" s="3">
        <f t="shared" si="108"/>
        <v>154</v>
      </c>
      <c r="F1018" s="5" t="str">
        <f>IF(C1018=0,"Broadcast",IF(D1018="",IF(E1018="","",IF(E1018&lt;128,"Verbind "&amp;E1018,INDEX(KdoCodeTab,MATCH(E1018,KdoWertTab,0)))),"StatusAbfr "&amp;D1018))</f>
        <v>MarkWdh</v>
      </c>
      <c r="G1018" t="str">
        <f t="shared" si="109"/>
        <v>MarkWdh</v>
      </c>
      <c r="H1018" t="str">
        <f t="shared" si="110"/>
        <v/>
      </c>
      <c r="I1018" t="str">
        <f t="shared" si="111"/>
        <v/>
      </c>
    </row>
    <row r="1019" spans="1:9" x14ac:dyDescent="0.25">
      <c r="A1019" t="s">
        <v>610</v>
      </c>
      <c r="B1019" s="6">
        <f t="shared" si="112"/>
        <v>5.027166666666667</v>
      </c>
      <c r="C1019" s="3">
        <f t="shared" si="113"/>
        <v>101</v>
      </c>
      <c r="D1019" s="3" t="str">
        <f t="shared" ref="D1019:D1082" si="114">IF(MID(A1019,10,1)="&lt;",MID(A1019,12,2),"")</f>
        <v/>
      </c>
      <c r="E1019" s="3">
        <f t="shared" ref="E1019:E1082" si="115">IF(MID(A1019,10,1)="&gt;",HEX2DEC(MID(A1019,12,2)),"")</f>
        <v>147</v>
      </c>
      <c r="F1019" s="5" t="str">
        <f>IF(C1019=0,"Broadcast",IF(D1019="",IF(E1019="","",IF(E1019&lt;128,"Verbind "&amp;E1019,INDEX(KdoCodeTab,MATCH(E1019,KdoWertTab,0)))),"StatusAbfr "&amp;D1019))</f>
        <v>Space</v>
      </c>
      <c r="G1019" t="str">
        <f t="shared" ref="G1019:G1082" si="116">IF(C1019=$G$2,F1019,"")</f>
        <v>Space</v>
      </c>
      <c r="H1019" t="str">
        <f t="shared" ref="H1019:H1082" si="117">IF(C1019=$H$2,F1019,"")</f>
        <v/>
      </c>
      <c r="I1019" t="str">
        <f t="shared" ref="I1019:I1082" si="118">IF(G1019&amp;H1019="",F1019,"")</f>
        <v/>
      </c>
    </row>
    <row r="1020" spans="1:9" x14ac:dyDescent="0.25">
      <c r="A1020" t="s">
        <v>611</v>
      </c>
      <c r="B1020" s="6">
        <f t="shared" si="112"/>
        <v>5.0279999999999996</v>
      </c>
      <c r="C1020" s="3">
        <f t="shared" si="113"/>
        <v>101</v>
      </c>
      <c r="D1020" s="3" t="str">
        <f t="shared" si="114"/>
        <v/>
      </c>
      <c r="E1020" s="3">
        <f t="shared" si="115"/>
        <v>150</v>
      </c>
      <c r="F1020" s="5" t="str">
        <f>IF(C1020=0,"Broadcast",IF(D1020="",IF(E1020="","",IF(E1020&lt;128,"Verbind "&amp;E1020,INDEX(KdoCodeTab,MATCH(E1020,KdoWertTab,0)))),"StatusAbfr "&amp;D1020))</f>
        <v>SpaceWdh</v>
      </c>
      <c r="G1020" t="str">
        <f t="shared" si="116"/>
        <v>SpaceWdh</v>
      </c>
      <c r="H1020" t="str">
        <f t="shared" si="117"/>
        <v/>
      </c>
      <c r="I1020" t="str">
        <f t="shared" si="118"/>
        <v/>
      </c>
    </row>
    <row r="1021" spans="1:9" x14ac:dyDescent="0.25">
      <c r="A1021" t="s">
        <v>612</v>
      </c>
      <c r="B1021" s="6">
        <f t="shared" si="112"/>
        <v>5.0473333333333334</v>
      </c>
      <c r="C1021" s="3">
        <f t="shared" si="113"/>
        <v>101</v>
      </c>
      <c r="D1021" s="3" t="str">
        <f t="shared" si="114"/>
        <v/>
      </c>
      <c r="E1021" s="3">
        <f t="shared" si="115"/>
        <v>156</v>
      </c>
      <c r="F1021" s="5" t="str">
        <f>IF(C1021=0,"Broadcast",IF(D1021="",IF(E1021="","",IF(E1021&lt;128,"Verbind "&amp;E1021,INDEX(KdoCodeTab,MATCH(E1021,KdoWertTab,0)))),"StatusAbfr "&amp;D1021))</f>
        <v>Mark</v>
      </c>
      <c r="G1021" t="str">
        <f t="shared" si="116"/>
        <v>Mark</v>
      </c>
      <c r="H1021" t="str">
        <f t="shared" si="117"/>
        <v/>
      </c>
      <c r="I1021" t="str">
        <f t="shared" si="118"/>
        <v/>
      </c>
    </row>
    <row r="1022" spans="1:9" x14ac:dyDescent="0.25">
      <c r="A1022" t="s">
        <v>613</v>
      </c>
      <c r="B1022" s="6">
        <f t="shared" si="112"/>
        <v>5.0481666666666669</v>
      </c>
      <c r="C1022" s="3">
        <f t="shared" si="113"/>
        <v>101</v>
      </c>
      <c r="D1022" s="3" t="str">
        <f t="shared" si="114"/>
        <v/>
      </c>
      <c r="E1022" s="3">
        <f t="shared" si="115"/>
        <v>154</v>
      </c>
      <c r="F1022" s="5" t="str">
        <f>IF(C1022=0,"Broadcast",IF(D1022="",IF(E1022="","",IF(E1022&lt;128,"Verbind "&amp;E1022,INDEX(KdoCodeTab,MATCH(E1022,KdoWertTab,0)))),"StatusAbfr "&amp;D1022))</f>
        <v>MarkWdh</v>
      </c>
      <c r="G1022" t="str">
        <f t="shared" si="116"/>
        <v>MarkWdh</v>
      </c>
      <c r="H1022" t="str">
        <f t="shared" si="117"/>
        <v/>
      </c>
      <c r="I1022" t="str">
        <f t="shared" si="118"/>
        <v/>
      </c>
    </row>
    <row r="1023" spans="1:9" x14ac:dyDescent="0.25">
      <c r="A1023" t="s">
        <v>614</v>
      </c>
      <c r="B1023" s="6">
        <f t="shared" si="112"/>
        <v>5.0674999999999999</v>
      </c>
      <c r="C1023" s="3">
        <f t="shared" si="113"/>
        <v>101</v>
      </c>
      <c r="D1023" s="3" t="str">
        <f t="shared" si="114"/>
        <v/>
      </c>
      <c r="E1023" s="3">
        <f t="shared" si="115"/>
        <v>147</v>
      </c>
      <c r="F1023" s="5" t="str">
        <f>IF(C1023=0,"Broadcast",IF(D1023="",IF(E1023="","",IF(E1023&lt;128,"Verbind "&amp;E1023,INDEX(KdoCodeTab,MATCH(E1023,KdoWertTab,0)))),"StatusAbfr "&amp;D1023))</f>
        <v>Space</v>
      </c>
      <c r="G1023" t="str">
        <f t="shared" si="116"/>
        <v>Space</v>
      </c>
      <c r="H1023" t="str">
        <f t="shared" si="117"/>
        <v/>
      </c>
      <c r="I1023" t="str">
        <f t="shared" si="118"/>
        <v/>
      </c>
    </row>
    <row r="1024" spans="1:9" x14ac:dyDescent="0.25">
      <c r="A1024" t="s">
        <v>615</v>
      </c>
      <c r="B1024" s="6">
        <f t="shared" si="112"/>
        <v>5.0683333333333334</v>
      </c>
      <c r="C1024" s="3">
        <f t="shared" si="113"/>
        <v>101</v>
      </c>
      <c r="D1024" s="3" t="str">
        <f t="shared" si="114"/>
        <v/>
      </c>
      <c r="E1024" s="3">
        <f t="shared" si="115"/>
        <v>150</v>
      </c>
      <c r="F1024" s="5" t="str">
        <f>IF(C1024=0,"Broadcast",IF(D1024="",IF(E1024="","",IF(E1024&lt;128,"Verbind "&amp;E1024,INDEX(KdoCodeTab,MATCH(E1024,KdoWertTab,0)))),"StatusAbfr "&amp;D1024))</f>
        <v>SpaceWdh</v>
      </c>
      <c r="G1024" t="str">
        <f t="shared" si="116"/>
        <v>SpaceWdh</v>
      </c>
      <c r="H1024" t="str">
        <f t="shared" si="117"/>
        <v/>
      </c>
      <c r="I1024" t="str">
        <f t="shared" si="118"/>
        <v/>
      </c>
    </row>
    <row r="1025" spans="1:9" x14ac:dyDescent="0.25">
      <c r="A1025" t="s">
        <v>616</v>
      </c>
      <c r="B1025" s="6">
        <f t="shared" si="112"/>
        <v>5.1079999999999997</v>
      </c>
      <c r="C1025" s="3">
        <f t="shared" si="113"/>
        <v>101</v>
      </c>
      <c r="D1025" s="3" t="str">
        <f t="shared" si="114"/>
        <v/>
      </c>
      <c r="E1025" s="3">
        <f t="shared" si="115"/>
        <v>156</v>
      </c>
      <c r="F1025" s="5" t="str">
        <f>IF(C1025=0,"Broadcast",IF(D1025="",IF(E1025="","",IF(E1025&lt;128,"Verbind "&amp;E1025,INDEX(KdoCodeTab,MATCH(E1025,KdoWertTab,0)))),"StatusAbfr "&amp;D1025))</f>
        <v>Mark</v>
      </c>
      <c r="G1025" t="str">
        <f t="shared" si="116"/>
        <v>Mark</v>
      </c>
      <c r="H1025" t="str">
        <f t="shared" si="117"/>
        <v/>
      </c>
      <c r="I1025" t="str">
        <f t="shared" si="118"/>
        <v/>
      </c>
    </row>
    <row r="1026" spans="1:9" x14ac:dyDescent="0.25">
      <c r="A1026" t="s">
        <v>617</v>
      </c>
      <c r="B1026" s="6">
        <f t="shared" si="112"/>
        <v>5.1088333333333331</v>
      </c>
      <c r="C1026" s="3">
        <f t="shared" si="113"/>
        <v>101</v>
      </c>
      <c r="D1026" s="3" t="str">
        <f t="shared" si="114"/>
        <v/>
      </c>
      <c r="E1026" s="3">
        <f t="shared" si="115"/>
        <v>154</v>
      </c>
      <c r="F1026" s="5" t="str">
        <f>IF(C1026=0,"Broadcast",IF(D1026="",IF(E1026="","",IF(E1026&lt;128,"Verbind "&amp;E1026,INDEX(KdoCodeTab,MATCH(E1026,KdoWertTab,0)))),"StatusAbfr "&amp;D1026))</f>
        <v>MarkWdh</v>
      </c>
      <c r="G1026" t="str">
        <f t="shared" si="116"/>
        <v>MarkWdh</v>
      </c>
      <c r="H1026" t="str">
        <f t="shared" si="117"/>
        <v/>
      </c>
      <c r="I1026" t="str">
        <f t="shared" si="118"/>
        <v/>
      </c>
    </row>
    <row r="1027" spans="1:9" x14ac:dyDescent="0.25">
      <c r="A1027" t="s">
        <v>618</v>
      </c>
      <c r="B1027" s="6">
        <f t="shared" si="112"/>
        <v>5.1371666666666664</v>
      </c>
      <c r="C1027" s="3">
        <f t="shared" si="113"/>
        <v>101</v>
      </c>
      <c r="D1027" s="3" t="str">
        <f t="shared" si="114"/>
        <v/>
      </c>
      <c r="E1027" s="3">
        <f t="shared" si="115"/>
        <v>147</v>
      </c>
      <c r="F1027" s="5" t="str">
        <f>IF(C1027=0,"Broadcast",IF(D1027="",IF(E1027="","",IF(E1027&lt;128,"Verbind "&amp;E1027,INDEX(KdoCodeTab,MATCH(E1027,KdoWertTab,0)))),"StatusAbfr "&amp;D1027))</f>
        <v>Space</v>
      </c>
      <c r="G1027" t="str">
        <f t="shared" si="116"/>
        <v>Space</v>
      </c>
      <c r="H1027" t="str">
        <f t="shared" si="117"/>
        <v/>
      </c>
      <c r="I1027" t="str">
        <f t="shared" si="118"/>
        <v/>
      </c>
    </row>
    <row r="1028" spans="1:9" x14ac:dyDescent="0.25">
      <c r="A1028" t="s">
        <v>619</v>
      </c>
      <c r="B1028" s="6">
        <f t="shared" si="112"/>
        <v>5.1379999999999999</v>
      </c>
      <c r="C1028" s="3">
        <f t="shared" si="113"/>
        <v>101</v>
      </c>
      <c r="D1028" s="3" t="str">
        <f t="shared" si="114"/>
        <v/>
      </c>
      <c r="E1028" s="3">
        <f t="shared" si="115"/>
        <v>150</v>
      </c>
      <c r="F1028" s="5" t="str">
        <f>IF(C1028=0,"Broadcast",IF(D1028="",IF(E1028="","",IF(E1028&lt;128,"Verbind "&amp;E1028,INDEX(KdoCodeTab,MATCH(E1028,KdoWertTab,0)))),"StatusAbfr "&amp;D1028))</f>
        <v>SpaceWdh</v>
      </c>
      <c r="G1028" t="str">
        <f t="shared" si="116"/>
        <v>SpaceWdh</v>
      </c>
      <c r="H1028" t="str">
        <f t="shared" si="117"/>
        <v/>
      </c>
      <c r="I1028" t="str">
        <f t="shared" si="118"/>
        <v/>
      </c>
    </row>
    <row r="1029" spans="1:9" x14ac:dyDescent="0.25">
      <c r="A1029" t="s">
        <v>620</v>
      </c>
      <c r="B1029" s="6">
        <f t="shared" ref="B1029:B1092" si="119">MID(A1029,1,5)/1000+(CODE(MID(A1029,6,1))-CODE("a"))/6000</f>
        <v>5.2006666666666668</v>
      </c>
      <c r="C1029" s="3">
        <f t="shared" ref="C1029:C1092" si="120">INT(HEX2DEC(MID(A1029,8,2))/2)</f>
        <v>101</v>
      </c>
      <c r="D1029" s="3" t="str">
        <f t="shared" si="114"/>
        <v/>
      </c>
      <c r="E1029" s="3">
        <f t="shared" si="115"/>
        <v>169</v>
      </c>
      <c r="F1029" s="5" t="str">
        <f>IF(C1029=0,"Broadcast",IF(D1029="",IF(E1029="","",IF(E1029&lt;128,"Verbind "&amp;E1029,INDEX(KdoCodeTab,MATCH(E1029,KdoWertTab,0)))),"StatusAbfr "&amp;D1029))</f>
        <v>BusLebenszeichen</v>
      </c>
      <c r="G1029" t="str">
        <f t="shared" si="116"/>
        <v>BusLebenszeichen</v>
      </c>
      <c r="H1029" t="str">
        <f t="shared" si="117"/>
        <v/>
      </c>
      <c r="I1029" t="str">
        <f t="shared" si="118"/>
        <v/>
      </c>
    </row>
    <row r="1030" spans="1:9" x14ac:dyDescent="0.25">
      <c r="A1030" t="s">
        <v>621</v>
      </c>
      <c r="B1030" s="6">
        <f t="shared" si="119"/>
        <v>5.237166666666667</v>
      </c>
      <c r="C1030" s="3">
        <f t="shared" si="120"/>
        <v>101</v>
      </c>
      <c r="D1030" s="3" t="str">
        <f t="shared" si="114"/>
        <v/>
      </c>
      <c r="E1030" s="3">
        <f t="shared" si="115"/>
        <v>156</v>
      </c>
      <c r="F1030" s="5" t="str">
        <f>IF(C1030=0,"Broadcast",IF(D1030="",IF(E1030="","",IF(E1030&lt;128,"Verbind "&amp;E1030,INDEX(KdoCodeTab,MATCH(E1030,KdoWertTab,0)))),"StatusAbfr "&amp;D1030))</f>
        <v>Mark</v>
      </c>
      <c r="G1030" t="str">
        <f t="shared" si="116"/>
        <v>Mark</v>
      </c>
      <c r="H1030" t="str">
        <f t="shared" si="117"/>
        <v/>
      </c>
      <c r="I1030" t="str">
        <f t="shared" si="118"/>
        <v/>
      </c>
    </row>
    <row r="1031" spans="1:9" x14ac:dyDescent="0.25">
      <c r="A1031" t="s">
        <v>622</v>
      </c>
      <c r="B1031" s="6">
        <f t="shared" si="119"/>
        <v>5.2381666666666673</v>
      </c>
      <c r="C1031" s="3">
        <f t="shared" si="120"/>
        <v>101</v>
      </c>
      <c r="D1031" s="3" t="str">
        <f t="shared" si="114"/>
        <v/>
      </c>
      <c r="E1031" s="3">
        <f t="shared" si="115"/>
        <v>154</v>
      </c>
      <c r="F1031" s="5" t="str">
        <f>IF(C1031=0,"Broadcast",IF(D1031="",IF(E1031="","",IF(E1031&lt;128,"Verbind "&amp;E1031,INDEX(KdoCodeTab,MATCH(E1031,KdoWertTab,0)))),"StatusAbfr "&amp;D1031))</f>
        <v>MarkWdh</v>
      </c>
      <c r="G1031" t="str">
        <f t="shared" si="116"/>
        <v>MarkWdh</v>
      </c>
      <c r="H1031" t="str">
        <f t="shared" si="117"/>
        <v/>
      </c>
      <c r="I1031" t="str">
        <f t="shared" si="118"/>
        <v/>
      </c>
    </row>
    <row r="1032" spans="1:9" x14ac:dyDescent="0.25">
      <c r="A1032" t="s">
        <v>623</v>
      </c>
      <c r="B1032" s="6">
        <f t="shared" si="119"/>
        <v>5.3746666666666663</v>
      </c>
      <c r="C1032" s="3">
        <f t="shared" si="120"/>
        <v>31</v>
      </c>
      <c r="D1032" s="3" t="str">
        <f t="shared" si="114"/>
        <v/>
      </c>
      <c r="E1032" s="3">
        <f t="shared" si="115"/>
        <v>154</v>
      </c>
      <c r="F1032" s="5" t="str">
        <f>IF(C1032=0,"Broadcast",IF(D1032="",IF(E1032="","",IF(E1032&lt;128,"Verbind "&amp;E1032,INDEX(KdoCodeTab,MATCH(E1032,KdoWertTab,0)))),"StatusAbfr "&amp;D1032))</f>
        <v>MarkWdh</v>
      </c>
      <c r="G1032" t="str">
        <f t="shared" si="116"/>
        <v/>
      </c>
      <c r="H1032" t="str">
        <f t="shared" si="117"/>
        <v>MarkWdh</v>
      </c>
      <c r="I1032" t="str">
        <f t="shared" si="118"/>
        <v/>
      </c>
    </row>
    <row r="1033" spans="1:9" x14ac:dyDescent="0.25">
      <c r="A1033" t="s">
        <v>624</v>
      </c>
      <c r="B1033" s="6">
        <f t="shared" si="119"/>
        <v>5.7523333333333335</v>
      </c>
      <c r="C1033" s="3">
        <f t="shared" si="120"/>
        <v>101</v>
      </c>
      <c r="D1033" s="3" t="str">
        <f t="shared" si="114"/>
        <v/>
      </c>
      <c r="E1033" s="3">
        <f t="shared" si="115"/>
        <v>147</v>
      </c>
      <c r="F1033" s="5" t="str">
        <f>IF(C1033=0,"Broadcast",IF(D1033="",IF(E1033="","",IF(E1033&lt;128,"Verbind "&amp;E1033,INDEX(KdoCodeTab,MATCH(E1033,KdoWertTab,0)))),"StatusAbfr "&amp;D1033))</f>
        <v>Space</v>
      </c>
      <c r="G1033" t="str">
        <f t="shared" si="116"/>
        <v>Space</v>
      </c>
      <c r="H1033" t="str">
        <f t="shared" si="117"/>
        <v/>
      </c>
      <c r="I1033" t="str">
        <f t="shared" si="118"/>
        <v/>
      </c>
    </row>
    <row r="1034" spans="1:9" x14ac:dyDescent="0.25">
      <c r="A1034" t="s">
        <v>625</v>
      </c>
      <c r="B1034" s="6">
        <f t="shared" si="119"/>
        <v>5.7533333333333339</v>
      </c>
      <c r="C1034" s="3">
        <f t="shared" si="120"/>
        <v>101</v>
      </c>
      <c r="D1034" s="3" t="str">
        <f t="shared" si="114"/>
        <v/>
      </c>
      <c r="E1034" s="3">
        <f t="shared" si="115"/>
        <v>150</v>
      </c>
      <c r="F1034" s="5" t="str">
        <f>IF(C1034=0,"Broadcast",IF(D1034="",IF(E1034="","",IF(E1034&lt;128,"Verbind "&amp;E1034,INDEX(KdoCodeTab,MATCH(E1034,KdoWertTab,0)))),"StatusAbfr "&amp;D1034))</f>
        <v>SpaceWdh</v>
      </c>
      <c r="G1034" t="str">
        <f t="shared" si="116"/>
        <v>SpaceWdh</v>
      </c>
      <c r="H1034" t="str">
        <f t="shared" si="117"/>
        <v/>
      </c>
      <c r="I1034" t="str">
        <f t="shared" si="118"/>
        <v/>
      </c>
    </row>
    <row r="1035" spans="1:9" x14ac:dyDescent="0.25">
      <c r="A1035" t="s">
        <v>626</v>
      </c>
      <c r="B1035" s="6">
        <f t="shared" si="119"/>
        <v>5.7736666666666663</v>
      </c>
      <c r="C1035" s="3">
        <f t="shared" si="120"/>
        <v>101</v>
      </c>
      <c r="D1035" s="3" t="str">
        <f t="shared" si="114"/>
        <v/>
      </c>
      <c r="E1035" s="3">
        <f t="shared" si="115"/>
        <v>156</v>
      </c>
      <c r="F1035" s="5" t="str">
        <f>IF(C1035=0,"Broadcast",IF(D1035="",IF(E1035="","",IF(E1035&lt;128,"Verbind "&amp;E1035,INDEX(KdoCodeTab,MATCH(E1035,KdoWertTab,0)))),"StatusAbfr "&amp;D1035))</f>
        <v>Mark</v>
      </c>
      <c r="G1035" t="str">
        <f t="shared" si="116"/>
        <v>Mark</v>
      </c>
      <c r="H1035" t="str">
        <f t="shared" si="117"/>
        <v/>
      </c>
      <c r="I1035" t="str">
        <f t="shared" si="118"/>
        <v/>
      </c>
    </row>
    <row r="1036" spans="1:9" x14ac:dyDescent="0.25">
      <c r="A1036" t="s">
        <v>627</v>
      </c>
      <c r="B1036" s="6">
        <f t="shared" si="119"/>
        <v>5.7744999999999997</v>
      </c>
      <c r="C1036" s="3">
        <f t="shared" si="120"/>
        <v>101</v>
      </c>
      <c r="D1036" s="3" t="str">
        <f t="shared" si="114"/>
        <v/>
      </c>
      <c r="E1036" s="3">
        <f t="shared" si="115"/>
        <v>154</v>
      </c>
      <c r="F1036" s="5" t="str">
        <f>IF(C1036=0,"Broadcast",IF(D1036="",IF(E1036="","",IF(E1036&lt;128,"Verbind "&amp;E1036,INDEX(KdoCodeTab,MATCH(E1036,KdoWertTab,0)))),"StatusAbfr "&amp;D1036))</f>
        <v>MarkWdh</v>
      </c>
      <c r="G1036" t="str">
        <f t="shared" si="116"/>
        <v>MarkWdh</v>
      </c>
      <c r="H1036" t="str">
        <f t="shared" si="117"/>
        <v/>
      </c>
      <c r="I1036" t="str">
        <f t="shared" si="118"/>
        <v/>
      </c>
    </row>
    <row r="1037" spans="1:9" x14ac:dyDescent="0.25">
      <c r="A1037" t="s">
        <v>628</v>
      </c>
      <c r="B1037" s="6">
        <f t="shared" si="119"/>
        <v>5.8131666666666666</v>
      </c>
      <c r="C1037" s="3">
        <f t="shared" si="120"/>
        <v>101</v>
      </c>
      <c r="D1037" s="3" t="str">
        <f t="shared" si="114"/>
        <v/>
      </c>
      <c r="E1037" s="3">
        <f t="shared" si="115"/>
        <v>147</v>
      </c>
      <c r="F1037" s="5" t="str">
        <f>IF(C1037=0,"Broadcast",IF(D1037="",IF(E1037="","",IF(E1037&lt;128,"Verbind "&amp;E1037,INDEX(KdoCodeTab,MATCH(E1037,KdoWertTab,0)))),"StatusAbfr "&amp;D1037))</f>
        <v>Space</v>
      </c>
      <c r="G1037" t="str">
        <f t="shared" si="116"/>
        <v>Space</v>
      </c>
      <c r="H1037" t="str">
        <f t="shared" si="117"/>
        <v/>
      </c>
      <c r="I1037" t="str">
        <f t="shared" si="118"/>
        <v/>
      </c>
    </row>
    <row r="1038" spans="1:9" x14ac:dyDescent="0.25">
      <c r="A1038" t="s">
        <v>629</v>
      </c>
      <c r="B1038" s="6">
        <f t="shared" si="119"/>
        <v>5.8140000000000001</v>
      </c>
      <c r="C1038" s="3">
        <f t="shared" si="120"/>
        <v>101</v>
      </c>
      <c r="D1038" s="3" t="str">
        <f t="shared" si="114"/>
        <v/>
      </c>
      <c r="E1038" s="3">
        <f t="shared" si="115"/>
        <v>150</v>
      </c>
      <c r="F1038" s="5" t="str">
        <f>IF(C1038=0,"Broadcast",IF(D1038="",IF(E1038="","",IF(E1038&lt;128,"Verbind "&amp;E1038,INDEX(KdoCodeTab,MATCH(E1038,KdoWertTab,0)))),"StatusAbfr "&amp;D1038))</f>
        <v>SpaceWdh</v>
      </c>
      <c r="G1038" t="str">
        <f t="shared" si="116"/>
        <v>SpaceWdh</v>
      </c>
      <c r="H1038" t="str">
        <f t="shared" si="117"/>
        <v/>
      </c>
      <c r="I1038" t="str">
        <f t="shared" si="118"/>
        <v/>
      </c>
    </row>
    <row r="1039" spans="1:9" x14ac:dyDescent="0.25">
      <c r="A1039" t="s">
        <v>630</v>
      </c>
      <c r="B1039" s="6">
        <f t="shared" si="119"/>
        <v>5.8321666666666667</v>
      </c>
      <c r="C1039" s="3">
        <f t="shared" si="120"/>
        <v>101</v>
      </c>
      <c r="D1039" s="3" t="str">
        <f t="shared" si="114"/>
        <v/>
      </c>
      <c r="E1039" s="3">
        <f t="shared" si="115"/>
        <v>156</v>
      </c>
      <c r="F1039" s="5" t="str">
        <f>IF(C1039=0,"Broadcast",IF(D1039="",IF(E1039="","",IF(E1039&lt;128,"Verbind "&amp;E1039,INDEX(KdoCodeTab,MATCH(E1039,KdoWertTab,0)))),"StatusAbfr "&amp;D1039))</f>
        <v>Mark</v>
      </c>
      <c r="G1039" t="str">
        <f t="shared" si="116"/>
        <v>Mark</v>
      </c>
      <c r="H1039" t="str">
        <f t="shared" si="117"/>
        <v/>
      </c>
      <c r="I1039" t="str">
        <f t="shared" si="118"/>
        <v/>
      </c>
    </row>
    <row r="1040" spans="1:9" x14ac:dyDescent="0.25">
      <c r="A1040" t="s">
        <v>631</v>
      </c>
      <c r="B1040" s="6">
        <f t="shared" si="119"/>
        <v>5.8331666666666671</v>
      </c>
      <c r="C1040" s="3">
        <f t="shared" si="120"/>
        <v>101</v>
      </c>
      <c r="D1040" s="3" t="str">
        <f t="shared" si="114"/>
        <v/>
      </c>
      <c r="E1040" s="3">
        <f t="shared" si="115"/>
        <v>154</v>
      </c>
      <c r="F1040" s="5" t="str">
        <f>IF(C1040=0,"Broadcast",IF(D1040="",IF(E1040="","",IF(E1040&lt;128,"Verbind "&amp;E1040,INDEX(KdoCodeTab,MATCH(E1040,KdoWertTab,0)))),"StatusAbfr "&amp;D1040))</f>
        <v>MarkWdh</v>
      </c>
      <c r="G1040" t="str">
        <f t="shared" si="116"/>
        <v>MarkWdh</v>
      </c>
      <c r="H1040" t="str">
        <f t="shared" si="117"/>
        <v/>
      </c>
      <c r="I1040" t="str">
        <f t="shared" si="118"/>
        <v/>
      </c>
    </row>
    <row r="1041" spans="1:9" x14ac:dyDescent="0.25">
      <c r="A1041" t="s">
        <v>632</v>
      </c>
      <c r="B1041" s="6">
        <f t="shared" si="119"/>
        <v>5.8806666666666665</v>
      </c>
      <c r="C1041" s="3">
        <f t="shared" si="120"/>
        <v>31</v>
      </c>
      <c r="D1041" s="3" t="str">
        <f t="shared" si="114"/>
        <v/>
      </c>
      <c r="E1041" s="3">
        <f t="shared" si="115"/>
        <v>154</v>
      </c>
      <c r="F1041" s="5" t="str">
        <f>IF(C1041=0,"Broadcast",IF(D1041="",IF(E1041="","",IF(E1041&lt;128,"Verbind "&amp;E1041,INDEX(KdoCodeTab,MATCH(E1041,KdoWertTab,0)))),"StatusAbfr "&amp;D1041))</f>
        <v>MarkWdh</v>
      </c>
      <c r="G1041" t="str">
        <f t="shared" si="116"/>
        <v/>
      </c>
      <c r="H1041" t="str">
        <f t="shared" si="117"/>
        <v>MarkWdh</v>
      </c>
      <c r="I1041" t="str">
        <f t="shared" si="118"/>
        <v/>
      </c>
    </row>
    <row r="1042" spans="1:9" x14ac:dyDescent="0.25">
      <c r="A1042" t="s">
        <v>633</v>
      </c>
      <c r="B1042" s="6">
        <f t="shared" si="119"/>
        <v>5.8826666666666663</v>
      </c>
      <c r="C1042" s="3">
        <f t="shared" si="120"/>
        <v>101</v>
      </c>
      <c r="D1042" s="3" t="str">
        <f t="shared" si="114"/>
        <v/>
      </c>
      <c r="E1042" s="3">
        <f t="shared" si="115"/>
        <v>169</v>
      </c>
      <c r="F1042" s="5" t="str">
        <f>IF(C1042=0,"Broadcast",IF(D1042="",IF(E1042="","",IF(E1042&lt;128,"Verbind "&amp;E1042,INDEX(KdoCodeTab,MATCH(E1042,KdoWertTab,0)))),"StatusAbfr "&amp;D1042))</f>
        <v>BusLebenszeichen</v>
      </c>
      <c r="G1042" t="str">
        <f t="shared" si="116"/>
        <v>BusLebenszeichen</v>
      </c>
      <c r="H1042" t="str">
        <f t="shared" si="117"/>
        <v/>
      </c>
      <c r="I1042" t="str">
        <f t="shared" si="118"/>
        <v/>
      </c>
    </row>
    <row r="1043" spans="1:9" x14ac:dyDescent="0.25">
      <c r="A1043" t="s">
        <v>634</v>
      </c>
      <c r="B1043" s="6">
        <f t="shared" si="119"/>
        <v>5.9029999999999996</v>
      </c>
      <c r="C1043" s="3">
        <f t="shared" si="120"/>
        <v>101</v>
      </c>
      <c r="D1043" s="3" t="str">
        <f t="shared" si="114"/>
        <v/>
      </c>
      <c r="E1043" s="3">
        <f t="shared" si="115"/>
        <v>147</v>
      </c>
      <c r="F1043" s="5" t="str">
        <f>IF(C1043=0,"Broadcast",IF(D1043="",IF(E1043="","",IF(E1043&lt;128,"Verbind "&amp;E1043,INDEX(KdoCodeTab,MATCH(E1043,KdoWertTab,0)))),"StatusAbfr "&amp;D1043))</f>
        <v>Space</v>
      </c>
      <c r="G1043" t="str">
        <f t="shared" si="116"/>
        <v>Space</v>
      </c>
      <c r="H1043" t="str">
        <f t="shared" si="117"/>
        <v/>
      </c>
      <c r="I1043" t="str">
        <f t="shared" si="118"/>
        <v/>
      </c>
    </row>
    <row r="1044" spans="1:9" x14ac:dyDescent="0.25">
      <c r="A1044" t="s">
        <v>635</v>
      </c>
      <c r="B1044" s="6">
        <f t="shared" si="119"/>
        <v>5.903833333333333</v>
      </c>
      <c r="C1044" s="3">
        <f t="shared" si="120"/>
        <v>101</v>
      </c>
      <c r="D1044" s="3" t="str">
        <f t="shared" si="114"/>
        <v/>
      </c>
      <c r="E1044" s="3">
        <f t="shared" si="115"/>
        <v>150</v>
      </c>
      <c r="F1044" s="5" t="str">
        <f>IF(C1044=0,"Broadcast",IF(D1044="",IF(E1044="","",IF(E1044&lt;128,"Verbind "&amp;E1044,INDEX(KdoCodeTab,MATCH(E1044,KdoWertTab,0)))),"StatusAbfr "&amp;D1044))</f>
        <v>SpaceWdh</v>
      </c>
      <c r="G1044" t="str">
        <f t="shared" si="116"/>
        <v>SpaceWdh</v>
      </c>
      <c r="H1044" t="str">
        <f t="shared" si="117"/>
        <v/>
      </c>
      <c r="I1044" t="str">
        <f t="shared" si="118"/>
        <v/>
      </c>
    </row>
    <row r="1045" spans="1:9" x14ac:dyDescent="0.25">
      <c r="A1045" t="s">
        <v>636</v>
      </c>
      <c r="B1045" s="6">
        <f t="shared" si="119"/>
        <v>5.9626666666666663</v>
      </c>
      <c r="C1045" s="3">
        <f t="shared" si="120"/>
        <v>101</v>
      </c>
      <c r="D1045" s="3" t="str">
        <f t="shared" si="114"/>
        <v/>
      </c>
      <c r="E1045" s="3">
        <f t="shared" si="115"/>
        <v>156</v>
      </c>
      <c r="F1045" s="5" t="str">
        <f>IF(C1045=0,"Broadcast",IF(D1045="",IF(E1045="","",IF(E1045&lt;128,"Verbind "&amp;E1045,INDEX(KdoCodeTab,MATCH(E1045,KdoWertTab,0)))),"StatusAbfr "&amp;D1045))</f>
        <v>Mark</v>
      </c>
      <c r="G1045" t="str">
        <f t="shared" si="116"/>
        <v>Mark</v>
      </c>
      <c r="H1045" t="str">
        <f t="shared" si="117"/>
        <v/>
      </c>
      <c r="I1045" t="str">
        <f t="shared" si="118"/>
        <v/>
      </c>
    </row>
    <row r="1046" spans="1:9" x14ac:dyDescent="0.25">
      <c r="A1046" t="s">
        <v>637</v>
      </c>
      <c r="B1046" s="6">
        <f t="shared" si="119"/>
        <v>5.9634999999999998</v>
      </c>
      <c r="C1046" s="3">
        <f t="shared" si="120"/>
        <v>101</v>
      </c>
      <c r="D1046" s="3" t="str">
        <f t="shared" si="114"/>
        <v/>
      </c>
      <c r="E1046" s="3">
        <f t="shared" si="115"/>
        <v>154</v>
      </c>
      <c r="F1046" s="5" t="str">
        <f>IF(C1046=0,"Broadcast",IF(D1046="",IF(E1046="","",IF(E1046&lt;128,"Verbind "&amp;E1046,INDEX(KdoCodeTab,MATCH(E1046,KdoWertTab,0)))),"StatusAbfr "&amp;D1046))</f>
        <v>MarkWdh</v>
      </c>
      <c r="G1046" t="str">
        <f t="shared" si="116"/>
        <v>MarkWdh</v>
      </c>
      <c r="H1046" t="str">
        <f t="shared" si="117"/>
        <v/>
      </c>
      <c r="I1046" t="str">
        <f t="shared" si="118"/>
        <v/>
      </c>
    </row>
    <row r="1047" spans="1:9" x14ac:dyDescent="0.25">
      <c r="A1047" t="s">
        <v>638</v>
      </c>
      <c r="B1047" s="6">
        <f t="shared" si="119"/>
        <v>6.0524999999999993</v>
      </c>
      <c r="C1047" s="3">
        <f t="shared" si="120"/>
        <v>101</v>
      </c>
      <c r="D1047" s="3" t="str">
        <f t="shared" si="114"/>
        <v/>
      </c>
      <c r="E1047" s="3">
        <f t="shared" si="115"/>
        <v>147</v>
      </c>
      <c r="F1047" s="5" t="str">
        <f>IF(C1047=0,"Broadcast",IF(D1047="",IF(E1047="","",IF(E1047&lt;128,"Verbind "&amp;E1047,INDEX(KdoCodeTab,MATCH(E1047,KdoWertTab,0)))),"StatusAbfr "&amp;D1047))</f>
        <v>Space</v>
      </c>
      <c r="G1047" t="str">
        <f t="shared" si="116"/>
        <v>Space</v>
      </c>
      <c r="H1047" t="str">
        <f t="shared" si="117"/>
        <v/>
      </c>
      <c r="I1047" t="str">
        <f t="shared" si="118"/>
        <v/>
      </c>
    </row>
    <row r="1048" spans="1:9" x14ac:dyDescent="0.25">
      <c r="A1048" t="s">
        <v>639</v>
      </c>
      <c r="B1048" s="6">
        <f t="shared" si="119"/>
        <v>6.0533333333333337</v>
      </c>
      <c r="C1048" s="3">
        <f t="shared" si="120"/>
        <v>101</v>
      </c>
      <c r="D1048" s="3" t="str">
        <f t="shared" si="114"/>
        <v/>
      </c>
      <c r="E1048" s="3">
        <f t="shared" si="115"/>
        <v>150</v>
      </c>
      <c r="F1048" s="5" t="str">
        <f>IF(C1048=0,"Broadcast",IF(D1048="",IF(E1048="","",IF(E1048&lt;128,"Verbind "&amp;E1048,INDEX(KdoCodeTab,MATCH(E1048,KdoWertTab,0)))),"StatusAbfr "&amp;D1048))</f>
        <v>SpaceWdh</v>
      </c>
      <c r="G1048" t="str">
        <f t="shared" si="116"/>
        <v>SpaceWdh</v>
      </c>
      <c r="H1048" t="str">
        <f t="shared" si="117"/>
        <v/>
      </c>
      <c r="I1048" t="str">
        <f t="shared" si="118"/>
        <v/>
      </c>
    </row>
    <row r="1049" spans="1:9" x14ac:dyDescent="0.25">
      <c r="A1049" t="s">
        <v>640</v>
      </c>
      <c r="B1049" s="6">
        <f t="shared" si="119"/>
        <v>6.1131666666666673</v>
      </c>
      <c r="C1049" s="3">
        <f t="shared" si="120"/>
        <v>101</v>
      </c>
      <c r="D1049" s="3" t="str">
        <f t="shared" si="114"/>
        <v/>
      </c>
      <c r="E1049" s="3">
        <f t="shared" si="115"/>
        <v>156</v>
      </c>
      <c r="F1049" s="5" t="str">
        <f>IF(C1049=0,"Broadcast",IF(D1049="",IF(E1049="","",IF(E1049&lt;128,"Verbind "&amp;E1049,INDEX(KdoCodeTab,MATCH(E1049,KdoWertTab,0)))),"StatusAbfr "&amp;D1049))</f>
        <v>Mark</v>
      </c>
      <c r="G1049" t="str">
        <f t="shared" si="116"/>
        <v>Mark</v>
      </c>
      <c r="H1049" t="str">
        <f t="shared" si="117"/>
        <v/>
      </c>
      <c r="I1049" t="str">
        <f t="shared" si="118"/>
        <v/>
      </c>
    </row>
    <row r="1050" spans="1:9" x14ac:dyDescent="0.25">
      <c r="A1050" t="s">
        <v>641</v>
      </c>
      <c r="B1050" s="6">
        <f t="shared" si="119"/>
        <v>6.1139999999999999</v>
      </c>
      <c r="C1050" s="3">
        <f t="shared" si="120"/>
        <v>101</v>
      </c>
      <c r="D1050" s="3" t="str">
        <f t="shared" si="114"/>
        <v/>
      </c>
      <c r="E1050" s="3">
        <f t="shared" si="115"/>
        <v>154</v>
      </c>
      <c r="F1050" s="5" t="str">
        <f>IF(C1050=0,"Broadcast",IF(D1050="",IF(E1050="","",IF(E1050&lt;128,"Verbind "&amp;E1050,INDEX(KdoCodeTab,MATCH(E1050,KdoWertTab,0)))),"StatusAbfr "&amp;D1050))</f>
        <v>MarkWdh</v>
      </c>
      <c r="G1050" t="str">
        <f t="shared" si="116"/>
        <v>MarkWdh</v>
      </c>
      <c r="H1050" t="str">
        <f t="shared" si="117"/>
        <v/>
      </c>
      <c r="I1050" t="str">
        <f t="shared" si="118"/>
        <v/>
      </c>
    </row>
    <row r="1051" spans="1:9" x14ac:dyDescent="0.25">
      <c r="A1051" t="s">
        <v>642</v>
      </c>
      <c r="B1051" s="6">
        <f t="shared" si="119"/>
        <v>6.2030000000000003</v>
      </c>
      <c r="C1051" s="3">
        <f t="shared" si="120"/>
        <v>101</v>
      </c>
      <c r="D1051" s="3" t="str">
        <f t="shared" si="114"/>
        <v/>
      </c>
      <c r="E1051" s="3">
        <f t="shared" si="115"/>
        <v>147</v>
      </c>
      <c r="F1051" s="5" t="str">
        <f>IF(C1051=0,"Broadcast",IF(D1051="",IF(E1051="","",IF(E1051&lt;128,"Verbind "&amp;E1051,INDEX(KdoCodeTab,MATCH(E1051,KdoWertTab,0)))),"StatusAbfr "&amp;D1051))</f>
        <v>Space</v>
      </c>
      <c r="G1051" t="str">
        <f t="shared" si="116"/>
        <v>Space</v>
      </c>
      <c r="H1051" t="str">
        <f t="shared" si="117"/>
        <v/>
      </c>
      <c r="I1051" t="str">
        <f t="shared" si="118"/>
        <v/>
      </c>
    </row>
    <row r="1052" spans="1:9" x14ac:dyDescent="0.25">
      <c r="A1052" t="s">
        <v>643</v>
      </c>
      <c r="B1052" s="6">
        <f t="shared" si="119"/>
        <v>6.2038333333333338</v>
      </c>
      <c r="C1052" s="3">
        <f t="shared" si="120"/>
        <v>101</v>
      </c>
      <c r="D1052" s="3" t="str">
        <f t="shared" si="114"/>
        <v/>
      </c>
      <c r="E1052" s="3">
        <f t="shared" si="115"/>
        <v>150</v>
      </c>
      <c r="F1052" s="5" t="str">
        <f>IF(C1052=0,"Broadcast",IF(D1052="",IF(E1052="","",IF(E1052&lt;128,"Verbind "&amp;E1052,INDEX(KdoCodeTab,MATCH(E1052,KdoWertTab,0)))),"StatusAbfr "&amp;D1052))</f>
        <v>SpaceWdh</v>
      </c>
      <c r="G1052" t="str">
        <f t="shared" si="116"/>
        <v>SpaceWdh</v>
      </c>
      <c r="H1052" t="str">
        <f t="shared" si="117"/>
        <v/>
      </c>
      <c r="I1052" t="str">
        <f t="shared" si="118"/>
        <v/>
      </c>
    </row>
    <row r="1053" spans="1:9" x14ac:dyDescent="0.25">
      <c r="A1053" t="s">
        <v>644</v>
      </c>
      <c r="B1053" s="6">
        <f t="shared" si="119"/>
        <v>6.2624999999999993</v>
      </c>
      <c r="C1053" s="3">
        <f t="shared" si="120"/>
        <v>101</v>
      </c>
      <c r="D1053" s="3" t="str">
        <f t="shared" si="114"/>
        <v/>
      </c>
      <c r="E1053" s="3">
        <f t="shared" si="115"/>
        <v>156</v>
      </c>
      <c r="F1053" s="5" t="str">
        <f>IF(C1053=0,"Broadcast",IF(D1053="",IF(E1053="","",IF(E1053&lt;128,"Verbind "&amp;E1053,INDEX(KdoCodeTab,MATCH(E1053,KdoWertTab,0)))),"StatusAbfr "&amp;D1053))</f>
        <v>Mark</v>
      </c>
      <c r="G1053" t="str">
        <f t="shared" si="116"/>
        <v>Mark</v>
      </c>
      <c r="H1053" t="str">
        <f t="shared" si="117"/>
        <v/>
      </c>
      <c r="I1053" t="str">
        <f t="shared" si="118"/>
        <v/>
      </c>
    </row>
    <row r="1054" spans="1:9" x14ac:dyDescent="0.25">
      <c r="A1054" t="s">
        <v>645</v>
      </c>
      <c r="B1054" s="6">
        <f t="shared" si="119"/>
        <v>6.2634999999999996</v>
      </c>
      <c r="C1054" s="3">
        <f t="shared" si="120"/>
        <v>101</v>
      </c>
      <c r="D1054" s="3" t="str">
        <f t="shared" si="114"/>
        <v/>
      </c>
      <c r="E1054" s="3">
        <f t="shared" si="115"/>
        <v>154</v>
      </c>
      <c r="F1054" s="5" t="str">
        <f>IF(C1054=0,"Broadcast",IF(D1054="",IF(E1054="","",IF(E1054&lt;128,"Verbind "&amp;E1054,INDEX(KdoCodeTab,MATCH(E1054,KdoWertTab,0)))),"StatusAbfr "&amp;D1054))</f>
        <v>MarkWdh</v>
      </c>
      <c r="G1054" t="str">
        <f t="shared" si="116"/>
        <v>MarkWdh</v>
      </c>
      <c r="H1054" t="str">
        <f t="shared" si="117"/>
        <v/>
      </c>
      <c r="I1054" t="str">
        <f t="shared" si="118"/>
        <v/>
      </c>
    </row>
    <row r="1055" spans="1:9" x14ac:dyDescent="0.25">
      <c r="A1055" t="s">
        <v>646</v>
      </c>
      <c r="B1055" s="6">
        <f t="shared" si="119"/>
        <v>6.3866666666666667</v>
      </c>
      <c r="C1055" s="3">
        <f t="shared" si="120"/>
        <v>31</v>
      </c>
      <c r="D1055" s="3" t="str">
        <f t="shared" si="114"/>
        <v/>
      </c>
      <c r="E1055" s="3">
        <f t="shared" si="115"/>
        <v>154</v>
      </c>
      <c r="F1055" s="5" t="str">
        <f>IF(C1055=0,"Broadcast",IF(D1055="",IF(E1055="","",IF(E1055&lt;128,"Verbind "&amp;E1055,INDEX(KdoCodeTab,MATCH(E1055,KdoWertTab,0)))),"StatusAbfr "&amp;D1055))</f>
        <v>MarkWdh</v>
      </c>
      <c r="G1055" t="str">
        <f t="shared" si="116"/>
        <v/>
      </c>
      <c r="H1055" t="str">
        <f t="shared" si="117"/>
        <v>MarkWdh</v>
      </c>
      <c r="I1055" t="str">
        <f t="shared" si="118"/>
        <v/>
      </c>
    </row>
    <row r="1056" spans="1:9" x14ac:dyDescent="0.25">
      <c r="A1056" t="s">
        <v>647</v>
      </c>
      <c r="B1056" s="6">
        <f t="shared" si="119"/>
        <v>6.5644999999999998</v>
      </c>
      <c r="C1056" s="3">
        <f t="shared" si="120"/>
        <v>101</v>
      </c>
      <c r="D1056" s="3" t="str">
        <f t="shared" si="114"/>
        <v/>
      </c>
      <c r="E1056" s="3">
        <f t="shared" si="115"/>
        <v>169</v>
      </c>
      <c r="F1056" s="5" t="str">
        <f>IF(C1056=0,"Broadcast",IF(D1056="",IF(E1056="","",IF(E1056&lt;128,"Verbind "&amp;E1056,INDEX(KdoCodeTab,MATCH(E1056,KdoWertTab,0)))),"StatusAbfr "&amp;D1056))</f>
        <v>BusLebenszeichen</v>
      </c>
      <c r="G1056" t="str">
        <f t="shared" si="116"/>
        <v>BusLebenszeichen</v>
      </c>
      <c r="H1056" t="str">
        <f t="shared" si="117"/>
        <v/>
      </c>
      <c r="I1056" t="str">
        <f t="shared" si="118"/>
        <v/>
      </c>
    </row>
    <row r="1057" spans="1:9" x14ac:dyDescent="0.25">
      <c r="A1057" t="s">
        <v>648</v>
      </c>
      <c r="B1057" s="6">
        <f t="shared" si="119"/>
        <v>6.5860000000000003</v>
      </c>
      <c r="C1057" s="3">
        <f t="shared" si="120"/>
        <v>101</v>
      </c>
      <c r="D1057" s="3" t="str">
        <f t="shared" si="114"/>
        <v/>
      </c>
      <c r="E1057" s="3">
        <f t="shared" si="115"/>
        <v>147</v>
      </c>
      <c r="F1057" s="5" t="str">
        <f>IF(C1057=0,"Broadcast",IF(D1057="",IF(E1057="","",IF(E1057&lt;128,"Verbind "&amp;E1057,INDEX(KdoCodeTab,MATCH(E1057,KdoWertTab,0)))),"StatusAbfr "&amp;D1057))</f>
        <v>Space</v>
      </c>
      <c r="G1057" t="str">
        <f t="shared" si="116"/>
        <v>Space</v>
      </c>
      <c r="H1057" t="str">
        <f t="shared" si="117"/>
        <v/>
      </c>
      <c r="I1057" t="str">
        <f t="shared" si="118"/>
        <v/>
      </c>
    </row>
    <row r="1058" spans="1:9" x14ac:dyDescent="0.25">
      <c r="A1058" t="s">
        <v>649</v>
      </c>
      <c r="B1058" s="6">
        <f t="shared" si="119"/>
        <v>6.5868333333333338</v>
      </c>
      <c r="C1058" s="3">
        <f t="shared" si="120"/>
        <v>101</v>
      </c>
      <c r="D1058" s="3" t="str">
        <f t="shared" si="114"/>
        <v/>
      </c>
      <c r="E1058" s="3">
        <f t="shared" si="115"/>
        <v>150</v>
      </c>
      <c r="F1058" s="5" t="str">
        <f>IF(C1058=0,"Broadcast",IF(D1058="",IF(E1058="","",IF(E1058&lt;128,"Verbind "&amp;E1058,INDEX(KdoCodeTab,MATCH(E1058,KdoWertTab,0)))),"StatusAbfr "&amp;D1058))</f>
        <v>SpaceWdh</v>
      </c>
      <c r="G1058" t="str">
        <f t="shared" si="116"/>
        <v>SpaceWdh</v>
      </c>
      <c r="H1058" t="str">
        <f t="shared" si="117"/>
        <v/>
      </c>
      <c r="I1058" t="str">
        <f t="shared" si="118"/>
        <v/>
      </c>
    </row>
    <row r="1059" spans="1:9" x14ac:dyDescent="0.25">
      <c r="A1059" t="s">
        <v>650</v>
      </c>
      <c r="B1059" s="6">
        <f t="shared" si="119"/>
        <v>6.6658333333333335</v>
      </c>
      <c r="C1059" s="3">
        <f t="shared" si="120"/>
        <v>101</v>
      </c>
      <c r="D1059" s="3" t="str">
        <f t="shared" si="114"/>
        <v/>
      </c>
      <c r="E1059" s="3">
        <f t="shared" si="115"/>
        <v>156</v>
      </c>
      <c r="F1059" s="5" t="str">
        <f>IF(C1059=0,"Broadcast",IF(D1059="",IF(E1059="","",IF(E1059&lt;128,"Verbind "&amp;E1059,INDEX(KdoCodeTab,MATCH(E1059,KdoWertTab,0)))),"StatusAbfr "&amp;D1059))</f>
        <v>Mark</v>
      </c>
      <c r="G1059" t="str">
        <f t="shared" si="116"/>
        <v>Mark</v>
      </c>
      <c r="H1059" t="str">
        <f t="shared" si="117"/>
        <v/>
      </c>
      <c r="I1059" t="str">
        <f t="shared" si="118"/>
        <v/>
      </c>
    </row>
    <row r="1060" spans="1:9" x14ac:dyDescent="0.25">
      <c r="A1060" t="s">
        <v>651</v>
      </c>
      <c r="B1060" s="6">
        <f t="shared" si="119"/>
        <v>6.666666666666667</v>
      </c>
      <c r="C1060" s="3">
        <f t="shared" si="120"/>
        <v>101</v>
      </c>
      <c r="D1060" s="3" t="str">
        <f t="shared" si="114"/>
        <v/>
      </c>
      <c r="E1060" s="3">
        <f t="shared" si="115"/>
        <v>154</v>
      </c>
      <c r="F1060" s="5" t="str">
        <f>IF(C1060=0,"Broadcast",IF(D1060="",IF(E1060="","",IF(E1060&lt;128,"Verbind "&amp;E1060,INDEX(KdoCodeTab,MATCH(E1060,KdoWertTab,0)))),"StatusAbfr "&amp;D1060))</f>
        <v>MarkWdh</v>
      </c>
      <c r="G1060" t="str">
        <f t="shared" si="116"/>
        <v>MarkWdh</v>
      </c>
      <c r="H1060" t="str">
        <f t="shared" si="117"/>
        <v/>
      </c>
      <c r="I1060" t="str">
        <f t="shared" si="118"/>
        <v/>
      </c>
    </row>
    <row r="1061" spans="1:9" x14ac:dyDescent="0.25">
      <c r="A1061" t="s">
        <v>652</v>
      </c>
      <c r="B1061" s="6">
        <f t="shared" si="119"/>
        <v>6.6859999999999999</v>
      </c>
      <c r="C1061" s="3">
        <f t="shared" si="120"/>
        <v>101</v>
      </c>
      <c r="D1061" s="3" t="str">
        <f t="shared" si="114"/>
        <v/>
      </c>
      <c r="E1061" s="3">
        <f t="shared" si="115"/>
        <v>147</v>
      </c>
      <c r="F1061" s="5" t="str">
        <f>IF(C1061=0,"Broadcast",IF(D1061="",IF(E1061="","",IF(E1061&lt;128,"Verbind "&amp;E1061,INDEX(KdoCodeTab,MATCH(E1061,KdoWertTab,0)))),"StatusAbfr "&amp;D1061))</f>
        <v>Space</v>
      </c>
      <c r="G1061" t="str">
        <f t="shared" si="116"/>
        <v>Space</v>
      </c>
      <c r="H1061" t="str">
        <f t="shared" si="117"/>
        <v/>
      </c>
      <c r="I1061" t="str">
        <f t="shared" si="118"/>
        <v/>
      </c>
    </row>
    <row r="1062" spans="1:9" x14ac:dyDescent="0.25">
      <c r="A1062" t="s">
        <v>653</v>
      </c>
      <c r="B1062" s="6">
        <f t="shared" si="119"/>
        <v>6.6868333333333334</v>
      </c>
      <c r="C1062" s="3">
        <f t="shared" si="120"/>
        <v>101</v>
      </c>
      <c r="D1062" s="3" t="str">
        <f t="shared" si="114"/>
        <v/>
      </c>
      <c r="E1062" s="3">
        <f t="shared" si="115"/>
        <v>150</v>
      </c>
      <c r="F1062" s="5" t="str">
        <f>IF(C1062=0,"Broadcast",IF(D1062="",IF(E1062="","",IF(E1062&lt;128,"Verbind "&amp;E1062,INDEX(KdoCodeTab,MATCH(E1062,KdoWertTab,0)))),"StatusAbfr "&amp;D1062))</f>
        <v>SpaceWdh</v>
      </c>
      <c r="G1062" t="str">
        <f t="shared" si="116"/>
        <v>SpaceWdh</v>
      </c>
      <c r="H1062" t="str">
        <f t="shared" si="117"/>
        <v/>
      </c>
      <c r="I1062" t="str">
        <f t="shared" si="118"/>
        <v/>
      </c>
    </row>
    <row r="1063" spans="1:9" x14ac:dyDescent="0.25">
      <c r="A1063" t="s">
        <v>654</v>
      </c>
      <c r="B1063" s="6">
        <f t="shared" si="119"/>
        <v>6.7060000000000004</v>
      </c>
      <c r="C1063" s="3">
        <f t="shared" si="120"/>
        <v>101</v>
      </c>
      <c r="D1063" s="3" t="str">
        <f t="shared" si="114"/>
        <v/>
      </c>
      <c r="E1063" s="3">
        <f t="shared" si="115"/>
        <v>156</v>
      </c>
      <c r="F1063" s="5" t="str">
        <f>IF(C1063=0,"Broadcast",IF(D1063="",IF(E1063="","",IF(E1063&lt;128,"Verbind "&amp;E1063,INDEX(KdoCodeTab,MATCH(E1063,KdoWertTab,0)))),"StatusAbfr "&amp;D1063))</f>
        <v>Mark</v>
      </c>
      <c r="G1063" t="str">
        <f t="shared" si="116"/>
        <v>Mark</v>
      </c>
      <c r="H1063" t="str">
        <f t="shared" si="117"/>
        <v/>
      </c>
      <c r="I1063" t="str">
        <f t="shared" si="118"/>
        <v/>
      </c>
    </row>
    <row r="1064" spans="1:9" x14ac:dyDescent="0.25">
      <c r="A1064" t="s">
        <v>655</v>
      </c>
      <c r="B1064" s="6">
        <f t="shared" si="119"/>
        <v>6.7069999999999999</v>
      </c>
      <c r="C1064" s="3">
        <f t="shared" si="120"/>
        <v>101</v>
      </c>
      <c r="D1064" s="3" t="str">
        <f t="shared" si="114"/>
        <v/>
      </c>
      <c r="E1064" s="3">
        <f t="shared" si="115"/>
        <v>154</v>
      </c>
      <c r="F1064" s="5" t="str">
        <f>IF(C1064=0,"Broadcast",IF(D1064="",IF(E1064="","",IF(E1064&lt;128,"Verbind "&amp;E1064,INDEX(KdoCodeTab,MATCH(E1064,KdoWertTab,0)))),"StatusAbfr "&amp;D1064))</f>
        <v>MarkWdh</v>
      </c>
      <c r="G1064" t="str">
        <f t="shared" si="116"/>
        <v>MarkWdh</v>
      </c>
      <c r="H1064" t="str">
        <f t="shared" si="117"/>
        <v/>
      </c>
      <c r="I1064" t="str">
        <f t="shared" si="118"/>
        <v/>
      </c>
    </row>
    <row r="1065" spans="1:9" x14ac:dyDescent="0.25">
      <c r="A1065" t="s">
        <v>656</v>
      </c>
      <c r="B1065" s="6">
        <f t="shared" si="119"/>
        <v>6.828333333333334</v>
      </c>
      <c r="C1065" s="3">
        <f t="shared" si="120"/>
        <v>101</v>
      </c>
      <c r="D1065" s="3" t="str">
        <f t="shared" si="114"/>
        <v/>
      </c>
      <c r="E1065" s="3">
        <f t="shared" si="115"/>
        <v>147</v>
      </c>
      <c r="F1065" s="5" t="str">
        <f>IF(C1065=0,"Broadcast",IF(D1065="",IF(E1065="","",IF(E1065&lt;128,"Verbind "&amp;E1065,INDEX(KdoCodeTab,MATCH(E1065,KdoWertTab,0)))),"StatusAbfr "&amp;D1065))</f>
        <v>Space</v>
      </c>
      <c r="G1065" t="str">
        <f t="shared" si="116"/>
        <v>Space</v>
      </c>
      <c r="H1065" t="str">
        <f t="shared" si="117"/>
        <v/>
      </c>
      <c r="I1065" t="str">
        <f t="shared" si="118"/>
        <v/>
      </c>
    </row>
    <row r="1066" spans="1:9" x14ac:dyDescent="0.25">
      <c r="A1066" t="s">
        <v>657</v>
      </c>
      <c r="B1066" s="6">
        <f t="shared" si="119"/>
        <v>6.8293333333333335</v>
      </c>
      <c r="C1066" s="3">
        <f t="shared" si="120"/>
        <v>101</v>
      </c>
      <c r="D1066" s="3" t="str">
        <f t="shared" si="114"/>
        <v/>
      </c>
      <c r="E1066" s="3">
        <f t="shared" si="115"/>
        <v>150</v>
      </c>
      <c r="F1066" s="5" t="str">
        <f>IF(C1066=0,"Broadcast",IF(D1066="",IF(E1066="","",IF(E1066&lt;128,"Verbind "&amp;E1066,INDEX(KdoCodeTab,MATCH(E1066,KdoWertTab,0)))),"StatusAbfr "&amp;D1066))</f>
        <v>SpaceWdh</v>
      </c>
      <c r="G1066" t="str">
        <f t="shared" si="116"/>
        <v>SpaceWdh</v>
      </c>
      <c r="H1066" t="str">
        <f t="shared" si="117"/>
        <v/>
      </c>
      <c r="I1066" t="str">
        <f t="shared" si="118"/>
        <v/>
      </c>
    </row>
    <row r="1067" spans="1:9" x14ac:dyDescent="0.25">
      <c r="A1067" t="s">
        <v>658</v>
      </c>
      <c r="B1067" s="6">
        <f t="shared" si="119"/>
        <v>6.8686666666666669</v>
      </c>
      <c r="C1067" s="3">
        <f t="shared" si="120"/>
        <v>101</v>
      </c>
      <c r="D1067" s="3" t="str">
        <f t="shared" si="114"/>
        <v/>
      </c>
      <c r="E1067" s="3">
        <f t="shared" si="115"/>
        <v>156</v>
      </c>
      <c r="F1067" s="5" t="str">
        <f>IF(C1067=0,"Broadcast",IF(D1067="",IF(E1067="","",IF(E1067&lt;128,"Verbind "&amp;E1067,INDEX(KdoCodeTab,MATCH(E1067,KdoWertTab,0)))),"StatusAbfr "&amp;D1067))</f>
        <v>Mark</v>
      </c>
      <c r="G1067" t="str">
        <f t="shared" si="116"/>
        <v>Mark</v>
      </c>
      <c r="H1067" t="str">
        <f t="shared" si="117"/>
        <v/>
      </c>
      <c r="I1067" t="str">
        <f t="shared" si="118"/>
        <v/>
      </c>
    </row>
    <row r="1068" spans="1:9" x14ac:dyDescent="0.25">
      <c r="A1068" t="s">
        <v>659</v>
      </c>
      <c r="B1068" s="6">
        <f t="shared" si="119"/>
        <v>6.8696666666666664</v>
      </c>
      <c r="C1068" s="3">
        <f t="shared" si="120"/>
        <v>101</v>
      </c>
      <c r="D1068" s="3" t="str">
        <f t="shared" si="114"/>
        <v/>
      </c>
      <c r="E1068" s="3">
        <f t="shared" si="115"/>
        <v>154</v>
      </c>
      <c r="F1068" s="5" t="str">
        <f>IF(C1068=0,"Broadcast",IF(D1068="",IF(E1068="","",IF(E1068&lt;128,"Verbind "&amp;E1068,INDEX(KdoCodeTab,MATCH(E1068,KdoWertTab,0)))),"StatusAbfr "&amp;D1068))</f>
        <v>MarkWdh</v>
      </c>
      <c r="G1068" t="str">
        <f t="shared" si="116"/>
        <v>MarkWdh</v>
      </c>
      <c r="H1068" t="str">
        <f t="shared" si="117"/>
        <v/>
      </c>
      <c r="I1068" t="str">
        <f t="shared" si="118"/>
        <v/>
      </c>
    </row>
    <row r="1069" spans="1:9" x14ac:dyDescent="0.25">
      <c r="A1069" t="s">
        <v>660</v>
      </c>
      <c r="B1069" s="6">
        <f t="shared" si="119"/>
        <v>6.8890000000000002</v>
      </c>
      <c r="C1069" s="3">
        <f t="shared" si="120"/>
        <v>101</v>
      </c>
      <c r="D1069" s="3" t="str">
        <f t="shared" si="114"/>
        <v/>
      </c>
      <c r="E1069" s="3">
        <f t="shared" si="115"/>
        <v>147</v>
      </c>
      <c r="F1069" s="5" t="str">
        <f>IF(C1069=0,"Broadcast",IF(D1069="",IF(E1069="","",IF(E1069&lt;128,"Verbind "&amp;E1069,INDEX(KdoCodeTab,MATCH(E1069,KdoWertTab,0)))),"StatusAbfr "&amp;D1069))</f>
        <v>Space</v>
      </c>
      <c r="G1069" t="str">
        <f t="shared" si="116"/>
        <v>Space</v>
      </c>
      <c r="H1069" t="str">
        <f t="shared" si="117"/>
        <v/>
      </c>
      <c r="I1069" t="str">
        <f t="shared" si="118"/>
        <v/>
      </c>
    </row>
    <row r="1070" spans="1:9" x14ac:dyDescent="0.25">
      <c r="A1070" t="s">
        <v>661</v>
      </c>
      <c r="B1070" s="6">
        <f t="shared" si="119"/>
        <v>6.89</v>
      </c>
      <c r="C1070" s="3">
        <f t="shared" si="120"/>
        <v>101</v>
      </c>
      <c r="D1070" s="3" t="str">
        <f t="shared" si="114"/>
        <v/>
      </c>
      <c r="E1070" s="3">
        <f t="shared" si="115"/>
        <v>150</v>
      </c>
      <c r="F1070" s="5" t="str">
        <f>IF(C1070=0,"Broadcast",IF(D1070="",IF(E1070="","",IF(E1070&lt;128,"Verbind "&amp;E1070,INDEX(KdoCodeTab,MATCH(E1070,KdoWertTab,0)))),"StatusAbfr "&amp;D1070))</f>
        <v>SpaceWdh</v>
      </c>
      <c r="G1070" t="str">
        <f t="shared" si="116"/>
        <v>SpaceWdh</v>
      </c>
      <c r="H1070" t="str">
        <f t="shared" si="117"/>
        <v/>
      </c>
      <c r="I1070" t="str">
        <f t="shared" si="118"/>
        <v/>
      </c>
    </row>
    <row r="1071" spans="1:9" x14ac:dyDescent="0.25">
      <c r="A1071" t="s">
        <v>662</v>
      </c>
      <c r="B1071" s="6">
        <f t="shared" si="119"/>
        <v>6.8928333333333338</v>
      </c>
      <c r="C1071" s="3">
        <f t="shared" si="120"/>
        <v>31</v>
      </c>
      <c r="D1071" s="3" t="str">
        <f t="shared" si="114"/>
        <v/>
      </c>
      <c r="E1071" s="3">
        <f t="shared" si="115"/>
        <v>154</v>
      </c>
      <c r="F1071" s="5" t="str">
        <f>IF(C1071=0,"Broadcast",IF(D1071="",IF(E1071="","",IF(E1071&lt;128,"Verbind "&amp;E1071,INDEX(KdoCodeTab,MATCH(E1071,KdoWertTab,0)))),"StatusAbfr "&amp;D1071))</f>
        <v>MarkWdh</v>
      </c>
      <c r="G1071" t="str">
        <f t="shared" si="116"/>
        <v/>
      </c>
      <c r="H1071" t="str">
        <f t="shared" si="117"/>
        <v>MarkWdh</v>
      </c>
      <c r="I1071" t="str">
        <f t="shared" si="118"/>
        <v/>
      </c>
    </row>
    <row r="1072" spans="1:9" x14ac:dyDescent="0.25">
      <c r="A1072" t="s">
        <v>663</v>
      </c>
      <c r="B1072" s="6">
        <f t="shared" si="119"/>
        <v>6.9494999999999996</v>
      </c>
      <c r="C1072" s="3">
        <f t="shared" si="120"/>
        <v>101</v>
      </c>
      <c r="D1072" s="3" t="str">
        <f t="shared" si="114"/>
        <v/>
      </c>
      <c r="E1072" s="3">
        <f t="shared" si="115"/>
        <v>156</v>
      </c>
      <c r="F1072" s="5" t="str">
        <f>IF(C1072=0,"Broadcast",IF(D1072="",IF(E1072="","",IF(E1072&lt;128,"Verbind "&amp;E1072,INDEX(KdoCodeTab,MATCH(E1072,KdoWertTab,0)))),"StatusAbfr "&amp;D1072))</f>
        <v>Mark</v>
      </c>
      <c r="G1072" t="str">
        <f t="shared" si="116"/>
        <v>Mark</v>
      </c>
      <c r="H1072" t="str">
        <f t="shared" si="117"/>
        <v/>
      </c>
      <c r="I1072" t="str">
        <f t="shared" si="118"/>
        <v/>
      </c>
    </row>
    <row r="1073" spans="1:9" x14ac:dyDescent="0.25">
      <c r="A1073" t="s">
        <v>664</v>
      </c>
      <c r="B1073" s="6">
        <f t="shared" si="119"/>
        <v>6.9504999999999999</v>
      </c>
      <c r="C1073" s="3">
        <f t="shared" si="120"/>
        <v>101</v>
      </c>
      <c r="D1073" s="3" t="str">
        <f t="shared" si="114"/>
        <v/>
      </c>
      <c r="E1073" s="3">
        <f t="shared" si="115"/>
        <v>154</v>
      </c>
      <c r="F1073" s="5" t="str">
        <f>IF(C1073=0,"Broadcast",IF(D1073="",IF(E1073="","",IF(E1073&lt;128,"Verbind "&amp;E1073,INDEX(KdoCodeTab,MATCH(E1073,KdoWertTab,0)))),"StatusAbfr "&amp;D1073))</f>
        <v>MarkWdh</v>
      </c>
      <c r="G1073" t="str">
        <f t="shared" si="116"/>
        <v>MarkWdh</v>
      </c>
      <c r="H1073" t="str">
        <f t="shared" si="117"/>
        <v/>
      </c>
      <c r="I1073" t="str">
        <f t="shared" si="118"/>
        <v/>
      </c>
    </row>
    <row r="1074" spans="1:9" x14ac:dyDescent="0.25">
      <c r="A1074" t="s">
        <v>665</v>
      </c>
      <c r="B1074" s="6">
        <f t="shared" si="119"/>
        <v>7.2465000000000002</v>
      </c>
      <c r="C1074" s="3">
        <f t="shared" si="120"/>
        <v>101</v>
      </c>
      <c r="D1074" s="3" t="str">
        <f t="shared" si="114"/>
        <v/>
      </c>
      <c r="E1074" s="3">
        <f t="shared" si="115"/>
        <v>169</v>
      </c>
      <c r="F1074" s="5" t="str">
        <f>IF(C1074=0,"Broadcast",IF(D1074="",IF(E1074="","",IF(E1074&lt;128,"Verbind "&amp;E1074,INDEX(KdoCodeTab,MATCH(E1074,KdoWertTab,0)))),"StatusAbfr "&amp;D1074))</f>
        <v>BusLebenszeichen</v>
      </c>
      <c r="G1074" t="str">
        <f t="shared" si="116"/>
        <v>BusLebenszeichen</v>
      </c>
      <c r="H1074" t="str">
        <f t="shared" si="117"/>
        <v/>
      </c>
      <c r="I1074" t="str">
        <f t="shared" si="118"/>
        <v/>
      </c>
    </row>
    <row r="1075" spans="1:9" x14ac:dyDescent="0.25">
      <c r="A1075" t="s">
        <v>666</v>
      </c>
      <c r="B1075" s="6">
        <f t="shared" si="119"/>
        <v>7.3988333333333332</v>
      </c>
      <c r="C1075" s="3">
        <f t="shared" si="120"/>
        <v>31</v>
      </c>
      <c r="D1075" s="3" t="str">
        <f t="shared" si="114"/>
        <v/>
      </c>
      <c r="E1075" s="3">
        <f t="shared" si="115"/>
        <v>154</v>
      </c>
      <c r="F1075" s="5" t="str">
        <f>IF(C1075=0,"Broadcast",IF(D1075="",IF(E1075="","",IF(E1075&lt;128,"Verbind "&amp;E1075,INDEX(KdoCodeTab,MATCH(E1075,KdoWertTab,0)))),"StatusAbfr "&amp;D1075))</f>
        <v>MarkWdh</v>
      </c>
      <c r="G1075" t="str">
        <f t="shared" si="116"/>
        <v/>
      </c>
      <c r="H1075" t="str">
        <f t="shared" si="117"/>
        <v>MarkWdh</v>
      </c>
      <c r="I1075" t="str">
        <f t="shared" si="118"/>
        <v/>
      </c>
    </row>
    <row r="1076" spans="1:9" x14ac:dyDescent="0.25">
      <c r="A1076" t="s">
        <v>667</v>
      </c>
      <c r="B1076" s="6">
        <f t="shared" si="119"/>
        <v>7.9048333333333334</v>
      </c>
      <c r="C1076" s="3">
        <f t="shared" si="120"/>
        <v>31</v>
      </c>
      <c r="D1076" s="3" t="str">
        <f t="shared" si="114"/>
        <v/>
      </c>
      <c r="E1076" s="3">
        <f t="shared" si="115"/>
        <v>154</v>
      </c>
      <c r="F1076" s="5" t="str">
        <f>IF(C1076=0,"Broadcast",IF(D1076="",IF(E1076="","",IF(E1076&lt;128,"Verbind "&amp;E1076,INDEX(KdoCodeTab,MATCH(E1076,KdoWertTab,0)))),"StatusAbfr "&amp;D1076))</f>
        <v>MarkWdh</v>
      </c>
      <c r="G1076" t="str">
        <f t="shared" si="116"/>
        <v/>
      </c>
      <c r="H1076" t="str">
        <f t="shared" si="117"/>
        <v>MarkWdh</v>
      </c>
      <c r="I1076" t="str">
        <f t="shared" si="118"/>
        <v/>
      </c>
    </row>
    <row r="1077" spans="1:9" x14ac:dyDescent="0.25">
      <c r="A1077" t="s">
        <v>668</v>
      </c>
      <c r="B1077" s="6">
        <f t="shared" si="119"/>
        <v>7.9284999999999997</v>
      </c>
      <c r="C1077" s="3">
        <f t="shared" si="120"/>
        <v>101</v>
      </c>
      <c r="D1077" s="3" t="str">
        <f t="shared" si="114"/>
        <v/>
      </c>
      <c r="E1077" s="3">
        <f t="shared" si="115"/>
        <v>169</v>
      </c>
      <c r="F1077" s="5" t="str">
        <f>IF(C1077=0,"Broadcast",IF(D1077="",IF(E1077="","",IF(E1077&lt;128,"Verbind "&amp;E1077,INDEX(KdoCodeTab,MATCH(E1077,KdoWertTab,0)))),"StatusAbfr "&amp;D1077))</f>
        <v>BusLebenszeichen</v>
      </c>
      <c r="G1077" t="str">
        <f t="shared" si="116"/>
        <v>BusLebenszeichen</v>
      </c>
      <c r="H1077" t="str">
        <f t="shared" si="117"/>
        <v/>
      </c>
      <c r="I1077" t="str">
        <f t="shared" si="118"/>
        <v/>
      </c>
    </row>
    <row r="1078" spans="1:9" x14ac:dyDescent="0.25">
      <c r="A1078" t="s">
        <v>669</v>
      </c>
      <c r="B1078" s="6">
        <f t="shared" si="119"/>
        <v>8.0276666666666667</v>
      </c>
      <c r="C1078" s="3">
        <f t="shared" si="120"/>
        <v>101</v>
      </c>
      <c r="D1078" s="3" t="str">
        <f t="shared" si="114"/>
        <v/>
      </c>
      <c r="E1078" s="3">
        <f t="shared" si="115"/>
        <v>147</v>
      </c>
      <c r="F1078" s="5" t="str">
        <f>IF(C1078=0,"Broadcast",IF(D1078="",IF(E1078="","",IF(E1078&lt;128,"Verbind "&amp;E1078,INDEX(KdoCodeTab,MATCH(E1078,KdoWertTab,0)))),"StatusAbfr "&amp;D1078))</f>
        <v>Space</v>
      </c>
      <c r="G1078" t="str">
        <f t="shared" si="116"/>
        <v>Space</v>
      </c>
      <c r="H1078" t="str">
        <f t="shared" si="117"/>
        <v/>
      </c>
      <c r="I1078" t="str">
        <f t="shared" si="118"/>
        <v/>
      </c>
    </row>
    <row r="1079" spans="1:9" x14ac:dyDescent="0.25">
      <c r="A1079" t="s">
        <v>670</v>
      </c>
      <c r="B1079" s="6">
        <f t="shared" si="119"/>
        <v>8.0285000000000011</v>
      </c>
      <c r="C1079" s="3">
        <f t="shared" si="120"/>
        <v>101</v>
      </c>
      <c r="D1079" s="3" t="str">
        <f t="shared" si="114"/>
        <v/>
      </c>
      <c r="E1079" s="3">
        <f t="shared" si="115"/>
        <v>150</v>
      </c>
      <c r="F1079" s="5" t="str">
        <f>IF(C1079=0,"Broadcast",IF(D1079="",IF(E1079="","",IF(E1079&lt;128,"Verbind "&amp;E1079,INDEX(KdoCodeTab,MATCH(E1079,KdoWertTab,0)))),"StatusAbfr "&amp;D1079))</f>
        <v>SpaceWdh</v>
      </c>
      <c r="G1079" t="str">
        <f t="shared" si="116"/>
        <v>SpaceWdh</v>
      </c>
      <c r="H1079" t="str">
        <f t="shared" si="117"/>
        <v/>
      </c>
      <c r="I1079" t="str">
        <f t="shared" si="118"/>
        <v/>
      </c>
    </row>
    <row r="1080" spans="1:9" x14ac:dyDescent="0.25">
      <c r="A1080" t="s">
        <v>671</v>
      </c>
      <c r="B1080" s="6">
        <f t="shared" si="119"/>
        <v>8.0478333333333332</v>
      </c>
      <c r="C1080" s="3">
        <f t="shared" si="120"/>
        <v>101</v>
      </c>
      <c r="D1080" s="3" t="str">
        <f t="shared" si="114"/>
        <v/>
      </c>
      <c r="E1080" s="3">
        <f t="shared" si="115"/>
        <v>156</v>
      </c>
      <c r="F1080" s="5" t="str">
        <f>IF(C1080=0,"Broadcast",IF(D1080="",IF(E1080="","",IF(E1080&lt;128,"Verbind "&amp;E1080,INDEX(KdoCodeTab,MATCH(E1080,KdoWertTab,0)))),"StatusAbfr "&amp;D1080))</f>
        <v>Mark</v>
      </c>
      <c r="G1080" t="str">
        <f t="shared" si="116"/>
        <v>Mark</v>
      </c>
      <c r="H1080" t="str">
        <f t="shared" si="117"/>
        <v/>
      </c>
      <c r="I1080" t="str">
        <f t="shared" si="118"/>
        <v/>
      </c>
    </row>
    <row r="1081" spans="1:9" x14ac:dyDescent="0.25">
      <c r="A1081" t="s">
        <v>672</v>
      </c>
      <c r="B1081" s="6">
        <f t="shared" si="119"/>
        <v>8.0486666666666675</v>
      </c>
      <c r="C1081" s="3">
        <f t="shared" si="120"/>
        <v>101</v>
      </c>
      <c r="D1081" s="3" t="str">
        <f t="shared" si="114"/>
        <v/>
      </c>
      <c r="E1081" s="3">
        <f t="shared" si="115"/>
        <v>154</v>
      </c>
      <c r="F1081" s="5" t="str">
        <f>IF(C1081=0,"Broadcast",IF(D1081="",IF(E1081="","",IF(E1081&lt;128,"Verbind "&amp;E1081,INDEX(KdoCodeTab,MATCH(E1081,KdoWertTab,0)))),"StatusAbfr "&amp;D1081))</f>
        <v>MarkWdh</v>
      </c>
      <c r="G1081" t="str">
        <f t="shared" si="116"/>
        <v>MarkWdh</v>
      </c>
      <c r="H1081" t="str">
        <f t="shared" si="117"/>
        <v/>
      </c>
      <c r="I1081" t="str">
        <f t="shared" si="118"/>
        <v/>
      </c>
    </row>
    <row r="1082" spans="1:9" x14ac:dyDescent="0.25">
      <c r="A1082" t="s">
        <v>673</v>
      </c>
      <c r="B1082" s="6">
        <f t="shared" si="119"/>
        <v>8.0670000000000002</v>
      </c>
      <c r="C1082" s="3">
        <f t="shared" si="120"/>
        <v>101</v>
      </c>
      <c r="D1082" s="3" t="str">
        <f t="shared" si="114"/>
        <v/>
      </c>
      <c r="E1082" s="3">
        <f t="shared" si="115"/>
        <v>147</v>
      </c>
      <c r="F1082" s="5" t="str">
        <f>IF(C1082=0,"Broadcast",IF(D1082="",IF(E1082="","",IF(E1082&lt;128,"Verbind "&amp;E1082,INDEX(KdoCodeTab,MATCH(E1082,KdoWertTab,0)))),"StatusAbfr "&amp;D1082))</f>
        <v>Space</v>
      </c>
      <c r="G1082" t="str">
        <f t="shared" si="116"/>
        <v>Space</v>
      </c>
      <c r="H1082" t="str">
        <f t="shared" si="117"/>
        <v/>
      </c>
      <c r="I1082" t="str">
        <f t="shared" si="118"/>
        <v/>
      </c>
    </row>
    <row r="1083" spans="1:9" x14ac:dyDescent="0.25">
      <c r="A1083" t="s">
        <v>674</v>
      </c>
      <c r="B1083" s="6">
        <f t="shared" si="119"/>
        <v>8.0679999999999996</v>
      </c>
      <c r="C1083" s="3">
        <f t="shared" si="120"/>
        <v>101</v>
      </c>
      <c r="D1083" s="3" t="str">
        <f t="shared" ref="D1083:D1146" si="121">IF(MID(A1083,10,1)="&lt;",MID(A1083,12,2),"")</f>
        <v/>
      </c>
      <c r="E1083" s="3">
        <f t="shared" ref="E1083:E1146" si="122">IF(MID(A1083,10,1)="&gt;",HEX2DEC(MID(A1083,12,2)),"")</f>
        <v>150</v>
      </c>
      <c r="F1083" s="5" t="str">
        <f>IF(C1083=0,"Broadcast",IF(D1083="",IF(E1083="","",IF(E1083&lt;128,"Verbind "&amp;E1083,INDEX(KdoCodeTab,MATCH(E1083,KdoWertTab,0)))),"StatusAbfr "&amp;D1083))</f>
        <v>SpaceWdh</v>
      </c>
      <c r="G1083" t="str">
        <f t="shared" ref="G1083:G1146" si="123">IF(C1083=$G$2,F1083,"")</f>
        <v>SpaceWdh</v>
      </c>
      <c r="H1083" t="str">
        <f t="shared" ref="H1083:H1146" si="124">IF(C1083=$H$2,F1083,"")</f>
        <v/>
      </c>
      <c r="I1083" t="str">
        <f t="shared" ref="I1083:I1146" si="125">IF(G1083&amp;H1083="",F1083,"")</f>
        <v/>
      </c>
    </row>
    <row r="1084" spans="1:9" x14ac:dyDescent="0.25">
      <c r="A1084" t="s">
        <v>675</v>
      </c>
      <c r="B1084" s="6">
        <f t="shared" si="119"/>
        <v>8.1275000000000013</v>
      </c>
      <c r="C1084" s="3">
        <f t="shared" si="120"/>
        <v>101</v>
      </c>
      <c r="D1084" s="3" t="str">
        <f t="shared" si="121"/>
        <v/>
      </c>
      <c r="E1084" s="3">
        <f t="shared" si="122"/>
        <v>156</v>
      </c>
      <c r="F1084" s="5" t="str">
        <f>IF(C1084=0,"Broadcast",IF(D1084="",IF(E1084="","",IF(E1084&lt;128,"Verbind "&amp;E1084,INDEX(KdoCodeTab,MATCH(E1084,KdoWertTab,0)))),"StatusAbfr "&amp;D1084))</f>
        <v>Mark</v>
      </c>
      <c r="G1084" t="str">
        <f t="shared" si="123"/>
        <v>Mark</v>
      </c>
      <c r="H1084" t="str">
        <f t="shared" si="124"/>
        <v/>
      </c>
      <c r="I1084" t="str">
        <f t="shared" si="125"/>
        <v/>
      </c>
    </row>
    <row r="1085" spans="1:9" x14ac:dyDescent="0.25">
      <c r="A1085" t="s">
        <v>676</v>
      </c>
      <c r="B1085" s="6">
        <f t="shared" si="119"/>
        <v>8.1285000000000007</v>
      </c>
      <c r="C1085" s="3">
        <f t="shared" si="120"/>
        <v>101</v>
      </c>
      <c r="D1085" s="3" t="str">
        <f t="shared" si="121"/>
        <v/>
      </c>
      <c r="E1085" s="3">
        <f t="shared" si="122"/>
        <v>154</v>
      </c>
      <c r="F1085" s="5" t="str">
        <f>IF(C1085=0,"Broadcast",IF(D1085="",IF(E1085="","",IF(E1085&lt;128,"Verbind "&amp;E1085,INDEX(KdoCodeTab,MATCH(E1085,KdoWertTab,0)))),"StatusAbfr "&amp;D1085))</f>
        <v>MarkWdh</v>
      </c>
      <c r="G1085" t="str">
        <f t="shared" si="123"/>
        <v>MarkWdh</v>
      </c>
      <c r="H1085" t="str">
        <f t="shared" si="124"/>
        <v/>
      </c>
      <c r="I1085" t="str">
        <f t="shared" si="125"/>
        <v/>
      </c>
    </row>
    <row r="1086" spans="1:9" x14ac:dyDescent="0.25">
      <c r="A1086" t="s">
        <v>677</v>
      </c>
      <c r="B1086" s="6">
        <f t="shared" si="119"/>
        <v>8.1873333333333331</v>
      </c>
      <c r="C1086" s="3">
        <f t="shared" si="120"/>
        <v>101</v>
      </c>
      <c r="D1086" s="3" t="str">
        <f t="shared" si="121"/>
        <v/>
      </c>
      <c r="E1086" s="3">
        <f t="shared" si="122"/>
        <v>147</v>
      </c>
      <c r="F1086" s="5" t="str">
        <f>IF(C1086=0,"Broadcast",IF(D1086="",IF(E1086="","",IF(E1086&lt;128,"Verbind "&amp;E1086,INDEX(KdoCodeTab,MATCH(E1086,KdoWertTab,0)))),"StatusAbfr "&amp;D1086))</f>
        <v>Space</v>
      </c>
      <c r="G1086" t="str">
        <f t="shared" si="123"/>
        <v>Space</v>
      </c>
      <c r="H1086" t="str">
        <f t="shared" si="124"/>
        <v/>
      </c>
      <c r="I1086" t="str">
        <f t="shared" si="125"/>
        <v/>
      </c>
    </row>
    <row r="1087" spans="1:9" x14ac:dyDescent="0.25">
      <c r="A1087" t="s">
        <v>678</v>
      </c>
      <c r="B1087" s="6">
        <f t="shared" si="119"/>
        <v>8.1881666666666675</v>
      </c>
      <c r="C1087" s="3">
        <f t="shared" si="120"/>
        <v>101</v>
      </c>
      <c r="D1087" s="3" t="str">
        <f t="shared" si="121"/>
        <v/>
      </c>
      <c r="E1087" s="3">
        <f t="shared" si="122"/>
        <v>150</v>
      </c>
      <c r="F1087" s="5" t="str">
        <f>IF(C1087=0,"Broadcast",IF(D1087="",IF(E1087="","",IF(E1087&lt;128,"Verbind "&amp;E1087,INDEX(KdoCodeTab,MATCH(E1087,KdoWertTab,0)))),"StatusAbfr "&amp;D1087))</f>
        <v>SpaceWdh</v>
      </c>
      <c r="G1087" t="str">
        <f t="shared" si="123"/>
        <v>SpaceWdh</v>
      </c>
      <c r="H1087" t="str">
        <f t="shared" si="124"/>
        <v/>
      </c>
      <c r="I1087" t="str">
        <f t="shared" si="125"/>
        <v/>
      </c>
    </row>
    <row r="1088" spans="1:9" x14ac:dyDescent="0.25">
      <c r="A1088" t="s">
        <v>679</v>
      </c>
      <c r="B1088" s="6">
        <f t="shared" si="119"/>
        <v>8.2075000000000014</v>
      </c>
      <c r="C1088" s="3">
        <f t="shared" si="120"/>
        <v>101</v>
      </c>
      <c r="D1088" s="3" t="str">
        <f t="shared" si="121"/>
        <v/>
      </c>
      <c r="E1088" s="3">
        <f t="shared" si="122"/>
        <v>156</v>
      </c>
      <c r="F1088" s="5" t="str">
        <f>IF(C1088=0,"Broadcast",IF(D1088="",IF(E1088="","",IF(E1088&lt;128,"Verbind "&amp;E1088,INDEX(KdoCodeTab,MATCH(E1088,KdoWertTab,0)))),"StatusAbfr "&amp;D1088))</f>
        <v>Mark</v>
      </c>
      <c r="G1088" t="str">
        <f t="shared" si="123"/>
        <v>Mark</v>
      </c>
      <c r="H1088" t="str">
        <f t="shared" si="124"/>
        <v/>
      </c>
      <c r="I1088" t="str">
        <f t="shared" si="125"/>
        <v/>
      </c>
    </row>
    <row r="1089" spans="1:9" x14ac:dyDescent="0.25">
      <c r="A1089" t="s">
        <v>680</v>
      </c>
      <c r="B1089" s="6">
        <f t="shared" si="119"/>
        <v>8.2083333333333339</v>
      </c>
      <c r="C1089" s="3">
        <f t="shared" si="120"/>
        <v>101</v>
      </c>
      <c r="D1089" s="3" t="str">
        <f t="shared" si="121"/>
        <v/>
      </c>
      <c r="E1089" s="3">
        <f t="shared" si="122"/>
        <v>154</v>
      </c>
      <c r="F1089" s="5" t="str">
        <f>IF(C1089=0,"Broadcast",IF(D1089="",IF(E1089="","",IF(E1089&lt;128,"Verbind "&amp;E1089,INDEX(KdoCodeTab,MATCH(E1089,KdoWertTab,0)))),"StatusAbfr "&amp;D1089))</f>
        <v>MarkWdh</v>
      </c>
      <c r="G1089" t="str">
        <f t="shared" si="123"/>
        <v>MarkWdh</v>
      </c>
      <c r="H1089" t="str">
        <f t="shared" si="124"/>
        <v/>
      </c>
      <c r="I1089" t="str">
        <f t="shared" si="125"/>
        <v/>
      </c>
    </row>
    <row r="1090" spans="1:9" x14ac:dyDescent="0.25">
      <c r="A1090" t="s">
        <v>681</v>
      </c>
      <c r="B1090" s="6">
        <f t="shared" si="119"/>
        <v>8.2276666666666678</v>
      </c>
      <c r="C1090" s="3">
        <f t="shared" si="120"/>
        <v>101</v>
      </c>
      <c r="D1090" s="3" t="str">
        <f t="shared" si="121"/>
        <v/>
      </c>
      <c r="E1090" s="3">
        <f t="shared" si="122"/>
        <v>147</v>
      </c>
      <c r="F1090" s="5" t="str">
        <f>IF(C1090=0,"Broadcast",IF(D1090="",IF(E1090="","",IF(E1090&lt;128,"Verbind "&amp;E1090,INDEX(KdoCodeTab,MATCH(E1090,KdoWertTab,0)))),"StatusAbfr "&amp;D1090))</f>
        <v>Space</v>
      </c>
      <c r="G1090" t="str">
        <f t="shared" si="123"/>
        <v>Space</v>
      </c>
      <c r="H1090" t="str">
        <f t="shared" si="124"/>
        <v/>
      </c>
      <c r="I1090" t="str">
        <f t="shared" si="125"/>
        <v/>
      </c>
    </row>
    <row r="1091" spans="1:9" x14ac:dyDescent="0.25">
      <c r="A1091" t="s">
        <v>682</v>
      </c>
      <c r="B1091" s="6">
        <f t="shared" si="119"/>
        <v>8.2285000000000004</v>
      </c>
      <c r="C1091" s="3">
        <f t="shared" si="120"/>
        <v>101</v>
      </c>
      <c r="D1091" s="3" t="str">
        <f t="shared" si="121"/>
        <v/>
      </c>
      <c r="E1091" s="3">
        <f t="shared" si="122"/>
        <v>150</v>
      </c>
      <c r="F1091" s="5" t="str">
        <f>IF(C1091=0,"Broadcast",IF(D1091="",IF(E1091="","",IF(E1091&lt;128,"Verbind "&amp;E1091,INDEX(KdoCodeTab,MATCH(E1091,KdoWertTab,0)))),"StatusAbfr "&amp;D1091))</f>
        <v>SpaceWdh</v>
      </c>
      <c r="G1091" t="str">
        <f t="shared" si="123"/>
        <v>SpaceWdh</v>
      </c>
      <c r="H1091" t="str">
        <f t="shared" si="124"/>
        <v/>
      </c>
      <c r="I1091" t="str">
        <f t="shared" si="125"/>
        <v/>
      </c>
    </row>
    <row r="1092" spans="1:9" x14ac:dyDescent="0.25">
      <c r="A1092" t="s">
        <v>683</v>
      </c>
      <c r="B1092" s="6">
        <f t="shared" si="119"/>
        <v>8.2871666666666677</v>
      </c>
      <c r="C1092" s="3">
        <f t="shared" si="120"/>
        <v>101</v>
      </c>
      <c r="D1092" s="3" t="str">
        <f t="shared" si="121"/>
        <v/>
      </c>
      <c r="E1092" s="3">
        <f t="shared" si="122"/>
        <v>156</v>
      </c>
      <c r="F1092" s="5" t="str">
        <f>IF(C1092=0,"Broadcast",IF(D1092="",IF(E1092="","",IF(E1092&lt;128,"Verbind "&amp;E1092,INDEX(KdoCodeTab,MATCH(E1092,KdoWertTab,0)))),"StatusAbfr "&amp;D1092))</f>
        <v>Mark</v>
      </c>
      <c r="G1092" t="str">
        <f t="shared" si="123"/>
        <v>Mark</v>
      </c>
      <c r="H1092" t="str">
        <f t="shared" si="124"/>
        <v/>
      </c>
      <c r="I1092" t="str">
        <f t="shared" si="125"/>
        <v/>
      </c>
    </row>
    <row r="1093" spans="1:9" x14ac:dyDescent="0.25">
      <c r="A1093" t="s">
        <v>684</v>
      </c>
      <c r="B1093" s="6">
        <f t="shared" ref="B1093:B1156" si="126">MID(A1093,1,5)/1000+(CODE(MID(A1093,6,1))-CODE("a"))/6000</f>
        <v>8.2881666666666671</v>
      </c>
      <c r="C1093" s="3">
        <f t="shared" ref="C1093:C1156" si="127">INT(HEX2DEC(MID(A1093,8,2))/2)</f>
        <v>101</v>
      </c>
      <c r="D1093" s="3" t="str">
        <f t="shared" si="121"/>
        <v/>
      </c>
      <c r="E1093" s="3">
        <f t="shared" si="122"/>
        <v>154</v>
      </c>
      <c r="F1093" s="5" t="str">
        <f>IF(C1093=0,"Broadcast",IF(D1093="",IF(E1093="","",IF(E1093&lt;128,"Verbind "&amp;E1093,INDEX(KdoCodeTab,MATCH(E1093,KdoWertTab,0)))),"StatusAbfr "&amp;D1093))</f>
        <v>MarkWdh</v>
      </c>
      <c r="G1093" t="str">
        <f t="shared" si="123"/>
        <v>MarkWdh</v>
      </c>
      <c r="H1093" t="str">
        <f t="shared" si="124"/>
        <v/>
      </c>
      <c r="I1093" t="str">
        <f t="shared" si="125"/>
        <v/>
      </c>
    </row>
    <row r="1094" spans="1:9" x14ac:dyDescent="0.25">
      <c r="A1094" t="s">
        <v>685</v>
      </c>
      <c r="B1094" s="6">
        <f t="shared" si="126"/>
        <v>8.3458333333333332</v>
      </c>
      <c r="C1094" s="3">
        <f t="shared" si="127"/>
        <v>101</v>
      </c>
      <c r="D1094" s="3" t="str">
        <f t="shared" si="121"/>
        <v/>
      </c>
      <c r="E1094" s="3">
        <f t="shared" si="122"/>
        <v>147</v>
      </c>
      <c r="F1094" s="5" t="str">
        <f>IF(C1094=0,"Broadcast",IF(D1094="",IF(E1094="","",IF(E1094&lt;128,"Verbind "&amp;E1094,INDEX(KdoCodeTab,MATCH(E1094,KdoWertTab,0)))),"StatusAbfr "&amp;D1094))</f>
        <v>Space</v>
      </c>
      <c r="G1094" t="str">
        <f t="shared" si="123"/>
        <v>Space</v>
      </c>
      <c r="H1094" t="str">
        <f t="shared" si="124"/>
        <v/>
      </c>
      <c r="I1094" t="str">
        <f t="shared" si="125"/>
        <v/>
      </c>
    </row>
    <row r="1095" spans="1:9" x14ac:dyDescent="0.25">
      <c r="A1095" t="s">
        <v>686</v>
      </c>
      <c r="B1095" s="6">
        <f t="shared" si="126"/>
        <v>8.3466666666666676</v>
      </c>
      <c r="C1095" s="3">
        <f t="shared" si="127"/>
        <v>101</v>
      </c>
      <c r="D1095" s="3" t="str">
        <f t="shared" si="121"/>
        <v/>
      </c>
      <c r="E1095" s="3">
        <f t="shared" si="122"/>
        <v>150</v>
      </c>
      <c r="F1095" s="5" t="str">
        <f>IF(C1095=0,"Broadcast",IF(D1095="",IF(E1095="","",IF(E1095&lt;128,"Verbind "&amp;E1095,INDEX(KdoCodeTab,MATCH(E1095,KdoWertTab,0)))),"StatusAbfr "&amp;D1095))</f>
        <v>SpaceWdh</v>
      </c>
      <c r="G1095" t="str">
        <f t="shared" si="123"/>
        <v>SpaceWdh</v>
      </c>
      <c r="H1095" t="str">
        <f t="shared" si="124"/>
        <v/>
      </c>
      <c r="I1095" t="str">
        <f t="shared" si="125"/>
        <v/>
      </c>
    </row>
    <row r="1096" spans="1:9" x14ac:dyDescent="0.25">
      <c r="A1096" t="s">
        <v>687</v>
      </c>
      <c r="B1096" s="6">
        <f t="shared" si="126"/>
        <v>8.3650000000000002</v>
      </c>
      <c r="C1096" s="3">
        <f t="shared" si="127"/>
        <v>101</v>
      </c>
      <c r="D1096" s="3" t="str">
        <f t="shared" si="121"/>
        <v/>
      </c>
      <c r="E1096" s="3">
        <f t="shared" si="122"/>
        <v>156</v>
      </c>
      <c r="F1096" s="5" t="str">
        <f>IF(C1096=0,"Broadcast",IF(D1096="",IF(E1096="","",IF(E1096&lt;128,"Verbind "&amp;E1096,INDEX(KdoCodeTab,MATCH(E1096,KdoWertTab,0)))),"StatusAbfr "&amp;D1096))</f>
        <v>Mark</v>
      </c>
      <c r="G1096" t="str">
        <f t="shared" si="123"/>
        <v>Mark</v>
      </c>
      <c r="H1096" t="str">
        <f t="shared" si="124"/>
        <v/>
      </c>
      <c r="I1096" t="str">
        <f t="shared" si="125"/>
        <v/>
      </c>
    </row>
    <row r="1097" spans="1:9" x14ac:dyDescent="0.25">
      <c r="A1097" t="s">
        <v>688</v>
      </c>
      <c r="B1097" s="6">
        <f t="shared" si="126"/>
        <v>8.3659999999999997</v>
      </c>
      <c r="C1097" s="3">
        <f t="shared" si="127"/>
        <v>101</v>
      </c>
      <c r="D1097" s="3" t="str">
        <f t="shared" si="121"/>
        <v/>
      </c>
      <c r="E1097" s="3">
        <f t="shared" si="122"/>
        <v>154</v>
      </c>
      <c r="F1097" s="5" t="str">
        <f>IF(C1097=0,"Broadcast",IF(D1097="",IF(E1097="","",IF(E1097&lt;128,"Verbind "&amp;E1097,INDEX(KdoCodeTab,MATCH(E1097,KdoWertTab,0)))),"StatusAbfr "&amp;D1097))</f>
        <v>MarkWdh</v>
      </c>
      <c r="G1097" t="str">
        <f t="shared" si="123"/>
        <v>MarkWdh</v>
      </c>
      <c r="H1097" t="str">
        <f t="shared" si="124"/>
        <v/>
      </c>
      <c r="I1097" t="str">
        <f t="shared" si="125"/>
        <v/>
      </c>
    </row>
    <row r="1098" spans="1:9" x14ac:dyDescent="0.25">
      <c r="A1098" t="s">
        <v>689</v>
      </c>
      <c r="B1098" s="6">
        <f t="shared" si="126"/>
        <v>8.3851666666666667</v>
      </c>
      <c r="C1098" s="3">
        <f t="shared" si="127"/>
        <v>101</v>
      </c>
      <c r="D1098" s="3" t="str">
        <f t="shared" si="121"/>
        <v/>
      </c>
      <c r="E1098" s="3">
        <f t="shared" si="122"/>
        <v>147</v>
      </c>
      <c r="F1098" s="5" t="str">
        <f>IF(C1098=0,"Broadcast",IF(D1098="",IF(E1098="","",IF(E1098&lt;128,"Verbind "&amp;E1098,INDEX(KdoCodeTab,MATCH(E1098,KdoWertTab,0)))),"StatusAbfr "&amp;D1098))</f>
        <v>Space</v>
      </c>
      <c r="G1098" t="str">
        <f t="shared" si="123"/>
        <v>Space</v>
      </c>
      <c r="H1098" t="str">
        <f t="shared" si="124"/>
        <v/>
      </c>
      <c r="I1098" t="str">
        <f t="shared" si="125"/>
        <v/>
      </c>
    </row>
    <row r="1099" spans="1:9" x14ac:dyDescent="0.25">
      <c r="A1099" t="s">
        <v>690</v>
      </c>
      <c r="B1099" s="6">
        <f t="shared" si="126"/>
        <v>8.3861666666666661</v>
      </c>
      <c r="C1099" s="3">
        <f t="shared" si="127"/>
        <v>101</v>
      </c>
      <c r="D1099" s="3" t="str">
        <f t="shared" si="121"/>
        <v/>
      </c>
      <c r="E1099" s="3">
        <f t="shared" si="122"/>
        <v>150</v>
      </c>
      <c r="F1099" s="5" t="str">
        <f>IF(C1099=0,"Broadcast",IF(D1099="",IF(E1099="","",IF(E1099&lt;128,"Verbind "&amp;E1099,INDEX(KdoCodeTab,MATCH(E1099,KdoWertTab,0)))),"StatusAbfr "&amp;D1099))</f>
        <v>SpaceWdh</v>
      </c>
      <c r="G1099" t="str">
        <f t="shared" si="123"/>
        <v>SpaceWdh</v>
      </c>
      <c r="H1099" t="str">
        <f t="shared" si="124"/>
        <v/>
      </c>
      <c r="I1099" t="str">
        <f t="shared" si="125"/>
        <v/>
      </c>
    </row>
    <row r="1100" spans="1:9" x14ac:dyDescent="0.25">
      <c r="A1100" t="s">
        <v>691</v>
      </c>
      <c r="B1100" s="6">
        <f t="shared" si="126"/>
        <v>8.4108333333333327</v>
      </c>
      <c r="C1100" s="3">
        <f t="shared" si="127"/>
        <v>31</v>
      </c>
      <c r="D1100" s="3" t="str">
        <f t="shared" si="121"/>
        <v/>
      </c>
      <c r="E1100" s="3">
        <f t="shared" si="122"/>
        <v>154</v>
      </c>
      <c r="F1100" s="5" t="str">
        <f>IF(C1100=0,"Broadcast",IF(D1100="",IF(E1100="","",IF(E1100&lt;128,"Verbind "&amp;E1100,INDEX(KdoCodeTab,MATCH(E1100,KdoWertTab,0)))),"StatusAbfr "&amp;D1100))</f>
        <v>MarkWdh</v>
      </c>
      <c r="G1100" t="str">
        <f t="shared" si="123"/>
        <v/>
      </c>
      <c r="H1100" t="str">
        <f t="shared" si="124"/>
        <v>MarkWdh</v>
      </c>
      <c r="I1100" t="str">
        <f t="shared" si="125"/>
        <v/>
      </c>
    </row>
    <row r="1101" spans="1:9" x14ac:dyDescent="0.25">
      <c r="A1101" t="s">
        <v>692</v>
      </c>
      <c r="B1101" s="6">
        <f t="shared" si="126"/>
        <v>8.4458333333333329</v>
      </c>
      <c r="C1101" s="3">
        <f t="shared" si="127"/>
        <v>101</v>
      </c>
      <c r="D1101" s="3" t="str">
        <f t="shared" si="121"/>
        <v/>
      </c>
      <c r="E1101" s="3">
        <f t="shared" si="122"/>
        <v>156</v>
      </c>
      <c r="F1101" s="5" t="str">
        <f>IF(C1101=0,"Broadcast",IF(D1101="",IF(E1101="","",IF(E1101&lt;128,"Verbind "&amp;E1101,INDEX(KdoCodeTab,MATCH(E1101,KdoWertTab,0)))),"StatusAbfr "&amp;D1101))</f>
        <v>Mark</v>
      </c>
      <c r="G1101" t="str">
        <f t="shared" si="123"/>
        <v>Mark</v>
      </c>
      <c r="H1101" t="str">
        <f t="shared" si="124"/>
        <v/>
      </c>
      <c r="I1101" t="str">
        <f t="shared" si="125"/>
        <v/>
      </c>
    </row>
    <row r="1102" spans="1:9" x14ac:dyDescent="0.25">
      <c r="A1102" t="s">
        <v>693</v>
      </c>
      <c r="B1102" s="6">
        <f t="shared" si="126"/>
        <v>8.4466666666666672</v>
      </c>
      <c r="C1102" s="3">
        <f t="shared" si="127"/>
        <v>101</v>
      </c>
      <c r="D1102" s="3" t="str">
        <f t="shared" si="121"/>
        <v/>
      </c>
      <c r="E1102" s="3">
        <f t="shared" si="122"/>
        <v>154</v>
      </c>
      <c r="F1102" s="5" t="str">
        <f>IF(C1102=0,"Broadcast",IF(D1102="",IF(E1102="","",IF(E1102&lt;128,"Verbind "&amp;E1102,INDEX(KdoCodeTab,MATCH(E1102,KdoWertTab,0)))),"StatusAbfr "&amp;D1102))</f>
        <v>MarkWdh</v>
      </c>
      <c r="G1102" t="str">
        <f t="shared" si="123"/>
        <v>MarkWdh</v>
      </c>
      <c r="H1102" t="str">
        <f t="shared" si="124"/>
        <v/>
      </c>
      <c r="I1102" t="str">
        <f t="shared" si="125"/>
        <v/>
      </c>
    </row>
    <row r="1103" spans="1:9" x14ac:dyDescent="0.25">
      <c r="A1103" t="s">
        <v>694</v>
      </c>
      <c r="B1103" s="6">
        <f t="shared" si="126"/>
        <v>8.5093333333333341</v>
      </c>
      <c r="C1103" s="3">
        <f t="shared" si="127"/>
        <v>101</v>
      </c>
      <c r="D1103" s="3" t="str">
        <f t="shared" si="121"/>
        <v/>
      </c>
      <c r="E1103" s="3">
        <f t="shared" si="122"/>
        <v>147</v>
      </c>
      <c r="F1103" s="5" t="str">
        <f>IF(C1103=0,"Broadcast",IF(D1103="",IF(E1103="","",IF(E1103&lt;128,"Verbind "&amp;E1103,INDEX(KdoCodeTab,MATCH(E1103,KdoWertTab,0)))),"StatusAbfr "&amp;D1103))</f>
        <v>Space</v>
      </c>
      <c r="G1103" t="str">
        <f t="shared" si="123"/>
        <v>Space</v>
      </c>
      <c r="H1103" t="str">
        <f t="shared" si="124"/>
        <v/>
      </c>
      <c r="I1103" t="str">
        <f t="shared" si="125"/>
        <v/>
      </c>
    </row>
    <row r="1104" spans="1:9" x14ac:dyDescent="0.25">
      <c r="A1104" t="s">
        <v>695</v>
      </c>
      <c r="B1104" s="6">
        <f t="shared" si="126"/>
        <v>8.5103333333333335</v>
      </c>
      <c r="C1104" s="3">
        <f t="shared" si="127"/>
        <v>101</v>
      </c>
      <c r="D1104" s="3" t="str">
        <f t="shared" si="121"/>
        <v/>
      </c>
      <c r="E1104" s="3">
        <f t="shared" si="122"/>
        <v>150</v>
      </c>
      <c r="F1104" s="5" t="str">
        <f>IF(C1104=0,"Broadcast",IF(D1104="",IF(E1104="","",IF(E1104&lt;128,"Verbind "&amp;E1104,INDEX(KdoCodeTab,MATCH(E1104,KdoWertTab,0)))),"StatusAbfr "&amp;D1104))</f>
        <v>SpaceWdh</v>
      </c>
      <c r="G1104" t="str">
        <f t="shared" si="123"/>
        <v>SpaceWdh</v>
      </c>
      <c r="H1104" t="str">
        <f t="shared" si="124"/>
        <v/>
      </c>
      <c r="I1104" t="str">
        <f t="shared" si="125"/>
        <v/>
      </c>
    </row>
    <row r="1105" spans="1:9" x14ac:dyDescent="0.25">
      <c r="A1105" t="s">
        <v>696</v>
      </c>
      <c r="B1105" s="6">
        <f t="shared" si="126"/>
        <v>8.5296666666666674</v>
      </c>
      <c r="C1105" s="3">
        <f t="shared" si="127"/>
        <v>101</v>
      </c>
      <c r="D1105" s="3" t="str">
        <f t="shared" si="121"/>
        <v/>
      </c>
      <c r="E1105" s="3">
        <f t="shared" si="122"/>
        <v>156</v>
      </c>
      <c r="F1105" s="5" t="str">
        <f>IF(C1105=0,"Broadcast",IF(D1105="",IF(E1105="","",IF(E1105&lt;128,"Verbind "&amp;E1105,INDEX(KdoCodeTab,MATCH(E1105,KdoWertTab,0)))),"StatusAbfr "&amp;D1105))</f>
        <v>Mark</v>
      </c>
      <c r="G1105" t="str">
        <f t="shared" si="123"/>
        <v>Mark</v>
      </c>
      <c r="H1105" t="str">
        <f t="shared" si="124"/>
        <v/>
      </c>
      <c r="I1105" t="str">
        <f t="shared" si="125"/>
        <v/>
      </c>
    </row>
    <row r="1106" spans="1:9" x14ac:dyDescent="0.25">
      <c r="A1106" t="s">
        <v>697</v>
      </c>
      <c r="B1106" s="6">
        <f t="shared" si="126"/>
        <v>8.5305</v>
      </c>
      <c r="C1106" s="3">
        <f t="shared" si="127"/>
        <v>101</v>
      </c>
      <c r="D1106" s="3" t="str">
        <f t="shared" si="121"/>
        <v/>
      </c>
      <c r="E1106" s="3">
        <f t="shared" si="122"/>
        <v>154</v>
      </c>
      <c r="F1106" s="5" t="str">
        <f>IF(C1106=0,"Broadcast",IF(D1106="",IF(E1106="","",IF(E1106&lt;128,"Verbind "&amp;E1106,INDEX(KdoCodeTab,MATCH(E1106,KdoWertTab,0)))),"StatusAbfr "&amp;D1106))</f>
        <v>MarkWdh</v>
      </c>
      <c r="G1106" t="str">
        <f t="shared" si="123"/>
        <v>MarkWdh</v>
      </c>
      <c r="H1106" t="str">
        <f t="shared" si="124"/>
        <v/>
      </c>
      <c r="I1106" t="str">
        <f t="shared" si="125"/>
        <v/>
      </c>
    </row>
    <row r="1107" spans="1:9" x14ac:dyDescent="0.25">
      <c r="A1107" t="s">
        <v>698</v>
      </c>
      <c r="B1107" s="6">
        <f t="shared" si="126"/>
        <v>8.5498333333333321</v>
      </c>
      <c r="C1107" s="3">
        <f t="shared" si="127"/>
        <v>101</v>
      </c>
      <c r="D1107" s="3" t="str">
        <f t="shared" si="121"/>
        <v/>
      </c>
      <c r="E1107" s="3">
        <f t="shared" si="122"/>
        <v>147</v>
      </c>
      <c r="F1107" s="5" t="str">
        <f>IF(C1107=0,"Broadcast",IF(D1107="",IF(E1107="","",IF(E1107&lt;128,"Verbind "&amp;E1107,INDEX(KdoCodeTab,MATCH(E1107,KdoWertTab,0)))),"StatusAbfr "&amp;D1107))</f>
        <v>Space</v>
      </c>
      <c r="G1107" t="str">
        <f t="shared" si="123"/>
        <v>Space</v>
      </c>
      <c r="H1107" t="str">
        <f t="shared" si="124"/>
        <v/>
      </c>
      <c r="I1107" t="str">
        <f t="shared" si="125"/>
        <v/>
      </c>
    </row>
    <row r="1108" spans="1:9" x14ac:dyDescent="0.25">
      <c r="A1108" t="s">
        <v>699</v>
      </c>
      <c r="B1108" s="6">
        <f t="shared" si="126"/>
        <v>8.5508333333333333</v>
      </c>
      <c r="C1108" s="3">
        <f t="shared" si="127"/>
        <v>101</v>
      </c>
      <c r="D1108" s="3" t="str">
        <f t="shared" si="121"/>
        <v/>
      </c>
      <c r="E1108" s="3">
        <f t="shared" si="122"/>
        <v>150</v>
      </c>
      <c r="F1108" s="5" t="str">
        <f>IF(C1108=0,"Broadcast",IF(D1108="",IF(E1108="","",IF(E1108&lt;128,"Verbind "&amp;E1108,INDEX(KdoCodeTab,MATCH(E1108,KdoWertTab,0)))),"StatusAbfr "&amp;D1108))</f>
        <v>SpaceWdh</v>
      </c>
      <c r="G1108" t="str">
        <f t="shared" si="123"/>
        <v>SpaceWdh</v>
      </c>
      <c r="H1108" t="str">
        <f t="shared" si="124"/>
        <v/>
      </c>
      <c r="I1108" t="str">
        <f t="shared" si="125"/>
        <v/>
      </c>
    </row>
    <row r="1109" spans="1:9" x14ac:dyDescent="0.25">
      <c r="A1109" t="s">
        <v>700</v>
      </c>
      <c r="B1109" s="6">
        <f t="shared" si="126"/>
        <v>8.6095000000000006</v>
      </c>
      <c r="C1109" s="3">
        <f t="shared" si="127"/>
        <v>101</v>
      </c>
      <c r="D1109" s="3" t="str">
        <f t="shared" si="121"/>
        <v/>
      </c>
      <c r="E1109" s="3">
        <f t="shared" si="122"/>
        <v>156</v>
      </c>
      <c r="F1109" s="5" t="str">
        <f>IF(C1109=0,"Broadcast",IF(D1109="",IF(E1109="","",IF(E1109&lt;128,"Verbind "&amp;E1109,INDEX(KdoCodeTab,MATCH(E1109,KdoWertTab,0)))),"StatusAbfr "&amp;D1109))</f>
        <v>Mark</v>
      </c>
      <c r="G1109" t="str">
        <f t="shared" si="123"/>
        <v>Mark</v>
      </c>
      <c r="H1109" t="str">
        <f t="shared" si="124"/>
        <v/>
      </c>
      <c r="I1109" t="str">
        <f t="shared" si="125"/>
        <v/>
      </c>
    </row>
    <row r="1110" spans="1:9" x14ac:dyDescent="0.25">
      <c r="A1110" t="s">
        <v>701</v>
      </c>
      <c r="B1110" s="6">
        <f t="shared" si="126"/>
        <v>8.6105</v>
      </c>
      <c r="C1110" s="3">
        <f t="shared" si="127"/>
        <v>101</v>
      </c>
      <c r="D1110" s="3" t="str">
        <f t="shared" si="121"/>
        <v/>
      </c>
      <c r="E1110" s="3">
        <f t="shared" si="122"/>
        <v>154</v>
      </c>
      <c r="F1110" s="5" t="str">
        <f>IF(C1110=0,"Broadcast",IF(D1110="",IF(E1110="","",IF(E1110&lt;128,"Verbind "&amp;E1110,INDEX(KdoCodeTab,MATCH(E1110,KdoWertTab,0)))),"StatusAbfr "&amp;D1110))</f>
        <v>MarkWdh</v>
      </c>
      <c r="G1110" t="str">
        <f t="shared" si="123"/>
        <v>MarkWdh</v>
      </c>
      <c r="H1110" t="str">
        <f t="shared" si="124"/>
        <v/>
      </c>
      <c r="I1110" t="str">
        <f t="shared" si="125"/>
        <v/>
      </c>
    </row>
    <row r="1111" spans="1:9" x14ac:dyDescent="0.25">
      <c r="A1111" t="s">
        <v>702</v>
      </c>
      <c r="B1111" s="6">
        <f t="shared" si="126"/>
        <v>8.6111666666666675</v>
      </c>
      <c r="C1111" s="3">
        <f t="shared" si="127"/>
        <v>101</v>
      </c>
      <c r="D1111" s="3" t="str">
        <f t="shared" si="121"/>
        <v/>
      </c>
      <c r="E1111" s="3">
        <f t="shared" si="122"/>
        <v>169</v>
      </c>
      <c r="F1111" s="5" t="str">
        <f>IF(C1111=0,"Broadcast",IF(D1111="",IF(E1111="","",IF(E1111&lt;128,"Verbind "&amp;E1111,INDEX(KdoCodeTab,MATCH(E1111,KdoWertTab,0)))),"StatusAbfr "&amp;D1111))</f>
        <v>BusLebenszeichen</v>
      </c>
      <c r="G1111" t="str">
        <f t="shared" si="123"/>
        <v>BusLebenszeichen</v>
      </c>
      <c r="H1111" t="str">
        <f t="shared" si="124"/>
        <v/>
      </c>
      <c r="I1111" t="str">
        <f t="shared" si="125"/>
        <v/>
      </c>
    </row>
    <row r="1112" spans="1:9" x14ac:dyDescent="0.25">
      <c r="A1112" t="s">
        <v>703</v>
      </c>
      <c r="B1112" s="6">
        <f t="shared" si="126"/>
        <v>8.6671666666666667</v>
      </c>
      <c r="C1112" s="3">
        <f t="shared" si="127"/>
        <v>101</v>
      </c>
      <c r="D1112" s="3" t="str">
        <f t="shared" si="121"/>
        <v/>
      </c>
      <c r="E1112" s="3">
        <f t="shared" si="122"/>
        <v>147</v>
      </c>
      <c r="F1112" s="5" t="str">
        <f>IF(C1112=0,"Broadcast",IF(D1112="",IF(E1112="","",IF(E1112&lt;128,"Verbind "&amp;E1112,INDEX(KdoCodeTab,MATCH(E1112,KdoWertTab,0)))),"StatusAbfr "&amp;D1112))</f>
        <v>Space</v>
      </c>
      <c r="G1112" t="str">
        <f t="shared" si="123"/>
        <v>Space</v>
      </c>
      <c r="H1112" t="str">
        <f t="shared" si="124"/>
        <v/>
      </c>
      <c r="I1112" t="str">
        <f t="shared" si="125"/>
        <v/>
      </c>
    </row>
    <row r="1113" spans="1:9" x14ac:dyDescent="0.25">
      <c r="A1113" t="s">
        <v>704</v>
      </c>
      <c r="B1113" s="6">
        <f t="shared" si="126"/>
        <v>8.6681666666666661</v>
      </c>
      <c r="C1113" s="3">
        <f t="shared" si="127"/>
        <v>101</v>
      </c>
      <c r="D1113" s="3" t="str">
        <f t="shared" si="121"/>
        <v/>
      </c>
      <c r="E1113" s="3">
        <f t="shared" si="122"/>
        <v>150</v>
      </c>
      <c r="F1113" s="5" t="str">
        <f>IF(C1113=0,"Broadcast",IF(D1113="",IF(E1113="","",IF(E1113&lt;128,"Verbind "&amp;E1113,INDEX(KdoCodeTab,MATCH(E1113,KdoWertTab,0)))),"StatusAbfr "&amp;D1113))</f>
        <v>SpaceWdh</v>
      </c>
      <c r="G1113" t="str">
        <f t="shared" si="123"/>
        <v>SpaceWdh</v>
      </c>
      <c r="H1113" t="str">
        <f t="shared" si="124"/>
        <v/>
      </c>
      <c r="I1113" t="str">
        <f t="shared" si="125"/>
        <v/>
      </c>
    </row>
    <row r="1114" spans="1:9" x14ac:dyDescent="0.25">
      <c r="A1114" t="s">
        <v>705</v>
      </c>
      <c r="B1114" s="6">
        <f t="shared" si="126"/>
        <v>8.6873333333333331</v>
      </c>
      <c r="C1114" s="3">
        <f t="shared" si="127"/>
        <v>101</v>
      </c>
      <c r="D1114" s="3" t="str">
        <f t="shared" si="121"/>
        <v/>
      </c>
      <c r="E1114" s="3">
        <f t="shared" si="122"/>
        <v>156</v>
      </c>
      <c r="F1114" s="5" t="str">
        <f>IF(C1114=0,"Broadcast",IF(D1114="",IF(E1114="","",IF(E1114&lt;128,"Verbind "&amp;E1114,INDEX(KdoCodeTab,MATCH(E1114,KdoWertTab,0)))),"StatusAbfr "&amp;D1114))</f>
        <v>Mark</v>
      </c>
      <c r="G1114" t="str">
        <f t="shared" si="123"/>
        <v>Mark</v>
      </c>
      <c r="H1114" t="str">
        <f t="shared" si="124"/>
        <v/>
      </c>
      <c r="I1114" t="str">
        <f t="shared" si="125"/>
        <v/>
      </c>
    </row>
    <row r="1115" spans="1:9" x14ac:dyDescent="0.25">
      <c r="A1115" t="s">
        <v>706</v>
      </c>
      <c r="B1115" s="6">
        <f t="shared" si="126"/>
        <v>8.6883333333333344</v>
      </c>
      <c r="C1115" s="3">
        <f t="shared" si="127"/>
        <v>101</v>
      </c>
      <c r="D1115" s="3" t="str">
        <f t="shared" si="121"/>
        <v/>
      </c>
      <c r="E1115" s="3">
        <f t="shared" si="122"/>
        <v>154</v>
      </c>
      <c r="F1115" s="5" t="str">
        <f>IF(C1115=0,"Broadcast",IF(D1115="",IF(E1115="","",IF(E1115&lt;128,"Verbind "&amp;E1115,INDEX(KdoCodeTab,MATCH(E1115,KdoWertTab,0)))),"StatusAbfr "&amp;D1115))</f>
        <v>MarkWdh</v>
      </c>
      <c r="G1115" t="str">
        <f t="shared" si="123"/>
        <v>MarkWdh</v>
      </c>
      <c r="H1115" t="str">
        <f t="shared" si="124"/>
        <v/>
      </c>
      <c r="I1115" t="str">
        <f t="shared" si="125"/>
        <v/>
      </c>
    </row>
    <row r="1116" spans="1:9" x14ac:dyDescent="0.25">
      <c r="A1116" t="s">
        <v>707</v>
      </c>
      <c r="B1116" s="6">
        <f t="shared" si="126"/>
        <v>8.7075000000000014</v>
      </c>
      <c r="C1116" s="3">
        <f t="shared" si="127"/>
        <v>101</v>
      </c>
      <c r="D1116" s="3" t="str">
        <f t="shared" si="121"/>
        <v/>
      </c>
      <c r="E1116" s="3">
        <f t="shared" si="122"/>
        <v>147</v>
      </c>
      <c r="F1116" s="5" t="str">
        <f>IF(C1116=0,"Broadcast",IF(D1116="",IF(E1116="","",IF(E1116&lt;128,"Verbind "&amp;E1116,INDEX(KdoCodeTab,MATCH(E1116,KdoWertTab,0)))),"StatusAbfr "&amp;D1116))</f>
        <v>Space</v>
      </c>
      <c r="G1116" t="str">
        <f t="shared" si="123"/>
        <v>Space</v>
      </c>
      <c r="H1116" t="str">
        <f t="shared" si="124"/>
        <v/>
      </c>
      <c r="I1116" t="str">
        <f t="shared" si="125"/>
        <v/>
      </c>
    </row>
    <row r="1117" spans="1:9" x14ac:dyDescent="0.25">
      <c r="A1117" t="s">
        <v>708</v>
      </c>
      <c r="B1117" s="6">
        <f t="shared" si="126"/>
        <v>8.7085000000000008</v>
      </c>
      <c r="C1117" s="3">
        <f t="shared" si="127"/>
        <v>101</v>
      </c>
      <c r="D1117" s="3" t="str">
        <f t="shared" si="121"/>
        <v/>
      </c>
      <c r="E1117" s="3">
        <f t="shared" si="122"/>
        <v>150</v>
      </c>
      <c r="F1117" s="5" t="str">
        <f>IF(C1117=0,"Broadcast",IF(D1117="",IF(E1117="","",IF(E1117&lt;128,"Verbind "&amp;E1117,INDEX(KdoCodeTab,MATCH(E1117,KdoWertTab,0)))),"StatusAbfr "&amp;D1117))</f>
        <v>SpaceWdh</v>
      </c>
      <c r="G1117" t="str">
        <f t="shared" si="123"/>
        <v>SpaceWdh</v>
      </c>
      <c r="H1117" t="str">
        <f t="shared" si="124"/>
        <v/>
      </c>
      <c r="I1117" t="str">
        <f t="shared" si="125"/>
        <v/>
      </c>
    </row>
    <row r="1118" spans="1:9" x14ac:dyDescent="0.25">
      <c r="A1118" t="s">
        <v>709</v>
      </c>
      <c r="B1118" s="6">
        <f t="shared" si="126"/>
        <v>8.7680000000000007</v>
      </c>
      <c r="C1118" s="3">
        <f t="shared" si="127"/>
        <v>101</v>
      </c>
      <c r="D1118" s="3" t="str">
        <f t="shared" si="121"/>
        <v/>
      </c>
      <c r="E1118" s="3">
        <f t="shared" si="122"/>
        <v>156</v>
      </c>
      <c r="F1118" s="5" t="str">
        <f>IF(C1118=0,"Broadcast",IF(D1118="",IF(E1118="","",IF(E1118&lt;128,"Verbind "&amp;E1118,INDEX(KdoCodeTab,MATCH(E1118,KdoWertTab,0)))),"StatusAbfr "&amp;D1118))</f>
        <v>Mark</v>
      </c>
      <c r="G1118" t="str">
        <f t="shared" si="123"/>
        <v>Mark</v>
      </c>
      <c r="H1118" t="str">
        <f t="shared" si="124"/>
        <v/>
      </c>
      <c r="I1118" t="str">
        <f t="shared" si="125"/>
        <v/>
      </c>
    </row>
    <row r="1119" spans="1:9" x14ac:dyDescent="0.25">
      <c r="A1119" t="s">
        <v>710</v>
      </c>
      <c r="B1119" s="6">
        <f t="shared" si="126"/>
        <v>8.7690000000000001</v>
      </c>
      <c r="C1119" s="3">
        <f t="shared" si="127"/>
        <v>101</v>
      </c>
      <c r="D1119" s="3" t="str">
        <f t="shared" si="121"/>
        <v/>
      </c>
      <c r="E1119" s="3">
        <f t="shared" si="122"/>
        <v>154</v>
      </c>
      <c r="F1119" s="5" t="str">
        <f>IF(C1119=0,"Broadcast",IF(D1119="",IF(E1119="","",IF(E1119&lt;128,"Verbind "&amp;E1119,INDEX(KdoCodeTab,MATCH(E1119,KdoWertTab,0)))),"StatusAbfr "&amp;D1119))</f>
        <v>MarkWdh</v>
      </c>
      <c r="G1119" t="str">
        <f t="shared" si="123"/>
        <v>MarkWdh</v>
      </c>
      <c r="H1119" t="str">
        <f t="shared" si="124"/>
        <v/>
      </c>
      <c r="I1119" t="str">
        <f t="shared" si="125"/>
        <v/>
      </c>
    </row>
    <row r="1120" spans="1:9" x14ac:dyDescent="0.25">
      <c r="A1120" t="s">
        <v>711</v>
      </c>
      <c r="B1120" s="6">
        <f t="shared" si="126"/>
        <v>8.8176666666666677</v>
      </c>
      <c r="C1120" s="3">
        <f t="shared" si="127"/>
        <v>101</v>
      </c>
      <c r="D1120" s="3" t="str">
        <f t="shared" si="121"/>
        <v/>
      </c>
      <c r="E1120" s="3">
        <f t="shared" si="122"/>
        <v>147</v>
      </c>
      <c r="F1120" s="5" t="str">
        <f>IF(C1120=0,"Broadcast",IF(D1120="",IF(E1120="","",IF(E1120&lt;128,"Verbind "&amp;E1120,INDEX(KdoCodeTab,MATCH(E1120,KdoWertTab,0)))),"StatusAbfr "&amp;D1120))</f>
        <v>Space</v>
      </c>
      <c r="G1120" t="str">
        <f t="shared" si="123"/>
        <v>Space</v>
      </c>
      <c r="H1120" t="str">
        <f t="shared" si="124"/>
        <v/>
      </c>
      <c r="I1120" t="str">
        <f t="shared" si="125"/>
        <v/>
      </c>
    </row>
    <row r="1121" spans="1:9" x14ac:dyDescent="0.25">
      <c r="A1121" t="s">
        <v>712</v>
      </c>
      <c r="B1121" s="6">
        <f t="shared" si="126"/>
        <v>8.8185000000000002</v>
      </c>
      <c r="C1121" s="3">
        <f t="shared" si="127"/>
        <v>101</v>
      </c>
      <c r="D1121" s="3" t="str">
        <f t="shared" si="121"/>
        <v/>
      </c>
      <c r="E1121" s="3">
        <f t="shared" si="122"/>
        <v>150</v>
      </c>
      <c r="F1121" s="5" t="str">
        <f>IF(C1121=0,"Broadcast",IF(D1121="",IF(E1121="","",IF(E1121&lt;128,"Verbind "&amp;E1121,INDEX(KdoCodeTab,MATCH(E1121,KdoWertTab,0)))),"StatusAbfr "&amp;D1121))</f>
        <v>SpaceWdh</v>
      </c>
      <c r="G1121" t="str">
        <f t="shared" si="123"/>
        <v>SpaceWdh</v>
      </c>
      <c r="H1121" t="str">
        <f t="shared" si="124"/>
        <v/>
      </c>
      <c r="I1121" t="str">
        <f t="shared" si="125"/>
        <v/>
      </c>
    </row>
    <row r="1122" spans="1:9" x14ac:dyDescent="0.25">
      <c r="A1122" t="s">
        <v>713</v>
      </c>
      <c r="B1122" s="6">
        <f t="shared" si="126"/>
        <v>8.8378333333333323</v>
      </c>
      <c r="C1122" s="3">
        <f t="shared" si="127"/>
        <v>101</v>
      </c>
      <c r="D1122" s="3" t="str">
        <f t="shared" si="121"/>
        <v/>
      </c>
      <c r="E1122" s="3">
        <f t="shared" si="122"/>
        <v>156</v>
      </c>
      <c r="F1122" s="5" t="str">
        <f>IF(C1122=0,"Broadcast",IF(D1122="",IF(E1122="","",IF(E1122&lt;128,"Verbind "&amp;E1122,INDEX(KdoCodeTab,MATCH(E1122,KdoWertTab,0)))),"StatusAbfr "&amp;D1122))</f>
        <v>Mark</v>
      </c>
      <c r="G1122" t="str">
        <f t="shared" si="123"/>
        <v>Mark</v>
      </c>
      <c r="H1122" t="str">
        <f t="shared" si="124"/>
        <v/>
      </c>
      <c r="I1122" t="str">
        <f t="shared" si="125"/>
        <v/>
      </c>
    </row>
    <row r="1123" spans="1:9" x14ac:dyDescent="0.25">
      <c r="A1123" t="s">
        <v>714</v>
      </c>
      <c r="B1123" s="6">
        <f t="shared" si="126"/>
        <v>8.8386666666666667</v>
      </c>
      <c r="C1123" s="3">
        <f t="shared" si="127"/>
        <v>101</v>
      </c>
      <c r="D1123" s="3" t="str">
        <f t="shared" si="121"/>
        <v/>
      </c>
      <c r="E1123" s="3">
        <f t="shared" si="122"/>
        <v>154</v>
      </c>
      <c r="F1123" s="5" t="str">
        <f>IF(C1123=0,"Broadcast",IF(D1123="",IF(E1123="","",IF(E1123&lt;128,"Verbind "&amp;E1123,INDEX(KdoCodeTab,MATCH(E1123,KdoWertTab,0)))),"StatusAbfr "&amp;D1123))</f>
        <v>MarkWdh</v>
      </c>
      <c r="G1123" t="str">
        <f t="shared" si="123"/>
        <v>MarkWdh</v>
      </c>
      <c r="H1123" t="str">
        <f t="shared" si="124"/>
        <v/>
      </c>
      <c r="I1123" t="str">
        <f t="shared" si="125"/>
        <v/>
      </c>
    </row>
    <row r="1124" spans="1:9" x14ac:dyDescent="0.25">
      <c r="A1124" t="s">
        <v>715</v>
      </c>
      <c r="B1124" s="6">
        <f t="shared" si="126"/>
        <v>8.8580000000000005</v>
      </c>
      <c r="C1124" s="3">
        <f t="shared" si="127"/>
        <v>101</v>
      </c>
      <c r="D1124" s="3" t="str">
        <f t="shared" si="121"/>
        <v/>
      </c>
      <c r="E1124" s="3">
        <f t="shared" si="122"/>
        <v>147</v>
      </c>
      <c r="F1124" s="5" t="str">
        <f>IF(C1124=0,"Broadcast",IF(D1124="",IF(E1124="","",IF(E1124&lt;128,"Verbind "&amp;E1124,INDEX(KdoCodeTab,MATCH(E1124,KdoWertTab,0)))),"StatusAbfr "&amp;D1124))</f>
        <v>Space</v>
      </c>
      <c r="G1124" t="str">
        <f t="shared" si="123"/>
        <v>Space</v>
      </c>
      <c r="H1124" t="str">
        <f t="shared" si="124"/>
        <v/>
      </c>
      <c r="I1124" t="str">
        <f t="shared" si="125"/>
        <v/>
      </c>
    </row>
    <row r="1125" spans="1:9" x14ac:dyDescent="0.25">
      <c r="A1125" t="s">
        <v>716</v>
      </c>
      <c r="B1125" s="6">
        <f t="shared" si="126"/>
        <v>8.859</v>
      </c>
      <c r="C1125" s="3">
        <f t="shared" si="127"/>
        <v>101</v>
      </c>
      <c r="D1125" s="3" t="str">
        <f t="shared" si="121"/>
        <v/>
      </c>
      <c r="E1125" s="3">
        <f t="shared" si="122"/>
        <v>150</v>
      </c>
      <c r="F1125" s="5" t="str">
        <f>IF(C1125=0,"Broadcast",IF(D1125="",IF(E1125="","",IF(E1125&lt;128,"Verbind "&amp;E1125,INDEX(KdoCodeTab,MATCH(E1125,KdoWertTab,0)))),"StatusAbfr "&amp;D1125))</f>
        <v>SpaceWdh</v>
      </c>
      <c r="G1125" t="str">
        <f t="shared" si="123"/>
        <v>SpaceWdh</v>
      </c>
      <c r="H1125" t="str">
        <f t="shared" si="124"/>
        <v/>
      </c>
      <c r="I1125" t="str">
        <f t="shared" si="125"/>
        <v/>
      </c>
    </row>
    <row r="1126" spans="1:9" x14ac:dyDescent="0.25">
      <c r="A1126" t="s">
        <v>717</v>
      </c>
      <c r="B1126" s="6">
        <f t="shared" si="126"/>
        <v>8.9168333333333329</v>
      </c>
      <c r="C1126" s="3">
        <f t="shared" si="127"/>
        <v>31</v>
      </c>
      <c r="D1126" s="3" t="str">
        <f t="shared" si="121"/>
        <v/>
      </c>
      <c r="E1126" s="3">
        <f t="shared" si="122"/>
        <v>154</v>
      </c>
      <c r="F1126" s="5" t="str">
        <f>IF(C1126=0,"Broadcast",IF(D1126="",IF(E1126="","",IF(E1126&lt;128,"Verbind "&amp;E1126,INDEX(KdoCodeTab,MATCH(E1126,KdoWertTab,0)))),"StatusAbfr "&amp;D1126))</f>
        <v>MarkWdh</v>
      </c>
      <c r="G1126" t="str">
        <f t="shared" si="123"/>
        <v/>
      </c>
      <c r="H1126" t="str">
        <f t="shared" si="124"/>
        <v>MarkWdh</v>
      </c>
      <c r="I1126" t="str">
        <f t="shared" si="125"/>
        <v/>
      </c>
    </row>
    <row r="1127" spans="1:9" x14ac:dyDescent="0.25">
      <c r="A1127" t="s">
        <v>718</v>
      </c>
      <c r="B1127" s="6">
        <f t="shared" si="126"/>
        <v>8.9176666666666673</v>
      </c>
      <c r="C1127" s="3">
        <f t="shared" si="127"/>
        <v>101</v>
      </c>
      <c r="D1127" s="3" t="str">
        <f t="shared" si="121"/>
        <v/>
      </c>
      <c r="E1127" s="3">
        <f t="shared" si="122"/>
        <v>156</v>
      </c>
      <c r="F1127" s="5" t="str">
        <f>IF(C1127=0,"Broadcast",IF(D1127="",IF(E1127="","",IF(E1127&lt;128,"Verbind "&amp;E1127,INDEX(KdoCodeTab,MATCH(E1127,KdoWertTab,0)))),"StatusAbfr "&amp;D1127))</f>
        <v>Mark</v>
      </c>
      <c r="G1127" t="str">
        <f t="shared" si="123"/>
        <v>Mark</v>
      </c>
      <c r="H1127" t="str">
        <f t="shared" si="124"/>
        <v/>
      </c>
      <c r="I1127" t="str">
        <f t="shared" si="125"/>
        <v/>
      </c>
    </row>
    <row r="1128" spans="1:9" x14ac:dyDescent="0.25">
      <c r="A1128" t="s">
        <v>719</v>
      </c>
      <c r="B1128" s="6">
        <f t="shared" si="126"/>
        <v>8.9186666666666667</v>
      </c>
      <c r="C1128" s="3">
        <f t="shared" si="127"/>
        <v>101</v>
      </c>
      <c r="D1128" s="3" t="str">
        <f t="shared" si="121"/>
        <v/>
      </c>
      <c r="E1128" s="3">
        <f t="shared" si="122"/>
        <v>154</v>
      </c>
      <c r="F1128" s="5" t="str">
        <f>IF(C1128=0,"Broadcast",IF(D1128="",IF(E1128="","",IF(E1128&lt;128,"Verbind "&amp;E1128,INDEX(KdoCodeTab,MATCH(E1128,KdoWertTab,0)))),"StatusAbfr "&amp;D1128))</f>
        <v>MarkWdh</v>
      </c>
      <c r="G1128" t="str">
        <f t="shared" si="123"/>
        <v>MarkWdh</v>
      </c>
      <c r="H1128" t="str">
        <f t="shared" si="124"/>
        <v/>
      </c>
      <c r="I1128" t="str">
        <f t="shared" si="125"/>
        <v/>
      </c>
    </row>
    <row r="1129" spans="1:9" x14ac:dyDescent="0.25">
      <c r="A1129" t="s">
        <v>720</v>
      </c>
      <c r="B1129" s="6">
        <f t="shared" si="126"/>
        <v>9.0579999999999998</v>
      </c>
      <c r="C1129" s="3">
        <f t="shared" si="127"/>
        <v>101</v>
      </c>
      <c r="D1129" s="3" t="str">
        <f t="shared" si="121"/>
        <v/>
      </c>
      <c r="E1129" s="3">
        <f t="shared" si="122"/>
        <v>147</v>
      </c>
      <c r="F1129" s="5" t="str">
        <f>IF(C1129=0,"Broadcast",IF(D1129="",IF(E1129="","",IF(E1129&lt;128,"Verbind "&amp;E1129,INDEX(KdoCodeTab,MATCH(E1129,KdoWertTab,0)))),"StatusAbfr "&amp;D1129))</f>
        <v>Space</v>
      </c>
      <c r="G1129" t="str">
        <f t="shared" si="123"/>
        <v>Space</v>
      </c>
      <c r="H1129" t="str">
        <f t="shared" si="124"/>
        <v/>
      </c>
      <c r="I1129" t="str">
        <f t="shared" si="125"/>
        <v/>
      </c>
    </row>
    <row r="1130" spans="1:9" x14ac:dyDescent="0.25">
      <c r="A1130" t="s">
        <v>721</v>
      </c>
      <c r="B1130" s="6">
        <f t="shared" si="126"/>
        <v>9.0589999999999993</v>
      </c>
      <c r="C1130" s="3">
        <f t="shared" si="127"/>
        <v>101</v>
      </c>
      <c r="D1130" s="3" t="str">
        <f t="shared" si="121"/>
        <v/>
      </c>
      <c r="E1130" s="3">
        <f t="shared" si="122"/>
        <v>150</v>
      </c>
      <c r="F1130" s="5" t="str">
        <f>IF(C1130=0,"Broadcast",IF(D1130="",IF(E1130="","",IF(E1130&lt;128,"Verbind "&amp;E1130,INDEX(KdoCodeTab,MATCH(E1130,KdoWertTab,0)))),"StatusAbfr "&amp;D1130))</f>
        <v>SpaceWdh</v>
      </c>
      <c r="G1130" t="str">
        <f t="shared" si="123"/>
        <v>SpaceWdh</v>
      </c>
      <c r="H1130" t="str">
        <f t="shared" si="124"/>
        <v/>
      </c>
      <c r="I1130" t="str">
        <f t="shared" si="125"/>
        <v/>
      </c>
    </row>
    <row r="1131" spans="1:9" x14ac:dyDescent="0.25">
      <c r="A1131" t="s">
        <v>722</v>
      </c>
      <c r="B1131" s="6">
        <f t="shared" si="126"/>
        <v>9.1388333333333325</v>
      </c>
      <c r="C1131" s="3">
        <f t="shared" si="127"/>
        <v>101</v>
      </c>
      <c r="D1131" s="3" t="str">
        <f t="shared" si="121"/>
        <v/>
      </c>
      <c r="E1131" s="3">
        <f t="shared" si="122"/>
        <v>156</v>
      </c>
      <c r="F1131" s="5" t="str">
        <f>IF(C1131=0,"Broadcast",IF(D1131="",IF(E1131="","",IF(E1131&lt;128,"Verbind "&amp;E1131,INDEX(KdoCodeTab,MATCH(E1131,KdoWertTab,0)))),"StatusAbfr "&amp;D1131))</f>
        <v>Mark</v>
      </c>
      <c r="G1131" t="str">
        <f t="shared" si="123"/>
        <v>Mark</v>
      </c>
      <c r="H1131" t="str">
        <f t="shared" si="124"/>
        <v/>
      </c>
      <c r="I1131" t="str">
        <f t="shared" si="125"/>
        <v/>
      </c>
    </row>
    <row r="1132" spans="1:9" x14ac:dyDescent="0.25">
      <c r="A1132" t="s">
        <v>723</v>
      </c>
      <c r="B1132" s="6">
        <f t="shared" si="126"/>
        <v>9.1398333333333319</v>
      </c>
      <c r="C1132" s="3">
        <f t="shared" si="127"/>
        <v>101</v>
      </c>
      <c r="D1132" s="3" t="str">
        <f t="shared" si="121"/>
        <v/>
      </c>
      <c r="E1132" s="3">
        <f t="shared" si="122"/>
        <v>154</v>
      </c>
      <c r="F1132" s="5" t="str">
        <f>IF(C1132=0,"Broadcast",IF(D1132="",IF(E1132="","",IF(E1132&lt;128,"Verbind "&amp;E1132,INDEX(KdoCodeTab,MATCH(E1132,KdoWertTab,0)))),"StatusAbfr "&amp;D1132))</f>
        <v>MarkWdh</v>
      </c>
      <c r="G1132" t="str">
        <f t="shared" si="123"/>
        <v>MarkWdh</v>
      </c>
      <c r="H1132" t="str">
        <f t="shared" si="124"/>
        <v/>
      </c>
      <c r="I1132" t="str">
        <f t="shared" si="125"/>
        <v/>
      </c>
    </row>
    <row r="1133" spans="1:9" x14ac:dyDescent="0.25">
      <c r="A1133" t="s">
        <v>724</v>
      </c>
      <c r="B1133" s="6">
        <f t="shared" si="126"/>
        <v>9.1590000000000007</v>
      </c>
      <c r="C1133" s="3">
        <f t="shared" si="127"/>
        <v>101</v>
      </c>
      <c r="D1133" s="3" t="str">
        <f t="shared" si="121"/>
        <v/>
      </c>
      <c r="E1133" s="3">
        <f t="shared" si="122"/>
        <v>147</v>
      </c>
      <c r="F1133" s="5" t="str">
        <f>IF(C1133=0,"Broadcast",IF(D1133="",IF(E1133="","",IF(E1133&lt;128,"Verbind "&amp;E1133,INDEX(KdoCodeTab,MATCH(E1133,KdoWertTab,0)))),"StatusAbfr "&amp;D1133))</f>
        <v>Space</v>
      </c>
      <c r="G1133" t="str">
        <f t="shared" si="123"/>
        <v>Space</v>
      </c>
      <c r="H1133" t="str">
        <f t="shared" si="124"/>
        <v/>
      </c>
      <c r="I1133" t="str">
        <f t="shared" si="125"/>
        <v/>
      </c>
    </row>
    <row r="1134" spans="1:9" x14ac:dyDescent="0.25">
      <c r="A1134" t="s">
        <v>725</v>
      </c>
      <c r="B1134" s="6">
        <f t="shared" si="126"/>
        <v>9.16</v>
      </c>
      <c r="C1134" s="3">
        <f t="shared" si="127"/>
        <v>101</v>
      </c>
      <c r="D1134" s="3" t="str">
        <f t="shared" si="121"/>
        <v/>
      </c>
      <c r="E1134" s="3">
        <f t="shared" si="122"/>
        <v>150</v>
      </c>
      <c r="F1134" s="5" t="str">
        <f>IF(C1134=0,"Broadcast",IF(D1134="",IF(E1134="","",IF(E1134&lt;128,"Verbind "&amp;E1134,INDEX(KdoCodeTab,MATCH(E1134,KdoWertTab,0)))),"StatusAbfr "&amp;D1134))</f>
        <v>SpaceWdh</v>
      </c>
      <c r="G1134" t="str">
        <f t="shared" si="123"/>
        <v>SpaceWdh</v>
      </c>
      <c r="H1134" t="str">
        <f t="shared" si="124"/>
        <v/>
      </c>
      <c r="I1134" t="str">
        <f t="shared" si="125"/>
        <v/>
      </c>
    </row>
    <row r="1135" spans="1:9" x14ac:dyDescent="0.25">
      <c r="A1135" t="s">
        <v>726</v>
      </c>
      <c r="B1135" s="6">
        <f t="shared" si="126"/>
        <v>9.179333333333334</v>
      </c>
      <c r="C1135" s="3">
        <f t="shared" si="127"/>
        <v>101</v>
      </c>
      <c r="D1135" s="3" t="str">
        <f t="shared" si="121"/>
        <v/>
      </c>
      <c r="E1135" s="3">
        <f t="shared" si="122"/>
        <v>156</v>
      </c>
      <c r="F1135" s="5" t="str">
        <f>IF(C1135=0,"Broadcast",IF(D1135="",IF(E1135="","",IF(E1135&lt;128,"Verbind "&amp;E1135,INDEX(KdoCodeTab,MATCH(E1135,KdoWertTab,0)))),"StatusAbfr "&amp;D1135))</f>
        <v>Mark</v>
      </c>
      <c r="G1135" t="str">
        <f t="shared" si="123"/>
        <v>Mark</v>
      </c>
      <c r="H1135" t="str">
        <f t="shared" si="124"/>
        <v/>
      </c>
      <c r="I1135" t="str">
        <f t="shared" si="125"/>
        <v/>
      </c>
    </row>
    <row r="1136" spans="1:9" x14ac:dyDescent="0.25">
      <c r="A1136" t="s">
        <v>727</v>
      </c>
      <c r="B1136" s="6">
        <f t="shared" si="126"/>
        <v>9.1803333333333335</v>
      </c>
      <c r="C1136" s="3">
        <f t="shared" si="127"/>
        <v>101</v>
      </c>
      <c r="D1136" s="3" t="str">
        <f t="shared" si="121"/>
        <v/>
      </c>
      <c r="E1136" s="3">
        <f t="shared" si="122"/>
        <v>154</v>
      </c>
      <c r="F1136" s="5" t="str">
        <f>IF(C1136=0,"Broadcast",IF(D1136="",IF(E1136="","",IF(E1136&lt;128,"Verbind "&amp;E1136,INDEX(KdoCodeTab,MATCH(E1136,KdoWertTab,0)))),"StatusAbfr "&amp;D1136))</f>
        <v>MarkWdh</v>
      </c>
      <c r="G1136" t="str">
        <f t="shared" si="123"/>
        <v>MarkWdh</v>
      </c>
      <c r="H1136" t="str">
        <f t="shared" si="124"/>
        <v/>
      </c>
      <c r="I1136" t="str">
        <f t="shared" si="125"/>
        <v/>
      </c>
    </row>
    <row r="1137" spans="1:9" x14ac:dyDescent="0.25">
      <c r="A1137" t="s">
        <v>728</v>
      </c>
      <c r="B1137" s="6">
        <f t="shared" si="126"/>
        <v>9.2893333333333334</v>
      </c>
      <c r="C1137" s="3">
        <f t="shared" si="127"/>
        <v>101</v>
      </c>
      <c r="D1137" s="3" t="str">
        <f t="shared" si="121"/>
        <v/>
      </c>
      <c r="E1137" s="3">
        <f t="shared" si="122"/>
        <v>147</v>
      </c>
      <c r="F1137" s="5" t="str">
        <f>IF(C1137=0,"Broadcast",IF(D1137="",IF(E1137="","",IF(E1137&lt;128,"Verbind "&amp;E1137,INDEX(KdoCodeTab,MATCH(E1137,KdoWertTab,0)))),"StatusAbfr "&amp;D1137))</f>
        <v>Space</v>
      </c>
      <c r="G1137" t="str">
        <f t="shared" si="123"/>
        <v>Space</v>
      </c>
      <c r="H1137" t="str">
        <f t="shared" si="124"/>
        <v/>
      </c>
      <c r="I1137" t="str">
        <f t="shared" si="125"/>
        <v/>
      </c>
    </row>
    <row r="1138" spans="1:9" x14ac:dyDescent="0.25">
      <c r="A1138" t="s">
        <v>729</v>
      </c>
      <c r="B1138" s="6">
        <f t="shared" si="126"/>
        <v>9.2903333333333329</v>
      </c>
      <c r="C1138" s="3">
        <f t="shared" si="127"/>
        <v>101</v>
      </c>
      <c r="D1138" s="3" t="str">
        <f t="shared" si="121"/>
        <v/>
      </c>
      <c r="E1138" s="3">
        <f t="shared" si="122"/>
        <v>150</v>
      </c>
      <c r="F1138" s="5" t="str">
        <f>IF(C1138=0,"Broadcast",IF(D1138="",IF(E1138="","",IF(E1138&lt;128,"Verbind "&amp;E1138,INDEX(KdoCodeTab,MATCH(E1138,KdoWertTab,0)))),"StatusAbfr "&amp;D1138))</f>
        <v>SpaceWdh</v>
      </c>
      <c r="G1138" t="str">
        <f t="shared" si="123"/>
        <v>SpaceWdh</v>
      </c>
      <c r="H1138" t="str">
        <f t="shared" si="124"/>
        <v/>
      </c>
      <c r="I1138" t="str">
        <f t="shared" si="125"/>
        <v/>
      </c>
    </row>
    <row r="1139" spans="1:9" x14ac:dyDescent="0.25">
      <c r="A1139" t="s">
        <v>730</v>
      </c>
      <c r="B1139" s="6">
        <f t="shared" si="126"/>
        <v>9.2923333333333336</v>
      </c>
      <c r="C1139" s="3">
        <f t="shared" si="127"/>
        <v>101</v>
      </c>
      <c r="D1139" s="3" t="str">
        <f t="shared" si="121"/>
        <v/>
      </c>
      <c r="E1139" s="3">
        <f t="shared" si="122"/>
        <v>169</v>
      </c>
      <c r="F1139" s="5" t="str">
        <f>IF(C1139=0,"Broadcast",IF(D1139="",IF(E1139="","",IF(E1139&lt;128,"Verbind "&amp;E1139,INDEX(KdoCodeTab,MATCH(E1139,KdoWertTab,0)))),"StatusAbfr "&amp;D1139))</f>
        <v>BusLebenszeichen</v>
      </c>
      <c r="G1139" t="str">
        <f t="shared" si="123"/>
        <v>BusLebenszeichen</v>
      </c>
      <c r="H1139" t="str">
        <f t="shared" si="124"/>
        <v/>
      </c>
      <c r="I1139" t="str">
        <f t="shared" si="125"/>
        <v/>
      </c>
    </row>
    <row r="1140" spans="1:9" x14ac:dyDescent="0.25">
      <c r="A1140" t="s">
        <v>731</v>
      </c>
      <c r="B1140" s="6">
        <f t="shared" si="126"/>
        <v>9.3296666666666681</v>
      </c>
      <c r="C1140" s="3">
        <f t="shared" si="127"/>
        <v>101</v>
      </c>
      <c r="D1140" s="3" t="str">
        <f t="shared" si="121"/>
        <v/>
      </c>
      <c r="E1140" s="3">
        <f t="shared" si="122"/>
        <v>156</v>
      </c>
      <c r="F1140" s="5" t="str">
        <f>IF(C1140=0,"Broadcast",IF(D1140="",IF(E1140="","",IF(E1140&lt;128,"Verbind "&amp;E1140,INDEX(KdoCodeTab,MATCH(E1140,KdoWertTab,0)))),"StatusAbfr "&amp;D1140))</f>
        <v>Mark</v>
      </c>
      <c r="G1140" t="str">
        <f t="shared" si="123"/>
        <v>Mark</v>
      </c>
      <c r="H1140" t="str">
        <f t="shared" si="124"/>
        <v/>
      </c>
      <c r="I1140" t="str">
        <f t="shared" si="125"/>
        <v/>
      </c>
    </row>
    <row r="1141" spans="1:9" x14ac:dyDescent="0.25">
      <c r="A1141" t="s">
        <v>732</v>
      </c>
      <c r="B1141" s="6">
        <f t="shared" si="126"/>
        <v>9.3306666666666676</v>
      </c>
      <c r="C1141" s="3">
        <f t="shared" si="127"/>
        <v>101</v>
      </c>
      <c r="D1141" s="3" t="str">
        <f t="shared" si="121"/>
        <v/>
      </c>
      <c r="E1141" s="3">
        <f t="shared" si="122"/>
        <v>154</v>
      </c>
      <c r="F1141" s="5" t="str">
        <f>IF(C1141=0,"Broadcast",IF(D1141="",IF(E1141="","",IF(E1141&lt;128,"Verbind "&amp;E1141,INDEX(KdoCodeTab,MATCH(E1141,KdoWertTab,0)))),"StatusAbfr "&amp;D1141))</f>
        <v>MarkWdh</v>
      </c>
      <c r="G1141" t="str">
        <f t="shared" si="123"/>
        <v>MarkWdh</v>
      </c>
      <c r="H1141" t="str">
        <f t="shared" si="124"/>
        <v/>
      </c>
      <c r="I1141" t="str">
        <f t="shared" si="125"/>
        <v/>
      </c>
    </row>
    <row r="1142" spans="1:9" x14ac:dyDescent="0.25">
      <c r="A1142" t="s">
        <v>733</v>
      </c>
      <c r="B1142" s="6">
        <f t="shared" si="126"/>
        <v>9.35</v>
      </c>
      <c r="C1142" s="3">
        <f t="shared" si="127"/>
        <v>101</v>
      </c>
      <c r="D1142" s="3" t="str">
        <f t="shared" si="121"/>
        <v/>
      </c>
      <c r="E1142" s="3">
        <f t="shared" si="122"/>
        <v>147</v>
      </c>
      <c r="F1142" s="5" t="str">
        <f>IF(C1142=0,"Broadcast",IF(D1142="",IF(E1142="","",IF(E1142&lt;128,"Verbind "&amp;E1142,INDEX(KdoCodeTab,MATCH(E1142,KdoWertTab,0)))),"StatusAbfr "&amp;D1142))</f>
        <v>Space</v>
      </c>
      <c r="G1142" t="str">
        <f t="shared" si="123"/>
        <v>Space</v>
      </c>
      <c r="H1142" t="str">
        <f t="shared" si="124"/>
        <v/>
      </c>
      <c r="I1142" t="str">
        <f t="shared" si="125"/>
        <v/>
      </c>
    </row>
    <row r="1143" spans="1:9" x14ac:dyDescent="0.25">
      <c r="A1143" t="s">
        <v>734</v>
      </c>
      <c r="B1143" s="6">
        <f t="shared" si="126"/>
        <v>9.3510000000000009</v>
      </c>
      <c r="C1143" s="3">
        <f t="shared" si="127"/>
        <v>101</v>
      </c>
      <c r="D1143" s="3" t="str">
        <f t="shared" si="121"/>
        <v/>
      </c>
      <c r="E1143" s="3">
        <f t="shared" si="122"/>
        <v>150</v>
      </c>
      <c r="F1143" s="5" t="str">
        <f>IF(C1143=0,"Broadcast",IF(D1143="",IF(E1143="","",IF(E1143&lt;128,"Verbind "&amp;E1143,INDEX(KdoCodeTab,MATCH(E1143,KdoWertTab,0)))),"StatusAbfr "&amp;D1143))</f>
        <v>SpaceWdh</v>
      </c>
      <c r="G1143" t="str">
        <f t="shared" si="123"/>
        <v>SpaceWdh</v>
      </c>
      <c r="H1143" t="str">
        <f t="shared" si="124"/>
        <v/>
      </c>
      <c r="I1143" t="str">
        <f t="shared" si="125"/>
        <v/>
      </c>
    </row>
    <row r="1144" spans="1:9" x14ac:dyDescent="0.25">
      <c r="A1144" t="s">
        <v>735</v>
      </c>
      <c r="B1144" s="6">
        <f t="shared" si="126"/>
        <v>9.4106666666666676</v>
      </c>
      <c r="C1144" s="3">
        <f t="shared" si="127"/>
        <v>101</v>
      </c>
      <c r="D1144" s="3" t="str">
        <f t="shared" si="121"/>
        <v/>
      </c>
      <c r="E1144" s="3">
        <f t="shared" si="122"/>
        <v>156</v>
      </c>
      <c r="F1144" s="5" t="str">
        <f>IF(C1144=0,"Broadcast",IF(D1144="",IF(E1144="","",IF(E1144&lt;128,"Verbind "&amp;E1144,INDEX(KdoCodeTab,MATCH(E1144,KdoWertTab,0)))),"StatusAbfr "&amp;D1144))</f>
        <v>Mark</v>
      </c>
      <c r="G1144" t="str">
        <f t="shared" si="123"/>
        <v>Mark</v>
      </c>
      <c r="H1144" t="str">
        <f t="shared" si="124"/>
        <v/>
      </c>
      <c r="I1144" t="str">
        <f t="shared" si="125"/>
        <v/>
      </c>
    </row>
    <row r="1145" spans="1:9" x14ac:dyDescent="0.25">
      <c r="A1145" t="s">
        <v>736</v>
      </c>
      <c r="B1145" s="6">
        <f t="shared" si="126"/>
        <v>9.4116666666666671</v>
      </c>
      <c r="C1145" s="3">
        <f t="shared" si="127"/>
        <v>101</v>
      </c>
      <c r="D1145" s="3" t="str">
        <f t="shared" si="121"/>
        <v/>
      </c>
      <c r="E1145" s="3">
        <f t="shared" si="122"/>
        <v>154</v>
      </c>
      <c r="F1145" s="5" t="str">
        <f>IF(C1145=0,"Broadcast",IF(D1145="",IF(E1145="","",IF(E1145&lt;128,"Verbind "&amp;E1145,INDEX(KdoCodeTab,MATCH(E1145,KdoWertTab,0)))),"StatusAbfr "&amp;D1145))</f>
        <v>MarkWdh</v>
      </c>
      <c r="G1145" t="str">
        <f t="shared" si="123"/>
        <v>MarkWdh</v>
      </c>
      <c r="H1145" t="str">
        <f t="shared" si="124"/>
        <v/>
      </c>
      <c r="I1145" t="str">
        <f t="shared" si="125"/>
        <v/>
      </c>
    </row>
    <row r="1146" spans="1:9" x14ac:dyDescent="0.25">
      <c r="A1146" t="s">
        <v>737</v>
      </c>
      <c r="B1146" s="6">
        <f t="shared" si="126"/>
        <v>9.4228333333333332</v>
      </c>
      <c r="C1146" s="3">
        <f t="shared" si="127"/>
        <v>31</v>
      </c>
      <c r="D1146" s="3" t="str">
        <f t="shared" si="121"/>
        <v/>
      </c>
      <c r="E1146" s="3">
        <f t="shared" si="122"/>
        <v>154</v>
      </c>
      <c r="F1146" s="5" t="str">
        <f>IF(C1146=0,"Broadcast",IF(D1146="",IF(E1146="","",IF(E1146&lt;128,"Verbind "&amp;E1146,INDEX(KdoCodeTab,MATCH(E1146,KdoWertTab,0)))),"StatusAbfr "&amp;D1146))</f>
        <v>MarkWdh</v>
      </c>
      <c r="G1146" t="str">
        <f t="shared" si="123"/>
        <v/>
      </c>
      <c r="H1146" t="str">
        <f t="shared" si="124"/>
        <v>MarkWdh</v>
      </c>
      <c r="I1146" t="str">
        <f t="shared" si="125"/>
        <v/>
      </c>
    </row>
    <row r="1147" spans="1:9" x14ac:dyDescent="0.25">
      <c r="A1147" t="s">
        <v>738</v>
      </c>
      <c r="B1147" s="6">
        <f t="shared" si="126"/>
        <v>9.6974999999999998</v>
      </c>
      <c r="C1147" s="3">
        <f t="shared" si="127"/>
        <v>101</v>
      </c>
      <c r="D1147" s="3" t="str">
        <f t="shared" ref="D1147:D1210" si="128">IF(MID(A1147,10,1)="&lt;",MID(A1147,12,2),"")</f>
        <v/>
      </c>
      <c r="E1147" s="3">
        <f t="shared" ref="E1147:E1210" si="129">IF(MID(A1147,10,1)="&gt;",HEX2DEC(MID(A1147,12,2)),"")</f>
        <v>147</v>
      </c>
      <c r="F1147" s="5" t="str">
        <f>IF(C1147=0,"Broadcast",IF(D1147="",IF(E1147="","",IF(E1147&lt;128,"Verbind "&amp;E1147,INDEX(KdoCodeTab,MATCH(E1147,KdoWertTab,0)))),"StatusAbfr "&amp;D1147))</f>
        <v>Space</v>
      </c>
      <c r="G1147" t="str">
        <f t="shared" ref="G1147:G1210" si="130">IF(C1147=$G$2,F1147,"")</f>
        <v>Space</v>
      </c>
      <c r="H1147" t="str">
        <f t="shared" ref="H1147:H1210" si="131">IF(C1147=$H$2,F1147,"")</f>
        <v/>
      </c>
      <c r="I1147" t="str">
        <f t="shared" ref="I1147:I1210" si="132">IF(G1147&amp;H1147="",F1147,"")</f>
        <v/>
      </c>
    </row>
    <row r="1148" spans="1:9" x14ac:dyDescent="0.25">
      <c r="A1148" t="s">
        <v>739</v>
      </c>
      <c r="B1148" s="6">
        <f t="shared" si="126"/>
        <v>9.698500000000001</v>
      </c>
      <c r="C1148" s="3">
        <f t="shared" si="127"/>
        <v>101</v>
      </c>
      <c r="D1148" s="3" t="str">
        <f t="shared" si="128"/>
        <v/>
      </c>
      <c r="E1148" s="3">
        <f t="shared" si="129"/>
        <v>150</v>
      </c>
      <c r="F1148" s="5" t="str">
        <f>IF(C1148=0,"Broadcast",IF(D1148="",IF(E1148="","",IF(E1148&lt;128,"Verbind "&amp;E1148,INDEX(KdoCodeTab,MATCH(E1148,KdoWertTab,0)))),"StatusAbfr "&amp;D1148))</f>
        <v>SpaceWdh</v>
      </c>
      <c r="G1148" t="str">
        <f t="shared" si="130"/>
        <v>SpaceWdh</v>
      </c>
      <c r="H1148" t="str">
        <f t="shared" si="131"/>
        <v/>
      </c>
      <c r="I1148" t="str">
        <f t="shared" si="132"/>
        <v/>
      </c>
    </row>
    <row r="1149" spans="1:9" x14ac:dyDescent="0.25">
      <c r="A1149" t="s">
        <v>740</v>
      </c>
      <c r="B1149" s="6">
        <f t="shared" si="126"/>
        <v>9.7188333333333325</v>
      </c>
      <c r="C1149" s="3">
        <f t="shared" si="127"/>
        <v>101</v>
      </c>
      <c r="D1149" s="3" t="str">
        <f t="shared" si="128"/>
        <v/>
      </c>
      <c r="E1149" s="3">
        <f t="shared" si="129"/>
        <v>156</v>
      </c>
      <c r="F1149" s="5" t="str">
        <f>IF(C1149=0,"Broadcast",IF(D1149="",IF(E1149="","",IF(E1149&lt;128,"Verbind "&amp;E1149,INDEX(KdoCodeTab,MATCH(E1149,KdoWertTab,0)))),"StatusAbfr "&amp;D1149))</f>
        <v>Mark</v>
      </c>
      <c r="G1149" t="str">
        <f t="shared" si="130"/>
        <v>Mark</v>
      </c>
      <c r="H1149" t="str">
        <f t="shared" si="131"/>
        <v/>
      </c>
      <c r="I1149" t="str">
        <f t="shared" si="132"/>
        <v/>
      </c>
    </row>
    <row r="1150" spans="1:9" x14ac:dyDescent="0.25">
      <c r="A1150" t="s">
        <v>741</v>
      </c>
      <c r="B1150" s="6">
        <f t="shared" si="126"/>
        <v>9.7196666666666669</v>
      </c>
      <c r="C1150" s="3">
        <f t="shared" si="127"/>
        <v>101</v>
      </c>
      <c r="D1150" s="3" t="str">
        <f t="shared" si="128"/>
        <v/>
      </c>
      <c r="E1150" s="3">
        <f t="shared" si="129"/>
        <v>154</v>
      </c>
      <c r="F1150" s="5" t="str">
        <f>IF(C1150=0,"Broadcast",IF(D1150="",IF(E1150="","",IF(E1150&lt;128,"Verbind "&amp;E1150,INDEX(KdoCodeTab,MATCH(E1150,KdoWertTab,0)))),"StatusAbfr "&amp;D1150))</f>
        <v>MarkWdh</v>
      </c>
      <c r="G1150" t="str">
        <f t="shared" si="130"/>
        <v>MarkWdh</v>
      </c>
      <c r="H1150" t="str">
        <f t="shared" si="131"/>
        <v/>
      </c>
      <c r="I1150" t="str">
        <f t="shared" si="132"/>
        <v/>
      </c>
    </row>
    <row r="1151" spans="1:9" x14ac:dyDescent="0.25">
      <c r="A1151" t="s">
        <v>742</v>
      </c>
      <c r="B1151" s="6">
        <f t="shared" si="126"/>
        <v>9.7378333333333327</v>
      </c>
      <c r="C1151" s="3">
        <f t="shared" si="127"/>
        <v>101</v>
      </c>
      <c r="D1151" s="3" t="str">
        <f t="shared" si="128"/>
        <v/>
      </c>
      <c r="E1151" s="3">
        <f t="shared" si="129"/>
        <v>147</v>
      </c>
      <c r="F1151" s="5" t="str">
        <f>IF(C1151=0,"Broadcast",IF(D1151="",IF(E1151="","",IF(E1151&lt;128,"Verbind "&amp;E1151,INDEX(KdoCodeTab,MATCH(E1151,KdoWertTab,0)))),"StatusAbfr "&amp;D1151))</f>
        <v>Space</v>
      </c>
      <c r="G1151" t="str">
        <f t="shared" si="130"/>
        <v>Space</v>
      </c>
      <c r="H1151" t="str">
        <f t="shared" si="131"/>
        <v/>
      </c>
      <c r="I1151" t="str">
        <f t="shared" si="132"/>
        <v/>
      </c>
    </row>
    <row r="1152" spans="1:9" x14ac:dyDescent="0.25">
      <c r="A1152" t="s">
        <v>743</v>
      </c>
      <c r="B1152" s="6">
        <f t="shared" si="126"/>
        <v>9.7388333333333321</v>
      </c>
      <c r="C1152" s="3">
        <f t="shared" si="127"/>
        <v>101</v>
      </c>
      <c r="D1152" s="3" t="str">
        <f t="shared" si="128"/>
        <v/>
      </c>
      <c r="E1152" s="3">
        <f t="shared" si="129"/>
        <v>150</v>
      </c>
      <c r="F1152" s="5" t="str">
        <f>IF(C1152=0,"Broadcast",IF(D1152="",IF(E1152="","",IF(E1152&lt;128,"Verbind "&amp;E1152,INDEX(KdoCodeTab,MATCH(E1152,KdoWertTab,0)))),"StatusAbfr "&amp;D1152))</f>
        <v>SpaceWdh</v>
      </c>
      <c r="G1152" t="str">
        <f t="shared" si="130"/>
        <v>SpaceWdh</v>
      </c>
      <c r="H1152" t="str">
        <f t="shared" si="131"/>
        <v/>
      </c>
      <c r="I1152" t="str">
        <f t="shared" si="132"/>
        <v/>
      </c>
    </row>
    <row r="1153" spans="1:9" x14ac:dyDescent="0.25">
      <c r="A1153" t="s">
        <v>744</v>
      </c>
      <c r="B1153" s="6">
        <f t="shared" si="126"/>
        <v>9.7783333333333342</v>
      </c>
      <c r="C1153" s="3">
        <f t="shared" si="127"/>
        <v>101</v>
      </c>
      <c r="D1153" s="3" t="str">
        <f t="shared" si="128"/>
        <v/>
      </c>
      <c r="E1153" s="3">
        <f t="shared" si="129"/>
        <v>156</v>
      </c>
      <c r="F1153" s="5" t="str">
        <f>IF(C1153=0,"Broadcast",IF(D1153="",IF(E1153="","",IF(E1153&lt;128,"Verbind "&amp;E1153,INDEX(KdoCodeTab,MATCH(E1153,KdoWertTab,0)))),"StatusAbfr "&amp;D1153))</f>
        <v>Mark</v>
      </c>
      <c r="G1153" t="str">
        <f t="shared" si="130"/>
        <v>Mark</v>
      </c>
      <c r="H1153" t="str">
        <f t="shared" si="131"/>
        <v/>
      </c>
      <c r="I1153" t="str">
        <f t="shared" si="132"/>
        <v/>
      </c>
    </row>
    <row r="1154" spans="1:9" x14ac:dyDescent="0.25">
      <c r="A1154" t="s">
        <v>745</v>
      </c>
      <c r="B1154" s="6">
        <f t="shared" si="126"/>
        <v>9.7793333333333337</v>
      </c>
      <c r="C1154" s="3">
        <f t="shared" si="127"/>
        <v>101</v>
      </c>
      <c r="D1154" s="3" t="str">
        <f t="shared" si="128"/>
        <v/>
      </c>
      <c r="E1154" s="3">
        <f t="shared" si="129"/>
        <v>154</v>
      </c>
      <c r="F1154" s="5" t="str">
        <f>IF(C1154=0,"Broadcast",IF(D1154="",IF(E1154="","",IF(E1154&lt;128,"Verbind "&amp;E1154,INDEX(KdoCodeTab,MATCH(E1154,KdoWertTab,0)))),"StatusAbfr "&amp;D1154))</f>
        <v>MarkWdh</v>
      </c>
      <c r="G1154" t="str">
        <f t="shared" si="130"/>
        <v>MarkWdh</v>
      </c>
      <c r="H1154" t="str">
        <f t="shared" si="131"/>
        <v/>
      </c>
      <c r="I1154" t="str">
        <f t="shared" si="132"/>
        <v/>
      </c>
    </row>
    <row r="1155" spans="1:9" x14ac:dyDescent="0.25">
      <c r="A1155" t="s">
        <v>746</v>
      </c>
      <c r="B1155" s="6">
        <f t="shared" si="126"/>
        <v>9.7985000000000007</v>
      </c>
      <c r="C1155" s="3">
        <f t="shared" si="127"/>
        <v>101</v>
      </c>
      <c r="D1155" s="3" t="str">
        <f t="shared" si="128"/>
        <v/>
      </c>
      <c r="E1155" s="3">
        <f t="shared" si="129"/>
        <v>147</v>
      </c>
      <c r="F1155" s="5" t="str">
        <f>IF(C1155=0,"Broadcast",IF(D1155="",IF(E1155="","",IF(E1155&lt;128,"Verbind "&amp;E1155,INDEX(KdoCodeTab,MATCH(E1155,KdoWertTab,0)))),"StatusAbfr "&amp;D1155))</f>
        <v>Space</v>
      </c>
      <c r="G1155" t="str">
        <f t="shared" si="130"/>
        <v>Space</v>
      </c>
      <c r="H1155" t="str">
        <f t="shared" si="131"/>
        <v/>
      </c>
      <c r="I1155" t="str">
        <f t="shared" si="132"/>
        <v/>
      </c>
    </row>
    <row r="1156" spans="1:9" x14ac:dyDescent="0.25">
      <c r="A1156" t="s">
        <v>747</v>
      </c>
      <c r="B1156" s="6">
        <f t="shared" si="126"/>
        <v>9.7995000000000001</v>
      </c>
      <c r="C1156" s="3">
        <f t="shared" si="127"/>
        <v>101</v>
      </c>
      <c r="D1156" s="3" t="str">
        <f t="shared" si="128"/>
        <v/>
      </c>
      <c r="E1156" s="3">
        <f t="shared" si="129"/>
        <v>150</v>
      </c>
      <c r="F1156" s="5" t="str">
        <f>IF(C1156=0,"Broadcast",IF(D1156="",IF(E1156="","",IF(E1156&lt;128,"Verbind "&amp;E1156,INDEX(KdoCodeTab,MATCH(E1156,KdoWertTab,0)))),"StatusAbfr "&amp;D1156))</f>
        <v>SpaceWdh</v>
      </c>
      <c r="G1156" t="str">
        <f t="shared" si="130"/>
        <v>SpaceWdh</v>
      </c>
      <c r="H1156" t="str">
        <f t="shared" si="131"/>
        <v/>
      </c>
      <c r="I1156" t="str">
        <f t="shared" si="132"/>
        <v/>
      </c>
    </row>
    <row r="1157" spans="1:9" x14ac:dyDescent="0.25">
      <c r="A1157" t="s">
        <v>748</v>
      </c>
      <c r="B1157" s="6">
        <f t="shared" ref="B1157:B1220" si="133">MID(A1157,1,5)/1000+(CODE(MID(A1157,6,1))-CODE("a"))/6000</f>
        <v>9.8186666666666671</v>
      </c>
      <c r="C1157" s="3">
        <f t="shared" ref="C1157:C1220" si="134">INT(HEX2DEC(MID(A1157,8,2))/2)</f>
        <v>101</v>
      </c>
      <c r="D1157" s="3" t="str">
        <f t="shared" si="128"/>
        <v/>
      </c>
      <c r="E1157" s="3">
        <f t="shared" si="129"/>
        <v>156</v>
      </c>
      <c r="F1157" s="5" t="str">
        <f>IF(C1157=0,"Broadcast",IF(D1157="",IF(E1157="","",IF(E1157&lt;128,"Verbind "&amp;E1157,INDEX(KdoCodeTab,MATCH(E1157,KdoWertTab,0)))),"StatusAbfr "&amp;D1157))</f>
        <v>Mark</v>
      </c>
      <c r="G1157" t="str">
        <f t="shared" si="130"/>
        <v>Mark</v>
      </c>
      <c r="H1157" t="str">
        <f t="shared" si="131"/>
        <v/>
      </c>
      <c r="I1157" t="str">
        <f t="shared" si="132"/>
        <v/>
      </c>
    </row>
    <row r="1158" spans="1:9" x14ac:dyDescent="0.25">
      <c r="A1158" t="s">
        <v>749</v>
      </c>
      <c r="B1158" s="6">
        <f t="shared" si="133"/>
        <v>9.8196666666666683</v>
      </c>
      <c r="C1158" s="3">
        <f t="shared" si="134"/>
        <v>101</v>
      </c>
      <c r="D1158" s="3" t="str">
        <f t="shared" si="128"/>
        <v/>
      </c>
      <c r="E1158" s="3">
        <f t="shared" si="129"/>
        <v>154</v>
      </c>
      <c r="F1158" s="5" t="str">
        <f>IF(C1158=0,"Broadcast",IF(D1158="",IF(E1158="","",IF(E1158&lt;128,"Verbind "&amp;E1158,INDEX(KdoCodeTab,MATCH(E1158,KdoWertTab,0)))),"StatusAbfr "&amp;D1158))</f>
        <v>MarkWdh</v>
      </c>
      <c r="G1158" t="str">
        <f t="shared" si="130"/>
        <v>MarkWdh</v>
      </c>
      <c r="H1158" t="str">
        <f t="shared" si="131"/>
        <v/>
      </c>
      <c r="I1158" t="str">
        <f t="shared" si="132"/>
        <v/>
      </c>
    </row>
    <row r="1159" spans="1:9" x14ac:dyDescent="0.25">
      <c r="A1159" t="s">
        <v>750</v>
      </c>
      <c r="B1159" s="6">
        <f t="shared" si="133"/>
        <v>9.9288333333333334</v>
      </c>
      <c r="C1159" s="3">
        <f t="shared" si="134"/>
        <v>31</v>
      </c>
      <c r="D1159" s="3" t="str">
        <f t="shared" si="128"/>
        <v/>
      </c>
      <c r="E1159" s="3">
        <f t="shared" si="129"/>
        <v>154</v>
      </c>
      <c r="F1159" s="5" t="str">
        <f>IF(C1159=0,"Broadcast",IF(D1159="",IF(E1159="","",IF(E1159&lt;128,"Verbind "&amp;E1159,INDEX(KdoCodeTab,MATCH(E1159,KdoWertTab,0)))),"StatusAbfr "&amp;D1159))</f>
        <v>MarkWdh</v>
      </c>
      <c r="G1159" t="str">
        <f t="shared" si="130"/>
        <v/>
      </c>
      <c r="H1159" t="str">
        <f t="shared" si="131"/>
        <v>MarkWdh</v>
      </c>
      <c r="I1159" t="str">
        <f t="shared" si="132"/>
        <v/>
      </c>
    </row>
    <row r="1160" spans="1:9" x14ac:dyDescent="0.25">
      <c r="A1160" t="s">
        <v>751</v>
      </c>
      <c r="B1160" s="6">
        <f t="shared" si="133"/>
        <v>9.9743333333333339</v>
      </c>
      <c r="C1160" s="3">
        <f t="shared" si="134"/>
        <v>101</v>
      </c>
      <c r="D1160" s="3" t="str">
        <f t="shared" si="128"/>
        <v/>
      </c>
      <c r="E1160" s="3">
        <f t="shared" si="129"/>
        <v>169</v>
      </c>
      <c r="F1160" s="5" t="str">
        <f>IF(C1160=0,"Broadcast",IF(D1160="",IF(E1160="","",IF(E1160&lt;128,"Verbind "&amp;E1160,INDEX(KdoCodeTab,MATCH(E1160,KdoWertTab,0)))),"StatusAbfr "&amp;D1160))</f>
        <v>BusLebenszeichen</v>
      </c>
      <c r="G1160" t="str">
        <f t="shared" si="130"/>
        <v>BusLebenszeichen</v>
      </c>
      <c r="H1160" t="str">
        <f t="shared" si="131"/>
        <v/>
      </c>
      <c r="I1160" t="str">
        <f t="shared" si="132"/>
        <v/>
      </c>
    </row>
    <row r="1161" spans="1:9" x14ac:dyDescent="0.25">
      <c r="A1161" t="s">
        <v>752</v>
      </c>
      <c r="B1161" s="6">
        <f t="shared" si="133"/>
        <v>10.435</v>
      </c>
      <c r="C1161" s="3">
        <f t="shared" si="134"/>
        <v>31</v>
      </c>
      <c r="D1161" s="3" t="str">
        <f t="shared" si="128"/>
        <v/>
      </c>
      <c r="E1161" s="3">
        <f t="shared" si="129"/>
        <v>154</v>
      </c>
      <c r="F1161" s="5" t="str">
        <f>IF(C1161=0,"Broadcast",IF(D1161="",IF(E1161="","",IF(E1161&lt;128,"Verbind "&amp;E1161,INDEX(KdoCodeTab,MATCH(E1161,KdoWertTab,0)))),"StatusAbfr "&amp;D1161))</f>
        <v>MarkWdh</v>
      </c>
      <c r="G1161" t="str">
        <f t="shared" si="130"/>
        <v/>
      </c>
      <c r="H1161" t="str">
        <f t="shared" si="131"/>
        <v>MarkWdh</v>
      </c>
      <c r="I1161" t="str">
        <f t="shared" si="132"/>
        <v/>
      </c>
    </row>
    <row r="1162" spans="1:9" x14ac:dyDescent="0.25">
      <c r="A1162" t="s">
        <v>753</v>
      </c>
      <c r="B1162" s="6">
        <f t="shared" si="133"/>
        <v>10.57</v>
      </c>
      <c r="C1162" s="3">
        <f t="shared" si="134"/>
        <v>31</v>
      </c>
      <c r="D1162" s="3" t="str">
        <f t="shared" si="128"/>
        <v/>
      </c>
      <c r="E1162" s="3">
        <f t="shared" si="129"/>
        <v>147</v>
      </c>
      <c r="F1162" s="5" t="str">
        <f>IF(C1162=0,"Broadcast",IF(D1162="",IF(E1162="","",IF(E1162&lt;128,"Verbind "&amp;E1162,INDEX(KdoCodeTab,MATCH(E1162,KdoWertTab,0)))),"StatusAbfr "&amp;D1162))</f>
        <v>Space</v>
      </c>
      <c r="G1162" t="str">
        <f t="shared" si="130"/>
        <v/>
      </c>
      <c r="H1162" t="str">
        <f t="shared" si="131"/>
        <v>Space</v>
      </c>
      <c r="I1162" t="str">
        <f t="shared" si="132"/>
        <v/>
      </c>
    </row>
    <row r="1163" spans="1:9" x14ac:dyDescent="0.25">
      <c r="A1163" t="s">
        <v>754</v>
      </c>
      <c r="B1163" s="6">
        <f t="shared" si="133"/>
        <v>10.576333333333334</v>
      </c>
      <c r="C1163" s="3">
        <f t="shared" si="134"/>
        <v>31</v>
      </c>
      <c r="D1163" s="3" t="str">
        <f t="shared" si="128"/>
        <v/>
      </c>
      <c r="E1163" s="3">
        <f t="shared" si="129"/>
        <v>150</v>
      </c>
      <c r="F1163" s="5" t="str">
        <f>IF(C1163=0,"Broadcast",IF(D1163="",IF(E1163="","",IF(E1163&lt;128,"Verbind "&amp;E1163,INDEX(KdoCodeTab,MATCH(E1163,KdoWertTab,0)))),"StatusAbfr "&amp;D1163))</f>
        <v>SpaceWdh</v>
      </c>
      <c r="G1163" t="str">
        <f t="shared" si="130"/>
        <v/>
      </c>
      <c r="H1163" t="str">
        <f t="shared" si="131"/>
        <v>SpaceWdh</v>
      </c>
      <c r="I1163" t="str">
        <f t="shared" si="132"/>
        <v/>
      </c>
    </row>
    <row r="1164" spans="1:9" x14ac:dyDescent="0.25">
      <c r="A1164" t="s">
        <v>755</v>
      </c>
      <c r="B1164" s="6">
        <f t="shared" si="133"/>
        <v>10.590166666666667</v>
      </c>
      <c r="C1164" s="3">
        <f t="shared" si="134"/>
        <v>31</v>
      </c>
      <c r="D1164" s="3" t="str">
        <f t="shared" si="128"/>
        <v/>
      </c>
      <c r="E1164" s="3">
        <f t="shared" si="129"/>
        <v>156</v>
      </c>
      <c r="F1164" s="5" t="str">
        <f>IF(C1164=0,"Broadcast",IF(D1164="",IF(E1164="","",IF(E1164&lt;128,"Verbind "&amp;E1164,INDEX(KdoCodeTab,MATCH(E1164,KdoWertTab,0)))),"StatusAbfr "&amp;D1164))</f>
        <v>Mark</v>
      </c>
      <c r="G1164" t="str">
        <f t="shared" si="130"/>
        <v/>
      </c>
      <c r="H1164" t="str">
        <f t="shared" si="131"/>
        <v>Mark</v>
      </c>
      <c r="I1164" t="str">
        <f t="shared" si="132"/>
        <v/>
      </c>
    </row>
    <row r="1165" spans="1:9" x14ac:dyDescent="0.25">
      <c r="A1165" t="s">
        <v>756</v>
      </c>
      <c r="B1165" s="6">
        <f t="shared" si="133"/>
        <v>10.596166666666667</v>
      </c>
      <c r="C1165" s="3">
        <f t="shared" si="134"/>
        <v>31</v>
      </c>
      <c r="D1165" s="3" t="str">
        <f t="shared" si="128"/>
        <v/>
      </c>
      <c r="E1165" s="3">
        <f t="shared" si="129"/>
        <v>154</v>
      </c>
      <c r="F1165" s="5" t="str">
        <f>IF(C1165=0,"Broadcast",IF(D1165="",IF(E1165="","",IF(E1165&lt;128,"Verbind "&amp;E1165,INDEX(KdoCodeTab,MATCH(E1165,KdoWertTab,0)))),"StatusAbfr "&amp;D1165))</f>
        <v>MarkWdh</v>
      </c>
      <c r="G1165" t="str">
        <f t="shared" si="130"/>
        <v/>
      </c>
      <c r="H1165" t="str">
        <f t="shared" si="131"/>
        <v>MarkWdh</v>
      </c>
      <c r="I1165" t="str">
        <f t="shared" si="132"/>
        <v/>
      </c>
    </row>
    <row r="1166" spans="1:9" x14ac:dyDescent="0.25">
      <c r="A1166" t="s">
        <v>757</v>
      </c>
      <c r="B1166" s="6">
        <f t="shared" si="133"/>
        <v>10.656333333333334</v>
      </c>
      <c r="C1166" s="3">
        <f t="shared" si="134"/>
        <v>101</v>
      </c>
      <c r="D1166" s="3" t="str">
        <f t="shared" si="128"/>
        <v/>
      </c>
      <c r="E1166" s="3">
        <f t="shared" si="129"/>
        <v>169</v>
      </c>
      <c r="F1166" s="5" t="str">
        <f>IF(C1166=0,"Broadcast",IF(D1166="",IF(E1166="","",IF(E1166&lt;128,"Verbind "&amp;E1166,INDEX(KdoCodeTab,MATCH(E1166,KdoWertTab,0)))),"StatusAbfr "&amp;D1166))</f>
        <v>BusLebenszeichen</v>
      </c>
      <c r="G1166" t="str">
        <f t="shared" si="130"/>
        <v>BusLebenszeichen</v>
      </c>
      <c r="H1166" t="str">
        <f t="shared" si="131"/>
        <v/>
      </c>
      <c r="I1166" t="str">
        <f t="shared" si="132"/>
        <v/>
      </c>
    </row>
    <row r="1167" spans="1:9" x14ac:dyDescent="0.25">
      <c r="A1167" t="s">
        <v>758</v>
      </c>
      <c r="B1167" s="6">
        <f t="shared" si="133"/>
        <v>10.721166666666667</v>
      </c>
      <c r="C1167" s="3">
        <f t="shared" si="134"/>
        <v>31</v>
      </c>
      <c r="D1167" s="3" t="str">
        <f t="shared" si="128"/>
        <v/>
      </c>
      <c r="E1167" s="3">
        <f t="shared" si="129"/>
        <v>147</v>
      </c>
      <c r="F1167" s="5" t="str">
        <f>IF(C1167=0,"Broadcast",IF(D1167="",IF(E1167="","",IF(E1167&lt;128,"Verbind "&amp;E1167,INDEX(KdoCodeTab,MATCH(E1167,KdoWertTab,0)))),"StatusAbfr "&amp;D1167))</f>
        <v>Space</v>
      </c>
      <c r="G1167" t="str">
        <f t="shared" si="130"/>
        <v/>
      </c>
      <c r="H1167" t="str">
        <f t="shared" si="131"/>
        <v>Space</v>
      </c>
      <c r="I1167" t="str">
        <f t="shared" si="132"/>
        <v/>
      </c>
    </row>
    <row r="1168" spans="1:9" x14ac:dyDescent="0.25">
      <c r="A1168" t="s">
        <v>759</v>
      </c>
      <c r="B1168" s="6">
        <f t="shared" si="133"/>
        <v>10.727166666666667</v>
      </c>
      <c r="C1168" s="3">
        <f t="shared" si="134"/>
        <v>31</v>
      </c>
      <c r="D1168" s="3" t="str">
        <f t="shared" si="128"/>
        <v/>
      </c>
      <c r="E1168" s="3">
        <f t="shared" si="129"/>
        <v>150</v>
      </c>
      <c r="F1168" s="5" t="str">
        <f>IF(C1168=0,"Broadcast",IF(D1168="",IF(E1168="","",IF(E1168&lt;128,"Verbind "&amp;E1168,INDEX(KdoCodeTab,MATCH(E1168,KdoWertTab,0)))),"StatusAbfr "&amp;D1168))</f>
        <v>SpaceWdh</v>
      </c>
      <c r="G1168" t="str">
        <f t="shared" si="130"/>
        <v/>
      </c>
      <c r="H1168" t="str">
        <f t="shared" si="131"/>
        <v>SpaceWdh</v>
      </c>
      <c r="I1168" t="str">
        <f t="shared" si="132"/>
        <v/>
      </c>
    </row>
    <row r="1169" spans="1:9" x14ac:dyDescent="0.25">
      <c r="A1169" t="s">
        <v>760</v>
      </c>
      <c r="B1169" s="6">
        <f t="shared" si="133"/>
        <v>10.801833333333333</v>
      </c>
      <c r="C1169" s="3">
        <f t="shared" si="134"/>
        <v>31</v>
      </c>
      <c r="D1169" s="3" t="str">
        <f t="shared" si="128"/>
        <v/>
      </c>
      <c r="E1169" s="3">
        <f t="shared" si="129"/>
        <v>156</v>
      </c>
      <c r="F1169" s="5" t="str">
        <f>IF(C1169=0,"Broadcast",IF(D1169="",IF(E1169="","",IF(E1169&lt;128,"Verbind "&amp;E1169,INDEX(KdoCodeTab,MATCH(E1169,KdoWertTab,0)))),"StatusAbfr "&amp;D1169))</f>
        <v>Mark</v>
      </c>
      <c r="G1169" t="str">
        <f t="shared" si="130"/>
        <v/>
      </c>
      <c r="H1169" t="str">
        <f t="shared" si="131"/>
        <v>Mark</v>
      </c>
      <c r="I1169" t="str">
        <f t="shared" si="132"/>
        <v/>
      </c>
    </row>
    <row r="1170" spans="1:9" x14ac:dyDescent="0.25">
      <c r="A1170" t="s">
        <v>761</v>
      </c>
      <c r="B1170" s="6">
        <f t="shared" si="133"/>
        <v>10.807833333333333</v>
      </c>
      <c r="C1170" s="3">
        <f t="shared" si="134"/>
        <v>31</v>
      </c>
      <c r="D1170" s="3" t="str">
        <f t="shared" si="128"/>
        <v/>
      </c>
      <c r="E1170" s="3">
        <f t="shared" si="129"/>
        <v>154</v>
      </c>
      <c r="F1170" s="5" t="str">
        <f>IF(C1170=0,"Broadcast",IF(D1170="",IF(E1170="","",IF(E1170&lt;128,"Verbind "&amp;E1170,INDEX(KdoCodeTab,MATCH(E1170,KdoWertTab,0)))),"StatusAbfr "&amp;D1170))</f>
        <v>MarkWdh</v>
      </c>
      <c r="G1170" t="str">
        <f t="shared" si="130"/>
        <v/>
      </c>
      <c r="H1170" t="str">
        <f t="shared" si="131"/>
        <v>MarkWdh</v>
      </c>
      <c r="I1170" t="str">
        <f t="shared" si="132"/>
        <v/>
      </c>
    </row>
    <row r="1171" spans="1:9" x14ac:dyDescent="0.25">
      <c r="A1171" t="s">
        <v>762</v>
      </c>
      <c r="B1171" s="6">
        <f t="shared" si="133"/>
        <v>10.821999999999999</v>
      </c>
      <c r="C1171" s="3">
        <f t="shared" si="134"/>
        <v>18</v>
      </c>
      <c r="D1171" s="3" t="str">
        <f t="shared" si="128"/>
        <v/>
      </c>
      <c r="E1171" s="3">
        <f t="shared" si="129"/>
        <v>0</v>
      </c>
      <c r="F1171" s="5" t="str">
        <f>IF(C1171=0,"Broadcast",IF(D1171="",IF(E1171="","",IF(E1171&lt;128,"Verbind "&amp;E1171,INDEX(KdoCodeTab,MATCH(E1171,KdoWertTab,0)))),"StatusAbfr "&amp;D1171))</f>
        <v>Verbind 0</v>
      </c>
      <c r="G1171" t="str">
        <f t="shared" si="130"/>
        <v/>
      </c>
      <c r="H1171" t="str">
        <f t="shared" si="131"/>
        <v/>
      </c>
      <c r="I1171" t="str">
        <f t="shared" si="132"/>
        <v>Verbind 0</v>
      </c>
    </row>
    <row r="1172" spans="1:9" x14ac:dyDescent="0.25">
      <c r="A1172" t="s">
        <v>763</v>
      </c>
      <c r="B1172" s="6">
        <f t="shared" si="133"/>
        <v>10.827999999999999</v>
      </c>
      <c r="C1172" s="3">
        <f t="shared" si="134"/>
        <v>31</v>
      </c>
      <c r="D1172" s="3" t="str">
        <f t="shared" si="128"/>
        <v/>
      </c>
      <c r="E1172" s="3">
        <f t="shared" si="129"/>
        <v>150</v>
      </c>
      <c r="F1172" s="5" t="str">
        <f>IF(C1172=0,"Broadcast",IF(D1172="",IF(E1172="","",IF(E1172&lt;128,"Verbind "&amp;E1172,INDEX(KdoCodeTab,MATCH(E1172,KdoWertTab,0)))),"StatusAbfr "&amp;D1172))</f>
        <v>SpaceWdh</v>
      </c>
      <c r="G1172" t="str">
        <f t="shared" si="130"/>
        <v/>
      </c>
      <c r="H1172" t="str">
        <f t="shared" si="131"/>
        <v>SpaceWdh</v>
      </c>
      <c r="I1172" t="str">
        <f t="shared" si="132"/>
        <v/>
      </c>
    </row>
    <row r="1173" spans="1:9" x14ac:dyDescent="0.25">
      <c r="A1173" t="s">
        <v>764</v>
      </c>
      <c r="B1173" s="6">
        <f t="shared" si="133"/>
        <v>10.842166666666667</v>
      </c>
      <c r="C1173" s="3">
        <f t="shared" si="134"/>
        <v>31</v>
      </c>
      <c r="D1173" s="3" t="str">
        <f t="shared" si="128"/>
        <v/>
      </c>
      <c r="E1173" s="3">
        <f t="shared" si="129"/>
        <v>156</v>
      </c>
      <c r="F1173" s="5" t="str">
        <f>IF(C1173=0,"Broadcast",IF(D1173="",IF(E1173="","",IF(E1173&lt;128,"Verbind "&amp;E1173,INDEX(KdoCodeTab,MATCH(E1173,KdoWertTab,0)))),"StatusAbfr "&amp;D1173))</f>
        <v>Mark</v>
      </c>
      <c r="G1173" t="str">
        <f t="shared" si="130"/>
        <v/>
      </c>
      <c r="H1173" t="str">
        <f t="shared" si="131"/>
        <v>Mark</v>
      </c>
      <c r="I1173" t="str">
        <f t="shared" si="132"/>
        <v/>
      </c>
    </row>
    <row r="1174" spans="1:9" x14ac:dyDescent="0.25">
      <c r="A1174" t="s">
        <v>765</v>
      </c>
      <c r="B1174" s="6">
        <f t="shared" si="133"/>
        <v>10.848166666666668</v>
      </c>
      <c r="C1174" s="3">
        <f t="shared" si="134"/>
        <v>31</v>
      </c>
      <c r="D1174" s="3" t="str">
        <f t="shared" si="128"/>
        <v/>
      </c>
      <c r="E1174" s="3">
        <f t="shared" si="129"/>
        <v>154</v>
      </c>
      <c r="F1174" s="5" t="str">
        <f>IF(C1174=0,"Broadcast",IF(D1174="",IF(E1174="","",IF(E1174&lt;128,"Verbind "&amp;E1174,INDEX(KdoCodeTab,MATCH(E1174,KdoWertTab,0)))),"StatusAbfr "&amp;D1174))</f>
        <v>MarkWdh</v>
      </c>
      <c r="G1174" t="str">
        <f t="shared" si="130"/>
        <v/>
      </c>
      <c r="H1174" t="str">
        <f t="shared" si="131"/>
        <v>MarkWdh</v>
      </c>
      <c r="I1174" t="str">
        <f t="shared" si="132"/>
        <v/>
      </c>
    </row>
    <row r="1175" spans="1:9" x14ac:dyDescent="0.25">
      <c r="A1175" t="s">
        <v>766</v>
      </c>
      <c r="B1175" s="6">
        <f t="shared" si="133"/>
        <v>10.872333333333334</v>
      </c>
      <c r="C1175" s="3">
        <f t="shared" si="134"/>
        <v>18</v>
      </c>
      <c r="D1175" s="3" t="str">
        <f t="shared" si="128"/>
        <v/>
      </c>
      <c r="E1175" s="3">
        <f t="shared" si="129"/>
        <v>0</v>
      </c>
      <c r="F1175" s="5" t="str">
        <f>IF(C1175=0,"Broadcast",IF(D1175="",IF(E1175="","",IF(E1175&lt;128,"Verbind "&amp;E1175,INDEX(KdoCodeTab,MATCH(E1175,KdoWertTab,0)))),"StatusAbfr "&amp;D1175))</f>
        <v>Verbind 0</v>
      </c>
      <c r="G1175" t="str">
        <f t="shared" si="130"/>
        <v/>
      </c>
      <c r="H1175" t="str">
        <f t="shared" si="131"/>
        <v/>
      </c>
      <c r="I1175" t="str">
        <f t="shared" si="132"/>
        <v>Verbind 0</v>
      </c>
    </row>
    <row r="1176" spans="1:9" x14ac:dyDescent="0.25">
      <c r="A1176" t="s">
        <v>767</v>
      </c>
      <c r="B1176" s="6">
        <f t="shared" si="133"/>
        <v>10.878500000000001</v>
      </c>
      <c r="C1176" s="3">
        <f t="shared" si="134"/>
        <v>31</v>
      </c>
      <c r="D1176" s="3" t="str">
        <f t="shared" si="128"/>
        <v/>
      </c>
      <c r="E1176" s="3">
        <f t="shared" si="129"/>
        <v>150</v>
      </c>
      <c r="F1176" s="5" t="str">
        <f>IF(C1176=0,"Broadcast",IF(D1176="",IF(E1176="","",IF(E1176&lt;128,"Verbind "&amp;E1176,INDEX(KdoCodeTab,MATCH(E1176,KdoWertTab,0)))),"StatusAbfr "&amp;D1176))</f>
        <v>SpaceWdh</v>
      </c>
      <c r="G1176" t="str">
        <f t="shared" si="130"/>
        <v/>
      </c>
      <c r="H1176" t="str">
        <f t="shared" si="131"/>
        <v>SpaceWdh</v>
      </c>
      <c r="I1176" t="str">
        <f t="shared" si="132"/>
        <v/>
      </c>
    </row>
    <row r="1177" spans="1:9" x14ac:dyDescent="0.25">
      <c r="A1177" t="s">
        <v>768</v>
      </c>
      <c r="B1177" s="6">
        <f t="shared" si="133"/>
        <v>10.912666666666668</v>
      </c>
      <c r="C1177" s="3">
        <f t="shared" si="134"/>
        <v>31</v>
      </c>
      <c r="D1177" s="3" t="str">
        <f t="shared" si="128"/>
        <v/>
      </c>
      <c r="E1177" s="3">
        <f t="shared" si="129"/>
        <v>156</v>
      </c>
      <c r="F1177" s="5" t="str">
        <f>IF(C1177=0,"Broadcast",IF(D1177="",IF(E1177="","",IF(E1177&lt;128,"Verbind "&amp;E1177,INDEX(KdoCodeTab,MATCH(E1177,KdoWertTab,0)))),"StatusAbfr "&amp;D1177))</f>
        <v>Mark</v>
      </c>
      <c r="G1177" t="str">
        <f t="shared" si="130"/>
        <v/>
      </c>
      <c r="H1177" t="str">
        <f t="shared" si="131"/>
        <v>Mark</v>
      </c>
      <c r="I1177" t="str">
        <f t="shared" si="132"/>
        <v/>
      </c>
    </row>
    <row r="1178" spans="1:9" x14ac:dyDescent="0.25">
      <c r="A1178" t="s">
        <v>769</v>
      </c>
      <c r="B1178" s="6">
        <f t="shared" si="133"/>
        <v>10.918666666666667</v>
      </c>
      <c r="C1178" s="3">
        <f t="shared" si="134"/>
        <v>31</v>
      </c>
      <c r="D1178" s="3" t="str">
        <f t="shared" si="128"/>
        <v/>
      </c>
      <c r="E1178" s="3">
        <f t="shared" si="129"/>
        <v>154</v>
      </c>
      <c r="F1178" s="5" t="str">
        <f>IF(C1178=0,"Broadcast",IF(D1178="",IF(E1178="","",IF(E1178&lt;128,"Verbind "&amp;E1178,INDEX(KdoCodeTab,MATCH(E1178,KdoWertTab,0)))),"StatusAbfr "&amp;D1178))</f>
        <v>MarkWdh</v>
      </c>
      <c r="G1178" t="str">
        <f t="shared" si="130"/>
        <v/>
      </c>
      <c r="H1178" t="str">
        <f t="shared" si="131"/>
        <v>MarkWdh</v>
      </c>
      <c r="I1178" t="str">
        <f t="shared" si="132"/>
        <v/>
      </c>
    </row>
    <row r="1179" spans="1:9" x14ac:dyDescent="0.25">
      <c r="A1179" t="s">
        <v>770</v>
      </c>
      <c r="B1179" s="6">
        <f t="shared" si="133"/>
        <v>1.0166666666666668E-2</v>
      </c>
      <c r="C1179" s="3">
        <f t="shared" si="134"/>
        <v>31</v>
      </c>
      <c r="D1179" s="3" t="str">
        <f t="shared" si="128"/>
        <v/>
      </c>
      <c r="E1179" s="3">
        <f t="shared" si="129"/>
        <v>147</v>
      </c>
      <c r="F1179" s="5" t="str">
        <f>IF(C1179=0,"Broadcast",IF(D1179="",IF(E1179="","",IF(E1179&lt;128,"Verbind "&amp;E1179,INDEX(KdoCodeTab,MATCH(E1179,KdoWertTab,0)))),"StatusAbfr "&amp;D1179))</f>
        <v>Space</v>
      </c>
      <c r="G1179" t="str">
        <f t="shared" si="130"/>
        <v/>
      </c>
      <c r="H1179" t="str">
        <f t="shared" si="131"/>
        <v>Space</v>
      </c>
      <c r="I1179" t="str">
        <f t="shared" si="132"/>
        <v/>
      </c>
    </row>
    <row r="1180" spans="1:9" x14ac:dyDescent="0.25">
      <c r="A1180" t="s">
        <v>771</v>
      </c>
      <c r="B1180" s="6">
        <f t="shared" si="133"/>
        <v>1.6166666666666666E-2</v>
      </c>
      <c r="C1180" s="3">
        <f t="shared" si="134"/>
        <v>31</v>
      </c>
      <c r="D1180" s="3" t="str">
        <f t="shared" si="128"/>
        <v/>
      </c>
      <c r="E1180" s="3">
        <f t="shared" si="129"/>
        <v>150</v>
      </c>
      <c r="F1180" s="5" t="str">
        <f>IF(C1180=0,"Broadcast",IF(D1180="",IF(E1180="","",IF(E1180&lt;128,"Verbind "&amp;E1180,INDEX(KdoCodeTab,MATCH(E1180,KdoWertTab,0)))),"StatusAbfr "&amp;D1180))</f>
        <v>SpaceWdh</v>
      </c>
      <c r="G1180" t="str">
        <f t="shared" si="130"/>
        <v/>
      </c>
      <c r="H1180" t="str">
        <f t="shared" si="131"/>
        <v>SpaceWdh</v>
      </c>
      <c r="I1180" t="str">
        <f t="shared" si="132"/>
        <v/>
      </c>
    </row>
    <row r="1181" spans="1:9" x14ac:dyDescent="0.25">
      <c r="A1181" t="s">
        <v>772</v>
      </c>
      <c r="B1181" s="6">
        <f t="shared" si="133"/>
        <v>7.0666666666666669E-2</v>
      </c>
      <c r="C1181" s="3">
        <f t="shared" si="134"/>
        <v>31</v>
      </c>
      <c r="D1181" s="3" t="str">
        <f t="shared" si="128"/>
        <v/>
      </c>
      <c r="E1181" s="3">
        <f t="shared" si="129"/>
        <v>156</v>
      </c>
      <c r="F1181" s="5" t="str">
        <f>IF(C1181=0,"Broadcast",IF(D1181="",IF(E1181="","",IF(E1181&lt;128,"Verbind "&amp;E1181,INDEX(KdoCodeTab,MATCH(E1181,KdoWertTab,0)))),"StatusAbfr "&amp;D1181))</f>
        <v>Mark</v>
      </c>
      <c r="G1181" t="str">
        <f t="shared" si="130"/>
        <v/>
      </c>
      <c r="H1181" t="str">
        <f t="shared" si="131"/>
        <v>Mark</v>
      </c>
      <c r="I1181" t="str">
        <f t="shared" si="132"/>
        <v/>
      </c>
    </row>
    <row r="1182" spans="1:9" x14ac:dyDescent="0.25">
      <c r="A1182" t="s">
        <v>773</v>
      </c>
      <c r="B1182" s="6">
        <f t="shared" si="133"/>
        <v>7.6666666666666661E-2</v>
      </c>
      <c r="C1182" s="3">
        <f t="shared" si="134"/>
        <v>31</v>
      </c>
      <c r="D1182" s="3" t="str">
        <f t="shared" si="128"/>
        <v/>
      </c>
      <c r="E1182" s="3">
        <f t="shared" si="129"/>
        <v>154</v>
      </c>
      <c r="F1182" s="5" t="str">
        <f>IF(C1182=0,"Broadcast",IF(D1182="",IF(E1182="","",IF(E1182&lt;128,"Verbind "&amp;E1182,INDEX(KdoCodeTab,MATCH(E1182,KdoWertTab,0)))),"StatusAbfr "&amp;D1182))</f>
        <v>MarkWdh</v>
      </c>
      <c r="G1182" t="str">
        <f t="shared" si="130"/>
        <v/>
      </c>
      <c r="H1182" t="str">
        <f t="shared" si="131"/>
        <v>MarkWdh</v>
      </c>
      <c r="I1182" t="str">
        <f t="shared" si="132"/>
        <v/>
      </c>
    </row>
    <row r="1183" spans="1:9" x14ac:dyDescent="0.25">
      <c r="A1183" t="s">
        <v>774</v>
      </c>
      <c r="B1183" s="6">
        <f t="shared" si="133"/>
        <v>0.10083333333333334</v>
      </c>
      <c r="C1183" s="3">
        <f t="shared" si="134"/>
        <v>18</v>
      </c>
      <c r="D1183" s="3" t="str">
        <f t="shared" si="128"/>
        <v/>
      </c>
      <c r="E1183" s="3">
        <f t="shared" si="129"/>
        <v>0</v>
      </c>
      <c r="F1183" s="5" t="str">
        <f>IF(C1183=0,"Broadcast",IF(D1183="",IF(E1183="","",IF(E1183&lt;128,"Verbind "&amp;E1183,INDEX(KdoCodeTab,MATCH(E1183,KdoWertTab,0)))),"StatusAbfr "&amp;D1183))</f>
        <v>Verbind 0</v>
      </c>
      <c r="G1183" t="str">
        <f t="shared" si="130"/>
        <v/>
      </c>
      <c r="H1183" t="str">
        <f t="shared" si="131"/>
        <v/>
      </c>
      <c r="I1183" t="str">
        <f t="shared" si="132"/>
        <v>Verbind 0</v>
      </c>
    </row>
    <row r="1184" spans="1:9" x14ac:dyDescent="0.25">
      <c r="A1184" t="s">
        <v>775</v>
      </c>
      <c r="B1184" s="6">
        <f t="shared" si="133"/>
        <v>0.107</v>
      </c>
      <c r="C1184" s="3">
        <f t="shared" si="134"/>
        <v>31</v>
      </c>
      <c r="D1184" s="3" t="str">
        <f t="shared" si="128"/>
        <v/>
      </c>
      <c r="E1184" s="3">
        <f t="shared" si="129"/>
        <v>150</v>
      </c>
      <c r="F1184" s="5" t="str">
        <f>IF(C1184=0,"Broadcast",IF(D1184="",IF(E1184="","",IF(E1184&lt;128,"Verbind "&amp;E1184,INDEX(KdoCodeTab,MATCH(E1184,KdoWertTab,0)))),"StatusAbfr "&amp;D1184))</f>
        <v>SpaceWdh</v>
      </c>
      <c r="G1184" t="str">
        <f t="shared" si="130"/>
        <v/>
      </c>
      <c r="H1184" t="str">
        <f t="shared" si="131"/>
        <v>SpaceWdh</v>
      </c>
      <c r="I1184" t="str">
        <f t="shared" si="132"/>
        <v/>
      </c>
    </row>
    <row r="1185" spans="1:9" x14ac:dyDescent="0.25">
      <c r="A1185" t="s">
        <v>776</v>
      </c>
      <c r="B1185" s="6">
        <f t="shared" si="133"/>
        <v>0.121</v>
      </c>
      <c r="C1185" s="3">
        <f t="shared" si="134"/>
        <v>31</v>
      </c>
      <c r="D1185" s="3" t="str">
        <f t="shared" si="128"/>
        <v/>
      </c>
      <c r="E1185" s="3">
        <f t="shared" si="129"/>
        <v>156</v>
      </c>
      <c r="F1185" s="5" t="str">
        <f>IF(C1185=0,"Broadcast",IF(D1185="",IF(E1185="","",IF(E1185&lt;128,"Verbind "&amp;E1185,INDEX(KdoCodeTab,MATCH(E1185,KdoWertTab,0)))),"StatusAbfr "&amp;D1185))</f>
        <v>Mark</v>
      </c>
      <c r="G1185" t="str">
        <f t="shared" si="130"/>
        <v/>
      </c>
      <c r="H1185" t="str">
        <f t="shared" si="131"/>
        <v>Mark</v>
      </c>
      <c r="I1185" t="str">
        <f t="shared" si="132"/>
        <v/>
      </c>
    </row>
    <row r="1186" spans="1:9" x14ac:dyDescent="0.25">
      <c r="A1186" t="s">
        <v>777</v>
      </c>
      <c r="B1186" s="6">
        <f t="shared" si="133"/>
        <v>0.12716666666666668</v>
      </c>
      <c r="C1186" s="3">
        <f t="shared" si="134"/>
        <v>31</v>
      </c>
      <c r="D1186" s="3" t="str">
        <f t="shared" si="128"/>
        <v/>
      </c>
      <c r="E1186" s="3">
        <f t="shared" si="129"/>
        <v>154</v>
      </c>
      <c r="F1186" s="5" t="str">
        <f>IF(C1186=0,"Broadcast",IF(D1186="",IF(E1186="","",IF(E1186&lt;128,"Verbind "&amp;E1186,INDEX(KdoCodeTab,MATCH(E1186,KdoWertTab,0)))),"StatusAbfr "&amp;D1186))</f>
        <v>MarkWdh</v>
      </c>
      <c r="G1186" t="str">
        <f t="shared" si="130"/>
        <v/>
      </c>
      <c r="H1186" t="str">
        <f t="shared" si="131"/>
        <v>MarkWdh</v>
      </c>
      <c r="I1186" t="str">
        <f t="shared" si="132"/>
        <v/>
      </c>
    </row>
    <row r="1187" spans="1:9" x14ac:dyDescent="0.25">
      <c r="A1187" t="s">
        <v>778</v>
      </c>
      <c r="B1187" s="6">
        <f t="shared" si="133"/>
        <v>0.16133333333333333</v>
      </c>
      <c r="C1187" s="3">
        <f t="shared" si="134"/>
        <v>18</v>
      </c>
      <c r="D1187" s="3" t="str">
        <f t="shared" si="128"/>
        <v/>
      </c>
      <c r="E1187" s="3">
        <f t="shared" si="129"/>
        <v>0</v>
      </c>
      <c r="F1187" s="5" t="str">
        <f>IF(C1187=0,"Broadcast",IF(D1187="",IF(E1187="","",IF(E1187&lt;128,"Verbind "&amp;E1187,INDEX(KdoCodeTab,MATCH(E1187,KdoWertTab,0)))),"StatusAbfr "&amp;D1187))</f>
        <v>Verbind 0</v>
      </c>
      <c r="G1187" t="str">
        <f t="shared" si="130"/>
        <v/>
      </c>
      <c r="H1187" t="str">
        <f t="shared" si="131"/>
        <v/>
      </c>
      <c r="I1187" t="str">
        <f t="shared" si="132"/>
        <v>Verbind 0</v>
      </c>
    </row>
    <row r="1188" spans="1:9" x14ac:dyDescent="0.25">
      <c r="A1188" t="s">
        <v>779</v>
      </c>
      <c r="B1188" s="6">
        <f t="shared" si="133"/>
        <v>0.16750000000000001</v>
      </c>
      <c r="C1188" s="3">
        <f t="shared" si="134"/>
        <v>31</v>
      </c>
      <c r="D1188" s="3" t="str">
        <f t="shared" si="128"/>
        <v/>
      </c>
      <c r="E1188" s="3">
        <f t="shared" si="129"/>
        <v>150</v>
      </c>
      <c r="F1188" s="5" t="str">
        <f>IF(C1188=0,"Broadcast",IF(D1188="",IF(E1188="","",IF(E1188&lt;128,"Verbind "&amp;E1188,INDEX(KdoCodeTab,MATCH(E1188,KdoWertTab,0)))),"StatusAbfr "&amp;D1188))</f>
        <v>SpaceWdh</v>
      </c>
      <c r="G1188" t="str">
        <f t="shared" si="130"/>
        <v/>
      </c>
      <c r="H1188" t="str">
        <f t="shared" si="131"/>
        <v>SpaceWdh</v>
      </c>
      <c r="I1188" t="str">
        <f t="shared" si="132"/>
        <v/>
      </c>
    </row>
    <row r="1189" spans="1:9" x14ac:dyDescent="0.25">
      <c r="A1189" t="s">
        <v>780</v>
      </c>
      <c r="B1189" s="6">
        <f t="shared" si="133"/>
        <v>0.18149999999999999</v>
      </c>
      <c r="C1189" s="3">
        <f t="shared" si="134"/>
        <v>31</v>
      </c>
      <c r="D1189" s="3" t="str">
        <f t="shared" si="128"/>
        <v/>
      </c>
      <c r="E1189" s="3">
        <f t="shared" si="129"/>
        <v>156</v>
      </c>
      <c r="F1189" s="5" t="str">
        <f>IF(C1189=0,"Broadcast",IF(D1189="",IF(E1189="","",IF(E1189&lt;128,"Verbind "&amp;E1189,INDEX(KdoCodeTab,MATCH(E1189,KdoWertTab,0)))),"StatusAbfr "&amp;D1189))</f>
        <v>Mark</v>
      </c>
      <c r="G1189" t="str">
        <f t="shared" si="130"/>
        <v/>
      </c>
      <c r="H1189" t="str">
        <f t="shared" si="131"/>
        <v>Mark</v>
      </c>
      <c r="I1189" t="str">
        <f t="shared" si="132"/>
        <v/>
      </c>
    </row>
    <row r="1190" spans="1:9" x14ac:dyDescent="0.25">
      <c r="A1190" t="s">
        <v>781</v>
      </c>
      <c r="B1190" s="6">
        <f t="shared" si="133"/>
        <v>0.18766666666666668</v>
      </c>
      <c r="C1190" s="3">
        <f t="shared" si="134"/>
        <v>31</v>
      </c>
      <c r="D1190" s="3" t="str">
        <f t="shared" si="128"/>
        <v/>
      </c>
      <c r="E1190" s="3">
        <f t="shared" si="129"/>
        <v>154</v>
      </c>
      <c r="F1190" s="5" t="str">
        <f>IF(C1190=0,"Broadcast",IF(D1190="",IF(E1190="","",IF(E1190&lt;128,"Verbind "&amp;E1190,INDEX(KdoCodeTab,MATCH(E1190,KdoWertTab,0)))),"StatusAbfr "&amp;D1190))</f>
        <v>MarkWdh</v>
      </c>
      <c r="G1190" t="str">
        <f t="shared" si="130"/>
        <v/>
      </c>
      <c r="H1190" t="str">
        <f t="shared" si="131"/>
        <v>MarkWdh</v>
      </c>
      <c r="I1190" t="str">
        <f t="shared" si="132"/>
        <v/>
      </c>
    </row>
    <row r="1191" spans="1:9" x14ac:dyDescent="0.25">
      <c r="A1191" t="s">
        <v>782</v>
      </c>
      <c r="B1191" s="6">
        <f t="shared" si="133"/>
        <v>0.25216666666666665</v>
      </c>
      <c r="C1191" s="3">
        <f t="shared" si="134"/>
        <v>31</v>
      </c>
      <c r="D1191" s="3" t="str">
        <f t="shared" si="128"/>
        <v/>
      </c>
      <c r="E1191" s="3">
        <f t="shared" si="129"/>
        <v>147</v>
      </c>
      <c r="F1191" s="5" t="str">
        <f>IF(C1191=0,"Broadcast",IF(D1191="",IF(E1191="","",IF(E1191&lt;128,"Verbind "&amp;E1191,INDEX(KdoCodeTab,MATCH(E1191,KdoWertTab,0)))),"StatusAbfr "&amp;D1191))</f>
        <v>Space</v>
      </c>
      <c r="G1191" t="str">
        <f t="shared" si="130"/>
        <v/>
      </c>
      <c r="H1191" t="str">
        <f t="shared" si="131"/>
        <v>Space</v>
      </c>
      <c r="I1191" t="str">
        <f t="shared" si="132"/>
        <v/>
      </c>
    </row>
    <row r="1192" spans="1:9" x14ac:dyDescent="0.25">
      <c r="A1192" t="s">
        <v>783</v>
      </c>
      <c r="B1192" s="6">
        <f t="shared" si="133"/>
        <v>0.25816666666666666</v>
      </c>
      <c r="C1192" s="3">
        <f t="shared" si="134"/>
        <v>31</v>
      </c>
      <c r="D1192" s="3" t="str">
        <f t="shared" si="128"/>
        <v/>
      </c>
      <c r="E1192" s="3">
        <f t="shared" si="129"/>
        <v>150</v>
      </c>
      <c r="F1192" s="5" t="str">
        <f>IF(C1192=0,"Broadcast",IF(D1192="",IF(E1192="","",IF(E1192&lt;128,"Verbind "&amp;E1192,INDEX(KdoCodeTab,MATCH(E1192,KdoWertTab,0)))),"StatusAbfr "&amp;D1192))</f>
        <v>SpaceWdh</v>
      </c>
      <c r="G1192" t="str">
        <f t="shared" si="130"/>
        <v/>
      </c>
      <c r="H1192" t="str">
        <f t="shared" si="131"/>
        <v>SpaceWdh</v>
      </c>
      <c r="I1192" t="str">
        <f t="shared" si="132"/>
        <v/>
      </c>
    </row>
    <row r="1193" spans="1:9" x14ac:dyDescent="0.25">
      <c r="A1193" t="s">
        <v>784</v>
      </c>
      <c r="B1193" s="6">
        <f t="shared" si="133"/>
        <v>0.33266666666666667</v>
      </c>
      <c r="C1193" s="3">
        <f t="shared" si="134"/>
        <v>31</v>
      </c>
      <c r="D1193" s="3" t="str">
        <f t="shared" si="128"/>
        <v/>
      </c>
      <c r="E1193" s="3">
        <f t="shared" si="129"/>
        <v>156</v>
      </c>
      <c r="F1193" s="5" t="str">
        <f>IF(C1193=0,"Broadcast",IF(D1193="",IF(E1193="","",IF(E1193&lt;128,"Verbind "&amp;E1193,INDEX(KdoCodeTab,MATCH(E1193,KdoWertTab,0)))),"StatusAbfr "&amp;D1193))</f>
        <v>Mark</v>
      </c>
      <c r="G1193" t="str">
        <f t="shared" si="130"/>
        <v/>
      </c>
      <c r="H1193" t="str">
        <f t="shared" si="131"/>
        <v>Mark</v>
      </c>
      <c r="I1193" t="str">
        <f t="shared" si="132"/>
        <v/>
      </c>
    </row>
    <row r="1194" spans="1:9" x14ac:dyDescent="0.25">
      <c r="A1194" t="s">
        <v>785</v>
      </c>
      <c r="B1194" s="6">
        <f t="shared" si="133"/>
        <v>0.33883333333333338</v>
      </c>
      <c r="C1194" s="3">
        <f t="shared" si="134"/>
        <v>31</v>
      </c>
      <c r="D1194" s="3" t="str">
        <f t="shared" si="128"/>
        <v/>
      </c>
      <c r="E1194" s="3">
        <f t="shared" si="129"/>
        <v>154</v>
      </c>
      <c r="F1194" s="5" t="str">
        <f>IF(C1194=0,"Broadcast",IF(D1194="",IF(E1194="","",IF(E1194&lt;128,"Verbind "&amp;E1194,INDEX(KdoCodeTab,MATCH(E1194,KdoWertTab,0)))),"StatusAbfr "&amp;D1194))</f>
        <v>MarkWdh</v>
      </c>
      <c r="G1194" t="str">
        <f t="shared" si="130"/>
        <v/>
      </c>
      <c r="H1194" t="str">
        <f t="shared" si="131"/>
        <v>MarkWdh</v>
      </c>
      <c r="I1194" t="str">
        <f t="shared" si="132"/>
        <v/>
      </c>
    </row>
    <row r="1195" spans="1:9" x14ac:dyDescent="0.25">
      <c r="A1195" t="s">
        <v>786</v>
      </c>
      <c r="B1195" s="6">
        <f t="shared" si="133"/>
        <v>0.40333333333333338</v>
      </c>
      <c r="C1195" s="3">
        <f t="shared" si="134"/>
        <v>31</v>
      </c>
      <c r="D1195" s="3" t="str">
        <f t="shared" si="128"/>
        <v/>
      </c>
      <c r="E1195" s="3">
        <f t="shared" si="129"/>
        <v>147</v>
      </c>
      <c r="F1195" s="5" t="str">
        <f>IF(C1195=0,"Broadcast",IF(D1195="",IF(E1195="","",IF(E1195&lt;128,"Verbind "&amp;E1195,INDEX(KdoCodeTab,MATCH(E1195,KdoWertTab,0)))),"StatusAbfr "&amp;D1195))</f>
        <v>Space</v>
      </c>
      <c r="G1195" t="str">
        <f t="shared" si="130"/>
        <v/>
      </c>
      <c r="H1195" t="str">
        <f t="shared" si="131"/>
        <v>Space</v>
      </c>
      <c r="I1195" t="str">
        <f t="shared" si="132"/>
        <v/>
      </c>
    </row>
    <row r="1196" spans="1:9" x14ac:dyDescent="0.25">
      <c r="A1196" t="s">
        <v>787</v>
      </c>
      <c r="B1196" s="6">
        <f t="shared" si="133"/>
        <v>0.40933333333333333</v>
      </c>
      <c r="C1196" s="3">
        <f t="shared" si="134"/>
        <v>31</v>
      </c>
      <c r="D1196" s="3" t="str">
        <f t="shared" si="128"/>
        <v/>
      </c>
      <c r="E1196" s="3">
        <f t="shared" si="129"/>
        <v>150</v>
      </c>
      <c r="F1196" s="5" t="str">
        <f>IF(C1196=0,"Broadcast",IF(D1196="",IF(E1196="","",IF(E1196&lt;128,"Verbind "&amp;E1196,INDEX(KdoCodeTab,MATCH(E1196,KdoWertTab,0)))),"StatusAbfr "&amp;D1196))</f>
        <v>SpaceWdh</v>
      </c>
      <c r="G1196" t="str">
        <f t="shared" si="130"/>
        <v/>
      </c>
      <c r="H1196" t="str">
        <f t="shared" si="131"/>
        <v>SpaceWdh</v>
      </c>
      <c r="I1196" t="str">
        <f t="shared" si="132"/>
        <v/>
      </c>
    </row>
    <row r="1197" spans="1:9" x14ac:dyDescent="0.25">
      <c r="A1197" t="s">
        <v>788</v>
      </c>
      <c r="B1197" s="6">
        <f t="shared" si="133"/>
        <v>0.41549999999999998</v>
      </c>
      <c r="C1197" s="3">
        <f t="shared" si="134"/>
        <v>101</v>
      </c>
      <c r="D1197" s="3" t="str">
        <f t="shared" si="128"/>
        <v/>
      </c>
      <c r="E1197" s="3">
        <f t="shared" si="129"/>
        <v>169</v>
      </c>
      <c r="F1197" s="5" t="str">
        <f>IF(C1197=0,"Broadcast",IF(D1197="",IF(E1197="","",IF(E1197&lt;128,"Verbind "&amp;E1197,INDEX(KdoCodeTab,MATCH(E1197,KdoWertTab,0)))),"StatusAbfr "&amp;D1197))</f>
        <v>BusLebenszeichen</v>
      </c>
      <c r="G1197" t="str">
        <f t="shared" si="130"/>
        <v>BusLebenszeichen</v>
      </c>
      <c r="H1197" t="str">
        <f t="shared" si="131"/>
        <v/>
      </c>
      <c r="I1197" t="str">
        <f t="shared" si="132"/>
        <v/>
      </c>
    </row>
    <row r="1198" spans="1:9" x14ac:dyDescent="0.25">
      <c r="A1198" t="s">
        <v>789</v>
      </c>
      <c r="B1198" s="6">
        <f t="shared" si="133"/>
        <v>0.42349999999999999</v>
      </c>
      <c r="C1198" s="3">
        <f t="shared" si="134"/>
        <v>31</v>
      </c>
      <c r="D1198" s="3" t="str">
        <f t="shared" si="128"/>
        <v/>
      </c>
      <c r="E1198" s="3">
        <f t="shared" si="129"/>
        <v>156</v>
      </c>
      <c r="F1198" s="5" t="str">
        <f>IF(C1198=0,"Broadcast",IF(D1198="",IF(E1198="","",IF(E1198&lt;128,"Verbind "&amp;E1198,INDEX(KdoCodeTab,MATCH(E1198,KdoWertTab,0)))),"StatusAbfr "&amp;D1198))</f>
        <v>Mark</v>
      </c>
      <c r="G1198" t="str">
        <f t="shared" si="130"/>
        <v/>
      </c>
      <c r="H1198" t="str">
        <f t="shared" si="131"/>
        <v>Mark</v>
      </c>
      <c r="I1198" t="str">
        <f t="shared" si="132"/>
        <v/>
      </c>
    </row>
    <row r="1199" spans="1:9" x14ac:dyDescent="0.25">
      <c r="A1199" t="s">
        <v>790</v>
      </c>
      <c r="B1199" s="6">
        <f t="shared" si="133"/>
        <v>0.42949999999999999</v>
      </c>
      <c r="C1199" s="3">
        <f t="shared" si="134"/>
        <v>31</v>
      </c>
      <c r="D1199" s="3" t="str">
        <f t="shared" si="128"/>
        <v/>
      </c>
      <c r="E1199" s="3">
        <f t="shared" si="129"/>
        <v>154</v>
      </c>
      <c r="F1199" s="5" t="str">
        <f>IF(C1199=0,"Broadcast",IF(D1199="",IF(E1199="","",IF(E1199&lt;128,"Verbind "&amp;E1199,INDEX(KdoCodeTab,MATCH(E1199,KdoWertTab,0)))),"StatusAbfr "&amp;D1199))</f>
        <v>MarkWdh</v>
      </c>
      <c r="G1199" t="str">
        <f t="shared" si="130"/>
        <v/>
      </c>
      <c r="H1199" t="str">
        <f t="shared" si="131"/>
        <v>MarkWdh</v>
      </c>
      <c r="I1199" t="str">
        <f t="shared" si="132"/>
        <v/>
      </c>
    </row>
    <row r="1200" spans="1:9" x14ac:dyDescent="0.25">
      <c r="A1200" t="s">
        <v>791</v>
      </c>
      <c r="B1200" s="6">
        <f t="shared" si="133"/>
        <v>0.46383333333333338</v>
      </c>
      <c r="C1200" s="3">
        <f t="shared" si="134"/>
        <v>31</v>
      </c>
      <c r="D1200" s="3" t="str">
        <f t="shared" si="128"/>
        <v/>
      </c>
      <c r="E1200" s="3">
        <f t="shared" si="129"/>
        <v>147</v>
      </c>
      <c r="F1200" s="5" t="str">
        <f>IF(C1200=0,"Broadcast",IF(D1200="",IF(E1200="","",IF(E1200&lt;128,"Verbind "&amp;E1200,INDEX(KdoCodeTab,MATCH(E1200,KdoWertTab,0)))),"StatusAbfr "&amp;D1200))</f>
        <v>Space</v>
      </c>
      <c r="G1200" t="str">
        <f t="shared" si="130"/>
        <v/>
      </c>
      <c r="H1200" t="str">
        <f t="shared" si="131"/>
        <v>Space</v>
      </c>
      <c r="I1200" t="str">
        <f t="shared" si="132"/>
        <v/>
      </c>
    </row>
    <row r="1201" spans="1:9" x14ac:dyDescent="0.25">
      <c r="A1201" t="s">
        <v>792</v>
      </c>
      <c r="B1201" s="6">
        <f t="shared" si="133"/>
        <v>0.46983333333333333</v>
      </c>
      <c r="C1201" s="3">
        <f t="shared" si="134"/>
        <v>31</v>
      </c>
      <c r="D1201" s="3" t="str">
        <f t="shared" si="128"/>
        <v/>
      </c>
      <c r="E1201" s="3">
        <f t="shared" si="129"/>
        <v>150</v>
      </c>
      <c r="F1201" s="5" t="str">
        <f>IF(C1201=0,"Broadcast",IF(D1201="",IF(E1201="","",IF(E1201&lt;128,"Verbind "&amp;E1201,INDEX(KdoCodeTab,MATCH(E1201,KdoWertTab,0)))),"StatusAbfr "&amp;D1201))</f>
        <v>SpaceWdh</v>
      </c>
      <c r="G1201" t="str">
        <f t="shared" si="130"/>
        <v/>
      </c>
      <c r="H1201" t="str">
        <f t="shared" si="131"/>
        <v>SpaceWdh</v>
      </c>
      <c r="I1201" t="str">
        <f t="shared" si="132"/>
        <v/>
      </c>
    </row>
    <row r="1202" spans="1:9" x14ac:dyDescent="0.25">
      <c r="A1202" t="s">
        <v>793</v>
      </c>
      <c r="B1202" s="6">
        <f t="shared" si="133"/>
        <v>0.50416666666666665</v>
      </c>
      <c r="C1202" s="3">
        <f t="shared" si="134"/>
        <v>31</v>
      </c>
      <c r="D1202" s="3" t="str">
        <f t="shared" si="128"/>
        <v/>
      </c>
      <c r="E1202" s="3">
        <f t="shared" si="129"/>
        <v>156</v>
      </c>
      <c r="F1202" s="5" t="str">
        <f>IF(C1202=0,"Broadcast",IF(D1202="",IF(E1202="","",IF(E1202&lt;128,"Verbind "&amp;E1202,INDEX(KdoCodeTab,MATCH(E1202,KdoWertTab,0)))),"StatusAbfr "&amp;D1202))</f>
        <v>Mark</v>
      </c>
      <c r="G1202" t="str">
        <f t="shared" si="130"/>
        <v/>
      </c>
      <c r="H1202" t="str">
        <f t="shared" si="131"/>
        <v>Mark</v>
      </c>
      <c r="I1202" t="str">
        <f t="shared" si="132"/>
        <v/>
      </c>
    </row>
    <row r="1203" spans="1:9" x14ac:dyDescent="0.25">
      <c r="A1203" t="s">
        <v>794</v>
      </c>
      <c r="B1203" s="6">
        <f t="shared" si="133"/>
        <v>0.51016666666666666</v>
      </c>
      <c r="C1203" s="3">
        <f t="shared" si="134"/>
        <v>31</v>
      </c>
      <c r="D1203" s="3" t="str">
        <f t="shared" si="128"/>
        <v/>
      </c>
      <c r="E1203" s="3">
        <f t="shared" si="129"/>
        <v>154</v>
      </c>
      <c r="F1203" s="5" t="str">
        <f>IF(C1203=0,"Broadcast",IF(D1203="",IF(E1203="","",IF(E1203&lt;128,"Verbind "&amp;E1203,INDEX(KdoCodeTab,MATCH(E1203,KdoWertTab,0)))),"StatusAbfr "&amp;D1203))</f>
        <v>MarkWdh</v>
      </c>
      <c r="G1203" t="str">
        <f t="shared" si="130"/>
        <v/>
      </c>
      <c r="H1203" t="str">
        <f t="shared" si="131"/>
        <v>MarkWdh</v>
      </c>
      <c r="I1203" t="str">
        <f t="shared" si="132"/>
        <v/>
      </c>
    </row>
    <row r="1204" spans="1:9" x14ac:dyDescent="0.25">
      <c r="A1204" t="s">
        <v>795</v>
      </c>
      <c r="B1204" s="6">
        <f t="shared" si="133"/>
        <v>0.55449999999999999</v>
      </c>
      <c r="C1204" s="3">
        <f t="shared" si="134"/>
        <v>31</v>
      </c>
      <c r="D1204" s="3" t="str">
        <f t="shared" si="128"/>
        <v/>
      </c>
      <c r="E1204" s="3">
        <f t="shared" si="129"/>
        <v>147</v>
      </c>
      <c r="F1204" s="5" t="str">
        <f>IF(C1204=0,"Broadcast",IF(D1204="",IF(E1204="","",IF(E1204&lt;128,"Verbind "&amp;E1204,INDEX(KdoCodeTab,MATCH(E1204,KdoWertTab,0)))),"StatusAbfr "&amp;D1204))</f>
        <v>Space</v>
      </c>
      <c r="G1204" t="str">
        <f t="shared" si="130"/>
        <v/>
      </c>
      <c r="H1204" t="str">
        <f t="shared" si="131"/>
        <v>Space</v>
      </c>
      <c r="I1204" t="str">
        <f t="shared" si="132"/>
        <v/>
      </c>
    </row>
    <row r="1205" spans="1:9" x14ac:dyDescent="0.25">
      <c r="A1205" t="s">
        <v>796</v>
      </c>
      <c r="B1205" s="6">
        <f t="shared" si="133"/>
        <v>0.5605</v>
      </c>
      <c r="C1205" s="3">
        <f t="shared" si="134"/>
        <v>31</v>
      </c>
      <c r="D1205" s="3" t="str">
        <f t="shared" si="128"/>
        <v/>
      </c>
      <c r="E1205" s="3">
        <f t="shared" si="129"/>
        <v>150</v>
      </c>
      <c r="F1205" s="5" t="str">
        <f>IF(C1205=0,"Broadcast",IF(D1205="",IF(E1205="","",IF(E1205&lt;128,"Verbind "&amp;E1205,INDEX(KdoCodeTab,MATCH(E1205,KdoWertTab,0)))),"StatusAbfr "&amp;D1205))</f>
        <v>SpaceWdh</v>
      </c>
      <c r="G1205" t="str">
        <f t="shared" si="130"/>
        <v/>
      </c>
      <c r="H1205" t="str">
        <f t="shared" si="131"/>
        <v>SpaceWdh</v>
      </c>
      <c r="I1205" t="str">
        <f t="shared" si="132"/>
        <v/>
      </c>
    </row>
    <row r="1206" spans="1:9" x14ac:dyDescent="0.25">
      <c r="A1206" t="s">
        <v>797</v>
      </c>
      <c r="B1206" s="6">
        <f t="shared" si="133"/>
        <v>0.57466666666666666</v>
      </c>
      <c r="C1206" s="3">
        <f t="shared" si="134"/>
        <v>31</v>
      </c>
      <c r="D1206" s="3" t="str">
        <f t="shared" si="128"/>
        <v/>
      </c>
      <c r="E1206" s="3">
        <f t="shared" si="129"/>
        <v>156</v>
      </c>
      <c r="F1206" s="5" t="str">
        <f>IF(C1206=0,"Broadcast",IF(D1206="",IF(E1206="","",IF(E1206&lt;128,"Verbind "&amp;E1206,INDEX(KdoCodeTab,MATCH(E1206,KdoWertTab,0)))),"StatusAbfr "&amp;D1206))</f>
        <v>Mark</v>
      </c>
      <c r="G1206" t="str">
        <f t="shared" si="130"/>
        <v/>
      </c>
      <c r="H1206" t="str">
        <f t="shared" si="131"/>
        <v>Mark</v>
      </c>
      <c r="I1206" t="str">
        <f t="shared" si="132"/>
        <v/>
      </c>
    </row>
    <row r="1207" spans="1:9" x14ac:dyDescent="0.25">
      <c r="A1207" t="s">
        <v>798</v>
      </c>
      <c r="B1207" s="6">
        <f t="shared" si="133"/>
        <v>0.58066666666666666</v>
      </c>
      <c r="C1207" s="3">
        <f t="shared" si="134"/>
        <v>31</v>
      </c>
      <c r="D1207" s="3" t="str">
        <f t="shared" si="128"/>
        <v/>
      </c>
      <c r="E1207" s="3">
        <f t="shared" si="129"/>
        <v>154</v>
      </c>
      <c r="F1207" s="5" t="str">
        <f>IF(C1207=0,"Broadcast",IF(D1207="",IF(E1207="","",IF(E1207&lt;128,"Verbind "&amp;E1207,INDEX(KdoCodeTab,MATCH(E1207,KdoWertTab,0)))),"StatusAbfr "&amp;D1207))</f>
        <v>MarkWdh</v>
      </c>
      <c r="G1207" t="str">
        <f t="shared" si="130"/>
        <v/>
      </c>
      <c r="H1207" t="str">
        <f t="shared" si="131"/>
        <v>MarkWdh</v>
      </c>
      <c r="I1207" t="str">
        <f t="shared" si="132"/>
        <v/>
      </c>
    </row>
    <row r="1208" spans="1:9" x14ac:dyDescent="0.25">
      <c r="A1208" t="s">
        <v>799</v>
      </c>
      <c r="B1208" s="6">
        <f t="shared" si="133"/>
        <v>0.59483333333333333</v>
      </c>
      <c r="C1208" s="3">
        <f t="shared" si="134"/>
        <v>31</v>
      </c>
      <c r="D1208" s="3" t="str">
        <f t="shared" si="128"/>
        <v/>
      </c>
      <c r="E1208" s="3">
        <f t="shared" si="129"/>
        <v>147</v>
      </c>
      <c r="F1208" s="5" t="str">
        <f>IF(C1208=0,"Broadcast",IF(D1208="",IF(E1208="","",IF(E1208&lt;128,"Verbind "&amp;E1208,INDEX(KdoCodeTab,MATCH(E1208,KdoWertTab,0)))),"StatusAbfr "&amp;D1208))</f>
        <v>Space</v>
      </c>
      <c r="G1208" t="str">
        <f t="shared" si="130"/>
        <v/>
      </c>
      <c r="H1208" t="str">
        <f t="shared" si="131"/>
        <v>Space</v>
      </c>
      <c r="I1208" t="str">
        <f t="shared" si="132"/>
        <v/>
      </c>
    </row>
    <row r="1209" spans="1:9" x14ac:dyDescent="0.25">
      <c r="A1209" t="s">
        <v>800</v>
      </c>
      <c r="B1209" s="6">
        <f t="shared" si="133"/>
        <v>0.60083333333333333</v>
      </c>
      <c r="C1209" s="3">
        <f t="shared" si="134"/>
        <v>31</v>
      </c>
      <c r="D1209" s="3" t="str">
        <f t="shared" si="128"/>
        <v/>
      </c>
      <c r="E1209" s="3">
        <f t="shared" si="129"/>
        <v>150</v>
      </c>
      <c r="F1209" s="5" t="str">
        <f>IF(C1209=0,"Broadcast",IF(D1209="",IF(E1209="","",IF(E1209&lt;128,"Verbind "&amp;E1209,INDEX(KdoCodeTab,MATCH(E1209,KdoWertTab,0)))),"StatusAbfr "&amp;D1209))</f>
        <v>SpaceWdh</v>
      </c>
      <c r="G1209" t="str">
        <f t="shared" si="130"/>
        <v/>
      </c>
      <c r="H1209" t="str">
        <f t="shared" si="131"/>
        <v>SpaceWdh</v>
      </c>
      <c r="I1209" t="str">
        <f t="shared" si="132"/>
        <v/>
      </c>
    </row>
    <row r="1210" spans="1:9" x14ac:dyDescent="0.25">
      <c r="A1210" t="s">
        <v>801</v>
      </c>
      <c r="B1210" s="6">
        <f t="shared" si="133"/>
        <v>0.61499999999999999</v>
      </c>
      <c r="C1210" s="3">
        <f t="shared" si="134"/>
        <v>31</v>
      </c>
      <c r="D1210" s="3" t="str">
        <f t="shared" si="128"/>
        <v/>
      </c>
      <c r="E1210" s="3">
        <f t="shared" si="129"/>
        <v>156</v>
      </c>
      <c r="F1210" s="5" t="str">
        <f>IF(C1210=0,"Broadcast",IF(D1210="",IF(E1210="","",IF(E1210&lt;128,"Verbind "&amp;E1210,INDEX(KdoCodeTab,MATCH(E1210,KdoWertTab,0)))),"StatusAbfr "&amp;D1210))</f>
        <v>Mark</v>
      </c>
      <c r="G1210" t="str">
        <f t="shared" si="130"/>
        <v/>
      </c>
      <c r="H1210" t="str">
        <f t="shared" si="131"/>
        <v>Mark</v>
      </c>
      <c r="I1210" t="str">
        <f t="shared" si="132"/>
        <v/>
      </c>
    </row>
    <row r="1211" spans="1:9" x14ac:dyDescent="0.25">
      <c r="A1211" t="s">
        <v>802</v>
      </c>
      <c r="B1211" s="6">
        <f t="shared" si="133"/>
        <v>0.621</v>
      </c>
      <c r="C1211" s="3">
        <f t="shared" si="134"/>
        <v>31</v>
      </c>
      <c r="D1211" s="3" t="str">
        <f t="shared" ref="D1211:D1274" si="135">IF(MID(A1211,10,1)="&lt;",MID(A1211,12,2),"")</f>
        <v/>
      </c>
      <c r="E1211" s="3">
        <f t="shared" ref="E1211:E1274" si="136">IF(MID(A1211,10,1)="&gt;",HEX2DEC(MID(A1211,12,2)),"")</f>
        <v>154</v>
      </c>
      <c r="F1211" s="5" t="str">
        <f>IF(C1211=0,"Broadcast",IF(D1211="",IF(E1211="","",IF(E1211&lt;128,"Verbind "&amp;E1211,INDEX(KdoCodeTab,MATCH(E1211,KdoWertTab,0)))),"StatusAbfr "&amp;D1211))</f>
        <v>MarkWdh</v>
      </c>
      <c r="G1211" t="str">
        <f t="shared" ref="G1211:G1274" si="137">IF(C1211=$G$2,F1211,"")</f>
        <v/>
      </c>
      <c r="H1211" t="str">
        <f t="shared" ref="H1211:H1274" si="138">IF(C1211=$H$2,F1211,"")</f>
        <v>MarkWdh</v>
      </c>
      <c r="I1211" t="str">
        <f t="shared" ref="I1211:I1274" si="139">IF(G1211&amp;H1211="",F1211,"")</f>
        <v/>
      </c>
    </row>
    <row r="1212" spans="1:9" x14ac:dyDescent="0.25">
      <c r="A1212" t="s">
        <v>803</v>
      </c>
      <c r="B1212" s="6">
        <f t="shared" si="133"/>
        <v>0.63516666666666666</v>
      </c>
      <c r="C1212" s="3">
        <f t="shared" si="134"/>
        <v>31</v>
      </c>
      <c r="D1212" s="3" t="str">
        <f t="shared" si="135"/>
        <v/>
      </c>
      <c r="E1212" s="3">
        <f t="shared" si="136"/>
        <v>147</v>
      </c>
      <c r="F1212" s="5" t="str">
        <f>IF(C1212=0,"Broadcast",IF(D1212="",IF(E1212="","",IF(E1212&lt;128,"Verbind "&amp;E1212,INDEX(KdoCodeTab,MATCH(E1212,KdoWertTab,0)))),"StatusAbfr "&amp;D1212))</f>
        <v>Space</v>
      </c>
      <c r="G1212" t="str">
        <f t="shared" si="137"/>
        <v/>
      </c>
      <c r="H1212" t="str">
        <f t="shared" si="138"/>
        <v>Space</v>
      </c>
      <c r="I1212" t="str">
        <f t="shared" si="139"/>
        <v/>
      </c>
    </row>
    <row r="1213" spans="1:9" x14ac:dyDescent="0.25">
      <c r="A1213" t="s">
        <v>804</v>
      </c>
      <c r="B1213" s="6">
        <f t="shared" si="133"/>
        <v>0.64116666666666666</v>
      </c>
      <c r="C1213" s="3">
        <f t="shared" si="134"/>
        <v>31</v>
      </c>
      <c r="D1213" s="3" t="str">
        <f t="shared" si="135"/>
        <v/>
      </c>
      <c r="E1213" s="3">
        <f t="shared" si="136"/>
        <v>150</v>
      </c>
      <c r="F1213" s="5" t="str">
        <f>IF(C1213=0,"Broadcast",IF(D1213="",IF(E1213="","",IF(E1213&lt;128,"Verbind "&amp;E1213,INDEX(KdoCodeTab,MATCH(E1213,KdoWertTab,0)))),"StatusAbfr "&amp;D1213))</f>
        <v>SpaceWdh</v>
      </c>
      <c r="G1213" t="str">
        <f t="shared" si="137"/>
        <v/>
      </c>
      <c r="H1213" t="str">
        <f t="shared" si="138"/>
        <v>SpaceWdh</v>
      </c>
      <c r="I1213" t="str">
        <f t="shared" si="139"/>
        <v/>
      </c>
    </row>
    <row r="1214" spans="1:9" x14ac:dyDescent="0.25">
      <c r="A1214" t="s">
        <v>805</v>
      </c>
      <c r="B1214" s="6">
        <f t="shared" si="133"/>
        <v>0.65533333333333332</v>
      </c>
      <c r="C1214" s="3">
        <f t="shared" si="134"/>
        <v>31</v>
      </c>
      <c r="D1214" s="3" t="str">
        <f t="shared" si="135"/>
        <v/>
      </c>
      <c r="E1214" s="3">
        <f t="shared" si="136"/>
        <v>156</v>
      </c>
      <c r="F1214" s="5" t="str">
        <f>IF(C1214=0,"Broadcast",IF(D1214="",IF(E1214="","",IF(E1214&lt;128,"Verbind "&amp;E1214,INDEX(KdoCodeTab,MATCH(E1214,KdoWertTab,0)))),"StatusAbfr "&amp;D1214))</f>
        <v>Mark</v>
      </c>
      <c r="G1214" t="str">
        <f t="shared" si="137"/>
        <v/>
      </c>
      <c r="H1214" t="str">
        <f t="shared" si="138"/>
        <v>Mark</v>
      </c>
      <c r="I1214" t="str">
        <f t="shared" si="139"/>
        <v/>
      </c>
    </row>
    <row r="1215" spans="1:9" x14ac:dyDescent="0.25">
      <c r="A1215" t="s">
        <v>806</v>
      </c>
      <c r="B1215" s="6">
        <f t="shared" si="133"/>
        <v>0.66133333333333333</v>
      </c>
      <c r="C1215" s="3">
        <f t="shared" si="134"/>
        <v>31</v>
      </c>
      <c r="D1215" s="3" t="str">
        <f t="shared" si="135"/>
        <v/>
      </c>
      <c r="E1215" s="3">
        <f t="shared" si="136"/>
        <v>154</v>
      </c>
      <c r="F1215" s="5" t="str">
        <f>IF(C1215=0,"Broadcast",IF(D1215="",IF(E1215="","",IF(E1215&lt;128,"Verbind "&amp;E1215,INDEX(KdoCodeTab,MATCH(E1215,KdoWertTab,0)))),"StatusAbfr "&amp;D1215))</f>
        <v>MarkWdh</v>
      </c>
      <c r="G1215" t="str">
        <f t="shared" si="137"/>
        <v/>
      </c>
      <c r="H1215" t="str">
        <f t="shared" si="138"/>
        <v>MarkWdh</v>
      </c>
      <c r="I1215" t="str">
        <f t="shared" si="139"/>
        <v/>
      </c>
    </row>
    <row r="1216" spans="1:9" x14ac:dyDescent="0.25">
      <c r="A1216" t="s">
        <v>807</v>
      </c>
      <c r="B1216" s="6">
        <f t="shared" si="133"/>
        <v>0.70566666666666666</v>
      </c>
      <c r="C1216" s="3">
        <f t="shared" si="134"/>
        <v>31</v>
      </c>
      <c r="D1216" s="3" t="str">
        <f t="shared" si="135"/>
        <v/>
      </c>
      <c r="E1216" s="3">
        <f t="shared" si="136"/>
        <v>147</v>
      </c>
      <c r="F1216" s="5" t="str">
        <f>IF(C1216=0,"Broadcast",IF(D1216="",IF(E1216="","",IF(E1216&lt;128,"Verbind "&amp;E1216,INDEX(KdoCodeTab,MATCH(E1216,KdoWertTab,0)))),"StatusAbfr "&amp;D1216))</f>
        <v>Space</v>
      </c>
      <c r="G1216" t="str">
        <f t="shared" si="137"/>
        <v/>
      </c>
      <c r="H1216" t="str">
        <f t="shared" si="138"/>
        <v>Space</v>
      </c>
      <c r="I1216" t="str">
        <f t="shared" si="139"/>
        <v/>
      </c>
    </row>
    <row r="1217" spans="1:9" x14ac:dyDescent="0.25">
      <c r="A1217" t="s">
        <v>808</v>
      </c>
      <c r="B1217" s="6">
        <f t="shared" si="133"/>
        <v>0.71183333333333332</v>
      </c>
      <c r="C1217" s="3">
        <f t="shared" si="134"/>
        <v>31</v>
      </c>
      <c r="D1217" s="3" t="str">
        <f t="shared" si="135"/>
        <v/>
      </c>
      <c r="E1217" s="3">
        <f t="shared" si="136"/>
        <v>150</v>
      </c>
      <c r="F1217" s="5" t="str">
        <f>IF(C1217=0,"Broadcast",IF(D1217="",IF(E1217="","",IF(E1217&lt;128,"Verbind "&amp;E1217,INDEX(KdoCodeTab,MATCH(E1217,KdoWertTab,0)))),"StatusAbfr "&amp;D1217))</f>
        <v>SpaceWdh</v>
      </c>
      <c r="G1217" t="str">
        <f t="shared" si="137"/>
        <v/>
      </c>
      <c r="H1217" t="str">
        <f t="shared" si="138"/>
        <v>SpaceWdh</v>
      </c>
      <c r="I1217" t="str">
        <f t="shared" si="139"/>
        <v/>
      </c>
    </row>
    <row r="1218" spans="1:9" x14ac:dyDescent="0.25">
      <c r="A1218" t="s">
        <v>809</v>
      </c>
      <c r="B1218" s="6">
        <f t="shared" si="133"/>
        <v>0.72583333333333333</v>
      </c>
      <c r="C1218" s="3">
        <f t="shared" si="134"/>
        <v>31</v>
      </c>
      <c r="D1218" s="3" t="str">
        <f t="shared" si="135"/>
        <v/>
      </c>
      <c r="E1218" s="3">
        <f t="shared" si="136"/>
        <v>156</v>
      </c>
      <c r="F1218" s="5" t="str">
        <f>IF(C1218=0,"Broadcast",IF(D1218="",IF(E1218="","",IF(E1218&lt;128,"Verbind "&amp;E1218,INDEX(KdoCodeTab,MATCH(E1218,KdoWertTab,0)))),"StatusAbfr "&amp;D1218))</f>
        <v>Mark</v>
      </c>
      <c r="G1218" t="str">
        <f t="shared" si="137"/>
        <v/>
      </c>
      <c r="H1218" t="str">
        <f t="shared" si="138"/>
        <v>Mark</v>
      </c>
      <c r="I1218" t="str">
        <f t="shared" si="139"/>
        <v/>
      </c>
    </row>
    <row r="1219" spans="1:9" x14ac:dyDescent="0.25">
      <c r="A1219" t="s">
        <v>810</v>
      </c>
      <c r="B1219" s="6">
        <f t="shared" si="133"/>
        <v>0.73199999999999998</v>
      </c>
      <c r="C1219" s="3">
        <f t="shared" si="134"/>
        <v>31</v>
      </c>
      <c r="D1219" s="3" t="str">
        <f t="shared" si="135"/>
        <v/>
      </c>
      <c r="E1219" s="3">
        <f t="shared" si="136"/>
        <v>154</v>
      </c>
      <c r="F1219" s="5" t="str">
        <f>IF(C1219=0,"Broadcast",IF(D1219="",IF(E1219="","",IF(E1219&lt;128,"Verbind "&amp;E1219,INDEX(KdoCodeTab,MATCH(E1219,KdoWertTab,0)))),"StatusAbfr "&amp;D1219))</f>
        <v>MarkWdh</v>
      </c>
      <c r="G1219" t="str">
        <f t="shared" si="137"/>
        <v/>
      </c>
      <c r="H1219" t="str">
        <f t="shared" si="138"/>
        <v>MarkWdh</v>
      </c>
      <c r="I1219" t="str">
        <f t="shared" si="139"/>
        <v/>
      </c>
    </row>
    <row r="1220" spans="1:9" x14ac:dyDescent="0.25">
      <c r="A1220" t="s">
        <v>811</v>
      </c>
      <c r="B1220" s="6">
        <f t="shared" si="133"/>
        <v>0.78633333333333333</v>
      </c>
      <c r="C1220" s="3">
        <f t="shared" si="134"/>
        <v>31</v>
      </c>
      <c r="D1220" s="3" t="str">
        <f t="shared" si="135"/>
        <v/>
      </c>
      <c r="E1220" s="3">
        <f t="shared" si="136"/>
        <v>147</v>
      </c>
      <c r="F1220" s="5" t="str">
        <f>IF(C1220=0,"Broadcast",IF(D1220="",IF(E1220="","",IF(E1220&lt;128,"Verbind "&amp;E1220,INDEX(KdoCodeTab,MATCH(E1220,KdoWertTab,0)))),"StatusAbfr "&amp;D1220))</f>
        <v>Space</v>
      </c>
      <c r="G1220" t="str">
        <f t="shared" si="137"/>
        <v/>
      </c>
      <c r="H1220" t="str">
        <f t="shared" si="138"/>
        <v>Space</v>
      </c>
      <c r="I1220" t="str">
        <f t="shared" si="139"/>
        <v/>
      </c>
    </row>
    <row r="1221" spans="1:9" x14ac:dyDescent="0.25">
      <c r="A1221" t="s">
        <v>812</v>
      </c>
      <c r="B1221" s="6">
        <f t="shared" ref="B1221:B1284" si="140">MID(A1221,1,5)/1000+(CODE(MID(A1221,6,1))-CODE("a"))/6000</f>
        <v>0.79233333333333333</v>
      </c>
      <c r="C1221" s="3">
        <f t="shared" ref="C1221:C1284" si="141">INT(HEX2DEC(MID(A1221,8,2))/2)</f>
        <v>31</v>
      </c>
      <c r="D1221" s="3" t="str">
        <f t="shared" si="135"/>
        <v/>
      </c>
      <c r="E1221" s="3">
        <f t="shared" si="136"/>
        <v>150</v>
      </c>
      <c r="F1221" s="5" t="str">
        <f>IF(C1221=0,"Broadcast",IF(D1221="",IF(E1221="","",IF(E1221&lt;128,"Verbind "&amp;E1221,INDEX(KdoCodeTab,MATCH(E1221,KdoWertTab,0)))),"StatusAbfr "&amp;D1221))</f>
        <v>SpaceWdh</v>
      </c>
      <c r="G1221" t="str">
        <f t="shared" si="137"/>
        <v/>
      </c>
      <c r="H1221" t="str">
        <f t="shared" si="138"/>
        <v>SpaceWdh</v>
      </c>
      <c r="I1221" t="str">
        <f t="shared" si="139"/>
        <v/>
      </c>
    </row>
    <row r="1222" spans="1:9" x14ac:dyDescent="0.25">
      <c r="A1222" t="s">
        <v>813</v>
      </c>
      <c r="B1222" s="6">
        <f t="shared" si="140"/>
        <v>0.80649999999999999</v>
      </c>
      <c r="C1222" s="3">
        <f t="shared" si="141"/>
        <v>31</v>
      </c>
      <c r="D1222" s="3" t="str">
        <f t="shared" si="135"/>
        <v/>
      </c>
      <c r="E1222" s="3">
        <f t="shared" si="136"/>
        <v>156</v>
      </c>
      <c r="F1222" s="5" t="str">
        <f>IF(C1222=0,"Broadcast",IF(D1222="",IF(E1222="","",IF(E1222&lt;128,"Verbind "&amp;E1222,INDEX(KdoCodeTab,MATCH(E1222,KdoWertTab,0)))),"StatusAbfr "&amp;D1222))</f>
        <v>Mark</v>
      </c>
      <c r="G1222" t="str">
        <f t="shared" si="137"/>
        <v/>
      </c>
      <c r="H1222" t="str">
        <f t="shared" si="138"/>
        <v>Mark</v>
      </c>
      <c r="I1222" t="str">
        <f t="shared" si="139"/>
        <v/>
      </c>
    </row>
    <row r="1223" spans="1:9" x14ac:dyDescent="0.25">
      <c r="A1223" t="s">
        <v>814</v>
      </c>
      <c r="B1223" s="6">
        <f t="shared" si="140"/>
        <v>0.8125</v>
      </c>
      <c r="C1223" s="3">
        <f t="shared" si="141"/>
        <v>31</v>
      </c>
      <c r="D1223" s="3" t="str">
        <f t="shared" si="135"/>
        <v/>
      </c>
      <c r="E1223" s="3">
        <f t="shared" si="136"/>
        <v>154</v>
      </c>
      <c r="F1223" s="5" t="str">
        <f>IF(C1223=0,"Broadcast",IF(D1223="",IF(E1223="","",IF(E1223&lt;128,"Verbind "&amp;E1223,INDEX(KdoCodeTab,MATCH(E1223,KdoWertTab,0)))),"StatusAbfr "&amp;D1223))</f>
        <v>MarkWdh</v>
      </c>
      <c r="G1223" t="str">
        <f t="shared" si="137"/>
        <v/>
      </c>
      <c r="H1223" t="str">
        <f t="shared" si="138"/>
        <v>MarkWdh</v>
      </c>
      <c r="I1223" t="str">
        <f t="shared" si="139"/>
        <v/>
      </c>
    </row>
    <row r="1224" spans="1:9" x14ac:dyDescent="0.25">
      <c r="A1224" t="s">
        <v>815</v>
      </c>
      <c r="B1224" s="6">
        <f t="shared" si="140"/>
        <v>0.85683333333333334</v>
      </c>
      <c r="C1224" s="3">
        <f t="shared" si="141"/>
        <v>31</v>
      </c>
      <c r="D1224" s="3" t="str">
        <f t="shared" si="135"/>
        <v/>
      </c>
      <c r="E1224" s="3">
        <f t="shared" si="136"/>
        <v>147</v>
      </c>
      <c r="F1224" s="5" t="str">
        <f>IF(C1224=0,"Broadcast",IF(D1224="",IF(E1224="","",IF(E1224&lt;128,"Verbind "&amp;E1224,INDEX(KdoCodeTab,MATCH(E1224,KdoWertTab,0)))),"StatusAbfr "&amp;D1224))</f>
        <v>Space</v>
      </c>
      <c r="G1224" t="str">
        <f t="shared" si="137"/>
        <v/>
      </c>
      <c r="H1224" t="str">
        <f t="shared" si="138"/>
        <v>Space</v>
      </c>
      <c r="I1224" t="str">
        <f t="shared" si="139"/>
        <v/>
      </c>
    </row>
    <row r="1225" spans="1:9" x14ac:dyDescent="0.25">
      <c r="A1225" t="s">
        <v>816</v>
      </c>
      <c r="B1225" s="6">
        <f t="shared" si="140"/>
        <v>0.86299999999999999</v>
      </c>
      <c r="C1225" s="3">
        <f t="shared" si="141"/>
        <v>31</v>
      </c>
      <c r="D1225" s="3" t="str">
        <f t="shared" si="135"/>
        <v/>
      </c>
      <c r="E1225" s="3">
        <f t="shared" si="136"/>
        <v>150</v>
      </c>
      <c r="F1225" s="5" t="str">
        <f>IF(C1225=0,"Broadcast",IF(D1225="",IF(E1225="","",IF(E1225&lt;128,"Verbind "&amp;E1225,INDEX(KdoCodeTab,MATCH(E1225,KdoWertTab,0)))),"StatusAbfr "&amp;D1225))</f>
        <v>SpaceWdh</v>
      </c>
      <c r="G1225" t="str">
        <f t="shared" si="137"/>
        <v/>
      </c>
      <c r="H1225" t="str">
        <f t="shared" si="138"/>
        <v>SpaceWdh</v>
      </c>
      <c r="I1225" t="str">
        <f t="shared" si="139"/>
        <v/>
      </c>
    </row>
    <row r="1226" spans="1:9" x14ac:dyDescent="0.25">
      <c r="A1226" t="s">
        <v>817</v>
      </c>
      <c r="B1226" s="6">
        <f t="shared" si="140"/>
        <v>0.877</v>
      </c>
      <c r="C1226" s="3">
        <f t="shared" si="141"/>
        <v>31</v>
      </c>
      <c r="D1226" s="3" t="str">
        <f t="shared" si="135"/>
        <v/>
      </c>
      <c r="E1226" s="3">
        <f t="shared" si="136"/>
        <v>156</v>
      </c>
      <c r="F1226" s="5" t="str">
        <f>IF(C1226=0,"Broadcast",IF(D1226="",IF(E1226="","",IF(E1226&lt;128,"Verbind "&amp;E1226,INDEX(KdoCodeTab,MATCH(E1226,KdoWertTab,0)))),"StatusAbfr "&amp;D1226))</f>
        <v>Mark</v>
      </c>
      <c r="G1226" t="str">
        <f t="shared" si="137"/>
        <v/>
      </c>
      <c r="H1226" t="str">
        <f t="shared" si="138"/>
        <v>Mark</v>
      </c>
      <c r="I1226" t="str">
        <f t="shared" si="139"/>
        <v/>
      </c>
    </row>
    <row r="1227" spans="1:9" x14ac:dyDescent="0.25">
      <c r="A1227" t="s">
        <v>818</v>
      </c>
      <c r="B1227" s="6">
        <f t="shared" si="140"/>
        <v>0.88316666666666666</v>
      </c>
      <c r="C1227" s="3">
        <f t="shared" si="141"/>
        <v>31</v>
      </c>
      <c r="D1227" s="3" t="str">
        <f t="shared" si="135"/>
        <v/>
      </c>
      <c r="E1227" s="3">
        <f t="shared" si="136"/>
        <v>154</v>
      </c>
      <c r="F1227" s="5" t="str">
        <f>IF(C1227=0,"Broadcast",IF(D1227="",IF(E1227="","",IF(E1227&lt;128,"Verbind "&amp;E1227,INDEX(KdoCodeTab,MATCH(E1227,KdoWertTab,0)))),"StatusAbfr "&amp;D1227))</f>
        <v>MarkWdh</v>
      </c>
      <c r="G1227" t="str">
        <f t="shared" si="137"/>
        <v/>
      </c>
      <c r="H1227" t="str">
        <f t="shared" si="138"/>
        <v>MarkWdh</v>
      </c>
      <c r="I1227" t="str">
        <f t="shared" si="139"/>
        <v/>
      </c>
    </row>
    <row r="1228" spans="1:9" x14ac:dyDescent="0.25">
      <c r="A1228" t="s">
        <v>819</v>
      </c>
      <c r="B1228" s="6">
        <f t="shared" si="140"/>
        <v>0.91733333333333333</v>
      </c>
      <c r="C1228" s="3">
        <f t="shared" si="141"/>
        <v>18</v>
      </c>
      <c r="D1228" s="3" t="str">
        <f t="shared" si="135"/>
        <v/>
      </c>
      <c r="E1228" s="3">
        <f t="shared" si="136"/>
        <v>0</v>
      </c>
      <c r="F1228" s="5" t="str">
        <f>IF(C1228=0,"Broadcast",IF(D1228="",IF(E1228="","",IF(E1228&lt;128,"Verbind "&amp;E1228,INDEX(KdoCodeTab,MATCH(E1228,KdoWertTab,0)))),"StatusAbfr "&amp;D1228))</f>
        <v>Verbind 0</v>
      </c>
      <c r="G1228" t="str">
        <f t="shared" si="137"/>
        <v/>
      </c>
      <c r="H1228" t="str">
        <f t="shared" si="138"/>
        <v/>
      </c>
      <c r="I1228" t="str">
        <f t="shared" si="139"/>
        <v>Verbind 0</v>
      </c>
    </row>
    <row r="1229" spans="1:9" x14ac:dyDescent="0.25">
      <c r="A1229" t="s">
        <v>820</v>
      </c>
      <c r="B1229" s="6">
        <f t="shared" si="140"/>
        <v>0.92349999999999999</v>
      </c>
      <c r="C1229" s="3">
        <f t="shared" si="141"/>
        <v>18</v>
      </c>
      <c r="D1229" s="3" t="str">
        <f t="shared" si="135"/>
        <v/>
      </c>
      <c r="E1229" s="3" t="str">
        <f t="shared" si="136"/>
        <v/>
      </c>
      <c r="F1229" s="5" t="str">
        <f>IF(C1229=0,"Broadcast",IF(D1229="",IF(E1229="","",IF(E1229&lt;128,"Verbind "&amp;E1229,INDEX(KdoCodeTab,MATCH(E1229,KdoWertTab,0)))),"StatusAbfr "&amp;D1229))</f>
        <v/>
      </c>
      <c r="G1229" t="str">
        <f t="shared" si="137"/>
        <v/>
      </c>
      <c r="H1229" t="str">
        <f t="shared" si="138"/>
        <v/>
      </c>
      <c r="I1229" t="str">
        <f t="shared" si="139"/>
        <v/>
      </c>
    </row>
    <row r="1230" spans="1:9" x14ac:dyDescent="0.25">
      <c r="A1230" t="s">
        <v>821</v>
      </c>
      <c r="B1230" s="6">
        <f t="shared" si="140"/>
        <v>0.95766666666666667</v>
      </c>
      <c r="C1230" s="3">
        <f t="shared" si="141"/>
        <v>31</v>
      </c>
      <c r="D1230" s="3" t="str">
        <f t="shared" si="135"/>
        <v/>
      </c>
      <c r="E1230" s="3">
        <f t="shared" si="136"/>
        <v>156</v>
      </c>
      <c r="F1230" s="5" t="str">
        <f>IF(C1230=0,"Broadcast",IF(D1230="",IF(E1230="","",IF(E1230&lt;128,"Verbind "&amp;E1230,INDEX(KdoCodeTab,MATCH(E1230,KdoWertTab,0)))),"StatusAbfr "&amp;D1230))</f>
        <v>Mark</v>
      </c>
      <c r="G1230" t="str">
        <f t="shared" si="137"/>
        <v/>
      </c>
      <c r="H1230" t="str">
        <f t="shared" si="138"/>
        <v>Mark</v>
      </c>
      <c r="I1230" t="str">
        <f t="shared" si="139"/>
        <v/>
      </c>
    </row>
    <row r="1231" spans="1:9" x14ac:dyDescent="0.25">
      <c r="A1231" t="s">
        <v>822</v>
      </c>
      <c r="B1231" s="6">
        <f t="shared" si="140"/>
        <v>0.96383333333333332</v>
      </c>
      <c r="C1231" s="3">
        <f t="shared" si="141"/>
        <v>31</v>
      </c>
      <c r="D1231" s="3" t="str">
        <f t="shared" si="135"/>
        <v/>
      </c>
      <c r="E1231" s="3">
        <f t="shared" si="136"/>
        <v>154</v>
      </c>
      <c r="F1231" s="5" t="str">
        <f>IF(C1231=0,"Broadcast",IF(D1231="",IF(E1231="","",IF(E1231&lt;128,"Verbind "&amp;E1231,INDEX(KdoCodeTab,MATCH(E1231,KdoWertTab,0)))),"StatusAbfr "&amp;D1231))</f>
        <v>MarkWdh</v>
      </c>
      <c r="G1231" t="str">
        <f t="shared" si="137"/>
        <v/>
      </c>
      <c r="H1231" t="str">
        <f t="shared" si="138"/>
        <v>MarkWdh</v>
      </c>
      <c r="I1231" t="str">
        <f t="shared" si="139"/>
        <v/>
      </c>
    </row>
    <row r="1232" spans="1:9" x14ac:dyDescent="0.25">
      <c r="A1232" t="s">
        <v>823</v>
      </c>
      <c r="B1232" s="6">
        <f t="shared" si="140"/>
        <v>1.0081666666666667</v>
      </c>
      <c r="C1232" s="3">
        <f t="shared" si="141"/>
        <v>31</v>
      </c>
      <c r="D1232" s="3" t="str">
        <f t="shared" si="135"/>
        <v/>
      </c>
      <c r="E1232" s="3">
        <f t="shared" si="136"/>
        <v>147</v>
      </c>
      <c r="F1232" s="5" t="str">
        <f>IF(C1232=0,"Broadcast",IF(D1232="",IF(E1232="","",IF(E1232&lt;128,"Verbind "&amp;E1232,INDEX(KdoCodeTab,MATCH(E1232,KdoWertTab,0)))),"StatusAbfr "&amp;D1232))</f>
        <v>Space</v>
      </c>
      <c r="G1232" t="str">
        <f t="shared" si="137"/>
        <v/>
      </c>
      <c r="H1232" t="str">
        <f t="shared" si="138"/>
        <v>Space</v>
      </c>
      <c r="I1232" t="str">
        <f t="shared" si="139"/>
        <v/>
      </c>
    </row>
    <row r="1233" spans="1:9" x14ac:dyDescent="0.25">
      <c r="A1233" t="s">
        <v>824</v>
      </c>
      <c r="B1233" s="6">
        <f t="shared" si="140"/>
        <v>1.0141666666666667</v>
      </c>
      <c r="C1233" s="3">
        <f t="shared" si="141"/>
        <v>31</v>
      </c>
      <c r="D1233" s="3" t="str">
        <f t="shared" si="135"/>
        <v/>
      </c>
      <c r="E1233" s="3">
        <f t="shared" si="136"/>
        <v>150</v>
      </c>
      <c r="F1233" s="5" t="str">
        <f>IF(C1233=0,"Broadcast",IF(D1233="",IF(E1233="","",IF(E1233&lt;128,"Verbind "&amp;E1233,INDEX(KdoCodeTab,MATCH(E1233,KdoWertTab,0)))),"StatusAbfr "&amp;D1233))</f>
        <v>SpaceWdh</v>
      </c>
      <c r="G1233" t="str">
        <f t="shared" si="137"/>
        <v/>
      </c>
      <c r="H1233" t="str">
        <f t="shared" si="138"/>
        <v>SpaceWdh</v>
      </c>
      <c r="I1233" t="str">
        <f t="shared" si="139"/>
        <v/>
      </c>
    </row>
    <row r="1234" spans="1:9" x14ac:dyDescent="0.25">
      <c r="A1234" t="s">
        <v>825</v>
      </c>
      <c r="B1234" s="6">
        <f t="shared" si="140"/>
        <v>1.0283333333333333</v>
      </c>
      <c r="C1234" s="3">
        <f t="shared" si="141"/>
        <v>31</v>
      </c>
      <c r="D1234" s="3" t="str">
        <f t="shared" si="135"/>
        <v/>
      </c>
      <c r="E1234" s="3">
        <f t="shared" si="136"/>
        <v>156</v>
      </c>
      <c r="F1234" s="5" t="str">
        <f>IF(C1234=0,"Broadcast",IF(D1234="",IF(E1234="","",IF(E1234&lt;128,"Verbind "&amp;E1234,INDEX(KdoCodeTab,MATCH(E1234,KdoWertTab,0)))),"StatusAbfr "&amp;D1234))</f>
        <v>Mark</v>
      </c>
      <c r="G1234" t="str">
        <f t="shared" si="137"/>
        <v/>
      </c>
      <c r="H1234" t="str">
        <f t="shared" si="138"/>
        <v>Mark</v>
      </c>
      <c r="I1234" t="str">
        <f t="shared" si="139"/>
        <v/>
      </c>
    </row>
    <row r="1235" spans="1:9" x14ac:dyDescent="0.25">
      <c r="A1235" t="s">
        <v>826</v>
      </c>
      <c r="B1235" s="6">
        <f t="shared" si="140"/>
        <v>1.0343333333333333</v>
      </c>
      <c r="C1235" s="3">
        <f t="shared" si="141"/>
        <v>31</v>
      </c>
      <c r="D1235" s="3" t="str">
        <f t="shared" si="135"/>
        <v/>
      </c>
      <c r="E1235" s="3">
        <f t="shared" si="136"/>
        <v>154</v>
      </c>
      <c r="F1235" s="5" t="str">
        <f>IF(C1235=0,"Broadcast",IF(D1235="",IF(E1235="","",IF(E1235&lt;128,"Verbind "&amp;E1235,INDEX(KdoCodeTab,MATCH(E1235,KdoWertTab,0)))),"StatusAbfr "&amp;D1235))</f>
        <v>MarkWdh</v>
      </c>
      <c r="G1235" t="str">
        <f t="shared" si="137"/>
        <v/>
      </c>
      <c r="H1235" t="str">
        <f t="shared" si="138"/>
        <v>MarkWdh</v>
      </c>
      <c r="I1235" t="str">
        <f t="shared" si="139"/>
        <v/>
      </c>
    </row>
    <row r="1236" spans="1:9" x14ac:dyDescent="0.25">
      <c r="A1236" t="s">
        <v>827</v>
      </c>
      <c r="B1236" s="6">
        <f t="shared" si="140"/>
        <v>1.0974999999999999</v>
      </c>
      <c r="C1236" s="3">
        <f t="shared" si="141"/>
        <v>101</v>
      </c>
      <c r="D1236" s="3" t="str">
        <f t="shared" si="135"/>
        <v/>
      </c>
      <c r="E1236" s="3">
        <f t="shared" si="136"/>
        <v>169</v>
      </c>
      <c r="F1236" s="5" t="str">
        <f>IF(C1236=0,"Broadcast",IF(D1236="",IF(E1236="","",IF(E1236&lt;128,"Verbind "&amp;E1236,INDEX(KdoCodeTab,MATCH(E1236,KdoWertTab,0)))),"StatusAbfr "&amp;D1236))</f>
        <v>BusLebenszeichen</v>
      </c>
      <c r="G1236" t="str">
        <f t="shared" si="137"/>
        <v>BusLebenszeichen</v>
      </c>
      <c r="H1236" t="str">
        <f t="shared" si="138"/>
        <v/>
      </c>
      <c r="I1236" t="str">
        <f t="shared" si="139"/>
        <v/>
      </c>
    </row>
    <row r="1237" spans="1:9" x14ac:dyDescent="0.25">
      <c r="A1237" t="s">
        <v>828</v>
      </c>
      <c r="B1237" s="6">
        <f t="shared" si="140"/>
        <v>1.1593333333333333</v>
      </c>
      <c r="C1237" s="3">
        <f t="shared" si="141"/>
        <v>31</v>
      </c>
      <c r="D1237" s="3" t="str">
        <f t="shared" si="135"/>
        <v/>
      </c>
      <c r="E1237" s="3">
        <f t="shared" si="136"/>
        <v>147</v>
      </c>
      <c r="F1237" s="5" t="str">
        <f>IF(C1237=0,"Broadcast",IF(D1237="",IF(E1237="","",IF(E1237&lt;128,"Verbind "&amp;E1237,INDEX(KdoCodeTab,MATCH(E1237,KdoWertTab,0)))),"StatusAbfr "&amp;D1237))</f>
        <v>Space</v>
      </c>
      <c r="G1237" t="str">
        <f t="shared" si="137"/>
        <v/>
      </c>
      <c r="H1237" t="str">
        <f t="shared" si="138"/>
        <v>Space</v>
      </c>
      <c r="I1237" t="str">
        <f t="shared" si="139"/>
        <v/>
      </c>
    </row>
    <row r="1238" spans="1:9" x14ac:dyDescent="0.25">
      <c r="A1238" t="s">
        <v>829</v>
      </c>
      <c r="B1238" s="6">
        <f t="shared" si="140"/>
        <v>1.1653333333333333</v>
      </c>
      <c r="C1238" s="3">
        <f t="shared" si="141"/>
        <v>31</v>
      </c>
      <c r="D1238" s="3" t="str">
        <f t="shared" si="135"/>
        <v/>
      </c>
      <c r="E1238" s="3">
        <f t="shared" si="136"/>
        <v>150</v>
      </c>
      <c r="F1238" s="5" t="str">
        <f>IF(C1238=0,"Broadcast",IF(D1238="",IF(E1238="","",IF(E1238&lt;128,"Verbind "&amp;E1238,INDEX(KdoCodeTab,MATCH(E1238,KdoWertTab,0)))),"StatusAbfr "&amp;D1238))</f>
        <v>SpaceWdh</v>
      </c>
      <c r="G1238" t="str">
        <f t="shared" si="137"/>
        <v/>
      </c>
      <c r="H1238" t="str">
        <f t="shared" si="138"/>
        <v>SpaceWdh</v>
      </c>
      <c r="I1238" t="str">
        <f t="shared" si="139"/>
        <v/>
      </c>
    </row>
    <row r="1239" spans="1:9" x14ac:dyDescent="0.25">
      <c r="A1239" t="s">
        <v>830</v>
      </c>
      <c r="B1239" s="6">
        <f t="shared" si="140"/>
        <v>1.1795</v>
      </c>
      <c r="C1239" s="3">
        <f t="shared" si="141"/>
        <v>31</v>
      </c>
      <c r="D1239" s="3" t="str">
        <f t="shared" si="135"/>
        <v/>
      </c>
      <c r="E1239" s="3">
        <f t="shared" si="136"/>
        <v>156</v>
      </c>
      <c r="F1239" s="5" t="str">
        <f>IF(C1239=0,"Broadcast",IF(D1239="",IF(E1239="","",IF(E1239&lt;128,"Verbind "&amp;E1239,INDEX(KdoCodeTab,MATCH(E1239,KdoWertTab,0)))),"StatusAbfr "&amp;D1239))</f>
        <v>Mark</v>
      </c>
      <c r="G1239" t="str">
        <f t="shared" si="137"/>
        <v/>
      </c>
      <c r="H1239" t="str">
        <f t="shared" si="138"/>
        <v>Mark</v>
      </c>
      <c r="I1239" t="str">
        <f t="shared" si="139"/>
        <v/>
      </c>
    </row>
    <row r="1240" spans="1:9" x14ac:dyDescent="0.25">
      <c r="A1240" t="s">
        <v>831</v>
      </c>
      <c r="B1240" s="6">
        <f t="shared" si="140"/>
        <v>1.1855</v>
      </c>
      <c r="C1240" s="3">
        <f t="shared" si="141"/>
        <v>31</v>
      </c>
      <c r="D1240" s="3" t="str">
        <f t="shared" si="135"/>
        <v/>
      </c>
      <c r="E1240" s="3">
        <f t="shared" si="136"/>
        <v>154</v>
      </c>
      <c r="F1240" s="5" t="str">
        <f>IF(C1240=0,"Broadcast",IF(D1240="",IF(E1240="","",IF(E1240&lt;128,"Verbind "&amp;E1240,INDEX(KdoCodeTab,MATCH(E1240,KdoWertTab,0)))),"StatusAbfr "&amp;D1240))</f>
        <v>MarkWdh</v>
      </c>
      <c r="G1240" t="str">
        <f t="shared" si="137"/>
        <v/>
      </c>
      <c r="H1240" t="str">
        <f t="shared" si="138"/>
        <v>MarkWdh</v>
      </c>
      <c r="I1240" t="str">
        <f t="shared" si="139"/>
        <v/>
      </c>
    </row>
    <row r="1241" spans="1:9" x14ac:dyDescent="0.25">
      <c r="A1241" t="s">
        <v>832</v>
      </c>
      <c r="B1241" s="6">
        <f t="shared" si="140"/>
        <v>1.2198333333333333</v>
      </c>
      <c r="C1241" s="3">
        <f t="shared" si="141"/>
        <v>31</v>
      </c>
      <c r="D1241" s="3" t="str">
        <f t="shared" si="135"/>
        <v/>
      </c>
      <c r="E1241" s="3">
        <f t="shared" si="136"/>
        <v>147</v>
      </c>
      <c r="F1241" s="5" t="str">
        <f>IF(C1241=0,"Broadcast",IF(D1241="",IF(E1241="","",IF(E1241&lt;128,"Verbind "&amp;E1241,INDEX(KdoCodeTab,MATCH(E1241,KdoWertTab,0)))),"StatusAbfr "&amp;D1241))</f>
        <v>Space</v>
      </c>
      <c r="G1241" t="str">
        <f t="shared" si="137"/>
        <v/>
      </c>
      <c r="H1241" t="str">
        <f t="shared" si="138"/>
        <v>Space</v>
      </c>
      <c r="I1241" t="str">
        <f t="shared" si="139"/>
        <v/>
      </c>
    </row>
    <row r="1242" spans="1:9" x14ac:dyDescent="0.25">
      <c r="A1242" t="s">
        <v>833</v>
      </c>
      <c r="B1242" s="6">
        <f t="shared" si="140"/>
        <v>1.2258333333333333</v>
      </c>
      <c r="C1242" s="3">
        <f t="shared" si="141"/>
        <v>31</v>
      </c>
      <c r="D1242" s="3" t="str">
        <f t="shared" si="135"/>
        <v/>
      </c>
      <c r="E1242" s="3">
        <f t="shared" si="136"/>
        <v>150</v>
      </c>
      <c r="F1242" s="5" t="str">
        <f>IF(C1242=0,"Broadcast",IF(D1242="",IF(E1242="","",IF(E1242&lt;128,"Verbind "&amp;E1242,INDEX(KdoCodeTab,MATCH(E1242,KdoWertTab,0)))),"StatusAbfr "&amp;D1242))</f>
        <v>SpaceWdh</v>
      </c>
      <c r="G1242" t="str">
        <f t="shared" si="137"/>
        <v/>
      </c>
      <c r="H1242" t="str">
        <f t="shared" si="138"/>
        <v>SpaceWdh</v>
      </c>
      <c r="I1242" t="str">
        <f t="shared" si="139"/>
        <v/>
      </c>
    </row>
    <row r="1243" spans="1:9" x14ac:dyDescent="0.25">
      <c r="A1243" t="s">
        <v>834</v>
      </c>
      <c r="B1243" s="6">
        <f t="shared" si="140"/>
        <v>1.2803333333333333</v>
      </c>
      <c r="C1243" s="3">
        <f t="shared" si="141"/>
        <v>31</v>
      </c>
      <c r="D1243" s="3" t="str">
        <f t="shared" si="135"/>
        <v/>
      </c>
      <c r="E1243" s="3">
        <f t="shared" si="136"/>
        <v>156</v>
      </c>
      <c r="F1243" s="5" t="str">
        <f>IF(C1243=0,"Broadcast",IF(D1243="",IF(E1243="","",IF(E1243&lt;128,"Verbind "&amp;E1243,INDEX(KdoCodeTab,MATCH(E1243,KdoWertTab,0)))),"StatusAbfr "&amp;D1243))</f>
        <v>Mark</v>
      </c>
      <c r="G1243" t="str">
        <f t="shared" si="137"/>
        <v/>
      </c>
      <c r="H1243" t="str">
        <f t="shared" si="138"/>
        <v>Mark</v>
      </c>
      <c r="I1243" t="str">
        <f t="shared" si="139"/>
        <v/>
      </c>
    </row>
    <row r="1244" spans="1:9" x14ac:dyDescent="0.25">
      <c r="A1244" t="s">
        <v>835</v>
      </c>
      <c r="B1244" s="6">
        <f t="shared" si="140"/>
        <v>1.2863333333333333</v>
      </c>
      <c r="C1244" s="3">
        <f t="shared" si="141"/>
        <v>31</v>
      </c>
      <c r="D1244" s="3" t="str">
        <f t="shared" si="135"/>
        <v/>
      </c>
      <c r="E1244" s="3">
        <f t="shared" si="136"/>
        <v>154</v>
      </c>
      <c r="F1244" s="5" t="str">
        <f>IF(C1244=0,"Broadcast",IF(D1244="",IF(E1244="","",IF(E1244&lt;128,"Verbind "&amp;E1244,INDEX(KdoCodeTab,MATCH(E1244,KdoWertTab,0)))),"StatusAbfr "&amp;D1244))</f>
        <v>MarkWdh</v>
      </c>
      <c r="G1244" t="str">
        <f t="shared" si="137"/>
        <v/>
      </c>
      <c r="H1244" t="str">
        <f t="shared" si="138"/>
        <v>MarkWdh</v>
      </c>
      <c r="I1244" t="str">
        <f t="shared" si="139"/>
        <v/>
      </c>
    </row>
    <row r="1245" spans="1:9" x14ac:dyDescent="0.25">
      <c r="A1245" t="s">
        <v>836</v>
      </c>
      <c r="B1245" s="6">
        <f t="shared" si="140"/>
        <v>1.3185</v>
      </c>
      <c r="C1245" s="3">
        <f t="shared" si="141"/>
        <v>31</v>
      </c>
      <c r="D1245" s="3" t="str">
        <f t="shared" si="135"/>
        <v/>
      </c>
      <c r="E1245" s="3">
        <f t="shared" si="136"/>
        <v>147</v>
      </c>
      <c r="F1245" s="5" t="str">
        <f>IF(C1245=0,"Broadcast",IF(D1245="",IF(E1245="","",IF(E1245&lt;128,"Verbind "&amp;E1245,INDEX(KdoCodeTab,MATCH(E1245,KdoWertTab,0)))),"StatusAbfr "&amp;D1245))</f>
        <v>Space</v>
      </c>
      <c r="G1245" t="str">
        <f t="shared" si="137"/>
        <v/>
      </c>
      <c r="H1245" t="str">
        <f t="shared" si="138"/>
        <v>Space</v>
      </c>
      <c r="I1245" t="str">
        <f t="shared" si="139"/>
        <v/>
      </c>
    </row>
    <row r="1246" spans="1:9" x14ac:dyDescent="0.25">
      <c r="A1246" t="s">
        <v>837</v>
      </c>
      <c r="B1246" s="6">
        <f t="shared" si="140"/>
        <v>1.3246666666666667</v>
      </c>
      <c r="C1246" s="3">
        <f t="shared" si="141"/>
        <v>31</v>
      </c>
      <c r="D1246" s="3" t="str">
        <f t="shared" si="135"/>
        <v/>
      </c>
      <c r="E1246" s="3">
        <f t="shared" si="136"/>
        <v>150</v>
      </c>
      <c r="F1246" s="5" t="str">
        <f>IF(C1246=0,"Broadcast",IF(D1246="",IF(E1246="","",IF(E1246&lt;128,"Verbind "&amp;E1246,INDEX(KdoCodeTab,MATCH(E1246,KdoWertTab,0)))),"StatusAbfr "&amp;D1246))</f>
        <v>SpaceWdh</v>
      </c>
      <c r="G1246" t="str">
        <f t="shared" si="137"/>
        <v/>
      </c>
      <c r="H1246" t="str">
        <f t="shared" si="138"/>
        <v>SpaceWdh</v>
      </c>
      <c r="I1246" t="str">
        <f t="shared" si="139"/>
        <v/>
      </c>
    </row>
    <row r="1247" spans="1:9" x14ac:dyDescent="0.25">
      <c r="A1247" t="s">
        <v>838</v>
      </c>
      <c r="B1247" s="6">
        <f t="shared" si="140"/>
        <v>1.379</v>
      </c>
      <c r="C1247" s="3">
        <f t="shared" si="141"/>
        <v>31</v>
      </c>
      <c r="D1247" s="3" t="str">
        <f t="shared" si="135"/>
        <v/>
      </c>
      <c r="E1247" s="3">
        <f t="shared" si="136"/>
        <v>156</v>
      </c>
      <c r="F1247" s="5" t="str">
        <f>IF(C1247=0,"Broadcast",IF(D1247="",IF(E1247="","",IF(E1247&lt;128,"Verbind "&amp;E1247,INDEX(KdoCodeTab,MATCH(E1247,KdoWertTab,0)))),"StatusAbfr "&amp;D1247))</f>
        <v>Mark</v>
      </c>
      <c r="G1247" t="str">
        <f t="shared" si="137"/>
        <v/>
      </c>
      <c r="H1247" t="str">
        <f t="shared" si="138"/>
        <v>Mark</v>
      </c>
      <c r="I1247" t="str">
        <f t="shared" si="139"/>
        <v/>
      </c>
    </row>
    <row r="1248" spans="1:9" x14ac:dyDescent="0.25">
      <c r="A1248" t="s">
        <v>839</v>
      </c>
      <c r="B1248" s="6">
        <f t="shared" si="140"/>
        <v>1.3851666666666667</v>
      </c>
      <c r="C1248" s="3">
        <f t="shared" si="141"/>
        <v>31</v>
      </c>
      <c r="D1248" s="3" t="str">
        <f t="shared" si="135"/>
        <v/>
      </c>
      <c r="E1248" s="3">
        <f t="shared" si="136"/>
        <v>154</v>
      </c>
      <c r="F1248" s="5" t="str">
        <f>IF(C1248=0,"Broadcast",IF(D1248="",IF(E1248="","",IF(E1248&lt;128,"Verbind "&amp;E1248,INDEX(KdoCodeTab,MATCH(E1248,KdoWertTab,0)))),"StatusAbfr "&amp;D1248))</f>
        <v>MarkWdh</v>
      </c>
      <c r="G1248" t="str">
        <f t="shared" si="137"/>
        <v/>
      </c>
      <c r="H1248" t="str">
        <f t="shared" si="138"/>
        <v>MarkWdh</v>
      </c>
      <c r="I1248" t="str">
        <f t="shared" si="139"/>
        <v/>
      </c>
    </row>
    <row r="1249" spans="1:9" x14ac:dyDescent="0.25">
      <c r="A1249" t="s">
        <v>840</v>
      </c>
      <c r="B1249" s="6">
        <f t="shared" si="140"/>
        <v>1.3991666666666667</v>
      </c>
      <c r="C1249" s="3">
        <f t="shared" si="141"/>
        <v>31</v>
      </c>
      <c r="D1249" s="3" t="str">
        <f t="shared" si="135"/>
        <v/>
      </c>
      <c r="E1249" s="3">
        <f t="shared" si="136"/>
        <v>147</v>
      </c>
      <c r="F1249" s="5" t="str">
        <f>IF(C1249=0,"Broadcast",IF(D1249="",IF(E1249="","",IF(E1249&lt;128,"Verbind "&amp;E1249,INDEX(KdoCodeTab,MATCH(E1249,KdoWertTab,0)))),"StatusAbfr "&amp;D1249))</f>
        <v>Space</v>
      </c>
      <c r="G1249" t="str">
        <f t="shared" si="137"/>
        <v/>
      </c>
      <c r="H1249" t="str">
        <f t="shared" si="138"/>
        <v>Space</v>
      </c>
      <c r="I1249" t="str">
        <f t="shared" si="139"/>
        <v/>
      </c>
    </row>
    <row r="1250" spans="1:9" x14ac:dyDescent="0.25">
      <c r="A1250" t="s">
        <v>841</v>
      </c>
      <c r="B1250" s="6">
        <f t="shared" si="140"/>
        <v>1.4053333333333333</v>
      </c>
      <c r="C1250" s="3">
        <f t="shared" si="141"/>
        <v>31</v>
      </c>
      <c r="D1250" s="3" t="str">
        <f t="shared" si="135"/>
        <v/>
      </c>
      <c r="E1250" s="3">
        <f t="shared" si="136"/>
        <v>150</v>
      </c>
      <c r="F1250" s="5" t="str">
        <f>IF(C1250=0,"Broadcast",IF(D1250="",IF(E1250="","",IF(E1250&lt;128,"Verbind "&amp;E1250,INDEX(KdoCodeTab,MATCH(E1250,KdoWertTab,0)))),"StatusAbfr "&amp;D1250))</f>
        <v>SpaceWdh</v>
      </c>
      <c r="G1250" t="str">
        <f t="shared" si="137"/>
        <v/>
      </c>
      <c r="H1250" t="str">
        <f t="shared" si="138"/>
        <v>SpaceWdh</v>
      </c>
      <c r="I1250" t="str">
        <f t="shared" si="139"/>
        <v/>
      </c>
    </row>
    <row r="1251" spans="1:9" x14ac:dyDescent="0.25">
      <c r="A1251" t="s">
        <v>842</v>
      </c>
      <c r="B1251" s="6">
        <f t="shared" si="140"/>
        <v>1.4395</v>
      </c>
      <c r="C1251" s="3">
        <f t="shared" si="141"/>
        <v>31</v>
      </c>
      <c r="D1251" s="3" t="str">
        <f t="shared" si="135"/>
        <v/>
      </c>
      <c r="E1251" s="3">
        <f t="shared" si="136"/>
        <v>156</v>
      </c>
      <c r="F1251" s="5" t="str">
        <f>IF(C1251=0,"Broadcast",IF(D1251="",IF(E1251="","",IF(E1251&lt;128,"Verbind "&amp;E1251,INDEX(KdoCodeTab,MATCH(E1251,KdoWertTab,0)))),"StatusAbfr "&amp;D1251))</f>
        <v>Mark</v>
      </c>
      <c r="G1251" t="str">
        <f t="shared" si="137"/>
        <v/>
      </c>
      <c r="H1251" t="str">
        <f t="shared" si="138"/>
        <v>Mark</v>
      </c>
      <c r="I1251" t="str">
        <f t="shared" si="139"/>
        <v/>
      </c>
    </row>
    <row r="1252" spans="1:9" x14ac:dyDescent="0.25">
      <c r="A1252" t="s">
        <v>843</v>
      </c>
      <c r="B1252" s="6">
        <f t="shared" si="140"/>
        <v>1.4456666666666667</v>
      </c>
      <c r="C1252" s="3">
        <f t="shared" si="141"/>
        <v>31</v>
      </c>
      <c r="D1252" s="3" t="str">
        <f t="shared" si="135"/>
        <v/>
      </c>
      <c r="E1252" s="3">
        <f t="shared" si="136"/>
        <v>154</v>
      </c>
      <c r="F1252" s="5" t="str">
        <f>IF(C1252=0,"Broadcast",IF(D1252="",IF(E1252="","",IF(E1252&lt;128,"Verbind "&amp;E1252,INDEX(KdoCodeTab,MATCH(E1252,KdoWertTab,0)))),"StatusAbfr "&amp;D1252))</f>
        <v>MarkWdh</v>
      </c>
      <c r="G1252" t="str">
        <f t="shared" si="137"/>
        <v/>
      </c>
      <c r="H1252" t="str">
        <f t="shared" si="138"/>
        <v>MarkWdh</v>
      </c>
      <c r="I1252" t="str">
        <f t="shared" si="139"/>
        <v/>
      </c>
    </row>
    <row r="1253" spans="1:9" x14ac:dyDescent="0.25">
      <c r="A1253" t="s">
        <v>844</v>
      </c>
      <c r="B1253" s="6">
        <f t="shared" si="140"/>
        <v>1.4878333333333333</v>
      </c>
      <c r="C1253" s="3">
        <f t="shared" si="141"/>
        <v>31</v>
      </c>
      <c r="D1253" s="3" t="str">
        <f t="shared" si="135"/>
        <v/>
      </c>
      <c r="E1253" s="3">
        <f t="shared" si="136"/>
        <v>147</v>
      </c>
      <c r="F1253" s="5" t="str">
        <f>IF(C1253=0,"Broadcast",IF(D1253="",IF(E1253="","",IF(E1253&lt;128,"Verbind "&amp;E1253,INDEX(KdoCodeTab,MATCH(E1253,KdoWertTab,0)))),"StatusAbfr "&amp;D1253))</f>
        <v>Space</v>
      </c>
      <c r="G1253" t="str">
        <f t="shared" si="137"/>
        <v/>
      </c>
      <c r="H1253" t="str">
        <f t="shared" si="138"/>
        <v>Space</v>
      </c>
      <c r="I1253" t="str">
        <f t="shared" si="139"/>
        <v/>
      </c>
    </row>
    <row r="1254" spans="1:9" x14ac:dyDescent="0.25">
      <c r="A1254" t="s">
        <v>845</v>
      </c>
      <c r="B1254" s="6">
        <f t="shared" si="140"/>
        <v>1.494</v>
      </c>
      <c r="C1254" s="3">
        <f t="shared" si="141"/>
        <v>31</v>
      </c>
      <c r="D1254" s="3" t="str">
        <f t="shared" si="135"/>
        <v/>
      </c>
      <c r="E1254" s="3">
        <f t="shared" si="136"/>
        <v>150</v>
      </c>
      <c r="F1254" s="5" t="str">
        <f>IF(C1254=0,"Broadcast",IF(D1254="",IF(E1254="","",IF(E1254&lt;128,"Verbind "&amp;E1254,INDEX(KdoCodeTab,MATCH(E1254,KdoWertTab,0)))),"StatusAbfr "&amp;D1254))</f>
        <v>SpaceWdh</v>
      </c>
      <c r="G1254" t="str">
        <f t="shared" si="137"/>
        <v/>
      </c>
      <c r="H1254" t="str">
        <f t="shared" si="138"/>
        <v>SpaceWdh</v>
      </c>
      <c r="I1254" t="str">
        <f t="shared" si="139"/>
        <v/>
      </c>
    </row>
    <row r="1255" spans="1:9" x14ac:dyDescent="0.25">
      <c r="A1255" t="s">
        <v>846</v>
      </c>
      <c r="B1255" s="6">
        <f t="shared" si="140"/>
        <v>1.5886666666666667</v>
      </c>
      <c r="C1255" s="3">
        <f t="shared" si="141"/>
        <v>31</v>
      </c>
      <c r="D1255" s="3" t="str">
        <f t="shared" si="135"/>
        <v/>
      </c>
      <c r="E1255" s="3">
        <f t="shared" si="136"/>
        <v>156</v>
      </c>
      <c r="F1255" s="5" t="str">
        <f>IF(C1255=0,"Broadcast",IF(D1255="",IF(E1255="","",IF(E1255&lt;128,"Verbind "&amp;E1255,INDEX(KdoCodeTab,MATCH(E1255,KdoWertTab,0)))),"StatusAbfr "&amp;D1255))</f>
        <v>Mark</v>
      </c>
      <c r="G1255" t="str">
        <f t="shared" si="137"/>
        <v/>
      </c>
      <c r="H1255" t="str">
        <f t="shared" si="138"/>
        <v>Mark</v>
      </c>
      <c r="I1255" t="str">
        <f t="shared" si="139"/>
        <v/>
      </c>
    </row>
    <row r="1256" spans="1:9" x14ac:dyDescent="0.25">
      <c r="A1256" t="s">
        <v>847</v>
      </c>
      <c r="B1256" s="6">
        <f t="shared" si="140"/>
        <v>1.5948333333333333</v>
      </c>
      <c r="C1256" s="3">
        <f t="shared" si="141"/>
        <v>31</v>
      </c>
      <c r="D1256" s="3" t="str">
        <f t="shared" si="135"/>
        <v/>
      </c>
      <c r="E1256" s="3">
        <f t="shared" si="136"/>
        <v>154</v>
      </c>
      <c r="F1256" s="5" t="str">
        <f>IF(C1256=0,"Broadcast",IF(D1256="",IF(E1256="","",IF(E1256&lt;128,"Verbind "&amp;E1256,INDEX(KdoCodeTab,MATCH(E1256,KdoWertTab,0)))),"StatusAbfr "&amp;D1256))</f>
        <v>MarkWdh</v>
      </c>
      <c r="G1256" t="str">
        <f t="shared" si="137"/>
        <v/>
      </c>
      <c r="H1256" t="str">
        <f t="shared" si="138"/>
        <v>MarkWdh</v>
      </c>
      <c r="I1256" t="str">
        <f t="shared" si="139"/>
        <v/>
      </c>
    </row>
    <row r="1257" spans="1:9" x14ac:dyDescent="0.25">
      <c r="A1257" t="s">
        <v>848</v>
      </c>
      <c r="B1257" s="6">
        <f t="shared" si="140"/>
        <v>1.6593333333333333</v>
      </c>
      <c r="C1257" s="3">
        <f t="shared" si="141"/>
        <v>31</v>
      </c>
      <c r="D1257" s="3" t="str">
        <f t="shared" si="135"/>
        <v/>
      </c>
      <c r="E1257" s="3">
        <f t="shared" si="136"/>
        <v>147</v>
      </c>
      <c r="F1257" s="5" t="str">
        <f>IF(C1257=0,"Broadcast",IF(D1257="",IF(E1257="","",IF(E1257&lt;128,"Verbind "&amp;E1257,INDEX(KdoCodeTab,MATCH(E1257,KdoWertTab,0)))),"StatusAbfr "&amp;D1257))</f>
        <v>Space</v>
      </c>
      <c r="G1257" t="str">
        <f t="shared" si="137"/>
        <v/>
      </c>
      <c r="H1257" t="str">
        <f t="shared" si="138"/>
        <v>Space</v>
      </c>
      <c r="I1257" t="str">
        <f t="shared" si="139"/>
        <v/>
      </c>
    </row>
    <row r="1258" spans="1:9" x14ac:dyDescent="0.25">
      <c r="A1258" t="s">
        <v>849</v>
      </c>
      <c r="B1258" s="6">
        <f t="shared" si="140"/>
        <v>1.6653333333333333</v>
      </c>
      <c r="C1258" s="3">
        <f t="shared" si="141"/>
        <v>31</v>
      </c>
      <c r="D1258" s="3" t="str">
        <f t="shared" si="135"/>
        <v/>
      </c>
      <c r="E1258" s="3">
        <f t="shared" si="136"/>
        <v>150</v>
      </c>
      <c r="F1258" s="5" t="str">
        <f>IF(C1258=0,"Broadcast",IF(D1258="",IF(E1258="","",IF(E1258&lt;128,"Verbind "&amp;E1258,INDEX(KdoCodeTab,MATCH(E1258,KdoWertTab,0)))),"StatusAbfr "&amp;D1258))</f>
        <v>SpaceWdh</v>
      </c>
      <c r="G1258" t="str">
        <f t="shared" si="137"/>
        <v/>
      </c>
      <c r="H1258" t="str">
        <f t="shared" si="138"/>
        <v>SpaceWdh</v>
      </c>
      <c r="I1258" t="str">
        <f t="shared" si="139"/>
        <v/>
      </c>
    </row>
    <row r="1259" spans="1:9" x14ac:dyDescent="0.25">
      <c r="A1259" t="s">
        <v>850</v>
      </c>
      <c r="B1259" s="6">
        <f t="shared" si="140"/>
        <v>1.6996666666666667</v>
      </c>
      <c r="C1259" s="3">
        <f t="shared" si="141"/>
        <v>31</v>
      </c>
      <c r="D1259" s="3" t="str">
        <f t="shared" si="135"/>
        <v/>
      </c>
      <c r="E1259" s="3">
        <f t="shared" si="136"/>
        <v>156</v>
      </c>
      <c r="F1259" s="5" t="str">
        <f>IF(C1259=0,"Broadcast",IF(D1259="",IF(E1259="","",IF(E1259&lt;128,"Verbind "&amp;E1259,INDEX(KdoCodeTab,MATCH(E1259,KdoWertTab,0)))),"StatusAbfr "&amp;D1259))</f>
        <v>Mark</v>
      </c>
      <c r="G1259" t="str">
        <f t="shared" si="137"/>
        <v/>
      </c>
      <c r="H1259" t="str">
        <f t="shared" si="138"/>
        <v>Mark</v>
      </c>
      <c r="I1259" t="str">
        <f t="shared" si="139"/>
        <v/>
      </c>
    </row>
    <row r="1260" spans="1:9" x14ac:dyDescent="0.25">
      <c r="A1260" t="s">
        <v>851</v>
      </c>
      <c r="B1260" s="6">
        <f t="shared" si="140"/>
        <v>1.7056666666666667</v>
      </c>
      <c r="C1260" s="3">
        <f t="shared" si="141"/>
        <v>31</v>
      </c>
      <c r="D1260" s="3" t="str">
        <f t="shared" si="135"/>
        <v/>
      </c>
      <c r="E1260" s="3">
        <f t="shared" si="136"/>
        <v>154</v>
      </c>
      <c r="F1260" s="5" t="str">
        <f>IF(C1260=0,"Broadcast",IF(D1260="",IF(E1260="","",IF(E1260&lt;128,"Verbind "&amp;E1260,INDEX(KdoCodeTab,MATCH(E1260,KdoWertTab,0)))),"StatusAbfr "&amp;D1260))</f>
        <v>MarkWdh</v>
      </c>
      <c r="G1260" t="str">
        <f t="shared" si="137"/>
        <v/>
      </c>
      <c r="H1260" t="str">
        <f t="shared" si="138"/>
        <v>MarkWdh</v>
      </c>
      <c r="I1260" t="str">
        <f t="shared" si="139"/>
        <v/>
      </c>
    </row>
    <row r="1261" spans="1:9" x14ac:dyDescent="0.25">
      <c r="A1261" t="s">
        <v>852</v>
      </c>
      <c r="B1261" s="6">
        <f t="shared" si="140"/>
        <v>1.7198333333333333</v>
      </c>
      <c r="C1261" s="3">
        <f t="shared" si="141"/>
        <v>31</v>
      </c>
      <c r="D1261" s="3" t="str">
        <f t="shared" si="135"/>
        <v/>
      </c>
      <c r="E1261" s="3">
        <f t="shared" si="136"/>
        <v>147</v>
      </c>
      <c r="F1261" s="5" t="str">
        <f>IF(C1261=0,"Broadcast",IF(D1261="",IF(E1261="","",IF(E1261&lt;128,"Verbind "&amp;E1261,INDEX(KdoCodeTab,MATCH(E1261,KdoWertTab,0)))),"StatusAbfr "&amp;D1261))</f>
        <v>Space</v>
      </c>
      <c r="G1261" t="str">
        <f t="shared" si="137"/>
        <v/>
      </c>
      <c r="H1261" t="str">
        <f t="shared" si="138"/>
        <v>Space</v>
      </c>
      <c r="I1261" t="str">
        <f t="shared" si="139"/>
        <v/>
      </c>
    </row>
    <row r="1262" spans="1:9" x14ac:dyDescent="0.25">
      <c r="A1262" t="s">
        <v>853</v>
      </c>
      <c r="B1262" s="6">
        <f t="shared" si="140"/>
        <v>1.7258333333333333</v>
      </c>
      <c r="C1262" s="3">
        <f t="shared" si="141"/>
        <v>31</v>
      </c>
      <c r="D1262" s="3" t="str">
        <f t="shared" si="135"/>
        <v/>
      </c>
      <c r="E1262" s="3">
        <f t="shared" si="136"/>
        <v>150</v>
      </c>
      <c r="F1262" s="5" t="str">
        <f>IF(C1262=0,"Broadcast",IF(D1262="",IF(E1262="","",IF(E1262&lt;128,"Verbind "&amp;E1262,INDEX(KdoCodeTab,MATCH(E1262,KdoWertTab,0)))),"StatusAbfr "&amp;D1262))</f>
        <v>SpaceWdh</v>
      </c>
      <c r="G1262" t="str">
        <f t="shared" si="137"/>
        <v/>
      </c>
      <c r="H1262" t="str">
        <f t="shared" si="138"/>
        <v>SpaceWdh</v>
      </c>
      <c r="I1262" t="str">
        <f t="shared" si="139"/>
        <v/>
      </c>
    </row>
    <row r="1263" spans="1:9" x14ac:dyDescent="0.25">
      <c r="A1263" t="s">
        <v>854</v>
      </c>
      <c r="B1263" s="6">
        <f t="shared" si="140"/>
        <v>1.74</v>
      </c>
      <c r="C1263" s="3">
        <f t="shared" si="141"/>
        <v>19</v>
      </c>
      <c r="D1263" s="3" t="str">
        <f t="shared" si="135"/>
        <v/>
      </c>
      <c r="E1263" s="3" t="str">
        <f t="shared" si="136"/>
        <v/>
      </c>
      <c r="F1263" s="5" t="str">
        <f>IF(C1263=0,"Broadcast",IF(D1263="",IF(E1263="","",IF(E1263&lt;128,"Verbind "&amp;E1263,INDEX(KdoCodeTab,MATCH(E1263,KdoWertTab,0)))),"StatusAbfr "&amp;D1263))</f>
        <v/>
      </c>
      <c r="G1263" t="str">
        <f t="shared" si="137"/>
        <v/>
      </c>
      <c r="H1263" t="str">
        <f t="shared" si="138"/>
        <v/>
      </c>
      <c r="I1263" t="str">
        <f t="shared" si="139"/>
        <v/>
      </c>
    </row>
    <row r="1264" spans="1:9" x14ac:dyDescent="0.25">
      <c r="A1264" t="s">
        <v>855</v>
      </c>
      <c r="B1264" s="6">
        <f t="shared" si="140"/>
        <v>1.746</v>
      </c>
      <c r="C1264" s="3">
        <f t="shared" si="141"/>
        <v>31</v>
      </c>
      <c r="D1264" s="3" t="str">
        <f t="shared" si="135"/>
        <v/>
      </c>
      <c r="E1264" s="3">
        <f t="shared" si="136"/>
        <v>154</v>
      </c>
      <c r="F1264" s="5" t="str">
        <f>IF(C1264=0,"Broadcast",IF(D1264="",IF(E1264="","",IF(E1264&lt;128,"Verbind "&amp;E1264,INDEX(KdoCodeTab,MATCH(E1264,KdoWertTab,0)))),"StatusAbfr "&amp;D1264))</f>
        <v>MarkWdh</v>
      </c>
      <c r="G1264" t="str">
        <f t="shared" si="137"/>
        <v/>
      </c>
      <c r="H1264" t="str">
        <f t="shared" si="138"/>
        <v>MarkWdh</v>
      </c>
      <c r="I1264" t="str">
        <f t="shared" si="139"/>
        <v/>
      </c>
    </row>
    <row r="1265" spans="1:9" x14ac:dyDescent="0.25">
      <c r="A1265" t="s">
        <v>856</v>
      </c>
      <c r="B1265" s="6">
        <f t="shared" si="140"/>
        <v>1.7601666666666667</v>
      </c>
      <c r="C1265" s="3">
        <f t="shared" si="141"/>
        <v>31</v>
      </c>
      <c r="D1265" s="3" t="str">
        <f t="shared" si="135"/>
        <v/>
      </c>
      <c r="E1265" s="3">
        <f t="shared" si="136"/>
        <v>147</v>
      </c>
      <c r="F1265" s="5" t="str">
        <f>IF(C1265=0,"Broadcast",IF(D1265="",IF(E1265="","",IF(E1265&lt;128,"Verbind "&amp;E1265,INDEX(KdoCodeTab,MATCH(E1265,KdoWertTab,0)))),"StatusAbfr "&amp;D1265))</f>
        <v>Space</v>
      </c>
      <c r="G1265" t="str">
        <f t="shared" si="137"/>
        <v/>
      </c>
      <c r="H1265" t="str">
        <f t="shared" si="138"/>
        <v>Space</v>
      </c>
      <c r="I1265" t="str">
        <f t="shared" si="139"/>
        <v/>
      </c>
    </row>
    <row r="1266" spans="1:9" x14ac:dyDescent="0.25">
      <c r="A1266" t="s">
        <v>857</v>
      </c>
      <c r="B1266" s="6">
        <f t="shared" si="140"/>
        <v>1.7661666666666667</v>
      </c>
      <c r="C1266" s="3">
        <f t="shared" si="141"/>
        <v>31</v>
      </c>
      <c r="D1266" s="3" t="str">
        <f t="shared" si="135"/>
        <v/>
      </c>
      <c r="E1266" s="3">
        <f t="shared" si="136"/>
        <v>150</v>
      </c>
      <c r="F1266" s="5" t="str">
        <f>IF(C1266=0,"Broadcast",IF(D1266="",IF(E1266="","",IF(E1266&lt;128,"Verbind "&amp;E1266,INDEX(KdoCodeTab,MATCH(E1266,KdoWertTab,0)))),"StatusAbfr "&amp;D1266))</f>
        <v>SpaceWdh</v>
      </c>
      <c r="G1266" t="str">
        <f t="shared" si="137"/>
        <v/>
      </c>
      <c r="H1266" t="str">
        <f t="shared" si="138"/>
        <v>SpaceWdh</v>
      </c>
      <c r="I1266" t="str">
        <f t="shared" si="139"/>
        <v/>
      </c>
    </row>
    <row r="1267" spans="1:9" x14ac:dyDescent="0.25">
      <c r="A1267" t="s">
        <v>858</v>
      </c>
      <c r="B1267" s="6">
        <f t="shared" si="140"/>
        <v>1.7793333333333332</v>
      </c>
      <c r="C1267" s="3">
        <f t="shared" si="141"/>
        <v>101</v>
      </c>
      <c r="D1267" s="3" t="str">
        <f t="shared" si="135"/>
        <v/>
      </c>
      <c r="E1267" s="3">
        <f t="shared" si="136"/>
        <v>169</v>
      </c>
      <c r="F1267" s="5" t="str">
        <f>IF(C1267=0,"Broadcast",IF(D1267="",IF(E1267="","",IF(E1267&lt;128,"Verbind "&amp;E1267,INDEX(KdoCodeTab,MATCH(E1267,KdoWertTab,0)))),"StatusAbfr "&amp;D1267))</f>
        <v>BusLebenszeichen</v>
      </c>
      <c r="G1267" t="str">
        <f t="shared" si="137"/>
        <v>BusLebenszeichen</v>
      </c>
      <c r="H1267" t="str">
        <f t="shared" si="138"/>
        <v/>
      </c>
      <c r="I1267" t="str">
        <f t="shared" si="139"/>
        <v/>
      </c>
    </row>
    <row r="1268" spans="1:9" x14ac:dyDescent="0.25">
      <c r="A1268" t="s">
        <v>859</v>
      </c>
      <c r="B1268" s="6">
        <f t="shared" si="140"/>
        <v>1.7801666666666667</v>
      </c>
      <c r="C1268" s="3">
        <f t="shared" si="141"/>
        <v>31</v>
      </c>
      <c r="D1268" s="3" t="str">
        <f t="shared" si="135"/>
        <v/>
      </c>
      <c r="E1268" s="3">
        <f t="shared" si="136"/>
        <v>156</v>
      </c>
      <c r="F1268" s="5" t="str">
        <f>IF(C1268=0,"Broadcast",IF(D1268="",IF(E1268="","",IF(E1268&lt;128,"Verbind "&amp;E1268,INDEX(KdoCodeTab,MATCH(E1268,KdoWertTab,0)))),"StatusAbfr "&amp;D1268))</f>
        <v>Mark</v>
      </c>
      <c r="G1268" t="str">
        <f t="shared" si="137"/>
        <v/>
      </c>
      <c r="H1268" t="str">
        <f t="shared" si="138"/>
        <v>Mark</v>
      </c>
      <c r="I1268" t="str">
        <f t="shared" si="139"/>
        <v/>
      </c>
    </row>
    <row r="1269" spans="1:9" x14ac:dyDescent="0.25">
      <c r="A1269" t="s">
        <v>860</v>
      </c>
      <c r="B1269" s="6">
        <f t="shared" si="140"/>
        <v>1.7863333333333333</v>
      </c>
      <c r="C1269" s="3">
        <f t="shared" si="141"/>
        <v>31</v>
      </c>
      <c r="D1269" s="3" t="str">
        <f t="shared" si="135"/>
        <v/>
      </c>
      <c r="E1269" s="3">
        <f t="shared" si="136"/>
        <v>154</v>
      </c>
      <c r="F1269" s="5" t="str">
        <f>IF(C1269=0,"Broadcast",IF(D1269="",IF(E1269="","",IF(E1269&lt;128,"Verbind "&amp;E1269,INDEX(KdoCodeTab,MATCH(E1269,KdoWertTab,0)))),"StatusAbfr "&amp;D1269))</f>
        <v>MarkWdh</v>
      </c>
      <c r="G1269" t="str">
        <f t="shared" si="137"/>
        <v/>
      </c>
      <c r="H1269" t="str">
        <f t="shared" si="138"/>
        <v>MarkWdh</v>
      </c>
      <c r="I1269" t="str">
        <f t="shared" si="139"/>
        <v/>
      </c>
    </row>
    <row r="1270" spans="1:9" x14ac:dyDescent="0.25">
      <c r="A1270" t="s">
        <v>861</v>
      </c>
      <c r="B1270" s="6">
        <f t="shared" si="140"/>
        <v>1.8286666666666667</v>
      </c>
      <c r="C1270" s="3">
        <f t="shared" si="141"/>
        <v>31</v>
      </c>
      <c r="D1270" s="3" t="str">
        <f t="shared" si="135"/>
        <v/>
      </c>
      <c r="E1270" s="3">
        <f t="shared" si="136"/>
        <v>147</v>
      </c>
      <c r="F1270" s="5" t="str">
        <f>IF(C1270=0,"Broadcast",IF(D1270="",IF(E1270="","",IF(E1270&lt;128,"Verbind "&amp;E1270,INDEX(KdoCodeTab,MATCH(E1270,KdoWertTab,0)))),"StatusAbfr "&amp;D1270))</f>
        <v>Space</v>
      </c>
      <c r="G1270" t="str">
        <f t="shared" si="137"/>
        <v/>
      </c>
      <c r="H1270" t="str">
        <f t="shared" si="138"/>
        <v>Space</v>
      </c>
      <c r="I1270" t="str">
        <f t="shared" si="139"/>
        <v/>
      </c>
    </row>
    <row r="1271" spans="1:9" x14ac:dyDescent="0.25">
      <c r="A1271" t="s">
        <v>862</v>
      </c>
      <c r="B1271" s="6">
        <f t="shared" si="140"/>
        <v>1.8346666666666667</v>
      </c>
      <c r="C1271" s="3">
        <f t="shared" si="141"/>
        <v>31</v>
      </c>
      <c r="D1271" s="3" t="str">
        <f t="shared" si="135"/>
        <v/>
      </c>
      <c r="E1271" s="3">
        <f t="shared" si="136"/>
        <v>150</v>
      </c>
      <c r="F1271" s="5" t="str">
        <f>IF(C1271=0,"Broadcast",IF(D1271="",IF(E1271="","",IF(E1271&lt;128,"Verbind "&amp;E1271,INDEX(KdoCodeTab,MATCH(E1271,KdoWertTab,0)))),"StatusAbfr "&amp;D1271))</f>
        <v>SpaceWdh</v>
      </c>
      <c r="G1271" t="str">
        <f t="shared" si="137"/>
        <v/>
      </c>
      <c r="H1271" t="str">
        <f t="shared" si="138"/>
        <v>SpaceWdh</v>
      </c>
      <c r="I1271" t="str">
        <f t="shared" si="139"/>
        <v/>
      </c>
    </row>
    <row r="1272" spans="1:9" x14ac:dyDescent="0.25">
      <c r="A1272" t="s">
        <v>863</v>
      </c>
      <c r="B1272" s="6">
        <f t="shared" si="140"/>
        <v>1.8488333333333333</v>
      </c>
      <c r="C1272" s="3">
        <f t="shared" si="141"/>
        <v>31</v>
      </c>
      <c r="D1272" s="3" t="str">
        <f t="shared" si="135"/>
        <v/>
      </c>
      <c r="E1272" s="3">
        <f t="shared" si="136"/>
        <v>156</v>
      </c>
      <c r="F1272" s="5" t="str">
        <f>IF(C1272=0,"Broadcast",IF(D1272="",IF(E1272="","",IF(E1272&lt;128,"Verbind "&amp;E1272,INDEX(KdoCodeTab,MATCH(E1272,KdoWertTab,0)))),"StatusAbfr "&amp;D1272))</f>
        <v>Mark</v>
      </c>
      <c r="G1272" t="str">
        <f t="shared" si="137"/>
        <v/>
      </c>
      <c r="H1272" t="str">
        <f t="shared" si="138"/>
        <v>Mark</v>
      </c>
      <c r="I1272" t="str">
        <f t="shared" si="139"/>
        <v/>
      </c>
    </row>
    <row r="1273" spans="1:9" x14ac:dyDescent="0.25">
      <c r="A1273" t="s">
        <v>864</v>
      </c>
      <c r="B1273" s="6">
        <f t="shared" si="140"/>
        <v>1.8548333333333333</v>
      </c>
      <c r="C1273" s="3">
        <f t="shared" si="141"/>
        <v>31</v>
      </c>
      <c r="D1273" s="3" t="str">
        <f t="shared" si="135"/>
        <v/>
      </c>
      <c r="E1273" s="3">
        <f t="shared" si="136"/>
        <v>154</v>
      </c>
      <c r="F1273" s="5" t="str">
        <f>IF(C1273=0,"Broadcast",IF(D1273="",IF(E1273="","",IF(E1273&lt;128,"Verbind "&amp;E1273,INDEX(KdoCodeTab,MATCH(E1273,KdoWertTab,0)))),"StatusAbfr "&amp;D1273))</f>
        <v>MarkWdh</v>
      </c>
      <c r="G1273" t="str">
        <f t="shared" si="137"/>
        <v/>
      </c>
      <c r="H1273" t="str">
        <f t="shared" si="138"/>
        <v>MarkWdh</v>
      </c>
      <c r="I1273" t="str">
        <f t="shared" si="139"/>
        <v/>
      </c>
    </row>
    <row r="1274" spans="1:9" x14ac:dyDescent="0.25">
      <c r="A1274" t="s">
        <v>865</v>
      </c>
      <c r="B1274" s="6">
        <f t="shared" si="140"/>
        <v>1.869</v>
      </c>
      <c r="C1274" s="3">
        <f t="shared" si="141"/>
        <v>31</v>
      </c>
      <c r="D1274" s="3" t="str">
        <f t="shared" si="135"/>
        <v/>
      </c>
      <c r="E1274" s="3">
        <f t="shared" si="136"/>
        <v>147</v>
      </c>
      <c r="F1274" s="5" t="str">
        <f>IF(C1274=0,"Broadcast",IF(D1274="",IF(E1274="","",IF(E1274&lt;128,"Verbind "&amp;E1274,INDEX(KdoCodeTab,MATCH(E1274,KdoWertTab,0)))),"StatusAbfr "&amp;D1274))</f>
        <v>Space</v>
      </c>
      <c r="G1274" t="str">
        <f t="shared" si="137"/>
        <v/>
      </c>
      <c r="H1274" t="str">
        <f t="shared" si="138"/>
        <v>Space</v>
      </c>
      <c r="I1274" t="str">
        <f t="shared" si="139"/>
        <v/>
      </c>
    </row>
    <row r="1275" spans="1:9" x14ac:dyDescent="0.25">
      <c r="A1275" t="s">
        <v>866</v>
      </c>
      <c r="B1275" s="6">
        <f t="shared" si="140"/>
        <v>1.875</v>
      </c>
      <c r="C1275" s="3">
        <f t="shared" si="141"/>
        <v>31</v>
      </c>
      <c r="D1275" s="3" t="str">
        <f t="shared" ref="D1275:D1338" si="142">IF(MID(A1275,10,1)="&lt;",MID(A1275,12,2),"")</f>
        <v/>
      </c>
      <c r="E1275" s="3">
        <f t="shared" ref="E1275:E1338" si="143">IF(MID(A1275,10,1)="&gt;",HEX2DEC(MID(A1275,12,2)),"")</f>
        <v>150</v>
      </c>
      <c r="F1275" s="5" t="str">
        <f>IF(C1275=0,"Broadcast",IF(D1275="",IF(E1275="","",IF(E1275&lt;128,"Verbind "&amp;E1275,INDEX(KdoCodeTab,MATCH(E1275,KdoWertTab,0)))),"StatusAbfr "&amp;D1275))</f>
        <v>SpaceWdh</v>
      </c>
      <c r="G1275" t="str">
        <f t="shared" ref="G1275:G1338" si="144">IF(C1275=$G$2,F1275,"")</f>
        <v/>
      </c>
      <c r="H1275" t="str">
        <f t="shared" ref="H1275:H1338" si="145">IF(C1275=$H$2,F1275,"")</f>
        <v>SpaceWdh</v>
      </c>
      <c r="I1275" t="str">
        <f t="shared" ref="I1275:I1338" si="146">IF(G1275&amp;H1275="",F1275,"")</f>
        <v/>
      </c>
    </row>
    <row r="1276" spans="1:9" x14ac:dyDescent="0.25">
      <c r="A1276" t="s">
        <v>867</v>
      </c>
      <c r="B1276" s="6">
        <f t="shared" si="140"/>
        <v>1.9496666666666667</v>
      </c>
      <c r="C1276" s="3">
        <f t="shared" si="141"/>
        <v>31</v>
      </c>
      <c r="D1276" s="3" t="str">
        <f t="shared" si="142"/>
        <v/>
      </c>
      <c r="E1276" s="3">
        <f t="shared" si="143"/>
        <v>156</v>
      </c>
      <c r="F1276" s="5" t="str">
        <f>IF(C1276=0,"Broadcast",IF(D1276="",IF(E1276="","",IF(E1276&lt;128,"Verbind "&amp;E1276,INDEX(KdoCodeTab,MATCH(E1276,KdoWertTab,0)))),"StatusAbfr "&amp;D1276))</f>
        <v>Mark</v>
      </c>
      <c r="G1276" t="str">
        <f t="shared" si="144"/>
        <v/>
      </c>
      <c r="H1276" t="str">
        <f t="shared" si="145"/>
        <v>Mark</v>
      </c>
      <c r="I1276" t="str">
        <f t="shared" si="146"/>
        <v/>
      </c>
    </row>
    <row r="1277" spans="1:9" x14ac:dyDescent="0.25">
      <c r="A1277" t="s">
        <v>868</v>
      </c>
      <c r="B1277" s="6">
        <f t="shared" si="140"/>
        <v>1.9556666666666667</v>
      </c>
      <c r="C1277" s="3">
        <f t="shared" si="141"/>
        <v>31</v>
      </c>
      <c r="D1277" s="3" t="str">
        <f t="shared" si="142"/>
        <v/>
      </c>
      <c r="E1277" s="3">
        <f t="shared" si="143"/>
        <v>154</v>
      </c>
      <c r="F1277" s="5" t="str">
        <f>IF(C1277=0,"Broadcast",IF(D1277="",IF(E1277="","",IF(E1277&lt;128,"Verbind "&amp;E1277,INDEX(KdoCodeTab,MATCH(E1277,KdoWertTab,0)))),"StatusAbfr "&amp;D1277))</f>
        <v>MarkWdh</v>
      </c>
      <c r="G1277" t="str">
        <f t="shared" si="144"/>
        <v/>
      </c>
      <c r="H1277" t="str">
        <f t="shared" si="145"/>
        <v>MarkWdh</v>
      </c>
      <c r="I1277" t="str">
        <f t="shared" si="146"/>
        <v/>
      </c>
    </row>
    <row r="1278" spans="1:9" x14ac:dyDescent="0.25">
      <c r="A1278" t="s">
        <v>869</v>
      </c>
      <c r="B1278" s="6">
        <f t="shared" si="140"/>
        <v>2</v>
      </c>
      <c r="C1278" s="3">
        <f t="shared" si="141"/>
        <v>31</v>
      </c>
      <c r="D1278" s="3" t="str">
        <f t="shared" si="142"/>
        <v/>
      </c>
      <c r="E1278" s="3">
        <f t="shared" si="143"/>
        <v>147</v>
      </c>
      <c r="F1278" s="5" t="str">
        <f>IF(C1278=0,"Broadcast",IF(D1278="",IF(E1278="","",IF(E1278&lt;128,"Verbind "&amp;E1278,INDEX(KdoCodeTab,MATCH(E1278,KdoWertTab,0)))),"StatusAbfr "&amp;D1278))</f>
        <v>Space</v>
      </c>
      <c r="G1278" t="str">
        <f t="shared" si="144"/>
        <v/>
      </c>
      <c r="H1278" t="str">
        <f t="shared" si="145"/>
        <v>Space</v>
      </c>
      <c r="I1278" t="str">
        <f t="shared" si="146"/>
        <v/>
      </c>
    </row>
    <row r="1279" spans="1:9" x14ac:dyDescent="0.25">
      <c r="A1279" t="s">
        <v>870</v>
      </c>
      <c r="B1279" s="6">
        <f t="shared" si="140"/>
        <v>2.0059999999999998</v>
      </c>
      <c r="C1279" s="3">
        <f t="shared" si="141"/>
        <v>31</v>
      </c>
      <c r="D1279" s="3" t="str">
        <f t="shared" si="142"/>
        <v/>
      </c>
      <c r="E1279" s="3">
        <f t="shared" si="143"/>
        <v>150</v>
      </c>
      <c r="F1279" s="5" t="str">
        <f>IF(C1279=0,"Broadcast",IF(D1279="",IF(E1279="","",IF(E1279&lt;128,"Verbind "&amp;E1279,INDEX(KdoCodeTab,MATCH(E1279,KdoWertTab,0)))),"StatusAbfr "&amp;D1279))</f>
        <v>SpaceWdh</v>
      </c>
      <c r="G1279" t="str">
        <f t="shared" si="144"/>
        <v/>
      </c>
      <c r="H1279" t="str">
        <f t="shared" si="145"/>
        <v>SpaceWdh</v>
      </c>
      <c r="I1279" t="str">
        <f t="shared" si="146"/>
        <v/>
      </c>
    </row>
    <row r="1280" spans="1:9" x14ac:dyDescent="0.25">
      <c r="A1280" t="s">
        <v>871</v>
      </c>
      <c r="B1280" s="6">
        <f t="shared" si="140"/>
        <v>2.0201666666666669</v>
      </c>
      <c r="C1280" s="3">
        <f t="shared" si="141"/>
        <v>19</v>
      </c>
      <c r="D1280" s="3" t="str">
        <f t="shared" si="142"/>
        <v/>
      </c>
      <c r="E1280" s="3" t="str">
        <f t="shared" si="143"/>
        <v/>
      </c>
      <c r="F1280" s="5" t="str">
        <f>IF(C1280=0,"Broadcast",IF(D1280="",IF(E1280="","",IF(E1280&lt;128,"Verbind "&amp;E1280,INDEX(KdoCodeTab,MATCH(E1280,KdoWertTab,0)))),"StatusAbfr "&amp;D1280))</f>
        <v/>
      </c>
      <c r="G1280" t="str">
        <f t="shared" si="144"/>
        <v/>
      </c>
      <c r="H1280" t="str">
        <f t="shared" si="145"/>
        <v/>
      </c>
      <c r="I1280" t="str">
        <f t="shared" si="146"/>
        <v/>
      </c>
    </row>
    <row r="1281" spans="1:9" x14ac:dyDescent="0.25">
      <c r="A1281" t="s">
        <v>872</v>
      </c>
      <c r="B1281" s="6">
        <f t="shared" si="140"/>
        <v>2.0261666666666667</v>
      </c>
      <c r="C1281" s="3">
        <f t="shared" si="141"/>
        <v>31</v>
      </c>
      <c r="D1281" s="3" t="str">
        <f t="shared" si="142"/>
        <v/>
      </c>
      <c r="E1281" s="3">
        <f t="shared" si="143"/>
        <v>154</v>
      </c>
      <c r="F1281" s="5" t="str">
        <f>IF(C1281=0,"Broadcast",IF(D1281="",IF(E1281="","",IF(E1281&lt;128,"Verbind "&amp;E1281,INDEX(KdoCodeTab,MATCH(E1281,KdoWertTab,0)))),"StatusAbfr "&amp;D1281))</f>
        <v>MarkWdh</v>
      </c>
      <c r="G1281" t="str">
        <f t="shared" si="144"/>
        <v/>
      </c>
      <c r="H1281" t="str">
        <f t="shared" si="145"/>
        <v>MarkWdh</v>
      </c>
      <c r="I1281" t="str">
        <f t="shared" si="146"/>
        <v/>
      </c>
    </row>
    <row r="1282" spans="1:9" x14ac:dyDescent="0.25">
      <c r="A1282" t="s">
        <v>873</v>
      </c>
      <c r="B1282" s="6">
        <f t="shared" si="140"/>
        <v>2.0806666666666667</v>
      </c>
      <c r="C1282" s="3">
        <f t="shared" si="141"/>
        <v>18</v>
      </c>
      <c r="D1282" s="3" t="str">
        <f t="shared" si="142"/>
        <v/>
      </c>
      <c r="E1282" s="3">
        <f t="shared" si="143"/>
        <v>0</v>
      </c>
      <c r="F1282" s="5" t="str">
        <f>IF(C1282=0,"Broadcast",IF(D1282="",IF(E1282="","",IF(E1282&lt;128,"Verbind "&amp;E1282,INDEX(KdoCodeTab,MATCH(E1282,KdoWertTab,0)))),"StatusAbfr "&amp;D1282))</f>
        <v>Verbind 0</v>
      </c>
      <c r="G1282" t="str">
        <f t="shared" si="144"/>
        <v/>
      </c>
      <c r="H1282" t="str">
        <f t="shared" si="145"/>
        <v/>
      </c>
      <c r="I1282" t="str">
        <f t="shared" si="146"/>
        <v>Verbind 0</v>
      </c>
    </row>
    <row r="1283" spans="1:9" x14ac:dyDescent="0.25">
      <c r="A1283" t="s">
        <v>874</v>
      </c>
      <c r="B1283" s="6">
        <f t="shared" si="140"/>
        <v>2.0866666666666664</v>
      </c>
      <c r="C1283" s="3">
        <f t="shared" si="141"/>
        <v>31</v>
      </c>
      <c r="D1283" s="3" t="str">
        <f t="shared" si="142"/>
        <v/>
      </c>
      <c r="E1283" s="3">
        <f t="shared" si="143"/>
        <v>150</v>
      </c>
      <c r="F1283" s="5" t="str">
        <f>IF(C1283=0,"Broadcast",IF(D1283="",IF(E1283="","",IF(E1283&lt;128,"Verbind "&amp;E1283,INDEX(KdoCodeTab,MATCH(E1283,KdoWertTab,0)))),"StatusAbfr "&amp;D1283))</f>
        <v>SpaceWdh</v>
      </c>
      <c r="G1283" t="str">
        <f t="shared" si="144"/>
        <v/>
      </c>
      <c r="H1283" t="str">
        <f t="shared" si="145"/>
        <v>SpaceWdh</v>
      </c>
      <c r="I1283" t="str">
        <f t="shared" si="146"/>
        <v/>
      </c>
    </row>
    <row r="1284" spans="1:9" x14ac:dyDescent="0.25">
      <c r="A1284" t="s">
        <v>875</v>
      </c>
      <c r="B1284" s="6">
        <f t="shared" si="140"/>
        <v>2.121</v>
      </c>
      <c r="C1284" s="3">
        <f t="shared" si="141"/>
        <v>31</v>
      </c>
      <c r="D1284" s="3" t="str">
        <f t="shared" si="142"/>
        <v/>
      </c>
      <c r="E1284" s="3">
        <f t="shared" si="143"/>
        <v>156</v>
      </c>
      <c r="F1284" s="5" t="str">
        <f>IF(C1284=0,"Broadcast",IF(D1284="",IF(E1284="","",IF(E1284&lt;128,"Verbind "&amp;E1284,INDEX(KdoCodeTab,MATCH(E1284,KdoWertTab,0)))),"StatusAbfr "&amp;D1284))</f>
        <v>Mark</v>
      </c>
      <c r="G1284" t="str">
        <f t="shared" si="144"/>
        <v/>
      </c>
      <c r="H1284" t="str">
        <f t="shared" si="145"/>
        <v>Mark</v>
      </c>
      <c r="I1284" t="str">
        <f t="shared" si="146"/>
        <v/>
      </c>
    </row>
    <row r="1285" spans="1:9" x14ac:dyDescent="0.25">
      <c r="A1285" t="s">
        <v>876</v>
      </c>
      <c r="B1285" s="6">
        <f t="shared" ref="B1285:B1348" si="147">MID(A1285,1,5)/1000+(CODE(MID(A1285,6,1))-CODE("a"))/6000</f>
        <v>2.1269999999999998</v>
      </c>
      <c r="C1285" s="3">
        <f t="shared" ref="C1285:C1348" si="148">INT(HEX2DEC(MID(A1285,8,2))/2)</f>
        <v>31</v>
      </c>
      <c r="D1285" s="3" t="str">
        <f t="shared" si="142"/>
        <v/>
      </c>
      <c r="E1285" s="3">
        <f t="shared" si="143"/>
        <v>154</v>
      </c>
      <c r="F1285" s="5" t="str">
        <f>IF(C1285=0,"Broadcast",IF(D1285="",IF(E1285="","",IF(E1285&lt;128,"Verbind "&amp;E1285,INDEX(KdoCodeTab,MATCH(E1285,KdoWertTab,0)))),"StatusAbfr "&amp;D1285))</f>
        <v>MarkWdh</v>
      </c>
      <c r="G1285" t="str">
        <f t="shared" si="144"/>
        <v/>
      </c>
      <c r="H1285" t="str">
        <f t="shared" si="145"/>
        <v>MarkWdh</v>
      </c>
      <c r="I1285" t="str">
        <f t="shared" si="146"/>
        <v/>
      </c>
    </row>
    <row r="1286" spans="1:9" x14ac:dyDescent="0.25">
      <c r="A1286" t="s">
        <v>877</v>
      </c>
      <c r="B1286" s="6">
        <f t="shared" si="147"/>
        <v>2.1693333333333333</v>
      </c>
      <c r="C1286" s="3">
        <f t="shared" si="148"/>
        <v>31</v>
      </c>
      <c r="D1286" s="3" t="str">
        <f t="shared" si="142"/>
        <v/>
      </c>
      <c r="E1286" s="3">
        <f t="shared" si="143"/>
        <v>147</v>
      </c>
      <c r="F1286" s="5" t="str">
        <f>IF(C1286=0,"Broadcast",IF(D1286="",IF(E1286="","",IF(E1286&lt;128,"Verbind "&amp;E1286,INDEX(KdoCodeTab,MATCH(E1286,KdoWertTab,0)))),"StatusAbfr "&amp;D1286))</f>
        <v>Space</v>
      </c>
      <c r="G1286" t="str">
        <f t="shared" si="144"/>
        <v/>
      </c>
      <c r="H1286" t="str">
        <f t="shared" si="145"/>
        <v>Space</v>
      </c>
      <c r="I1286" t="str">
        <f t="shared" si="146"/>
        <v/>
      </c>
    </row>
    <row r="1287" spans="1:9" x14ac:dyDescent="0.25">
      <c r="A1287" t="s">
        <v>878</v>
      </c>
      <c r="B1287" s="6">
        <f t="shared" si="147"/>
        <v>2.1753333333333331</v>
      </c>
      <c r="C1287" s="3">
        <f t="shared" si="148"/>
        <v>31</v>
      </c>
      <c r="D1287" s="3" t="str">
        <f t="shared" si="142"/>
        <v/>
      </c>
      <c r="E1287" s="3">
        <f t="shared" si="143"/>
        <v>150</v>
      </c>
      <c r="F1287" s="5" t="str">
        <f>IF(C1287=0,"Broadcast",IF(D1287="",IF(E1287="","",IF(E1287&lt;128,"Verbind "&amp;E1287,INDEX(KdoCodeTab,MATCH(E1287,KdoWertTab,0)))),"StatusAbfr "&amp;D1287))</f>
        <v>SpaceWdh</v>
      </c>
      <c r="G1287" t="str">
        <f t="shared" si="144"/>
        <v/>
      </c>
      <c r="H1287" t="str">
        <f t="shared" si="145"/>
        <v>SpaceWdh</v>
      </c>
      <c r="I1287" t="str">
        <f t="shared" si="146"/>
        <v/>
      </c>
    </row>
    <row r="1288" spans="1:9" x14ac:dyDescent="0.25">
      <c r="A1288" t="s">
        <v>879</v>
      </c>
      <c r="B1288" s="6">
        <f t="shared" si="147"/>
        <v>2.2298333333333336</v>
      </c>
      <c r="C1288" s="3">
        <f t="shared" si="148"/>
        <v>31</v>
      </c>
      <c r="D1288" s="3" t="str">
        <f t="shared" si="142"/>
        <v/>
      </c>
      <c r="E1288" s="3">
        <f t="shared" si="143"/>
        <v>156</v>
      </c>
      <c r="F1288" s="5" t="str">
        <f>IF(C1288=0,"Broadcast",IF(D1288="",IF(E1288="","",IF(E1288&lt;128,"Verbind "&amp;E1288,INDEX(KdoCodeTab,MATCH(E1288,KdoWertTab,0)))),"StatusAbfr "&amp;D1288))</f>
        <v>Mark</v>
      </c>
      <c r="G1288" t="str">
        <f t="shared" si="144"/>
        <v/>
      </c>
      <c r="H1288" t="str">
        <f t="shared" si="145"/>
        <v>Mark</v>
      </c>
      <c r="I1288" t="str">
        <f t="shared" si="146"/>
        <v/>
      </c>
    </row>
    <row r="1289" spans="1:9" x14ac:dyDescent="0.25">
      <c r="A1289" t="s">
        <v>880</v>
      </c>
      <c r="B1289" s="6">
        <f t="shared" si="147"/>
        <v>2.2358333333333333</v>
      </c>
      <c r="C1289" s="3">
        <f t="shared" si="148"/>
        <v>31</v>
      </c>
      <c r="D1289" s="3" t="str">
        <f t="shared" si="142"/>
        <v/>
      </c>
      <c r="E1289" s="3">
        <f t="shared" si="143"/>
        <v>154</v>
      </c>
      <c r="F1289" s="5" t="str">
        <f>IF(C1289=0,"Broadcast",IF(D1289="",IF(E1289="","",IF(E1289&lt;128,"Verbind "&amp;E1289,INDEX(KdoCodeTab,MATCH(E1289,KdoWertTab,0)))),"StatusAbfr "&amp;D1289))</f>
        <v>MarkWdh</v>
      </c>
      <c r="G1289" t="str">
        <f t="shared" si="144"/>
        <v/>
      </c>
      <c r="H1289" t="str">
        <f t="shared" si="145"/>
        <v>MarkWdh</v>
      </c>
      <c r="I1289" t="str">
        <f t="shared" si="146"/>
        <v/>
      </c>
    </row>
    <row r="1290" spans="1:9" x14ac:dyDescent="0.25">
      <c r="A1290" t="s">
        <v>881</v>
      </c>
      <c r="B1290" s="6">
        <f t="shared" si="147"/>
        <v>2.25</v>
      </c>
      <c r="C1290" s="3">
        <f t="shared" si="148"/>
        <v>31</v>
      </c>
      <c r="D1290" s="3" t="str">
        <f t="shared" si="142"/>
        <v/>
      </c>
      <c r="E1290" s="3">
        <f t="shared" si="143"/>
        <v>147</v>
      </c>
      <c r="F1290" s="5" t="str">
        <f>IF(C1290=0,"Broadcast",IF(D1290="",IF(E1290="","",IF(E1290&lt;128,"Verbind "&amp;E1290,INDEX(KdoCodeTab,MATCH(E1290,KdoWertTab,0)))),"StatusAbfr "&amp;D1290))</f>
        <v>Space</v>
      </c>
      <c r="G1290" t="str">
        <f t="shared" si="144"/>
        <v/>
      </c>
      <c r="H1290" t="str">
        <f t="shared" si="145"/>
        <v>Space</v>
      </c>
      <c r="I1290" t="str">
        <f t="shared" si="146"/>
        <v/>
      </c>
    </row>
    <row r="1291" spans="1:9" x14ac:dyDescent="0.25">
      <c r="A1291" t="s">
        <v>882</v>
      </c>
      <c r="B1291" s="6">
        <f t="shared" si="147"/>
        <v>2.2568333333333332</v>
      </c>
      <c r="C1291" s="3">
        <f t="shared" si="148"/>
        <v>18</v>
      </c>
      <c r="D1291" s="3" t="str">
        <f t="shared" si="142"/>
        <v/>
      </c>
      <c r="E1291" s="3" t="str">
        <f t="shared" si="143"/>
        <v/>
      </c>
      <c r="F1291" s="5" t="str">
        <f>IF(C1291=0,"Broadcast",IF(D1291="",IF(E1291="","",IF(E1291&lt;128,"Verbind "&amp;E1291,INDEX(KdoCodeTab,MATCH(E1291,KdoWertTab,0)))),"StatusAbfr "&amp;D1291))</f>
        <v/>
      </c>
      <c r="G1291" t="str">
        <f t="shared" si="144"/>
        <v/>
      </c>
      <c r="H1291" t="str">
        <f t="shared" si="145"/>
        <v/>
      </c>
      <c r="I1291" t="str">
        <f t="shared" si="146"/>
        <v/>
      </c>
    </row>
    <row r="1292" spans="1:9" x14ac:dyDescent="0.25">
      <c r="A1292" t="s">
        <v>883</v>
      </c>
      <c r="B1292" s="6">
        <f t="shared" si="147"/>
        <v>2.2903333333333333</v>
      </c>
      <c r="C1292" s="3">
        <f t="shared" si="148"/>
        <v>31</v>
      </c>
      <c r="D1292" s="3" t="str">
        <f t="shared" si="142"/>
        <v/>
      </c>
      <c r="E1292" s="3">
        <f t="shared" si="143"/>
        <v>156</v>
      </c>
      <c r="F1292" s="5" t="str">
        <f>IF(C1292=0,"Broadcast",IF(D1292="",IF(E1292="","",IF(E1292&lt;128,"Verbind "&amp;E1292,INDEX(KdoCodeTab,MATCH(E1292,KdoWertTab,0)))),"StatusAbfr "&amp;D1292))</f>
        <v>Mark</v>
      </c>
      <c r="G1292" t="str">
        <f t="shared" si="144"/>
        <v/>
      </c>
      <c r="H1292" t="str">
        <f t="shared" si="145"/>
        <v>Mark</v>
      </c>
      <c r="I1292" t="str">
        <f t="shared" si="146"/>
        <v/>
      </c>
    </row>
    <row r="1293" spans="1:9" x14ac:dyDescent="0.25">
      <c r="A1293" t="s">
        <v>884</v>
      </c>
      <c r="B1293" s="6">
        <f t="shared" si="147"/>
        <v>2.2963333333333331</v>
      </c>
      <c r="C1293" s="3">
        <f t="shared" si="148"/>
        <v>31</v>
      </c>
      <c r="D1293" s="3" t="str">
        <f t="shared" si="142"/>
        <v/>
      </c>
      <c r="E1293" s="3">
        <f t="shared" si="143"/>
        <v>154</v>
      </c>
      <c r="F1293" s="5" t="str">
        <f>IF(C1293=0,"Broadcast",IF(D1293="",IF(E1293="","",IF(E1293&lt;128,"Verbind "&amp;E1293,INDEX(KdoCodeTab,MATCH(E1293,KdoWertTab,0)))),"StatusAbfr "&amp;D1293))</f>
        <v>MarkWdh</v>
      </c>
      <c r="G1293" t="str">
        <f t="shared" si="144"/>
        <v/>
      </c>
      <c r="H1293" t="str">
        <f t="shared" si="145"/>
        <v>MarkWdh</v>
      </c>
      <c r="I1293" t="str">
        <f t="shared" si="146"/>
        <v/>
      </c>
    </row>
    <row r="1294" spans="1:9" x14ac:dyDescent="0.25">
      <c r="A1294" t="s">
        <v>885</v>
      </c>
      <c r="B1294" s="6">
        <f t="shared" si="147"/>
        <v>2.3406666666666665</v>
      </c>
      <c r="C1294" s="3">
        <f t="shared" si="148"/>
        <v>31</v>
      </c>
      <c r="D1294" s="3" t="str">
        <f t="shared" si="142"/>
        <v/>
      </c>
      <c r="E1294" s="3">
        <f t="shared" si="143"/>
        <v>147</v>
      </c>
      <c r="F1294" s="5" t="str">
        <f>IF(C1294=0,"Broadcast",IF(D1294="",IF(E1294="","",IF(E1294&lt;128,"Verbind "&amp;E1294,INDEX(KdoCodeTab,MATCH(E1294,KdoWertTab,0)))),"StatusAbfr "&amp;D1294))</f>
        <v>Space</v>
      </c>
      <c r="G1294" t="str">
        <f t="shared" si="144"/>
        <v/>
      </c>
      <c r="H1294" t="str">
        <f t="shared" si="145"/>
        <v>Space</v>
      </c>
      <c r="I1294" t="str">
        <f t="shared" si="146"/>
        <v/>
      </c>
    </row>
    <row r="1295" spans="1:9" x14ac:dyDescent="0.25">
      <c r="A1295" t="s">
        <v>886</v>
      </c>
      <c r="B1295" s="6">
        <f t="shared" si="147"/>
        <v>2.3466666666666667</v>
      </c>
      <c r="C1295" s="3">
        <f t="shared" si="148"/>
        <v>31</v>
      </c>
      <c r="D1295" s="3" t="str">
        <f t="shared" si="142"/>
        <v/>
      </c>
      <c r="E1295" s="3">
        <f t="shared" si="143"/>
        <v>150</v>
      </c>
      <c r="F1295" s="5" t="str">
        <f>IF(C1295=0,"Broadcast",IF(D1295="",IF(E1295="","",IF(E1295&lt;128,"Verbind "&amp;E1295,INDEX(KdoCodeTab,MATCH(E1295,KdoWertTab,0)))),"StatusAbfr "&amp;D1295))</f>
        <v>SpaceWdh</v>
      </c>
      <c r="G1295" t="str">
        <f t="shared" si="144"/>
        <v/>
      </c>
      <c r="H1295" t="str">
        <f t="shared" si="145"/>
        <v>SpaceWdh</v>
      </c>
      <c r="I1295" t="str">
        <f t="shared" si="146"/>
        <v/>
      </c>
    </row>
    <row r="1296" spans="1:9" x14ac:dyDescent="0.25">
      <c r="A1296" t="s">
        <v>887</v>
      </c>
      <c r="B1296" s="6">
        <f t="shared" si="147"/>
        <v>2.3608333333333333</v>
      </c>
      <c r="C1296" s="3">
        <f t="shared" si="148"/>
        <v>31</v>
      </c>
      <c r="D1296" s="3" t="str">
        <f t="shared" si="142"/>
        <v/>
      </c>
      <c r="E1296" s="3">
        <f t="shared" si="143"/>
        <v>156</v>
      </c>
      <c r="F1296" s="5" t="str">
        <f>IF(C1296=0,"Broadcast",IF(D1296="",IF(E1296="","",IF(E1296&lt;128,"Verbind "&amp;E1296,INDEX(KdoCodeTab,MATCH(E1296,KdoWertTab,0)))),"StatusAbfr "&amp;D1296))</f>
        <v>Mark</v>
      </c>
      <c r="G1296" t="str">
        <f t="shared" si="144"/>
        <v/>
      </c>
      <c r="H1296" t="str">
        <f t="shared" si="145"/>
        <v>Mark</v>
      </c>
      <c r="I1296" t="str">
        <f t="shared" si="146"/>
        <v/>
      </c>
    </row>
    <row r="1297" spans="1:9" x14ac:dyDescent="0.25">
      <c r="A1297" t="s">
        <v>888</v>
      </c>
      <c r="B1297" s="6">
        <f t="shared" si="147"/>
        <v>2.3668333333333336</v>
      </c>
      <c r="C1297" s="3">
        <f t="shared" si="148"/>
        <v>31</v>
      </c>
      <c r="D1297" s="3" t="str">
        <f t="shared" si="142"/>
        <v/>
      </c>
      <c r="E1297" s="3">
        <f t="shared" si="143"/>
        <v>154</v>
      </c>
      <c r="F1297" s="5" t="str">
        <f>IF(C1297=0,"Broadcast",IF(D1297="",IF(E1297="","",IF(E1297&lt;128,"Verbind "&amp;E1297,INDEX(KdoCodeTab,MATCH(E1297,KdoWertTab,0)))),"StatusAbfr "&amp;D1297))</f>
        <v>MarkWdh</v>
      </c>
      <c r="G1297" t="str">
        <f t="shared" si="144"/>
        <v/>
      </c>
      <c r="H1297" t="str">
        <f t="shared" si="145"/>
        <v>MarkWdh</v>
      </c>
      <c r="I1297" t="str">
        <f t="shared" si="146"/>
        <v/>
      </c>
    </row>
    <row r="1298" spans="1:9" x14ac:dyDescent="0.25">
      <c r="A1298" t="s">
        <v>889</v>
      </c>
      <c r="B1298" s="6">
        <f t="shared" si="147"/>
        <v>2.3809999999999998</v>
      </c>
      <c r="C1298" s="3">
        <f t="shared" si="148"/>
        <v>31</v>
      </c>
      <c r="D1298" s="3" t="str">
        <f t="shared" si="142"/>
        <v/>
      </c>
      <c r="E1298" s="3">
        <f t="shared" si="143"/>
        <v>147</v>
      </c>
      <c r="F1298" s="5" t="str">
        <f>IF(C1298=0,"Broadcast",IF(D1298="",IF(E1298="","",IF(E1298&lt;128,"Verbind "&amp;E1298,INDEX(KdoCodeTab,MATCH(E1298,KdoWertTab,0)))),"StatusAbfr "&amp;D1298))</f>
        <v>Space</v>
      </c>
      <c r="G1298" t="str">
        <f t="shared" si="144"/>
        <v/>
      </c>
      <c r="H1298" t="str">
        <f t="shared" si="145"/>
        <v>Space</v>
      </c>
      <c r="I1298" t="str">
        <f t="shared" si="146"/>
        <v/>
      </c>
    </row>
    <row r="1299" spans="1:9" x14ac:dyDescent="0.25">
      <c r="A1299" t="s">
        <v>890</v>
      </c>
      <c r="B1299" s="6">
        <f t="shared" si="147"/>
        <v>2.387</v>
      </c>
      <c r="C1299" s="3">
        <f t="shared" si="148"/>
        <v>31</v>
      </c>
      <c r="D1299" s="3" t="str">
        <f t="shared" si="142"/>
        <v/>
      </c>
      <c r="E1299" s="3">
        <f t="shared" si="143"/>
        <v>150</v>
      </c>
      <c r="F1299" s="5" t="str">
        <f>IF(C1299=0,"Broadcast",IF(D1299="",IF(E1299="","",IF(E1299&lt;128,"Verbind "&amp;E1299,INDEX(KdoCodeTab,MATCH(E1299,KdoWertTab,0)))),"StatusAbfr "&amp;D1299))</f>
        <v>SpaceWdh</v>
      </c>
      <c r="G1299" t="str">
        <f t="shared" si="144"/>
        <v/>
      </c>
      <c r="H1299" t="str">
        <f t="shared" si="145"/>
        <v>SpaceWdh</v>
      </c>
      <c r="I1299" t="str">
        <f t="shared" si="146"/>
        <v/>
      </c>
    </row>
    <row r="1300" spans="1:9" x14ac:dyDescent="0.25">
      <c r="A1300" t="s">
        <v>891</v>
      </c>
      <c r="B1300" s="6">
        <f t="shared" si="147"/>
        <v>2.4213333333333331</v>
      </c>
      <c r="C1300" s="3">
        <f t="shared" si="148"/>
        <v>31</v>
      </c>
      <c r="D1300" s="3" t="str">
        <f t="shared" si="142"/>
        <v/>
      </c>
      <c r="E1300" s="3">
        <f t="shared" si="143"/>
        <v>156</v>
      </c>
      <c r="F1300" s="5" t="str">
        <f>IF(C1300=0,"Broadcast",IF(D1300="",IF(E1300="","",IF(E1300&lt;128,"Verbind "&amp;E1300,INDEX(KdoCodeTab,MATCH(E1300,KdoWertTab,0)))),"StatusAbfr "&amp;D1300))</f>
        <v>Mark</v>
      </c>
      <c r="G1300" t="str">
        <f t="shared" si="144"/>
        <v/>
      </c>
      <c r="H1300" t="str">
        <f t="shared" si="145"/>
        <v>Mark</v>
      </c>
      <c r="I1300" t="str">
        <f t="shared" si="146"/>
        <v/>
      </c>
    </row>
    <row r="1301" spans="1:9" x14ac:dyDescent="0.25">
      <c r="A1301" t="s">
        <v>892</v>
      </c>
      <c r="B1301" s="6">
        <f t="shared" si="147"/>
        <v>2.4276666666666666</v>
      </c>
      <c r="C1301" s="3">
        <f t="shared" si="148"/>
        <v>31</v>
      </c>
      <c r="D1301" s="3" t="str">
        <f t="shared" si="142"/>
        <v/>
      </c>
      <c r="E1301" s="3">
        <f t="shared" si="143"/>
        <v>154</v>
      </c>
      <c r="F1301" s="5" t="str">
        <f>IF(C1301=0,"Broadcast",IF(D1301="",IF(E1301="","",IF(E1301&lt;128,"Verbind "&amp;E1301,INDEX(KdoCodeTab,MATCH(E1301,KdoWertTab,0)))),"StatusAbfr "&amp;D1301))</f>
        <v>MarkWdh</v>
      </c>
      <c r="G1301" t="str">
        <f t="shared" si="144"/>
        <v/>
      </c>
      <c r="H1301" t="str">
        <f t="shared" si="145"/>
        <v>MarkWdh</v>
      </c>
      <c r="I1301" t="str">
        <f t="shared" si="146"/>
        <v/>
      </c>
    </row>
    <row r="1302" spans="1:9" x14ac:dyDescent="0.25">
      <c r="A1302" t="s">
        <v>893</v>
      </c>
      <c r="B1302" s="6">
        <f t="shared" si="147"/>
        <v>2.4415</v>
      </c>
      <c r="C1302" s="3">
        <f t="shared" si="148"/>
        <v>31</v>
      </c>
      <c r="D1302" s="3" t="str">
        <f t="shared" si="142"/>
        <v/>
      </c>
      <c r="E1302" s="3">
        <f t="shared" si="143"/>
        <v>147</v>
      </c>
      <c r="F1302" s="5" t="str">
        <f>IF(C1302=0,"Broadcast",IF(D1302="",IF(E1302="","",IF(E1302&lt;128,"Verbind "&amp;E1302,INDEX(KdoCodeTab,MATCH(E1302,KdoWertTab,0)))),"StatusAbfr "&amp;D1302))</f>
        <v>Space</v>
      </c>
      <c r="G1302" t="str">
        <f t="shared" si="144"/>
        <v/>
      </c>
      <c r="H1302" t="str">
        <f t="shared" si="145"/>
        <v>Space</v>
      </c>
      <c r="I1302" t="str">
        <f t="shared" si="146"/>
        <v/>
      </c>
    </row>
    <row r="1303" spans="1:9" x14ac:dyDescent="0.25">
      <c r="A1303" t="s">
        <v>894</v>
      </c>
      <c r="B1303" s="6">
        <f t="shared" si="147"/>
        <v>2.4475000000000002</v>
      </c>
      <c r="C1303" s="3">
        <f t="shared" si="148"/>
        <v>31</v>
      </c>
      <c r="D1303" s="3" t="str">
        <f t="shared" si="142"/>
        <v/>
      </c>
      <c r="E1303" s="3">
        <f t="shared" si="143"/>
        <v>150</v>
      </c>
      <c r="F1303" s="5" t="str">
        <f>IF(C1303=0,"Broadcast",IF(D1303="",IF(E1303="","",IF(E1303&lt;128,"Verbind "&amp;E1303,INDEX(KdoCodeTab,MATCH(E1303,KdoWertTab,0)))),"StatusAbfr "&amp;D1303))</f>
        <v>SpaceWdh</v>
      </c>
      <c r="G1303" t="str">
        <f t="shared" si="144"/>
        <v/>
      </c>
      <c r="H1303" t="str">
        <f t="shared" si="145"/>
        <v>SpaceWdh</v>
      </c>
      <c r="I1303" t="str">
        <f t="shared" si="146"/>
        <v/>
      </c>
    </row>
    <row r="1304" spans="1:9" x14ac:dyDescent="0.25">
      <c r="A1304" t="s">
        <v>895</v>
      </c>
      <c r="B1304" s="6">
        <f t="shared" si="147"/>
        <v>2.4613333333333332</v>
      </c>
      <c r="C1304" s="3">
        <f t="shared" si="148"/>
        <v>101</v>
      </c>
      <c r="D1304" s="3" t="str">
        <f t="shared" si="142"/>
        <v/>
      </c>
      <c r="E1304" s="3">
        <f t="shared" si="143"/>
        <v>169</v>
      </c>
      <c r="F1304" s="5" t="str">
        <f>IF(C1304=0,"Broadcast",IF(D1304="",IF(E1304="","",IF(E1304&lt;128,"Verbind "&amp;E1304,INDEX(KdoCodeTab,MATCH(E1304,KdoWertTab,0)))),"StatusAbfr "&amp;D1304))</f>
        <v>BusLebenszeichen</v>
      </c>
      <c r="G1304" t="str">
        <f t="shared" si="144"/>
        <v>BusLebenszeichen</v>
      </c>
      <c r="H1304" t="str">
        <f t="shared" si="145"/>
        <v/>
      </c>
      <c r="I1304" t="str">
        <f t="shared" si="146"/>
        <v/>
      </c>
    </row>
    <row r="1305" spans="1:9" x14ac:dyDescent="0.25">
      <c r="A1305" t="s">
        <v>896</v>
      </c>
      <c r="B1305" s="6">
        <f t="shared" si="147"/>
        <v>2.4621666666666671</v>
      </c>
      <c r="C1305" s="3">
        <f t="shared" si="148"/>
        <v>31</v>
      </c>
      <c r="D1305" s="3" t="str">
        <f t="shared" si="142"/>
        <v/>
      </c>
      <c r="E1305" s="3">
        <f t="shared" si="143"/>
        <v>156</v>
      </c>
      <c r="F1305" s="5" t="str">
        <f>IF(C1305=0,"Broadcast",IF(D1305="",IF(E1305="","",IF(E1305&lt;128,"Verbind "&amp;E1305,INDEX(KdoCodeTab,MATCH(E1305,KdoWertTab,0)))),"StatusAbfr "&amp;D1305))</f>
        <v>Mark</v>
      </c>
      <c r="G1305" t="str">
        <f t="shared" si="144"/>
        <v/>
      </c>
      <c r="H1305" t="str">
        <f t="shared" si="145"/>
        <v>Mark</v>
      </c>
      <c r="I1305" t="str">
        <f t="shared" si="146"/>
        <v/>
      </c>
    </row>
    <row r="1306" spans="1:9" x14ac:dyDescent="0.25">
      <c r="A1306" t="s">
        <v>897</v>
      </c>
      <c r="B1306" s="6">
        <f t="shared" si="147"/>
        <v>2.4676666666666667</v>
      </c>
      <c r="C1306" s="3">
        <f t="shared" si="148"/>
        <v>31</v>
      </c>
      <c r="D1306" s="3" t="str">
        <f t="shared" si="142"/>
        <v/>
      </c>
      <c r="E1306" s="3">
        <f t="shared" si="143"/>
        <v>154</v>
      </c>
      <c r="F1306" s="5" t="str">
        <f>IF(C1306=0,"Broadcast",IF(D1306="",IF(E1306="","",IF(E1306&lt;128,"Verbind "&amp;E1306,INDEX(KdoCodeTab,MATCH(E1306,KdoWertTab,0)))),"StatusAbfr "&amp;D1306))</f>
        <v>MarkWdh</v>
      </c>
      <c r="G1306" t="str">
        <f t="shared" si="144"/>
        <v/>
      </c>
      <c r="H1306" t="str">
        <f t="shared" si="145"/>
        <v>MarkWdh</v>
      </c>
      <c r="I1306" t="str">
        <f t="shared" si="146"/>
        <v/>
      </c>
    </row>
    <row r="1307" spans="1:9" x14ac:dyDescent="0.25">
      <c r="A1307" t="s">
        <v>898</v>
      </c>
      <c r="B1307" s="6">
        <f t="shared" si="147"/>
        <v>2.512</v>
      </c>
      <c r="C1307" s="3">
        <f t="shared" si="148"/>
        <v>31</v>
      </c>
      <c r="D1307" s="3" t="str">
        <f t="shared" si="142"/>
        <v/>
      </c>
      <c r="E1307" s="3">
        <f t="shared" si="143"/>
        <v>147</v>
      </c>
      <c r="F1307" s="5" t="str">
        <f>IF(C1307=0,"Broadcast",IF(D1307="",IF(E1307="","",IF(E1307&lt;128,"Verbind "&amp;E1307,INDEX(KdoCodeTab,MATCH(E1307,KdoWertTab,0)))),"StatusAbfr "&amp;D1307))</f>
        <v>Space</v>
      </c>
      <c r="G1307" t="str">
        <f t="shared" si="144"/>
        <v/>
      </c>
      <c r="H1307" t="str">
        <f t="shared" si="145"/>
        <v>Space</v>
      </c>
      <c r="I1307" t="str">
        <f t="shared" si="146"/>
        <v/>
      </c>
    </row>
    <row r="1308" spans="1:9" x14ac:dyDescent="0.25">
      <c r="A1308" t="s">
        <v>899</v>
      </c>
      <c r="B1308" s="6">
        <f t="shared" si="147"/>
        <v>2.5181666666666667</v>
      </c>
      <c r="C1308" s="3">
        <f t="shared" si="148"/>
        <v>31</v>
      </c>
      <c r="D1308" s="3" t="str">
        <f t="shared" si="142"/>
        <v/>
      </c>
      <c r="E1308" s="3">
        <f t="shared" si="143"/>
        <v>150</v>
      </c>
      <c r="F1308" s="5" t="str">
        <f>IF(C1308=0,"Broadcast",IF(D1308="",IF(E1308="","",IF(E1308&lt;128,"Verbind "&amp;E1308,INDEX(KdoCodeTab,MATCH(E1308,KdoWertTab,0)))),"StatusAbfr "&amp;D1308))</f>
        <v>SpaceWdh</v>
      </c>
      <c r="G1308" t="str">
        <f t="shared" si="144"/>
        <v/>
      </c>
      <c r="H1308" t="str">
        <f t="shared" si="145"/>
        <v>SpaceWdh</v>
      </c>
      <c r="I1308" t="str">
        <f t="shared" si="146"/>
        <v/>
      </c>
    </row>
    <row r="1309" spans="1:9" x14ac:dyDescent="0.25">
      <c r="A1309" t="s">
        <v>900</v>
      </c>
      <c r="B1309" s="6">
        <f t="shared" si="147"/>
        <v>2.5321666666666669</v>
      </c>
      <c r="C1309" s="3">
        <f t="shared" si="148"/>
        <v>31</v>
      </c>
      <c r="D1309" s="3" t="str">
        <f t="shared" si="142"/>
        <v/>
      </c>
      <c r="E1309" s="3">
        <f t="shared" si="143"/>
        <v>156</v>
      </c>
      <c r="F1309" s="5" t="str">
        <f>IF(C1309=0,"Broadcast",IF(D1309="",IF(E1309="","",IF(E1309&lt;128,"Verbind "&amp;E1309,INDEX(KdoCodeTab,MATCH(E1309,KdoWertTab,0)))),"StatusAbfr "&amp;D1309))</f>
        <v>Mark</v>
      </c>
      <c r="G1309" t="str">
        <f t="shared" si="144"/>
        <v/>
      </c>
      <c r="H1309" t="str">
        <f t="shared" si="145"/>
        <v>Mark</v>
      </c>
      <c r="I1309" t="str">
        <f t="shared" si="146"/>
        <v/>
      </c>
    </row>
    <row r="1310" spans="1:9" x14ac:dyDescent="0.25">
      <c r="A1310" t="s">
        <v>901</v>
      </c>
      <c r="B1310" s="6">
        <f t="shared" si="147"/>
        <v>2.5383333333333331</v>
      </c>
      <c r="C1310" s="3">
        <f t="shared" si="148"/>
        <v>31</v>
      </c>
      <c r="D1310" s="3" t="str">
        <f t="shared" si="142"/>
        <v/>
      </c>
      <c r="E1310" s="3">
        <f t="shared" si="143"/>
        <v>154</v>
      </c>
      <c r="F1310" s="5" t="str">
        <f>IF(C1310=0,"Broadcast",IF(D1310="",IF(E1310="","",IF(E1310&lt;128,"Verbind "&amp;E1310,INDEX(KdoCodeTab,MATCH(E1310,KdoWertTab,0)))),"StatusAbfr "&amp;D1310))</f>
        <v>MarkWdh</v>
      </c>
      <c r="G1310" t="str">
        <f t="shared" si="144"/>
        <v/>
      </c>
      <c r="H1310" t="str">
        <f t="shared" si="145"/>
        <v>MarkWdh</v>
      </c>
      <c r="I1310" t="str">
        <f t="shared" si="146"/>
        <v/>
      </c>
    </row>
    <row r="1311" spans="1:9" x14ac:dyDescent="0.25">
      <c r="A1311" t="s">
        <v>902</v>
      </c>
      <c r="B1311" s="6">
        <f t="shared" si="147"/>
        <v>3.0443333333333333</v>
      </c>
      <c r="C1311" s="3">
        <f t="shared" si="148"/>
        <v>31</v>
      </c>
      <c r="D1311" s="3" t="str">
        <f t="shared" si="142"/>
        <v/>
      </c>
      <c r="E1311" s="3">
        <f t="shared" si="143"/>
        <v>154</v>
      </c>
      <c r="F1311" s="5" t="str">
        <f>IF(C1311=0,"Broadcast",IF(D1311="",IF(E1311="","",IF(E1311&lt;128,"Verbind "&amp;E1311,INDEX(KdoCodeTab,MATCH(E1311,KdoWertTab,0)))),"StatusAbfr "&amp;D1311))</f>
        <v>MarkWdh</v>
      </c>
      <c r="G1311" t="str">
        <f t="shared" si="144"/>
        <v/>
      </c>
      <c r="H1311" t="str">
        <f t="shared" si="145"/>
        <v>MarkWdh</v>
      </c>
      <c r="I1311" t="str">
        <f t="shared" si="146"/>
        <v/>
      </c>
    </row>
    <row r="1312" spans="1:9" x14ac:dyDescent="0.25">
      <c r="A1312" t="s">
        <v>903</v>
      </c>
      <c r="B1312" s="6">
        <f t="shared" si="147"/>
        <v>3.1433333333333331</v>
      </c>
      <c r="C1312" s="3">
        <f t="shared" si="148"/>
        <v>101</v>
      </c>
      <c r="D1312" s="3" t="str">
        <f t="shared" si="142"/>
        <v/>
      </c>
      <c r="E1312" s="3">
        <f t="shared" si="143"/>
        <v>169</v>
      </c>
      <c r="F1312" s="5" t="str">
        <f>IF(C1312=0,"Broadcast",IF(D1312="",IF(E1312="","",IF(E1312&lt;128,"Verbind "&amp;E1312,INDEX(KdoCodeTab,MATCH(E1312,KdoWertTab,0)))),"StatusAbfr "&amp;D1312))</f>
        <v>BusLebenszeichen</v>
      </c>
      <c r="G1312" t="str">
        <f t="shared" si="144"/>
        <v>BusLebenszeichen</v>
      </c>
      <c r="H1312" t="str">
        <f t="shared" si="145"/>
        <v/>
      </c>
      <c r="I1312" t="str">
        <f t="shared" si="146"/>
        <v/>
      </c>
    </row>
    <row r="1313" spans="1:9" x14ac:dyDescent="0.25">
      <c r="A1313" t="s">
        <v>904</v>
      </c>
      <c r="B1313" s="6">
        <f t="shared" si="147"/>
        <v>3.4443333333333332</v>
      </c>
      <c r="C1313" s="3">
        <f t="shared" si="148"/>
        <v>101</v>
      </c>
      <c r="D1313" s="3" t="str">
        <f t="shared" si="142"/>
        <v/>
      </c>
      <c r="E1313" s="3">
        <f t="shared" si="143"/>
        <v>147</v>
      </c>
      <c r="F1313" s="5" t="str">
        <f>IF(C1313=0,"Broadcast",IF(D1313="",IF(E1313="","",IF(E1313&lt;128,"Verbind "&amp;E1313,INDEX(KdoCodeTab,MATCH(E1313,KdoWertTab,0)))),"StatusAbfr "&amp;D1313))</f>
        <v>Space</v>
      </c>
      <c r="G1313" t="str">
        <f t="shared" si="144"/>
        <v>Space</v>
      </c>
      <c r="H1313" t="str">
        <f t="shared" si="145"/>
        <v/>
      </c>
      <c r="I1313" t="str">
        <f t="shared" si="146"/>
        <v/>
      </c>
    </row>
    <row r="1314" spans="1:9" x14ac:dyDescent="0.25">
      <c r="A1314" t="s">
        <v>905</v>
      </c>
      <c r="B1314" s="6">
        <f t="shared" si="147"/>
        <v>3.4453333333333331</v>
      </c>
      <c r="C1314" s="3">
        <f t="shared" si="148"/>
        <v>101</v>
      </c>
      <c r="D1314" s="3" t="str">
        <f t="shared" si="142"/>
        <v/>
      </c>
      <c r="E1314" s="3">
        <f t="shared" si="143"/>
        <v>150</v>
      </c>
      <c r="F1314" s="5" t="str">
        <f>IF(C1314=0,"Broadcast",IF(D1314="",IF(E1314="","",IF(E1314&lt;128,"Verbind "&amp;E1314,INDEX(KdoCodeTab,MATCH(E1314,KdoWertTab,0)))),"StatusAbfr "&amp;D1314))</f>
        <v>SpaceWdh</v>
      </c>
      <c r="G1314" t="str">
        <f t="shared" si="144"/>
        <v>SpaceWdh</v>
      </c>
      <c r="H1314" t="str">
        <f t="shared" si="145"/>
        <v/>
      </c>
      <c r="I1314" t="str">
        <f t="shared" si="146"/>
        <v/>
      </c>
    </row>
    <row r="1315" spans="1:9" x14ac:dyDescent="0.25">
      <c r="A1315" t="s">
        <v>906</v>
      </c>
      <c r="B1315" s="6">
        <f t="shared" si="147"/>
        <v>3.4646666666666666</v>
      </c>
      <c r="C1315" s="3">
        <f t="shared" si="148"/>
        <v>101</v>
      </c>
      <c r="D1315" s="3" t="str">
        <f t="shared" si="142"/>
        <v/>
      </c>
      <c r="E1315" s="3">
        <f t="shared" si="143"/>
        <v>156</v>
      </c>
      <c r="F1315" s="5" t="str">
        <f>IF(C1315=0,"Broadcast",IF(D1315="",IF(E1315="","",IF(E1315&lt;128,"Verbind "&amp;E1315,INDEX(KdoCodeTab,MATCH(E1315,KdoWertTab,0)))),"StatusAbfr "&amp;D1315))</f>
        <v>Mark</v>
      </c>
      <c r="G1315" t="str">
        <f t="shared" si="144"/>
        <v>Mark</v>
      </c>
      <c r="H1315" t="str">
        <f t="shared" si="145"/>
        <v/>
      </c>
      <c r="I1315" t="str">
        <f t="shared" si="146"/>
        <v/>
      </c>
    </row>
    <row r="1316" spans="1:9" x14ac:dyDescent="0.25">
      <c r="A1316" t="s">
        <v>907</v>
      </c>
      <c r="B1316" s="6">
        <f t="shared" si="147"/>
        <v>3.4655</v>
      </c>
      <c r="C1316" s="3">
        <f t="shared" si="148"/>
        <v>101</v>
      </c>
      <c r="D1316" s="3" t="str">
        <f t="shared" si="142"/>
        <v/>
      </c>
      <c r="E1316" s="3">
        <f t="shared" si="143"/>
        <v>154</v>
      </c>
      <c r="F1316" s="5" t="str">
        <f>IF(C1316=0,"Broadcast",IF(D1316="",IF(E1316="","",IF(E1316&lt;128,"Verbind "&amp;E1316,INDEX(KdoCodeTab,MATCH(E1316,KdoWertTab,0)))),"StatusAbfr "&amp;D1316))</f>
        <v>MarkWdh</v>
      </c>
      <c r="G1316" t="str">
        <f t="shared" si="144"/>
        <v>MarkWdh</v>
      </c>
      <c r="H1316" t="str">
        <f t="shared" si="145"/>
        <v/>
      </c>
      <c r="I1316" t="str">
        <f t="shared" si="146"/>
        <v/>
      </c>
    </row>
    <row r="1317" spans="1:9" x14ac:dyDescent="0.25">
      <c r="A1317" t="s">
        <v>908</v>
      </c>
      <c r="B1317" s="6">
        <f t="shared" si="147"/>
        <v>3.504</v>
      </c>
      <c r="C1317" s="3">
        <f t="shared" si="148"/>
        <v>101</v>
      </c>
      <c r="D1317" s="3" t="str">
        <f t="shared" si="142"/>
        <v/>
      </c>
      <c r="E1317" s="3">
        <f t="shared" si="143"/>
        <v>147</v>
      </c>
      <c r="F1317" s="5" t="str">
        <f>IF(C1317=0,"Broadcast",IF(D1317="",IF(E1317="","",IF(E1317&lt;128,"Verbind "&amp;E1317,INDEX(KdoCodeTab,MATCH(E1317,KdoWertTab,0)))),"StatusAbfr "&amp;D1317))</f>
        <v>Space</v>
      </c>
      <c r="G1317" t="str">
        <f t="shared" si="144"/>
        <v>Space</v>
      </c>
      <c r="H1317" t="str">
        <f t="shared" si="145"/>
        <v/>
      </c>
      <c r="I1317" t="str">
        <f t="shared" si="146"/>
        <v/>
      </c>
    </row>
    <row r="1318" spans="1:9" x14ac:dyDescent="0.25">
      <c r="A1318" t="s">
        <v>909</v>
      </c>
      <c r="B1318" s="6">
        <f t="shared" si="147"/>
        <v>3.5048333333333335</v>
      </c>
      <c r="C1318" s="3">
        <f t="shared" si="148"/>
        <v>101</v>
      </c>
      <c r="D1318" s="3" t="str">
        <f t="shared" si="142"/>
        <v/>
      </c>
      <c r="E1318" s="3">
        <f t="shared" si="143"/>
        <v>150</v>
      </c>
      <c r="F1318" s="5" t="str">
        <f>IF(C1318=0,"Broadcast",IF(D1318="",IF(E1318="","",IF(E1318&lt;128,"Verbind "&amp;E1318,INDEX(KdoCodeTab,MATCH(E1318,KdoWertTab,0)))),"StatusAbfr "&amp;D1318))</f>
        <v>SpaceWdh</v>
      </c>
      <c r="G1318" t="str">
        <f t="shared" si="144"/>
        <v>SpaceWdh</v>
      </c>
      <c r="H1318" t="str">
        <f t="shared" si="145"/>
        <v/>
      </c>
      <c r="I1318" t="str">
        <f t="shared" si="146"/>
        <v/>
      </c>
    </row>
    <row r="1319" spans="1:9" x14ac:dyDescent="0.25">
      <c r="A1319" t="s">
        <v>910</v>
      </c>
      <c r="B1319" s="6">
        <f t="shared" si="147"/>
        <v>3.5243333333333333</v>
      </c>
      <c r="C1319" s="3">
        <f t="shared" si="148"/>
        <v>101</v>
      </c>
      <c r="D1319" s="3" t="str">
        <f t="shared" si="142"/>
        <v/>
      </c>
      <c r="E1319" s="3">
        <f t="shared" si="143"/>
        <v>156</v>
      </c>
      <c r="F1319" s="5" t="str">
        <f>IF(C1319=0,"Broadcast",IF(D1319="",IF(E1319="","",IF(E1319&lt;128,"Verbind "&amp;E1319,INDEX(KdoCodeTab,MATCH(E1319,KdoWertTab,0)))),"StatusAbfr "&amp;D1319))</f>
        <v>Mark</v>
      </c>
      <c r="G1319" t="str">
        <f t="shared" si="144"/>
        <v>Mark</v>
      </c>
      <c r="H1319" t="str">
        <f t="shared" si="145"/>
        <v/>
      </c>
      <c r="I1319" t="str">
        <f t="shared" si="146"/>
        <v/>
      </c>
    </row>
    <row r="1320" spans="1:9" x14ac:dyDescent="0.25">
      <c r="A1320" t="s">
        <v>911</v>
      </c>
      <c r="B1320" s="6">
        <f t="shared" si="147"/>
        <v>3.5251666666666668</v>
      </c>
      <c r="C1320" s="3">
        <f t="shared" si="148"/>
        <v>101</v>
      </c>
      <c r="D1320" s="3" t="str">
        <f t="shared" si="142"/>
        <v/>
      </c>
      <c r="E1320" s="3">
        <f t="shared" si="143"/>
        <v>154</v>
      </c>
      <c r="F1320" s="5" t="str">
        <f>IF(C1320=0,"Broadcast",IF(D1320="",IF(E1320="","",IF(E1320&lt;128,"Verbind "&amp;E1320,INDEX(KdoCodeTab,MATCH(E1320,KdoWertTab,0)))),"StatusAbfr "&amp;D1320))</f>
        <v>MarkWdh</v>
      </c>
      <c r="G1320" t="str">
        <f t="shared" si="144"/>
        <v>MarkWdh</v>
      </c>
      <c r="H1320" t="str">
        <f t="shared" si="145"/>
        <v/>
      </c>
      <c r="I1320" t="str">
        <f t="shared" si="146"/>
        <v/>
      </c>
    </row>
    <row r="1321" spans="1:9" x14ac:dyDescent="0.25">
      <c r="A1321" t="s">
        <v>912</v>
      </c>
      <c r="B1321" s="6">
        <f t="shared" si="147"/>
        <v>3.5503333333333331</v>
      </c>
      <c r="C1321" s="3">
        <f t="shared" si="148"/>
        <v>31</v>
      </c>
      <c r="D1321" s="3" t="str">
        <f t="shared" si="142"/>
        <v/>
      </c>
      <c r="E1321" s="3">
        <f t="shared" si="143"/>
        <v>154</v>
      </c>
      <c r="F1321" s="5" t="str">
        <f>IF(C1321=0,"Broadcast",IF(D1321="",IF(E1321="","",IF(E1321&lt;128,"Verbind "&amp;E1321,INDEX(KdoCodeTab,MATCH(E1321,KdoWertTab,0)))),"StatusAbfr "&amp;D1321))</f>
        <v>MarkWdh</v>
      </c>
      <c r="G1321" t="str">
        <f t="shared" si="144"/>
        <v/>
      </c>
      <c r="H1321" t="str">
        <f t="shared" si="145"/>
        <v>MarkWdh</v>
      </c>
      <c r="I1321" t="str">
        <f t="shared" si="146"/>
        <v/>
      </c>
    </row>
    <row r="1322" spans="1:9" x14ac:dyDescent="0.25">
      <c r="A1322" t="s">
        <v>913</v>
      </c>
      <c r="B1322" s="6">
        <f t="shared" si="147"/>
        <v>3.5938333333333334</v>
      </c>
      <c r="C1322" s="3">
        <f t="shared" si="148"/>
        <v>101</v>
      </c>
      <c r="D1322" s="3" t="str">
        <f t="shared" si="142"/>
        <v/>
      </c>
      <c r="E1322" s="3">
        <f t="shared" si="143"/>
        <v>147</v>
      </c>
      <c r="F1322" s="5" t="str">
        <f>IF(C1322=0,"Broadcast",IF(D1322="",IF(E1322="","",IF(E1322&lt;128,"Verbind "&amp;E1322,INDEX(KdoCodeTab,MATCH(E1322,KdoWertTab,0)))),"StatusAbfr "&amp;D1322))</f>
        <v>Space</v>
      </c>
      <c r="G1322" t="str">
        <f t="shared" si="144"/>
        <v>Space</v>
      </c>
      <c r="H1322" t="str">
        <f t="shared" si="145"/>
        <v/>
      </c>
      <c r="I1322" t="str">
        <f t="shared" si="146"/>
        <v/>
      </c>
    </row>
    <row r="1323" spans="1:9" x14ac:dyDescent="0.25">
      <c r="A1323" t="s">
        <v>914</v>
      </c>
      <c r="B1323" s="6">
        <f t="shared" si="147"/>
        <v>3.5948333333333333</v>
      </c>
      <c r="C1323" s="3">
        <f t="shared" si="148"/>
        <v>101</v>
      </c>
      <c r="D1323" s="3" t="str">
        <f t="shared" si="142"/>
        <v/>
      </c>
      <c r="E1323" s="3">
        <f t="shared" si="143"/>
        <v>150</v>
      </c>
      <c r="F1323" s="5" t="str">
        <f>IF(C1323=0,"Broadcast",IF(D1323="",IF(E1323="","",IF(E1323&lt;128,"Verbind "&amp;E1323,INDEX(KdoCodeTab,MATCH(E1323,KdoWertTab,0)))),"StatusAbfr "&amp;D1323))</f>
        <v>SpaceWdh</v>
      </c>
      <c r="G1323" t="str">
        <f t="shared" si="144"/>
        <v>SpaceWdh</v>
      </c>
      <c r="H1323" t="str">
        <f t="shared" si="145"/>
        <v/>
      </c>
      <c r="I1323" t="str">
        <f t="shared" si="146"/>
        <v/>
      </c>
    </row>
    <row r="1324" spans="1:9" x14ac:dyDescent="0.25">
      <c r="A1324" t="s">
        <v>915</v>
      </c>
      <c r="B1324" s="6">
        <f t="shared" si="147"/>
        <v>3.6736666666666666</v>
      </c>
      <c r="C1324" s="3">
        <f t="shared" si="148"/>
        <v>101</v>
      </c>
      <c r="D1324" s="3" t="str">
        <f t="shared" si="142"/>
        <v/>
      </c>
      <c r="E1324" s="3">
        <f t="shared" si="143"/>
        <v>156</v>
      </c>
      <c r="F1324" s="5" t="str">
        <f>IF(C1324=0,"Broadcast",IF(D1324="",IF(E1324="","",IF(E1324&lt;128,"Verbind "&amp;E1324,INDEX(KdoCodeTab,MATCH(E1324,KdoWertTab,0)))),"StatusAbfr "&amp;D1324))</f>
        <v>Mark</v>
      </c>
      <c r="G1324" t="str">
        <f t="shared" si="144"/>
        <v>Mark</v>
      </c>
      <c r="H1324" t="str">
        <f t="shared" si="145"/>
        <v/>
      </c>
      <c r="I1324" t="str">
        <f t="shared" si="146"/>
        <v/>
      </c>
    </row>
    <row r="1325" spans="1:9" x14ac:dyDescent="0.25">
      <c r="A1325" t="s">
        <v>916</v>
      </c>
      <c r="B1325" s="6">
        <f t="shared" si="147"/>
        <v>3.6745000000000001</v>
      </c>
      <c r="C1325" s="3">
        <f t="shared" si="148"/>
        <v>101</v>
      </c>
      <c r="D1325" s="3" t="str">
        <f t="shared" si="142"/>
        <v/>
      </c>
      <c r="E1325" s="3">
        <f t="shared" si="143"/>
        <v>154</v>
      </c>
      <c r="F1325" s="5" t="str">
        <f>IF(C1325=0,"Broadcast",IF(D1325="",IF(E1325="","",IF(E1325&lt;128,"Verbind "&amp;E1325,INDEX(KdoCodeTab,MATCH(E1325,KdoWertTab,0)))),"StatusAbfr "&amp;D1325))</f>
        <v>MarkWdh</v>
      </c>
      <c r="G1325" t="str">
        <f t="shared" si="144"/>
        <v>MarkWdh</v>
      </c>
      <c r="H1325" t="str">
        <f t="shared" si="145"/>
        <v/>
      </c>
      <c r="I1325" t="str">
        <f t="shared" si="146"/>
        <v/>
      </c>
    </row>
    <row r="1326" spans="1:9" x14ac:dyDescent="0.25">
      <c r="A1326" t="s">
        <v>917</v>
      </c>
      <c r="B1326" s="6">
        <f t="shared" si="147"/>
        <v>3.694</v>
      </c>
      <c r="C1326" s="3">
        <f t="shared" si="148"/>
        <v>101</v>
      </c>
      <c r="D1326" s="3" t="str">
        <f t="shared" si="142"/>
        <v/>
      </c>
      <c r="E1326" s="3">
        <f t="shared" si="143"/>
        <v>147</v>
      </c>
      <c r="F1326" s="5" t="str">
        <f>IF(C1326=0,"Broadcast",IF(D1326="",IF(E1326="","",IF(E1326&lt;128,"Verbind "&amp;E1326,INDEX(KdoCodeTab,MATCH(E1326,KdoWertTab,0)))),"StatusAbfr "&amp;D1326))</f>
        <v>Space</v>
      </c>
      <c r="G1326" t="str">
        <f t="shared" si="144"/>
        <v>Space</v>
      </c>
      <c r="H1326" t="str">
        <f t="shared" si="145"/>
        <v/>
      </c>
      <c r="I1326" t="str">
        <f t="shared" si="146"/>
        <v/>
      </c>
    </row>
    <row r="1327" spans="1:9" x14ac:dyDescent="0.25">
      <c r="A1327" t="s">
        <v>918</v>
      </c>
      <c r="B1327" s="6">
        <f t="shared" si="147"/>
        <v>3.6948333333333334</v>
      </c>
      <c r="C1327" s="3">
        <f t="shared" si="148"/>
        <v>101</v>
      </c>
      <c r="D1327" s="3" t="str">
        <f t="shared" si="142"/>
        <v/>
      </c>
      <c r="E1327" s="3">
        <f t="shared" si="143"/>
        <v>150</v>
      </c>
      <c r="F1327" s="5" t="str">
        <f>IF(C1327=0,"Broadcast",IF(D1327="",IF(E1327="","",IF(E1327&lt;128,"Verbind "&amp;E1327,INDEX(KdoCodeTab,MATCH(E1327,KdoWertTab,0)))),"StatusAbfr "&amp;D1327))</f>
        <v>SpaceWdh</v>
      </c>
      <c r="G1327" t="str">
        <f t="shared" si="144"/>
        <v>SpaceWdh</v>
      </c>
      <c r="H1327" t="str">
        <f t="shared" si="145"/>
        <v/>
      </c>
      <c r="I1327" t="str">
        <f t="shared" si="146"/>
        <v/>
      </c>
    </row>
    <row r="1328" spans="1:9" x14ac:dyDescent="0.25">
      <c r="A1328" t="s">
        <v>919</v>
      </c>
      <c r="B1328" s="6">
        <f t="shared" si="147"/>
        <v>3.7141666666666668</v>
      </c>
      <c r="C1328" s="3">
        <f t="shared" si="148"/>
        <v>101</v>
      </c>
      <c r="D1328" s="3" t="str">
        <f t="shared" si="142"/>
        <v/>
      </c>
      <c r="E1328" s="3">
        <f t="shared" si="143"/>
        <v>156</v>
      </c>
      <c r="F1328" s="5" t="str">
        <f>IF(C1328=0,"Broadcast",IF(D1328="",IF(E1328="","",IF(E1328&lt;128,"Verbind "&amp;E1328,INDEX(KdoCodeTab,MATCH(E1328,KdoWertTab,0)))),"StatusAbfr "&amp;D1328))</f>
        <v>Mark</v>
      </c>
      <c r="G1328" t="str">
        <f t="shared" si="144"/>
        <v>Mark</v>
      </c>
      <c r="H1328" t="str">
        <f t="shared" si="145"/>
        <v/>
      </c>
      <c r="I1328" t="str">
        <f t="shared" si="146"/>
        <v/>
      </c>
    </row>
    <row r="1329" spans="1:9" x14ac:dyDescent="0.25">
      <c r="A1329" t="s">
        <v>920</v>
      </c>
      <c r="B1329" s="6">
        <f t="shared" si="147"/>
        <v>3.7151666666666667</v>
      </c>
      <c r="C1329" s="3">
        <f t="shared" si="148"/>
        <v>101</v>
      </c>
      <c r="D1329" s="3" t="str">
        <f t="shared" si="142"/>
        <v/>
      </c>
      <c r="E1329" s="3">
        <f t="shared" si="143"/>
        <v>154</v>
      </c>
      <c r="F1329" s="5" t="str">
        <f>IF(C1329=0,"Broadcast",IF(D1329="",IF(E1329="","",IF(E1329&lt;128,"Verbind "&amp;E1329,INDEX(KdoCodeTab,MATCH(E1329,KdoWertTab,0)))),"StatusAbfr "&amp;D1329))</f>
        <v>MarkWdh</v>
      </c>
      <c r="G1329" t="str">
        <f t="shared" si="144"/>
        <v>MarkWdh</v>
      </c>
      <c r="H1329" t="str">
        <f t="shared" si="145"/>
        <v/>
      </c>
      <c r="I1329" t="str">
        <f t="shared" si="146"/>
        <v/>
      </c>
    </row>
    <row r="1330" spans="1:9" x14ac:dyDescent="0.25">
      <c r="A1330" t="s">
        <v>921</v>
      </c>
      <c r="B1330" s="6">
        <f t="shared" si="147"/>
        <v>3.7495000000000003</v>
      </c>
      <c r="C1330" s="3">
        <f t="shared" si="148"/>
        <v>101</v>
      </c>
      <c r="D1330" s="3" t="str">
        <f t="shared" si="142"/>
        <v/>
      </c>
      <c r="E1330" s="3">
        <f t="shared" si="143"/>
        <v>147</v>
      </c>
      <c r="F1330" s="5" t="str">
        <f>IF(C1330=0,"Broadcast",IF(D1330="",IF(E1330="","",IF(E1330&lt;128,"Verbind "&amp;E1330,INDEX(KdoCodeTab,MATCH(E1330,KdoWertTab,0)))),"StatusAbfr "&amp;D1330))</f>
        <v>Space</v>
      </c>
      <c r="G1330" t="str">
        <f t="shared" si="144"/>
        <v>Space</v>
      </c>
      <c r="H1330" t="str">
        <f t="shared" si="145"/>
        <v/>
      </c>
      <c r="I1330" t="str">
        <f t="shared" si="146"/>
        <v/>
      </c>
    </row>
    <row r="1331" spans="1:9" x14ac:dyDescent="0.25">
      <c r="A1331" t="s">
        <v>922</v>
      </c>
      <c r="B1331" s="6">
        <f t="shared" si="147"/>
        <v>3.7503333333333333</v>
      </c>
      <c r="C1331" s="3">
        <f t="shared" si="148"/>
        <v>101</v>
      </c>
      <c r="D1331" s="3" t="str">
        <f t="shared" si="142"/>
        <v/>
      </c>
      <c r="E1331" s="3">
        <f t="shared" si="143"/>
        <v>150</v>
      </c>
      <c r="F1331" s="5" t="str">
        <f>IF(C1331=0,"Broadcast",IF(D1331="",IF(E1331="","",IF(E1331&lt;128,"Verbind "&amp;E1331,INDEX(KdoCodeTab,MATCH(E1331,KdoWertTab,0)))),"StatusAbfr "&amp;D1331))</f>
        <v>SpaceWdh</v>
      </c>
      <c r="G1331" t="str">
        <f t="shared" si="144"/>
        <v>SpaceWdh</v>
      </c>
      <c r="H1331" t="str">
        <f t="shared" si="145"/>
        <v/>
      </c>
      <c r="I1331" t="str">
        <f t="shared" si="146"/>
        <v/>
      </c>
    </row>
    <row r="1332" spans="1:9" x14ac:dyDescent="0.25">
      <c r="A1332" t="s">
        <v>923</v>
      </c>
      <c r="B1332" s="6">
        <f t="shared" si="147"/>
        <v>3.79</v>
      </c>
      <c r="C1332" s="3">
        <f t="shared" si="148"/>
        <v>101</v>
      </c>
      <c r="D1332" s="3" t="str">
        <f t="shared" si="142"/>
        <v/>
      </c>
      <c r="E1332" s="3">
        <f t="shared" si="143"/>
        <v>156</v>
      </c>
      <c r="F1332" s="5" t="str">
        <f>IF(C1332=0,"Broadcast",IF(D1332="",IF(E1332="","",IF(E1332&lt;128,"Verbind "&amp;E1332,INDEX(KdoCodeTab,MATCH(E1332,KdoWertTab,0)))),"StatusAbfr "&amp;D1332))</f>
        <v>Mark</v>
      </c>
      <c r="G1332" t="str">
        <f t="shared" si="144"/>
        <v>Mark</v>
      </c>
      <c r="H1332" t="str">
        <f t="shared" si="145"/>
        <v/>
      </c>
      <c r="I1332" t="str">
        <f t="shared" si="146"/>
        <v/>
      </c>
    </row>
    <row r="1333" spans="1:9" x14ac:dyDescent="0.25">
      <c r="A1333" t="s">
        <v>924</v>
      </c>
      <c r="B1333" s="6">
        <f t="shared" si="147"/>
        <v>3.7908333333333335</v>
      </c>
      <c r="C1333" s="3">
        <f t="shared" si="148"/>
        <v>101</v>
      </c>
      <c r="D1333" s="3" t="str">
        <f t="shared" si="142"/>
        <v/>
      </c>
      <c r="E1333" s="3">
        <f t="shared" si="143"/>
        <v>154</v>
      </c>
      <c r="F1333" s="5" t="str">
        <f>IF(C1333=0,"Broadcast",IF(D1333="",IF(E1333="","",IF(E1333&lt;128,"Verbind "&amp;E1333,INDEX(KdoCodeTab,MATCH(E1333,KdoWertTab,0)))),"StatusAbfr "&amp;D1333))</f>
        <v>MarkWdh</v>
      </c>
      <c r="G1333" t="str">
        <f t="shared" si="144"/>
        <v>MarkWdh</v>
      </c>
      <c r="H1333" t="str">
        <f t="shared" si="145"/>
        <v/>
      </c>
      <c r="I1333" t="str">
        <f t="shared" si="146"/>
        <v/>
      </c>
    </row>
    <row r="1334" spans="1:9" x14ac:dyDescent="0.25">
      <c r="A1334" t="s">
        <v>925</v>
      </c>
      <c r="B1334" s="6">
        <f t="shared" si="147"/>
        <v>3.8101666666666669</v>
      </c>
      <c r="C1334" s="3">
        <f t="shared" si="148"/>
        <v>101</v>
      </c>
      <c r="D1334" s="3" t="str">
        <f t="shared" si="142"/>
        <v/>
      </c>
      <c r="E1334" s="3">
        <f t="shared" si="143"/>
        <v>147</v>
      </c>
      <c r="F1334" s="5" t="str">
        <f>IF(C1334=0,"Broadcast",IF(D1334="",IF(E1334="","",IF(E1334&lt;128,"Verbind "&amp;E1334,INDEX(KdoCodeTab,MATCH(E1334,KdoWertTab,0)))),"StatusAbfr "&amp;D1334))</f>
        <v>Space</v>
      </c>
      <c r="G1334" t="str">
        <f t="shared" si="144"/>
        <v>Space</v>
      </c>
      <c r="H1334" t="str">
        <f t="shared" si="145"/>
        <v/>
      </c>
      <c r="I1334" t="str">
        <f t="shared" si="146"/>
        <v/>
      </c>
    </row>
    <row r="1335" spans="1:9" x14ac:dyDescent="0.25">
      <c r="A1335" t="s">
        <v>926</v>
      </c>
      <c r="B1335" s="6">
        <f t="shared" si="147"/>
        <v>3.8109999999999999</v>
      </c>
      <c r="C1335" s="3">
        <f t="shared" si="148"/>
        <v>101</v>
      </c>
      <c r="D1335" s="3" t="str">
        <f t="shared" si="142"/>
        <v/>
      </c>
      <c r="E1335" s="3">
        <f t="shared" si="143"/>
        <v>150</v>
      </c>
      <c r="F1335" s="5" t="str">
        <f>IF(C1335=0,"Broadcast",IF(D1335="",IF(E1335="","",IF(E1335&lt;128,"Verbind "&amp;E1335,INDEX(KdoCodeTab,MATCH(E1335,KdoWertTab,0)))),"StatusAbfr "&amp;D1335))</f>
        <v>SpaceWdh</v>
      </c>
      <c r="G1335" t="str">
        <f t="shared" si="144"/>
        <v>SpaceWdh</v>
      </c>
      <c r="H1335" t="str">
        <f t="shared" si="145"/>
        <v/>
      </c>
      <c r="I1335" t="str">
        <f t="shared" si="146"/>
        <v/>
      </c>
    </row>
    <row r="1336" spans="1:9" x14ac:dyDescent="0.25">
      <c r="A1336" t="s">
        <v>927</v>
      </c>
      <c r="B1336" s="6">
        <f t="shared" si="147"/>
        <v>3.8253333333333335</v>
      </c>
      <c r="C1336" s="3">
        <f t="shared" si="148"/>
        <v>101</v>
      </c>
      <c r="D1336" s="3" t="str">
        <f t="shared" si="142"/>
        <v/>
      </c>
      <c r="E1336" s="3">
        <f t="shared" si="143"/>
        <v>169</v>
      </c>
      <c r="F1336" s="5" t="str">
        <f>IF(C1336=0,"Broadcast",IF(D1336="",IF(E1336="","",IF(E1336&lt;128,"Verbind "&amp;E1336,INDEX(KdoCodeTab,MATCH(E1336,KdoWertTab,0)))),"StatusAbfr "&amp;D1336))</f>
        <v>BusLebenszeichen</v>
      </c>
      <c r="G1336" t="str">
        <f t="shared" si="144"/>
        <v>BusLebenszeichen</v>
      </c>
      <c r="H1336" t="str">
        <f t="shared" si="145"/>
        <v/>
      </c>
      <c r="I1336" t="str">
        <f t="shared" si="146"/>
        <v/>
      </c>
    </row>
    <row r="1337" spans="1:9" x14ac:dyDescent="0.25">
      <c r="A1337" t="s">
        <v>928</v>
      </c>
      <c r="B1337" s="6">
        <f t="shared" si="147"/>
        <v>3.8708333333333336</v>
      </c>
      <c r="C1337" s="3">
        <f t="shared" si="148"/>
        <v>101</v>
      </c>
      <c r="D1337" s="3" t="str">
        <f t="shared" si="142"/>
        <v/>
      </c>
      <c r="E1337" s="3">
        <f t="shared" si="143"/>
        <v>156</v>
      </c>
      <c r="F1337" s="5" t="str">
        <f>IF(C1337=0,"Broadcast",IF(D1337="",IF(E1337="","",IF(E1337&lt;128,"Verbind "&amp;E1337,INDEX(KdoCodeTab,MATCH(E1337,KdoWertTab,0)))),"StatusAbfr "&amp;D1337))</f>
        <v>Mark</v>
      </c>
      <c r="G1337" t="str">
        <f t="shared" si="144"/>
        <v>Mark</v>
      </c>
      <c r="H1337" t="str">
        <f t="shared" si="145"/>
        <v/>
      </c>
      <c r="I1337" t="str">
        <f t="shared" si="146"/>
        <v/>
      </c>
    </row>
    <row r="1338" spans="1:9" x14ac:dyDescent="0.25">
      <c r="A1338" t="s">
        <v>929</v>
      </c>
      <c r="B1338" s="6">
        <f t="shared" si="147"/>
        <v>3.8716666666666666</v>
      </c>
      <c r="C1338" s="3">
        <f t="shared" si="148"/>
        <v>101</v>
      </c>
      <c r="D1338" s="3" t="str">
        <f t="shared" si="142"/>
        <v/>
      </c>
      <c r="E1338" s="3">
        <f t="shared" si="143"/>
        <v>154</v>
      </c>
      <c r="F1338" s="5" t="str">
        <f>IF(C1338=0,"Broadcast",IF(D1338="",IF(E1338="","",IF(E1338&lt;128,"Verbind "&amp;E1338,INDEX(KdoCodeTab,MATCH(E1338,KdoWertTab,0)))),"StatusAbfr "&amp;D1338))</f>
        <v>MarkWdh</v>
      </c>
      <c r="G1338" t="str">
        <f t="shared" si="144"/>
        <v>MarkWdh</v>
      </c>
      <c r="H1338" t="str">
        <f t="shared" si="145"/>
        <v/>
      </c>
      <c r="I1338" t="str">
        <f t="shared" si="146"/>
        <v/>
      </c>
    </row>
    <row r="1339" spans="1:9" x14ac:dyDescent="0.25">
      <c r="A1339" t="s">
        <v>930</v>
      </c>
      <c r="B1339" s="6">
        <f t="shared" si="147"/>
        <v>3.9213333333333331</v>
      </c>
      <c r="C1339" s="3">
        <f t="shared" si="148"/>
        <v>101</v>
      </c>
      <c r="D1339" s="3" t="str">
        <f t="shared" ref="D1339:D1396" si="149">IF(MID(A1339,10,1)="&lt;",MID(A1339,12,2),"")</f>
        <v/>
      </c>
      <c r="E1339" s="3">
        <f t="shared" ref="E1339:E1396" si="150">IF(MID(A1339,10,1)="&gt;",HEX2DEC(MID(A1339,12,2)),"")</f>
        <v>147</v>
      </c>
      <c r="F1339" s="5" t="str">
        <f>IF(C1339=0,"Broadcast",IF(D1339="",IF(E1339="","",IF(E1339&lt;128,"Verbind "&amp;E1339,INDEX(KdoCodeTab,MATCH(E1339,KdoWertTab,0)))),"StatusAbfr "&amp;D1339))</f>
        <v>Space</v>
      </c>
      <c r="G1339" t="str">
        <f t="shared" ref="G1339:G1396" si="151">IF(C1339=$G$2,F1339,"")</f>
        <v>Space</v>
      </c>
      <c r="H1339" t="str">
        <f t="shared" ref="H1339:H1396" si="152">IF(C1339=$H$2,F1339,"")</f>
        <v/>
      </c>
      <c r="I1339" t="str">
        <f t="shared" ref="I1339:I1396" si="153">IF(G1339&amp;H1339="",F1339,"")</f>
        <v/>
      </c>
    </row>
    <row r="1340" spans="1:9" x14ac:dyDescent="0.25">
      <c r="A1340" t="s">
        <v>931</v>
      </c>
      <c r="B1340" s="6">
        <f t="shared" si="147"/>
        <v>3.922166666666667</v>
      </c>
      <c r="C1340" s="3">
        <f t="shared" si="148"/>
        <v>101</v>
      </c>
      <c r="D1340" s="3" t="str">
        <f t="shared" si="149"/>
        <v/>
      </c>
      <c r="E1340" s="3">
        <f t="shared" si="150"/>
        <v>150</v>
      </c>
      <c r="F1340" s="5" t="str">
        <f>IF(C1340=0,"Broadcast",IF(D1340="",IF(E1340="","",IF(E1340&lt;128,"Verbind "&amp;E1340,INDEX(KdoCodeTab,MATCH(E1340,KdoWertTab,0)))),"StatusAbfr "&amp;D1340))</f>
        <v>SpaceWdh</v>
      </c>
      <c r="G1340" t="str">
        <f t="shared" si="151"/>
        <v>SpaceWdh</v>
      </c>
      <c r="H1340" t="str">
        <f t="shared" si="152"/>
        <v/>
      </c>
      <c r="I1340" t="str">
        <f t="shared" si="153"/>
        <v/>
      </c>
    </row>
    <row r="1341" spans="1:9" x14ac:dyDescent="0.25">
      <c r="A1341" t="s">
        <v>932</v>
      </c>
      <c r="B1341" s="6">
        <f t="shared" si="147"/>
        <v>3.9606666666666666</v>
      </c>
      <c r="C1341" s="3">
        <f t="shared" si="148"/>
        <v>101</v>
      </c>
      <c r="D1341" s="3" t="str">
        <f t="shared" si="149"/>
        <v/>
      </c>
      <c r="E1341" s="3">
        <f t="shared" si="150"/>
        <v>156</v>
      </c>
      <c r="F1341" s="5" t="str">
        <f>IF(C1341=0,"Broadcast",IF(D1341="",IF(E1341="","",IF(E1341&lt;128,"Verbind "&amp;E1341,INDEX(KdoCodeTab,MATCH(E1341,KdoWertTab,0)))),"StatusAbfr "&amp;D1341))</f>
        <v>Mark</v>
      </c>
      <c r="G1341" t="str">
        <f t="shared" si="151"/>
        <v>Mark</v>
      </c>
      <c r="H1341" t="str">
        <f t="shared" si="152"/>
        <v/>
      </c>
      <c r="I1341" t="str">
        <f t="shared" si="153"/>
        <v/>
      </c>
    </row>
    <row r="1342" spans="1:9" x14ac:dyDescent="0.25">
      <c r="A1342" t="s">
        <v>933</v>
      </c>
      <c r="B1342" s="6">
        <f t="shared" si="147"/>
        <v>3.9615</v>
      </c>
      <c r="C1342" s="3">
        <f t="shared" si="148"/>
        <v>101</v>
      </c>
      <c r="D1342" s="3" t="str">
        <f t="shared" si="149"/>
        <v/>
      </c>
      <c r="E1342" s="3">
        <f t="shared" si="150"/>
        <v>154</v>
      </c>
      <c r="F1342" s="5" t="str">
        <f>IF(C1342=0,"Broadcast",IF(D1342="",IF(E1342="","",IF(E1342&lt;128,"Verbind "&amp;E1342,INDEX(KdoCodeTab,MATCH(E1342,KdoWertTab,0)))),"StatusAbfr "&amp;D1342))</f>
        <v>MarkWdh</v>
      </c>
      <c r="G1342" t="str">
        <f t="shared" si="151"/>
        <v>MarkWdh</v>
      </c>
      <c r="H1342" t="str">
        <f t="shared" si="152"/>
        <v/>
      </c>
      <c r="I1342" t="str">
        <f t="shared" si="153"/>
        <v/>
      </c>
    </row>
    <row r="1343" spans="1:9" x14ac:dyDescent="0.25">
      <c r="A1343" t="s">
        <v>934</v>
      </c>
      <c r="B1343" s="6">
        <f t="shared" si="147"/>
        <v>3.9808333333333334</v>
      </c>
      <c r="C1343" s="3">
        <f t="shared" si="148"/>
        <v>101</v>
      </c>
      <c r="D1343" s="3" t="str">
        <f t="shared" si="149"/>
        <v/>
      </c>
      <c r="E1343" s="3">
        <f t="shared" si="150"/>
        <v>147</v>
      </c>
      <c r="F1343" s="5" t="str">
        <f>IF(C1343=0,"Broadcast",IF(D1343="",IF(E1343="","",IF(E1343&lt;128,"Verbind "&amp;E1343,INDEX(KdoCodeTab,MATCH(E1343,KdoWertTab,0)))),"StatusAbfr "&amp;D1343))</f>
        <v>Space</v>
      </c>
      <c r="G1343" t="str">
        <f t="shared" si="151"/>
        <v>Space</v>
      </c>
      <c r="H1343" t="str">
        <f t="shared" si="152"/>
        <v/>
      </c>
      <c r="I1343" t="str">
        <f t="shared" si="153"/>
        <v/>
      </c>
    </row>
    <row r="1344" spans="1:9" x14ac:dyDescent="0.25">
      <c r="A1344" t="s">
        <v>935</v>
      </c>
      <c r="B1344" s="6">
        <f t="shared" si="147"/>
        <v>3.9818333333333333</v>
      </c>
      <c r="C1344" s="3">
        <f t="shared" si="148"/>
        <v>101</v>
      </c>
      <c r="D1344" s="3" t="str">
        <f t="shared" si="149"/>
        <v/>
      </c>
      <c r="E1344" s="3">
        <f t="shared" si="150"/>
        <v>150</v>
      </c>
      <c r="F1344" s="5" t="str">
        <f>IF(C1344=0,"Broadcast",IF(D1344="",IF(E1344="","",IF(E1344&lt;128,"Verbind "&amp;E1344,INDEX(KdoCodeTab,MATCH(E1344,KdoWertTab,0)))),"StatusAbfr "&amp;D1344))</f>
        <v>SpaceWdh</v>
      </c>
      <c r="G1344" t="str">
        <f t="shared" si="151"/>
        <v>SpaceWdh</v>
      </c>
      <c r="H1344" t="str">
        <f t="shared" si="152"/>
        <v/>
      </c>
      <c r="I1344" t="str">
        <f t="shared" si="153"/>
        <v/>
      </c>
    </row>
    <row r="1345" spans="1:9" x14ac:dyDescent="0.25">
      <c r="A1345" t="s">
        <v>936</v>
      </c>
      <c r="B1345" s="6">
        <f t="shared" si="147"/>
        <v>4.0415000000000001</v>
      </c>
      <c r="C1345" s="3">
        <f t="shared" si="148"/>
        <v>101</v>
      </c>
      <c r="D1345" s="3" t="str">
        <f t="shared" si="149"/>
        <v/>
      </c>
      <c r="E1345" s="3">
        <f t="shared" si="150"/>
        <v>156</v>
      </c>
      <c r="F1345" s="5" t="str">
        <f>IF(C1345=0,"Broadcast",IF(D1345="",IF(E1345="","",IF(E1345&lt;128,"Verbind "&amp;E1345,INDEX(KdoCodeTab,MATCH(E1345,KdoWertTab,0)))),"StatusAbfr "&amp;D1345))</f>
        <v>Mark</v>
      </c>
      <c r="G1345" t="str">
        <f t="shared" si="151"/>
        <v>Mark</v>
      </c>
      <c r="H1345" t="str">
        <f t="shared" si="152"/>
        <v/>
      </c>
      <c r="I1345" t="str">
        <f t="shared" si="153"/>
        <v/>
      </c>
    </row>
    <row r="1346" spans="1:9" x14ac:dyDescent="0.25">
      <c r="A1346" t="s">
        <v>937</v>
      </c>
      <c r="B1346" s="6">
        <f t="shared" si="147"/>
        <v>4.0423333333333336</v>
      </c>
      <c r="C1346" s="3">
        <f t="shared" si="148"/>
        <v>101</v>
      </c>
      <c r="D1346" s="3" t="str">
        <f t="shared" si="149"/>
        <v/>
      </c>
      <c r="E1346" s="3">
        <f t="shared" si="150"/>
        <v>154</v>
      </c>
      <c r="F1346" s="5" t="str">
        <f>IF(C1346=0,"Broadcast",IF(D1346="",IF(E1346="","",IF(E1346&lt;128,"Verbind "&amp;E1346,INDEX(KdoCodeTab,MATCH(E1346,KdoWertTab,0)))),"StatusAbfr "&amp;D1346))</f>
        <v>MarkWdh</v>
      </c>
      <c r="G1346" t="str">
        <f t="shared" si="151"/>
        <v>MarkWdh</v>
      </c>
      <c r="H1346" t="str">
        <f t="shared" si="152"/>
        <v/>
      </c>
      <c r="I1346" t="str">
        <f t="shared" si="153"/>
        <v/>
      </c>
    </row>
    <row r="1347" spans="1:9" x14ac:dyDescent="0.25">
      <c r="A1347" t="s">
        <v>938</v>
      </c>
      <c r="B1347" s="6">
        <f t="shared" si="147"/>
        <v>4.0563333333333338</v>
      </c>
      <c r="C1347" s="3">
        <f t="shared" si="148"/>
        <v>31</v>
      </c>
      <c r="D1347" s="3" t="str">
        <f t="shared" si="149"/>
        <v/>
      </c>
      <c r="E1347" s="3">
        <f t="shared" si="150"/>
        <v>154</v>
      </c>
      <c r="F1347" s="5" t="str">
        <f>IF(C1347=0,"Broadcast",IF(D1347="",IF(E1347="","",IF(E1347&lt;128,"Verbind "&amp;E1347,INDEX(KdoCodeTab,MATCH(E1347,KdoWertTab,0)))),"StatusAbfr "&amp;D1347))</f>
        <v>MarkWdh</v>
      </c>
      <c r="G1347" t="str">
        <f t="shared" si="151"/>
        <v/>
      </c>
      <c r="H1347" t="str">
        <f t="shared" si="152"/>
        <v>MarkWdh</v>
      </c>
      <c r="I1347" t="str">
        <f t="shared" si="153"/>
        <v/>
      </c>
    </row>
    <row r="1348" spans="1:9" x14ac:dyDescent="0.25">
      <c r="A1348" t="s">
        <v>939</v>
      </c>
      <c r="B1348" s="6">
        <f t="shared" si="147"/>
        <v>4.0919999999999996</v>
      </c>
      <c r="C1348" s="3">
        <f t="shared" si="148"/>
        <v>101</v>
      </c>
      <c r="D1348" s="3" t="str">
        <f t="shared" si="149"/>
        <v/>
      </c>
      <c r="E1348" s="3">
        <f t="shared" si="150"/>
        <v>147</v>
      </c>
      <c r="F1348" s="5" t="str">
        <f>IF(C1348=0,"Broadcast",IF(D1348="",IF(E1348="","",IF(E1348&lt;128,"Verbind "&amp;E1348,INDEX(KdoCodeTab,MATCH(E1348,KdoWertTab,0)))),"StatusAbfr "&amp;D1348))</f>
        <v>Space</v>
      </c>
      <c r="G1348" t="str">
        <f t="shared" si="151"/>
        <v>Space</v>
      </c>
      <c r="H1348" t="str">
        <f t="shared" si="152"/>
        <v/>
      </c>
      <c r="I1348" t="str">
        <f t="shared" si="153"/>
        <v/>
      </c>
    </row>
    <row r="1349" spans="1:9" x14ac:dyDescent="0.25">
      <c r="A1349" t="s">
        <v>940</v>
      </c>
      <c r="B1349" s="6">
        <f t="shared" ref="B1349:B1392" si="154">MID(A1349,1,5)/1000+(CODE(MID(A1349,6,1))-CODE("a"))/6000</f>
        <v>4.093</v>
      </c>
      <c r="C1349" s="3">
        <f t="shared" ref="C1349:C1396" si="155">INT(HEX2DEC(MID(A1349,8,2))/2)</f>
        <v>101</v>
      </c>
      <c r="D1349" s="3" t="str">
        <f t="shared" si="149"/>
        <v/>
      </c>
      <c r="E1349" s="3">
        <f t="shared" si="150"/>
        <v>150</v>
      </c>
      <c r="F1349" s="5" t="str">
        <f>IF(C1349=0,"Broadcast",IF(D1349="",IF(E1349="","",IF(E1349&lt;128,"Verbind "&amp;E1349,INDEX(KdoCodeTab,MATCH(E1349,KdoWertTab,0)))),"StatusAbfr "&amp;D1349))</f>
        <v>SpaceWdh</v>
      </c>
      <c r="G1349" t="str">
        <f t="shared" si="151"/>
        <v>SpaceWdh</v>
      </c>
      <c r="H1349" t="str">
        <f t="shared" si="152"/>
        <v/>
      </c>
      <c r="I1349" t="str">
        <f t="shared" si="153"/>
        <v/>
      </c>
    </row>
    <row r="1350" spans="1:9" x14ac:dyDescent="0.25">
      <c r="A1350" t="s">
        <v>941</v>
      </c>
      <c r="B1350" s="6">
        <f t="shared" si="154"/>
        <v>4.1324999999999994</v>
      </c>
      <c r="C1350" s="3">
        <f t="shared" si="155"/>
        <v>101</v>
      </c>
      <c r="D1350" s="3" t="str">
        <f t="shared" si="149"/>
        <v/>
      </c>
      <c r="E1350" s="3">
        <f t="shared" si="150"/>
        <v>156</v>
      </c>
      <c r="F1350" s="5" t="str">
        <f>IF(C1350=0,"Broadcast",IF(D1350="",IF(E1350="","",IF(E1350&lt;128,"Verbind "&amp;E1350,INDEX(KdoCodeTab,MATCH(E1350,KdoWertTab,0)))),"StatusAbfr "&amp;D1350))</f>
        <v>Mark</v>
      </c>
      <c r="G1350" t="str">
        <f t="shared" si="151"/>
        <v>Mark</v>
      </c>
      <c r="H1350" t="str">
        <f t="shared" si="152"/>
        <v/>
      </c>
      <c r="I1350" t="str">
        <f t="shared" si="153"/>
        <v/>
      </c>
    </row>
    <row r="1351" spans="1:9" x14ac:dyDescent="0.25">
      <c r="A1351" t="s">
        <v>942</v>
      </c>
      <c r="B1351" s="6">
        <f t="shared" si="154"/>
        <v>4.1333333333333337</v>
      </c>
      <c r="C1351" s="3">
        <f t="shared" si="155"/>
        <v>101</v>
      </c>
      <c r="D1351" s="3" t="str">
        <f t="shared" si="149"/>
        <v/>
      </c>
      <c r="E1351" s="3">
        <f t="shared" si="150"/>
        <v>154</v>
      </c>
      <c r="F1351" s="5" t="str">
        <f>IF(C1351=0,"Broadcast",IF(D1351="",IF(E1351="","",IF(E1351&lt;128,"Verbind "&amp;E1351,INDEX(KdoCodeTab,MATCH(E1351,KdoWertTab,0)))),"StatusAbfr "&amp;D1351))</f>
        <v>MarkWdh</v>
      </c>
      <c r="G1351" t="str">
        <f t="shared" si="151"/>
        <v>MarkWdh</v>
      </c>
      <c r="H1351" t="str">
        <f t="shared" si="152"/>
        <v/>
      </c>
      <c r="I1351" t="str">
        <f t="shared" si="153"/>
        <v/>
      </c>
    </row>
    <row r="1352" spans="1:9" x14ac:dyDescent="0.25">
      <c r="A1352" t="s">
        <v>943</v>
      </c>
      <c r="B1352" s="6">
        <f t="shared" si="154"/>
        <v>4.1516666666666664</v>
      </c>
      <c r="C1352" s="3">
        <f t="shared" si="155"/>
        <v>101</v>
      </c>
      <c r="D1352" s="3" t="str">
        <f t="shared" si="149"/>
        <v/>
      </c>
      <c r="E1352" s="3">
        <f t="shared" si="150"/>
        <v>147</v>
      </c>
      <c r="F1352" s="5" t="str">
        <f>IF(C1352=0,"Broadcast",IF(D1352="",IF(E1352="","",IF(E1352&lt;128,"Verbind "&amp;E1352,INDEX(KdoCodeTab,MATCH(E1352,KdoWertTab,0)))),"StatusAbfr "&amp;D1352))</f>
        <v>Space</v>
      </c>
      <c r="G1352" t="str">
        <f t="shared" si="151"/>
        <v>Space</v>
      </c>
      <c r="H1352" t="str">
        <f t="shared" si="152"/>
        <v/>
      </c>
      <c r="I1352" t="str">
        <f t="shared" si="153"/>
        <v/>
      </c>
    </row>
    <row r="1353" spans="1:9" x14ac:dyDescent="0.25">
      <c r="A1353" t="s">
        <v>944</v>
      </c>
      <c r="B1353" s="6">
        <f t="shared" si="154"/>
        <v>4.1526666666666667</v>
      </c>
      <c r="C1353" s="3">
        <f t="shared" si="155"/>
        <v>101</v>
      </c>
      <c r="D1353" s="3" t="str">
        <f t="shared" si="149"/>
        <v/>
      </c>
      <c r="E1353" s="3">
        <f t="shared" si="150"/>
        <v>150</v>
      </c>
      <c r="F1353" s="5" t="str">
        <f>IF(C1353=0,"Broadcast",IF(D1353="",IF(E1353="","",IF(E1353&lt;128,"Verbind "&amp;E1353,INDEX(KdoCodeTab,MATCH(E1353,KdoWertTab,0)))),"StatusAbfr "&amp;D1353))</f>
        <v>SpaceWdh</v>
      </c>
      <c r="G1353" t="str">
        <f t="shared" si="151"/>
        <v>SpaceWdh</v>
      </c>
      <c r="H1353" t="str">
        <f t="shared" si="152"/>
        <v/>
      </c>
      <c r="I1353" t="str">
        <f t="shared" si="153"/>
        <v/>
      </c>
    </row>
    <row r="1354" spans="1:9" x14ac:dyDescent="0.25">
      <c r="A1354" t="s">
        <v>945</v>
      </c>
      <c r="B1354" s="6">
        <f t="shared" si="154"/>
        <v>4.2121666666666666</v>
      </c>
      <c r="C1354" s="3">
        <f t="shared" si="155"/>
        <v>101</v>
      </c>
      <c r="D1354" s="3" t="str">
        <f t="shared" si="149"/>
        <v/>
      </c>
      <c r="E1354" s="3">
        <f t="shared" si="150"/>
        <v>156</v>
      </c>
      <c r="F1354" s="5" t="str">
        <f>IF(C1354=0,"Broadcast",IF(D1354="",IF(E1354="","",IF(E1354&lt;128,"Verbind "&amp;E1354,INDEX(KdoCodeTab,MATCH(E1354,KdoWertTab,0)))),"StatusAbfr "&amp;D1354))</f>
        <v>Mark</v>
      </c>
      <c r="G1354" t="str">
        <f t="shared" si="151"/>
        <v>Mark</v>
      </c>
      <c r="H1354" t="str">
        <f t="shared" si="152"/>
        <v/>
      </c>
      <c r="I1354" t="str">
        <f t="shared" si="153"/>
        <v/>
      </c>
    </row>
    <row r="1355" spans="1:9" x14ac:dyDescent="0.25">
      <c r="A1355" t="s">
        <v>946</v>
      </c>
      <c r="B1355" s="6">
        <f t="shared" si="154"/>
        <v>4.2131666666666669</v>
      </c>
      <c r="C1355" s="3">
        <f t="shared" si="155"/>
        <v>101</v>
      </c>
      <c r="D1355" s="3" t="str">
        <f t="shared" si="149"/>
        <v/>
      </c>
      <c r="E1355" s="3">
        <f t="shared" si="150"/>
        <v>154</v>
      </c>
      <c r="F1355" s="5" t="str">
        <f>IF(C1355=0,"Broadcast",IF(D1355="",IF(E1355="","",IF(E1355&lt;128,"Verbind "&amp;E1355,INDEX(KdoCodeTab,MATCH(E1355,KdoWertTab,0)))),"StatusAbfr "&amp;D1355))</f>
        <v>MarkWdh</v>
      </c>
      <c r="G1355" t="str">
        <f t="shared" si="151"/>
        <v>MarkWdh</v>
      </c>
      <c r="H1355" t="str">
        <f t="shared" si="152"/>
        <v/>
      </c>
      <c r="I1355" t="str">
        <f t="shared" si="153"/>
        <v/>
      </c>
    </row>
    <row r="1356" spans="1:9" x14ac:dyDescent="0.25">
      <c r="A1356" t="s">
        <v>947</v>
      </c>
      <c r="B1356" s="6">
        <f t="shared" si="154"/>
        <v>4.2516666666666669</v>
      </c>
      <c r="C1356" s="3">
        <f t="shared" si="155"/>
        <v>101</v>
      </c>
      <c r="D1356" s="3" t="str">
        <f t="shared" si="149"/>
        <v/>
      </c>
      <c r="E1356" s="3">
        <f t="shared" si="150"/>
        <v>147</v>
      </c>
      <c r="F1356" s="5" t="str">
        <f>IF(C1356=0,"Broadcast",IF(D1356="",IF(E1356="","",IF(E1356&lt;128,"Verbind "&amp;E1356,INDEX(KdoCodeTab,MATCH(E1356,KdoWertTab,0)))),"StatusAbfr "&amp;D1356))</f>
        <v>Space</v>
      </c>
      <c r="G1356" t="str">
        <f t="shared" si="151"/>
        <v>Space</v>
      </c>
      <c r="H1356" t="str">
        <f t="shared" si="152"/>
        <v/>
      </c>
      <c r="I1356" t="str">
        <f t="shared" si="153"/>
        <v/>
      </c>
    </row>
    <row r="1357" spans="1:9" x14ac:dyDescent="0.25">
      <c r="A1357" t="s">
        <v>948</v>
      </c>
      <c r="B1357" s="6">
        <f t="shared" si="154"/>
        <v>4.2524999999999995</v>
      </c>
      <c r="C1357" s="3">
        <f t="shared" si="155"/>
        <v>101</v>
      </c>
      <c r="D1357" s="3" t="str">
        <f t="shared" si="149"/>
        <v/>
      </c>
      <c r="E1357" s="3">
        <f t="shared" si="150"/>
        <v>150</v>
      </c>
      <c r="F1357" s="5" t="str">
        <f>IF(C1357=0,"Broadcast",IF(D1357="",IF(E1357="","",IF(E1357&lt;128,"Verbind "&amp;E1357,INDEX(KdoCodeTab,MATCH(E1357,KdoWertTab,0)))),"StatusAbfr "&amp;D1357))</f>
        <v>SpaceWdh</v>
      </c>
      <c r="G1357" t="str">
        <f t="shared" si="151"/>
        <v>SpaceWdh</v>
      </c>
      <c r="H1357" t="str">
        <f t="shared" si="152"/>
        <v/>
      </c>
      <c r="I1357" t="str">
        <f t="shared" si="153"/>
        <v/>
      </c>
    </row>
    <row r="1358" spans="1:9" x14ac:dyDescent="0.25">
      <c r="A1358" t="s">
        <v>949</v>
      </c>
      <c r="B1358" s="6">
        <f t="shared" si="154"/>
        <v>4.2919999999999998</v>
      </c>
      <c r="C1358" s="3">
        <f t="shared" si="155"/>
        <v>101</v>
      </c>
      <c r="D1358" s="3" t="str">
        <f t="shared" si="149"/>
        <v/>
      </c>
      <c r="E1358" s="3">
        <f t="shared" si="150"/>
        <v>156</v>
      </c>
      <c r="F1358" s="5" t="str">
        <f>IF(C1358=0,"Broadcast",IF(D1358="",IF(E1358="","",IF(E1358&lt;128,"Verbind "&amp;E1358,INDEX(KdoCodeTab,MATCH(E1358,KdoWertTab,0)))),"StatusAbfr "&amp;D1358))</f>
        <v>Mark</v>
      </c>
      <c r="G1358" t="str">
        <f t="shared" si="151"/>
        <v>Mark</v>
      </c>
      <c r="H1358" t="str">
        <f t="shared" si="152"/>
        <v/>
      </c>
      <c r="I1358" t="str">
        <f t="shared" si="153"/>
        <v/>
      </c>
    </row>
    <row r="1359" spans="1:9" x14ac:dyDescent="0.25">
      <c r="A1359" t="s">
        <v>950</v>
      </c>
      <c r="B1359" s="6">
        <f t="shared" si="154"/>
        <v>4.2930000000000001</v>
      </c>
      <c r="C1359" s="3">
        <f t="shared" si="155"/>
        <v>101</v>
      </c>
      <c r="D1359" s="3" t="str">
        <f t="shared" si="149"/>
        <v/>
      </c>
      <c r="E1359" s="3">
        <f t="shared" si="150"/>
        <v>154</v>
      </c>
      <c r="F1359" s="5" t="str">
        <f>IF(C1359=0,"Broadcast",IF(D1359="",IF(E1359="","",IF(E1359&lt;128,"Verbind "&amp;E1359,INDEX(KdoCodeTab,MATCH(E1359,KdoWertTab,0)))),"StatusAbfr "&amp;D1359))</f>
        <v>MarkWdh</v>
      </c>
      <c r="G1359" t="str">
        <f t="shared" si="151"/>
        <v>MarkWdh</v>
      </c>
      <c r="H1359" t="str">
        <f t="shared" si="152"/>
        <v/>
      </c>
      <c r="I1359" t="str">
        <f t="shared" si="153"/>
        <v/>
      </c>
    </row>
    <row r="1360" spans="1:9" x14ac:dyDescent="0.25">
      <c r="A1360" t="s">
        <v>951</v>
      </c>
      <c r="B1360" s="6">
        <f t="shared" si="154"/>
        <v>4.3113333333333337</v>
      </c>
      <c r="C1360" s="3">
        <f t="shared" si="155"/>
        <v>101</v>
      </c>
      <c r="D1360" s="3" t="str">
        <f t="shared" si="149"/>
        <v/>
      </c>
      <c r="E1360" s="3">
        <f t="shared" si="150"/>
        <v>147</v>
      </c>
      <c r="F1360" s="5" t="str">
        <f>IF(C1360=0,"Broadcast",IF(D1360="",IF(E1360="","",IF(E1360&lt;128,"Verbind "&amp;E1360,INDEX(KdoCodeTab,MATCH(E1360,KdoWertTab,0)))),"StatusAbfr "&amp;D1360))</f>
        <v>Space</v>
      </c>
      <c r="G1360" t="str">
        <f t="shared" si="151"/>
        <v>Space</v>
      </c>
      <c r="H1360" t="str">
        <f t="shared" si="152"/>
        <v/>
      </c>
      <c r="I1360" t="str">
        <f t="shared" si="153"/>
        <v/>
      </c>
    </row>
    <row r="1361" spans="1:9" x14ac:dyDescent="0.25">
      <c r="A1361" t="s">
        <v>952</v>
      </c>
      <c r="B1361" s="6">
        <f t="shared" si="154"/>
        <v>4.3121666666666671</v>
      </c>
      <c r="C1361" s="3">
        <f t="shared" si="155"/>
        <v>101</v>
      </c>
      <c r="D1361" s="3" t="str">
        <f t="shared" si="149"/>
        <v/>
      </c>
      <c r="E1361" s="3">
        <f t="shared" si="150"/>
        <v>150</v>
      </c>
      <c r="F1361" s="5" t="str">
        <f>IF(C1361=0,"Broadcast",IF(D1361="",IF(E1361="","",IF(E1361&lt;128,"Verbind "&amp;E1361,INDEX(KdoCodeTab,MATCH(E1361,KdoWertTab,0)))),"StatusAbfr "&amp;D1361))</f>
        <v>SpaceWdh</v>
      </c>
      <c r="G1361" t="str">
        <f t="shared" si="151"/>
        <v>SpaceWdh</v>
      </c>
      <c r="H1361" t="str">
        <f t="shared" si="152"/>
        <v/>
      </c>
      <c r="I1361" t="str">
        <f t="shared" si="153"/>
        <v/>
      </c>
    </row>
    <row r="1362" spans="1:9" x14ac:dyDescent="0.25">
      <c r="A1362" t="s">
        <v>953</v>
      </c>
      <c r="B1362" s="6">
        <f t="shared" si="154"/>
        <v>4.3728333333333333</v>
      </c>
      <c r="C1362" s="3">
        <f t="shared" si="155"/>
        <v>101</v>
      </c>
      <c r="D1362" s="3" t="str">
        <f t="shared" si="149"/>
        <v/>
      </c>
      <c r="E1362" s="3">
        <f t="shared" si="150"/>
        <v>156</v>
      </c>
      <c r="F1362" s="5" t="str">
        <f>IF(C1362=0,"Broadcast",IF(D1362="",IF(E1362="","",IF(E1362&lt;128,"Verbind "&amp;E1362,INDEX(KdoCodeTab,MATCH(E1362,KdoWertTab,0)))),"StatusAbfr "&amp;D1362))</f>
        <v>Mark</v>
      </c>
      <c r="G1362" t="str">
        <f t="shared" si="151"/>
        <v>Mark</v>
      </c>
      <c r="H1362" t="str">
        <f t="shared" si="152"/>
        <v/>
      </c>
      <c r="I1362" t="str">
        <f t="shared" si="153"/>
        <v/>
      </c>
    </row>
    <row r="1363" spans="1:9" x14ac:dyDescent="0.25">
      <c r="A1363" t="s">
        <v>954</v>
      </c>
      <c r="B1363" s="6">
        <f t="shared" si="154"/>
        <v>4.3738333333333337</v>
      </c>
      <c r="C1363" s="3">
        <f t="shared" si="155"/>
        <v>101</v>
      </c>
      <c r="D1363" s="3" t="str">
        <f t="shared" si="149"/>
        <v/>
      </c>
      <c r="E1363" s="3">
        <f t="shared" si="150"/>
        <v>154</v>
      </c>
      <c r="F1363" s="5" t="str">
        <f>IF(C1363=0,"Broadcast",IF(D1363="",IF(E1363="","",IF(E1363&lt;128,"Verbind "&amp;E1363,INDEX(KdoCodeTab,MATCH(E1363,KdoWertTab,0)))),"StatusAbfr "&amp;D1363))</f>
        <v>MarkWdh</v>
      </c>
      <c r="G1363" t="str">
        <f t="shared" si="151"/>
        <v>MarkWdh</v>
      </c>
      <c r="H1363" t="str">
        <f t="shared" si="152"/>
        <v/>
      </c>
      <c r="I1363" t="str">
        <f t="shared" si="153"/>
        <v/>
      </c>
    </row>
    <row r="1364" spans="1:9" x14ac:dyDescent="0.25">
      <c r="A1364" t="s">
        <v>163</v>
      </c>
      <c r="B1364" s="6">
        <f t="shared" si="154"/>
        <v>4.4031666666666665</v>
      </c>
      <c r="C1364" s="3">
        <f t="shared" si="155"/>
        <v>101</v>
      </c>
      <c r="D1364" s="3" t="str">
        <f t="shared" si="149"/>
        <v/>
      </c>
      <c r="E1364" s="3">
        <f t="shared" si="150"/>
        <v>147</v>
      </c>
      <c r="F1364" s="5" t="str">
        <f>IF(C1364=0,"Broadcast",IF(D1364="",IF(E1364="","",IF(E1364&lt;128,"Verbind "&amp;E1364,INDEX(KdoCodeTab,MATCH(E1364,KdoWertTab,0)))),"StatusAbfr "&amp;D1364))</f>
        <v>Space</v>
      </c>
      <c r="G1364" t="str">
        <f t="shared" si="151"/>
        <v>Space</v>
      </c>
      <c r="H1364" t="str">
        <f t="shared" si="152"/>
        <v/>
      </c>
      <c r="I1364" t="str">
        <f t="shared" si="153"/>
        <v/>
      </c>
    </row>
    <row r="1365" spans="1:9" x14ac:dyDescent="0.25">
      <c r="A1365" t="s">
        <v>955</v>
      </c>
      <c r="B1365" s="6">
        <f t="shared" si="154"/>
        <v>4.4039999999999999</v>
      </c>
      <c r="C1365" s="3">
        <f t="shared" si="155"/>
        <v>101</v>
      </c>
      <c r="D1365" s="3" t="str">
        <f t="shared" si="149"/>
        <v/>
      </c>
      <c r="E1365" s="3">
        <f t="shared" si="150"/>
        <v>150</v>
      </c>
      <c r="F1365" s="5" t="str">
        <f>IF(C1365=0,"Broadcast",IF(D1365="",IF(E1365="","",IF(E1365&lt;128,"Verbind "&amp;E1365,INDEX(KdoCodeTab,MATCH(E1365,KdoWertTab,0)))),"StatusAbfr "&amp;D1365))</f>
        <v>SpaceWdh</v>
      </c>
      <c r="G1365" t="str">
        <f t="shared" si="151"/>
        <v>SpaceWdh</v>
      </c>
      <c r="H1365" t="str">
        <f t="shared" si="152"/>
        <v/>
      </c>
      <c r="I1365" t="str">
        <f t="shared" si="153"/>
        <v/>
      </c>
    </row>
    <row r="1366" spans="1:9" x14ac:dyDescent="0.25">
      <c r="A1366" t="s">
        <v>956</v>
      </c>
      <c r="B1366" s="6">
        <f t="shared" si="154"/>
        <v>4.4436666666666662</v>
      </c>
      <c r="C1366" s="3">
        <f t="shared" si="155"/>
        <v>101</v>
      </c>
      <c r="D1366" s="3" t="str">
        <f t="shared" si="149"/>
        <v/>
      </c>
      <c r="E1366" s="3">
        <f t="shared" si="150"/>
        <v>156</v>
      </c>
      <c r="F1366" s="5" t="str">
        <f>IF(C1366=0,"Broadcast",IF(D1366="",IF(E1366="","",IF(E1366&lt;128,"Verbind "&amp;E1366,INDEX(KdoCodeTab,MATCH(E1366,KdoWertTab,0)))),"StatusAbfr "&amp;D1366))</f>
        <v>Mark</v>
      </c>
      <c r="G1366" t="str">
        <f t="shared" si="151"/>
        <v>Mark</v>
      </c>
      <c r="H1366" t="str">
        <f t="shared" si="152"/>
        <v/>
      </c>
      <c r="I1366" t="str">
        <f t="shared" si="153"/>
        <v/>
      </c>
    </row>
    <row r="1367" spans="1:9" x14ac:dyDescent="0.25">
      <c r="A1367" t="s">
        <v>166</v>
      </c>
      <c r="B1367" s="6">
        <f t="shared" si="154"/>
        <v>4.4444999999999997</v>
      </c>
      <c r="C1367" s="3">
        <f t="shared" si="155"/>
        <v>101</v>
      </c>
      <c r="D1367" s="3" t="str">
        <f t="shared" si="149"/>
        <v/>
      </c>
      <c r="E1367" s="3">
        <f t="shared" si="150"/>
        <v>154</v>
      </c>
      <c r="F1367" s="5" t="str">
        <f>IF(C1367=0,"Broadcast",IF(D1367="",IF(E1367="","",IF(E1367&lt;128,"Verbind "&amp;E1367,INDEX(KdoCodeTab,MATCH(E1367,KdoWertTab,0)))),"StatusAbfr "&amp;D1367))</f>
        <v>MarkWdh</v>
      </c>
      <c r="G1367" t="str">
        <f t="shared" si="151"/>
        <v>MarkWdh</v>
      </c>
      <c r="H1367" t="str">
        <f t="shared" si="152"/>
        <v/>
      </c>
      <c r="I1367" t="str">
        <f t="shared" si="153"/>
        <v/>
      </c>
    </row>
    <row r="1368" spans="1:9" x14ac:dyDescent="0.25">
      <c r="A1368" t="s">
        <v>167</v>
      </c>
      <c r="B1368" s="6">
        <f t="shared" si="154"/>
        <v>4.4638333333333335</v>
      </c>
      <c r="C1368" s="3">
        <f t="shared" si="155"/>
        <v>101</v>
      </c>
      <c r="D1368" s="3" t="str">
        <f t="shared" si="149"/>
        <v/>
      </c>
      <c r="E1368" s="3">
        <f t="shared" si="150"/>
        <v>147</v>
      </c>
      <c r="F1368" s="5" t="str">
        <f>IF(C1368=0,"Broadcast",IF(D1368="",IF(E1368="","",IF(E1368&lt;128,"Verbind "&amp;E1368,INDEX(KdoCodeTab,MATCH(E1368,KdoWertTab,0)))),"StatusAbfr "&amp;D1368))</f>
        <v>Space</v>
      </c>
      <c r="G1368" t="str">
        <f t="shared" si="151"/>
        <v>Space</v>
      </c>
      <c r="H1368" t="str">
        <f t="shared" si="152"/>
        <v/>
      </c>
      <c r="I1368" t="str">
        <f t="shared" si="153"/>
        <v/>
      </c>
    </row>
    <row r="1369" spans="1:9" x14ac:dyDescent="0.25">
      <c r="A1369" t="s">
        <v>957</v>
      </c>
      <c r="B1369" s="6">
        <f t="shared" si="154"/>
        <v>4.464666666666667</v>
      </c>
      <c r="C1369" s="3">
        <f t="shared" si="155"/>
        <v>101</v>
      </c>
      <c r="D1369" s="3" t="str">
        <f t="shared" si="149"/>
        <v/>
      </c>
      <c r="E1369" s="3">
        <f t="shared" si="150"/>
        <v>150</v>
      </c>
      <c r="F1369" s="5" t="str">
        <f>IF(C1369=0,"Broadcast",IF(D1369="",IF(E1369="","",IF(E1369&lt;128,"Verbind "&amp;E1369,INDEX(KdoCodeTab,MATCH(E1369,KdoWertTab,0)))),"StatusAbfr "&amp;D1369))</f>
        <v>SpaceWdh</v>
      </c>
      <c r="G1369" t="str">
        <f t="shared" si="151"/>
        <v>SpaceWdh</v>
      </c>
      <c r="H1369" t="str">
        <f t="shared" si="152"/>
        <v/>
      </c>
      <c r="I1369" t="str">
        <f t="shared" si="153"/>
        <v/>
      </c>
    </row>
    <row r="1370" spans="1:9" x14ac:dyDescent="0.25">
      <c r="A1370" t="s">
        <v>958</v>
      </c>
      <c r="B1370" s="6">
        <f t="shared" si="154"/>
        <v>4.5071666666666665</v>
      </c>
      <c r="C1370" s="3">
        <f t="shared" si="155"/>
        <v>101</v>
      </c>
      <c r="D1370" s="3" t="str">
        <f t="shared" si="149"/>
        <v/>
      </c>
      <c r="E1370" s="3">
        <f t="shared" si="150"/>
        <v>169</v>
      </c>
      <c r="F1370" s="5" t="str">
        <f>IF(C1370=0,"Broadcast",IF(D1370="",IF(E1370="","",IF(E1370&lt;128,"Verbind "&amp;E1370,INDEX(KdoCodeTab,MATCH(E1370,KdoWertTab,0)))),"StatusAbfr "&amp;D1370))</f>
        <v>BusLebenszeichen</v>
      </c>
      <c r="G1370" t="str">
        <f t="shared" si="151"/>
        <v>BusLebenszeichen</v>
      </c>
      <c r="H1370" t="str">
        <f t="shared" si="152"/>
        <v/>
      </c>
      <c r="I1370" t="str">
        <f t="shared" si="153"/>
        <v/>
      </c>
    </row>
    <row r="1371" spans="1:9" x14ac:dyDescent="0.25">
      <c r="A1371" t="s">
        <v>959</v>
      </c>
      <c r="B1371" s="6">
        <f t="shared" si="154"/>
        <v>4.5233333333333334</v>
      </c>
      <c r="C1371" s="3">
        <f t="shared" si="155"/>
        <v>101</v>
      </c>
      <c r="D1371" s="3" t="str">
        <f t="shared" si="149"/>
        <v/>
      </c>
      <c r="E1371" s="3">
        <f t="shared" si="150"/>
        <v>156</v>
      </c>
      <c r="F1371" s="5" t="str">
        <f>IF(C1371=0,"Broadcast",IF(D1371="",IF(E1371="","",IF(E1371&lt;128,"Verbind "&amp;E1371,INDEX(KdoCodeTab,MATCH(E1371,KdoWertTab,0)))),"StatusAbfr "&amp;D1371))</f>
        <v>Mark</v>
      </c>
      <c r="G1371" t="str">
        <f t="shared" si="151"/>
        <v>Mark</v>
      </c>
      <c r="H1371" t="str">
        <f t="shared" si="152"/>
        <v/>
      </c>
      <c r="I1371" t="str">
        <f t="shared" si="153"/>
        <v/>
      </c>
    </row>
    <row r="1372" spans="1:9" x14ac:dyDescent="0.25">
      <c r="A1372" t="s">
        <v>960</v>
      </c>
      <c r="B1372" s="6">
        <f t="shared" si="154"/>
        <v>4.5243333333333338</v>
      </c>
      <c r="C1372" s="3">
        <f t="shared" si="155"/>
        <v>101</v>
      </c>
      <c r="D1372" s="3" t="str">
        <f t="shared" si="149"/>
        <v/>
      </c>
      <c r="E1372" s="3">
        <f t="shared" si="150"/>
        <v>154</v>
      </c>
      <c r="F1372" s="5" t="str">
        <f>IF(C1372=0,"Broadcast",IF(D1372="",IF(E1372="","",IF(E1372&lt;128,"Verbind "&amp;E1372,INDEX(KdoCodeTab,MATCH(E1372,KdoWertTab,0)))),"StatusAbfr "&amp;D1372))</f>
        <v>MarkWdh</v>
      </c>
      <c r="G1372" t="str">
        <f t="shared" si="151"/>
        <v>MarkWdh</v>
      </c>
      <c r="H1372" t="str">
        <f t="shared" si="152"/>
        <v/>
      </c>
      <c r="I1372" t="str">
        <f t="shared" si="153"/>
        <v/>
      </c>
    </row>
    <row r="1373" spans="1:9" x14ac:dyDescent="0.25">
      <c r="A1373" t="s">
        <v>961</v>
      </c>
      <c r="B1373" s="6">
        <f t="shared" si="154"/>
        <v>4.562333333333334</v>
      </c>
      <c r="C1373" s="3">
        <f t="shared" si="155"/>
        <v>31</v>
      </c>
      <c r="D1373" s="3" t="str">
        <f t="shared" si="149"/>
        <v/>
      </c>
      <c r="E1373" s="3">
        <f t="shared" si="150"/>
        <v>154</v>
      </c>
      <c r="F1373" s="5" t="str">
        <f>IF(C1373=0,"Broadcast",IF(D1373="",IF(E1373="","",IF(E1373&lt;128,"Verbind "&amp;E1373,INDEX(KdoCodeTab,MATCH(E1373,KdoWertTab,0)))),"StatusAbfr "&amp;D1373))</f>
        <v>MarkWdh</v>
      </c>
      <c r="G1373" t="str">
        <f t="shared" si="151"/>
        <v/>
      </c>
      <c r="H1373" t="str">
        <f t="shared" si="152"/>
        <v>MarkWdh</v>
      </c>
      <c r="I1373" t="str">
        <f t="shared" si="153"/>
        <v/>
      </c>
    </row>
    <row r="1374" spans="1:9" x14ac:dyDescent="0.25">
      <c r="A1374" t="s">
        <v>962</v>
      </c>
      <c r="B1374" s="6">
        <f t="shared" si="154"/>
        <v>4.5668333333333333</v>
      </c>
      <c r="C1374" s="3">
        <f t="shared" si="155"/>
        <v>101</v>
      </c>
      <c r="D1374" s="3" t="str">
        <f t="shared" si="149"/>
        <v/>
      </c>
      <c r="E1374" s="3">
        <f t="shared" si="150"/>
        <v>147</v>
      </c>
      <c r="F1374" s="5" t="str">
        <f>IF(C1374=0,"Broadcast",IF(D1374="",IF(E1374="","",IF(E1374&lt;128,"Verbind "&amp;E1374,INDEX(KdoCodeTab,MATCH(E1374,KdoWertTab,0)))),"StatusAbfr "&amp;D1374))</f>
        <v>Space</v>
      </c>
      <c r="G1374" t="str">
        <f t="shared" si="151"/>
        <v>Space</v>
      </c>
      <c r="H1374" t="str">
        <f t="shared" si="152"/>
        <v/>
      </c>
      <c r="I1374" t="str">
        <f t="shared" si="153"/>
        <v/>
      </c>
    </row>
    <row r="1375" spans="1:9" x14ac:dyDescent="0.25">
      <c r="A1375" t="s">
        <v>963</v>
      </c>
      <c r="B1375" s="6">
        <f t="shared" si="154"/>
        <v>4.5678333333333336</v>
      </c>
      <c r="C1375" s="3">
        <f t="shared" si="155"/>
        <v>101</v>
      </c>
      <c r="D1375" s="3" t="str">
        <f t="shared" si="149"/>
        <v/>
      </c>
      <c r="E1375" s="3">
        <f t="shared" si="150"/>
        <v>150</v>
      </c>
      <c r="F1375" s="5" t="str">
        <f>IF(C1375=0,"Broadcast",IF(D1375="",IF(E1375="","",IF(E1375&lt;128,"Verbind "&amp;E1375,INDEX(KdoCodeTab,MATCH(E1375,KdoWertTab,0)))),"StatusAbfr "&amp;D1375))</f>
        <v>SpaceWdh</v>
      </c>
      <c r="G1375" t="str">
        <f t="shared" si="151"/>
        <v>SpaceWdh</v>
      </c>
      <c r="H1375" t="str">
        <f t="shared" si="152"/>
        <v/>
      </c>
      <c r="I1375" t="str">
        <f t="shared" si="153"/>
        <v/>
      </c>
    </row>
    <row r="1376" spans="1:9" x14ac:dyDescent="0.25">
      <c r="A1376" t="s">
        <v>964</v>
      </c>
      <c r="B1376" s="6">
        <f t="shared" si="154"/>
        <v>4.6071666666666671</v>
      </c>
      <c r="C1376" s="3">
        <f t="shared" si="155"/>
        <v>101</v>
      </c>
      <c r="D1376" s="3" t="str">
        <f t="shared" si="149"/>
        <v/>
      </c>
      <c r="E1376" s="3">
        <f t="shared" si="150"/>
        <v>156</v>
      </c>
      <c r="F1376" s="5" t="str">
        <f>IF(C1376=0,"Broadcast",IF(D1376="",IF(E1376="","",IF(E1376&lt;128,"Verbind "&amp;E1376,INDEX(KdoCodeTab,MATCH(E1376,KdoWertTab,0)))),"StatusAbfr "&amp;D1376))</f>
        <v>Mark</v>
      </c>
      <c r="G1376" t="str">
        <f t="shared" si="151"/>
        <v>Mark</v>
      </c>
      <c r="H1376" t="str">
        <f t="shared" si="152"/>
        <v/>
      </c>
      <c r="I1376" t="str">
        <f t="shared" si="153"/>
        <v/>
      </c>
    </row>
    <row r="1377" spans="1:9" x14ac:dyDescent="0.25">
      <c r="A1377" t="s">
        <v>965</v>
      </c>
      <c r="B1377" s="6">
        <f t="shared" si="154"/>
        <v>4.6081666666666665</v>
      </c>
      <c r="C1377" s="3">
        <f t="shared" si="155"/>
        <v>101</v>
      </c>
      <c r="D1377" s="3" t="str">
        <f t="shared" si="149"/>
        <v/>
      </c>
      <c r="E1377" s="3">
        <f t="shared" si="150"/>
        <v>154</v>
      </c>
      <c r="F1377" s="5" t="str">
        <f>IF(C1377=0,"Broadcast",IF(D1377="",IF(E1377="","",IF(E1377&lt;128,"Verbind "&amp;E1377,INDEX(KdoCodeTab,MATCH(E1377,KdoWertTab,0)))),"StatusAbfr "&amp;D1377))</f>
        <v>MarkWdh</v>
      </c>
      <c r="G1377" t="str">
        <f t="shared" si="151"/>
        <v>MarkWdh</v>
      </c>
      <c r="H1377" t="str">
        <f t="shared" si="152"/>
        <v/>
      </c>
      <c r="I1377" t="str">
        <f t="shared" si="153"/>
        <v/>
      </c>
    </row>
    <row r="1378" spans="1:9" x14ac:dyDescent="0.25">
      <c r="A1378" t="s">
        <v>966</v>
      </c>
      <c r="B1378" s="6">
        <f t="shared" si="154"/>
        <v>4.6274999999999995</v>
      </c>
      <c r="C1378" s="3">
        <f t="shared" si="155"/>
        <v>101</v>
      </c>
      <c r="D1378" s="3" t="str">
        <f t="shared" si="149"/>
        <v/>
      </c>
      <c r="E1378" s="3">
        <f t="shared" si="150"/>
        <v>147</v>
      </c>
      <c r="F1378" s="5" t="str">
        <f>IF(C1378=0,"Broadcast",IF(D1378="",IF(E1378="","",IF(E1378&lt;128,"Verbind "&amp;E1378,INDEX(KdoCodeTab,MATCH(E1378,KdoWertTab,0)))),"StatusAbfr "&amp;D1378))</f>
        <v>Space</v>
      </c>
      <c r="G1378" t="str">
        <f t="shared" si="151"/>
        <v>Space</v>
      </c>
      <c r="H1378" t="str">
        <f t="shared" si="152"/>
        <v/>
      </c>
      <c r="I1378" t="str">
        <f t="shared" si="153"/>
        <v/>
      </c>
    </row>
    <row r="1379" spans="1:9" x14ac:dyDescent="0.25">
      <c r="A1379" t="s">
        <v>967</v>
      </c>
      <c r="B1379" s="6">
        <f t="shared" si="154"/>
        <v>4.6284999999999998</v>
      </c>
      <c r="C1379" s="3">
        <f t="shared" si="155"/>
        <v>101</v>
      </c>
      <c r="D1379" s="3" t="str">
        <f t="shared" si="149"/>
        <v/>
      </c>
      <c r="E1379" s="3">
        <f t="shared" si="150"/>
        <v>150</v>
      </c>
      <c r="F1379" s="5" t="str">
        <f>IF(C1379=0,"Broadcast",IF(D1379="",IF(E1379="","",IF(E1379&lt;128,"Verbind "&amp;E1379,INDEX(KdoCodeTab,MATCH(E1379,KdoWertTab,0)))),"StatusAbfr "&amp;D1379))</f>
        <v>SpaceWdh</v>
      </c>
      <c r="G1379" t="str">
        <f t="shared" si="151"/>
        <v>SpaceWdh</v>
      </c>
      <c r="H1379" t="str">
        <f t="shared" si="152"/>
        <v/>
      </c>
      <c r="I1379" t="str">
        <f t="shared" si="153"/>
        <v/>
      </c>
    </row>
    <row r="1380" spans="1:9" x14ac:dyDescent="0.25">
      <c r="A1380" t="s">
        <v>968</v>
      </c>
      <c r="B1380" s="6">
        <f t="shared" si="154"/>
        <v>4.6879999999999997</v>
      </c>
      <c r="C1380" s="3">
        <f t="shared" si="155"/>
        <v>101</v>
      </c>
      <c r="D1380" s="3" t="str">
        <f t="shared" si="149"/>
        <v/>
      </c>
      <c r="E1380" s="3">
        <f t="shared" si="150"/>
        <v>156</v>
      </c>
      <c r="F1380" s="5" t="str">
        <f>IF(C1380=0,"Broadcast",IF(D1380="",IF(E1380="","",IF(E1380&lt;128,"Verbind "&amp;E1380,INDEX(KdoCodeTab,MATCH(E1380,KdoWertTab,0)))),"StatusAbfr "&amp;D1380))</f>
        <v>Mark</v>
      </c>
      <c r="G1380" t="str">
        <f t="shared" si="151"/>
        <v>Mark</v>
      </c>
      <c r="H1380" t="str">
        <f t="shared" si="152"/>
        <v/>
      </c>
      <c r="I1380" t="str">
        <f t="shared" si="153"/>
        <v/>
      </c>
    </row>
    <row r="1381" spans="1:9" x14ac:dyDescent="0.25">
      <c r="A1381" t="s">
        <v>969</v>
      </c>
      <c r="B1381" s="6">
        <f t="shared" si="154"/>
        <v>4.6890000000000001</v>
      </c>
      <c r="C1381" s="3">
        <f t="shared" si="155"/>
        <v>101</v>
      </c>
      <c r="D1381" s="3" t="str">
        <f t="shared" si="149"/>
        <v/>
      </c>
      <c r="E1381" s="3">
        <f t="shared" si="150"/>
        <v>154</v>
      </c>
      <c r="F1381" s="5" t="str">
        <f>IF(C1381=0,"Broadcast",IF(D1381="",IF(E1381="","",IF(E1381&lt;128,"Verbind "&amp;E1381,INDEX(KdoCodeTab,MATCH(E1381,KdoWertTab,0)))),"StatusAbfr "&amp;D1381))</f>
        <v>MarkWdh</v>
      </c>
      <c r="G1381" t="str">
        <f t="shared" si="151"/>
        <v>MarkWdh</v>
      </c>
      <c r="H1381" t="str">
        <f t="shared" si="152"/>
        <v/>
      </c>
      <c r="I1381" t="str">
        <f t="shared" si="153"/>
        <v/>
      </c>
    </row>
    <row r="1382" spans="1:9" x14ac:dyDescent="0.25">
      <c r="A1382" t="s">
        <v>970</v>
      </c>
      <c r="B1382" s="6">
        <f t="shared" si="154"/>
        <v>5.0683333333333334</v>
      </c>
      <c r="C1382" s="3">
        <f t="shared" si="155"/>
        <v>31</v>
      </c>
      <c r="D1382" s="3" t="str">
        <f t="shared" si="149"/>
        <v/>
      </c>
      <c r="E1382" s="3">
        <f t="shared" si="150"/>
        <v>154</v>
      </c>
      <c r="F1382" s="5" t="str">
        <f>IF(C1382=0,"Broadcast",IF(D1382="",IF(E1382="","",IF(E1382&lt;128,"Verbind "&amp;E1382,INDEX(KdoCodeTab,MATCH(E1382,KdoWertTab,0)))),"StatusAbfr "&amp;D1382))</f>
        <v>MarkWdh</v>
      </c>
      <c r="G1382" t="str">
        <f t="shared" si="151"/>
        <v/>
      </c>
      <c r="H1382" t="str">
        <f t="shared" si="152"/>
        <v>MarkWdh</v>
      </c>
      <c r="I1382" t="str">
        <f t="shared" si="153"/>
        <v/>
      </c>
    </row>
    <row r="1383" spans="1:9" x14ac:dyDescent="0.25">
      <c r="A1383" t="s">
        <v>971</v>
      </c>
      <c r="B1383" s="6">
        <f t="shared" si="154"/>
        <v>5.1890000000000001</v>
      </c>
      <c r="C1383" s="3">
        <f t="shared" si="155"/>
        <v>101</v>
      </c>
      <c r="D1383" s="3" t="str">
        <f t="shared" si="149"/>
        <v/>
      </c>
      <c r="E1383" s="3">
        <f t="shared" si="150"/>
        <v>169</v>
      </c>
      <c r="F1383" s="5" t="str">
        <f>IF(C1383=0,"Broadcast",IF(D1383="",IF(E1383="","",IF(E1383&lt;128,"Verbind "&amp;E1383,INDEX(KdoCodeTab,MATCH(E1383,KdoWertTab,0)))),"StatusAbfr "&amp;D1383))</f>
        <v>BusLebenszeichen</v>
      </c>
      <c r="G1383" t="str">
        <f t="shared" si="151"/>
        <v>BusLebenszeichen</v>
      </c>
      <c r="H1383" t="str">
        <f t="shared" si="152"/>
        <v/>
      </c>
      <c r="I1383" t="str">
        <f t="shared" si="153"/>
        <v/>
      </c>
    </row>
    <row r="1384" spans="1:9" x14ac:dyDescent="0.25">
      <c r="A1384" t="s">
        <v>972</v>
      </c>
      <c r="B1384" s="6">
        <f t="shared" si="154"/>
        <v>5.2921666666666667</v>
      </c>
      <c r="C1384" s="3">
        <f t="shared" si="155"/>
        <v>101</v>
      </c>
      <c r="D1384" s="3" t="str">
        <f t="shared" si="149"/>
        <v/>
      </c>
      <c r="E1384" s="3">
        <f t="shared" si="150"/>
        <v>147</v>
      </c>
      <c r="F1384" s="5" t="str">
        <f>IF(C1384=0,"Broadcast",IF(D1384="",IF(E1384="","",IF(E1384&lt;128,"Verbind "&amp;E1384,INDEX(KdoCodeTab,MATCH(E1384,KdoWertTab,0)))),"StatusAbfr "&amp;D1384))</f>
        <v>Space</v>
      </c>
      <c r="G1384" t="str">
        <f t="shared" si="151"/>
        <v>Space</v>
      </c>
      <c r="H1384" t="str">
        <f t="shared" si="152"/>
        <v/>
      </c>
      <c r="I1384" t="str">
        <f t="shared" si="153"/>
        <v/>
      </c>
    </row>
    <row r="1385" spans="1:9" x14ac:dyDescent="0.25">
      <c r="A1385" t="s">
        <v>973</v>
      </c>
      <c r="B1385" s="6">
        <f t="shared" si="154"/>
        <v>5.293166666666667</v>
      </c>
      <c r="C1385" s="3">
        <f t="shared" si="155"/>
        <v>101</v>
      </c>
      <c r="D1385" s="3" t="str">
        <f t="shared" si="149"/>
        <v/>
      </c>
      <c r="E1385" s="3">
        <f t="shared" si="150"/>
        <v>150</v>
      </c>
      <c r="F1385" s="5" t="str">
        <f>IF(C1385=0,"Broadcast",IF(D1385="",IF(E1385="","",IF(E1385&lt;128,"Verbind "&amp;E1385,INDEX(KdoCodeTab,MATCH(E1385,KdoWertTab,0)))),"StatusAbfr "&amp;D1385))</f>
        <v>SpaceWdh</v>
      </c>
      <c r="G1385" t="str">
        <f t="shared" si="151"/>
        <v>SpaceWdh</v>
      </c>
      <c r="H1385" t="str">
        <f t="shared" si="152"/>
        <v/>
      </c>
      <c r="I1385" t="str">
        <f t="shared" si="153"/>
        <v/>
      </c>
    </row>
    <row r="1386" spans="1:9" x14ac:dyDescent="0.25">
      <c r="A1386" t="s">
        <v>974</v>
      </c>
      <c r="B1386" s="6">
        <f t="shared" si="154"/>
        <v>5.5743333333333336</v>
      </c>
      <c r="C1386" s="3">
        <f t="shared" si="155"/>
        <v>31</v>
      </c>
      <c r="D1386" s="3" t="str">
        <f t="shared" si="149"/>
        <v/>
      </c>
      <c r="E1386" s="3">
        <f t="shared" si="150"/>
        <v>154</v>
      </c>
      <c r="F1386" s="5" t="str">
        <f>IF(C1386=0,"Broadcast",IF(D1386="",IF(E1386="","",IF(E1386&lt;128,"Verbind "&amp;E1386,INDEX(KdoCodeTab,MATCH(E1386,KdoWertTab,0)))),"StatusAbfr "&amp;D1386))</f>
        <v>MarkWdh</v>
      </c>
      <c r="G1386" t="str">
        <f t="shared" si="151"/>
        <v/>
      </c>
      <c r="H1386" t="str">
        <f t="shared" si="152"/>
        <v>MarkWdh</v>
      </c>
      <c r="I1386" t="str">
        <f t="shared" si="153"/>
        <v/>
      </c>
    </row>
    <row r="1387" spans="1:9" x14ac:dyDescent="0.25">
      <c r="A1387" t="s">
        <v>975</v>
      </c>
      <c r="B1387" s="6">
        <f t="shared" si="154"/>
        <v>5.8710000000000004</v>
      </c>
      <c r="C1387" s="3">
        <f t="shared" si="155"/>
        <v>101</v>
      </c>
      <c r="D1387" s="3" t="str">
        <f t="shared" si="149"/>
        <v/>
      </c>
      <c r="E1387" s="3">
        <f t="shared" si="150"/>
        <v>169</v>
      </c>
      <c r="F1387" s="5" t="str">
        <f>IF(C1387=0,"Broadcast",IF(D1387="",IF(E1387="","",IF(E1387&lt;128,"Verbind "&amp;E1387,INDEX(KdoCodeTab,MATCH(E1387,KdoWertTab,0)))),"StatusAbfr "&amp;D1387))</f>
        <v>BusLebenszeichen</v>
      </c>
      <c r="G1387" t="str">
        <f t="shared" si="151"/>
        <v>BusLebenszeichen</v>
      </c>
      <c r="H1387" t="str">
        <f t="shared" si="152"/>
        <v/>
      </c>
      <c r="I1387" t="str">
        <f t="shared" si="153"/>
        <v/>
      </c>
    </row>
    <row r="1388" spans="1:9" x14ac:dyDescent="0.25">
      <c r="A1388" t="s">
        <v>976</v>
      </c>
      <c r="B1388" s="6">
        <f t="shared" si="154"/>
        <v>6.0803333333333338</v>
      </c>
      <c r="C1388" s="3">
        <f t="shared" si="155"/>
        <v>31</v>
      </c>
      <c r="D1388" s="3" t="str">
        <f t="shared" si="149"/>
        <v/>
      </c>
      <c r="E1388" s="3">
        <f t="shared" si="150"/>
        <v>154</v>
      </c>
      <c r="F1388" s="5" t="str">
        <f>IF(C1388=0,"Broadcast",IF(D1388="",IF(E1388="","",IF(E1388&lt;128,"Verbind "&amp;E1388,INDEX(KdoCodeTab,MATCH(E1388,KdoWertTab,0)))),"StatusAbfr "&amp;D1388))</f>
        <v>MarkWdh</v>
      </c>
      <c r="G1388" t="str">
        <f t="shared" si="151"/>
        <v/>
      </c>
      <c r="H1388" t="str">
        <f t="shared" si="152"/>
        <v>MarkWdh</v>
      </c>
      <c r="I1388" t="str">
        <f t="shared" si="153"/>
        <v/>
      </c>
    </row>
    <row r="1389" spans="1:9" x14ac:dyDescent="0.25">
      <c r="A1389" t="s">
        <v>977</v>
      </c>
      <c r="B1389" s="6">
        <f t="shared" si="154"/>
        <v>6.5528333333333331</v>
      </c>
      <c r="C1389" s="3">
        <f t="shared" si="155"/>
        <v>101</v>
      </c>
      <c r="D1389" s="3" t="str">
        <f t="shared" si="149"/>
        <v/>
      </c>
      <c r="E1389" s="3">
        <f t="shared" si="150"/>
        <v>169</v>
      </c>
      <c r="F1389" s="5" t="str">
        <f>IF(C1389=0,"Broadcast",IF(D1389="",IF(E1389="","",IF(E1389&lt;128,"Verbind "&amp;E1389,INDEX(KdoCodeTab,MATCH(E1389,KdoWertTab,0)))),"StatusAbfr "&amp;D1389))</f>
        <v>BusLebenszeichen</v>
      </c>
      <c r="G1389" t="str">
        <f t="shared" si="151"/>
        <v>BusLebenszeichen</v>
      </c>
      <c r="H1389" t="str">
        <f t="shared" si="152"/>
        <v/>
      </c>
      <c r="I1389" t="str">
        <f t="shared" si="153"/>
        <v/>
      </c>
    </row>
    <row r="1390" spans="1:9" x14ac:dyDescent="0.25">
      <c r="A1390" t="s">
        <v>978</v>
      </c>
      <c r="B1390" s="6">
        <f t="shared" si="154"/>
        <v>6.586333333333334</v>
      </c>
      <c r="C1390" s="3">
        <f t="shared" si="155"/>
        <v>31</v>
      </c>
      <c r="D1390" s="3" t="str">
        <f t="shared" si="149"/>
        <v/>
      </c>
      <c r="E1390" s="3">
        <f t="shared" si="150"/>
        <v>154</v>
      </c>
      <c r="F1390" s="5" t="str">
        <f>IF(C1390=0,"Broadcast",IF(D1390="",IF(E1390="","",IF(E1390&lt;128,"Verbind "&amp;E1390,INDEX(KdoCodeTab,MATCH(E1390,KdoWertTab,0)))),"StatusAbfr "&amp;D1390))</f>
        <v>MarkWdh</v>
      </c>
      <c r="G1390" t="str">
        <f t="shared" si="151"/>
        <v/>
      </c>
      <c r="H1390" t="str">
        <f t="shared" si="152"/>
        <v>MarkWdh</v>
      </c>
      <c r="I1390" t="str">
        <f t="shared" si="153"/>
        <v/>
      </c>
    </row>
    <row r="1391" spans="1:9" x14ac:dyDescent="0.25">
      <c r="A1391" t="s">
        <v>979</v>
      </c>
      <c r="B1391" s="6">
        <f t="shared" si="154"/>
        <v>6.6023333333333341</v>
      </c>
      <c r="C1391" s="3">
        <f t="shared" si="155"/>
        <v>101</v>
      </c>
      <c r="D1391" s="3" t="str">
        <f t="shared" si="149"/>
        <v/>
      </c>
      <c r="E1391" s="3">
        <f t="shared" si="150"/>
        <v>170</v>
      </c>
      <c r="F1391" s="5" t="str">
        <f>IF(C1391=0,"Broadcast",IF(D1391="",IF(E1391="","",IF(E1391&lt;128,"Verbind "&amp;E1391,INDEX(KdoCodeTab,MATCH(E1391,KdoWertTab,0)))),"StatusAbfr "&amp;D1391))</f>
        <v>KdoSchluss</v>
      </c>
      <c r="G1391" t="str">
        <f t="shared" si="151"/>
        <v>KdoSchluss</v>
      </c>
      <c r="H1391" t="str">
        <f t="shared" si="152"/>
        <v/>
      </c>
      <c r="I1391" t="str">
        <f t="shared" si="153"/>
        <v/>
      </c>
    </row>
    <row r="1392" spans="1:9" x14ac:dyDescent="0.25">
      <c r="A1392" t="s">
        <v>980</v>
      </c>
      <c r="B1392" s="6">
        <f t="shared" si="154"/>
        <v>6.6038333333333332</v>
      </c>
      <c r="C1392" s="3">
        <f t="shared" si="155"/>
        <v>31</v>
      </c>
      <c r="D1392" s="3" t="str">
        <f t="shared" si="149"/>
        <v/>
      </c>
      <c r="E1392" s="3">
        <f t="shared" si="150"/>
        <v>172</v>
      </c>
      <c r="F1392" s="5" t="str">
        <f>IF(C1392=0,"Broadcast",IF(D1392="",IF(E1392="","",IF(E1392&lt;128,"Verbind "&amp;E1392,INDEX(KdoCodeTab,MATCH(E1392,KdoWertTab,0)))),"StatusAbfr "&amp;D1392))</f>
        <v>QuittSchluss</v>
      </c>
      <c r="G1392" t="str">
        <f t="shared" si="151"/>
        <v/>
      </c>
      <c r="H1392" t="str">
        <f t="shared" si="152"/>
        <v>QuittSchluss</v>
      </c>
      <c r="I1392" t="str">
        <f t="shared" si="153"/>
        <v/>
      </c>
    </row>
    <row r="1393" spans="1:9" x14ac:dyDescent="0.25">
      <c r="C1393" s="3">
        <f t="shared" si="155"/>
        <v>0</v>
      </c>
      <c r="D1393" s="3" t="str">
        <f t="shared" si="149"/>
        <v/>
      </c>
      <c r="E1393" s="3" t="str">
        <f t="shared" si="150"/>
        <v/>
      </c>
      <c r="F1393" s="5" t="str">
        <f>IF(C1393=0,"Broadcast",IF(D1393="",IF(E1393="","",IF(E1393&lt;128,"Verbind "&amp;E1393,INDEX(KdoCodeTab,MATCH(E1393,KdoWertTab,0)))),"StatusAbfr "&amp;D1393))</f>
        <v>Broadcast</v>
      </c>
      <c r="G1393" t="str">
        <f t="shared" si="151"/>
        <v/>
      </c>
      <c r="H1393" t="str">
        <f t="shared" si="152"/>
        <v/>
      </c>
      <c r="I1393" t="str">
        <f t="shared" si="153"/>
        <v>Broadcast</v>
      </c>
    </row>
    <row r="1394" spans="1:9" x14ac:dyDescent="0.25">
      <c r="A1394" t="s">
        <v>2</v>
      </c>
      <c r="C1394" s="3" t="e">
        <f t="shared" si="155"/>
        <v>#NUM!</v>
      </c>
      <c r="D1394" s="3" t="str">
        <f t="shared" si="149"/>
        <v/>
      </c>
      <c r="E1394" s="3" t="str">
        <f t="shared" si="150"/>
        <v/>
      </c>
      <c r="F1394" s="5" t="e">
        <f>IF(C1394=0,"Broadcast",IF(D1394="",IF(E1394="","",IF(E1394&lt;128,"Verbind "&amp;E1394,INDEX(KdoCodeTab,MATCH(E1394,KdoWertTab,0)))),"StatusAbfr "&amp;D1394))</f>
        <v>#NUM!</v>
      </c>
      <c r="G1394" t="e">
        <f t="shared" si="151"/>
        <v>#NUM!</v>
      </c>
      <c r="H1394" t="e">
        <f t="shared" si="152"/>
        <v>#NUM!</v>
      </c>
      <c r="I1394" t="e">
        <f t="shared" si="153"/>
        <v>#NUM!</v>
      </c>
    </row>
    <row r="1395" spans="1:9" x14ac:dyDescent="0.25">
      <c r="A1395" t="s">
        <v>1</v>
      </c>
      <c r="C1395" s="3" t="e">
        <f t="shared" si="155"/>
        <v>#NUM!</v>
      </c>
      <c r="D1395" s="3" t="str">
        <f t="shared" si="149"/>
        <v/>
      </c>
      <c r="E1395" s="3" t="str">
        <f t="shared" si="150"/>
        <v/>
      </c>
      <c r="F1395" s="5" t="e">
        <f>IF(C1395=0,"Broadcast",IF(D1395="",IF(E1395="","",IF(E1395&lt;128,"Verbind "&amp;E1395,INDEX(KdoCodeTab,MATCH(E1395,KdoWertTab,0)))),"StatusAbfr "&amp;D1395))</f>
        <v>#NUM!</v>
      </c>
      <c r="G1395" t="e">
        <f t="shared" si="151"/>
        <v>#NUM!</v>
      </c>
      <c r="H1395" t="e">
        <f t="shared" si="152"/>
        <v>#NUM!</v>
      </c>
      <c r="I1395" t="e">
        <f t="shared" si="153"/>
        <v>#NUM!</v>
      </c>
    </row>
    <row r="1396" spans="1:9" x14ac:dyDescent="0.25">
      <c r="A1396" t="s">
        <v>5</v>
      </c>
      <c r="C1396" s="3" t="e">
        <f t="shared" si="155"/>
        <v>#NUM!</v>
      </c>
      <c r="D1396" s="3" t="str">
        <f t="shared" si="149"/>
        <v/>
      </c>
      <c r="E1396" s="3" t="str">
        <f t="shared" si="150"/>
        <v/>
      </c>
      <c r="F1396" s="5" t="e">
        <f>IF(C1396=0,"Broadcast",IF(D1396="",IF(E1396="","",IF(E1396&lt;128,"Verbind "&amp;E1396,INDEX(KdoCodeTab,MATCH(E1396,KdoWertTab,0)))),"StatusAbfr "&amp;D1396))</f>
        <v>#NUM!</v>
      </c>
      <c r="G1396" t="e">
        <f t="shared" si="151"/>
        <v>#NUM!</v>
      </c>
      <c r="H1396" t="e">
        <f t="shared" si="152"/>
        <v>#NUM!</v>
      </c>
      <c r="I1396" t="e">
        <f t="shared" si="153"/>
        <v>#NUM!</v>
      </c>
    </row>
    <row r="1397" spans="1:9" x14ac:dyDescent="0.25">
      <c r="C1397" s="3"/>
      <c r="D1397" s="3"/>
      <c r="E1397" s="3"/>
      <c r="F1397" s="5"/>
    </row>
    <row r="1398" spans="1:9" x14ac:dyDescent="0.25">
      <c r="C1398" s="3"/>
      <c r="D1398" s="3"/>
      <c r="E1398" s="3"/>
      <c r="F1398" s="5"/>
    </row>
    <row r="1399" spans="1:9" x14ac:dyDescent="0.25">
      <c r="C1399" s="3"/>
      <c r="D1399" s="3"/>
      <c r="E1399" s="3"/>
      <c r="F1399" s="5"/>
    </row>
    <row r="1400" spans="1:9" x14ac:dyDescent="0.25">
      <c r="C1400" s="3"/>
      <c r="D1400" s="3"/>
      <c r="E1400" s="3"/>
      <c r="F1400" s="5"/>
    </row>
    <row r="1401" spans="1:9" x14ac:dyDescent="0.25">
      <c r="C1401" s="3"/>
      <c r="D1401" s="3"/>
      <c r="E1401" s="3"/>
      <c r="F1401" s="5"/>
    </row>
    <row r="1402" spans="1:9" x14ac:dyDescent="0.25">
      <c r="C1402" s="3"/>
      <c r="D1402" s="3"/>
      <c r="E1402" s="3"/>
      <c r="F1402" s="5"/>
    </row>
    <row r="1403" spans="1:9" x14ac:dyDescent="0.25">
      <c r="C1403" s="3"/>
      <c r="D1403" s="3"/>
      <c r="E1403" s="3"/>
      <c r="F1403" s="5"/>
    </row>
    <row r="1404" spans="1:9" x14ac:dyDescent="0.25">
      <c r="C1404" s="3"/>
      <c r="D1404" s="3"/>
      <c r="E1404" s="3"/>
      <c r="F1404" s="5"/>
    </row>
    <row r="1405" spans="1:9" x14ac:dyDescent="0.25">
      <c r="C1405" s="3"/>
      <c r="D1405" s="3"/>
      <c r="E1405" s="3"/>
      <c r="F1405" s="5"/>
    </row>
    <row r="1406" spans="1:9" x14ac:dyDescent="0.25">
      <c r="C1406" s="3"/>
      <c r="D1406" s="3"/>
      <c r="E1406" s="3"/>
      <c r="F1406" s="5"/>
    </row>
    <row r="1407" spans="1:9" x14ac:dyDescent="0.25">
      <c r="C1407" s="3"/>
      <c r="D1407" s="3"/>
      <c r="E1407" s="3"/>
      <c r="F1407" s="5"/>
    </row>
    <row r="1408" spans="1:9" x14ac:dyDescent="0.25">
      <c r="C1408" s="3"/>
      <c r="D1408" s="3"/>
      <c r="E1408" s="3"/>
      <c r="F1408" s="5"/>
    </row>
    <row r="1409" spans="3:6" x14ac:dyDescent="0.25">
      <c r="C1409" s="3"/>
      <c r="D1409" s="3"/>
      <c r="E1409" s="3"/>
      <c r="F1409" s="5"/>
    </row>
    <row r="1410" spans="3:6" x14ac:dyDescent="0.25">
      <c r="C1410" s="3"/>
      <c r="D1410" s="3"/>
      <c r="E1410" s="3"/>
      <c r="F1410" s="5"/>
    </row>
    <row r="1411" spans="3:6" x14ac:dyDescent="0.25">
      <c r="C1411" s="3"/>
      <c r="D1411" s="3"/>
      <c r="E1411" s="3"/>
      <c r="F1411" s="5"/>
    </row>
    <row r="1412" spans="3:6" x14ac:dyDescent="0.25">
      <c r="C1412" s="3"/>
      <c r="D1412" s="3"/>
      <c r="E1412" s="3"/>
      <c r="F1412" s="5"/>
    </row>
    <row r="1413" spans="3:6" x14ac:dyDescent="0.25">
      <c r="C1413" s="3"/>
      <c r="D1413" s="3"/>
      <c r="E1413" s="3"/>
      <c r="F1413" s="5"/>
    </row>
    <row r="1414" spans="3:6" x14ac:dyDescent="0.25">
      <c r="C1414" s="3"/>
      <c r="D1414" s="3"/>
      <c r="E1414" s="3"/>
      <c r="F1414" s="5"/>
    </row>
    <row r="1415" spans="3:6" x14ac:dyDescent="0.25">
      <c r="C1415" s="3"/>
      <c r="D1415" s="3"/>
      <c r="E1415" s="3"/>
      <c r="F1415" s="5"/>
    </row>
    <row r="1416" spans="3:6" x14ac:dyDescent="0.25">
      <c r="C1416" s="3"/>
      <c r="D1416" s="3"/>
      <c r="E1416" s="3"/>
      <c r="F1416" s="5"/>
    </row>
    <row r="1417" spans="3:6" x14ac:dyDescent="0.25">
      <c r="C1417" s="3"/>
      <c r="D1417" s="3"/>
      <c r="E1417" s="3"/>
      <c r="F1417" s="5"/>
    </row>
    <row r="1418" spans="3:6" x14ac:dyDescent="0.25">
      <c r="C1418" s="3"/>
      <c r="D1418" s="3"/>
      <c r="E1418" s="3"/>
      <c r="F1418" s="5"/>
    </row>
    <row r="1419" spans="3:6" x14ac:dyDescent="0.25">
      <c r="C1419" s="3"/>
      <c r="D1419" s="3"/>
      <c r="E1419" s="3"/>
      <c r="F1419" s="5"/>
    </row>
    <row r="1420" spans="3:6" x14ac:dyDescent="0.25">
      <c r="C1420" s="3"/>
      <c r="D1420" s="3"/>
      <c r="E1420" s="3"/>
      <c r="F1420" s="5"/>
    </row>
    <row r="1421" spans="3:6" x14ac:dyDescent="0.25">
      <c r="C1421" s="3"/>
      <c r="D1421" s="3"/>
      <c r="E1421" s="3"/>
      <c r="F1421" s="5"/>
    </row>
    <row r="1422" spans="3:6" x14ac:dyDescent="0.25">
      <c r="C1422" s="3"/>
      <c r="D1422" s="3"/>
      <c r="E1422" s="3"/>
      <c r="F1422" s="5"/>
    </row>
    <row r="1423" spans="3:6" x14ac:dyDescent="0.25">
      <c r="C1423" s="3"/>
      <c r="D1423" s="3"/>
      <c r="E1423" s="3"/>
      <c r="F1423" s="5"/>
    </row>
    <row r="1424" spans="3:6" x14ac:dyDescent="0.25">
      <c r="C1424" s="3"/>
      <c r="D1424" s="3"/>
      <c r="E1424" s="3"/>
      <c r="F1424" s="5"/>
    </row>
    <row r="1425" spans="3:6" x14ac:dyDescent="0.25">
      <c r="C1425" s="3"/>
      <c r="D1425" s="3"/>
      <c r="E1425" s="3"/>
      <c r="F1425" s="5"/>
    </row>
    <row r="1426" spans="3:6" x14ac:dyDescent="0.25">
      <c r="C1426" s="3"/>
      <c r="D1426" s="3"/>
      <c r="E1426" s="3"/>
      <c r="F1426" s="5"/>
    </row>
    <row r="1427" spans="3:6" x14ac:dyDescent="0.25">
      <c r="C1427" s="3"/>
      <c r="D1427" s="3"/>
      <c r="E1427" s="3"/>
      <c r="F1427" s="5"/>
    </row>
    <row r="1428" spans="3:6" x14ac:dyDescent="0.25">
      <c r="C1428" s="3"/>
      <c r="D1428" s="3"/>
      <c r="E1428" s="3"/>
      <c r="F1428" s="5"/>
    </row>
    <row r="1429" spans="3:6" x14ac:dyDescent="0.25">
      <c r="C1429" s="3"/>
      <c r="D1429" s="3"/>
      <c r="E1429" s="3"/>
      <c r="F1429" s="5"/>
    </row>
    <row r="1430" spans="3:6" x14ac:dyDescent="0.25">
      <c r="C1430" s="3"/>
      <c r="D1430" s="3"/>
      <c r="E1430" s="3"/>
      <c r="F1430" s="5"/>
    </row>
    <row r="1431" spans="3:6" x14ac:dyDescent="0.25">
      <c r="C1431" s="3"/>
      <c r="D1431" s="3"/>
      <c r="E1431" s="3"/>
      <c r="F1431" s="5"/>
    </row>
    <row r="1432" spans="3:6" x14ac:dyDescent="0.25">
      <c r="C1432" s="3"/>
      <c r="D1432" s="3"/>
      <c r="E1432" s="3"/>
      <c r="F1432" s="5"/>
    </row>
    <row r="1433" spans="3:6" x14ac:dyDescent="0.25">
      <c r="C1433" s="3"/>
      <c r="D1433" s="3"/>
      <c r="E1433" s="3"/>
      <c r="F1433" s="5"/>
    </row>
    <row r="1434" spans="3:6" x14ac:dyDescent="0.25">
      <c r="C1434" s="3"/>
      <c r="D1434" s="3"/>
      <c r="E1434" s="3"/>
      <c r="F1434" s="5"/>
    </row>
    <row r="1435" spans="3:6" x14ac:dyDescent="0.25">
      <c r="C1435" s="3"/>
      <c r="D1435" s="3"/>
      <c r="E1435" s="3"/>
      <c r="F1435" s="5"/>
    </row>
    <row r="1436" spans="3:6" x14ac:dyDescent="0.25">
      <c r="C1436" s="3"/>
      <c r="D1436" s="3"/>
      <c r="E1436" s="3"/>
      <c r="F1436" s="5"/>
    </row>
    <row r="1437" spans="3:6" x14ac:dyDescent="0.25">
      <c r="C1437" s="3"/>
      <c r="D1437" s="3"/>
      <c r="E1437" s="3"/>
      <c r="F1437" s="5"/>
    </row>
    <row r="1438" spans="3:6" x14ac:dyDescent="0.25">
      <c r="C1438" s="3"/>
      <c r="D1438" s="3"/>
      <c r="E1438" s="3"/>
      <c r="F1438" s="5"/>
    </row>
    <row r="1439" spans="3:6" x14ac:dyDescent="0.25">
      <c r="C1439" s="3"/>
      <c r="D1439" s="3"/>
      <c r="E1439" s="3"/>
      <c r="F1439" s="5"/>
    </row>
    <row r="1440" spans="3:6" x14ac:dyDescent="0.25">
      <c r="C1440" s="3"/>
      <c r="D1440" s="3"/>
      <c r="E1440" s="3"/>
      <c r="F1440" s="5"/>
    </row>
    <row r="1441" spans="3:6" x14ac:dyDescent="0.25">
      <c r="C1441" s="3"/>
      <c r="D1441" s="3"/>
      <c r="E1441" s="3"/>
      <c r="F1441" s="5"/>
    </row>
    <row r="1442" spans="3:6" x14ac:dyDescent="0.25">
      <c r="C1442" s="3"/>
      <c r="D1442" s="3"/>
      <c r="E1442" s="3"/>
      <c r="F1442" s="5"/>
    </row>
    <row r="1443" spans="3:6" x14ac:dyDescent="0.25">
      <c r="C1443" s="3"/>
      <c r="D1443" s="3"/>
      <c r="E1443" s="3"/>
      <c r="F1443" s="5"/>
    </row>
    <row r="1444" spans="3:6" x14ac:dyDescent="0.25">
      <c r="C1444" s="3"/>
      <c r="D1444" s="3"/>
      <c r="E1444" s="3"/>
      <c r="F1444" s="5"/>
    </row>
    <row r="1445" spans="3:6" x14ac:dyDescent="0.25">
      <c r="C1445" s="3"/>
      <c r="D1445" s="3"/>
      <c r="E1445" s="3"/>
      <c r="F1445" s="5"/>
    </row>
    <row r="1446" spans="3:6" x14ac:dyDescent="0.25">
      <c r="C1446" s="3"/>
      <c r="D1446" s="3"/>
      <c r="E1446" s="3"/>
      <c r="F1446" s="5"/>
    </row>
    <row r="1447" spans="3:6" x14ac:dyDescent="0.25">
      <c r="C1447" s="3"/>
      <c r="D1447" s="3"/>
      <c r="E1447" s="3"/>
      <c r="F1447" s="5"/>
    </row>
    <row r="1448" spans="3:6" x14ac:dyDescent="0.25">
      <c r="C1448" s="3"/>
      <c r="D1448" s="3"/>
      <c r="E1448" s="3"/>
      <c r="F1448" s="5"/>
    </row>
    <row r="1449" spans="3:6" x14ac:dyDescent="0.25">
      <c r="C1449" s="3"/>
      <c r="D1449" s="3"/>
      <c r="E1449" s="3"/>
      <c r="F1449" s="5"/>
    </row>
    <row r="1450" spans="3:6" x14ac:dyDescent="0.25">
      <c r="C1450" s="3"/>
      <c r="D1450" s="3"/>
      <c r="E1450" s="3"/>
      <c r="F1450" s="5"/>
    </row>
    <row r="1451" spans="3:6" x14ac:dyDescent="0.25">
      <c r="C1451" s="3"/>
      <c r="D1451" s="3"/>
      <c r="E1451" s="3"/>
      <c r="F1451" s="5"/>
    </row>
    <row r="1452" spans="3:6" x14ac:dyDescent="0.25">
      <c r="C1452" s="3"/>
      <c r="D1452" s="3"/>
      <c r="E1452" s="3"/>
      <c r="F1452" s="5"/>
    </row>
    <row r="1453" spans="3:6" x14ac:dyDescent="0.25">
      <c r="C1453" s="3"/>
      <c r="D1453" s="3"/>
      <c r="E1453" s="3"/>
      <c r="F1453" s="5"/>
    </row>
    <row r="1454" spans="3:6" x14ac:dyDescent="0.25">
      <c r="C1454" s="3"/>
      <c r="D1454" s="3"/>
      <c r="E1454" s="3"/>
      <c r="F1454" s="5"/>
    </row>
    <row r="1455" spans="3:6" x14ac:dyDescent="0.25">
      <c r="C1455" s="3"/>
      <c r="D1455" s="3"/>
      <c r="E1455" s="3"/>
      <c r="F1455" s="5"/>
    </row>
    <row r="1456" spans="3:6" x14ac:dyDescent="0.25">
      <c r="C1456" s="3"/>
      <c r="D1456" s="3"/>
      <c r="E1456" s="3"/>
      <c r="F1456" s="5"/>
    </row>
    <row r="1457" spans="3:6" x14ac:dyDescent="0.25">
      <c r="C1457" s="3"/>
      <c r="D1457" s="3"/>
      <c r="E1457" s="3"/>
      <c r="F1457" s="5"/>
    </row>
    <row r="1458" spans="3:6" x14ac:dyDescent="0.25">
      <c r="C1458" s="3"/>
      <c r="D1458" s="3"/>
      <c r="E1458" s="3"/>
      <c r="F1458" s="5"/>
    </row>
    <row r="1459" spans="3:6" x14ac:dyDescent="0.25">
      <c r="C1459" s="3"/>
      <c r="D1459" s="3"/>
      <c r="E1459" s="3"/>
      <c r="F1459" s="5"/>
    </row>
    <row r="1460" spans="3:6" x14ac:dyDescent="0.25">
      <c r="C1460" s="3"/>
      <c r="D1460" s="3"/>
      <c r="E1460" s="3"/>
      <c r="F1460" s="5"/>
    </row>
    <row r="1461" spans="3:6" x14ac:dyDescent="0.25">
      <c r="C1461" s="3"/>
      <c r="D1461" s="3"/>
      <c r="E1461" s="3"/>
      <c r="F1461" s="5"/>
    </row>
    <row r="1462" spans="3:6" x14ac:dyDescent="0.25">
      <c r="C1462" s="3"/>
      <c r="D1462" s="3"/>
      <c r="E1462" s="3"/>
      <c r="F1462" s="5"/>
    </row>
    <row r="1463" spans="3:6" x14ac:dyDescent="0.25">
      <c r="C1463" s="3"/>
      <c r="D1463" s="3"/>
      <c r="E1463" s="3"/>
      <c r="F1463" s="5"/>
    </row>
    <row r="1464" spans="3:6" x14ac:dyDescent="0.25">
      <c r="C1464" s="3"/>
      <c r="D1464" s="3"/>
      <c r="E1464" s="3"/>
      <c r="F1464" s="5"/>
    </row>
    <row r="1465" spans="3:6" x14ac:dyDescent="0.25">
      <c r="C1465" s="3"/>
      <c r="D1465" s="3"/>
      <c r="E1465" s="3"/>
      <c r="F1465" s="5"/>
    </row>
    <row r="1466" spans="3:6" x14ac:dyDescent="0.25">
      <c r="C1466" s="3"/>
      <c r="D1466" s="3"/>
      <c r="E1466" s="3"/>
      <c r="F1466" s="5"/>
    </row>
    <row r="1467" spans="3:6" x14ac:dyDescent="0.25">
      <c r="C1467" s="3"/>
      <c r="D1467" s="3"/>
      <c r="E1467" s="3"/>
      <c r="F1467" s="5"/>
    </row>
    <row r="1468" spans="3:6" x14ac:dyDescent="0.25">
      <c r="C1468" s="3"/>
      <c r="D1468" s="3"/>
      <c r="E1468" s="3"/>
      <c r="F1468" s="5"/>
    </row>
    <row r="1469" spans="3:6" x14ac:dyDescent="0.25">
      <c r="C1469" s="3"/>
      <c r="D1469" s="3"/>
      <c r="E1469" s="3"/>
      <c r="F1469" s="5"/>
    </row>
    <row r="1470" spans="3:6" x14ac:dyDescent="0.25">
      <c r="C1470" s="3"/>
      <c r="D1470" s="3"/>
      <c r="E1470" s="3"/>
      <c r="F1470" s="5"/>
    </row>
    <row r="1471" spans="3:6" x14ac:dyDescent="0.25">
      <c r="C1471" s="3"/>
      <c r="D1471" s="3"/>
      <c r="E1471" s="3"/>
      <c r="F1471" s="5"/>
    </row>
    <row r="1472" spans="3:6" x14ac:dyDescent="0.25">
      <c r="C1472" s="3"/>
      <c r="D1472" s="3"/>
      <c r="E1472" s="3"/>
      <c r="F1472" s="5"/>
    </row>
    <row r="1473" spans="3:6" x14ac:dyDescent="0.25">
      <c r="C1473" s="3"/>
      <c r="D1473" s="3"/>
      <c r="E1473" s="3"/>
      <c r="F1473" s="5"/>
    </row>
    <row r="1474" spans="3:6" x14ac:dyDescent="0.25">
      <c r="C1474" s="3"/>
      <c r="D1474" s="3"/>
      <c r="E1474" s="3"/>
      <c r="F1474" s="5"/>
    </row>
    <row r="1475" spans="3:6" x14ac:dyDescent="0.25">
      <c r="C1475" s="3"/>
      <c r="D1475" s="3"/>
      <c r="E1475" s="3"/>
      <c r="F1475" s="5"/>
    </row>
    <row r="1476" spans="3:6" x14ac:dyDescent="0.25">
      <c r="C1476" s="3"/>
      <c r="D1476" s="3"/>
      <c r="E1476" s="3"/>
      <c r="F1476" s="5"/>
    </row>
    <row r="1477" spans="3:6" x14ac:dyDescent="0.25">
      <c r="C1477" s="3"/>
      <c r="D1477" s="3"/>
      <c r="E1477" s="3"/>
      <c r="F1477" s="5"/>
    </row>
    <row r="1478" spans="3:6" x14ac:dyDescent="0.25">
      <c r="C1478" s="3"/>
      <c r="D1478" s="3"/>
      <c r="E1478" s="3"/>
      <c r="F1478" s="5"/>
    </row>
    <row r="1479" spans="3:6" x14ac:dyDescent="0.25">
      <c r="C1479" s="3"/>
      <c r="D1479" s="3"/>
      <c r="E1479" s="3"/>
      <c r="F1479" s="5"/>
    </row>
    <row r="1480" spans="3:6" x14ac:dyDescent="0.25">
      <c r="C1480" s="3"/>
      <c r="D1480" s="3"/>
      <c r="E1480" s="3"/>
      <c r="F1480" s="5"/>
    </row>
    <row r="1481" spans="3:6" x14ac:dyDescent="0.25">
      <c r="C1481" s="3"/>
      <c r="D1481" s="3"/>
      <c r="E1481" s="3"/>
      <c r="F1481" s="5"/>
    </row>
    <row r="1482" spans="3:6" x14ac:dyDescent="0.25">
      <c r="C1482" s="3"/>
      <c r="D1482" s="3"/>
      <c r="E1482" s="3"/>
      <c r="F1482" s="5"/>
    </row>
    <row r="1483" spans="3:6" x14ac:dyDescent="0.25">
      <c r="C1483" s="3"/>
      <c r="D1483" s="3"/>
      <c r="E1483" s="3"/>
      <c r="F1483" s="5"/>
    </row>
    <row r="1484" spans="3:6" x14ac:dyDescent="0.25">
      <c r="C1484" s="3"/>
      <c r="D1484" s="3"/>
      <c r="E1484" s="3"/>
      <c r="F1484" s="5"/>
    </row>
    <row r="1485" spans="3:6" x14ac:dyDescent="0.25">
      <c r="C1485" s="3"/>
      <c r="D1485" s="3"/>
      <c r="E1485" s="3"/>
      <c r="F1485" s="5"/>
    </row>
    <row r="1486" spans="3:6" x14ac:dyDescent="0.25">
      <c r="C1486" s="3"/>
      <c r="D1486" s="3"/>
      <c r="E1486" s="3"/>
      <c r="F1486" s="5"/>
    </row>
    <row r="1487" spans="3:6" x14ac:dyDescent="0.25">
      <c r="C1487" s="3"/>
      <c r="D1487" s="3"/>
      <c r="E1487" s="3"/>
      <c r="F1487" s="5"/>
    </row>
    <row r="1488" spans="3:6" x14ac:dyDescent="0.25">
      <c r="C1488" s="3"/>
      <c r="D1488" s="3"/>
      <c r="E1488" s="3"/>
      <c r="F1488" s="5"/>
    </row>
    <row r="1489" spans="3:6" x14ac:dyDescent="0.25">
      <c r="C1489" s="3"/>
      <c r="D1489" s="3"/>
      <c r="E1489" s="3"/>
      <c r="F1489" s="5"/>
    </row>
    <row r="1490" spans="3:6" x14ac:dyDescent="0.25">
      <c r="C1490" s="3"/>
      <c r="D1490" s="3"/>
      <c r="E1490" s="3"/>
      <c r="F1490" s="5"/>
    </row>
    <row r="1491" spans="3:6" x14ac:dyDescent="0.25">
      <c r="C1491" s="3"/>
      <c r="D1491" s="3"/>
      <c r="E1491" s="3"/>
      <c r="F1491" s="5"/>
    </row>
    <row r="1492" spans="3:6" x14ac:dyDescent="0.25">
      <c r="C1492" s="3"/>
      <c r="D1492" s="3"/>
      <c r="E1492" s="3"/>
      <c r="F1492" s="5"/>
    </row>
    <row r="1493" spans="3:6" x14ac:dyDescent="0.25">
      <c r="C1493" s="3"/>
      <c r="D1493" s="3"/>
      <c r="E1493" s="3"/>
      <c r="F1493" s="5"/>
    </row>
    <row r="1494" spans="3:6" x14ac:dyDescent="0.25">
      <c r="C1494" s="3"/>
      <c r="D1494" s="3"/>
      <c r="E1494" s="3"/>
      <c r="F1494" s="5"/>
    </row>
    <row r="1495" spans="3:6" x14ac:dyDescent="0.25">
      <c r="C1495" s="3"/>
      <c r="D1495" s="3"/>
      <c r="E1495" s="3"/>
      <c r="F1495" s="5"/>
    </row>
    <row r="1496" spans="3:6" x14ac:dyDescent="0.25">
      <c r="C1496" s="3"/>
      <c r="D1496" s="3"/>
      <c r="E1496" s="3"/>
      <c r="F1496" s="5"/>
    </row>
    <row r="1497" spans="3:6" x14ac:dyDescent="0.25">
      <c r="C1497" s="3"/>
      <c r="D1497" s="3"/>
      <c r="E1497" s="3"/>
      <c r="F1497" s="5"/>
    </row>
    <row r="1498" spans="3:6" x14ac:dyDescent="0.25">
      <c r="C1498" s="3"/>
      <c r="D1498" s="3"/>
      <c r="E1498" s="3"/>
      <c r="F1498" s="5"/>
    </row>
    <row r="1499" spans="3:6" x14ac:dyDescent="0.25">
      <c r="C1499" s="3"/>
      <c r="D1499" s="3"/>
      <c r="E1499" s="3"/>
      <c r="F1499" s="5"/>
    </row>
    <row r="1500" spans="3:6" x14ac:dyDescent="0.25">
      <c r="C1500" s="3"/>
      <c r="D1500" s="3"/>
      <c r="E1500" s="3"/>
      <c r="F1500" s="5"/>
    </row>
    <row r="1501" spans="3:6" x14ac:dyDescent="0.25">
      <c r="C1501" s="3"/>
      <c r="D1501" s="3"/>
      <c r="E1501" s="3"/>
      <c r="F1501" s="5"/>
    </row>
    <row r="1502" spans="3:6" x14ac:dyDescent="0.25">
      <c r="C1502" s="3"/>
      <c r="D1502" s="3"/>
      <c r="E1502" s="3"/>
      <c r="F1502" s="5"/>
    </row>
    <row r="1503" spans="3:6" x14ac:dyDescent="0.25">
      <c r="C1503" s="3"/>
      <c r="D1503" s="3"/>
      <c r="E1503" s="3"/>
      <c r="F1503" s="5"/>
    </row>
    <row r="1504" spans="3:6" x14ac:dyDescent="0.25">
      <c r="C1504" s="3"/>
      <c r="D1504" s="3"/>
      <c r="E1504" s="3"/>
      <c r="F1504" s="5"/>
    </row>
    <row r="1505" spans="3:6" x14ac:dyDescent="0.25">
      <c r="C1505" s="3"/>
      <c r="D1505" s="3"/>
      <c r="E1505" s="3"/>
      <c r="F1505" s="5"/>
    </row>
    <row r="1506" spans="3:6" x14ac:dyDescent="0.25">
      <c r="C1506" s="3"/>
      <c r="D1506" s="3"/>
      <c r="E1506" s="3"/>
      <c r="F1506" s="5"/>
    </row>
    <row r="1507" spans="3:6" x14ac:dyDescent="0.25">
      <c r="C1507" s="3"/>
      <c r="D1507" s="3"/>
      <c r="E1507" s="3"/>
      <c r="F1507" s="5"/>
    </row>
    <row r="1508" spans="3:6" x14ac:dyDescent="0.25">
      <c r="C1508" s="3"/>
      <c r="D1508" s="3"/>
      <c r="E1508" s="3"/>
      <c r="F1508" s="5"/>
    </row>
    <row r="1509" spans="3:6" x14ac:dyDescent="0.25">
      <c r="C1509" s="3"/>
      <c r="D1509" s="3"/>
      <c r="E1509" s="3"/>
      <c r="F1509" s="5"/>
    </row>
    <row r="1510" spans="3:6" x14ac:dyDescent="0.25">
      <c r="C1510" s="3"/>
      <c r="D1510" s="3"/>
      <c r="E1510" s="3"/>
      <c r="F1510" s="5"/>
    </row>
    <row r="1511" spans="3:6" x14ac:dyDescent="0.25">
      <c r="C1511" s="3"/>
      <c r="D1511" s="3"/>
      <c r="E1511" s="3"/>
      <c r="F1511" s="5"/>
    </row>
    <row r="1512" spans="3:6" x14ac:dyDescent="0.25">
      <c r="C1512" s="3"/>
      <c r="D1512" s="3"/>
      <c r="E1512" s="3"/>
      <c r="F1512" s="5"/>
    </row>
    <row r="1513" spans="3:6" x14ac:dyDescent="0.25">
      <c r="C1513" s="3"/>
      <c r="D1513" s="3"/>
      <c r="E1513" s="3"/>
      <c r="F1513" s="5"/>
    </row>
    <row r="1514" spans="3:6" x14ac:dyDescent="0.25">
      <c r="C1514" s="3"/>
      <c r="D1514" s="3"/>
      <c r="E1514" s="3"/>
      <c r="F1514" s="5"/>
    </row>
    <row r="1515" spans="3:6" x14ac:dyDescent="0.25">
      <c r="C1515" s="3"/>
      <c r="D1515" s="3"/>
      <c r="E1515" s="3"/>
      <c r="F1515" s="5"/>
    </row>
    <row r="1516" spans="3:6" x14ac:dyDescent="0.25">
      <c r="C1516" s="3"/>
      <c r="D1516" s="3"/>
      <c r="E1516" s="3"/>
      <c r="F1516" s="5"/>
    </row>
    <row r="1517" spans="3:6" x14ac:dyDescent="0.25">
      <c r="C1517" s="3"/>
      <c r="D1517" s="3"/>
      <c r="E1517" s="3"/>
      <c r="F1517" s="5"/>
    </row>
    <row r="1518" spans="3:6" x14ac:dyDescent="0.25">
      <c r="C1518" s="3"/>
      <c r="D1518" s="3"/>
      <c r="E1518" s="3"/>
      <c r="F1518" s="5"/>
    </row>
    <row r="1519" spans="3:6" x14ac:dyDescent="0.25">
      <c r="C1519" s="3"/>
      <c r="D1519" s="3"/>
      <c r="E1519" s="3"/>
      <c r="F1519" s="5"/>
    </row>
    <row r="1520" spans="3:6" x14ac:dyDescent="0.25">
      <c r="C1520" s="3"/>
      <c r="D1520" s="3"/>
      <c r="E1520" s="3"/>
      <c r="F1520" s="5"/>
    </row>
    <row r="1521" spans="3:6" x14ac:dyDescent="0.25">
      <c r="C1521" s="3"/>
      <c r="D1521" s="3"/>
      <c r="E1521" s="3"/>
      <c r="F1521" s="5"/>
    </row>
    <row r="1522" spans="3:6" x14ac:dyDescent="0.25">
      <c r="C1522" s="3"/>
      <c r="D1522" s="3"/>
      <c r="E1522" s="3"/>
      <c r="F1522" s="5"/>
    </row>
    <row r="1523" spans="3:6" x14ac:dyDescent="0.25">
      <c r="C1523" s="3"/>
      <c r="D1523" s="3"/>
      <c r="E1523" s="3"/>
      <c r="F1523" s="5"/>
    </row>
    <row r="1524" spans="3:6" x14ac:dyDescent="0.25">
      <c r="C1524" s="3"/>
      <c r="D1524" s="3"/>
      <c r="E1524" s="3"/>
      <c r="F1524" s="5"/>
    </row>
    <row r="1525" spans="3:6" x14ac:dyDescent="0.25">
      <c r="C1525" s="3"/>
      <c r="D1525" s="3"/>
      <c r="E1525" s="3"/>
      <c r="F1525" s="5"/>
    </row>
    <row r="1526" spans="3:6" x14ac:dyDescent="0.25">
      <c r="C1526" s="3"/>
      <c r="D1526" s="3"/>
      <c r="E1526" s="3"/>
      <c r="F1526" s="5"/>
    </row>
    <row r="1527" spans="3:6" x14ac:dyDescent="0.25">
      <c r="C1527" s="3"/>
      <c r="D1527" s="3"/>
      <c r="E1527" s="3"/>
      <c r="F1527" s="5"/>
    </row>
    <row r="1528" spans="3:6" x14ac:dyDescent="0.25">
      <c r="C1528" s="3"/>
      <c r="D1528" s="3"/>
      <c r="E1528" s="3"/>
      <c r="F1528" s="5"/>
    </row>
    <row r="1529" spans="3:6" x14ac:dyDescent="0.25">
      <c r="C1529" s="3"/>
      <c r="D1529" s="3"/>
      <c r="E1529" s="3"/>
      <c r="F1529" s="5"/>
    </row>
    <row r="1530" spans="3:6" x14ac:dyDescent="0.25">
      <c r="C1530" s="3"/>
      <c r="D1530" s="3"/>
      <c r="E1530" s="3"/>
      <c r="F1530" s="5"/>
    </row>
    <row r="1531" spans="3:6" x14ac:dyDescent="0.25">
      <c r="C1531" s="3"/>
      <c r="D1531" s="3"/>
      <c r="E1531" s="3"/>
      <c r="F1531" s="5"/>
    </row>
    <row r="1532" spans="3:6" x14ac:dyDescent="0.25">
      <c r="C1532" s="3"/>
      <c r="D1532" s="3"/>
      <c r="E1532" s="3"/>
      <c r="F1532" s="5"/>
    </row>
    <row r="1533" spans="3:6" x14ac:dyDescent="0.25">
      <c r="C1533" s="3"/>
      <c r="D1533" s="3"/>
      <c r="E1533" s="3"/>
      <c r="F1533" s="5"/>
    </row>
    <row r="1534" spans="3:6" x14ac:dyDescent="0.25">
      <c r="C1534" s="3"/>
      <c r="D1534" s="3"/>
      <c r="E1534" s="3"/>
      <c r="F1534" s="5"/>
    </row>
    <row r="1535" spans="3:6" x14ac:dyDescent="0.25">
      <c r="C1535" s="3"/>
      <c r="D1535" s="3"/>
      <c r="E1535" s="3"/>
      <c r="F1535" s="5"/>
    </row>
    <row r="1536" spans="3:6" x14ac:dyDescent="0.25">
      <c r="C1536" s="3"/>
      <c r="D1536" s="3"/>
      <c r="E1536" s="3"/>
      <c r="F1536" s="5"/>
    </row>
    <row r="1537" spans="3:6" x14ac:dyDescent="0.25">
      <c r="C1537" s="3"/>
      <c r="D1537" s="3"/>
      <c r="E1537" s="3"/>
      <c r="F1537" s="5"/>
    </row>
    <row r="1538" spans="3:6" x14ac:dyDescent="0.25">
      <c r="C1538" s="3"/>
      <c r="D1538" s="3"/>
      <c r="E1538" s="3"/>
      <c r="F1538" s="5"/>
    </row>
    <row r="1539" spans="3:6" x14ac:dyDescent="0.25">
      <c r="C1539" s="3"/>
      <c r="D1539" s="3"/>
      <c r="E1539" s="3"/>
      <c r="F1539" s="5"/>
    </row>
    <row r="1540" spans="3:6" x14ac:dyDescent="0.25">
      <c r="C1540" s="3"/>
      <c r="D1540" s="3"/>
      <c r="E1540" s="3"/>
      <c r="F1540" s="5"/>
    </row>
    <row r="1541" spans="3:6" x14ac:dyDescent="0.25">
      <c r="C1541" s="3"/>
      <c r="D1541" s="3"/>
      <c r="E1541" s="3"/>
      <c r="F1541" s="5"/>
    </row>
    <row r="1542" spans="3:6" x14ac:dyDescent="0.25">
      <c r="C1542" s="3"/>
      <c r="D1542" s="3"/>
      <c r="E1542" s="3"/>
      <c r="F1542" s="5"/>
    </row>
    <row r="1543" spans="3:6" x14ac:dyDescent="0.25">
      <c r="C1543" s="3"/>
      <c r="D1543" s="3"/>
      <c r="E1543" s="3"/>
      <c r="F1543" s="5"/>
    </row>
    <row r="1544" spans="3:6" x14ac:dyDescent="0.25">
      <c r="C1544" s="3"/>
      <c r="D1544" s="3"/>
      <c r="E1544" s="3"/>
      <c r="F1544" s="5"/>
    </row>
    <row r="1545" spans="3:6" x14ac:dyDescent="0.25">
      <c r="C1545" s="3"/>
      <c r="D1545" s="3"/>
      <c r="E1545" s="3"/>
      <c r="F1545" s="5"/>
    </row>
    <row r="1546" spans="3:6" x14ac:dyDescent="0.25">
      <c r="C1546" s="3"/>
      <c r="D1546" s="3"/>
      <c r="E1546" s="3"/>
      <c r="F1546" s="5"/>
    </row>
    <row r="1547" spans="3:6" x14ac:dyDescent="0.25">
      <c r="C1547" s="3"/>
      <c r="D1547" s="3"/>
      <c r="E1547" s="3"/>
      <c r="F1547" s="5"/>
    </row>
    <row r="1548" spans="3:6" x14ac:dyDescent="0.25">
      <c r="C1548" s="3"/>
      <c r="D1548" s="3"/>
      <c r="E1548" s="3"/>
      <c r="F1548" s="5"/>
    </row>
    <row r="1549" spans="3:6" x14ac:dyDescent="0.25">
      <c r="C1549" s="3"/>
      <c r="D1549" s="3"/>
      <c r="E1549" s="3"/>
      <c r="F1549" s="5"/>
    </row>
    <row r="1550" spans="3:6" x14ac:dyDescent="0.25">
      <c r="C1550" s="3"/>
      <c r="D1550" s="3"/>
      <c r="E1550" s="3"/>
      <c r="F1550" s="5"/>
    </row>
    <row r="1551" spans="3:6" x14ac:dyDescent="0.25">
      <c r="C1551" s="3"/>
      <c r="D1551" s="3"/>
      <c r="E1551" s="3"/>
      <c r="F1551" s="5"/>
    </row>
    <row r="1552" spans="3:6" x14ac:dyDescent="0.25">
      <c r="C1552" s="3"/>
      <c r="D1552" s="3"/>
      <c r="E1552" s="3"/>
      <c r="F1552" s="5"/>
    </row>
    <row r="1553" spans="3:6" x14ac:dyDescent="0.25">
      <c r="C1553" s="3"/>
      <c r="D1553" s="3"/>
      <c r="E1553" s="3"/>
      <c r="F1553" s="5"/>
    </row>
    <row r="1554" spans="3:6" x14ac:dyDescent="0.25">
      <c r="C1554" s="3"/>
      <c r="D1554" s="3"/>
      <c r="E1554" s="3"/>
      <c r="F1554" s="5"/>
    </row>
    <row r="1555" spans="3:6" x14ac:dyDescent="0.25">
      <c r="C1555" s="3"/>
      <c r="D1555" s="3"/>
      <c r="E1555" s="3"/>
      <c r="F1555" s="5"/>
    </row>
    <row r="1556" spans="3:6" x14ac:dyDescent="0.25">
      <c r="C1556" s="3"/>
      <c r="D1556" s="3"/>
      <c r="E1556" s="3"/>
      <c r="F1556" s="5"/>
    </row>
    <row r="1557" spans="3:6" x14ac:dyDescent="0.25">
      <c r="C1557" s="3"/>
      <c r="D1557" s="3"/>
      <c r="E1557" s="3"/>
      <c r="F1557" s="5"/>
    </row>
    <row r="1558" spans="3:6" x14ac:dyDescent="0.25">
      <c r="C1558" s="3"/>
      <c r="D1558" s="3"/>
      <c r="E1558" s="3"/>
      <c r="F1558" s="5"/>
    </row>
    <row r="1559" spans="3:6" x14ac:dyDescent="0.25">
      <c r="C1559" s="3"/>
      <c r="D1559" s="3"/>
      <c r="E1559" s="3"/>
      <c r="F1559" s="5"/>
    </row>
    <row r="1560" spans="3:6" x14ac:dyDescent="0.25">
      <c r="C1560" s="3"/>
      <c r="D1560" s="3"/>
      <c r="E1560" s="3"/>
      <c r="F1560" s="5"/>
    </row>
    <row r="1561" spans="3:6" x14ac:dyDescent="0.25">
      <c r="C1561" s="3"/>
      <c r="D1561" s="3"/>
      <c r="E1561" s="3"/>
      <c r="F1561" s="5"/>
    </row>
    <row r="1562" spans="3:6" x14ac:dyDescent="0.25">
      <c r="C1562" s="3"/>
      <c r="D1562" s="3"/>
      <c r="E1562" s="3"/>
      <c r="F1562" s="5"/>
    </row>
    <row r="1563" spans="3:6" x14ac:dyDescent="0.25">
      <c r="C1563" s="3"/>
      <c r="D1563" s="3"/>
      <c r="E1563" s="3"/>
      <c r="F1563" s="5"/>
    </row>
    <row r="1564" spans="3:6" x14ac:dyDescent="0.25">
      <c r="C1564" s="3"/>
      <c r="D1564" s="3"/>
      <c r="E1564" s="3"/>
      <c r="F1564" s="5"/>
    </row>
    <row r="1565" spans="3:6" x14ac:dyDescent="0.25">
      <c r="C1565" s="3"/>
      <c r="D1565" s="3"/>
      <c r="E1565" s="3"/>
      <c r="F1565" s="5"/>
    </row>
    <row r="1566" spans="3:6" x14ac:dyDescent="0.25">
      <c r="C1566" s="3"/>
      <c r="D1566" s="3"/>
      <c r="E1566" s="3"/>
      <c r="F1566" s="5"/>
    </row>
    <row r="1567" spans="3:6" x14ac:dyDescent="0.25">
      <c r="C1567" s="3"/>
      <c r="D1567" s="3"/>
      <c r="E1567" s="3"/>
      <c r="F1567" s="5"/>
    </row>
    <row r="1568" spans="3:6" x14ac:dyDescent="0.25">
      <c r="C1568" s="3"/>
      <c r="D1568" s="3"/>
      <c r="E1568" s="3"/>
      <c r="F1568" s="5"/>
    </row>
    <row r="1569" spans="3:6" x14ac:dyDescent="0.25">
      <c r="C1569" s="3"/>
      <c r="D1569" s="3"/>
      <c r="E1569" s="3"/>
      <c r="F1569" s="5"/>
    </row>
    <row r="1570" spans="3:6" x14ac:dyDescent="0.25">
      <c r="C1570" s="3"/>
      <c r="D1570" s="3"/>
      <c r="E1570" s="3"/>
      <c r="F1570" s="5"/>
    </row>
    <row r="1571" spans="3:6" x14ac:dyDescent="0.25">
      <c r="C1571" s="3"/>
      <c r="D1571" s="3"/>
      <c r="E1571" s="3"/>
      <c r="F1571" s="5"/>
    </row>
    <row r="1572" spans="3:6" x14ac:dyDescent="0.25">
      <c r="C1572" s="3"/>
      <c r="D1572" s="3"/>
      <c r="E1572" s="3"/>
      <c r="F1572" s="5"/>
    </row>
    <row r="1573" spans="3:6" x14ac:dyDescent="0.25">
      <c r="C1573" s="3"/>
      <c r="D1573" s="3"/>
      <c r="E1573" s="3"/>
      <c r="F1573" s="5"/>
    </row>
    <row r="1574" spans="3:6" x14ac:dyDescent="0.25">
      <c r="C1574" s="3"/>
      <c r="D1574" s="3"/>
      <c r="E1574" s="3"/>
      <c r="F1574" s="5"/>
    </row>
    <row r="1575" spans="3:6" x14ac:dyDescent="0.25">
      <c r="C1575" s="3"/>
      <c r="D1575" s="3"/>
      <c r="E1575" s="3"/>
      <c r="F1575" s="5"/>
    </row>
    <row r="1576" spans="3:6" x14ac:dyDescent="0.25">
      <c r="C1576" s="3"/>
      <c r="D1576" s="3"/>
      <c r="E1576" s="3"/>
      <c r="F1576" s="5"/>
    </row>
    <row r="1577" spans="3:6" x14ac:dyDescent="0.25">
      <c r="C1577" s="3"/>
      <c r="D1577" s="3"/>
      <c r="E1577" s="3"/>
      <c r="F1577" s="5"/>
    </row>
    <row r="1578" spans="3:6" x14ac:dyDescent="0.25">
      <c r="C1578" s="3"/>
      <c r="D1578" s="3"/>
      <c r="E1578" s="3"/>
      <c r="F1578" s="5"/>
    </row>
    <row r="1579" spans="3:6" x14ac:dyDescent="0.25">
      <c r="C1579" s="3"/>
      <c r="D1579" s="3"/>
      <c r="E1579" s="3"/>
      <c r="F1579" s="5"/>
    </row>
    <row r="1580" spans="3:6" x14ac:dyDescent="0.25">
      <c r="C1580" s="3"/>
      <c r="D1580" s="3"/>
      <c r="E1580" s="3"/>
      <c r="F1580" s="5"/>
    </row>
    <row r="1581" spans="3:6" x14ac:dyDescent="0.25">
      <c r="C1581" s="3"/>
      <c r="D1581" s="3"/>
      <c r="E1581" s="3"/>
      <c r="F1581" s="5"/>
    </row>
    <row r="1582" spans="3:6" x14ac:dyDescent="0.25">
      <c r="C1582" s="3"/>
      <c r="D1582" s="3"/>
      <c r="E1582" s="3"/>
      <c r="F1582" s="5"/>
    </row>
    <row r="1583" spans="3:6" x14ac:dyDescent="0.25">
      <c r="C1583" s="3"/>
      <c r="D1583" s="3"/>
      <c r="E1583" s="3"/>
      <c r="F1583" s="5"/>
    </row>
    <row r="1584" spans="3:6" x14ac:dyDescent="0.25">
      <c r="C1584" s="3"/>
      <c r="D1584" s="3"/>
      <c r="E1584" s="3"/>
      <c r="F1584" s="5"/>
    </row>
    <row r="1585" spans="3:6" x14ac:dyDescent="0.25">
      <c r="C1585" s="3"/>
      <c r="D1585" s="3"/>
      <c r="E1585" s="3"/>
      <c r="F1585" s="5"/>
    </row>
    <row r="1586" spans="3:6" x14ac:dyDescent="0.25">
      <c r="C1586" s="3"/>
      <c r="D1586" s="3"/>
      <c r="E1586" s="3"/>
      <c r="F1586" s="5"/>
    </row>
    <row r="1587" spans="3:6" x14ac:dyDescent="0.25">
      <c r="C1587" s="3"/>
      <c r="D1587" s="3"/>
      <c r="E1587" s="3"/>
      <c r="F1587" s="5"/>
    </row>
    <row r="1588" spans="3:6" x14ac:dyDescent="0.25">
      <c r="C1588" s="3"/>
      <c r="D1588" s="3"/>
      <c r="E1588" s="3"/>
      <c r="F1588" s="5"/>
    </row>
    <row r="1589" spans="3:6" x14ac:dyDescent="0.25">
      <c r="C1589" s="3"/>
      <c r="D1589" s="3"/>
      <c r="E1589" s="3"/>
      <c r="F1589" s="5"/>
    </row>
    <row r="1590" spans="3:6" x14ac:dyDescent="0.25">
      <c r="C1590" s="3"/>
      <c r="D1590" s="3"/>
      <c r="E1590" s="3"/>
      <c r="F1590" s="5"/>
    </row>
    <row r="1591" spans="3:6" x14ac:dyDescent="0.25">
      <c r="C1591" s="3"/>
      <c r="D1591" s="3"/>
      <c r="E1591" s="3"/>
      <c r="F1591" s="5"/>
    </row>
    <row r="1592" spans="3:6" x14ac:dyDescent="0.25">
      <c r="C1592" s="3"/>
      <c r="D1592" s="3"/>
      <c r="E1592" s="3"/>
      <c r="F1592" s="5"/>
    </row>
    <row r="1593" spans="3:6" x14ac:dyDescent="0.25">
      <c r="C1593" s="3"/>
      <c r="D1593" s="3"/>
      <c r="E1593" s="3"/>
      <c r="F1593" s="5"/>
    </row>
    <row r="1594" spans="3:6" x14ac:dyDescent="0.25">
      <c r="C1594" s="3"/>
      <c r="D1594" s="3"/>
      <c r="E1594" s="3"/>
      <c r="F1594" s="5"/>
    </row>
    <row r="1595" spans="3:6" x14ac:dyDescent="0.25">
      <c r="C1595" s="3"/>
      <c r="D1595" s="3"/>
      <c r="E1595" s="3"/>
      <c r="F1595" s="5"/>
    </row>
    <row r="1596" spans="3:6" x14ac:dyDescent="0.25">
      <c r="C1596" s="3"/>
      <c r="D1596" s="3"/>
      <c r="E1596" s="3"/>
      <c r="F1596" s="5"/>
    </row>
    <row r="1597" spans="3:6" x14ac:dyDescent="0.25">
      <c r="C1597" s="3"/>
      <c r="D1597" s="3"/>
      <c r="E1597" s="3"/>
      <c r="F1597" s="5"/>
    </row>
    <row r="1598" spans="3:6" x14ac:dyDescent="0.25">
      <c r="C1598" s="3"/>
      <c r="D1598" s="3"/>
      <c r="E1598" s="3"/>
      <c r="F1598" s="5"/>
    </row>
    <row r="1599" spans="3:6" x14ac:dyDescent="0.25">
      <c r="C1599" s="3"/>
      <c r="D1599" s="3"/>
      <c r="E1599" s="3"/>
      <c r="F1599" s="5"/>
    </row>
    <row r="1600" spans="3:6" x14ac:dyDescent="0.25">
      <c r="C1600" s="3"/>
      <c r="D1600" s="3"/>
      <c r="E1600" s="3"/>
      <c r="F1600" s="5"/>
    </row>
    <row r="1601" spans="3:6" x14ac:dyDescent="0.25">
      <c r="C1601" s="3"/>
      <c r="D1601" s="3"/>
      <c r="E1601" s="3"/>
      <c r="F1601" s="5"/>
    </row>
    <row r="1602" spans="3:6" x14ac:dyDescent="0.25">
      <c r="C1602" s="3"/>
      <c r="D1602" s="3"/>
      <c r="E1602" s="3"/>
      <c r="F1602" s="5"/>
    </row>
    <row r="1603" spans="3:6" x14ac:dyDescent="0.25">
      <c r="C1603" s="3"/>
      <c r="D1603" s="3"/>
      <c r="E1603" s="3"/>
      <c r="F1603" s="5"/>
    </row>
    <row r="1604" spans="3:6" x14ac:dyDescent="0.25">
      <c r="C1604" s="3"/>
      <c r="D1604" s="3"/>
      <c r="E1604" s="3"/>
      <c r="F1604" s="5"/>
    </row>
    <row r="1605" spans="3:6" x14ac:dyDescent="0.25">
      <c r="C1605" s="3"/>
      <c r="D1605" s="3"/>
      <c r="E1605" s="3"/>
      <c r="F1605" s="5"/>
    </row>
    <row r="1606" spans="3:6" x14ac:dyDescent="0.25">
      <c r="C1606" s="3"/>
      <c r="D1606" s="3"/>
      <c r="E1606" s="3"/>
      <c r="F1606" s="5"/>
    </row>
    <row r="1607" spans="3:6" x14ac:dyDescent="0.25">
      <c r="C1607" s="3"/>
      <c r="D1607" s="3"/>
      <c r="E1607" s="3"/>
      <c r="F1607" s="5"/>
    </row>
    <row r="1608" spans="3:6" x14ac:dyDescent="0.25">
      <c r="C1608" s="3"/>
      <c r="D1608" s="3"/>
      <c r="E1608" s="3"/>
      <c r="F1608" s="5"/>
    </row>
    <row r="1609" spans="3:6" x14ac:dyDescent="0.25">
      <c r="C1609" s="3"/>
      <c r="D1609" s="3"/>
      <c r="E1609" s="3"/>
      <c r="F1609" s="5"/>
    </row>
    <row r="1610" spans="3:6" x14ac:dyDescent="0.25">
      <c r="C1610" s="3"/>
      <c r="D1610" s="3"/>
      <c r="E1610" s="3"/>
      <c r="F1610" s="5"/>
    </row>
    <row r="1611" spans="3:6" x14ac:dyDescent="0.25">
      <c r="C1611" s="3"/>
      <c r="D1611" s="3"/>
      <c r="E1611" s="3"/>
      <c r="F1611" s="5"/>
    </row>
    <row r="1612" spans="3:6" x14ac:dyDescent="0.25">
      <c r="C1612" s="3"/>
      <c r="D1612" s="3"/>
      <c r="E1612" s="3"/>
      <c r="F1612" s="5"/>
    </row>
    <row r="1613" spans="3:6" x14ac:dyDescent="0.25">
      <c r="C1613" s="3"/>
      <c r="D1613" s="3"/>
      <c r="E1613" s="3"/>
      <c r="F1613" s="5"/>
    </row>
    <row r="1614" spans="3:6" x14ac:dyDescent="0.25">
      <c r="C1614" s="3"/>
      <c r="D1614" s="3"/>
      <c r="E1614" s="3"/>
      <c r="F1614" s="5"/>
    </row>
    <row r="1615" spans="3:6" x14ac:dyDescent="0.25">
      <c r="C1615" s="3"/>
      <c r="D1615" s="3"/>
      <c r="E1615" s="3"/>
      <c r="F1615" s="5"/>
    </row>
    <row r="1616" spans="3:6" x14ac:dyDescent="0.25">
      <c r="C1616" s="3"/>
      <c r="D1616" s="3"/>
      <c r="E1616" s="3"/>
      <c r="F1616" s="5"/>
    </row>
    <row r="1617" spans="3:6" x14ac:dyDescent="0.25">
      <c r="C1617" s="3"/>
      <c r="D1617" s="3"/>
      <c r="E1617" s="3"/>
      <c r="F1617" s="5"/>
    </row>
    <row r="1618" spans="3:6" x14ac:dyDescent="0.25">
      <c r="C1618" s="3"/>
      <c r="D1618" s="3"/>
      <c r="E1618" s="3"/>
      <c r="F1618" s="5"/>
    </row>
    <row r="1619" spans="3:6" x14ac:dyDescent="0.25">
      <c r="C1619" s="3"/>
      <c r="D1619" s="3"/>
      <c r="E1619" s="3"/>
      <c r="F1619" s="5"/>
    </row>
    <row r="1620" spans="3:6" x14ac:dyDescent="0.25">
      <c r="C1620" s="3"/>
      <c r="D1620" s="3"/>
      <c r="E1620" s="3"/>
      <c r="F1620" s="5"/>
    </row>
    <row r="1621" spans="3:6" x14ac:dyDescent="0.25">
      <c r="C1621" s="3"/>
      <c r="D1621" s="3"/>
      <c r="E1621" s="3"/>
      <c r="F1621" s="5"/>
    </row>
    <row r="1622" spans="3:6" x14ac:dyDescent="0.25">
      <c r="C1622" s="3"/>
      <c r="D1622" s="3"/>
      <c r="E1622" s="3"/>
      <c r="F1622" s="5"/>
    </row>
    <row r="1623" spans="3:6" x14ac:dyDescent="0.25">
      <c r="C1623" s="3"/>
      <c r="D1623" s="3"/>
      <c r="E1623" s="3"/>
      <c r="F1623" s="5"/>
    </row>
    <row r="1624" spans="3:6" x14ac:dyDescent="0.25">
      <c r="C1624" s="3"/>
      <c r="D1624" s="3"/>
      <c r="E1624" s="3"/>
      <c r="F1624" s="5"/>
    </row>
    <row r="1625" spans="3:6" x14ac:dyDescent="0.25">
      <c r="C1625" s="3"/>
      <c r="D1625" s="3"/>
      <c r="E1625" s="3"/>
      <c r="F1625" s="5"/>
    </row>
    <row r="1626" spans="3:6" x14ac:dyDescent="0.25">
      <c r="C1626" s="3"/>
      <c r="D1626" s="3"/>
      <c r="E1626" s="3"/>
      <c r="F1626" s="5"/>
    </row>
    <row r="1627" spans="3:6" x14ac:dyDescent="0.25">
      <c r="C1627" s="3"/>
      <c r="D1627" s="3"/>
      <c r="E1627" s="3"/>
      <c r="F1627" s="5"/>
    </row>
    <row r="1628" spans="3:6" x14ac:dyDescent="0.25">
      <c r="C1628" s="3"/>
      <c r="D1628" s="3"/>
      <c r="E1628" s="3"/>
      <c r="F1628" s="5"/>
    </row>
    <row r="1629" spans="3:6" x14ac:dyDescent="0.25">
      <c r="C1629" s="3"/>
      <c r="D1629" s="3"/>
      <c r="E1629" s="3"/>
      <c r="F1629" s="5"/>
    </row>
    <row r="1630" spans="3:6" x14ac:dyDescent="0.25">
      <c r="C1630" s="3"/>
      <c r="D1630" s="3"/>
      <c r="E1630" s="3"/>
      <c r="F1630" s="5"/>
    </row>
    <row r="1631" spans="3:6" x14ac:dyDescent="0.25">
      <c r="C1631" s="3"/>
      <c r="D1631" s="3"/>
      <c r="E1631" s="3"/>
      <c r="F1631" s="5"/>
    </row>
    <row r="1632" spans="3:6" x14ac:dyDescent="0.25">
      <c r="C1632" s="3"/>
      <c r="D1632" s="3"/>
      <c r="E1632" s="3"/>
      <c r="F1632" s="5"/>
    </row>
    <row r="1633" spans="3:6" x14ac:dyDescent="0.25">
      <c r="C1633" s="3"/>
      <c r="D1633" s="3"/>
      <c r="E1633" s="3"/>
      <c r="F1633" s="5"/>
    </row>
    <row r="1634" spans="3:6" x14ac:dyDescent="0.25">
      <c r="C1634" s="3"/>
      <c r="D1634" s="3"/>
      <c r="E1634" s="3"/>
      <c r="F1634" s="5"/>
    </row>
    <row r="1635" spans="3:6" x14ac:dyDescent="0.25">
      <c r="C1635" s="3"/>
      <c r="D1635" s="3"/>
      <c r="E1635" s="3"/>
      <c r="F1635" s="5"/>
    </row>
    <row r="1636" spans="3:6" x14ac:dyDescent="0.25">
      <c r="C1636" s="3"/>
      <c r="D1636" s="3"/>
      <c r="E1636" s="3"/>
      <c r="F1636" s="5"/>
    </row>
    <row r="1637" spans="3:6" x14ac:dyDescent="0.25">
      <c r="C1637" s="3"/>
      <c r="D1637" s="3"/>
      <c r="E1637" s="3"/>
      <c r="F1637" s="5"/>
    </row>
    <row r="1638" spans="3:6" x14ac:dyDescent="0.25">
      <c r="C1638" s="3"/>
      <c r="D1638" s="3"/>
      <c r="E1638" s="3"/>
      <c r="F1638" s="5"/>
    </row>
    <row r="1639" spans="3:6" x14ac:dyDescent="0.25">
      <c r="C1639" s="3"/>
      <c r="D1639" s="3"/>
      <c r="E1639" s="3"/>
      <c r="F1639" s="5"/>
    </row>
    <row r="1640" spans="3:6" x14ac:dyDescent="0.25">
      <c r="C1640" s="3"/>
      <c r="D1640" s="3"/>
      <c r="E1640" s="3"/>
      <c r="F1640" s="5"/>
    </row>
    <row r="1641" spans="3:6" x14ac:dyDescent="0.25">
      <c r="C1641" s="3"/>
      <c r="D1641" s="3"/>
      <c r="E1641" s="3"/>
      <c r="F1641" s="5"/>
    </row>
    <row r="1642" spans="3:6" x14ac:dyDescent="0.25">
      <c r="C1642" s="3"/>
      <c r="D1642" s="3"/>
      <c r="E1642" s="3"/>
      <c r="F1642" s="5"/>
    </row>
    <row r="1643" spans="3:6" x14ac:dyDescent="0.25">
      <c r="C1643" s="3"/>
      <c r="D1643" s="3"/>
      <c r="E1643" s="3"/>
      <c r="F1643" s="5"/>
    </row>
    <row r="1644" spans="3:6" x14ac:dyDescent="0.25">
      <c r="C1644" s="3"/>
      <c r="D1644" s="3"/>
      <c r="E1644" s="3"/>
      <c r="F1644" s="5"/>
    </row>
    <row r="1645" spans="3:6" x14ac:dyDescent="0.25">
      <c r="C1645" s="3"/>
      <c r="D1645" s="3"/>
      <c r="E1645" s="3"/>
      <c r="F1645" s="5"/>
    </row>
    <row r="1646" spans="3:6" x14ac:dyDescent="0.25">
      <c r="C1646" s="3"/>
      <c r="D1646" s="3"/>
      <c r="E1646" s="3"/>
      <c r="F1646" s="5"/>
    </row>
    <row r="1647" spans="3:6" x14ac:dyDescent="0.25">
      <c r="C1647" s="3"/>
      <c r="D1647" s="3"/>
      <c r="E1647" s="3"/>
      <c r="F1647" s="5"/>
    </row>
    <row r="1648" spans="3:6" x14ac:dyDescent="0.25">
      <c r="C1648" s="3"/>
      <c r="D1648" s="3"/>
      <c r="E1648" s="3"/>
      <c r="F1648" s="5"/>
    </row>
    <row r="1649" spans="3:6" x14ac:dyDescent="0.25">
      <c r="C1649" s="3"/>
      <c r="D1649" s="3"/>
      <c r="E1649" s="3"/>
      <c r="F1649" s="5"/>
    </row>
    <row r="1650" spans="3:6" x14ac:dyDescent="0.25">
      <c r="C1650" s="3"/>
      <c r="D1650" s="3"/>
      <c r="E1650" s="3"/>
      <c r="F1650" s="5"/>
    </row>
    <row r="1651" spans="3:6" x14ac:dyDescent="0.25">
      <c r="C1651" s="3"/>
      <c r="D1651" s="3"/>
      <c r="E1651" s="3"/>
      <c r="F1651" s="5"/>
    </row>
    <row r="1652" spans="3:6" x14ac:dyDescent="0.25">
      <c r="C1652" s="3"/>
      <c r="D1652" s="3"/>
      <c r="E1652" s="3"/>
      <c r="F1652" s="5"/>
    </row>
    <row r="1653" spans="3:6" x14ac:dyDescent="0.25">
      <c r="C1653" s="3"/>
      <c r="D1653" s="3"/>
      <c r="E1653" s="3"/>
      <c r="F1653" s="5"/>
    </row>
    <row r="1654" spans="3:6" x14ac:dyDescent="0.25">
      <c r="C1654" s="3"/>
      <c r="D1654" s="3"/>
      <c r="E1654" s="3"/>
      <c r="F1654" s="5"/>
    </row>
    <row r="1655" spans="3:6" x14ac:dyDescent="0.25">
      <c r="C1655" s="3"/>
      <c r="D1655" s="3"/>
      <c r="E1655" s="3"/>
      <c r="F1655" s="5"/>
    </row>
    <row r="1656" spans="3:6" x14ac:dyDescent="0.25">
      <c r="C1656" s="3"/>
      <c r="D1656" s="3"/>
      <c r="E1656" s="3"/>
      <c r="F1656" s="5"/>
    </row>
    <row r="1657" spans="3:6" x14ac:dyDescent="0.25">
      <c r="C1657" s="3"/>
      <c r="D1657" s="3"/>
      <c r="E1657" s="3"/>
      <c r="F1657" s="5"/>
    </row>
    <row r="1658" spans="3:6" x14ac:dyDescent="0.25">
      <c r="C1658" s="3"/>
      <c r="D1658" s="3"/>
      <c r="E1658" s="3"/>
      <c r="F1658" s="5"/>
    </row>
    <row r="1659" spans="3:6" x14ac:dyDescent="0.25">
      <c r="C1659" s="3"/>
      <c r="D1659" s="3"/>
      <c r="E1659" s="3"/>
      <c r="F1659" s="5"/>
    </row>
    <row r="1660" spans="3:6" x14ac:dyDescent="0.25">
      <c r="C1660" s="3"/>
      <c r="D1660" s="3"/>
      <c r="E1660" s="3"/>
      <c r="F1660" s="5"/>
    </row>
    <row r="1661" spans="3:6" x14ac:dyDescent="0.25">
      <c r="C1661" s="3"/>
      <c r="D1661" s="3"/>
      <c r="E1661" s="3"/>
      <c r="F1661" s="5"/>
    </row>
    <row r="1662" spans="3:6" x14ac:dyDescent="0.25">
      <c r="C1662" s="3"/>
      <c r="D1662" s="3"/>
      <c r="E1662" s="3"/>
      <c r="F1662" s="5"/>
    </row>
    <row r="1663" spans="3:6" x14ac:dyDescent="0.25">
      <c r="C1663" s="3"/>
      <c r="D1663" s="3"/>
      <c r="E1663" s="3"/>
      <c r="F1663" s="5"/>
    </row>
    <row r="1664" spans="3:6" x14ac:dyDescent="0.25">
      <c r="C1664" s="3"/>
      <c r="D1664" s="3"/>
      <c r="E1664" s="3"/>
      <c r="F1664" s="5"/>
    </row>
    <row r="1665" spans="3:6" x14ac:dyDescent="0.25">
      <c r="C1665" s="3"/>
      <c r="D1665" s="3"/>
      <c r="E1665" s="3"/>
      <c r="F1665" s="5"/>
    </row>
    <row r="1666" spans="3:6" x14ac:dyDescent="0.25">
      <c r="C1666" s="3"/>
      <c r="D1666" s="3"/>
      <c r="E1666" s="3"/>
      <c r="F1666" s="5"/>
    </row>
    <row r="1667" spans="3:6" x14ac:dyDescent="0.25">
      <c r="C1667" s="3"/>
      <c r="D1667" s="3"/>
      <c r="E1667" s="3"/>
      <c r="F1667" s="5"/>
    </row>
    <row r="1668" spans="3:6" x14ac:dyDescent="0.25">
      <c r="C1668" s="3"/>
      <c r="D1668" s="3"/>
      <c r="E1668" s="3"/>
      <c r="F1668" s="5"/>
    </row>
    <row r="1669" spans="3:6" x14ac:dyDescent="0.25">
      <c r="C1669" s="3"/>
      <c r="D1669" s="3"/>
      <c r="E1669" s="3"/>
      <c r="F1669" s="5"/>
    </row>
    <row r="1670" spans="3:6" x14ac:dyDescent="0.25">
      <c r="C1670" s="3"/>
      <c r="D1670" s="3"/>
      <c r="E1670" s="3"/>
      <c r="F1670" s="5"/>
    </row>
    <row r="1671" spans="3:6" x14ac:dyDescent="0.25">
      <c r="C1671" s="3"/>
      <c r="D1671" s="3"/>
      <c r="E1671" s="3"/>
      <c r="F1671" s="5"/>
    </row>
    <row r="1672" spans="3:6" x14ac:dyDescent="0.25">
      <c r="C1672" s="3"/>
      <c r="D1672" s="3"/>
      <c r="E1672" s="3"/>
      <c r="F1672" s="5"/>
    </row>
    <row r="1673" spans="3:6" x14ac:dyDescent="0.25">
      <c r="C1673" s="3"/>
      <c r="D1673" s="3"/>
      <c r="E1673" s="3"/>
      <c r="F1673" s="5"/>
    </row>
    <row r="1674" spans="3:6" x14ac:dyDescent="0.25">
      <c r="C1674" s="3"/>
      <c r="D1674" s="3"/>
      <c r="E1674" s="3"/>
      <c r="F1674" s="5"/>
    </row>
    <row r="1675" spans="3:6" x14ac:dyDescent="0.25">
      <c r="C1675" s="3"/>
      <c r="D1675" s="3"/>
      <c r="E1675" s="3"/>
      <c r="F1675" s="5"/>
    </row>
    <row r="1676" spans="3:6" x14ac:dyDescent="0.25">
      <c r="C1676" s="3"/>
      <c r="D1676" s="3"/>
      <c r="E1676" s="3"/>
      <c r="F1676" s="5"/>
    </row>
    <row r="1677" spans="3:6" x14ac:dyDescent="0.25">
      <c r="C1677" s="3"/>
      <c r="D1677" s="3"/>
      <c r="E1677" s="3"/>
      <c r="F1677" s="5"/>
    </row>
    <row r="1678" spans="3:6" x14ac:dyDescent="0.25">
      <c r="C1678" s="3"/>
      <c r="D1678" s="3"/>
      <c r="E1678" s="3"/>
      <c r="F1678" s="5"/>
    </row>
    <row r="1679" spans="3:6" x14ac:dyDescent="0.25">
      <c r="C1679" s="3"/>
      <c r="D1679" s="3"/>
      <c r="E1679" s="3"/>
      <c r="F1679" s="5"/>
    </row>
    <row r="1680" spans="3:6" x14ac:dyDescent="0.25">
      <c r="C1680" s="3"/>
      <c r="D1680" s="3"/>
      <c r="E1680" s="3"/>
      <c r="F1680" s="5"/>
    </row>
    <row r="1681" spans="3:6" x14ac:dyDescent="0.25">
      <c r="C1681" s="3"/>
      <c r="D1681" s="3"/>
      <c r="E1681" s="3"/>
      <c r="F1681" s="5"/>
    </row>
    <row r="1682" spans="3:6" x14ac:dyDescent="0.25">
      <c r="C1682" s="3"/>
      <c r="D1682" s="3"/>
      <c r="E1682" s="3"/>
      <c r="F1682" s="5"/>
    </row>
    <row r="1683" spans="3:6" x14ac:dyDescent="0.25">
      <c r="C1683" s="3"/>
      <c r="D1683" s="3"/>
      <c r="E1683" s="3"/>
      <c r="F1683" s="5"/>
    </row>
    <row r="1684" spans="3:6" x14ac:dyDescent="0.25">
      <c r="C1684" s="3"/>
      <c r="D1684" s="3"/>
      <c r="E1684" s="3"/>
      <c r="F1684" s="5"/>
    </row>
    <row r="1685" spans="3:6" x14ac:dyDescent="0.25">
      <c r="C1685" s="3"/>
      <c r="D1685" s="3"/>
      <c r="E1685" s="3"/>
      <c r="F1685" s="5"/>
    </row>
    <row r="1686" spans="3:6" x14ac:dyDescent="0.25">
      <c r="C1686" s="3"/>
      <c r="D1686" s="3"/>
      <c r="E1686" s="3"/>
      <c r="F1686" s="5"/>
    </row>
    <row r="1687" spans="3:6" x14ac:dyDescent="0.25">
      <c r="C1687" s="3"/>
      <c r="D1687" s="3"/>
      <c r="E1687" s="3"/>
      <c r="F1687" s="5"/>
    </row>
    <row r="1688" spans="3:6" x14ac:dyDescent="0.25">
      <c r="C1688" s="3"/>
      <c r="D1688" s="3"/>
      <c r="E1688" s="3"/>
      <c r="F1688" s="5"/>
    </row>
    <row r="1689" spans="3:6" x14ac:dyDescent="0.25">
      <c r="C1689" s="3"/>
      <c r="D1689" s="3"/>
      <c r="E1689" s="3"/>
      <c r="F1689" s="5"/>
    </row>
    <row r="1690" spans="3:6" x14ac:dyDescent="0.25">
      <c r="C1690" s="3"/>
      <c r="D1690" s="3"/>
      <c r="E1690" s="3"/>
      <c r="F1690" s="5"/>
    </row>
    <row r="1691" spans="3:6" x14ac:dyDescent="0.25">
      <c r="C1691" s="3"/>
      <c r="D1691" s="3"/>
      <c r="E1691" s="3"/>
      <c r="F1691" s="5"/>
    </row>
    <row r="1692" spans="3:6" x14ac:dyDescent="0.25">
      <c r="C1692" s="3"/>
      <c r="D1692" s="3"/>
      <c r="E1692" s="3"/>
      <c r="F1692" s="5"/>
    </row>
    <row r="1693" spans="3:6" x14ac:dyDescent="0.25">
      <c r="C1693" s="3"/>
      <c r="D1693" s="3"/>
      <c r="E1693" s="3"/>
      <c r="F1693" s="5"/>
    </row>
    <row r="1694" spans="3:6" x14ac:dyDescent="0.25">
      <c r="C1694" s="3"/>
      <c r="D1694" s="3"/>
      <c r="E1694" s="3"/>
      <c r="F1694" s="5"/>
    </row>
    <row r="1695" spans="3:6" x14ac:dyDescent="0.25">
      <c r="C1695" s="3"/>
      <c r="D1695" s="3"/>
      <c r="E1695" s="3"/>
      <c r="F1695" s="5"/>
    </row>
    <row r="1696" spans="3:6" x14ac:dyDescent="0.25">
      <c r="C1696" s="3"/>
      <c r="D1696" s="3"/>
      <c r="E1696" s="3"/>
      <c r="F1696" s="5"/>
    </row>
    <row r="1697" spans="3:6" x14ac:dyDescent="0.25">
      <c r="C1697" s="3"/>
      <c r="D1697" s="3"/>
      <c r="E1697" s="3"/>
      <c r="F1697" s="5"/>
    </row>
    <row r="1698" spans="3:6" x14ac:dyDescent="0.25">
      <c r="C1698" s="3"/>
      <c r="D1698" s="3"/>
      <c r="E1698" s="3"/>
      <c r="F1698" s="5"/>
    </row>
    <row r="1699" spans="3:6" x14ac:dyDescent="0.25">
      <c r="C1699" s="3"/>
      <c r="D1699" s="3"/>
      <c r="E1699" s="3"/>
      <c r="F1699" s="5"/>
    </row>
    <row r="1700" spans="3:6" x14ac:dyDescent="0.25">
      <c r="C1700" s="3"/>
      <c r="D1700" s="3"/>
      <c r="E1700" s="3"/>
      <c r="F1700" s="5"/>
    </row>
    <row r="1701" spans="3:6" x14ac:dyDescent="0.25">
      <c r="C1701" s="3"/>
      <c r="D1701" s="3"/>
      <c r="E1701" s="3"/>
      <c r="F1701" s="5"/>
    </row>
    <row r="1702" spans="3:6" x14ac:dyDescent="0.25">
      <c r="C1702" s="3"/>
      <c r="D1702" s="3"/>
      <c r="E1702" s="3"/>
      <c r="F1702" s="5"/>
    </row>
    <row r="1703" spans="3:6" x14ac:dyDescent="0.25">
      <c r="C1703" s="3"/>
      <c r="D1703" s="3"/>
      <c r="E1703" s="3"/>
      <c r="F1703" s="5"/>
    </row>
    <row r="1704" spans="3:6" x14ac:dyDescent="0.25">
      <c r="C1704" s="3"/>
      <c r="D1704" s="3"/>
      <c r="E1704" s="3"/>
      <c r="F1704" s="5"/>
    </row>
    <row r="1705" spans="3:6" x14ac:dyDescent="0.25">
      <c r="C1705" s="3"/>
      <c r="D1705" s="3"/>
      <c r="E1705" s="3"/>
      <c r="F1705" s="5"/>
    </row>
    <row r="1706" spans="3:6" x14ac:dyDescent="0.25">
      <c r="C1706" s="3"/>
      <c r="D1706" s="3"/>
      <c r="E1706" s="3"/>
      <c r="F1706" s="5"/>
    </row>
    <row r="1707" spans="3:6" x14ac:dyDescent="0.25">
      <c r="C1707" s="3"/>
      <c r="D1707" s="3"/>
      <c r="E1707" s="3"/>
      <c r="F1707" s="5"/>
    </row>
    <row r="1708" spans="3:6" x14ac:dyDescent="0.25">
      <c r="C1708" s="3"/>
      <c r="D1708" s="3"/>
      <c r="E1708" s="3"/>
      <c r="F1708" s="5"/>
    </row>
    <row r="1709" spans="3:6" x14ac:dyDescent="0.25">
      <c r="C1709" s="3"/>
      <c r="D1709" s="3"/>
      <c r="E1709" s="3"/>
      <c r="F1709" s="5"/>
    </row>
    <row r="1710" spans="3:6" x14ac:dyDescent="0.25">
      <c r="C1710" s="3"/>
      <c r="D1710" s="3"/>
      <c r="E1710" s="3"/>
      <c r="F1710" s="5"/>
    </row>
    <row r="1711" spans="3:6" x14ac:dyDescent="0.25">
      <c r="C1711" s="3"/>
      <c r="D1711" s="3"/>
      <c r="E1711" s="3"/>
      <c r="F1711" s="5"/>
    </row>
    <row r="1712" spans="3:6" x14ac:dyDescent="0.25">
      <c r="C1712" s="3"/>
      <c r="D1712" s="3"/>
      <c r="E1712" s="3"/>
      <c r="F1712" s="5"/>
    </row>
    <row r="1713" spans="3:6" x14ac:dyDescent="0.25">
      <c r="C1713" s="3"/>
      <c r="D1713" s="3"/>
      <c r="E1713" s="3"/>
      <c r="F1713" s="5"/>
    </row>
    <row r="1714" spans="3:6" x14ac:dyDescent="0.25">
      <c r="C1714" s="3"/>
      <c r="D1714" s="3"/>
      <c r="E1714" s="3"/>
      <c r="F1714" s="5"/>
    </row>
    <row r="1715" spans="3:6" x14ac:dyDescent="0.25">
      <c r="C1715" s="3"/>
      <c r="D1715" s="3"/>
      <c r="E1715" s="3"/>
      <c r="F1715" s="5"/>
    </row>
    <row r="1716" spans="3:6" x14ac:dyDescent="0.25">
      <c r="C1716" s="3"/>
      <c r="D1716" s="3"/>
      <c r="E1716" s="3"/>
      <c r="F1716" s="5"/>
    </row>
    <row r="1717" spans="3:6" x14ac:dyDescent="0.25">
      <c r="C1717" s="3"/>
      <c r="D1717" s="3"/>
      <c r="E1717" s="3"/>
      <c r="F1717" s="5"/>
    </row>
    <row r="1718" spans="3:6" x14ac:dyDescent="0.25">
      <c r="C1718" s="3"/>
      <c r="D1718" s="3"/>
      <c r="E1718" s="3"/>
      <c r="F1718" s="5"/>
    </row>
    <row r="1719" spans="3:6" x14ac:dyDescent="0.25">
      <c r="C1719" s="3"/>
      <c r="D1719" s="3"/>
      <c r="E1719" s="3"/>
      <c r="F1719" s="5"/>
    </row>
    <row r="1720" spans="3:6" x14ac:dyDescent="0.25">
      <c r="C1720" s="3"/>
      <c r="D1720" s="3"/>
      <c r="E1720" s="3"/>
      <c r="F1720" s="5"/>
    </row>
    <row r="1721" spans="3:6" x14ac:dyDescent="0.25">
      <c r="C1721" s="3"/>
      <c r="D1721" s="3"/>
      <c r="E1721" s="3"/>
      <c r="F1721" s="5"/>
    </row>
    <row r="1722" spans="3:6" x14ac:dyDescent="0.25">
      <c r="C1722" s="3"/>
      <c r="D1722" s="3"/>
      <c r="E1722" s="3"/>
      <c r="F1722" s="5"/>
    </row>
    <row r="1723" spans="3:6" x14ac:dyDescent="0.25">
      <c r="C1723" s="3"/>
      <c r="D1723" s="3"/>
      <c r="E1723" s="3"/>
      <c r="F1723" s="5"/>
    </row>
    <row r="1724" spans="3:6" x14ac:dyDescent="0.25">
      <c r="C1724" s="3"/>
      <c r="D1724" s="3"/>
      <c r="E1724" s="3"/>
      <c r="F1724" s="5"/>
    </row>
    <row r="1725" spans="3:6" x14ac:dyDescent="0.25">
      <c r="C1725" s="3"/>
      <c r="D1725" s="3"/>
      <c r="E1725" s="3"/>
      <c r="F1725" s="5"/>
    </row>
    <row r="1726" spans="3:6" x14ac:dyDescent="0.25">
      <c r="C1726" s="3"/>
      <c r="D1726" s="3"/>
      <c r="E1726" s="3"/>
      <c r="F1726" s="5"/>
    </row>
    <row r="1727" spans="3:6" x14ac:dyDescent="0.25">
      <c r="C1727" s="3"/>
      <c r="D1727" s="3"/>
      <c r="E1727" s="3"/>
      <c r="F1727" s="5"/>
    </row>
    <row r="1728" spans="3:6" x14ac:dyDescent="0.25">
      <c r="C1728" s="3"/>
      <c r="D1728" s="3"/>
      <c r="E1728" s="3"/>
      <c r="F1728" s="5"/>
    </row>
    <row r="1729" spans="3:6" x14ac:dyDescent="0.25">
      <c r="C1729" s="3"/>
      <c r="D1729" s="3"/>
      <c r="E1729" s="3"/>
      <c r="F1729" s="5"/>
    </row>
    <row r="1730" spans="3:6" x14ac:dyDescent="0.25">
      <c r="C1730" s="3"/>
      <c r="D1730" s="3"/>
      <c r="E1730" s="3"/>
      <c r="F1730" s="5"/>
    </row>
    <row r="1731" spans="3:6" x14ac:dyDescent="0.25">
      <c r="C1731" s="3"/>
      <c r="D1731" s="3"/>
      <c r="E1731" s="3"/>
      <c r="F1731" s="5"/>
    </row>
    <row r="1732" spans="3:6" x14ac:dyDescent="0.25">
      <c r="C1732" s="3"/>
      <c r="D1732" s="3"/>
      <c r="E1732" s="3"/>
      <c r="F1732" s="5"/>
    </row>
    <row r="1733" spans="3:6" x14ac:dyDescent="0.25">
      <c r="C1733" s="3"/>
      <c r="D1733" s="3"/>
      <c r="E1733" s="3"/>
      <c r="F1733" s="5"/>
    </row>
    <row r="1734" spans="3:6" x14ac:dyDescent="0.25">
      <c r="C1734" s="3"/>
      <c r="D1734" s="3"/>
      <c r="E1734" s="3"/>
      <c r="F1734" s="5"/>
    </row>
    <row r="1735" spans="3:6" x14ac:dyDescent="0.25">
      <c r="C1735" s="3"/>
      <c r="D1735" s="3"/>
      <c r="E1735" s="3"/>
      <c r="F1735" s="5"/>
    </row>
    <row r="1736" spans="3:6" x14ac:dyDescent="0.25">
      <c r="C1736" s="3"/>
      <c r="D1736" s="3"/>
      <c r="E1736" s="3"/>
      <c r="F1736" s="5"/>
    </row>
    <row r="1737" spans="3:6" x14ac:dyDescent="0.25">
      <c r="C1737" s="3"/>
      <c r="D1737" s="3"/>
      <c r="E1737" s="3"/>
      <c r="F1737" s="5"/>
    </row>
    <row r="1738" spans="3:6" x14ac:dyDescent="0.25">
      <c r="C1738" s="3"/>
      <c r="D1738" s="3"/>
      <c r="E1738" s="3"/>
      <c r="F1738" s="5"/>
    </row>
    <row r="1739" spans="3:6" x14ac:dyDescent="0.25">
      <c r="C1739" s="3"/>
      <c r="D1739" s="3"/>
      <c r="E1739" s="3"/>
      <c r="F1739" s="5"/>
    </row>
    <row r="1740" spans="3:6" x14ac:dyDescent="0.25">
      <c r="C1740" s="3"/>
      <c r="D1740" s="3"/>
      <c r="E1740" s="3"/>
      <c r="F1740" s="5"/>
    </row>
    <row r="1741" spans="3:6" x14ac:dyDescent="0.25">
      <c r="C1741" s="3"/>
      <c r="D1741" s="3"/>
      <c r="E1741" s="3"/>
      <c r="F1741" s="5"/>
    </row>
    <row r="1742" spans="3:6" x14ac:dyDescent="0.25">
      <c r="C1742" s="3"/>
      <c r="D1742" s="3"/>
      <c r="E1742" s="3"/>
      <c r="F1742" s="5"/>
    </row>
    <row r="1743" spans="3:6" x14ac:dyDescent="0.25">
      <c r="C1743" s="3"/>
      <c r="D1743" s="3"/>
      <c r="E1743" s="3"/>
      <c r="F1743" s="5"/>
    </row>
    <row r="1744" spans="3:6" x14ac:dyDescent="0.25">
      <c r="C1744" s="3"/>
      <c r="D1744" s="3"/>
      <c r="E1744" s="3"/>
      <c r="F1744" s="5"/>
    </row>
    <row r="1745" spans="3:6" x14ac:dyDescent="0.25">
      <c r="C1745" s="3"/>
      <c r="D1745" s="3"/>
      <c r="E1745" s="3"/>
      <c r="F1745" s="5"/>
    </row>
    <row r="1746" spans="3:6" x14ac:dyDescent="0.25">
      <c r="C1746" s="3"/>
      <c r="D1746" s="3"/>
      <c r="E1746" s="3"/>
      <c r="F1746" s="5"/>
    </row>
    <row r="1747" spans="3:6" x14ac:dyDescent="0.25">
      <c r="C1747" s="3"/>
      <c r="D1747" s="3"/>
      <c r="E1747" s="3"/>
      <c r="F1747" s="5"/>
    </row>
    <row r="1748" spans="3:6" x14ac:dyDescent="0.25">
      <c r="C1748" s="3"/>
      <c r="D1748" s="3"/>
      <c r="E1748" s="3"/>
      <c r="F1748" s="5"/>
    </row>
    <row r="1749" spans="3:6" x14ac:dyDescent="0.25">
      <c r="C1749" s="3"/>
      <c r="D1749" s="3"/>
      <c r="E1749" s="3"/>
      <c r="F1749" s="5"/>
    </row>
    <row r="1750" spans="3:6" x14ac:dyDescent="0.25">
      <c r="C1750" s="3"/>
      <c r="D1750" s="3"/>
      <c r="E1750" s="3"/>
      <c r="F1750" s="5"/>
    </row>
    <row r="1751" spans="3:6" x14ac:dyDescent="0.25">
      <c r="C1751" s="3"/>
      <c r="D1751" s="3"/>
      <c r="E1751" s="3"/>
      <c r="F1751" s="5"/>
    </row>
    <row r="1752" spans="3:6" x14ac:dyDescent="0.25">
      <c r="C1752" s="3"/>
      <c r="D1752" s="3"/>
      <c r="E1752" s="3"/>
      <c r="F1752" s="5"/>
    </row>
    <row r="1753" spans="3:6" x14ac:dyDescent="0.25">
      <c r="C1753" s="3"/>
      <c r="D1753" s="3"/>
      <c r="E1753" s="3"/>
      <c r="F1753" s="5"/>
    </row>
    <row r="1754" spans="3:6" x14ac:dyDescent="0.25">
      <c r="C1754" s="3"/>
      <c r="D1754" s="3"/>
      <c r="E1754" s="3"/>
      <c r="F1754" s="5"/>
    </row>
    <row r="1755" spans="3:6" x14ac:dyDescent="0.25">
      <c r="C1755" s="3"/>
      <c r="D1755" s="3"/>
      <c r="E1755" s="3"/>
      <c r="F1755" s="5"/>
    </row>
    <row r="1756" spans="3:6" x14ac:dyDescent="0.25">
      <c r="C1756" s="3"/>
      <c r="D1756" s="3"/>
      <c r="E1756" s="3"/>
      <c r="F1756" s="5"/>
    </row>
    <row r="1757" spans="3:6" x14ac:dyDescent="0.25">
      <c r="C1757" s="3"/>
      <c r="D1757" s="3"/>
      <c r="E1757" s="3"/>
      <c r="F1757" s="5"/>
    </row>
    <row r="1758" spans="3:6" x14ac:dyDescent="0.25">
      <c r="C1758" s="3"/>
      <c r="D1758" s="3"/>
      <c r="E1758" s="3"/>
      <c r="F1758" s="5"/>
    </row>
    <row r="1759" spans="3:6" x14ac:dyDescent="0.25">
      <c r="C1759" s="3"/>
      <c r="D1759" s="3"/>
      <c r="E1759" s="3"/>
      <c r="F1759" s="5"/>
    </row>
    <row r="1760" spans="3:6" x14ac:dyDescent="0.25">
      <c r="C1760" s="3"/>
      <c r="D1760" s="3"/>
      <c r="E1760" s="3"/>
      <c r="F1760" s="5"/>
    </row>
    <row r="1761" spans="3:6" x14ac:dyDescent="0.25">
      <c r="C1761" s="3"/>
      <c r="D1761" s="3"/>
      <c r="E1761" s="3"/>
      <c r="F1761" s="5"/>
    </row>
    <row r="1762" spans="3:6" x14ac:dyDescent="0.25">
      <c r="C1762" s="3"/>
      <c r="D1762" s="3"/>
      <c r="E1762" s="3"/>
      <c r="F1762" s="5"/>
    </row>
    <row r="1763" spans="3:6" x14ac:dyDescent="0.25">
      <c r="C1763" s="3"/>
      <c r="D1763" s="3"/>
      <c r="E1763" s="3"/>
      <c r="F1763" s="5"/>
    </row>
    <row r="1764" spans="3:6" x14ac:dyDescent="0.25">
      <c r="C1764" s="3"/>
      <c r="D1764" s="3"/>
      <c r="E1764" s="3"/>
      <c r="F1764" s="5"/>
    </row>
    <row r="1765" spans="3:6" x14ac:dyDescent="0.25">
      <c r="C1765" s="3"/>
      <c r="D1765" s="3"/>
      <c r="E1765" s="3"/>
      <c r="F1765" s="5"/>
    </row>
    <row r="1766" spans="3:6" x14ac:dyDescent="0.25">
      <c r="C1766" s="3"/>
      <c r="D1766" s="3"/>
      <c r="E1766" s="3"/>
      <c r="F1766" s="5"/>
    </row>
    <row r="1767" spans="3:6" x14ac:dyDescent="0.25">
      <c r="C1767" s="3"/>
      <c r="D1767" s="3"/>
      <c r="E1767" s="3"/>
      <c r="F1767" s="5"/>
    </row>
    <row r="1768" spans="3:6" x14ac:dyDescent="0.25">
      <c r="C1768" s="3"/>
      <c r="D1768" s="3"/>
      <c r="E1768" s="3"/>
      <c r="F1768" s="5"/>
    </row>
    <row r="1769" spans="3:6" x14ac:dyDescent="0.25">
      <c r="C1769" s="3"/>
      <c r="D1769" s="3"/>
      <c r="E1769" s="3"/>
      <c r="F1769" s="5"/>
    </row>
    <row r="1770" spans="3:6" x14ac:dyDescent="0.25">
      <c r="C1770" s="3"/>
      <c r="D1770" s="3"/>
      <c r="E1770" s="3"/>
      <c r="F1770" s="5"/>
    </row>
    <row r="1771" spans="3:6" x14ac:dyDescent="0.25">
      <c r="C1771" s="3"/>
      <c r="D1771" s="3"/>
      <c r="E1771" s="3"/>
      <c r="F1771" s="5"/>
    </row>
    <row r="1772" spans="3:6" x14ac:dyDescent="0.25">
      <c r="C1772" s="3"/>
      <c r="D1772" s="3"/>
      <c r="E1772" s="3"/>
      <c r="F1772" s="5"/>
    </row>
    <row r="1773" spans="3:6" x14ac:dyDescent="0.25">
      <c r="C1773" s="3"/>
      <c r="D1773" s="3"/>
      <c r="E1773" s="3"/>
      <c r="F1773" s="5"/>
    </row>
    <row r="1774" spans="3:6" x14ac:dyDescent="0.25">
      <c r="C1774" s="3"/>
      <c r="D1774" s="3"/>
      <c r="E1774" s="3"/>
      <c r="F1774" s="5"/>
    </row>
    <row r="1775" spans="3:6" x14ac:dyDescent="0.25">
      <c r="C1775" s="3"/>
      <c r="D1775" s="3"/>
      <c r="E1775" s="3"/>
      <c r="F1775" s="5"/>
    </row>
    <row r="1776" spans="3:6" x14ac:dyDescent="0.25">
      <c r="C1776" s="3"/>
      <c r="D1776" s="3"/>
      <c r="E1776" s="3"/>
      <c r="F1776" s="5"/>
    </row>
    <row r="1777" spans="3:6" x14ac:dyDescent="0.25">
      <c r="C1777" s="3"/>
      <c r="D1777" s="3"/>
      <c r="E1777" s="3"/>
      <c r="F1777" s="5"/>
    </row>
    <row r="1778" spans="3:6" x14ac:dyDescent="0.25">
      <c r="C1778" s="3"/>
      <c r="D1778" s="3"/>
      <c r="E1778" s="3"/>
      <c r="F1778" s="5"/>
    </row>
    <row r="1779" spans="3:6" x14ac:dyDescent="0.25">
      <c r="C1779" s="3"/>
      <c r="D1779" s="3"/>
      <c r="E1779" s="3"/>
      <c r="F1779" s="5"/>
    </row>
    <row r="1780" spans="3:6" x14ac:dyDescent="0.25">
      <c r="C1780" s="3"/>
      <c r="D1780" s="3"/>
      <c r="E1780" s="3"/>
      <c r="F1780" s="5"/>
    </row>
    <row r="1781" spans="3:6" x14ac:dyDescent="0.25">
      <c r="C1781" s="3"/>
      <c r="D1781" s="3"/>
      <c r="E1781" s="3"/>
      <c r="F1781" s="5"/>
    </row>
    <row r="1782" spans="3:6" x14ac:dyDescent="0.25">
      <c r="C1782" s="3"/>
      <c r="D1782" s="3"/>
      <c r="E1782" s="3"/>
      <c r="F1782" s="5"/>
    </row>
    <row r="1783" spans="3:6" x14ac:dyDescent="0.25">
      <c r="C1783" s="3"/>
      <c r="D1783" s="3"/>
      <c r="E1783" s="3"/>
      <c r="F1783" s="5"/>
    </row>
    <row r="1784" spans="3:6" x14ac:dyDescent="0.25">
      <c r="C1784" s="3"/>
      <c r="D1784" s="3"/>
      <c r="E1784" s="3"/>
      <c r="F1784" s="5"/>
    </row>
    <row r="1785" spans="3:6" x14ac:dyDescent="0.25">
      <c r="C1785" s="3"/>
      <c r="D1785" s="3"/>
      <c r="E1785" s="3"/>
      <c r="F1785" s="5"/>
    </row>
    <row r="1786" spans="3:6" x14ac:dyDescent="0.25">
      <c r="C1786" s="3"/>
      <c r="D1786" s="3"/>
      <c r="E1786" s="3"/>
      <c r="F1786" s="5"/>
    </row>
    <row r="1787" spans="3:6" x14ac:dyDescent="0.25">
      <c r="C1787" s="3"/>
      <c r="D1787" s="3"/>
      <c r="E1787" s="3"/>
      <c r="F1787" s="5"/>
    </row>
    <row r="1788" spans="3:6" x14ac:dyDescent="0.25">
      <c r="C1788" s="3"/>
      <c r="D1788" s="3"/>
      <c r="E1788" s="3"/>
      <c r="F1788" s="5"/>
    </row>
    <row r="1789" spans="3:6" x14ac:dyDescent="0.25">
      <c r="C1789" s="3"/>
      <c r="D1789" s="3"/>
      <c r="E1789" s="3"/>
      <c r="F1789" s="5"/>
    </row>
    <row r="1790" spans="3:6" x14ac:dyDescent="0.25">
      <c r="C1790" s="3"/>
      <c r="D1790" s="3"/>
      <c r="E1790" s="3"/>
      <c r="F1790" s="5"/>
    </row>
    <row r="1791" spans="3:6" x14ac:dyDescent="0.25">
      <c r="C1791" s="3"/>
      <c r="D1791" s="3"/>
      <c r="E1791" s="3"/>
      <c r="F1791" s="5"/>
    </row>
    <row r="1792" spans="3:6" x14ac:dyDescent="0.25">
      <c r="C1792" s="3"/>
      <c r="D1792" s="3"/>
      <c r="E1792" s="3"/>
      <c r="F1792" s="5"/>
    </row>
    <row r="1793" spans="3:6" x14ac:dyDescent="0.25">
      <c r="C1793" s="3"/>
      <c r="D1793" s="3"/>
      <c r="E1793" s="3"/>
      <c r="F1793" s="5"/>
    </row>
    <row r="1794" spans="3:6" x14ac:dyDescent="0.25">
      <c r="C1794" s="3"/>
      <c r="D1794" s="3"/>
      <c r="E1794" s="3"/>
      <c r="F1794" s="5"/>
    </row>
    <row r="1795" spans="3:6" x14ac:dyDescent="0.25">
      <c r="C1795" s="3"/>
      <c r="D1795" s="3"/>
      <c r="E1795" s="3"/>
      <c r="F1795" s="5"/>
    </row>
    <row r="1796" spans="3:6" x14ac:dyDescent="0.25">
      <c r="C1796" s="3"/>
      <c r="D1796" s="3"/>
      <c r="E1796" s="3"/>
      <c r="F1796" s="5"/>
    </row>
    <row r="1797" spans="3:6" x14ac:dyDescent="0.25">
      <c r="C1797" s="3"/>
      <c r="D1797" s="3"/>
      <c r="E1797" s="3"/>
      <c r="F1797" s="5"/>
    </row>
    <row r="1798" spans="3:6" x14ac:dyDescent="0.25">
      <c r="C1798" s="3"/>
      <c r="D1798" s="3"/>
      <c r="E1798" s="3"/>
      <c r="F1798" s="5"/>
    </row>
    <row r="1799" spans="3:6" x14ac:dyDescent="0.25">
      <c r="C1799" s="3"/>
      <c r="D1799" s="3"/>
      <c r="E1799" s="3"/>
      <c r="F1799" s="5"/>
    </row>
    <row r="1800" spans="3:6" x14ac:dyDescent="0.25">
      <c r="C1800" s="3"/>
      <c r="D1800" s="3"/>
      <c r="E1800" s="3"/>
      <c r="F1800" s="5"/>
    </row>
    <row r="1801" spans="3:6" x14ac:dyDescent="0.25">
      <c r="C1801" s="3"/>
      <c r="D1801" s="3"/>
      <c r="E1801" s="3"/>
      <c r="F1801" s="5"/>
    </row>
    <row r="1802" spans="3:6" x14ac:dyDescent="0.25">
      <c r="C1802" s="3"/>
      <c r="D1802" s="3"/>
      <c r="E1802" s="3"/>
      <c r="F1802" s="5"/>
    </row>
    <row r="1803" spans="3:6" x14ac:dyDescent="0.25">
      <c r="C1803" s="3"/>
      <c r="D1803" s="3"/>
      <c r="E1803" s="3"/>
      <c r="F1803" s="5"/>
    </row>
    <row r="1804" spans="3:6" x14ac:dyDescent="0.25">
      <c r="C1804" s="3"/>
      <c r="D1804" s="3"/>
      <c r="E1804" s="3"/>
      <c r="F1804" s="5"/>
    </row>
    <row r="1805" spans="3:6" x14ac:dyDescent="0.25">
      <c r="C1805" s="3"/>
      <c r="D1805" s="3"/>
      <c r="E1805" s="3"/>
      <c r="F1805" s="5"/>
    </row>
    <row r="1806" spans="3:6" x14ac:dyDescent="0.25">
      <c r="C1806" s="3"/>
      <c r="D1806" s="3"/>
      <c r="E1806" s="3"/>
      <c r="F1806" s="5"/>
    </row>
    <row r="1807" spans="3:6" x14ac:dyDescent="0.25">
      <c r="C1807" s="3"/>
      <c r="D1807" s="3"/>
      <c r="E1807" s="3"/>
      <c r="F1807" s="5"/>
    </row>
    <row r="1808" spans="3:6" x14ac:dyDescent="0.25">
      <c r="C1808" s="3"/>
      <c r="D1808" s="3"/>
      <c r="E1808" s="3"/>
      <c r="F1808" s="5"/>
    </row>
    <row r="1809" spans="3:6" x14ac:dyDescent="0.25">
      <c r="C1809" s="3"/>
      <c r="D1809" s="3"/>
      <c r="E1809" s="3"/>
      <c r="F1809" s="5"/>
    </row>
    <row r="1810" spans="3:6" x14ac:dyDescent="0.25">
      <c r="C1810" s="3"/>
      <c r="D1810" s="3"/>
      <c r="E1810" s="3"/>
      <c r="F1810" s="5"/>
    </row>
    <row r="1811" spans="3:6" x14ac:dyDescent="0.25">
      <c r="C1811" s="3"/>
      <c r="D1811" s="3"/>
      <c r="E1811" s="3"/>
      <c r="F1811" s="5"/>
    </row>
    <row r="1812" spans="3:6" x14ac:dyDescent="0.25">
      <c r="C1812" s="3"/>
      <c r="D1812" s="3"/>
      <c r="E1812" s="3"/>
      <c r="F1812" s="5"/>
    </row>
    <row r="1813" spans="3:6" x14ac:dyDescent="0.25">
      <c r="C1813" s="3"/>
      <c r="D1813" s="3"/>
      <c r="E1813" s="3"/>
      <c r="F1813" s="5"/>
    </row>
    <row r="1814" spans="3:6" x14ac:dyDescent="0.25">
      <c r="C1814" s="3"/>
      <c r="D1814" s="3"/>
      <c r="E1814" s="3"/>
      <c r="F1814" s="5"/>
    </row>
    <row r="1815" spans="3:6" x14ac:dyDescent="0.25">
      <c r="C1815" s="3"/>
      <c r="D1815" s="3"/>
      <c r="E1815" s="3"/>
      <c r="F1815" s="5"/>
    </row>
    <row r="1816" spans="3:6" x14ac:dyDescent="0.25">
      <c r="C1816" s="3"/>
      <c r="D1816" s="3"/>
      <c r="E1816" s="3"/>
      <c r="F1816" s="5"/>
    </row>
    <row r="1817" spans="3:6" x14ac:dyDescent="0.25">
      <c r="C1817" s="3"/>
      <c r="D1817" s="3"/>
      <c r="E1817" s="3"/>
      <c r="F1817" s="5"/>
    </row>
    <row r="1818" spans="3:6" x14ac:dyDescent="0.25">
      <c r="C1818" s="3"/>
      <c r="D1818" s="3"/>
      <c r="E1818" s="3"/>
      <c r="F1818" s="5"/>
    </row>
    <row r="1819" spans="3:6" x14ac:dyDescent="0.25">
      <c r="C1819" s="3"/>
      <c r="D1819" s="3"/>
      <c r="E1819" s="3"/>
      <c r="F1819" s="5"/>
    </row>
    <row r="1820" spans="3:6" x14ac:dyDescent="0.25">
      <c r="C1820" s="3"/>
      <c r="D1820" s="3"/>
      <c r="E1820" s="3"/>
      <c r="F1820" s="5"/>
    </row>
    <row r="1821" spans="3:6" x14ac:dyDescent="0.25">
      <c r="C1821" s="3"/>
      <c r="D1821" s="3"/>
      <c r="E1821" s="3"/>
      <c r="F1821" s="5"/>
    </row>
    <row r="1822" spans="3:6" x14ac:dyDescent="0.25">
      <c r="C1822" s="3"/>
      <c r="D1822" s="3"/>
      <c r="E1822" s="3"/>
      <c r="F1822" s="5"/>
    </row>
    <row r="1823" spans="3:6" x14ac:dyDescent="0.25">
      <c r="C1823" s="3"/>
      <c r="D1823" s="3"/>
      <c r="E1823" s="3"/>
      <c r="F1823" s="5"/>
    </row>
    <row r="1824" spans="3:6" x14ac:dyDescent="0.25">
      <c r="C1824" s="3"/>
      <c r="D1824" s="3"/>
      <c r="E1824" s="3"/>
      <c r="F1824" s="5"/>
    </row>
    <row r="1825" spans="3:6" x14ac:dyDescent="0.25">
      <c r="C1825" s="3"/>
      <c r="D1825" s="3"/>
      <c r="E1825" s="3"/>
      <c r="F1825" s="5"/>
    </row>
    <row r="1826" spans="3:6" x14ac:dyDescent="0.25">
      <c r="C1826" s="3"/>
      <c r="D1826" s="3"/>
      <c r="E1826" s="3"/>
      <c r="F1826" s="5"/>
    </row>
    <row r="1827" spans="3:6" x14ac:dyDescent="0.25">
      <c r="C1827" s="3"/>
      <c r="D1827" s="3"/>
      <c r="E1827" s="3"/>
      <c r="F1827" s="5"/>
    </row>
    <row r="1828" spans="3:6" x14ac:dyDescent="0.25">
      <c r="C1828" s="3"/>
      <c r="D1828" s="3"/>
      <c r="E1828" s="3"/>
      <c r="F1828" s="5"/>
    </row>
    <row r="1829" spans="3:6" x14ac:dyDescent="0.25">
      <c r="C1829" s="3"/>
      <c r="D1829" s="3"/>
      <c r="E1829" s="3"/>
      <c r="F1829" s="5"/>
    </row>
    <row r="1830" spans="3:6" x14ac:dyDescent="0.25">
      <c r="C1830" s="3"/>
      <c r="D1830" s="3"/>
      <c r="E1830" s="3"/>
      <c r="F1830" s="5"/>
    </row>
    <row r="1831" spans="3:6" x14ac:dyDescent="0.25">
      <c r="C1831" s="3"/>
      <c r="D1831" s="3"/>
      <c r="E1831" s="3"/>
      <c r="F1831" s="5"/>
    </row>
    <row r="1832" spans="3:6" x14ac:dyDescent="0.25">
      <c r="C1832" s="3"/>
      <c r="D1832" s="3"/>
      <c r="E1832" s="3"/>
      <c r="F1832" s="5"/>
    </row>
    <row r="1833" spans="3:6" x14ac:dyDescent="0.25">
      <c r="C1833" s="3"/>
      <c r="D1833" s="3"/>
      <c r="E1833" s="3"/>
      <c r="F1833" s="5"/>
    </row>
    <row r="1834" spans="3:6" x14ac:dyDescent="0.25">
      <c r="C1834" s="3"/>
      <c r="D1834" s="3"/>
      <c r="E1834" s="3"/>
      <c r="F1834" s="5"/>
    </row>
    <row r="1835" spans="3:6" x14ac:dyDescent="0.25">
      <c r="C1835" s="3"/>
      <c r="D1835" s="3"/>
      <c r="E1835" s="3"/>
      <c r="F1835" s="5"/>
    </row>
    <row r="1836" spans="3:6" x14ac:dyDescent="0.25">
      <c r="C1836" s="3"/>
      <c r="D1836" s="3"/>
      <c r="E1836" s="3"/>
      <c r="F1836" s="5"/>
    </row>
    <row r="1837" spans="3:6" x14ac:dyDescent="0.25">
      <c r="C1837" s="3"/>
      <c r="D1837" s="3"/>
      <c r="E1837" s="3"/>
      <c r="F1837" s="5"/>
    </row>
    <row r="1838" spans="3:6" x14ac:dyDescent="0.25">
      <c r="C1838" s="3"/>
      <c r="D1838" s="3"/>
      <c r="E1838" s="3"/>
      <c r="F1838" s="5"/>
    </row>
    <row r="1839" spans="3:6" x14ac:dyDescent="0.25">
      <c r="C1839" s="3"/>
      <c r="D1839" s="3"/>
      <c r="E1839" s="3"/>
      <c r="F1839" s="5"/>
    </row>
    <row r="1840" spans="3:6" x14ac:dyDescent="0.25">
      <c r="C1840" s="3"/>
      <c r="D1840" s="3"/>
      <c r="E1840" s="3"/>
      <c r="F1840" s="5"/>
    </row>
    <row r="1841" spans="3:6" x14ac:dyDescent="0.25">
      <c r="C1841" s="3"/>
      <c r="D1841" s="3"/>
      <c r="E1841" s="3"/>
      <c r="F1841" s="5"/>
    </row>
    <row r="1842" spans="3:6" x14ac:dyDescent="0.25">
      <c r="C1842" s="3"/>
      <c r="D1842" s="3"/>
      <c r="E1842" s="3"/>
      <c r="F1842" s="5"/>
    </row>
    <row r="1843" spans="3:6" x14ac:dyDescent="0.25">
      <c r="C1843" s="3"/>
      <c r="D1843" s="3"/>
      <c r="E1843" s="3"/>
      <c r="F1843" s="5"/>
    </row>
    <row r="1844" spans="3:6" x14ac:dyDescent="0.25">
      <c r="C1844" s="3"/>
      <c r="D1844" s="3"/>
      <c r="E1844" s="3"/>
      <c r="F1844" s="5"/>
    </row>
    <row r="1845" spans="3:6" x14ac:dyDescent="0.25">
      <c r="C1845" s="3"/>
      <c r="D1845" s="3"/>
      <c r="E1845" s="3"/>
      <c r="F1845" s="5"/>
    </row>
    <row r="1846" spans="3:6" x14ac:dyDescent="0.25">
      <c r="C1846" s="3"/>
      <c r="D1846" s="3"/>
      <c r="E1846" s="3"/>
      <c r="F1846" s="5"/>
    </row>
    <row r="1847" spans="3:6" x14ac:dyDescent="0.25">
      <c r="C1847" s="3"/>
      <c r="D1847" s="3"/>
      <c r="E1847" s="3"/>
      <c r="F1847" s="5"/>
    </row>
    <row r="1848" spans="3:6" x14ac:dyDescent="0.25">
      <c r="C1848" s="3"/>
      <c r="D1848" s="3"/>
      <c r="E1848" s="3"/>
      <c r="F1848" s="5"/>
    </row>
    <row r="1849" spans="3:6" x14ac:dyDescent="0.25">
      <c r="C1849" s="3"/>
      <c r="D1849" s="3"/>
      <c r="E1849" s="3"/>
      <c r="F1849" s="5"/>
    </row>
    <row r="1850" spans="3:6" x14ac:dyDescent="0.25">
      <c r="C1850" s="3"/>
      <c r="D1850" s="3"/>
      <c r="E1850" s="3"/>
      <c r="F1850" s="5"/>
    </row>
    <row r="1851" spans="3:6" x14ac:dyDescent="0.25">
      <c r="C1851" s="3"/>
      <c r="D1851" s="3"/>
      <c r="E1851" s="3"/>
      <c r="F1851" s="5"/>
    </row>
    <row r="1852" spans="3:6" x14ac:dyDescent="0.25">
      <c r="C1852" s="3"/>
      <c r="D1852" s="3"/>
      <c r="E1852" s="3"/>
      <c r="F1852" s="5"/>
    </row>
    <row r="1853" spans="3:6" x14ac:dyDescent="0.25">
      <c r="C1853" s="3"/>
      <c r="D1853" s="3"/>
      <c r="E1853" s="3"/>
      <c r="F1853" s="5"/>
    </row>
    <row r="1854" spans="3:6" x14ac:dyDescent="0.25">
      <c r="C1854" s="3"/>
      <c r="D1854" s="3"/>
      <c r="E1854" s="3"/>
      <c r="F1854" s="5"/>
    </row>
    <row r="1855" spans="3:6" x14ac:dyDescent="0.25">
      <c r="C1855" s="3"/>
      <c r="D1855" s="3"/>
      <c r="E1855" s="3"/>
      <c r="F1855" s="5"/>
    </row>
    <row r="1856" spans="3:6" x14ac:dyDescent="0.25">
      <c r="C1856" s="3"/>
      <c r="D1856" s="3"/>
      <c r="E1856" s="3"/>
      <c r="F1856" s="5"/>
    </row>
    <row r="1857" spans="3:6" x14ac:dyDescent="0.25">
      <c r="C1857" s="3"/>
      <c r="D1857" s="3"/>
      <c r="E1857" s="3"/>
      <c r="F1857" s="5"/>
    </row>
    <row r="1858" spans="3:6" x14ac:dyDescent="0.25">
      <c r="C1858" s="3"/>
      <c r="D1858" s="3"/>
      <c r="E1858" s="3"/>
      <c r="F1858" s="5"/>
    </row>
    <row r="1859" spans="3:6" x14ac:dyDescent="0.25">
      <c r="C1859" s="3"/>
      <c r="D1859" s="3"/>
      <c r="E1859" s="3"/>
      <c r="F1859" s="5"/>
    </row>
    <row r="1860" spans="3:6" x14ac:dyDescent="0.25">
      <c r="C1860" s="3"/>
      <c r="D1860" s="3"/>
      <c r="E1860" s="3"/>
      <c r="F1860" s="5"/>
    </row>
    <row r="1861" spans="3:6" x14ac:dyDescent="0.25">
      <c r="C1861" s="3"/>
      <c r="D1861" s="3"/>
      <c r="E1861" s="3"/>
      <c r="F1861" s="5"/>
    </row>
    <row r="1862" spans="3:6" x14ac:dyDescent="0.25">
      <c r="C1862" s="3"/>
      <c r="D1862" s="3"/>
      <c r="E1862" s="3"/>
      <c r="F1862" s="5"/>
    </row>
    <row r="1863" spans="3:6" x14ac:dyDescent="0.25">
      <c r="C1863" s="3"/>
      <c r="D1863" s="3"/>
      <c r="E1863" s="3"/>
      <c r="F1863" s="5"/>
    </row>
    <row r="1864" spans="3:6" x14ac:dyDescent="0.25">
      <c r="C1864" s="3"/>
      <c r="D1864" s="3"/>
      <c r="E1864" s="3"/>
      <c r="F1864" s="5"/>
    </row>
    <row r="1865" spans="3:6" x14ac:dyDescent="0.25">
      <c r="C1865" s="3"/>
      <c r="D1865" s="3"/>
      <c r="E1865" s="3"/>
      <c r="F1865" s="5"/>
    </row>
    <row r="1866" spans="3:6" x14ac:dyDescent="0.25">
      <c r="C1866" s="3"/>
      <c r="D1866" s="3"/>
      <c r="E1866" s="3"/>
      <c r="F1866" s="5"/>
    </row>
    <row r="1867" spans="3:6" x14ac:dyDescent="0.25">
      <c r="C1867" s="3"/>
      <c r="D1867" s="3"/>
      <c r="E1867" s="3"/>
      <c r="F1867" s="5"/>
    </row>
    <row r="1868" spans="3:6" x14ac:dyDescent="0.25">
      <c r="C1868" s="3"/>
      <c r="D1868" s="3"/>
      <c r="E1868" s="3"/>
      <c r="F1868" s="5"/>
    </row>
    <row r="1869" spans="3:6" x14ac:dyDescent="0.25">
      <c r="C1869" s="3"/>
      <c r="D1869" s="3"/>
      <c r="E1869" s="3"/>
      <c r="F1869" s="5"/>
    </row>
    <row r="1870" spans="3:6" x14ac:dyDescent="0.25">
      <c r="C1870" s="3"/>
      <c r="D1870" s="3"/>
      <c r="E1870" s="3"/>
      <c r="F1870" s="5"/>
    </row>
    <row r="1871" spans="3:6" x14ac:dyDescent="0.25">
      <c r="C1871" s="3"/>
      <c r="D1871" s="3"/>
      <c r="E1871" s="3"/>
      <c r="F1871" s="5"/>
    </row>
    <row r="1872" spans="3:6" x14ac:dyDescent="0.25">
      <c r="C1872" s="3"/>
      <c r="D1872" s="3"/>
      <c r="E1872" s="3"/>
      <c r="F1872" s="5"/>
    </row>
    <row r="1873" spans="3:6" x14ac:dyDescent="0.25">
      <c r="C1873" s="3"/>
      <c r="D1873" s="3"/>
      <c r="E1873" s="3"/>
      <c r="F1873" s="5"/>
    </row>
    <row r="1874" spans="3:6" x14ac:dyDescent="0.25">
      <c r="C1874" s="3"/>
      <c r="D1874" s="3"/>
      <c r="E1874" s="3"/>
      <c r="F1874" s="5"/>
    </row>
    <row r="1875" spans="3:6" x14ac:dyDescent="0.25">
      <c r="C1875" s="3"/>
      <c r="D1875" s="3"/>
      <c r="E1875" s="3"/>
      <c r="F1875" s="5"/>
    </row>
    <row r="1876" spans="3:6" x14ac:dyDescent="0.25">
      <c r="C1876" s="3"/>
      <c r="D1876" s="3"/>
      <c r="E1876" s="3"/>
      <c r="F1876" s="5"/>
    </row>
    <row r="1877" spans="3:6" x14ac:dyDescent="0.25">
      <c r="C1877" s="3"/>
      <c r="D1877" s="3"/>
      <c r="E1877" s="3"/>
      <c r="F1877" s="5"/>
    </row>
    <row r="1878" spans="3:6" x14ac:dyDescent="0.25">
      <c r="C1878" s="3"/>
      <c r="D1878" s="3"/>
      <c r="E1878" s="3"/>
      <c r="F1878" s="5"/>
    </row>
    <row r="1879" spans="3:6" x14ac:dyDescent="0.25">
      <c r="C1879" s="3"/>
      <c r="D1879" s="3"/>
      <c r="E1879" s="3"/>
      <c r="F1879" s="5"/>
    </row>
    <row r="1880" spans="3:6" x14ac:dyDescent="0.25">
      <c r="C1880" s="3"/>
      <c r="D1880" s="3"/>
      <c r="E1880" s="3"/>
      <c r="F1880" s="5"/>
    </row>
    <row r="1881" spans="3:6" x14ac:dyDescent="0.25">
      <c r="C1881" s="3"/>
      <c r="D1881" s="3"/>
      <c r="E1881" s="3"/>
      <c r="F1881" s="5"/>
    </row>
    <row r="1882" spans="3:6" x14ac:dyDescent="0.25">
      <c r="C1882" s="3"/>
      <c r="D1882" s="3"/>
      <c r="E1882" s="3"/>
      <c r="F1882" s="5"/>
    </row>
    <row r="1883" spans="3:6" x14ac:dyDescent="0.25">
      <c r="C1883" s="3"/>
      <c r="D1883" s="3"/>
      <c r="E1883" s="3"/>
      <c r="F1883" s="5"/>
    </row>
    <row r="1884" spans="3:6" x14ac:dyDescent="0.25">
      <c r="C1884" s="3"/>
      <c r="D1884" s="3"/>
      <c r="E1884" s="3"/>
      <c r="F1884" s="5"/>
    </row>
    <row r="1885" spans="3:6" x14ac:dyDescent="0.25">
      <c r="C1885" s="3"/>
      <c r="D1885" s="3"/>
      <c r="E1885" s="3"/>
      <c r="F1885" s="5"/>
    </row>
    <row r="1886" spans="3:6" x14ac:dyDescent="0.25">
      <c r="C1886" s="3"/>
      <c r="D1886" s="3"/>
      <c r="E1886" s="3"/>
      <c r="F1886" s="5"/>
    </row>
    <row r="1887" spans="3:6" x14ac:dyDescent="0.25">
      <c r="C1887" s="3"/>
      <c r="D1887" s="3"/>
      <c r="E1887" s="3"/>
      <c r="F1887" s="5"/>
    </row>
    <row r="1888" spans="3:6" x14ac:dyDescent="0.25">
      <c r="C1888" s="3"/>
      <c r="D1888" s="3"/>
      <c r="E1888" s="3"/>
      <c r="F1888" s="5"/>
    </row>
    <row r="1889" spans="3:6" x14ac:dyDescent="0.25">
      <c r="C1889" s="3"/>
      <c r="D1889" s="3"/>
      <c r="E1889" s="3"/>
      <c r="F1889" s="5"/>
    </row>
    <row r="1890" spans="3:6" x14ac:dyDescent="0.25">
      <c r="C1890" s="3"/>
      <c r="D1890" s="3"/>
      <c r="E1890" s="3"/>
      <c r="F1890" s="5"/>
    </row>
    <row r="1891" spans="3:6" x14ac:dyDescent="0.25">
      <c r="C1891" s="3"/>
      <c r="D1891" s="3"/>
      <c r="E1891" s="3"/>
      <c r="F1891" s="5"/>
    </row>
    <row r="1892" spans="3:6" x14ac:dyDescent="0.25">
      <c r="C1892" s="3"/>
      <c r="D1892" s="3"/>
      <c r="E1892" s="3"/>
      <c r="F1892" s="5"/>
    </row>
    <row r="1893" spans="3:6" x14ac:dyDescent="0.25">
      <c r="C1893" s="3"/>
      <c r="D1893" s="3"/>
      <c r="E1893" s="3"/>
      <c r="F1893" s="5"/>
    </row>
    <row r="1894" spans="3:6" x14ac:dyDescent="0.25">
      <c r="C1894" s="3"/>
      <c r="D1894" s="3"/>
      <c r="E1894" s="3"/>
      <c r="F1894" s="5"/>
    </row>
    <row r="1895" spans="3:6" x14ac:dyDescent="0.25">
      <c r="C1895" s="3"/>
      <c r="D1895" s="3"/>
      <c r="E1895" s="3"/>
      <c r="F1895" s="5"/>
    </row>
    <row r="1896" spans="3:6" x14ac:dyDescent="0.25">
      <c r="C1896" s="3"/>
      <c r="D1896" s="3"/>
      <c r="E1896" s="3"/>
      <c r="F1896" s="5"/>
    </row>
    <row r="1897" spans="3:6" x14ac:dyDescent="0.25">
      <c r="C1897" s="3"/>
      <c r="D1897" s="3"/>
      <c r="E1897" s="3"/>
      <c r="F1897" s="5"/>
    </row>
    <row r="1898" spans="3:6" x14ac:dyDescent="0.25">
      <c r="C1898" s="3"/>
      <c r="D1898" s="3"/>
      <c r="E1898" s="3"/>
      <c r="F1898" s="5"/>
    </row>
    <row r="1899" spans="3:6" x14ac:dyDescent="0.25">
      <c r="C1899" s="3"/>
      <c r="D1899" s="3"/>
      <c r="E1899" s="3"/>
      <c r="F1899" s="5"/>
    </row>
    <row r="1900" spans="3:6" x14ac:dyDescent="0.25">
      <c r="C1900" s="3"/>
      <c r="D1900" s="3"/>
      <c r="E1900" s="3"/>
      <c r="F1900" s="5"/>
    </row>
    <row r="1901" spans="3:6" x14ac:dyDescent="0.25">
      <c r="C1901" s="3"/>
      <c r="D1901" s="3"/>
      <c r="E1901" s="3"/>
      <c r="F1901" s="5"/>
    </row>
    <row r="1902" spans="3:6" x14ac:dyDescent="0.25">
      <c r="C1902" s="3"/>
      <c r="D1902" s="3"/>
      <c r="E1902" s="3"/>
      <c r="F1902" s="5"/>
    </row>
    <row r="1903" spans="3:6" x14ac:dyDescent="0.25">
      <c r="C1903" s="3"/>
      <c r="D1903" s="3"/>
      <c r="E1903" s="3"/>
      <c r="F1903" s="5"/>
    </row>
    <row r="1904" spans="3:6" x14ac:dyDescent="0.25">
      <c r="C1904" s="3"/>
      <c r="D1904" s="3"/>
      <c r="E1904" s="3"/>
      <c r="F1904" s="5"/>
    </row>
    <row r="1905" spans="3:6" x14ac:dyDescent="0.25">
      <c r="C1905" s="3"/>
      <c r="D1905" s="3"/>
      <c r="E1905" s="3"/>
      <c r="F1905" s="5"/>
    </row>
    <row r="1906" spans="3:6" x14ac:dyDescent="0.25">
      <c r="C1906" s="3"/>
      <c r="D1906" s="3"/>
      <c r="E1906" s="3"/>
      <c r="F1906" s="5"/>
    </row>
    <row r="1907" spans="3:6" x14ac:dyDescent="0.25">
      <c r="C1907" s="3"/>
      <c r="D1907" s="3"/>
      <c r="E1907" s="3"/>
      <c r="F1907" s="5"/>
    </row>
    <row r="1908" spans="3:6" x14ac:dyDescent="0.25">
      <c r="C1908" s="3"/>
      <c r="D1908" s="3"/>
      <c r="E1908" s="3"/>
      <c r="F1908" s="5"/>
    </row>
    <row r="1909" spans="3:6" x14ac:dyDescent="0.25">
      <c r="C1909" s="3"/>
      <c r="D1909" s="3"/>
      <c r="E1909" s="3"/>
      <c r="F1909" s="5"/>
    </row>
    <row r="1910" spans="3:6" x14ac:dyDescent="0.25">
      <c r="C1910" s="3"/>
      <c r="D1910" s="3"/>
      <c r="E1910" s="3"/>
      <c r="F1910" s="5"/>
    </row>
    <row r="1911" spans="3:6" x14ac:dyDescent="0.25">
      <c r="C1911" s="3"/>
      <c r="D1911" s="3"/>
      <c r="E1911" s="3"/>
      <c r="F1911" s="5"/>
    </row>
    <row r="1912" spans="3:6" x14ac:dyDescent="0.25">
      <c r="C1912" s="3"/>
      <c r="D1912" s="3"/>
      <c r="E1912" s="3"/>
      <c r="F1912" s="5"/>
    </row>
    <row r="1913" spans="3:6" x14ac:dyDescent="0.25">
      <c r="C1913" s="3"/>
      <c r="D1913" s="3"/>
      <c r="E1913" s="3"/>
      <c r="F1913" s="5"/>
    </row>
    <row r="1914" spans="3:6" x14ac:dyDescent="0.25">
      <c r="C1914" s="3"/>
      <c r="D1914" s="3"/>
      <c r="E1914" s="3"/>
      <c r="F1914" s="5"/>
    </row>
    <row r="1915" spans="3:6" x14ac:dyDescent="0.25">
      <c r="C1915" s="3"/>
      <c r="D1915" s="3"/>
      <c r="E1915" s="3"/>
      <c r="F1915" s="5"/>
    </row>
    <row r="1916" spans="3:6" x14ac:dyDescent="0.25">
      <c r="C1916" s="3"/>
      <c r="D1916" s="3"/>
      <c r="E1916" s="3"/>
      <c r="F1916" s="5"/>
    </row>
    <row r="1917" spans="3:6" x14ac:dyDescent="0.25">
      <c r="C1917" s="3"/>
      <c r="D1917" s="3"/>
      <c r="E1917" s="3"/>
      <c r="F1917" s="5"/>
    </row>
    <row r="1918" spans="3:6" x14ac:dyDescent="0.25">
      <c r="C1918" s="3"/>
      <c r="D1918" s="3"/>
      <c r="E1918" s="3"/>
      <c r="F1918" s="5"/>
    </row>
    <row r="1919" spans="3:6" x14ac:dyDescent="0.25">
      <c r="C1919" s="3"/>
      <c r="D1919" s="3"/>
      <c r="E1919" s="3"/>
      <c r="F1919" s="5"/>
    </row>
    <row r="1920" spans="3:6" x14ac:dyDescent="0.25">
      <c r="C1920" s="3"/>
      <c r="D1920" s="3"/>
      <c r="E1920" s="3"/>
      <c r="F1920" s="5"/>
    </row>
    <row r="1921" spans="3:6" x14ac:dyDescent="0.25">
      <c r="C1921" s="3"/>
      <c r="D1921" s="3"/>
      <c r="E1921" s="3"/>
      <c r="F1921" s="5"/>
    </row>
    <row r="1922" spans="3:6" x14ac:dyDescent="0.25">
      <c r="C1922" s="3"/>
      <c r="D1922" s="3"/>
      <c r="E1922" s="3"/>
      <c r="F1922" s="5"/>
    </row>
    <row r="1923" spans="3:6" x14ac:dyDescent="0.25">
      <c r="C1923" s="3"/>
      <c r="D1923" s="3"/>
      <c r="E1923" s="3"/>
      <c r="F1923" s="5"/>
    </row>
    <row r="1924" spans="3:6" x14ac:dyDescent="0.25">
      <c r="C1924" s="3"/>
      <c r="D1924" s="3"/>
      <c r="E1924" s="3"/>
      <c r="F1924" s="5"/>
    </row>
    <row r="1925" spans="3:6" x14ac:dyDescent="0.25">
      <c r="C1925" s="3"/>
      <c r="D1925" s="3"/>
      <c r="E1925" s="3"/>
      <c r="F1925" s="5"/>
    </row>
    <row r="1926" spans="3:6" x14ac:dyDescent="0.25">
      <c r="C1926" s="3"/>
      <c r="D1926" s="3"/>
      <c r="E1926" s="3"/>
      <c r="F1926" s="5"/>
    </row>
    <row r="1927" spans="3:6" x14ac:dyDescent="0.25">
      <c r="C1927" s="3"/>
      <c r="D1927" s="3"/>
      <c r="E1927" s="3"/>
      <c r="F1927" s="5"/>
    </row>
    <row r="1928" spans="3:6" x14ac:dyDescent="0.25">
      <c r="C1928" s="3"/>
      <c r="D1928" s="3"/>
      <c r="E1928" s="3"/>
      <c r="F1928" s="5"/>
    </row>
    <row r="1929" spans="3:6" x14ac:dyDescent="0.25">
      <c r="C1929" s="3"/>
      <c r="D1929" s="3"/>
      <c r="E1929" s="3"/>
      <c r="F1929" s="5"/>
    </row>
    <row r="1930" spans="3:6" x14ac:dyDescent="0.25">
      <c r="C1930" s="3"/>
      <c r="D1930" s="3"/>
      <c r="E1930" s="3"/>
      <c r="F1930" s="5"/>
    </row>
    <row r="1931" spans="3:6" x14ac:dyDescent="0.25">
      <c r="C1931" s="3"/>
      <c r="D1931" s="3"/>
      <c r="E1931" s="3"/>
      <c r="F1931" s="5"/>
    </row>
    <row r="1932" spans="3:6" x14ac:dyDescent="0.25">
      <c r="C1932" s="3"/>
      <c r="D1932" s="3"/>
      <c r="E1932" s="3"/>
      <c r="F1932" s="5"/>
    </row>
    <row r="1933" spans="3:6" x14ac:dyDescent="0.25">
      <c r="C1933" s="3"/>
      <c r="D1933" s="3"/>
      <c r="E1933" s="3"/>
      <c r="F1933" s="5"/>
    </row>
    <row r="1934" spans="3:6" x14ac:dyDescent="0.25">
      <c r="C1934" s="3"/>
      <c r="D1934" s="3"/>
      <c r="E1934" s="3"/>
      <c r="F1934" s="5"/>
    </row>
    <row r="1935" spans="3:6" x14ac:dyDescent="0.25">
      <c r="C1935" s="3"/>
      <c r="D1935" s="3"/>
      <c r="E1935" s="3"/>
      <c r="F1935" s="5"/>
    </row>
    <row r="1936" spans="3:6" x14ac:dyDescent="0.25">
      <c r="C1936" s="3"/>
      <c r="D1936" s="3"/>
      <c r="E1936" s="3"/>
      <c r="F1936" s="5"/>
    </row>
    <row r="1937" spans="3:6" x14ac:dyDescent="0.25">
      <c r="C1937" s="3"/>
      <c r="D1937" s="3"/>
      <c r="E1937" s="3"/>
      <c r="F1937" s="5"/>
    </row>
    <row r="1938" spans="3:6" x14ac:dyDescent="0.25">
      <c r="C1938" s="3"/>
      <c r="D1938" s="3"/>
      <c r="E1938" s="3"/>
      <c r="F1938" s="5"/>
    </row>
    <row r="1939" spans="3:6" x14ac:dyDescent="0.25">
      <c r="C1939" s="3"/>
      <c r="D1939" s="3"/>
      <c r="E1939" s="3"/>
      <c r="F1939" s="5"/>
    </row>
    <row r="1940" spans="3:6" x14ac:dyDescent="0.25">
      <c r="C1940" s="3"/>
      <c r="D1940" s="3"/>
      <c r="E1940" s="3"/>
      <c r="F1940" s="5"/>
    </row>
    <row r="1941" spans="3:6" x14ac:dyDescent="0.25">
      <c r="C1941" s="3"/>
      <c r="D1941" s="3"/>
      <c r="E1941" s="3"/>
      <c r="F1941" s="5"/>
    </row>
    <row r="1942" spans="3:6" x14ac:dyDescent="0.25">
      <c r="C1942" s="3"/>
      <c r="D1942" s="3"/>
      <c r="E1942" s="3"/>
      <c r="F1942" s="5"/>
    </row>
    <row r="1943" spans="3:6" x14ac:dyDescent="0.25">
      <c r="C1943" s="3"/>
      <c r="D1943" s="3"/>
      <c r="E1943" s="3"/>
      <c r="F1943" s="5"/>
    </row>
    <row r="1944" spans="3:6" x14ac:dyDescent="0.25">
      <c r="C1944" s="3"/>
      <c r="D1944" s="3"/>
      <c r="E1944" s="3"/>
      <c r="F1944" s="5"/>
    </row>
    <row r="1945" spans="3:6" x14ac:dyDescent="0.25">
      <c r="C1945" s="3"/>
      <c r="D1945" s="3"/>
      <c r="E1945" s="3"/>
      <c r="F1945" s="5"/>
    </row>
    <row r="1946" spans="3:6" x14ac:dyDescent="0.25">
      <c r="C1946" s="3"/>
      <c r="D1946" s="3"/>
      <c r="E1946" s="3"/>
      <c r="F1946" s="5"/>
    </row>
    <row r="1947" spans="3:6" x14ac:dyDescent="0.25">
      <c r="C1947" s="3"/>
      <c r="D1947" s="3"/>
      <c r="E1947" s="3"/>
      <c r="F1947" s="5"/>
    </row>
    <row r="1948" spans="3:6" x14ac:dyDescent="0.25">
      <c r="C1948" s="3"/>
      <c r="D1948" s="3"/>
      <c r="E1948" s="3"/>
      <c r="F1948" s="5"/>
    </row>
    <row r="1949" spans="3:6" x14ac:dyDescent="0.25">
      <c r="C1949" s="3"/>
      <c r="D1949" s="3"/>
      <c r="E1949" s="3"/>
      <c r="F1949" s="5"/>
    </row>
    <row r="1950" spans="3:6" x14ac:dyDescent="0.25">
      <c r="C1950" s="3"/>
      <c r="D1950" s="3"/>
      <c r="E1950" s="3"/>
      <c r="F1950" s="5"/>
    </row>
    <row r="1951" spans="3:6" x14ac:dyDescent="0.25">
      <c r="C1951" s="3"/>
      <c r="D1951" s="3"/>
      <c r="E1951" s="3"/>
      <c r="F1951" s="5"/>
    </row>
    <row r="1952" spans="3:6" x14ac:dyDescent="0.25">
      <c r="C1952" s="3"/>
      <c r="D1952" s="3"/>
      <c r="E1952" s="3"/>
      <c r="F1952" s="5"/>
    </row>
    <row r="1953" spans="3:6" x14ac:dyDescent="0.25">
      <c r="C1953" s="3"/>
      <c r="D1953" s="3"/>
      <c r="E1953" s="3"/>
      <c r="F1953" s="5"/>
    </row>
    <row r="1954" spans="3:6" x14ac:dyDescent="0.25">
      <c r="C1954" s="3"/>
      <c r="D1954" s="3"/>
      <c r="E1954" s="3"/>
      <c r="F1954" s="5"/>
    </row>
    <row r="1955" spans="3:6" x14ac:dyDescent="0.25">
      <c r="C1955" s="3"/>
      <c r="D1955" s="3"/>
      <c r="E1955" s="3"/>
      <c r="F1955" s="5"/>
    </row>
    <row r="1956" spans="3:6" x14ac:dyDescent="0.25">
      <c r="C1956" s="3"/>
      <c r="D1956" s="3"/>
      <c r="E1956" s="3"/>
      <c r="F1956" s="5"/>
    </row>
    <row r="1957" spans="3:6" x14ac:dyDescent="0.25">
      <c r="C1957" s="3"/>
      <c r="D1957" s="3"/>
      <c r="E1957" s="3"/>
      <c r="F1957" s="5"/>
    </row>
    <row r="1958" spans="3:6" x14ac:dyDescent="0.25">
      <c r="C1958" s="3"/>
      <c r="D1958" s="3"/>
      <c r="E1958" s="3"/>
      <c r="F1958" s="5"/>
    </row>
    <row r="1959" spans="3:6" x14ac:dyDescent="0.25">
      <c r="C1959" s="3"/>
      <c r="D1959" s="3"/>
      <c r="E1959" s="3"/>
      <c r="F1959" s="5"/>
    </row>
    <row r="1960" spans="3:6" x14ac:dyDescent="0.25">
      <c r="C1960" s="3"/>
      <c r="D1960" s="3"/>
      <c r="E1960" s="3"/>
      <c r="F1960" s="5"/>
    </row>
    <row r="1961" spans="3:6" x14ac:dyDescent="0.25">
      <c r="C1961" s="3"/>
      <c r="D1961" s="3"/>
      <c r="E1961" s="3"/>
      <c r="F1961" s="5"/>
    </row>
    <row r="1962" spans="3:6" x14ac:dyDescent="0.25">
      <c r="C1962" s="3"/>
      <c r="D1962" s="3"/>
      <c r="E1962" s="3"/>
      <c r="F1962" s="5"/>
    </row>
    <row r="1963" spans="3:6" x14ac:dyDescent="0.25">
      <c r="C1963" s="3"/>
      <c r="D1963" s="3"/>
      <c r="E1963" s="3"/>
      <c r="F1963" s="5"/>
    </row>
    <row r="1964" spans="3:6" x14ac:dyDescent="0.25">
      <c r="C1964" s="3"/>
      <c r="D1964" s="3"/>
      <c r="E1964" s="3"/>
      <c r="F1964" s="5"/>
    </row>
    <row r="1965" spans="3:6" x14ac:dyDescent="0.25">
      <c r="C1965" s="3"/>
      <c r="D1965" s="3"/>
      <c r="E1965" s="3"/>
      <c r="F1965" s="5"/>
    </row>
    <row r="1966" spans="3:6" x14ac:dyDescent="0.25">
      <c r="C1966" s="3"/>
      <c r="D1966" s="3"/>
      <c r="E1966" s="3"/>
      <c r="F1966" s="5"/>
    </row>
    <row r="1967" spans="3:6" x14ac:dyDescent="0.25">
      <c r="C1967" s="3"/>
      <c r="D1967" s="3"/>
      <c r="E1967" s="3"/>
      <c r="F1967" s="5"/>
    </row>
    <row r="1968" spans="3:6" x14ac:dyDescent="0.25">
      <c r="C1968" s="3"/>
      <c r="D1968" s="3"/>
      <c r="E1968" s="3"/>
      <c r="F1968" s="5"/>
    </row>
    <row r="1969" spans="3:6" x14ac:dyDescent="0.25">
      <c r="C1969" s="3"/>
      <c r="D1969" s="3"/>
      <c r="E1969" s="3"/>
      <c r="F1969" s="5"/>
    </row>
    <row r="1970" spans="3:6" x14ac:dyDescent="0.25">
      <c r="C1970" s="3"/>
      <c r="D1970" s="3"/>
      <c r="E1970" s="3"/>
      <c r="F1970" s="5"/>
    </row>
    <row r="1971" spans="3:6" x14ac:dyDescent="0.25">
      <c r="C1971" s="3"/>
      <c r="D1971" s="3"/>
      <c r="E1971" s="3"/>
      <c r="F1971" s="5"/>
    </row>
    <row r="1972" spans="3:6" x14ac:dyDescent="0.25">
      <c r="C1972" s="3"/>
      <c r="D1972" s="3"/>
      <c r="E1972" s="3"/>
      <c r="F1972" s="5"/>
    </row>
    <row r="1973" spans="3:6" x14ac:dyDescent="0.25">
      <c r="C1973" s="3"/>
      <c r="D1973" s="3"/>
      <c r="E1973" s="3"/>
      <c r="F1973" s="5"/>
    </row>
    <row r="1974" spans="3:6" x14ac:dyDescent="0.25">
      <c r="C1974" s="3"/>
      <c r="D1974" s="3"/>
      <c r="E1974" s="3"/>
      <c r="F1974" s="5"/>
    </row>
    <row r="1975" spans="3:6" x14ac:dyDescent="0.25">
      <c r="C1975" s="3"/>
      <c r="D1975" s="3"/>
      <c r="E1975" s="3"/>
      <c r="F1975" s="5"/>
    </row>
    <row r="1976" spans="3:6" x14ac:dyDescent="0.25">
      <c r="C1976" s="3"/>
      <c r="D1976" s="3"/>
      <c r="E1976" s="3"/>
      <c r="F1976" s="5"/>
    </row>
    <row r="1977" spans="3:6" x14ac:dyDescent="0.25">
      <c r="C1977" s="3"/>
      <c r="D1977" s="3"/>
      <c r="E1977" s="3"/>
      <c r="F1977" s="5"/>
    </row>
    <row r="1978" spans="3:6" x14ac:dyDescent="0.25">
      <c r="C1978" s="3"/>
      <c r="D1978" s="3"/>
      <c r="E1978" s="3"/>
      <c r="F1978" s="5"/>
    </row>
    <row r="1979" spans="3:6" x14ac:dyDescent="0.25">
      <c r="C1979" s="3"/>
      <c r="D1979" s="3"/>
      <c r="E1979" s="3"/>
      <c r="F1979" s="5"/>
    </row>
    <row r="1980" spans="3:6" x14ac:dyDescent="0.25">
      <c r="C1980" s="3"/>
      <c r="D1980" s="3"/>
      <c r="E1980" s="3"/>
      <c r="F1980" s="5"/>
    </row>
    <row r="1981" spans="3:6" x14ac:dyDescent="0.25">
      <c r="C1981" s="3"/>
      <c r="D1981" s="3"/>
      <c r="E1981" s="3"/>
      <c r="F1981" s="5"/>
    </row>
    <row r="1982" spans="3:6" x14ac:dyDescent="0.25">
      <c r="C1982" s="3"/>
      <c r="D1982" s="3"/>
      <c r="E1982" s="3"/>
      <c r="F1982" s="5"/>
    </row>
    <row r="1983" spans="3:6" x14ac:dyDescent="0.25">
      <c r="C1983" s="3"/>
      <c r="D1983" s="3"/>
      <c r="E1983" s="3"/>
      <c r="F1983" s="5"/>
    </row>
    <row r="1984" spans="3:6" x14ac:dyDescent="0.25">
      <c r="C1984" s="3"/>
      <c r="D1984" s="3"/>
      <c r="E1984" s="3"/>
      <c r="F1984" s="5"/>
    </row>
    <row r="1985" spans="3:6" x14ac:dyDescent="0.25">
      <c r="C1985" s="3"/>
      <c r="D1985" s="3"/>
      <c r="E1985" s="3"/>
      <c r="F1985" s="5"/>
    </row>
    <row r="1986" spans="3:6" x14ac:dyDescent="0.25">
      <c r="C1986" s="3"/>
      <c r="D1986" s="3"/>
      <c r="E1986" s="3"/>
      <c r="F1986" s="5"/>
    </row>
    <row r="1987" spans="3:6" x14ac:dyDescent="0.25">
      <c r="C1987" s="3"/>
      <c r="D1987" s="3"/>
      <c r="E1987" s="3"/>
      <c r="F1987" s="5"/>
    </row>
    <row r="1988" spans="3:6" x14ac:dyDescent="0.25">
      <c r="C1988" s="3"/>
      <c r="D1988" s="3"/>
      <c r="E1988" s="3"/>
      <c r="F1988" s="5"/>
    </row>
    <row r="1989" spans="3:6" x14ac:dyDescent="0.25">
      <c r="C1989" s="3"/>
      <c r="D1989" s="3"/>
      <c r="E1989" s="3"/>
      <c r="F1989" s="5"/>
    </row>
    <row r="1990" spans="3:6" x14ac:dyDescent="0.25">
      <c r="C1990" s="3"/>
      <c r="D1990" s="3"/>
      <c r="E1990" s="3"/>
      <c r="F1990" s="5"/>
    </row>
    <row r="1991" spans="3:6" x14ac:dyDescent="0.25">
      <c r="C1991" s="3"/>
      <c r="D1991" s="3"/>
      <c r="E1991" s="3"/>
      <c r="F1991" s="5"/>
    </row>
    <row r="1992" spans="3:6" x14ac:dyDescent="0.25">
      <c r="C1992" s="3"/>
      <c r="D1992" s="3"/>
      <c r="E1992" s="3"/>
      <c r="F1992" s="5"/>
    </row>
    <row r="1993" spans="3:6" x14ac:dyDescent="0.25">
      <c r="C1993" s="3"/>
      <c r="D1993" s="3"/>
      <c r="E1993" s="3"/>
      <c r="F1993" s="5"/>
    </row>
    <row r="1994" spans="3:6" x14ac:dyDescent="0.25">
      <c r="C1994" s="3"/>
      <c r="D1994" s="3"/>
      <c r="E1994" s="3"/>
      <c r="F1994" s="5"/>
    </row>
    <row r="1995" spans="3:6" x14ac:dyDescent="0.25">
      <c r="C1995" s="3"/>
      <c r="D1995" s="3"/>
      <c r="E1995" s="3"/>
      <c r="F1995" s="5"/>
    </row>
    <row r="1996" spans="3:6" x14ac:dyDescent="0.25">
      <c r="C1996" s="3"/>
      <c r="D1996" s="3"/>
      <c r="E1996" s="3"/>
      <c r="F1996" s="5"/>
    </row>
    <row r="1997" spans="3:6" x14ac:dyDescent="0.25">
      <c r="C1997" s="3"/>
      <c r="D1997" s="3"/>
      <c r="E1997" s="3"/>
      <c r="F1997" s="5"/>
    </row>
    <row r="1998" spans="3:6" x14ac:dyDescent="0.25">
      <c r="C1998" s="3"/>
      <c r="D1998" s="3"/>
      <c r="E1998" s="3"/>
      <c r="F1998" s="5"/>
    </row>
    <row r="1999" spans="3:6" x14ac:dyDescent="0.25">
      <c r="C1999" s="3"/>
      <c r="D1999" s="3"/>
      <c r="E1999" s="3"/>
      <c r="F1999" s="5"/>
    </row>
    <row r="2000" spans="3:6" x14ac:dyDescent="0.25">
      <c r="C2000" s="3"/>
      <c r="D2000" s="3"/>
      <c r="E2000" s="3"/>
      <c r="F2000" s="5"/>
    </row>
    <row r="2001" spans="3:6" x14ac:dyDescent="0.25">
      <c r="C2001" s="3"/>
      <c r="D2001" s="3"/>
      <c r="E2001" s="3"/>
      <c r="F2001" s="5"/>
    </row>
    <row r="2002" spans="3:6" x14ac:dyDescent="0.25">
      <c r="C2002" s="3"/>
      <c r="D2002" s="3"/>
      <c r="E2002" s="3"/>
      <c r="F2002" s="5"/>
    </row>
    <row r="2003" spans="3:6" x14ac:dyDescent="0.25">
      <c r="C2003" s="3"/>
      <c r="D2003" s="3"/>
      <c r="E2003" s="3"/>
      <c r="F2003" s="5"/>
    </row>
    <row r="2004" spans="3:6" x14ac:dyDescent="0.25">
      <c r="C2004" s="3"/>
      <c r="D2004" s="3"/>
      <c r="E2004" s="3"/>
      <c r="F2004" s="5"/>
    </row>
    <row r="2005" spans="3:6" x14ac:dyDescent="0.25">
      <c r="C2005" s="3"/>
      <c r="D2005" s="3"/>
      <c r="E2005" s="3"/>
      <c r="F2005" s="5"/>
    </row>
    <row r="2006" spans="3:6" x14ac:dyDescent="0.25">
      <c r="C2006" s="3"/>
      <c r="D2006" s="3"/>
      <c r="E2006" s="3"/>
      <c r="F2006" s="5"/>
    </row>
    <row r="2007" spans="3:6" x14ac:dyDescent="0.25">
      <c r="C2007" s="3"/>
      <c r="D2007" s="3"/>
      <c r="E2007" s="3"/>
      <c r="F2007" s="5"/>
    </row>
    <row r="2008" spans="3:6" x14ac:dyDescent="0.25">
      <c r="C2008" s="3"/>
      <c r="D2008" s="3"/>
      <c r="E2008" s="3"/>
      <c r="F2008" s="5"/>
    </row>
    <row r="2009" spans="3:6" x14ac:dyDescent="0.25">
      <c r="C2009" s="3"/>
      <c r="D2009" s="3"/>
      <c r="E2009" s="3"/>
      <c r="F2009" s="5"/>
    </row>
    <row r="2010" spans="3:6" x14ac:dyDescent="0.25">
      <c r="C2010" s="3"/>
      <c r="D2010" s="3"/>
      <c r="E2010" s="3"/>
      <c r="F2010" s="5"/>
    </row>
    <row r="2011" spans="3:6" x14ac:dyDescent="0.25">
      <c r="C2011" s="3"/>
      <c r="D2011" s="3"/>
      <c r="E2011" s="3"/>
      <c r="F2011" s="5"/>
    </row>
    <row r="2012" spans="3:6" x14ac:dyDescent="0.25">
      <c r="C2012" s="3"/>
      <c r="D2012" s="3"/>
      <c r="E2012" s="3"/>
      <c r="F2012" s="5"/>
    </row>
    <row r="2013" spans="3:6" x14ac:dyDescent="0.25">
      <c r="C2013" s="3"/>
      <c r="D2013" s="3"/>
      <c r="E2013" s="3"/>
      <c r="F2013" s="5"/>
    </row>
    <row r="2014" spans="3:6" x14ac:dyDescent="0.25">
      <c r="C2014" s="3"/>
      <c r="D2014" s="3"/>
      <c r="E2014" s="3"/>
      <c r="F2014" s="5"/>
    </row>
    <row r="2015" spans="3:6" x14ac:dyDescent="0.25">
      <c r="C2015" s="3"/>
      <c r="D2015" s="3"/>
      <c r="E2015" s="3"/>
      <c r="F2015" s="5"/>
    </row>
    <row r="2016" spans="3:6" x14ac:dyDescent="0.25">
      <c r="C2016" s="3"/>
      <c r="D2016" s="3"/>
      <c r="E2016" s="3"/>
      <c r="F2016" s="5"/>
    </row>
    <row r="2017" spans="3:6" x14ac:dyDescent="0.25">
      <c r="C2017" s="3"/>
      <c r="D2017" s="3"/>
      <c r="E2017" s="3"/>
      <c r="F2017" s="5"/>
    </row>
    <row r="2018" spans="3:6" x14ac:dyDescent="0.25">
      <c r="C2018" s="3"/>
      <c r="D2018" s="3"/>
      <c r="E2018" s="3"/>
      <c r="F2018" s="5"/>
    </row>
    <row r="2019" spans="3:6" x14ac:dyDescent="0.25">
      <c r="C2019" s="3"/>
      <c r="D2019" s="3"/>
      <c r="E2019" s="3"/>
      <c r="F2019" s="5"/>
    </row>
    <row r="2020" spans="3:6" x14ac:dyDescent="0.25">
      <c r="C2020" s="3"/>
      <c r="D2020" s="3"/>
      <c r="E2020" s="3"/>
      <c r="F2020" s="5"/>
    </row>
    <row r="2021" spans="3:6" x14ac:dyDescent="0.25">
      <c r="C2021" s="3"/>
      <c r="D2021" s="3"/>
      <c r="E2021" s="3"/>
      <c r="F2021" s="5"/>
    </row>
    <row r="2022" spans="3:6" x14ac:dyDescent="0.25">
      <c r="C2022" s="3"/>
      <c r="D2022" s="3"/>
      <c r="E2022" s="3"/>
      <c r="F2022" s="5"/>
    </row>
    <row r="2023" spans="3:6" x14ac:dyDescent="0.25">
      <c r="C2023" s="3"/>
      <c r="D2023" s="3"/>
      <c r="E2023" s="3"/>
      <c r="F2023" s="5"/>
    </row>
    <row r="2024" spans="3:6" x14ac:dyDescent="0.25">
      <c r="C2024" s="3"/>
      <c r="D2024" s="3"/>
      <c r="E2024" s="3"/>
      <c r="F2024" s="5"/>
    </row>
    <row r="2025" spans="3:6" x14ac:dyDescent="0.25">
      <c r="C2025" s="3"/>
      <c r="D2025" s="3"/>
      <c r="E2025" s="3"/>
      <c r="F2025" s="5"/>
    </row>
    <row r="2026" spans="3:6" x14ac:dyDescent="0.25">
      <c r="C2026" s="3"/>
      <c r="D2026" s="3"/>
      <c r="E2026" s="3"/>
      <c r="F2026" s="5"/>
    </row>
    <row r="2027" spans="3:6" x14ac:dyDescent="0.25">
      <c r="C2027" s="3"/>
      <c r="D2027" s="3"/>
      <c r="E2027" s="3"/>
      <c r="F2027" s="5"/>
    </row>
    <row r="2028" spans="3:6" x14ac:dyDescent="0.25">
      <c r="C2028" s="3"/>
      <c r="D2028" s="3"/>
      <c r="E2028" s="3"/>
      <c r="F2028" s="5"/>
    </row>
    <row r="2029" spans="3:6" x14ac:dyDescent="0.25">
      <c r="C2029" s="3"/>
      <c r="D2029" s="3"/>
      <c r="E2029" s="3"/>
      <c r="F2029" s="5"/>
    </row>
    <row r="2030" spans="3:6" x14ac:dyDescent="0.25">
      <c r="C2030" s="3"/>
      <c r="D2030" s="3"/>
      <c r="E2030" s="3"/>
      <c r="F2030" s="5"/>
    </row>
    <row r="2031" spans="3:6" x14ac:dyDescent="0.25">
      <c r="C2031" s="3"/>
      <c r="D2031" s="3"/>
      <c r="E2031" s="3"/>
      <c r="F2031" s="5"/>
    </row>
    <row r="2032" spans="3:6" x14ac:dyDescent="0.25">
      <c r="C2032" s="3"/>
      <c r="D2032" s="3"/>
      <c r="E2032" s="3"/>
      <c r="F2032" s="5"/>
    </row>
    <row r="2033" spans="3:6" x14ac:dyDescent="0.25">
      <c r="C2033" s="3"/>
      <c r="D2033" s="3"/>
      <c r="E2033" s="3"/>
      <c r="F2033" s="5"/>
    </row>
    <row r="2034" spans="3:6" x14ac:dyDescent="0.25">
      <c r="C2034" s="3"/>
      <c r="D2034" s="3"/>
      <c r="E2034" s="3"/>
      <c r="F2034" s="5"/>
    </row>
    <row r="2035" spans="3:6" x14ac:dyDescent="0.25">
      <c r="C2035" s="3"/>
      <c r="D2035" s="3"/>
      <c r="E2035" s="3"/>
      <c r="F2035" s="5"/>
    </row>
    <row r="2036" spans="3:6" x14ac:dyDescent="0.25">
      <c r="C2036" s="3"/>
      <c r="D2036" s="3"/>
      <c r="E2036" s="3"/>
      <c r="F2036" s="5"/>
    </row>
    <row r="2037" spans="3:6" x14ac:dyDescent="0.25">
      <c r="C2037" s="3"/>
      <c r="D2037" s="3"/>
      <c r="E2037" s="3"/>
      <c r="F2037" s="5"/>
    </row>
    <row r="2038" spans="3:6" x14ac:dyDescent="0.25">
      <c r="C2038" s="3"/>
      <c r="D2038" s="3"/>
      <c r="E2038" s="3"/>
      <c r="F2038" s="5"/>
    </row>
    <row r="2039" spans="3:6" x14ac:dyDescent="0.25">
      <c r="C2039" s="3"/>
      <c r="D2039" s="3"/>
      <c r="E2039" s="3"/>
      <c r="F2039" s="5"/>
    </row>
    <row r="2040" spans="3:6" x14ac:dyDescent="0.25">
      <c r="C2040" s="3"/>
      <c r="D2040" s="3"/>
      <c r="E2040" s="3"/>
      <c r="F2040" s="5"/>
    </row>
    <row r="2041" spans="3:6" x14ac:dyDescent="0.25">
      <c r="C2041" s="3"/>
      <c r="D2041" s="3"/>
      <c r="E2041" s="3"/>
      <c r="F2041" s="5"/>
    </row>
    <row r="2042" spans="3:6" x14ac:dyDescent="0.25">
      <c r="C2042" s="3"/>
      <c r="D2042" s="3"/>
      <c r="E2042" s="3"/>
      <c r="F2042" s="5"/>
    </row>
    <row r="2043" spans="3:6" x14ac:dyDescent="0.25">
      <c r="C2043" s="3"/>
      <c r="D2043" s="3"/>
      <c r="E2043" s="3"/>
      <c r="F2043" s="5"/>
    </row>
    <row r="2044" spans="3:6" x14ac:dyDescent="0.25">
      <c r="C2044" s="3"/>
      <c r="D2044" s="3"/>
      <c r="E2044" s="3"/>
      <c r="F2044" s="5"/>
    </row>
    <row r="2045" spans="3:6" x14ac:dyDescent="0.25">
      <c r="C2045" s="3"/>
      <c r="D2045" s="3"/>
      <c r="E2045" s="3"/>
      <c r="F2045" s="5"/>
    </row>
    <row r="2046" spans="3:6" x14ac:dyDescent="0.25">
      <c r="C2046" s="3"/>
      <c r="D2046" s="3"/>
      <c r="E2046" s="3"/>
      <c r="F2046" s="5"/>
    </row>
    <row r="2047" spans="3:6" x14ac:dyDescent="0.25">
      <c r="C2047" s="3"/>
      <c r="D2047" s="3"/>
      <c r="E2047" s="3"/>
      <c r="F2047" s="5"/>
    </row>
    <row r="2048" spans="3:6" x14ac:dyDescent="0.25">
      <c r="C2048" s="3"/>
      <c r="D2048" s="3"/>
      <c r="E2048" s="3"/>
      <c r="F2048" s="5"/>
    </row>
    <row r="2049" spans="3:6" x14ac:dyDescent="0.25">
      <c r="C2049" s="3"/>
      <c r="D2049" s="3"/>
      <c r="E2049" s="3"/>
      <c r="F2049" s="5"/>
    </row>
    <row r="2050" spans="3:6" x14ac:dyDescent="0.25">
      <c r="C2050" s="3"/>
      <c r="D2050" s="3"/>
      <c r="E2050" s="3"/>
      <c r="F2050" s="5"/>
    </row>
    <row r="2051" spans="3:6" x14ac:dyDescent="0.25">
      <c r="C2051" s="3"/>
      <c r="D2051" s="3"/>
      <c r="E2051" s="3"/>
      <c r="F2051" s="5"/>
    </row>
    <row r="2052" spans="3:6" x14ac:dyDescent="0.25">
      <c r="C2052" s="3"/>
      <c r="D2052" s="3"/>
      <c r="E2052" s="3"/>
      <c r="F2052" s="5"/>
    </row>
    <row r="2053" spans="3:6" x14ac:dyDescent="0.25">
      <c r="C2053" s="3"/>
      <c r="D2053" s="3"/>
      <c r="E2053" s="3"/>
      <c r="F2053" s="5"/>
    </row>
    <row r="2054" spans="3:6" x14ac:dyDescent="0.25">
      <c r="C2054" s="3"/>
      <c r="D2054" s="3"/>
      <c r="E2054" s="3"/>
      <c r="F2054" s="5"/>
    </row>
    <row r="2055" spans="3:6" x14ac:dyDescent="0.25">
      <c r="C2055" s="3"/>
      <c r="D2055" s="3"/>
      <c r="E2055" s="3"/>
      <c r="F2055" s="5"/>
    </row>
    <row r="2056" spans="3:6" x14ac:dyDescent="0.25">
      <c r="C2056" s="3"/>
      <c r="D2056" s="3"/>
      <c r="E2056" s="3"/>
      <c r="F2056" s="5"/>
    </row>
    <row r="2057" spans="3:6" x14ac:dyDescent="0.25">
      <c r="C2057" s="3"/>
      <c r="D2057" s="3"/>
      <c r="E2057" s="3"/>
      <c r="F2057" s="5"/>
    </row>
    <row r="2058" spans="3:6" x14ac:dyDescent="0.25">
      <c r="C2058" s="3"/>
      <c r="D2058" s="3"/>
      <c r="E2058" s="3"/>
      <c r="F2058" s="5"/>
    </row>
    <row r="2059" spans="3:6" x14ac:dyDescent="0.25">
      <c r="C2059" s="3"/>
      <c r="D2059" s="3"/>
      <c r="E2059" s="3"/>
      <c r="F2059" s="5"/>
    </row>
    <row r="2060" spans="3:6" x14ac:dyDescent="0.25">
      <c r="C2060" s="3"/>
      <c r="D2060" s="3"/>
      <c r="E2060" s="3"/>
      <c r="F2060" s="5"/>
    </row>
    <row r="2061" spans="3:6" x14ac:dyDescent="0.25">
      <c r="C2061" s="3"/>
      <c r="D2061" s="3"/>
      <c r="E2061" s="3"/>
      <c r="F2061" s="5"/>
    </row>
    <row r="2062" spans="3:6" x14ac:dyDescent="0.25">
      <c r="C2062" s="3"/>
      <c r="D2062" s="3"/>
      <c r="E2062" s="3"/>
      <c r="F2062" s="5"/>
    </row>
    <row r="2063" spans="3:6" x14ac:dyDescent="0.25">
      <c r="C2063" s="3"/>
      <c r="D2063" s="3"/>
      <c r="E2063" s="3"/>
      <c r="F2063" s="5"/>
    </row>
    <row r="2064" spans="3:6" x14ac:dyDescent="0.25">
      <c r="C2064" s="3"/>
      <c r="D2064" s="3"/>
      <c r="E2064" s="3"/>
      <c r="F2064" s="5"/>
    </row>
    <row r="2065" spans="3:6" x14ac:dyDescent="0.25">
      <c r="C2065" s="3"/>
      <c r="D2065" s="3"/>
      <c r="E2065" s="3"/>
      <c r="F2065" s="5"/>
    </row>
    <row r="2066" spans="3:6" x14ac:dyDescent="0.25">
      <c r="C2066" s="3"/>
      <c r="D2066" s="3"/>
      <c r="E2066" s="3"/>
      <c r="F2066" s="5"/>
    </row>
    <row r="2067" spans="3:6" x14ac:dyDescent="0.25">
      <c r="C2067" s="3"/>
      <c r="D2067" s="3"/>
      <c r="E2067" s="3"/>
      <c r="F2067" s="5"/>
    </row>
    <row r="2068" spans="3:6" x14ac:dyDescent="0.25">
      <c r="C2068" s="3"/>
      <c r="D2068" s="3"/>
      <c r="E2068" s="3"/>
      <c r="F2068" s="5"/>
    </row>
    <row r="2069" spans="3:6" x14ac:dyDescent="0.25">
      <c r="C2069" s="3"/>
      <c r="D2069" s="3"/>
      <c r="E2069" s="3"/>
      <c r="F2069" s="5"/>
    </row>
    <row r="2070" spans="3:6" x14ac:dyDescent="0.25">
      <c r="C2070" s="3"/>
      <c r="D2070" s="3"/>
      <c r="E2070" s="3"/>
      <c r="F2070" s="5"/>
    </row>
    <row r="2071" spans="3:6" x14ac:dyDescent="0.25">
      <c r="C2071" s="3"/>
      <c r="D2071" s="3"/>
      <c r="E2071" s="3"/>
      <c r="F2071" s="5"/>
    </row>
    <row r="2072" spans="3:6" x14ac:dyDescent="0.25">
      <c r="C2072" s="3"/>
      <c r="D2072" s="3"/>
      <c r="E2072" s="3"/>
      <c r="F2072" s="5"/>
    </row>
    <row r="2073" spans="3:6" x14ac:dyDescent="0.25">
      <c r="C2073" s="3"/>
      <c r="D2073" s="3"/>
      <c r="E2073" s="3"/>
      <c r="F2073" s="5"/>
    </row>
    <row r="2074" spans="3:6" x14ac:dyDescent="0.25">
      <c r="C2074" s="3"/>
      <c r="D2074" s="3"/>
      <c r="E2074" s="3"/>
      <c r="F2074" s="5"/>
    </row>
    <row r="2075" spans="3:6" x14ac:dyDescent="0.25">
      <c r="C2075" s="3"/>
      <c r="D2075" s="3"/>
      <c r="E2075" s="3"/>
      <c r="F2075" s="5"/>
    </row>
    <row r="2076" spans="3:6" x14ac:dyDescent="0.25">
      <c r="C2076" s="3"/>
      <c r="D2076" s="3"/>
      <c r="E2076" s="3"/>
      <c r="F2076" s="5"/>
    </row>
    <row r="2077" spans="3:6" x14ac:dyDescent="0.25">
      <c r="C2077" s="3"/>
      <c r="D2077" s="3"/>
      <c r="E2077" s="3"/>
      <c r="F2077" s="5"/>
    </row>
    <row r="2078" spans="3:6" x14ac:dyDescent="0.25">
      <c r="C2078" s="3"/>
      <c r="D2078" s="3"/>
      <c r="E2078" s="3"/>
      <c r="F2078" s="5"/>
    </row>
    <row r="2079" spans="3:6" x14ac:dyDescent="0.25">
      <c r="C2079" s="3"/>
      <c r="D2079" s="3"/>
      <c r="E2079" s="3"/>
      <c r="F2079" s="5"/>
    </row>
    <row r="2080" spans="3:6" x14ac:dyDescent="0.25">
      <c r="C2080" s="3"/>
      <c r="D2080" s="3"/>
      <c r="E2080" s="3"/>
      <c r="F2080" s="5"/>
    </row>
    <row r="2081" spans="3:6" x14ac:dyDescent="0.25">
      <c r="C2081" s="3"/>
      <c r="D2081" s="3"/>
      <c r="E2081" s="3"/>
      <c r="F2081" s="5"/>
    </row>
    <row r="2082" spans="3:6" x14ac:dyDescent="0.25">
      <c r="C2082" s="3"/>
      <c r="D2082" s="3"/>
      <c r="E2082" s="3"/>
      <c r="F2082" s="5"/>
    </row>
    <row r="2083" spans="3:6" x14ac:dyDescent="0.25">
      <c r="C2083" s="3"/>
      <c r="D2083" s="3"/>
      <c r="E2083" s="3"/>
      <c r="F2083" s="5"/>
    </row>
    <row r="2084" spans="3:6" x14ac:dyDescent="0.25">
      <c r="C2084" s="3"/>
      <c r="D2084" s="3"/>
      <c r="E2084" s="3"/>
      <c r="F2084" s="5"/>
    </row>
    <row r="2085" spans="3:6" x14ac:dyDescent="0.25">
      <c r="C2085" s="3"/>
      <c r="D2085" s="3"/>
      <c r="E2085" s="3"/>
      <c r="F2085" s="5"/>
    </row>
    <row r="2086" spans="3:6" x14ac:dyDescent="0.25">
      <c r="C2086" s="3"/>
      <c r="D2086" s="3"/>
      <c r="E2086" s="3"/>
      <c r="F2086" s="5"/>
    </row>
    <row r="2087" spans="3:6" x14ac:dyDescent="0.25">
      <c r="C2087" s="3"/>
      <c r="D2087" s="3"/>
      <c r="E2087" s="3"/>
      <c r="F2087" s="5"/>
    </row>
    <row r="2088" spans="3:6" x14ac:dyDescent="0.25">
      <c r="C2088" s="3"/>
      <c r="D2088" s="3"/>
      <c r="E2088" s="3"/>
      <c r="F2088" s="5"/>
    </row>
    <row r="2089" spans="3:6" x14ac:dyDescent="0.25">
      <c r="C2089" s="3"/>
      <c r="D2089" s="3"/>
      <c r="E2089" s="3"/>
      <c r="F2089" s="5"/>
    </row>
    <row r="2090" spans="3:6" x14ac:dyDescent="0.25">
      <c r="C2090" s="3"/>
      <c r="D2090" s="3"/>
      <c r="E2090" s="3"/>
      <c r="F2090" s="5"/>
    </row>
    <row r="2091" spans="3:6" x14ac:dyDescent="0.25">
      <c r="C2091" s="3"/>
      <c r="D2091" s="3"/>
      <c r="E2091" s="3"/>
      <c r="F2091" s="5"/>
    </row>
    <row r="2092" spans="3:6" x14ac:dyDescent="0.25">
      <c r="C2092" s="3"/>
      <c r="D2092" s="3"/>
      <c r="E2092" s="3"/>
      <c r="F2092" s="5"/>
    </row>
    <row r="2093" spans="3:6" x14ac:dyDescent="0.25">
      <c r="C2093" s="3"/>
      <c r="D2093" s="3"/>
      <c r="E2093" s="3"/>
      <c r="F2093" s="5"/>
    </row>
    <row r="2094" spans="3:6" x14ac:dyDescent="0.25">
      <c r="C2094" s="3"/>
      <c r="D2094" s="3"/>
      <c r="E2094" s="3"/>
      <c r="F2094" s="5"/>
    </row>
    <row r="2095" spans="3:6" x14ac:dyDescent="0.25">
      <c r="C2095" s="3"/>
      <c r="D2095" s="3"/>
      <c r="E2095" s="3"/>
      <c r="F2095" s="5"/>
    </row>
    <row r="2096" spans="3:6" x14ac:dyDescent="0.25">
      <c r="C2096" s="3"/>
      <c r="D2096" s="3"/>
      <c r="E2096" s="3"/>
      <c r="F2096" s="5"/>
    </row>
    <row r="2097" spans="3:6" x14ac:dyDescent="0.25">
      <c r="C2097" s="3"/>
      <c r="D2097" s="3"/>
      <c r="E2097" s="3"/>
      <c r="F2097" s="5"/>
    </row>
    <row r="2098" spans="3:6" x14ac:dyDescent="0.25">
      <c r="C2098" s="3"/>
      <c r="D2098" s="3"/>
      <c r="E2098" s="3"/>
      <c r="F2098" s="5"/>
    </row>
    <row r="2099" spans="3:6" x14ac:dyDescent="0.25">
      <c r="C2099" s="3"/>
      <c r="D2099" s="3"/>
      <c r="E2099" s="3"/>
      <c r="F2099" s="5"/>
    </row>
    <row r="2100" spans="3:6" x14ac:dyDescent="0.25">
      <c r="C2100" s="3"/>
      <c r="D2100" s="3"/>
      <c r="E2100" s="3"/>
      <c r="F2100" s="5"/>
    </row>
    <row r="2101" spans="3:6" x14ac:dyDescent="0.25">
      <c r="C2101" s="3"/>
      <c r="D2101" s="3"/>
      <c r="E2101" s="3"/>
      <c r="F2101" s="5"/>
    </row>
    <row r="2102" spans="3:6" x14ac:dyDescent="0.25">
      <c r="C2102" s="3"/>
      <c r="D2102" s="3"/>
      <c r="E2102" s="3"/>
      <c r="F2102" s="5"/>
    </row>
    <row r="2103" spans="3:6" x14ac:dyDescent="0.25">
      <c r="C2103" s="3"/>
      <c r="D2103" s="3"/>
      <c r="E2103" s="3"/>
      <c r="F2103" s="5"/>
    </row>
    <row r="2104" spans="3:6" x14ac:dyDescent="0.25">
      <c r="C2104" s="3"/>
      <c r="D2104" s="3"/>
      <c r="E2104" s="3"/>
      <c r="F2104" s="5"/>
    </row>
    <row r="2105" spans="3:6" x14ac:dyDescent="0.25">
      <c r="C2105" s="3"/>
      <c r="D2105" s="3"/>
      <c r="E2105" s="3"/>
      <c r="F2105" s="5"/>
    </row>
    <row r="2106" spans="3:6" x14ac:dyDescent="0.25">
      <c r="C2106" s="3"/>
      <c r="D2106" s="3"/>
      <c r="E2106" s="3"/>
      <c r="F2106" s="5"/>
    </row>
    <row r="2107" spans="3:6" x14ac:dyDescent="0.25">
      <c r="C2107" s="3"/>
      <c r="D2107" s="3"/>
      <c r="E2107" s="3"/>
      <c r="F2107" s="5"/>
    </row>
    <row r="2108" spans="3:6" x14ac:dyDescent="0.25">
      <c r="C2108" s="3"/>
      <c r="D2108" s="3"/>
      <c r="E2108" s="3"/>
      <c r="F2108" s="5"/>
    </row>
    <row r="2109" spans="3:6" x14ac:dyDescent="0.25">
      <c r="C2109" s="3"/>
      <c r="D2109" s="3"/>
      <c r="E2109" s="3"/>
      <c r="F2109" s="5"/>
    </row>
    <row r="2110" spans="3:6" x14ac:dyDescent="0.25">
      <c r="C2110" s="3"/>
      <c r="D2110" s="3"/>
      <c r="E2110" s="3"/>
      <c r="F2110" s="5"/>
    </row>
    <row r="2111" spans="3:6" x14ac:dyDescent="0.25">
      <c r="C2111" s="3"/>
      <c r="D2111" s="3"/>
      <c r="E2111" s="3"/>
      <c r="F2111" s="5"/>
    </row>
    <row r="2112" spans="3:6" x14ac:dyDescent="0.25">
      <c r="C2112" s="3"/>
      <c r="D2112" s="3"/>
      <c r="E2112" s="3"/>
      <c r="F2112" s="5"/>
    </row>
    <row r="2113" spans="3:6" x14ac:dyDescent="0.25">
      <c r="C2113" s="3"/>
      <c r="D2113" s="3"/>
      <c r="E2113" s="3"/>
      <c r="F2113" s="5"/>
    </row>
    <row r="2114" spans="3:6" x14ac:dyDescent="0.25">
      <c r="C2114" s="3"/>
      <c r="D2114" s="3"/>
      <c r="E2114" s="3"/>
      <c r="F2114" s="5"/>
    </row>
    <row r="2115" spans="3:6" x14ac:dyDescent="0.25">
      <c r="C2115" s="3"/>
      <c r="D2115" s="3"/>
      <c r="E2115" s="3"/>
      <c r="F2115" s="5"/>
    </row>
    <row r="2116" spans="3:6" x14ac:dyDescent="0.25">
      <c r="C2116" s="3"/>
      <c r="D2116" s="3"/>
      <c r="E2116" s="3"/>
      <c r="F2116" s="5"/>
    </row>
    <row r="2117" spans="3:6" x14ac:dyDescent="0.25">
      <c r="C2117" s="3"/>
      <c r="D2117" s="3"/>
      <c r="E2117" s="3"/>
      <c r="F2117" s="5"/>
    </row>
    <row r="2118" spans="3:6" x14ac:dyDescent="0.25">
      <c r="C2118" s="3"/>
      <c r="D2118" s="3"/>
      <c r="E2118" s="3"/>
      <c r="F2118" s="5"/>
    </row>
    <row r="2119" spans="3:6" x14ac:dyDescent="0.25">
      <c r="C2119" s="3"/>
      <c r="D2119" s="3"/>
      <c r="E2119" s="3"/>
      <c r="F2119" s="5"/>
    </row>
    <row r="2120" spans="3:6" x14ac:dyDescent="0.25">
      <c r="C2120" s="3"/>
      <c r="D2120" s="3"/>
      <c r="E2120" s="3"/>
      <c r="F2120" s="5"/>
    </row>
    <row r="2121" spans="3:6" x14ac:dyDescent="0.25">
      <c r="C2121" s="3"/>
      <c r="D2121" s="3"/>
      <c r="E2121" s="3"/>
      <c r="F2121" s="5"/>
    </row>
    <row r="2122" spans="3:6" x14ac:dyDescent="0.25">
      <c r="C2122" s="3"/>
      <c r="D2122" s="3"/>
      <c r="E2122" s="3"/>
      <c r="F2122" s="5"/>
    </row>
    <row r="2123" spans="3:6" x14ac:dyDescent="0.25">
      <c r="C2123" s="3"/>
      <c r="D2123" s="3"/>
      <c r="E2123" s="3"/>
      <c r="F2123" s="5"/>
    </row>
    <row r="2124" spans="3:6" x14ac:dyDescent="0.25">
      <c r="C2124" s="3"/>
      <c r="D2124" s="3"/>
      <c r="E2124" s="3"/>
      <c r="F2124" s="5"/>
    </row>
    <row r="2125" spans="3:6" x14ac:dyDescent="0.25">
      <c r="C2125" s="3"/>
      <c r="D2125" s="3"/>
      <c r="E2125" s="3"/>
      <c r="F2125" s="5"/>
    </row>
    <row r="2126" spans="3:6" x14ac:dyDescent="0.25">
      <c r="C2126" s="3"/>
      <c r="D2126" s="3"/>
      <c r="E2126" s="3"/>
      <c r="F2126" s="5"/>
    </row>
    <row r="2127" spans="3:6" x14ac:dyDescent="0.25">
      <c r="C2127" s="3"/>
      <c r="D2127" s="3"/>
      <c r="E2127" s="3"/>
      <c r="F2127" s="5"/>
    </row>
    <row r="2128" spans="3:6" x14ac:dyDescent="0.25">
      <c r="C2128" s="3"/>
      <c r="D2128" s="3"/>
      <c r="E2128" s="3"/>
      <c r="F2128" s="5"/>
    </row>
    <row r="2129" spans="3:6" x14ac:dyDescent="0.25">
      <c r="C2129" s="3"/>
      <c r="D2129" s="3"/>
      <c r="E2129" s="3"/>
      <c r="F2129" s="5"/>
    </row>
    <row r="2130" spans="3:6" x14ac:dyDescent="0.25">
      <c r="C2130" s="3"/>
      <c r="D2130" s="3"/>
      <c r="E2130" s="3"/>
      <c r="F2130" s="5"/>
    </row>
    <row r="2131" spans="3:6" x14ac:dyDescent="0.25">
      <c r="C2131" s="3"/>
      <c r="D2131" s="3"/>
      <c r="E2131" s="3"/>
      <c r="F2131" s="5"/>
    </row>
    <row r="2132" spans="3:6" x14ac:dyDescent="0.25">
      <c r="C2132" s="3"/>
      <c r="D2132" s="3"/>
      <c r="E2132" s="3"/>
      <c r="F2132" s="5"/>
    </row>
    <row r="2133" spans="3:6" x14ac:dyDescent="0.25">
      <c r="C2133" s="3"/>
      <c r="D2133" s="3"/>
      <c r="E2133" s="3"/>
      <c r="F2133" s="5"/>
    </row>
    <row r="2134" spans="3:6" x14ac:dyDescent="0.25">
      <c r="C2134" s="3"/>
      <c r="D2134" s="3"/>
      <c r="E2134" s="3"/>
      <c r="F2134" s="5"/>
    </row>
    <row r="2135" spans="3:6" x14ac:dyDescent="0.25">
      <c r="C2135" s="3"/>
      <c r="D2135" s="3"/>
      <c r="E2135" s="3"/>
      <c r="F2135" s="5"/>
    </row>
    <row r="2136" spans="3:6" x14ac:dyDescent="0.25">
      <c r="C2136" s="3"/>
      <c r="D2136" s="3"/>
      <c r="E2136" s="3"/>
      <c r="F2136" s="5"/>
    </row>
    <row r="2137" spans="3:6" x14ac:dyDescent="0.25">
      <c r="C2137" s="3"/>
      <c r="D2137" s="3"/>
      <c r="E2137" s="3"/>
      <c r="F2137" s="5"/>
    </row>
    <row r="2138" spans="3:6" x14ac:dyDescent="0.25">
      <c r="C2138" s="3"/>
      <c r="D2138" s="3"/>
      <c r="E2138" s="3"/>
      <c r="F2138" s="5"/>
    </row>
    <row r="2139" spans="3:6" x14ac:dyDescent="0.25">
      <c r="C2139" s="3"/>
      <c r="D2139" s="3"/>
      <c r="E2139" s="3"/>
      <c r="F2139" s="5"/>
    </row>
    <row r="2140" spans="3:6" x14ac:dyDescent="0.25">
      <c r="C2140" s="3"/>
      <c r="D2140" s="3"/>
      <c r="E2140" s="3"/>
      <c r="F2140" s="5"/>
    </row>
    <row r="2141" spans="3:6" x14ac:dyDescent="0.25">
      <c r="C2141" s="3"/>
      <c r="D2141" s="3"/>
      <c r="E2141" s="3"/>
      <c r="F2141" s="5"/>
    </row>
    <row r="2142" spans="3:6" x14ac:dyDescent="0.25">
      <c r="C2142" s="3"/>
      <c r="D2142" s="3"/>
      <c r="E2142" s="3"/>
      <c r="F2142" s="5"/>
    </row>
    <row r="2143" spans="3:6" x14ac:dyDescent="0.25">
      <c r="C2143" s="3"/>
      <c r="D2143" s="3"/>
      <c r="E2143" s="3"/>
      <c r="F2143" s="5"/>
    </row>
    <row r="2144" spans="3:6" x14ac:dyDescent="0.25">
      <c r="C2144" s="3"/>
      <c r="D2144" s="3"/>
      <c r="E2144" s="3"/>
      <c r="F2144" s="5"/>
    </row>
    <row r="2145" spans="3:6" x14ac:dyDescent="0.25">
      <c r="C2145" s="3"/>
      <c r="D2145" s="3"/>
      <c r="E2145" s="3"/>
      <c r="F2145" s="5"/>
    </row>
    <row r="2146" spans="3:6" x14ac:dyDescent="0.25">
      <c r="C2146" s="3"/>
      <c r="D2146" s="3"/>
      <c r="E2146" s="3"/>
      <c r="F2146" s="5"/>
    </row>
    <row r="2147" spans="3:6" x14ac:dyDescent="0.25">
      <c r="C2147" s="3"/>
      <c r="D2147" s="3"/>
      <c r="E2147" s="3"/>
      <c r="F2147" s="5"/>
    </row>
    <row r="2148" spans="3:6" x14ac:dyDescent="0.25">
      <c r="C2148" s="3"/>
      <c r="D2148" s="3"/>
      <c r="E2148" s="3"/>
      <c r="F2148" s="5"/>
    </row>
    <row r="2149" spans="3:6" x14ac:dyDescent="0.25">
      <c r="C2149" s="3"/>
      <c r="D2149" s="3"/>
      <c r="E2149" s="3"/>
      <c r="F2149" s="5"/>
    </row>
    <row r="2150" spans="3:6" x14ac:dyDescent="0.25">
      <c r="C2150" s="3"/>
      <c r="D2150" s="3"/>
      <c r="E2150" s="3"/>
      <c r="F2150" s="5"/>
    </row>
    <row r="2151" spans="3:6" x14ac:dyDescent="0.25">
      <c r="C2151" s="3"/>
      <c r="D2151" s="3"/>
      <c r="E2151" s="3"/>
      <c r="F2151" s="5"/>
    </row>
    <row r="2152" spans="3:6" x14ac:dyDescent="0.25">
      <c r="C2152" s="3"/>
      <c r="D2152" s="3"/>
      <c r="E2152" s="3"/>
      <c r="F2152" s="5"/>
    </row>
    <row r="2153" spans="3:6" x14ac:dyDescent="0.25">
      <c r="C2153" s="3"/>
      <c r="D2153" s="3"/>
      <c r="E2153" s="3"/>
      <c r="F2153" s="5"/>
    </row>
    <row r="2154" spans="3:6" x14ac:dyDescent="0.25">
      <c r="C2154" s="3"/>
      <c r="D2154" s="3"/>
      <c r="E2154" s="3"/>
      <c r="F2154" s="5"/>
    </row>
    <row r="2155" spans="3:6" x14ac:dyDescent="0.25">
      <c r="C2155" s="3"/>
      <c r="D2155" s="3"/>
      <c r="E2155" s="3"/>
      <c r="F2155" s="5"/>
    </row>
    <row r="2156" spans="3:6" x14ac:dyDescent="0.25">
      <c r="C2156" s="3"/>
      <c r="D2156" s="3"/>
      <c r="E2156" s="3"/>
      <c r="F2156" s="5"/>
    </row>
    <row r="2157" spans="3:6" x14ac:dyDescent="0.25">
      <c r="C2157" s="3"/>
      <c r="D2157" s="3"/>
      <c r="E2157" s="3"/>
      <c r="F2157" s="5"/>
    </row>
    <row r="2158" spans="3:6" x14ac:dyDescent="0.25">
      <c r="C2158" s="3"/>
      <c r="D2158" s="3"/>
      <c r="E2158" s="3"/>
      <c r="F2158" s="5"/>
    </row>
    <row r="2159" spans="3:6" x14ac:dyDescent="0.25">
      <c r="C2159" s="3"/>
      <c r="D2159" s="3"/>
      <c r="E2159" s="3"/>
      <c r="F2159" s="5"/>
    </row>
    <row r="2160" spans="3:6" x14ac:dyDescent="0.25">
      <c r="C2160" s="3"/>
      <c r="D2160" s="3"/>
      <c r="E2160" s="3"/>
      <c r="F2160" s="5"/>
    </row>
    <row r="2161" spans="3:6" x14ac:dyDescent="0.25">
      <c r="C2161" s="3"/>
      <c r="D2161" s="3"/>
      <c r="E2161" s="3"/>
      <c r="F2161" s="5"/>
    </row>
    <row r="2162" spans="3:6" x14ac:dyDescent="0.25">
      <c r="C2162" s="3"/>
      <c r="D2162" s="3"/>
      <c r="E2162" s="3"/>
      <c r="F2162" s="5"/>
    </row>
    <row r="2163" spans="3:6" x14ac:dyDescent="0.25">
      <c r="C2163" s="3"/>
      <c r="D2163" s="3"/>
      <c r="E2163" s="3"/>
      <c r="F2163" s="5"/>
    </row>
    <row r="2164" spans="3:6" x14ac:dyDescent="0.25">
      <c r="C2164" s="3"/>
      <c r="D2164" s="3"/>
      <c r="E2164" s="3"/>
      <c r="F2164" s="5"/>
    </row>
    <row r="2165" spans="3:6" x14ac:dyDescent="0.25">
      <c r="C2165" s="3"/>
      <c r="D2165" s="3"/>
      <c r="E2165" s="3"/>
      <c r="F2165" s="5"/>
    </row>
    <row r="2166" spans="3:6" x14ac:dyDescent="0.25">
      <c r="C2166" s="3"/>
      <c r="D2166" s="3"/>
      <c r="E2166" s="3"/>
      <c r="F2166" s="5"/>
    </row>
    <row r="2167" spans="3:6" x14ac:dyDescent="0.25">
      <c r="C2167" s="3"/>
      <c r="D2167" s="3"/>
      <c r="E2167" s="3"/>
      <c r="F2167" s="5"/>
    </row>
    <row r="2168" spans="3:6" x14ac:dyDescent="0.25">
      <c r="C2168" s="3"/>
      <c r="D2168" s="3"/>
      <c r="E2168" s="3"/>
      <c r="F2168" s="5"/>
    </row>
    <row r="2169" spans="3:6" x14ac:dyDescent="0.25">
      <c r="C2169" s="3"/>
      <c r="D2169" s="3"/>
      <c r="E2169" s="3"/>
      <c r="F2169" s="5"/>
    </row>
    <row r="2170" spans="3:6" x14ac:dyDescent="0.25">
      <c r="C2170" s="3"/>
      <c r="D2170" s="3"/>
      <c r="E2170" s="3"/>
      <c r="F2170" s="5"/>
    </row>
    <row r="2171" spans="3:6" x14ac:dyDescent="0.25">
      <c r="C2171" s="3"/>
      <c r="D2171" s="3"/>
      <c r="E2171" s="3"/>
      <c r="F2171" s="5"/>
    </row>
    <row r="2172" spans="3:6" x14ac:dyDescent="0.25">
      <c r="C2172" s="3"/>
      <c r="D2172" s="3"/>
      <c r="E2172" s="3"/>
      <c r="F2172" s="5"/>
    </row>
    <row r="2173" spans="3:6" x14ac:dyDescent="0.25">
      <c r="C2173" s="3"/>
      <c r="D2173" s="3"/>
      <c r="E2173" s="3"/>
      <c r="F2173" s="5"/>
    </row>
    <row r="2174" spans="3:6" x14ac:dyDescent="0.25">
      <c r="C2174" s="3"/>
      <c r="D2174" s="3"/>
      <c r="E2174" s="3"/>
      <c r="F2174" s="5"/>
    </row>
    <row r="2175" spans="3:6" x14ac:dyDescent="0.25">
      <c r="C2175" s="3"/>
      <c r="D2175" s="3"/>
      <c r="E2175" s="3"/>
      <c r="F2175" s="5"/>
    </row>
    <row r="2176" spans="3:6" x14ac:dyDescent="0.25">
      <c r="C2176" s="3"/>
      <c r="D2176" s="3"/>
      <c r="E2176" s="3"/>
      <c r="F2176" s="5"/>
    </row>
    <row r="2177" spans="3:6" x14ac:dyDescent="0.25">
      <c r="C2177" s="3"/>
      <c r="D2177" s="3"/>
      <c r="E2177" s="3"/>
      <c r="F2177" s="5"/>
    </row>
    <row r="2178" spans="3:6" x14ac:dyDescent="0.25">
      <c r="C2178" s="3"/>
      <c r="D2178" s="3"/>
      <c r="E2178" s="3"/>
      <c r="F2178" s="5"/>
    </row>
    <row r="2179" spans="3:6" x14ac:dyDescent="0.25">
      <c r="C2179" s="3"/>
      <c r="D2179" s="3"/>
      <c r="E2179" s="3"/>
      <c r="F2179" s="5"/>
    </row>
    <row r="2180" spans="3:6" x14ac:dyDescent="0.25">
      <c r="C2180" s="3"/>
      <c r="D2180" s="3"/>
      <c r="E2180" s="3"/>
      <c r="F2180" s="5"/>
    </row>
    <row r="2181" spans="3:6" x14ac:dyDescent="0.25">
      <c r="C2181" s="3"/>
      <c r="D2181" s="3"/>
      <c r="E2181" s="3"/>
      <c r="F2181" s="5"/>
    </row>
    <row r="2182" spans="3:6" x14ac:dyDescent="0.25">
      <c r="C2182" s="3"/>
      <c r="D2182" s="3"/>
      <c r="E2182" s="3"/>
      <c r="F2182" s="5"/>
    </row>
    <row r="2183" spans="3:6" x14ac:dyDescent="0.25">
      <c r="C2183" s="3"/>
      <c r="D2183" s="3"/>
      <c r="E2183" s="3"/>
      <c r="F2183" s="5"/>
    </row>
    <row r="2184" spans="3:6" x14ac:dyDescent="0.25">
      <c r="C2184" s="3"/>
      <c r="D2184" s="3"/>
      <c r="E2184" s="3"/>
      <c r="F2184" s="5"/>
    </row>
    <row r="2185" spans="3:6" x14ac:dyDescent="0.25">
      <c r="C2185" s="3"/>
      <c r="D2185" s="3"/>
      <c r="E2185" s="3"/>
      <c r="F2185" s="5"/>
    </row>
    <row r="2186" spans="3:6" x14ac:dyDescent="0.25">
      <c r="C2186" s="3"/>
      <c r="D2186" s="3"/>
      <c r="E2186" s="3"/>
      <c r="F2186" s="5"/>
    </row>
    <row r="2187" spans="3:6" x14ac:dyDescent="0.25">
      <c r="C2187" s="3"/>
      <c r="D2187" s="3"/>
      <c r="E2187" s="3"/>
      <c r="F2187" s="5"/>
    </row>
    <row r="2188" spans="3:6" x14ac:dyDescent="0.25">
      <c r="C2188" s="3"/>
      <c r="D2188" s="3"/>
      <c r="E2188" s="3"/>
      <c r="F2188" s="5"/>
    </row>
    <row r="2189" spans="3:6" x14ac:dyDescent="0.25">
      <c r="C2189" s="3"/>
      <c r="D2189" s="3"/>
      <c r="E2189" s="3"/>
      <c r="F2189" s="5"/>
    </row>
    <row r="2190" spans="3:6" x14ac:dyDescent="0.25">
      <c r="C2190" s="3"/>
      <c r="D2190" s="3"/>
      <c r="E2190" s="3"/>
      <c r="F2190" s="5"/>
    </row>
    <row r="2191" spans="3:6" x14ac:dyDescent="0.25">
      <c r="C2191" s="3"/>
      <c r="D2191" s="3"/>
      <c r="E2191" s="3"/>
      <c r="F2191" s="5"/>
    </row>
    <row r="2192" spans="3:6" x14ac:dyDescent="0.25">
      <c r="C2192" s="3"/>
      <c r="D2192" s="3"/>
      <c r="E2192" s="3"/>
      <c r="F2192" s="5"/>
    </row>
    <row r="2193" spans="3:6" x14ac:dyDescent="0.25">
      <c r="C2193" s="3"/>
      <c r="D2193" s="3"/>
      <c r="E2193" s="3"/>
      <c r="F2193" s="5"/>
    </row>
    <row r="2194" spans="3:6" x14ac:dyDescent="0.25">
      <c r="C2194" s="3"/>
      <c r="D2194" s="3"/>
      <c r="E2194" s="3"/>
      <c r="F2194" s="5"/>
    </row>
    <row r="2195" spans="3:6" x14ac:dyDescent="0.25">
      <c r="C2195" s="3"/>
      <c r="D2195" s="3"/>
      <c r="E2195" s="3"/>
      <c r="F2195" s="5"/>
    </row>
    <row r="2196" spans="3:6" x14ac:dyDescent="0.25">
      <c r="C2196" s="3"/>
      <c r="D2196" s="3"/>
      <c r="E2196" s="3"/>
      <c r="F2196" s="5"/>
    </row>
    <row r="2197" spans="3:6" x14ac:dyDescent="0.25">
      <c r="C2197" s="3"/>
      <c r="D2197" s="3"/>
      <c r="E2197" s="3"/>
      <c r="F2197" s="5"/>
    </row>
    <row r="2198" spans="3:6" x14ac:dyDescent="0.25">
      <c r="C2198" s="3"/>
      <c r="D2198" s="3"/>
      <c r="E2198" s="3"/>
      <c r="F2198" s="5"/>
    </row>
    <row r="2199" spans="3:6" x14ac:dyDescent="0.25">
      <c r="C2199" s="3"/>
      <c r="D2199" s="3"/>
      <c r="E2199" s="3"/>
      <c r="F2199" s="5"/>
    </row>
    <row r="2200" spans="3:6" x14ac:dyDescent="0.25">
      <c r="C2200" s="3"/>
      <c r="D2200" s="3"/>
      <c r="E2200" s="3"/>
      <c r="F2200" s="5"/>
    </row>
    <row r="2201" spans="3:6" x14ac:dyDescent="0.25">
      <c r="C2201" s="3"/>
      <c r="D2201" s="3"/>
      <c r="E2201" s="3"/>
      <c r="F2201" s="5"/>
    </row>
    <row r="2202" spans="3:6" x14ac:dyDescent="0.25">
      <c r="C2202" s="3"/>
      <c r="D2202" s="3"/>
      <c r="E2202" s="3"/>
      <c r="F2202" s="5"/>
    </row>
    <row r="2203" spans="3:6" x14ac:dyDescent="0.25">
      <c r="C2203" s="3"/>
      <c r="D2203" s="3"/>
      <c r="E2203" s="3"/>
      <c r="F2203" s="5"/>
    </row>
    <row r="2204" spans="3:6" x14ac:dyDescent="0.25">
      <c r="C2204" s="3"/>
      <c r="D2204" s="3"/>
      <c r="E2204" s="3"/>
      <c r="F2204" s="5"/>
    </row>
    <row r="2205" spans="3:6" x14ac:dyDescent="0.25">
      <c r="C2205" s="3"/>
      <c r="D2205" s="3"/>
      <c r="E2205" s="3"/>
      <c r="F2205" s="5"/>
    </row>
    <row r="2206" spans="3:6" x14ac:dyDescent="0.25">
      <c r="C2206" s="3"/>
      <c r="D2206" s="3"/>
      <c r="E2206" s="3"/>
      <c r="F2206" s="5"/>
    </row>
    <row r="2207" spans="3:6" x14ac:dyDescent="0.25">
      <c r="C2207" s="3"/>
      <c r="D2207" s="3"/>
      <c r="E2207" s="3"/>
      <c r="F2207" s="5"/>
    </row>
    <row r="2208" spans="3:6" x14ac:dyDescent="0.25">
      <c r="C2208" s="3"/>
      <c r="D2208" s="3"/>
      <c r="E2208" s="3"/>
      <c r="F2208" s="5"/>
    </row>
    <row r="2209" spans="3:6" x14ac:dyDescent="0.25">
      <c r="C2209" s="3"/>
      <c r="D2209" s="3"/>
      <c r="E2209" s="3"/>
      <c r="F2209" s="5"/>
    </row>
    <row r="2210" spans="3:6" x14ac:dyDescent="0.25">
      <c r="C2210" s="3"/>
      <c r="D2210" s="3"/>
      <c r="E2210" s="3"/>
      <c r="F2210" s="5"/>
    </row>
    <row r="2211" spans="3:6" x14ac:dyDescent="0.25">
      <c r="C2211" s="3"/>
      <c r="D2211" s="3"/>
      <c r="E2211" s="3"/>
      <c r="F2211" s="5"/>
    </row>
    <row r="2212" spans="3:6" x14ac:dyDescent="0.25">
      <c r="C2212" s="3"/>
      <c r="D2212" s="3"/>
      <c r="E2212" s="3"/>
      <c r="F2212" s="5"/>
    </row>
    <row r="2213" spans="3:6" x14ac:dyDescent="0.25">
      <c r="C2213" s="3"/>
      <c r="D2213" s="3"/>
      <c r="E2213" s="3"/>
      <c r="F2213" s="5"/>
    </row>
    <row r="2214" spans="3:6" x14ac:dyDescent="0.25">
      <c r="C2214" s="3"/>
      <c r="D2214" s="3"/>
      <c r="E2214" s="3"/>
      <c r="F2214" s="5"/>
    </row>
    <row r="2215" spans="3:6" x14ac:dyDescent="0.25">
      <c r="C2215" s="3"/>
      <c r="D2215" s="3"/>
      <c r="E2215" s="3"/>
      <c r="F2215" s="5"/>
    </row>
    <row r="2216" spans="3:6" x14ac:dyDescent="0.25">
      <c r="C2216" s="3"/>
      <c r="D2216" s="3"/>
      <c r="E2216" s="3"/>
      <c r="F2216" s="5"/>
    </row>
    <row r="2217" spans="3:6" x14ac:dyDescent="0.25">
      <c r="C2217" s="3"/>
      <c r="D2217" s="3"/>
      <c r="E2217" s="3"/>
      <c r="F2217" s="5"/>
    </row>
    <row r="2218" spans="3:6" x14ac:dyDescent="0.25">
      <c r="C2218" s="3"/>
      <c r="D2218" s="3"/>
      <c r="E2218" s="3"/>
      <c r="F2218" s="5"/>
    </row>
    <row r="2219" spans="3:6" x14ac:dyDescent="0.25">
      <c r="C2219" s="3"/>
      <c r="D2219" s="3"/>
      <c r="E2219" s="3"/>
      <c r="F2219" s="5"/>
    </row>
    <row r="2220" spans="3:6" x14ac:dyDescent="0.25">
      <c r="C2220" s="3"/>
      <c r="D2220" s="3"/>
      <c r="E2220" s="3"/>
      <c r="F2220" s="5"/>
    </row>
    <row r="2221" spans="3:6" x14ac:dyDescent="0.25">
      <c r="C2221" s="3"/>
      <c r="D2221" s="3"/>
      <c r="E2221" s="3"/>
      <c r="F2221" s="5"/>
    </row>
    <row r="2222" spans="3:6" x14ac:dyDescent="0.25">
      <c r="C2222" s="3"/>
      <c r="D2222" s="3"/>
      <c r="E2222" s="3"/>
      <c r="F2222" s="5"/>
    </row>
    <row r="2223" spans="3:6" x14ac:dyDescent="0.25">
      <c r="C2223" s="3"/>
      <c r="D2223" s="3"/>
      <c r="E2223" s="3"/>
      <c r="F2223" s="5"/>
    </row>
    <row r="2224" spans="3:6" x14ac:dyDescent="0.25">
      <c r="C2224" s="3"/>
      <c r="D2224" s="3"/>
      <c r="E2224" s="3"/>
      <c r="F2224" s="5"/>
    </row>
    <row r="2225" spans="3:6" x14ac:dyDescent="0.25">
      <c r="C2225" s="3"/>
      <c r="D2225" s="3"/>
      <c r="E2225" s="3"/>
      <c r="F2225" s="5"/>
    </row>
    <row r="2226" spans="3:6" x14ac:dyDescent="0.25">
      <c r="C2226" s="3"/>
      <c r="D2226" s="3"/>
      <c r="E2226" s="3"/>
      <c r="F2226" s="5"/>
    </row>
    <row r="2227" spans="3:6" x14ac:dyDescent="0.25">
      <c r="C2227" s="3"/>
      <c r="D2227" s="3"/>
      <c r="E2227" s="3"/>
      <c r="F2227" s="5"/>
    </row>
    <row r="2228" spans="3:6" x14ac:dyDescent="0.25">
      <c r="C2228" s="3"/>
      <c r="D2228" s="3"/>
      <c r="E2228" s="3"/>
      <c r="F2228" s="5"/>
    </row>
    <row r="2229" spans="3:6" x14ac:dyDescent="0.25">
      <c r="C2229" s="3"/>
      <c r="D2229" s="3"/>
      <c r="E2229" s="3"/>
      <c r="F2229" s="5"/>
    </row>
    <row r="2230" spans="3:6" x14ac:dyDescent="0.25">
      <c r="C2230" s="3"/>
      <c r="D2230" s="3"/>
      <c r="E2230" s="3"/>
      <c r="F2230" s="5"/>
    </row>
    <row r="2231" spans="3:6" x14ac:dyDescent="0.25">
      <c r="C2231" s="3"/>
      <c r="D2231" s="3"/>
      <c r="E2231" s="3"/>
      <c r="F2231" s="5"/>
    </row>
    <row r="2232" spans="3:6" x14ac:dyDescent="0.25">
      <c r="C2232" s="3"/>
      <c r="D2232" s="3"/>
      <c r="E2232" s="3"/>
      <c r="F2232" s="5"/>
    </row>
    <row r="2233" spans="3:6" x14ac:dyDescent="0.25">
      <c r="C2233" s="3"/>
      <c r="D2233" s="3"/>
      <c r="E2233" s="3"/>
      <c r="F2233" s="5"/>
    </row>
    <row r="2234" spans="3:6" x14ac:dyDescent="0.25">
      <c r="C2234" s="3"/>
      <c r="D2234" s="3"/>
      <c r="E2234" s="3"/>
      <c r="F2234" s="5"/>
    </row>
    <row r="2235" spans="3:6" x14ac:dyDescent="0.25">
      <c r="C2235" s="3"/>
      <c r="D2235" s="3"/>
      <c r="E2235" s="3"/>
      <c r="F2235" s="5"/>
    </row>
    <row r="2236" spans="3:6" x14ac:dyDescent="0.25">
      <c r="C2236" s="3"/>
      <c r="D2236" s="3"/>
      <c r="E2236" s="3"/>
      <c r="F2236" s="5"/>
    </row>
    <row r="2237" spans="3:6" x14ac:dyDescent="0.25">
      <c r="C2237" s="3"/>
      <c r="D2237" s="3"/>
      <c r="E2237" s="3"/>
      <c r="F2237" s="5"/>
    </row>
    <row r="2238" spans="3:6" x14ac:dyDescent="0.25">
      <c r="C2238" s="3"/>
      <c r="D2238" s="3"/>
      <c r="E2238" s="3"/>
      <c r="F2238" s="5"/>
    </row>
    <row r="2239" spans="3:6" x14ac:dyDescent="0.25">
      <c r="C2239" s="3"/>
      <c r="D2239" s="3"/>
      <c r="E2239" s="3"/>
      <c r="F2239" s="5"/>
    </row>
    <row r="2240" spans="3:6" x14ac:dyDescent="0.25">
      <c r="C2240" s="3"/>
      <c r="D2240" s="3"/>
      <c r="E2240" s="3"/>
      <c r="F2240" s="5"/>
    </row>
    <row r="2241" spans="3:6" x14ac:dyDescent="0.25">
      <c r="C2241" s="3"/>
      <c r="D2241" s="3"/>
      <c r="E2241" s="3"/>
      <c r="F2241" s="5"/>
    </row>
    <row r="2242" spans="3:6" x14ac:dyDescent="0.25">
      <c r="C2242" s="3"/>
      <c r="D2242" s="3"/>
      <c r="E2242" s="3"/>
      <c r="F2242" s="5"/>
    </row>
    <row r="2243" spans="3:6" x14ac:dyDescent="0.25">
      <c r="C2243" s="3"/>
      <c r="D2243" s="3"/>
      <c r="E2243" s="3"/>
      <c r="F2243" s="5"/>
    </row>
    <row r="2244" spans="3:6" x14ac:dyDescent="0.25">
      <c r="C2244" s="3"/>
      <c r="D2244" s="3"/>
      <c r="E2244" s="3"/>
      <c r="F2244" s="5"/>
    </row>
    <row r="2245" spans="3:6" x14ac:dyDescent="0.25">
      <c r="C2245" s="3"/>
      <c r="D2245" s="3"/>
      <c r="E2245" s="3"/>
      <c r="F2245" s="5"/>
    </row>
    <row r="2246" spans="3:6" x14ac:dyDescent="0.25">
      <c r="C2246" s="3"/>
      <c r="D2246" s="3"/>
      <c r="E2246" s="3"/>
      <c r="F2246" s="5"/>
    </row>
    <row r="2247" spans="3:6" x14ac:dyDescent="0.25">
      <c r="C2247" s="3"/>
      <c r="D2247" s="3"/>
      <c r="E2247" s="3"/>
      <c r="F2247" s="5"/>
    </row>
    <row r="2248" spans="3:6" x14ac:dyDescent="0.25">
      <c r="C2248" s="3"/>
      <c r="D2248" s="3"/>
      <c r="E2248" s="3"/>
      <c r="F2248" s="5"/>
    </row>
    <row r="2249" spans="3:6" x14ac:dyDescent="0.25">
      <c r="C2249" s="3"/>
      <c r="D2249" s="3"/>
      <c r="E2249" s="3"/>
      <c r="F2249" s="5"/>
    </row>
    <row r="2250" spans="3:6" x14ac:dyDescent="0.25">
      <c r="C2250" s="3"/>
      <c r="D2250" s="3"/>
      <c r="E2250" s="3"/>
      <c r="F2250" s="5"/>
    </row>
    <row r="2251" spans="3:6" x14ac:dyDescent="0.25">
      <c r="C2251" s="3"/>
      <c r="D2251" s="3"/>
      <c r="E2251" s="3"/>
      <c r="F2251" s="5"/>
    </row>
    <row r="2252" spans="3:6" x14ac:dyDescent="0.25">
      <c r="C2252" s="3"/>
      <c r="D2252" s="3"/>
      <c r="E2252" s="3"/>
      <c r="F2252" s="5"/>
    </row>
    <row r="2253" spans="3:6" x14ac:dyDescent="0.25">
      <c r="C2253" s="3"/>
      <c r="D2253" s="3"/>
      <c r="E2253" s="3"/>
      <c r="F2253" s="5"/>
    </row>
    <row r="2254" spans="3:6" x14ac:dyDescent="0.25">
      <c r="C2254" s="3"/>
      <c r="D2254" s="3"/>
      <c r="E2254" s="3"/>
      <c r="F2254" s="5"/>
    </row>
    <row r="2255" spans="3:6" x14ac:dyDescent="0.25">
      <c r="C2255" s="3"/>
      <c r="D2255" s="3"/>
      <c r="E2255" s="3"/>
      <c r="F2255" s="5"/>
    </row>
    <row r="2256" spans="3:6" x14ac:dyDescent="0.25">
      <c r="C2256" s="3"/>
      <c r="D2256" s="3"/>
      <c r="E2256" s="3"/>
      <c r="F2256" s="5"/>
    </row>
    <row r="2257" spans="3:6" x14ac:dyDescent="0.25">
      <c r="C2257" s="3"/>
      <c r="D2257" s="3"/>
      <c r="E2257" s="3"/>
      <c r="F2257" s="5"/>
    </row>
    <row r="2258" spans="3:6" x14ac:dyDescent="0.25">
      <c r="C2258" s="3"/>
      <c r="D2258" s="3"/>
      <c r="E2258" s="3"/>
      <c r="F2258" s="5"/>
    </row>
    <row r="2259" spans="3:6" x14ac:dyDescent="0.25">
      <c r="C2259" s="3"/>
      <c r="D2259" s="3"/>
      <c r="E2259" s="3"/>
      <c r="F2259" s="5"/>
    </row>
    <row r="2260" spans="3:6" x14ac:dyDescent="0.25">
      <c r="C2260" s="3"/>
      <c r="D2260" s="3"/>
      <c r="E2260" s="3"/>
      <c r="F2260" s="5"/>
    </row>
    <row r="2261" spans="3:6" x14ac:dyDescent="0.25">
      <c r="C2261" s="3"/>
      <c r="D2261" s="3"/>
      <c r="E2261" s="3"/>
      <c r="F2261" s="5"/>
    </row>
    <row r="2262" spans="3:6" x14ac:dyDescent="0.25">
      <c r="C2262" s="3"/>
      <c r="D2262" s="3"/>
      <c r="E2262" s="3"/>
      <c r="F2262" s="5"/>
    </row>
    <row r="2263" spans="3:6" x14ac:dyDescent="0.25">
      <c r="C2263" s="3"/>
      <c r="D2263" s="3"/>
      <c r="E2263" s="3"/>
      <c r="F2263" s="5"/>
    </row>
    <row r="2264" spans="3:6" x14ac:dyDescent="0.25">
      <c r="C2264" s="3"/>
      <c r="D2264" s="3"/>
      <c r="E2264" s="3"/>
      <c r="F2264" s="5"/>
    </row>
    <row r="2265" spans="3:6" x14ac:dyDescent="0.25">
      <c r="C2265" s="3"/>
      <c r="D2265" s="3"/>
      <c r="E2265" s="3"/>
      <c r="F2265" s="5"/>
    </row>
    <row r="2266" spans="3:6" x14ac:dyDescent="0.25">
      <c r="C2266" s="3"/>
      <c r="D2266" s="3"/>
      <c r="E2266" s="3"/>
      <c r="F2266" s="5"/>
    </row>
    <row r="2267" spans="3:6" x14ac:dyDescent="0.25">
      <c r="C2267" s="3"/>
      <c r="D2267" s="3"/>
      <c r="E2267" s="3"/>
      <c r="F2267" s="5"/>
    </row>
    <row r="2268" spans="3:6" x14ac:dyDescent="0.25">
      <c r="C2268" s="3"/>
      <c r="D2268" s="3"/>
      <c r="E2268" s="3"/>
      <c r="F2268" s="5"/>
    </row>
    <row r="2269" spans="3:6" x14ac:dyDescent="0.25">
      <c r="C2269" s="3"/>
      <c r="D2269" s="3"/>
      <c r="E2269" s="3"/>
      <c r="F2269" s="5"/>
    </row>
    <row r="2270" spans="3:6" x14ac:dyDescent="0.25">
      <c r="C2270" s="3"/>
      <c r="D2270" s="3"/>
      <c r="E2270" s="3"/>
      <c r="F2270" s="5"/>
    </row>
    <row r="2271" spans="3:6" x14ac:dyDescent="0.25">
      <c r="C2271" s="3"/>
      <c r="D2271" s="3"/>
      <c r="E2271" s="3"/>
      <c r="F2271" s="5"/>
    </row>
    <row r="2272" spans="3:6" x14ac:dyDescent="0.25">
      <c r="C2272" s="3"/>
      <c r="D2272" s="3"/>
      <c r="E2272" s="3"/>
      <c r="F2272" s="5"/>
    </row>
    <row r="2273" spans="3:6" x14ac:dyDescent="0.25">
      <c r="C2273" s="3"/>
      <c r="D2273" s="3"/>
      <c r="E2273" s="3"/>
      <c r="F2273" s="5"/>
    </row>
    <row r="2274" spans="3:6" x14ac:dyDescent="0.25">
      <c r="C2274" s="3"/>
      <c r="D2274" s="3"/>
      <c r="E2274" s="3"/>
      <c r="F2274" s="5"/>
    </row>
    <row r="2275" spans="3:6" x14ac:dyDescent="0.25">
      <c r="C2275" s="3"/>
      <c r="D2275" s="3"/>
      <c r="E2275" s="3"/>
      <c r="F2275" s="5"/>
    </row>
    <row r="2276" spans="3:6" x14ac:dyDescent="0.25">
      <c r="C2276" s="3"/>
      <c r="D2276" s="3"/>
      <c r="E2276" s="3"/>
      <c r="F2276" s="5"/>
    </row>
    <row r="2277" spans="3:6" x14ac:dyDescent="0.25">
      <c r="C2277" s="3"/>
      <c r="D2277" s="3"/>
      <c r="E2277" s="3"/>
      <c r="F2277" s="5"/>
    </row>
    <row r="2278" spans="3:6" x14ac:dyDescent="0.25">
      <c r="C2278" s="3"/>
      <c r="D2278" s="3"/>
      <c r="E2278" s="3"/>
      <c r="F2278" s="5"/>
    </row>
    <row r="2279" spans="3:6" x14ac:dyDescent="0.25">
      <c r="C2279" s="3"/>
      <c r="D2279" s="3"/>
      <c r="E2279" s="3"/>
      <c r="F2279" s="5"/>
    </row>
    <row r="2280" spans="3:6" x14ac:dyDescent="0.25">
      <c r="C2280" s="3"/>
      <c r="D2280" s="3"/>
      <c r="E2280" s="3"/>
      <c r="F2280" s="5"/>
    </row>
    <row r="2281" spans="3:6" x14ac:dyDescent="0.25">
      <c r="C2281" s="3"/>
      <c r="D2281" s="3"/>
      <c r="E2281" s="3"/>
      <c r="F2281" s="5"/>
    </row>
    <row r="2282" spans="3:6" x14ac:dyDescent="0.25">
      <c r="C2282" s="3"/>
      <c r="D2282" s="3"/>
      <c r="E2282" s="3"/>
      <c r="F2282" s="5"/>
    </row>
    <row r="2283" spans="3:6" x14ac:dyDescent="0.25">
      <c r="C2283" s="3"/>
      <c r="D2283" s="3"/>
      <c r="E2283" s="3"/>
      <c r="F2283" s="5"/>
    </row>
    <row r="2284" spans="3:6" x14ac:dyDescent="0.25">
      <c r="C2284" s="3"/>
      <c r="D2284" s="3"/>
      <c r="E2284" s="3"/>
      <c r="F2284" s="5"/>
    </row>
    <row r="2285" spans="3:6" x14ac:dyDescent="0.25">
      <c r="C2285" s="3"/>
      <c r="D2285" s="3"/>
      <c r="E2285" s="3"/>
      <c r="F2285" s="5"/>
    </row>
    <row r="2286" spans="3:6" x14ac:dyDescent="0.25">
      <c r="C2286" s="3"/>
      <c r="D2286" s="3"/>
      <c r="E2286" s="3"/>
      <c r="F2286" s="5"/>
    </row>
    <row r="2287" spans="3:6" x14ac:dyDescent="0.25">
      <c r="C2287" s="3"/>
      <c r="D2287" s="3"/>
      <c r="E2287" s="3"/>
      <c r="F2287" s="5"/>
    </row>
    <row r="2288" spans="3:6" x14ac:dyDescent="0.25">
      <c r="C2288" s="3"/>
      <c r="D2288" s="3"/>
      <c r="E2288" s="3"/>
      <c r="F2288" s="5"/>
    </row>
    <row r="2289" spans="3:6" x14ac:dyDescent="0.25">
      <c r="C2289" s="3"/>
      <c r="D2289" s="3"/>
      <c r="E2289" s="3"/>
      <c r="F2289" s="5"/>
    </row>
    <row r="2290" spans="3:6" x14ac:dyDescent="0.25">
      <c r="C2290" s="3"/>
      <c r="D2290" s="3"/>
      <c r="E2290" s="3"/>
      <c r="F2290" s="5"/>
    </row>
    <row r="2291" spans="3:6" x14ac:dyDescent="0.25">
      <c r="C2291" s="3"/>
      <c r="D2291" s="3"/>
      <c r="E2291" s="3"/>
      <c r="F2291" s="5"/>
    </row>
    <row r="2292" spans="3:6" x14ac:dyDescent="0.25">
      <c r="C2292" s="3"/>
      <c r="D2292" s="3"/>
      <c r="E2292" s="3"/>
      <c r="F2292" s="5"/>
    </row>
    <row r="2293" spans="3:6" x14ac:dyDescent="0.25">
      <c r="C2293" s="3"/>
      <c r="D2293" s="3"/>
      <c r="E2293" s="3"/>
      <c r="F2293" s="5"/>
    </row>
    <row r="2294" spans="3:6" x14ac:dyDescent="0.25">
      <c r="C2294" s="3"/>
      <c r="D2294" s="3"/>
      <c r="E2294" s="3"/>
      <c r="F2294" s="5"/>
    </row>
    <row r="2295" spans="3:6" x14ac:dyDescent="0.25">
      <c r="C2295" s="3"/>
      <c r="D2295" s="3"/>
      <c r="E2295" s="3"/>
      <c r="F2295" s="5"/>
    </row>
    <row r="2296" spans="3:6" x14ac:dyDescent="0.25">
      <c r="C2296" s="3"/>
      <c r="D2296" s="3"/>
      <c r="E2296" s="3"/>
      <c r="F2296" s="5"/>
    </row>
    <row r="2297" spans="3:6" x14ac:dyDescent="0.25">
      <c r="C2297" s="3"/>
      <c r="D2297" s="3"/>
      <c r="E2297" s="3"/>
      <c r="F2297" s="5"/>
    </row>
    <row r="2298" spans="3:6" x14ac:dyDescent="0.25">
      <c r="C2298" s="3"/>
      <c r="D2298" s="3"/>
      <c r="E2298" s="3"/>
      <c r="F2298" s="5"/>
    </row>
    <row r="2299" spans="3:6" x14ac:dyDescent="0.25">
      <c r="C2299" s="3"/>
      <c r="D2299" s="3"/>
      <c r="E2299" s="3"/>
      <c r="F2299" s="5"/>
    </row>
    <row r="2300" spans="3:6" x14ac:dyDescent="0.25">
      <c r="C2300" s="3"/>
      <c r="D2300" s="3"/>
      <c r="E2300" s="3"/>
      <c r="F2300" s="5"/>
    </row>
    <row r="2301" spans="3:6" x14ac:dyDescent="0.25">
      <c r="C2301" s="3"/>
      <c r="D2301" s="3"/>
      <c r="E2301" s="3"/>
      <c r="F2301" s="5"/>
    </row>
    <row r="2302" spans="3:6" x14ac:dyDescent="0.25">
      <c r="C2302" s="3"/>
      <c r="D2302" s="3"/>
      <c r="E2302" s="3"/>
      <c r="F2302" s="5"/>
    </row>
    <row r="2303" spans="3:6" x14ac:dyDescent="0.25">
      <c r="C2303" s="3"/>
      <c r="D2303" s="3"/>
      <c r="E2303" s="3"/>
      <c r="F2303" s="5"/>
    </row>
    <row r="2304" spans="3:6" x14ac:dyDescent="0.25">
      <c r="C2304" s="3"/>
      <c r="D2304" s="3"/>
      <c r="E2304" s="3"/>
      <c r="F2304" s="5"/>
    </row>
    <row r="2305" spans="3:6" x14ac:dyDescent="0.25">
      <c r="C2305" s="3"/>
      <c r="D2305" s="3"/>
      <c r="E2305" s="3"/>
      <c r="F2305" s="5"/>
    </row>
    <row r="2306" spans="3:6" x14ac:dyDescent="0.25">
      <c r="C2306" s="3"/>
      <c r="D2306" s="3"/>
      <c r="E2306" s="3"/>
      <c r="F2306" s="5"/>
    </row>
    <row r="2307" spans="3:6" x14ac:dyDescent="0.25">
      <c r="C2307" s="3"/>
      <c r="D2307" s="3"/>
      <c r="E2307" s="3"/>
      <c r="F2307" s="5"/>
    </row>
    <row r="2308" spans="3:6" x14ac:dyDescent="0.25">
      <c r="C2308" s="3"/>
      <c r="D2308" s="3"/>
      <c r="E2308" s="3"/>
      <c r="F2308" s="5"/>
    </row>
    <row r="2309" spans="3:6" x14ac:dyDescent="0.25">
      <c r="C2309" s="3"/>
      <c r="D2309" s="3"/>
      <c r="E2309" s="3"/>
      <c r="F2309" s="5"/>
    </row>
    <row r="2310" spans="3:6" x14ac:dyDescent="0.25">
      <c r="C2310" s="3"/>
      <c r="D2310" s="3"/>
      <c r="E2310" s="3"/>
      <c r="F2310" s="5"/>
    </row>
    <row r="2311" spans="3:6" x14ac:dyDescent="0.25">
      <c r="C2311" s="3"/>
      <c r="D2311" s="3"/>
      <c r="E2311" s="3"/>
      <c r="F2311" s="5"/>
    </row>
    <row r="2312" spans="3:6" x14ac:dyDescent="0.25">
      <c r="C2312" s="3"/>
      <c r="D2312" s="3"/>
      <c r="E2312" s="3"/>
      <c r="F2312" s="5"/>
    </row>
    <row r="2313" spans="3:6" x14ac:dyDescent="0.25">
      <c r="C2313" s="3"/>
      <c r="D2313" s="3"/>
      <c r="E2313" s="3"/>
      <c r="F2313" s="5"/>
    </row>
    <row r="2314" spans="3:6" x14ac:dyDescent="0.25">
      <c r="C2314" s="3"/>
      <c r="D2314" s="3"/>
      <c r="E2314" s="3"/>
      <c r="F2314" s="5"/>
    </row>
    <row r="2315" spans="3:6" x14ac:dyDescent="0.25">
      <c r="C2315" s="3"/>
      <c r="D2315" s="3"/>
      <c r="E2315" s="3"/>
      <c r="F2315" s="5"/>
    </row>
    <row r="2316" spans="3:6" x14ac:dyDescent="0.25">
      <c r="C2316" s="3"/>
      <c r="D2316" s="3"/>
      <c r="E2316" s="3"/>
      <c r="F2316" s="5"/>
    </row>
    <row r="2317" spans="3:6" x14ac:dyDescent="0.25">
      <c r="C2317" s="3"/>
      <c r="D2317" s="3"/>
      <c r="E2317" s="3"/>
      <c r="F2317" s="5"/>
    </row>
    <row r="2318" spans="3:6" x14ac:dyDescent="0.25">
      <c r="C2318" s="3"/>
      <c r="D2318" s="3"/>
      <c r="E2318" s="3"/>
      <c r="F2318" s="5"/>
    </row>
    <row r="2319" spans="3:6" x14ac:dyDescent="0.25">
      <c r="C2319" s="3"/>
      <c r="D2319" s="3"/>
      <c r="E2319" s="3"/>
      <c r="F2319" s="5"/>
    </row>
    <row r="2320" spans="3:6" x14ac:dyDescent="0.25">
      <c r="C2320" s="3"/>
      <c r="D2320" s="3"/>
      <c r="E2320" s="3"/>
      <c r="F2320" s="5"/>
    </row>
    <row r="2321" spans="3:6" x14ac:dyDescent="0.25">
      <c r="C2321" s="3"/>
      <c r="D2321" s="3"/>
      <c r="E2321" s="3"/>
      <c r="F2321" s="5"/>
    </row>
    <row r="2322" spans="3:6" x14ac:dyDescent="0.25">
      <c r="C2322" s="3"/>
      <c r="D2322" s="3"/>
      <c r="E2322" s="3"/>
      <c r="F2322" s="5"/>
    </row>
    <row r="2323" spans="3:6" x14ac:dyDescent="0.25">
      <c r="C2323" s="3"/>
      <c r="D2323" s="3"/>
      <c r="E2323" s="3"/>
      <c r="F2323" s="5"/>
    </row>
    <row r="2324" spans="3:6" x14ac:dyDescent="0.25">
      <c r="C2324" s="3"/>
      <c r="D2324" s="3"/>
      <c r="E2324" s="3"/>
      <c r="F2324" s="5"/>
    </row>
    <row r="2325" spans="3:6" x14ac:dyDescent="0.25">
      <c r="C2325" s="3"/>
      <c r="D2325" s="3"/>
      <c r="E2325" s="3"/>
      <c r="F2325" s="5"/>
    </row>
    <row r="2326" spans="3:6" x14ac:dyDescent="0.25">
      <c r="C2326" s="3"/>
      <c r="D2326" s="3"/>
      <c r="E2326" s="3"/>
      <c r="F2326" s="5"/>
    </row>
    <row r="2327" spans="3:6" x14ac:dyDescent="0.25">
      <c r="C2327" s="3"/>
      <c r="D2327" s="3"/>
      <c r="E2327" s="3"/>
      <c r="F2327" s="5"/>
    </row>
    <row r="2328" spans="3:6" x14ac:dyDescent="0.25">
      <c r="C2328" s="3"/>
      <c r="D2328" s="3"/>
      <c r="E2328" s="3"/>
      <c r="F2328" s="5"/>
    </row>
    <row r="2329" spans="3:6" x14ac:dyDescent="0.25">
      <c r="C2329" s="3"/>
      <c r="D2329" s="3"/>
      <c r="E2329" s="3"/>
      <c r="F2329" s="5"/>
    </row>
    <row r="2330" spans="3:6" x14ac:dyDescent="0.25">
      <c r="C2330" s="3"/>
      <c r="D2330" s="3"/>
      <c r="E2330" s="3"/>
      <c r="F2330" s="5"/>
    </row>
    <row r="2331" spans="3:6" x14ac:dyDescent="0.25">
      <c r="C2331" s="3"/>
      <c r="D2331" s="3"/>
      <c r="E2331" s="3"/>
      <c r="F2331" s="5"/>
    </row>
    <row r="2332" spans="3:6" x14ac:dyDescent="0.25">
      <c r="C2332" s="3"/>
      <c r="D2332" s="3"/>
      <c r="E2332" s="3"/>
      <c r="F2332" s="5"/>
    </row>
    <row r="2333" spans="3:6" x14ac:dyDescent="0.25">
      <c r="C2333" s="3"/>
      <c r="D2333" s="3"/>
      <c r="E2333" s="3"/>
      <c r="F2333" s="5"/>
    </row>
    <row r="2334" spans="3:6" x14ac:dyDescent="0.25">
      <c r="C2334" s="3"/>
      <c r="D2334" s="3"/>
      <c r="E2334" s="3"/>
      <c r="F2334" s="5"/>
    </row>
    <row r="2335" spans="3:6" x14ac:dyDescent="0.25">
      <c r="C2335" s="3"/>
      <c r="D2335" s="3"/>
      <c r="E2335" s="3"/>
      <c r="F2335" s="5"/>
    </row>
    <row r="2336" spans="3:6" x14ac:dyDescent="0.25">
      <c r="C2336" s="3"/>
      <c r="D2336" s="3"/>
      <c r="E2336" s="3"/>
      <c r="F2336" s="5"/>
    </row>
    <row r="2337" spans="3:6" x14ac:dyDescent="0.25">
      <c r="C2337" s="3"/>
      <c r="D2337" s="3"/>
      <c r="E2337" s="3"/>
      <c r="F2337" s="5"/>
    </row>
    <row r="2338" spans="3:6" x14ac:dyDescent="0.25">
      <c r="C2338" s="3"/>
      <c r="D2338" s="3"/>
      <c r="E2338" s="3"/>
      <c r="F2338" s="5"/>
    </row>
    <row r="2339" spans="3:6" x14ac:dyDescent="0.25">
      <c r="C2339" s="3"/>
      <c r="D2339" s="3"/>
      <c r="E2339" s="3"/>
      <c r="F2339" s="5"/>
    </row>
    <row r="2340" spans="3:6" x14ac:dyDescent="0.25">
      <c r="C2340" s="3"/>
      <c r="D2340" s="3"/>
      <c r="E2340" s="3"/>
      <c r="F2340" s="5"/>
    </row>
    <row r="2341" spans="3:6" x14ac:dyDescent="0.25">
      <c r="C2341" s="3"/>
      <c r="D2341" s="3"/>
      <c r="E2341" s="3"/>
      <c r="F2341" s="5"/>
    </row>
    <row r="2342" spans="3:6" x14ac:dyDescent="0.25">
      <c r="C2342" s="3"/>
      <c r="D2342" s="3"/>
      <c r="E2342" s="3"/>
      <c r="F2342" s="5"/>
    </row>
    <row r="2343" spans="3:6" x14ac:dyDescent="0.25">
      <c r="C2343" s="3"/>
      <c r="D2343" s="3"/>
      <c r="E2343" s="3"/>
      <c r="F2343" s="5"/>
    </row>
    <row r="2344" spans="3:6" x14ac:dyDescent="0.25">
      <c r="C2344" s="3"/>
      <c r="D2344" s="3"/>
      <c r="E2344" s="3"/>
      <c r="F2344" s="5"/>
    </row>
    <row r="2345" spans="3:6" x14ac:dyDescent="0.25">
      <c r="C2345" s="3"/>
      <c r="D2345" s="3"/>
      <c r="E2345" s="3"/>
      <c r="F2345" s="5"/>
    </row>
    <row r="2346" spans="3:6" x14ac:dyDescent="0.25">
      <c r="C2346" s="3"/>
      <c r="D2346" s="3"/>
      <c r="E2346" s="3"/>
      <c r="F2346" s="5"/>
    </row>
    <row r="2347" spans="3:6" x14ac:dyDescent="0.25">
      <c r="C2347" s="3"/>
      <c r="D2347" s="3"/>
      <c r="E2347" s="3"/>
      <c r="F2347" s="5"/>
    </row>
    <row r="2348" spans="3:6" x14ac:dyDescent="0.25">
      <c r="C2348" s="3"/>
      <c r="D2348" s="3"/>
      <c r="E2348" s="3"/>
      <c r="F2348" s="5"/>
    </row>
    <row r="2349" spans="3:6" x14ac:dyDescent="0.25">
      <c r="C2349" s="3"/>
      <c r="D2349" s="3"/>
      <c r="E2349" s="3"/>
      <c r="F2349" s="5"/>
    </row>
    <row r="2350" spans="3:6" x14ac:dyDescent="0.25">
      <c r="C2350" s="3"/>
      <c r="D2350" s="3"/>
      <c r="E2350" s="3"/>
      <c r="F2350" s="5"/>
    </row>
    <row r="2351" spans="3:6" x14ac:dyDescent="0.25">
      <c r="C2351" s="3"/>
      <c r="D2351" s="3"/>
      <c r="E2351" s="3"/>
      <c r="F2351" s="5"/>
    </row>
    <row r="2352" spans="3:6" x14ac:dyDescent="0.25">
      <c r="C2352" s="3"/>
      <c r="D2352" s="3"/>
      <c r="E2352" s="3"/>
      <c r="F2352" s="5"/>
    </row>
    <row r="2353" spans="3:6" x14ac:dyDescent="0.25">
      <c r="C2353" s="3"/>
      <c r="D2353" s="3"/>
      <c r="E2353" s="3"/>
      <c r="F2353" s="5"/>
    </row>
    <row r="2354" spans="3:6" x14ac:dyDescent="0.25">
      <c r="C2354" s="3"/>
      <c r="D2354" s="3"/>
      <c r="E2354" s="3"/>
      <c r="F2354" s="5"/>
    </row>
    <row r="2355" spans="3:6" x14ac:dyDescent="0.25">
      <c r="C2355" s="3"/>
      <c r="D2355" s="3"/>
      <c r="E2355" s="3"/>
      <c r="F2355" s="5"/>
    </row>
    <row r="2356" spans="3:6" x14ac:dyDescent="0.25">
      <c r="C2356" s="3"/>
      <c r="D2356" s="3"/>
      <c r="E2356" s="3"/>
      <c r="F2356" s="5"/>
    </row>
    <row r="2357" spans="3:6" x14ac:dyDescent="0.25">
      <c r="C2357" s="3"/>
      <c r="D2357" s="3"/>
      <c r="E2357" s="3"/>
      <c r="F2357" s="5"/>
    </row>
    <row r="2358" spans="3:6" x14ac:dyDescent="0.25">
      <c r="C2358" s="3"/>
      <c r="D2358" s="3"/>
      <c r="E2358" s="3"/>
      <c r="F2358" s="5"/>
    </row>
    <row r="2359" spans="3:6" x14ac:dyDescent="0.25">
      <c r="C2359" s="3"/>
      <c r="D2359" s="3"/>
      <c r="E2359" s="3"/>
      <c r="F2359" s="5"/>
    </row>
    <row r="2360" spans="3:6" x14ac:dyDescent="0.25">
      <c r="C2360" s="3"/>
      <c r="D2360" s="3"/>
      <c r="E2360" s="3"/>
      <c r="F2360" s="5"/>
    </row>
    <row r="2361" spans="3:6" x14ac:dyDescent="0.25">
      <c r="C2361" s="3"/>
      <c r="D2361" s="3"/>
      <c r="E2361" s="3"/>
      <c r="F2361" s="5"/>
    </row>
    <row r="2362" spans="3:6" x14ac:dyDescent="0.25">
      <c r="C2362" s="3"/>
      <c r="D2362" s="3"/>
      <c r="E2362" s="3"/>
      <c r="F2362" s="5"/>
    </row>
    <row r="2363" spans="3:6" x14ac:dyDescent="0.25">
      <c r="C2363" s="3"/>
      <c r="D2363" s="3"/>
      <c r="E2363" s="3"/>
      <c r="F2363" s="5"/>
    </row>
    <row r="2364" spans="3:6" x14ac:dyDescent="0.25">
      <c r="C2364" s="3"/>
      <c r="D2364" s="3"/>
      <c r="E2364" s="3"/>
      <c r="F2364" s="5"/>
    </row>
    <row r="2365" spans="3:6" x14ac:dyDescent="0.25">
      <c r="C2365" s="3"/>
      <c r="D2365" s="3"/>
      <c r="E2365" s="3"/>
      <c r="F2365" s="5"/>
    </row>
    <row r="2366" spans="3:6" x14ac:dyDescent="0.25">
      <c r="C2366" s="3"/>
      <c r="D2366" s="3"/>
      <c r="E2366" s="3"/>
      <c r="F2366" s="5"/>
    </row>
    <row r="2367" spans="3:6" x14ac:dyDescent="0.25">
      <c r="C2367" s="3"/>
      <c r="D2367" s="3"/>
      <c r="E2367" s="3"/>
      <c r="F2367" s="5"/>
    </row>
    <row r="2368" spans="3:6" x14ac:dyDescent="0.25">
      <c r="C2368" s="3"/>
      <c r="D2368" s="3"/>
      <c r="E2368" s="3"/>
      <c r="F2368" s="5"/>
    </row>
    <row r="2369" spans="3:6" x14ac:dyDescent="0.25">
      <c r="C2369" s="3"/>
      <c r="D2369" s="3"/>
      <c r="E2369" s="3"/>
      <c r="F2369" s="5"/>
    </row>
    <row r="2370" spans="3:6" x14ac:dyDescent="0.25">
      <c r="C2370" s="3"/>
      <c r="D2370" s="3"/>
      <c r="E2370" s="3"/>
      <c r="F2370" s="5"/>
    </row>
    <row r="2371" spans="3:6" x14ac:dyDescent="0.25">
      <c r="C2371" s="3"/>
      <c r="D2371" s="3"/>
      <c r="E2371" s="3"/>
      <c r="F2371" s="5"/>
    </row>
    <row r="2372" spans="3:6" x14ac:dyDescent="0.25">
      <c r="C2372" s="3"/>
      <c r="D2372" s="3"/>
      <c r="E2372" s="3"/>
      <c r="F2372" s="5"/>
    </row>
    <row r="2373" spans="3:6" x14ac:dyDescent="0.25">
      <c r="C2373" s="3"/>
      <c r="D2373" s="3"/>
      <c r="E2373" s="3"/>
      <c r="F2373" s="5"/>
    </row>
    <row r="2374" spans="3:6" x14ac:dyDescent="0.25">
      <c r="C2374" s="3"/>
      <c r="D2374" s="3"/>
      <c r="E2374" s="3"/>
      <c r="F2374" s="5"/>
    </row>
    <row r="2375" spans="3:6" x14ac:dyDescent="0.25">
      <c r="C2375" s="3"/>
      <c r="D2375" s="3"/>
      <c r="E2375" s="3"/>
      <c r="F2375" s="5"/>
    </row>
    <row r="2376" spans="3:6" x14ac:dyDescent="0.25">
      <c r="C2376" s="3"/>
      <c r="D2376" s="3"/>
      <c r="E2376" s="3"/>
      <c r="F2376" s="5"/>
    </row>
    <row r="2377" spans="3:6" x14ac:dyDescent="0.25">
      <c r="C2377" s="3"/>
      <c r="D2377" s="3"/>
      <c r="E2377" s="3"/>
      <c r="F2377" s="5"/>
    </row>
    <row r="2378" spans="3:6" x14ac:dyDescent="0.25">
      <c r="C2378" s="3"/>
      <c r="D2378" s="3"/>
      <c r="E2378" s="3"/>
      <c r="F2378" s="5"/>
    </row>
    <row r="2379" spans="3:6" x14ac:dyDescent="0.25">
      <c r="C2379" s="3"/>
      <c r="D2379" s="3"/>
      <c r="E2379" s="3"/>
      <c r="F2379" s="5"/>
    </row>
    <row r="2380" spans="3:6" x14ac:dyDescent="0.25">
      <c r="C2380" s="3"/>
      <c r="D2380" s="3"/>
      <c r="E2380" s="3"/>
      <c r="F2380" s="5"/>
    </row>
    <row r="2381" spans="3:6" x14ac:dyDescent="0.25">
      <c r="C2381" s="3"/>
      <c r="D2381" s="3"/>
      <c r="E2381" s="3"/>
      <c r="F2381" s="5"/>
    </row>
    <row r="2382" spans="3:6" x14ac:dyDescent="0.25">
      <c r="C2382" s="3"/>
      <c r="D2382" s="3"/>
      <c r="E2382" s="3"/>
      <c r="F2382" s="5"/>
    </row>
    <row r="2383" spans="3:6" x14ac:dyDescent="0.25">
      <c r="C2383" s="3"/>
      <c r="D2383" s="3"/>
      <c r="E2383" s="3"/>
      <c r="F2383" s="5"/>
    </row>
    <row r="2384" spans="3:6" x14ac:dyDescent="0.25">
      <c r="C2384" s="3"/>
      <c r="D2384" s="3"/>
      <c r="E2384" s="3"/>
      <c r="F2384" s="5"/>
    </row>
    <row r="2385" spans="3:6" x14ac:dyDescent="0.25">
      <c r="C2385" s="3"/>
      <c r="D2385" s="3"/>
      <c r="E2385" s="3"/>
      <c r="F2385" s="5"/>
    </row>
    <row r="2386" spans="3:6" x14ac:dyDescent="0.25">
      <c r="C2386" s="3"/>
      <c r="D2386" s="3"/>
      <c r="E2386" s="3"/>
      <c r="F2386" s="5"/>
    </row>
    <row r="2387" spans="3:6" x14ac:dyDescent="0.25">
      <c r="C2387" s="3"/>
      <c r="D2387" s="3"/>
      <c r="E2387" s="3"/>
      <c r="F2387" s="5"/>
    </row>
    <row r="2388" spans="3:6" x14ac:dyDescent="0.25">
      <c r="C2388" s="3"/>
      <c r="D2388" s="3"/>
      <c r="E2388" s="3"/>
      <c r="F2388" s="5"/>
    </row>
    <row r="2389" spans="3:6" x14ac:dyDescent="0.25">
      <c r="C2389" s="3"/>
      <c r="D2389" s="3"/>
      <c r="E2389" s="3"/>
      <c r="F2389" s="5"/>
    </row>
    <row r="2390" spans="3:6" x14ac:dyDescent="0.25">
      <c r="C2390" s="3"/>
      <c r="D2390" s="3"/>
      <c r="E2390" s="3"/>
      <c r="F2390" s="5"/>
    </row>
    <row r="2391" spans="3:6" x14ac:dyDescent="0.25">
      <c r="C2391" s="3"/>
      <c r="D2391" s="3"/>
      <c r="E2391" s="3"/>
      <c r="F2391" s="5"/>
    </row>
    <row r="2392" spans="3:6" x14ac:dyDescent="0.25">
      <c r="C2392" s="3"/>
      <c r="D2392" s="3"/>
      <c r="E2392" s="3"/>
      <c r="F2392" s="5"/>
    </row>
    <row r="2393" spans="3:6" x14ac:dyDescent="0.25">
      <c r="C2393" s="3"/>
      <c r="D2393" s="3"/>
      <c r="E2393" s="3"/>
      <c r="F2393" s="5"/>
    </row>
    <row r="2394" spans="3:6" x14ac:dyDescent="0.25">
      <c r="C2394" s="3"/>
      <c r="D2394" s="3"/>
      <c r="E2394" s="3"/>
      <c r="F2394" s="5"/>
    </row>
    <row r="2395" spans="3:6" x14ac:dyDescent="0.25">
      <c r="C2395" s="3"/>
      <c r="D2395" s="3"/>
      <c r="E2395" s="3"/>
      <c r="F2395" s="5"/>
    </row>
    <row r="2396" spans="3:6" x14ac:dyDescent="0.25">
      <c r="C2396" s="3"/>
      <c r="D2396" s="3"/>
      <c r="E2396" s="3"/>
      <c r="F2396" s="5"/>
    </row>
    <row r="2397" spans="3:6" x14ac:dyDescent="0.25">
      <c r="C2397" s="3"/>
      <c r="D2397" s="3"/>
      <c r="E2397" s="3"/>
      <c r="F2397" s="5"/>
    </row>
    <row r="2398" spans="3:6" x14ac:dyDescent="0.25">
      <c r="C2398" s="3"/>
      <c r="D2398" s="3"/>
      <c r="E2398" s="3"/>
      <c r="F2398" s="5"/>
    </row>
    <row r="2399" spans="3:6" x14ac:dyDescent="0.25">
      <c r="C2399" s="3"/>
      <c r="D2399" s="3"/>
      <c r="E2399" s="3"/>
      <c r="F2399" s="5"/>
    </row>
    <row r="2400" spans="3:6" x14ac:dyDescent="0.25">
      <c r="C2400" s="3"/>
      <c r="D2400" s="3"/>
      <c r="E2400" s="3"/>
      <c r="F2400" s="5"/>
    </row>
    <row r="2401" spans="3:6" x14ac:dyDescent="0.25">
      <c r="C2401" s="3"/>
      <c r="D2401" s="3"/>
      <c r="E2401" s="3"/>
      <c r="F2401" s="5"/>
    </row>
    <row r="2402" spans="3:6" x14ac:dyDescent="0.25">
      <c r="C2402" s="3"/>
      <c r="D2402" s="3"/>
      <c r="E2402" s="3"/>
      <c r="F2402" s="5"/>
    </row>
    <row r="2403" spans="3:6" x14ac:dyDescent="0.25">
      <c r="C2403" s="3"/>
      <c r="D2403" s="3"/>
      <c r="E2403" s="3"/>
      <c r="F2403" s="5"/>
    </row>
    <row r="2404" spans="3:6" x14ac:dyDescent="0.25">
      <c r="C2404" s="3"/>
      <c r="D2404" s="3"/>
      <c r="E2404" s="3"/>
      <c r="F2404" s="5"/>
    </row>
    <row r="2405" spans="3:6" x14ac:dyDescent="0.25">
      <c r="C2405" s="3"/>
      <c r="D2405" s="3"/>
      <c r="E2405" s="3"/>
      <c r="F2405" s="5"/>
    </row>
    <row r="2406" spans="3:6" x14ac:dyDescent="0.25">
      <c r="C2406" s="3"/>
      <c r="D2406" s="3"/>
      <c r="E2406" s="3"/>
      <c r="F2406" s="5"/>
    </row>
    <row r="2407" spans="3:6" x14ac:dyDescent="0.25">
      <c r="C2407" s="3"/>
      <c r="D2407" s="3"/>
      <c r="E2407" s="3"/>
      <c r="F2407" s="5"/>
    </row>
    <row r="2408" spans="3:6" x14ac:dyDescent="0.25">
      <c r="C2408" s="3"/>
      <c r="D2408" s="3"/>
      <c r="E2408" s="3"/>
      <c r="F2408" s="5"/>
    </row>
    <row r="2409" spans="3:6" x14ac:dyDescent="0.25">
      <c r="C2409" s="3"/>
      <c r="D2409" s="3"/>
      <c r="E2409" s="3"/>
      <c r="F2409" s="5"/>
    </row>
    <row r="2410" spans="3:6" x14ac:dyDescent="0.25">
      <c r="C2410" s="3"/>
      <c r="D2410" s="3"/>
      <c r="E2410" s="3"/>
      <c r="F2410" s="5"/>
    </row>
    <row r="2411" spans="3:6" x14ac:dyDescent="0.25">
      <c r="C2411" s="3"/>
      <c r="D2411" s="3"/>
      <c r="E2411" s="3"/>
      <c r="F2411" s="5"/>
    </row>
    <row r="2412" spans="3:6" x14ac:dyDescent="0.25">
      <c r="C2412" s="3"/>
      <c r="D2412" s="3"/>
      <c r="E2412" s="3"/>
      <c r="F2412" s="5"/>
    </row>
    <row r="2413" spans="3:6" x14ac:dyDescent="0.25">
      <c r="C2413" s="3"/>
      <c r="D2413" s="3"/>
      <c r="E2413" s="3"/>
      <c r="F2413" s="5"/>
    </row>
    <row r="2414" spans="3:6" x14ac:dyDescent="0.25">
      <c r="C2414" s="3"/>
      <c r="D2414" s="3"/>
      <c r="E2414" s="3"/>
      <c r="F2414" s="5"/>
    </row>
    <row r="2415" spans="3:6" x14ac:dyDescent="0.25">
      <c r="C2415" s="3"/>
      <c r="D2415" s="3"/>
      <c r="E2415" s="3"/>
      <c r="F2415" s="5"/>
    </row>
    <row r="2416" spans="3:6" x14ac:dyDescent="0.25">
      <c r="C2416" s="3"/>
      <c r="D2416" s="3"/>
      <c r="E2416" s="3"/>
      <c r="F2416" s="5"/>
    </row>
    <row r="2417" spans="3:6" x14ac:dyDescent="0.25">
      <c r="C2417" s="3"/>
      <c r="D2417" s="3"/>
      <c r="E2417" s="3"/>
      <c r="F2417" s="5"/>
    </row>
    <row r="2418" spans="3:6" x14ac:dyDescent="0.25">
      <c r="C2418" s="3"/>
      <c r="D2418" s="3"/>
      <c r="E2418" s="3"/>
      <c r="F2418" s="5"/>
    </row>
    <row r="2419" spans="3:6" x14ac:dyDescent="0.25">
      <c r="C2419" s="3"/>
      <c r="D2419" s="3"/>
      <c r="E2419" s="3"/>
      <c r="F2419" s="5"/>
    </row>
    <row r="2420" spans="3:6" x14ac:dyDescent="0.25">
      <c r="C2420" s="3"/>
      <c r="D2420" s="3"/>
      <c r="E2420" s="3"/>
      <c r="F2420" s="5"/>
    </row>
    <row r="2421" spans="3:6" x14ac:dyDescent="0.25">
      <c r="C2421" s="3"/>
      <c r="D2421" s="3"/>
      <c r="E2421" s="3"/>
      <c r="F2421" s="5"/>
    </row>
    <row r="2422" spans="3:6" x14ac:dyDescent="0.25">
      <c r="C2422" s="3"/>
      <c r="D2422" s="3"/>
      <c r="E2422" s="3"/>
      <c r="F2422" s="5"/>
    </row>
    <row r="2423" spans="3:6" x14ac:dyDescent="0.25">
      <c r="C2423" s="3"/>
      <c r="D2423" s="3"/>
      <c r="E2423" s="3"/>
      <c r="F2423" s="5"/>
    </row>
    <row r="2424" spans="3:6" x14ac:dyDescent="0.25">
      <c r="C2424" s="3"/>
      <c r="D2424" s="3"/>
      <c r="E2424" s="3"/>
      <c r="F2424" s="5"/>
    </row>
    <row r="2425" spans="3:6" x14ac:dyDescent="0.25">
      <c r="C2425" s="3"/>
      <c r="D2425" s="3"/>
      <c r="E2425" s="3"/>
      <c r="F2425" s="5"/>
    </row>
    <row r="2426" spans="3:6" x14ac:dyDescent="0.25">
      <c r="C2426" s="3"/>
      <c r="D2426" s="3"/>
      <c r="E2426" s="3"/>
      <c r="F2426" s="5"/>
    </row>
    <row r="2427" spans="3:6" x14ac:dyDescent="0.25">
      <c r="C2427" s="3"/>
      <c r="D2427" s="3"/>
      <c r="E2427" s="3"/>
      <c r="F2427" s="5"/>
    </row>
    <row r="2428" spans="3:6" x14ac:dyDescent="0.25">
      <c r="C2428" s="3"/>
      <c r="D2428" s="3"/>
      <c r="E2428" s="3"/>
      <c r="F2428" s="5"/>
    </row>
    <row r="2429" spans="3:6" x14ac:dyDescent="0.25">
      <c r="C2429" s="3"/>
      <c r="D2429" s="3"/>
      <c r="E2429" s="3"/>
      <c r="F2429" s="5"/>
    </row>
    <row r="2430" spans="3:6" x14ac:dyDescent="0.25">
      <c r="C2430" s="3"/>
      <c r="D2430" s="3"/>
      <c r="E2430" s="3"/>
      <c r="F2430" s="5"/>
    </row>
    <row r="2431" spans="3:6" x14ac:dyDescent="0.25">
      <c r="C2431" s="3"/>
      <c r="D2431" s="3"/>
      <c r="E2431" s="3"/>
      <c r="F2431" s="5"/>
    </row>
    <row r="2432" spans="3:6" x14ac:dyDescent="0.25">
      <c r="C2432" s="3"/>
      <c r="D2432" s="3"/>
      <c r="E2432" s="3"/>
      <c r="F2432" s="5"/>
    </row>
    <row r="2433" spans="3:6" x14ac:dyDescent="0.25">
      <c r="C2433" s="3"/>
      <c r="D2433" s="3"/>
      <c r="E2433" s="3"/>
      <c r="F2433" s="5"/>
    </row>
    <row r="2434" spans="3:6" x14ac:dyDescent="0.25">
      <c r="C2434" s="3"/>
      <c r="D2434" s="3"/>
      <c r="E2434" s="3"/>
      <c r="F2434" s="5"/>
    </row>
    <row r="2435" spans="3:6" x14ac:dyDescent="0.25">
      <c r="C2435" s="3"/>
      <c r="D2435" s="3"/>
      <c r="E2435" s="3"/>
      <c r="F2435" s="5"/>
    </row>
    <row r="2436" spans="3:6" x14ac:dyDescent="0.25">
      <c r="C2436" s="3"/>
      <c r="D2436" s="3"/>
      <c r="E2436" s="3"/>
      <c r="F2436" s="5"/>
    </row>
    <row r="2437" spans="3:6" x14ac:dyDescent="0.25">
      <c r="C2437" s="3"/>
      <c r="D2437" s="3"/>
      <c r="E2437" s="3"/>
      <c r="F2437" s="5"/>
    </row>
    <row r="2438" spans="3:6" x14ac:dyDescent="0.25">
      <c r="C2438" s="3"/>
      <c r="D2438" s="3"/>
      <c r="E2438" s="3"/>
      <c r="F2438" s="5"/>
    </row>
    <row r="2439" spans="3:6" x14ac:dyDescent="0.25">
      <c r="C2439" s="3"/>
      <c r="D2439" s="3"/>
      <c r="E2439" s="3"/>
      <c r="F2439" s="5"/>
    </row>
    <row r="2440" spans="3:6" x14ac:dyDescent="0.25">
      <c r="C2440" s="3"/>
      <c r="D2440" s="3"/>
      <c r="E2440" s="3"/>
      <c r="F2440" s="5"/>
    </row>
    <row r="2441" spans="3:6" x14ac:dyDescent="0.25">
      <c r="C2441" s="3"/>
      <c r="D2441" s="3"/>
      <c r="E2441" s="3"/>
      <c r="F2441" s="5"/>
    </row>
    <row r="2442" spans="3:6" x14ac:dyDescent="0.25">
      <c r="C2442" s="3"/>
      <c r="D2442" s="3"/>
      <c r="E2442" s="3"/>
      <c r="F2442" s="5"/>
    </row>
    <row r="2443" spans="3:6" x14ac:dyDescent="0.25">
      <c r="C2443" s="3"/>
      <c r="D2443" s="3"/>
      <c r="E2443" s="3"/>
      <c r="F2443" s="5"/>
    </row>
    <row r="2444" spans="3:6" x14ac:dyDescent="0.25">
      <c r="C2444" s="3"/>
      <c r="D2444" s="3"/>
      <c r="E2444" s="3"/>
      <c r="F2444" s="5"/>
    </row>
    <row r="2445" spans="3:6" x14ac:dyDescent="0.25">
      <c r="C2445" s="3"/>
      <c r="D2445" s="3"/>
      <c r="E2445" s="3"/>
      <c r="F2445" s="5"/>
    </row>
    <row r="2446" spans="3:6" x14ac:dyDescent="0.25">
      <c r="C2446" s="3"/>
      <c r="D2446" s="3"/>
      <c r="E2446" s="3"/>
      <c r="F2446" s="5"/>
    </row>
    <row r="2447" spans="3:6" x14ac:dyDescent="0.25">
      <c r="C2447" s="3"/>
      <c r="D2447" s="3"/>
      <c r="E2447" s="3"/>
      <c r="F2447" s="5"/>
    </row>
    <row r="2448" spans="3:6" x14ac:dyDescent="0.25">
      <c r="C2448" s="3"/>
      <c r="D2448" s="3"/>
      <c r="E2448" s="3"/>
      <c r="F2448" s="5"/>
    </row>
    <row r="2449" spans="3:6" x14ac:dyDescent="0.25">
      <c r="C2449" s="3"/>
      <c r="D2449" s="3"/>
      <c r="E2449" s="3"/>
      <c r="F2449" s="5"/>
    </row>
    <row r="2450" spans="3:6" x14ac:dyDescent="0.25">
      <c r="C2450" s="3"/>
      <c r="D2450" s="3"/>
      <c r="E2450" s="3"/>
      <c r="F2450" s="5"/>
    </row>
    <row r="2451" spans="3:6" x14ac:dyDescent="0.25">
      <c r="C2451" s="3"/>
      <c r="D2451" s="3"/>
      <c r="E2451" s="3"/>
      <c r="F2451" s="5"/>
    </row>
    <row r="2452" spans="3:6" x14ac:dyDescent="0.25">
      <c r="C2452" s="3"/>
      <c r="D2452" s="3"/>
      <c r="E2452" s="3"/>
      <c r="F2452" s="5"/>
    </row>
    <row r="2453" spans="3:6" x14ac:dyDescent="0.25">
      <c r="C2453" s="3"/>
      <c r="D2453" s="3"/>
      <c r="E2453" s="3"/>
      <c r="F2453" s="5"/>
    </row>
    <row r="2454" spans="3:6" x14ac:dyDescent="0.25">
      <c r="C2454" s="3"/>
      <c r="D2454" s="3"/>
      <c r="E2454" s="3"/>
      <c r="F2454" s="5"/>
    </row>
    <row r="2455" spans="3:6" x14ac:dyDescent="0.25">
      <c r="C2455" s="3"/>
      <c r="D2455" s="3"/>
      <c r="E2455" s="3"/>
      <c r="F2455" s="5"/>
    </row>
    <row r="2456" spans="3:6" x14ac:dyDescent="0.25">
      <c r="C2456" s="3"/>
      <c r="D2456" s="3"/>
      <c r="E2456" s="3"/>
      <c r="F2456" s="5"/>
    </row>
    <row r="2457" spans="3:6" x14ac:dyDescent="0.25">
      <c r="C2457" s="3"/>
      <c r="D2457" s="3"/>
      <c r="E2457" s="3"/>
      <c r="F2457" s="5"/>
    </row>
    <row r="2458" spans="3:6" x14ac:dyDescent="0.25">
      <c r="C2458" s="3"/>
      <c r="D2458" s="3"/>
      <c r="E2458" s="3"/>
      <c r="F2458" s="5"/>
    </row>
    <row r="2459" spans="3:6" x14ac:dyDescent="0.25">
      <c r="C2459" s="3"/>
      <c r="D2459" s="3"/>
      <c r="E2459" s="3"/>
      <c r="F2459" s="5"/>
    </row>
    <row r="2460" spans="3:6" x14ac:dyDescent="0.25">
      <c r="C2460" s="3"/>
      <c r="D2460" s="3"/>
      <c r="E2460" s="3"/>
      <c r="F2460" s="5"/>
    </row>
    <row r="2461" spans="3:6" x14ac:dyDescent="0.25">
      <c r="C2461" s="3"/>
      <c r="D2461" s="3"/>
      <c r="E2461" s="3"/>
      <c r="F2461" s="5"/>
    </row>
    <row r="2462" spans="3:6" x14ac:dyDescent="0.25">
      <c r="C2462" s="3"/>
      <c r="D2462" s="3"/>
      <c r="E2462" s="3"/>
      <c r="F2462" s="5"/>
    </row>
    <row r="2463" spans="3:6" x14ac:dyDescent="0.25">
      <c r="C2463" s="3"/>
      <c r="D2463" s="3"/>
      <c r="E2463" s="3"/>
      <c r="F2463" s="5"/>
    </row>
    <row r="2464" spans="3:6" x14ac:dyDescent="0.25">
      <c r="C2464" s="3"/>
      <c r="D2464" s="3"/>
      <c r="E2464" s="3"/>
      <c r="F2464" s="5"/>
    </row>
    <row r="2465" spans="3:6" x14ac:dyDescent="0.25">
      <c r="C2465" s="3"/>
      <c r="D2465" s="3"/>
      <c r="E2465" s="3"/>
      <c r="F2465" s="5"/>
    </row>
    <row r="2466" spans="3:6" x14ac:dyDescent="0.25">
      <c r="C2466" s="3"/>
      <c r="D2466" s="3"/>
      <c r="E2466" s="3"/>
      <c r="F2466" s="5"/>
    </row>
    <row r="2467" spans="3:6" x14ac:dyDescent="0.25">
      <c r="C2467" s="3"/>
      <c r="D2467" s="3"/>
      <c r="E2467" s="3"/>
      <c r="F2467" s="5"/>
    </row>
    <row r="2468" spans="3:6" x14ac:dyDescent="0.25">
      <c r="C2468" s="3"/>
      <c r="D2468" s="3"/>
      <c r="E2468" s="3"/>
      <c r="F2468" s="5"/>
    </row>
    <row r="2469" spans="3:6" x14ac:dyDescent="0.25">
      <c r="C2469" s="3"/>
      <c r="D2469" s="3"/>
      <c r="E2469" s="3"/>
      <c r="F2469" s="5"/>
    </row>
    <row r="2470" spans="3:6" x14ac:dyDescent="0.25">
      <c r="C2470" s="3"/>
      <c r="D2470" s="3"/>
      <c r="E2470" s="3"/>
      <c r="F2470" s="5"/>
    </row>
    <row r="2471" spans="3:6" x14ac:dyDescent="0.25">
      <c r="C2471" s="3"/>
      <c r="D2471" s="3"/>
      <c r="E2471" s="3"/>
      <c r="F2471" s="5"/>
    </row>
    <row r="2472" spans="3:6" x14ac:dyDescent="0.25">
      <c r="C2472" s="3"/>
      <c r="D2472" s="3"/>
      <c r="E2472" s="3"/>
      <c r="F2472" s="5"/>
    </row>
    <row r="2473" spans="3:6" x14ac:dyDescent="0.25">
      <c r="C2473" s="3"/>
      <c r="D2473" s="3"/>
      <c r="E2473" s="3"/>
      <c r="F2473" s="5"/>
    </row>
    <row r="2474" spans="3:6" x14ac:dyDescent="0.25">
      <c r="C2474" s="3"/>
      <c r="D2474" s="3"/>
      <c r="E2474" s="3"/>
      <c r="F2474" s="5"/>
    </row>
    <row r="2475" spans="3:6" x14ac:dyDescent="0.25">
      <c r="C2475" s="3"/>
      <c r="D2475" s="3"/>
      <c r="E2475" s="3"/>
      <c r="F2475" s="5"/>
    </row>
    <row r="2476" spans="3:6" x14ac:dyDescent="0.25">
      <c r="C2476" s="3"/>
      <c r="D2476" s="3"/>
      <c r="E2476" s="3"/>
      <c r="F2476" s="5"/>
    </row>
    <row r="2477" spans="3:6" x14ac:dyDescent="0.25">
      <c r="C2477" s="3"/>
      <c r="D2477" s="3"/>
      <c r="E2477" s="3"/>
      <c r="F2477" s="5"/>
    </row>
    <row r="2478" spans="3:6" x14ac:dyDescent="0.25">
      <c r="C2478" s="3"/>
      <c r="D2478" s="3"/>
      <c r="E2478" s="3"/>
      <c r="F2478" s="5"/>
    </row>
    <row r="2479" spans="3:6" x14ac:dyDescent="0.25">
      <c r="C2479" s="3"/>
      <c r="D2479" s="3"/>
      <c r="E2479" s="3"/>
      <c r="F2479" s="5"/>
    </row>
    <row r="2480" spans="3:6" x14ac:dyDescent="0.25">
      <c r="C2480" s="3"/>
      <c r="D2480" s="3"/>
      <c r="E2480" s="3"/>
      <c r="F2480" s="5"/>
    </row>
    <row r="2481" spans="3:6" x14ac:dyDescent="0.25">
      <c r="C2481" s="3"/>
      <c r="D2481" s="3"/>
      <c r="E2481" s="3"/>
      <c r="F2481" s="5"/>
    </row>
    <row r="2482" spans="3:6" x14ac:dyDescent="0.25">
      <c r="C2482" s="3"/>
      <c r="D2482" s="3"/>
      <c r="E2482" s="3"/>
      <c r="F2482" s="5"/>
    </row>
    <row r="2483" spans="3:6" x14ac:dyDescent="0.25">
      <c r="C2483" s="3"/>
      <c r="D2483" s="3"/>
      <c r="E2483" s="3"/>
      <c r="F2483" s="5"/>
    </row>
    <row r="2484" spans="3:6" x14ac:dyDescent="0.25">
      <c r="C2484" s="3"/>
      <c r="D2484" s="3"/>
      <c r="E2484" s="3"/>
      <c r="F2484" s="5"/>
    </row>
    <row r="2485" spans="3:6" x14ac:dyDescent="0.25">
      <c r="C2485" s="3"/>
      <c r="D2485" s="3"/>
      <c r="E2485" s="3"/>
      <c r="F2485" s="5"/>
    </row>
    <row r="2486" spans="3:6" x14ac:dyDescent="0.25">
      <c r="C2486" s="3"/>
      <c r="D2486" s="3"/>
      <c r="E2486" s="3"/>
      <c r="F2486" s="5"/>
    </row>
    <row r="2487" spans="3:6" x14ac:dyDescent="0.25">
      <c r="C2487" s="3"/>
      <c r="D2487" s="3"/>
      <c r="E2487" s="3"/>
      <c r="F2487" s="5"/>
    </row>
    <row r="2488" spans="3:6" x14ac:dyDescent="0.25">
      <c r="C2488" s="3"/>
      <c r="D2488" s="3"/>
      <c r="E2488" s="3"/>
      <c r="F2488" s="5"/>
    </row>
    <row r="2489" spans="3:6" x14ac:dyDescent="0.25">
      <c r="C2489" s="3"/>
      <c r="D2489" s="3"/>
      <c r="E2489" s="3"/>
      <c r="F2489" s="5"/>
    </row>
    <row r="2490" spans="3:6" x14ac:dyDescent="0.25">
      <c r="C2490" s="3"/>
      <c r="D2490" s="3"/>
      <c r="E2490" s="3"/>
      <c r="F2490" s="5"/>
    </row>
    <row r="2491" spans="3:6" x14ac:dyDescent="0.25">
      <c r="C2491" s="3"/>
      <c r="D2491" s="3"/>
      <c r="E2491" s="3"/>
      <c r="F2491" s="5"/>
    </row>
    <row r="2492" spans="3:6" x14ac:dyDescent="0.25">
      <c r="C2492" s="3"/>
      <c r="D2492" s="3"/>
      <c r="E2492" s="3"/>
      <c r="F2492" s="5"/>
    </row>
    <row r="2493" spans="3:6" x14ac:dyDescent="0.25">
      <c r="C2493" s="3"/>
      <c r="D2493" s="3"/>
      <c r="E2493" s="3"/>
      <c r="F2493" s="5"/>
    </row>
    <row r="2494" spans="3:6" x14ac:dyDescent="0.25">
      <c r="C2494" s="3"/>
      <c r="D2494" s="3"/>
      <c r="E2494" s="3"/>
      <c r="F2494" s="5"/>
    </row>
    <row r="2495" spans="3:6" x14ac:dyDescent="0.25">
      <c r="C2495" s="3"/>
      <c r="D2495" s="3"/>
      <c r="E2495" s="3"/>
      <c r="F2495" s="5"/>
    </row>
    <row r="2496" spans="3:6" x14ac:dyDescent="0.25">
      <c r="C2496" s="3"/>
      <c r="D2496" s="3"/>
      <c r="E2496" s="3"/>
      <c r="F2496" s="5"/>
    </row>
    <row r="2497" spans="3:6" x14ac:dyDescent="0.25">
      <c r="C2497" s="3"/>
      <c r="D2497" s="3"/>
      <c r="E2497" s="3"/>
      <c r="F2497" s="5"/>
    </row>
    <row r="2498" spans="3:6" x14ac:dyDescent="0.25">
      <c r="C2498" s="3"/>
      <c r="D2498" s="3"/>
      <c r="E2498" s="3"/>
      <c r="F2498" s="5"/>
    </row>
    <row r="2499" spans="3:6" x14ac:dyDescent="0.25">
      <c r="C2499" s="3"/>
      <c r="D2499" s="3"/>
      <c r="E2499" s="3"/>
      <c r="F2499" s="5"/>
    </row>
    <row r="2500" spans="3:6" x14ac:dyDescent="0.25">
      <c r="C2500" s="3"/>
      <c r="D2500" s="3"/>
      <c r="E2500" s="3"/>
      <c r="F2500" s="5"/>
    </row>
    <row r="2501" spans="3:6" x14ac:dyDescent="0.25">
      <c r="C2501" s="3"/>
      <c r="D2501" s="3"/>
      <c r="E2501" s="3"/>
      <c r="F2501" s="5"/>
    </row>
    <row r="2502" spans="3:6" x14ac:dyDescent="0.25">
      <c r="C2502" s="3"/>
      <c r="D2502" s="3"/>
      <c r="E2502" s="3"/>
      <c r="F2502" s="5"/>
    </row>
    <row r="2503" spans="3:6" x14ac:dyDescent="0.25">
      <c r="C2503" s="3"/>
      <c r="D2503" s="3"/>
      <c r="E2503" s="3"/>
      <c r="F2503" s="5"/>
    </row>
    <row r="2504" spans="3:6" x14ac:dyDescent="0.25">
      <c r="C2504" s="3"/>
      <c r="D2504" s="3"/>
      <c r="E2504" s="3"/>
      <c r="F2504" s="5"/>
    </row>
    <row r="2505" spans="3:6" x14ac:dyDescent="0.25">
      <c r="C2505" s="3"/>
      <c r="D2505" s="3"/>
      <c r="E2505" s="3"/>
      <c r="F2505" s="5"/>
    </row>
    <row r="2506" spans="3:6" x14ac:dyDescent="0.25">
      <c r="C2506" s="3"/>
      <c r="D2506" s="3"/>
      <c r="E2506" s="3"/>
      <c r="F2506" s="5"/>
    </row>
    <row r="2507" spans="3:6" x14ac:dyDescent="0.25">
      <c r="C2507" s="3"/>
      <c r="D2507" s="3"/>
      <c r="E2507" s="3"/>
      <c r="F2507" s="5"/>
    </row>
    <row r="2508" spans="3:6" x14ac:dyDescent="0.25">
      <c r="C2508" s="3"/>
      <c r="D2508" s="3"/>
      <c r="E2508" s="3"/>
      <c r="F2508" s="5"/>
    </row>
    <row r="2509" spans="3:6" x14ac:dyDescent="0.25">
      <c r="C2509" s="3"/>
      <c r="D2509" s="3"/>
      <c r="E2509" s="3"/>
      <c r="F2509" s="5"/>
    </row>
    <row r="2510" spans="3:6" x14ac:dyDescent="0.25">
      <c r="C2510" s="3"/>
      <c r="D2510" s="3"/>
      <c r="E2510" s="3"/>
      <c r="F2510" s="5"/>
    </row>
    <row r="2511" spans="3:6" x14ac:dyDescent="0.25">
      <c r="C2511" s="3"/>
      <c r="D2511" s="3"/>
      <c r="E2511" s="3"/>
      <c r="F2511" s="5"/>
    </row>
    <row r="2512" spans="3:6" x14ac:dyDescent="0.25">
      <c r="C2512" s="3"/>
      <c r="D2512" s="3"/>
      <c r="E2512" s="3"/>
      <c r="F2512" s="5"/>
    </row>
    <row r="2513" spans="3:6" x14ac:dyDescent="0.25">
      <c r="C2513" s="3"/>
      <c r="D2513" s="3"/>
      <c r="E2513" s="3"/>
      <c r="F2513" s="5"/>
    </row>
    <row r="2514" spans="3:6" x14ac:dyDescent="0.25">
      <c r="C2514" s="3"/>
      <c r="D2514" s="3"/>
      <c r="E2514" s="3"/>
      <c r="F2514" s="5"/>
    </row>
    <row r="2515" spans="3:6" x14ac:dyDescent="0.25">
      <c r="C2515" s="3"/>
      <c r="D2515" s="3"/>
      <c r="E2515" s="3"/>
      <c r="F2515" s="5"/>
    </row>
    <row r="2516" spans="3:6" x14ac:dyDescent="0.25">
      <c r="C2516" s="3"/>
      <c r="D2516" s="3"/>
      <c r="E2516" s="3"/>
      <c r="F2516" s="5"/>
    </row>
    <row r="2517" spans="3:6" x14ac:dyDescent="0.25">
      <c r="C2517" s="3"/>
      <c r="D2517" s="3"/>
      <c r="E2517" s="3"/>
      <c r="F2517" s="5"/>
    </row>
    <row r="2518" spans="3:6" x14ac:dyDescent="0.25">
      <c r="C2518" s="3"/>
      <c r="D2518" s="3"/>
      <c r="E2518" s="3"/>
      <c r="F2518" s="5"/>
    </row>
    <row r="2519" spans="3:6" x14ac:dyDescent="0.25">
      <c r="C2519" s="3"/>
      <c r="D2519" s="3"/>
      <c r="E2519" s="3"/>
      <c r="F2519" s="5"/>
    </row>
    <row r="2520" spans="3:6" x14ac:dyDescent="0.25">
      <c r="C2520" s="3"/>
      <c r="D2520" s="3"/>
      <c r="E2520" s="3"/>
      <c r="F2520" s="5"/>
    </row>
    <row r="2521" spans="3:6" x14ac:dyDescent="0.25">
      <c r="C2521" s="3"/>
      <c r="D2521" s="3"/>
      <c r="E2521" s="3"/>
      <c r="F2521" s="5"/>
    </row>
    <row r="2522" spans="3:6" x14ac:dyDescent="0.25">
      <c r="C2522" s="3"/>
      <c r="D2522" s="3"/>
      <c r="E2522" s="3"/>
      <c r="F2522" s="5"/>
    </row>
    <row r="2523" spans="3:6" x14ac:dyDescent="0.25">
      <c r="C2523" s="3"/>
      <c r="D2523" s="3"/>
      <c r="E2523" s="3"/>
      <c r="F2523" s="5"/>
    </row>
    <row r="2524" spans="3:6" x14ac:dyDescent="0.25">
      <c r="C2524" s="3"/>
      <c r="D2524" s="3"/>
      <c r="E2524" s="3"/>
      <c r="F2524" s="5"/>
    </row>
    <row r="2525" spans="3:6" x14ac:dyDescent="0.25">
      <c r="C2525" s="3"/>
      <c r="D2525" s="3"/>
      <c r="E2525" s="3"/>
      <c r="F2525" s="5"/>
    </row>
    <row r="2526" spans="3:6" x14ac:dyDescent="0.25">
      <c r="C2526" s="3"/>
      <c r="D2526" s="3"/>
      <c r="E2526" s="3"/>
      <c r="F2526" s="5"/>
    </row>
    <row r="2527" spans="3:6" x14ac:dyDescent="0.25">
      <c r="C2527" s="3"/>
      <c r="D2527" s="3"/>
      <c r="E2527" s="3"/>
      <c r="F2527" s="5"/>
    </row>
    <row r="2528" spans="3:6" x14ac:dyDescent="0.25">
      <c r="C2528" s="3"/>
      <c r="D2528" s="3"/>
      <c r="E2528" s="3"/>
      <c r="F2528" s="5"/>
    </row>
    <row r="2529" spans="3:6" x14ac:dyDescent="0.25">
      <c r="C2529" s="3"/>
      <c r="D2529" s="3"/>
      <c r="E2529" s="3"/>
      <c r="F2529" s="5"/>
    </row>
    <row r="2530" spans="3:6" x14ac:dyDescent="0.25">
      <c r="C2530" s="3"/>
      <c r="D2530" s="3"/>
      <c r="E2530" s="3"/>
      <c r="F2530" s="5"/>
    </row>
    <row r="2531" spans="3:6" x14ac:dyDescent="0.25">
      <c r="C2531" s="3"/>
      <c r="D2531" s="3"/>
      <c r="E2531" s="3"/>
      <c r="F2531" s="5"/>
    </row>
    <row r="2532" spans="3:6" x14ac:dyDescent="0.25">
      <c r="C2532" s="3"/>
      <c r="D2532" s="3"/>
      <c r="E2532" s="3"/>
      <c r="F2532" s="5"/>
    </row>
    <row r="2533" spans="3:6" x14ac:dyDescent="0.25">
      <c r="C2533" s="3"/>
      <c r="D2533" s="3"/>
      <c r="E2533" s="3"/>
      <c r="F2533" s="5"/>
    </row>
    <row r="2534" spans="3:6" x14ac:dyDescent="0.25">
      <c r="C2534" s="3"/>
      <c r="D2534" s="3"/>
      <c r="E2534" s="3"/>
      <c r="F2534" s="5"/>
    </row>
    <row r="2535" spans="3:6" x14ac:dyDescent="0.25">
      <c r="C2535" s="3"/>
      <c r="D2535" s="3"/>
      <c r="E2535" s="3"/>
      <c r="F2535" s="5"/>
    </row>
    <row r="2536" spans="3:6" x14ac:dyDescent="0.25">
      <c r="C2536" s="3"/>
      <c r="D2536" s="3"/>
      <c r="E2536" s="3"/>
      <c r="F2536" s="5"/>
    </row>
    <row r="2537" spans="3:6" x14ac:dyDescent="0.25">
      <c r="C2537" s="3"/>
      <c r="D2537" s="3"/>
      <c r="E2537" s="3"/>
      <c r="F2537" s="5"/>
    </row>
    <row r="2538" spans="3:6" x14ac:dyDescent="0.25">
      <c r="C2538" s="3"/>
      <c r="D2538" s="3"/>
      <c r="E2538" s="3"/>
      <c r="F2538" s="5"/>
    </row>
    <row r="2539" spans="3:6" x14ac:dyDescent="0.25">
      <c r="C2539" s="3"/>
      <c r="D2539" s="3"/>
      <c r="E2539" s="3"/>
      <c r="F2539" s="5"/>
    </row>
    <row r="2540" spans="3:6" x14ac:dyDescent="0.25">
      <c r="C2540" s="3"/>
      <c r="D2540" s="3"/>
      <c r="E2540" s="3"/>
      <c r="F2540" s="5"/>
    </row>
    <row r="2541" spans="3:6" x14ac:dyDescent="0.25">
      <c r="C2541" s="3"/>
      <c r="D2541" s="3"/>
      <c r="E2541" s="3"/>
      <c r="F2541" s="5"/>
    </row>
    <row r="2542" spans="3:6" x14ac:dyDescent="0.25">
      <c r="C2542" s="3"/>
      <c r="D2542" s="3"/>
      <c r="E2542" s="3"/>
      <c r="F2542" s="5"/>
    </row>
    <row r="2543" spans="3:6" x14ac:dyDescent="0.25">
      <c r="C2543" s="3"/>
      <c r="D2543" s="3"/>
      <c r="E2543" s="3"/>
      <c r="F2543" s="5"/>
    </row>
    <row r="2544" spans="3:6" x14ac:dyDescent="0.25">
      <c r="C2544" s="3"/>
      <c r="D2544" s="3"/>
      <c r="E2544" s="3"/>
      <c r="F2544" s="5"/>
    </row>
    <row r="2545" spans="3:6" x14ac:dyDescent="0.25">
      <c r="C2545" s="3"/>
      <c r="D2545" s="3"/>
      <c r="E2545" s="3"/>
      <c r="F2545" s="5"/>
    </row>
    <row r="2546" spans="3:6" x14ac:dyDescent="0.25">
      <c r="C2546" s="3"/>
      <c r="D2546" s="3"/>
      <c r="E2546" s="3"/>
      <c r="F2546" s="5"/>
    </row>
    <row r="2547" spans="3:6" x14ac:dyDescent="0.25">
      <c r="C2547" s="3"/>
      <c r="D2547" s="3"/>
      <c r="E2547" s="3"/>
      <c r="F2547" s="5"/>
    </row>
    <row r="2548" spans="3:6" x14ac:dyDescent="0.25">
      <c r="C2548" s="3"/>
      <c r="D2548" s="3"/>
      <c r="E2548" s="3"/>
      <c r="F2548" s="5"/>
    </row>
    <row r="2549" spans="3:6" x14ac:dyDescent="0.25">
      <c r="C2549" s="3"/>
      <c r="D2549" s="3"/>
      <c r="E2549" s="3"/>
      <c r="F2549" s="5"/>
    </row>
    <row r="2550" spans="3:6" x14ac:dyDescent="0.25">
      <c r="C2550" s="3"/>
      <c r="D2550" s="3"/>
      <c r="E2550" s="3"/>
      <c r="F2550" s="5"/>
    </row>
    <row r="2551" spans="3:6" x14ac:dyDescent="0.25">
      <c r="C2551" s="3"/>
      <c r="D2551" s="3"/>
      <c r="E2551" s="3"/>
      <c r="F2551" s="5"/>
    </row>
    <row r="2552" spans="3:6" x14ac:dyDescent="0.25">
      <c r="C2552" s="3"/>
      <c r="D2552" s="3"/>
      <c r="E2552" s="3"/>
      <c r="F2552" s="5"/>
    </row>
    <row r="2553" spans="3:6" x14ac:dyDescent="0.25">
      <c r="C2553" s="3"/>
      <c r="D2553" s="3"/>
      <c r="E2553" s="3"/>
      <c r="F2553" s="5"/>
    </row>
    <row r="2554" spans="3:6" x14ac:dyDescent="0.25">
      <c r="C2554" s="3"/>
      <c r="D2554" s="3"/>
      <c r="E2554" s="3"/>
      <c r="F2554" s="5"/>
    </row>
    <row r="2555" spans="3:6" x14ac:dyDescent="0.25">
      <c r="C2555" s="3"/>
      <c r="D2555" s="3"/>
      <c r="E2555" s="3"/>
      <c r="F2555" s="5"/>
    </row>
    <row r="2556" spans="3:6" x14ac:dyDescent="0.25">
      <c r="C2556" s="3"/>
      <c r="D2556" s="3"/>
      <c r="E2556" s="3"/>
      <c r="F2556" s="5"/>
    </row>
    <row r="2557" spans="3:6" x14ac:dyDescent="0.25">
      <c r="C2557" s="3"/>
      <c r="D2557" s="3"/>
      <c r="E2557" s="3"/>
      <c r="F2557" s="5"/>
    </row>
    <row r="2558" spans="3:6" x14ac:dyDescent="0.25">
      <c r="C2558" s="3"/>
      <c r="D2558" s="3"/>
      <c r="E2558" s="3"/>
      <c r="F2558" s="5"/>
    </row>
    <row r="2559" spans="3:6" x14ac:dyDescent="0.25">
      <c r="C2559" s="3"/>
      <c r="D2559" s="3"/>
      <c r="E2559" s="3"/>
      <c r="F2559" s="5"/>
    </row>
    <row r="2560" spans="3:6" x14ac:dyDescent="0.25">
      <c r="C2560" s="3"/>
      <c r="D2560" s="3"/>
      <c r="E2560" s="3"/>
      <c r="F2560" s="5"/>
    </row>
    <row r="2561" spans="3:6" x14ac:dyDescent="0.25">
      <c r="C2561" s="3"/>
      <c r="D2561" s="3"/>
      <c r="E2561" s="3"/>
      <c r="F2561" s="5"/>
    </row>
    <row r="2562" spans="3:6" x14ac:dyDescent="0.25">
      <c r="C2562" s="3"/>
      <c r="D2562" s="3"/>
      <c r="E2562" s="3"/>
      <c r="F2562" s="5"/>
    </row>
    <row r="2563" spans="3:6" x14ac:dyDescent="0.25">
      <c r="C2563" s="3"/>
      <c r="D2563" s="3"/>
      <c r="E2563" s="3"/>
      <c r="F2563" s="5"/>
    </row>
    <row r="2564" spans="3:6" x14ac:dyDescent="0.25">
      <c r="C2564" s="3"/>
      <c r="D2564" s="3"/>
      <c r="E2564" s="3"/>
      <c r="F2564" s="5"/>
    </row>
    <row r="2565" spans="3:6" x14ac:dyDescent="0.25">
      <c r="C2565" s="3"/>
      <c r="D2565" s="3"/>
      <c r="E2565" s="3"/>
      <c r="F2565" s="5"/>
    </row>
    <row r="2566" spans="3:6" x14ac:dyDescent="0.25">
      <c r="C2566" s="3"/>
      <c r="D2566" s="3"/>
      <c r="E2566" s="3"/>
      <c r="F2566" s="5"/>
    </row>
    <row r="2567" spans="3:6" x14ac:dyDescent="0.25">
      <c r="C2567" s="3"/>
      <c r="D2567" s="3"/>
      <c r="E2567" s="3"/>
      <c r="F2567" s="5"/>
    </row>
    <row r="2568" spans="3:6" x14ac:dyDescent="0.25">
      <c r="C2568" s="3"/>
      <c r="D2568" s="3"/>
      <c r="E2568" s="3"/>
      <c r="F2568" s="5"/>
    </row>
    <row r="2569" spans="3:6" x14ac:dyDescent="0.25">
      <c r="C2569" s="3"/>
      <c r="D2569" s="3"/>
      <c r="E2569" s="3"/>
      <c r="F2569" s="5"/>
    </row>
    <row r="2570" spans="3:6" x14ac:dyDescent="0.25">
      <c r="C2570" s="3"/>
      <c r="D2570" s="3"/>
      <c r="E2570" s="3"/>
      <c r="F2570" s="5"/>
    </row>
    <row r="2571" spans="3:6" x14ac:dyDescent="0.25">
      <c r="C2571" s="3"/>
      <c r="D2571" s="3"/>
      <c r="E2571" s="3"/>
      <c r="F2571" s="5"/>
    </row>
    <row r="2572" spans="3:6" x14ac:dyDescent="0.25">
      <c r="C2572" s="3"/>
      <c r="D2572" s="3"/>
      <c r="E2572" s="3"/>
      <c r="F2572" s="5"/>
    </row>
    <row r="2573" spans="3:6" x14ac:dyDescent="0.25">
      <c r="C2573" s="3"/>
      <c r="D2573" s="3"/>
      <c r="E2573" s="3"/>
      <c r="F2573" s="5"/>
    </row>
    <row r="2574" spans="3:6" x14ac:dyDescent="0.25">
      <c r="C2574" s="3"/>
      <c r="D2574" s="3"/>
      <c r="E2574" s="3"/>
      <c r="F2574" s="5"/>
    </row>
    <row r="2575" spans="3:6" x14ac:dyDescent="0.25">
      <c r="C2575" s="3"/>
      <c r="D2575" s="3"/>
      <c r="E2575" s="3"/>
      <c r="F2575" s="5"/>
    </row>
    <row r="2576" spans="3:6" x14ac:dyDescent="0.25">
      <c r="C2576" s="3"/>
      <c r="D2576" s="3"/>
      <c r="E2576" s="3"/>
      <c r="F2576" s="5"/>
    </row>
    <row r="2577" spans="3:6" x14ac:dyDescent="0.25">
      <c r="C2577" s="3"/>
      <c r="D2577" s="3"/>
      <c r="E2577" s="3"/>
      <c r="F2577" s="5"/>
    </row>
    <row r="2578" spans="3:6" x14ac:dyDescent="0.25">
      <c r="C2578" s="3"/>
      <c r="D2578" s="3"/>
      <c r="E2578" s="3"/>
      <c r="F2578" s="5"/>
    </row>
    <row r="2579" spans="3:6" x14ac:dyDescent="0.25">
      <c r="C2579" s="3"/>
      <c r="D2579" s="3"/>
      <c r="E2579" s="3"/>
      <c r="F2579" s="5"/>
    </row>
    <row r="2580" spans="3:6" x14ac:dyDescent="0.25">
      <c r="C2580" s="3"/>
      <c r="D2580" s="3"/>
      <c r="E2580" s="3"/>
      <c r="F2580" s="5"/>
    </row>
    <row r="2581" spans="3:6" x14ac:dyDescent="0.25">
      <c r="C2581" s="3"/>
      <c r="D2581" s="3"/>
      <c r="E2581" s="3"/>
      <c r="F2581" s="5"/>
    </row>
    <row r="2582" spans="3:6" x14ac:dyDescent="0.25">
      <c r="C2582" s="3"/>
      <c r="D2582" s="3"/>
      <c r="E2582" s="3"/>
      <c r="F2582" s="5"/>
    </row>
    <row r="2583" spans="3:6" x14ac:dyDescent="0.25">
      <c r="C2583" s="3"/>
      <c r="D2583" s="3"/>
      <c r="E2583" s="3"/>
      <c r="F2583" s="5"/>
    </row>
    <row r="2584" spans="3:6" x14ac:dyDescent="0.25">
      <c r="C2584" s="3"/>
      <c r="D2584" s="3"/>
      <c r="E2584" s="3"/>
      <c r="F2584" s="5"/>
    </row>
    <row r="2585" spans="3:6" x14ac:dyDescent="0.25">
      <c r="C2585" s="3"/>
      <c r="D2585" s="3"/>
      <c r="E2585" s="3"/>
      <c r="F2585" s="5"/>
    </row>
    <row r="2586" spans="3:6" x14ac:dyDescent="0.25">
      <c r="C2586" s="3"/>
      <c r="D2586" s="3"/>
      <c r="E2586" s="3"/>
      <c r="F2586" s="5"/>
    </row>
    <row r="2587" spans="3:6" x14ac:dyDescent="0.25">
      <c r="C2587" s="3"/>
      <c r="D2587" s="3"/>
      <c r="E2587" s="3"/>
      <c r="F2587" s="5"/>
    </row>
    <row r="2588" spans="3:6" x14ac:dyDescent="0.25">
      <c r="C2588" s="3"/>
      <c r="D2588" s="3"/>
      <c r="E2588" s="3"/>
      <c r="F2588" s="5"/>
    </row>
    <row r="2589" spans="3:6" x14ac:dyDescent="0.25">
      <c r="C2589" s="3"/>
      <c r="D2589" s="3"/>
      <c r="E2589" s="3"/>
      <c r="F2589" s="5"/>
    </row>
    <row r="2590" spans="3:6" x14ac:dyDescent="0.25">
      <c r="C2590" s="3"/>
      <c r="D2590" s="3"/>
      <c r="E2590" s="3"/>
      <c r="F2590" s="5"/>
    </row>
    <row r="2591" spans="3:6" x14ac:dyDescent="0.25">
      <c r="C2591" s="3"/>
      <c r="D2591" s="3"/>
      <c r="E2591" s="3"/>
      <c r="F2591" s="5"/>
    </row>
    <row r="2592" spans="3:6" x14ac:dyDescent="0.25">
      <c r="C2592" s="3"/>
      <c r="D2592" s="3"/>
      <c r="E2592" s="3"/>
      <c r="F2592" s="5"/>
    </row>
    <row r="2593" spans="3:6" x14ac:dyDescent="0.25">
      <c r="C2593" s="3"/>
      <c r="D2593" s="3"/>
      <c r="E2593" s="3"/>
      <c r="F2593" s="5"/>
    </row>
    <row r="2594" spans="3:6" x14ac:dyDescent="0.25">
      <c r="C2594" s="3"/>
      <c r="D2594" s="3"/>
      <c r="E2594" s="3"/>
      <c r="F2594" s="5"/>
    </row>
    <row r="2595" spans="3:6" x14ac:dyDescent="0.25">
      <c r="C2595" s="3"/>
      <c r="D2595" s="3"/>
      <c r="E2595" s="3"/>
      <c r="F2595" s="5"/>
    </row>
    <row r="2596" spans="3:6" x14ac:dyDescent="0.25">
      <c r="C2596" s="3"/>
      <c r="D2596" s="3"/>
      <c r="E2596" s="3"/>
      <c r="F2596" s="5"/>
    </row>
    <row r="2597" spans="3:6" x14ac:dyDescent="0.25">
      <c r="C2597" s="3"/>
      <c r="D2597" s="3"/>
      <c r="E2597" s="3"/>
      <c r="F2597" s="5"/>
    </row>
    <row r="2598" spans="3:6" x14ac:dyDescent="0.25">
      <c r="C2598" s="3"/>
      <c r="D2598" s="3"/>
      <c r="E2598" s="3"/>
      <c r="F2598" s="5"/>
    </row>
    <row r="2599" spans="3:6" x14ac:dyDescent="0.25">
      <c r="C2599" s="3"/>
      <c r="D2599" s="3"/>
      <c r="E2599" s="3"/>
      <c r="F2599" s="5"/>
    </row>
    <row r="2600" spans="3:6" x14ac:dyDescent="0.25">
      <c r="C2600" s="3"/>
      <c r="D2600" s="3"/>
      <c r="E2600" s="3"/>
      <c r="F2600" s="5"/>
    </row>
    <row r="2601" spans="3:6" x14ac:dyDescent="0.25">
      <c r="C2601" s="3"/>
      <c r="D2601" s="3"/>
      <c r="E2601" s="3"/>
      <c r="F2601" s="5"/>
    </row>
    <row r="2602" spans="3:6" x14ac:dyDescent="0.25">
      <c r="C2602" s="3"/>
      <c r="D2602" s="3"/>
      <c r="E2602" s="3"/>
      <c r="F2602" s="5"/>
    </row>
    <row r="2603" spans="3:6" x14ac:dyDescent="0.25">
      <c r="C2603" s="3"/>
      <c r="D2603" s="3"/>
      <c r="E2603" s="3"/>
      <c r="F2603" s="5"/>
    </row>
    <row r="2604" spans="3:6" x14ac:dyDescent="0.25">
      <c r="C2604" s="3"/>
      <c r="D2604" s="3"/>
      <c r="E2604" s="3"/>
      <c r="F2604" s="5"/>
    </row>
    <row r="2605" spans="3:6" x14ac:dyDescent="0.25">
      <c r="C2605" s="3"/>
      <c r="D2605" s="3"/>
      <c r="E2605" s="3"/>
      <c r="F2605" s="5"/>
    </row>
    <row r="2606" spans="3:6" x14ac:dyDescent="0.25">
      <c r="C2606" s="3"/>
      <c r="D2606" s="3"/>
      <c r="E2606" s="3"/>
      <c r="F2606" s="5"/>
    </row>
    <row r="2607" spans="3:6" x14ac:dyDescent="0.25">
      <c r="C2607" s="3"/>
      <c r="D2607" s="3"/>
      <c r="E2607" s="3"/>
      <c r="F2607" s="5"/>
    </row>
    <row r="2608" spans="3:6" x14ac:dyDescent="0.25">
      <c r="C2608" s="3"/>
      <c r="D2608" s="3"/>
      <c r="E2608" s="3"/>
      <c r="F2608" s="5"/>
    </row>
    <row r="2609" spans="3:6" x14ac:dyDescent="0.25">
      <c r="C2609" s="3"/>
      <c r="D2609" s="3"/>
      <c r="E2609" s="3"/>
      <c r="F2609" s="5"/>
    </row>
    <row r="2610" spans="3:6" x14ac:dyDescent="0.25">
      <c r="C2610" s="3"/>
      <c r="D2610" s="3"/>
      <c r="E2610" s="3"/>
      <c r="F2610" s="5"/>
    </row>
    <row r="2611" spans="3:6" x14ac:dyDescent="0.25">
      <c r="C2611" s="3"/>
      <c r="D2611" s="3"/>
      <c r="E2611" s="3"/>
      <c r="F2611" s="5"/>
    </row>
    <row r="2612" spans="3:6" x14ac:dyDescent="0.25">
      <c r="C2612" s="3"/>
      <c r="D2612" s="3"/>
      <c r="E2612" s="3"/>
      <c r="F2612" s="5"/>
    </row>
    <row r="2613" spans="3:6" x14ac:dyDescent="0.25">
      <c r="C2613" s="3"/>
      <c r="D2613" s="3"/>
      <c r="E2613" s="3"/>
      <c r="F2613" s="5"/>
    </row>
    <row r="2614" spans="3:6" x14ac:dyDescent="0.25">
      <c r="C2614" s="3"/>
      <c r="D2614" s="3"/>
      <c r="E2614" s="3"/>
      <c r="F2614" s="5"/>
    </row>
    <row r="2615" spans="3:6" x14ac:dyDescent="0.25">
      <c r="C2615" s="3"/>
      <c r="D2615" s="3"/>
      <c r="E2615" s="3"/>
      <c r="F2615" s="5"/>
    </row>
    <row r="2616" spans="3:6" x14ac:dyDescent="0.25">
      <c r="C2616" s="3"/>
      <c r="D2616" s="3"/>
      <c r="E2616" s="3"/>
      <c r="F2616" s="5"/>
    </row>
    <row r="2617" spans="3:6" x14ac:dyDescent="0.25">
      <c r="C2617" s="3"/>
      <c r="D2617" s="3"/>
      <c r="E2617" s="3"/>
      <c r="F2617" s="5"/>
    </row>
    <row r="2618" spans="3:6" x14ac:dyDescent="0.25">
      <c r="C2618" s="3"/>
      <c r="D2618" s="3"/>
      <c r="E2618" s="3"/>
      <c r="F2618" s="5"/>
    </row>
    <row r="2619" spans="3:6" x14ac:dyDescent="0.25">
      <c r="C2619" s="3"/>
      <c r="D2619" s="3"/>
      <c r="E2619" s="3"/>
      <c r="F2619" s="5"/>
    </row>
    <row r="2620" spans="3:6" x14ac:dyDescent="0.25">
      <c r="C2620" s="3"/>
      <c r="D2620" s="3"/>
      <c r="E2620" s="3"/>
      <c r="F2620" s="5"/>
    </row>
    <row r="2621" spans="3:6" x14ac:dyDescent="0.25">
      <c r="C2621" s="3"/>
      <c r="D2621" s="3"/>
      <c r="E2621" s="3"/>
      <c r="F2621" s="5"/>
    </row>
    <row r="2622" spans="3:6" x14ac:dyDescent="0.25">
      <c r="C2622" s="3"/>
      <c r="D2622" s="3"/>
      <c r="E2622" s="3"/>
      <c r="F2622" s="5"/>
    </row>
    <row r="2623" spans="3:6" x14ac:dyDescent="0.25">
      <c r="C2623" s="3"/>
      <c r="D2623" s="3"/>
      <c r="E2623" s="3"/>
      <c r="F2623" s="5"/>
    </row>
    <row r="2624" spans="3:6" x14ac:dyDescent="0.25">
      <c r="C2624" s="3"/>
      <c r="D2624" s="3"/>
      <c r="E2624" s="3"/>
      <c r="F2624" s="5"/>
    </row>
    <row r="2625" spans="3:6" x14ac:dyDescent="0.25">
      <c r="C2625" s="3"/>
      <c r="D2625" s="3"/>
      <c r="E2625" s="3"/>
      <c r="F2625" s="5"/>
    </row>
    <row r="2626" spans="3:6" x14ac:dyDescent="0.25">
      <c r="C2626" s="3"/>
      <c r="D2626" s="3"/>
      <c r="E2626" s="3"/>
      <c r="F2626" s="5"/>
    </row>
    <row r="2627" spans="3:6" x14ac:dyDescent="0.25">
      <c r="C2627" s="3"/>
      <c r="D2627" s="3"/>
      <c r="E2627" s="3"/>
      <c r="F2627" s="5"/>
    </row>
    <row r="2628" spans="3:6" x14ac:dyDescent="0.25">
      <c r="C2628" s="3"/>
      <c r="D2628" s="3"/>
      <c r="E2628" s="3"/>
      <c r="F2628" s="5"/>
    </row>
    <row r="2629" spans="3:6" x14ac:dyDescent="0.25">
      <c r="C2629" s="3"/>
      <c r="D2629" s="3"/>
      <c r="E2629" s="3"/>
      <c r="F2629" s="5"/>
    </row>
    <row r="2630" spans="3:6" x14ac:dyDescent="0.25">
      <c r="C2630" s="3"/>
      <c r="D2630" s="3"/>
      <c r="E2630" s="3"/>
      <c r="F2630" s="5"/>
    </row>
    <row r="2631" spans="3:6" x14ac:dyDescent="0.25">
      <c r="C2631" s="3"/>
      <c r="D2631" s="3"/>
      <c r="E2631" s="3"/>
      <c r="F2631" s="5"/>
    </row>
    <row r="2632" spans="3:6" x14ac:dyDescent="0.25">
      <c r="C2632" s="3"/>
      <c r="D2632" s="3"/>
      <c r="E2632" s="3"/>
      <c r="F2632" s="5"/>
    </row>
    <row r="2633" spans="3:6" x14ac:dyDescent="0.25">
      <c r="C2633" s="3"/>
      <c r="D2633" s="3"/>
      <c r="E2633" s="3"/>
      <c r="F2633" s="5"/>
    </row>
    <row r="2634" spans="3:6" x14ac:dyDescent="0.25">
      <c r="C2634" s="3"/>
      <c r="D2634" s="3"/>
      <c r="E2634" s="3"/>
      <c r="F2634" s="5"/>
    </row>
    <row r="2635" spans="3:6" x14ac:dyDescent="0.25">
      <c r="C2635" s="3"/>
      <c r="D2635" s="3"/>
      <c r="E2635" s="3"/>
      <c r="F2635" s="5"/>
    </row>
    <row r="2636" spans="3:6" x14ac:dyDescent="0.25">
      <c r="C2636" s="3"/>
      <c r="D2636" s="3"/>
      <c r="E2636" s="3"/>
      <c r="F2636" s="5"/>
    </row>
    <row r="2637" spans="3:6" x14ac:dyDescent="0.25">
      <c r="C2637" s="3"/>
      <c r="D2637" s="3"/>
      <c r="E2637" s="3"/>
      <c r="F2637" s="5"/>
    </row>
    <row r="2638" spans="3:6" x14ac:dyDescent="0.25">
      <c r="C2638" s="3"/>
      <c r="D2638" s="3"/>
      <c r="E2638" s="3"/>
      <c r="F2638" s="5"/>
    </row>
    <row r="2639" spans="3:6" x14ac:dyDescent="0.25">
      <c r="C2639" s="3"/>
      <c r="D2639" s="3"/>
      <c r="E2639" s="3"/>
      <c r="F2639" s="5"/>
    </row>
    <row r="2640" spans="3:6" x14ac:dyDescent="0.25">
      <c r="C2640" s="3"/>
      <c r="D2640" s="3"/>
      <c r="E2640" s="3"/>
      <c r="F2640" s="5"/>
    </row>
    <row r="2641" spans="3:6" x14ac:dyDescent="0.25">
      <c r="C2641" s="3"/>
      <c r="D2641" s="3"/>
      <c r="E2641" s="3"/>
      <c r="F2641" s="5"/>
    </row>
    <row r="2642" spans="3:6" x14ac:dyDescent="0.25">
      <c r="C2642" s="3"/>
      <c r="D2642" s="3"/>
      <c r="E2642" s="3"/>
      <c r="F2642" s="5"/>
    </row>
    <row r="2643" spans="3:6" x14ac:dyDescent="0.25">
      <c r="C2643" s="3"/>
      <c r="D2643" s="3"/>
      <c r="E2643" s="3"/>
      <c r="F2643" s="5"/>
    </row>
    <row r="2644" spans="3:6" x14ac:dyDescent="0.25">
      <c r="C2644" s="3"/>
      <c r="D2644" s="3"/>
      <c r="E2644" s="3"/>
      <c r="F2644" s="5"/>
    </row>
    <row r="2645" spans="3:6" x14ac:dyDescent="0.25">
      <c r="C2645" s="3"/>
      <c r="D2645" s="3"/>
      <c r="E2645" s="3"/>
      <c r="F2645" s="5"/>
    </row>
    <row r="2646" spans="3:6" x14ac:dyDescent="0.25">
      <c r="C2646" s="3"/>
      <c r="D2646" s="3"/>
      <c r="E2646" s="3"/>
      <c r="F2646" s="5"/>
    </row>
    <row r="2647" spans="3:6" x14ac:dyDescent="0.25">
      <c r="C2647" s="3"/>
      <c r="D2647" s="3"/>
      <c r="E2647" s="3"/>
      <c r="F2647" s="5"/>
    </row>
    <row r="2648" spans="3:6" x14ac:dyDescent="0.25">
      <c r="C2648" s="3"/>
      <c r="D2648" s="3"/>
      <c r="E2648" s="3"/>
      <c r="F2648" s="5"/>
    </row>
    <row r="2649" spans="3:6" x14ac:dyDescent="0.25">
      <c r="C2649" s="3"/>
      <c r="D2649" s="3"/>
      <c r="E2649" s="3"/>
      <c r="F2649" s="5"/>
    </row>
    <row r="2650" spans="3:6" x14ac:dyDescent="0.25">
      <c r="C2650" s="3"/>
      <c r="D2650" s="3"/>
      <c r="E2650" s="3"/>
      <c r="F2650" s="5"/>
    </row>
    <row r="2651" spans="3:6" x14ac:dyDescent="0.25">
      <c r="C2651" s="3"/>
      <c r="D2651" s="3"/>
      <c r="E2651" s="3"/>
      <c r="F2651" s="5"/>
    </row>
    <row r="2652" spans="3:6" x14ac:dyDescent="0.25">
      <c r="C2652" s="3"/>
      <c r="D2652" s="3"/>
      <c r="E2652" s="3"/>
      <c r="F2652" s="5"/>
    </row>
    <row r="2653" spans="3:6" x14ac:dyDescent="0.25">
      <c r="C2653" s="3"/>
      <c r="D2653" s="3"/>
      <c r="E2653" s="3"/>
      <c r="F2653" s="5"/>
    </row>
    <row r="2654" spans="3:6" x14ac:dyDescent="0.25">
      <c r="C2654" s="3"/>
      <c r="D2654" s="3"/>
      <c r="E2654" s="3"/>
      <c r="F2654" s="5"/>
    </row>
    <row r="2655" spans="3:6" x14ac:dyDescent="0.25">
      <c r="C2655" s="3"/>
      <c r="D2655" s="3"/>
      <c r="E2655" s="3"/>
      <c r="F2655" s="5"/>
    </row>
    <row r="2656" spans="3:6" x14ac:dyDescent="0.25">
      <c r="C2656" s="3"/>
      <c r="D2656" s="3"/>
      <c r="E2656" s="3"/>
      <c r="F2656" s="5"/>
    </row>
    <row r="2657" spans="3:6" x14ac:dyDescent="0.25">
      <c r="C2657" s="3"/>
      <c r="D2657" s="3"/>
      <c r="E2657" s="3"/>
      <c r="F2657" s="5"/>
    </row>
    <row r="2658" spans="3:6" x14ac:dyDescent="0.25">
      <c r="C2658" s="3"/>
      <c r="D2658" s="3"/>
      <c r="E2658" s="3"/>
      <c r="F2658" s="5"/>
    </row>
    <row r="2659" spans="3:6" x14ac:dyDescent="0.25">
      <c r="C2659" s="3"/>
      <c r="D2659" s="3"/>
      <c r="E2659" s="3"/>
      <c r="F2659" s="5"/>
    </row>
    <row r="2660" spans="3:6" x14ac:dyDescent="0.25">
      <c r="C2660" s="3"/>
      <c r="D2660" s="3"/>
      <c r="E2660" s="3"/>
      <c r="F2660" s="5"/>
    </row>
    <row r="2661" spans="3:6" x14ac:dyDescent="0.25">
      <c r="C2661" s="3"/>
      <c r="D2661" s="3"/>
      <c r="E2661" s="3"/>
      <c r="F2661" s="5"/>
    </row>
    <row r="2662" spans="3:6" x14ac:dyDescent="0.25">
      <c r="C2662" s="3"/>
      <c r="D2662" s="3"/>
      <c r="E2662" s="3"/>
      <c r="F2662" s="5"/>
    </row>
    <row r="2663" spans="3:6" x14ac:dyDescent="0.25">
      <c r="C2663" s="3"/>
      <c r="D2663" s="3"/>
      <c r="E2663" s="3"/>
      <c r="F2663" s="5"/>
    </row>
    <row r="2664" spans="3:6" x14ac:dyDescent="0.25">
      <c r="C2664" s="3"/>
      <c r="D2664" s="3"/>
      <c r="E2664" s="3"/>
      <c r="F2664" s="5"/>
    </row>
    <row r="2665" spans="3:6" x14ac:dyDescent="0.25">
      <c r="C2665" s="3"/>
      <c r="D2665" s="3"/>
      <c r="E2665" s="3"/>
      <c r="F2665" s="5"/>
    </row>
    <row r="2666" spans="3:6" x14ac:dyDescent="0.25">
      <c r="C2666" s="3"/>
      <c r="D2666" s="3"/>
      <c r="E2666" s="3"/>
      <c r="F2666" s="5"/>
    </row>
    <row r="2667" spans="3:6" x14ac:dyDescent="0.25">
      <c r="C2667" s="3"/>
      <c r="D2667" s="3"/>
      <c r="E2667" s="3"/>
      <c r="F2667" s="5"/>
    </row>
    <row r="2668" spans="3:6" x14ac:dyDescent="0.25">
      <c r="C2668" s="3"/>
      <c r="D2668" s="3"/>
      <c r="E2668" s="3"/>
      <c r="F2668" s="5"/>
    </row>
    <row r="2669" spans="3:6" x14ac:dyDescent="0.25">
      <c r="C2669" s="3"/>
      <c r="D2669" s="3"/>
      <c r="E2669" s="3"/>
      <c r="F2669" s="5"/>
    </row>
    <row r="2670" spans="3:6" x14ac:dyDescent="0.25">
      <c r="C2670" s="3"/>
      <c r="D2670" s="3"/>
      <c r="E2670" s="3"/>
      <c r="F2670" s="5"/>
    </row>
    <row r="2671" spans="3:6" x14ac:dyDescent="0.25">
      <c r="C2671" s="3"/>
      <c r="D2671" s="3"/>
      <c r="E2671" s="3"/>
      <c r="F2671" s="5"/>
    </row>
    <row r="2672" spans="3:6" x14ac:dyDescent="0.25">
      <c r="C2672" s="3"/>
      <c r="D2672" s="3"/>
      <c r="E2672" s="3"/>
      <c r="F2672" s="5"/>
    </row>
    <row r="2673" spans="3:6" x14ac:dyDescent="0.25">
      <c r="C2673" s="3"/>
      <c r="D2673" s="3"/>
      <c r="E2673" s="3"/>
      <c r="F2673" s="5"/>
    </row>
    <row r="2674" spans="3:6" x14ac:dyDescent="0.25">
      <c r="C2674" s="3"/>
      <c r="D2674" s="3"/>
      <c r="E2674" s="3"/>
      <c r="F2674" s="5"/>
    </row>
    <row r="2675" spans="3:6" x14ac:dyDescent="0.25">
      <c r="C2675" s="3"/>
      <c r="D2675" s="3"/>
      <c r="E2675" s="3"/>
      <c r="F2675" s="5"/>
    </row>
    <row r="2676" spans="3:6" x14ac:dyDescent="0.25">
      <c r="C2676" s="3"/>
      <c r="D2676" s="3"/>
      <c r="E2676" s="3"/>
      <c r="F2676" s="5"/>
    </row>
    <row r="2677" spans="3:6" x14ac:dyDescent="0.25">
      <c r="C2677" s="3"/>
      <c r="D2677" s="3"/>
      <c r="E2677" s="3"/>
      <c r="F2677" s="5"/>
    </row>
    <row r="2678" spans="3:6" x14ac:dyDescent="0.25">
      <c r="C2678" s="3"/>
      <c r="D2678" s="3"/>
      <c r="E2678" s="3"/>
      <c r="F2678" s="5"/>
    </row>
    <row r="2679" spans="3:6" x14ac:dyDescent="0.25">
      <c r="C2679" s="3"/>
      <c r="D2679" s="3"/>
      <c r="E2679" s="3"/>
      <c r="F2679" s="5"/>
    </row>
    <row r="2680" spans="3:6" x14ac:dyDescent="0.25">
      <c r="C2680" s="3"/>
      <c r="D2680" s="3"/>
      <c r="E2680" s="3"/>
      <c r="F2680" s="5"/>
    </row>
    <row r="2681" spans="3:6" x14ac:dyDescent="0.25">
      <c r="C2681" s="3"/>
      <c r="D2681" s="3"/>
      <c r="E2681" s="3"/>
      <c r="F2681" s="5"/>
    </row>
    <row r="2682" spans="3:6" x14ac:dyDescent="0.25">
      <c r="C2682" s="3"/>
      <c r="D2682" s="3"/>
      <c r="E2682" s="3"/>
      <c r="F2682" s="5"/>
    </row>
    <row r="2683" spans="3:6" x14ac:dyDescent="0.25">
      <c r="C2683" s="3"/>
      <c r="D2683" s="3"/>
      <c r="E2683" s="3"/>
      <c r="F2683" s="5"/>
    </row>
    <row r="2684" spans="3:6" x14ac:dyDescent="0.25">
      <c r="C2684" s="3"/>
      <c r="D2684" s="3"/>
      <c r="E2684" s="3"/>
      <c r="F2684" s="5"/>
    </row>
    <row r="2685" spans="3:6" x14ac:dyDescent="0.25">
      <c r="C2685" s="3"/>
      <c r="D2685" s="3"/>
      <c r="E2685" s="3"/>
      <c r="F2685" s="5"/>
    </row>
    <row r="2686" spans="3:6" x14ac:dyDescent="0.25">
      <c r="C2686" s="3"/>
      <c r="D2686" s="3"/>
      <c r="E2686" s="3"/>
      <c r="F2686" s="5"/>
    </row>
    <row r="2687" spans="3:6" x14ac:dyDescent="0.25">
      <c r="C2687" s="3"/>
      <c r="D2687" s="3"/>
      <c r="E2687" s="3"/>
      <c r="F2687" s="5"/>
    </row>
    <row r="2688" spans="3:6" x14ac:dyDescent="0.25">
      <c r="C2688" s="3"/>
      <c r="D2688" s="3"/>
      <c r="E2688" s="3"/>
      <c r="F2688" s="5"/>
    </row>
    <row r="2689" spans="3:6" x14ac:dyDescent="0.25">
      <c r="C2689" s="3"/>
      <c r="D2689" s="3"/>
      <c r="E2689" s="3"/>
      <c r="F2689" s="5"/>
    </row>
    <row r="2690" spans="3:6" x14ac:dyDescent="0.25">
      <c r="C2690" s="3"/>
      <c r="D2690" s="3"/>
      <c r="E2690" s="3"/>
      <c r="F2690" s="5"/>
    </row>
    <row r="2691" spans="3:6" x14ac:dyDescent="0.25">
      <c r="C2691" s="3"/>
      <c r="D2691" s="3"/>
      <c r="E2691" s="3"/>
      <c r="F2691" s="5"/>
    </row>
    <row r="2692" spans="3:6" x14ac:dyDescent="0.25">
      <c r="C2692" s="3"/>
      <c r="D2692" s="3"/>
      <c r="E2692" s="3"/>
      <c r="F2692" s="5"/>
    </row>
    <row r="2693" spans="3:6" x14ac:dyDescent="0.25">
      <c r="C2693" s="3"/>
      <c r="D2693" s="3"/>
      <c r="E2693" s="3"/>
      <c r="F2693" s="5"/>
    </row>
    <row r="2694" spans="3:6" x14ac:dyDescent="0.25">
      <c r="C2694" s="3"/>
      <c r="D2694" s="3"/>
      <c r="E2694" s="3"/>
      <c r="F2694" s="5"/>
    </row>
    <row r="2695" spans="3:6" x14ac:dyDescent="0.25">
      <c r="C2695" s="3"/>
      <c r="D2695" s="3"/>
      <c r="E2695" s="3"/>
      <c r="F2695" s="5"/>
    </row>
    <row r="2696" spans="3:6" x14ac:dyDescent="0.25">
      <c r="C2696" s="3"/>
      <c r="D2696" s="3"/>
      <c r="E2696" s="3"/>
      <c r="F2696" s="5"/>
    </row>
    <row r="2697" spans="3:6" x14ac:dyDescent="0.25">
      <c r="C2697" s="3"/>
      <c r="D2697" s="3"/>
      <c r="E2697" s="3"/>
      <c r="F2697" s="5"/>
    </row>
    <row r="2698" spans="3:6" x14ac:dyDescent="0.25">
      <c r="C2698" s="3"/>
      <c r="D2698" s="3"/>
      <c r="E2698" s="3"/>
      <c r="F2698" s="5"/>
    </row>
    <row r="2699" spans="3:6" x14ac:dyDescent="0.25">
      <c r="C2699" s="3"/>
      <c r="D2699" s="3"/>
      <c r="E2699" s="3"/>
      <c r="F2699" s="5"/>
    </row>
    <row r="2700" spans="3:6" x14ac:dyDescent="0.25">
      <c r="C2700" s="3"/>
      <c r="D2700" s="3"/>
      <c r="E2700" s="3"/>
      <c r="F2700" s="5"/>
    </row>
    <row r="2701" spans="3:6" x14ac:dyDescent="0.25">
      <c r="C2701" s="3"/>
      <c r="D2701" s="3"/>
      <c r="E2701" s="3"/>
      <c r="F2701" s="5"/>
    </row>
    <row r="2702" spans="3:6" x14ac:dyDescent="0.25">
      <c r="C2702" s="3"/>
      <c r="D2702" s="3"/>
      <c r="E2702" s="3"/>
      <c r="F2702" s="5"/>
    </row>
    <row r="2703" spans="3:6" x14ac:dyDescent="0.25">
      <c r="C2703" s="3"/>
      <c r="D2703" s="3"/>
      <c r="E2703" s="3"/>
      <c r="F2703" s="5"/>
    </row>
    <row r="2704" spans="3:6" x14ac:dyDescent="0.25">
      <c r="C2704" s="3"/>
      <c r="D2704" s="3"/>
      <c r="E2704" s="3"/>
      <c r="F2704" s="5"/>
    </row>
    <row r="2705" spans="3:6" x14ac:dyDescent="0.25">
      <c r="C2705" s="3"/>
      <c r="D2705" s="3"/>
      <c r="E2705" s="3"/>
      <c r="F2705" s="5"/>
    </row>
    <row r="2706" spans="3:6" x14ac:dyDescent="0.25">
      <c r="C2706" s="3"/>
      <c r="D2706" s="3"/>
      <c r="E2706" s="3"/>
      <c r="F2706" s="5"/>
    </row>
    <row r="2707" spans="3:6" x14ac:dyDescent="0.25">
      <c r="C2707" s="3"/>
      <c r="D2707" s="3"/>
      <c r="E2707" s="3"/>
      <c r="F2707" s="5"/>
    </row>
    <row r="2708" spans="3:6" x14ac:dyDescent="0.25">
      <c r="C2708" s="3"/>
      <c r="D2708" s="3"/>
      <c r="E2708" s="3"/>
      <c r="F2708" s="5"/>
    </row>
    <row r="2709" spans="3:6" x14ac:dyDescent="0.25">
      <c r="C2709" s="3"/>
      <c r="D2709" s="3"/>
      <c r="E2709" s="3"/>
      <c r="F2709" s="5"/>
    </row>
    <row r="2710" spans="3:6" x14ac:dyDescent="0.25">
      <c r="C2710" s="3"/>
      <c r="D2710" s="3"/>
      <c r="E2710" s="3"/>
      <c r="F2710" s="5"/>
    </row>
    <row r="2711" spans="3:6" x14ac:dyDescent="0.25">
      <c r="C2711" s="3"/>
      <c r="D2711" s="3"/>
      <c r="E2711" s="3"/>
      <c r="F2711" s="5"/>
    </row>
    <row r="2712" spans="3:6" x14ac:dyDescent="0.25">
      <c r="C2712" s="3"/>
      <c r="D2712" s="3"/>
      <c r="E2712" s="3"/>
      <c r="F2712" s="5"/>
    </row>
    <row r="2713" spans="3:6" x14ac:dyDescent="0.25">
      <c r="C2713" s="3"/>
      <c r="D2713" s="3"/>
      <c r="E2713" s="3"/>
      <c r="F2713" s="5"/>
    </row>
    <row r="2714" spans="3:6" x14ac:dyDescent="0.25">
      <c r="C2714" s="3"/>
      <c r="D2714" s="3"/>
      <c r="E2714" s="3"/>
      <c r="F2714" s="5"/>
    </row>
    <row r="2715" spans="3:6" x14ac:dyDescent="0.25">
      <c r="C2715" s="3"/>
      <c r="D2715" s="3"/>
      <c r="E2715" s="3"/>
      <c r="F2715" s="5"/>
    </row>
    <row r="2716" spans="3:6" x14ac:dyDescent="0.25">
      <c r="C2716" s="3"/>
      <c r="D2716" s="3"/>
      <c r="E2716" s="3"/>
      <c r="F2716" s="5"/>
    </row>
    <row r="2717" spans="3:6" x14ac:dyDescent="0.25">
      <c r="C2717" s="3"/>
      <c r="D2717" s="3"/>
      <c r="E2717" s="3"/>
      <c r="F2717" s="5"/>
    </row>
    <row r="2718" spans="3:6" x14ac:dyDescent="0.25">
      <c r="C2718" s="3"/>
      <c r="D2718" s="3"/>
      <c r="E2718" s="3"/>
      <c r="F2718" s="5"/>
    </row>
    <row r="2719" spans="3:6" x14ac:dyDescent="0.25">
      <c r="C2719" s="3"/>
      <c r="D2719" s="3"/>
      <c r="E2719" s="3"/>
      <c r="F2719" s="5"/>
    </row>
    <row r="2720" spans="3:6" x14ac:dyDescent="0.25">
      <c r="C2720" s="3"/>
      <c r="D2720" s="3"/>
      <c r="E2720" s="3"/>
      <c r="F2720" s="5"/>
    </row>
    <row r="2721" spans="3:6" x14ac:dyDescent="0.25">
      <c r="C2721" s="3"/>
      <c r="D2721" s="3"/>
      <c r="E2721" s="3"/>
      <c r="F2721" s="5"/>
    </row>
    <row r="2722" spans="3:6" x14ac:dyDescent="0.25">
      <c r="C2722" s="3"/>
      <c r="D2722" s="3"/>
      <c r="E2722" s="3"/>
      <c r="F2722" s="5"/>
    </row>
    <row r="2723" spans="3:6" x14ac:dyDescent="0.25">
      <c r="C2723" s="3"/>
      <c r="D2723" s="3"/>
      <c r="E2723" s="3"/>
      <c r="F2723" s="5"/>
    </row>
    <row r="2724" spans="3:6" x14ac:dyDescent="0.25">
      <c r="C2724" s="3"/>
      <c r="D2724" s="3"/>
      <c r="E2724" s="3"/>
      <c r="F2724" s="5"/>
    </row>
    <row r="2725" spans="3:6" x14ac:dyDescent="0.25">
      <c r="C2725" s="3"/>
      <c r="D2725" s="3"/>
      <c r="E2725" s="3"/>
      <c r="F2725" s="5"/>
    </row>
    <row r="2726" spans="3:6" x14ac:dyDescent="0.25">
      <c r="C2726" s="3"/>
      <c r="D2726" s="3"/>
      <c r="E2726" s="3"/>
      <c r="F2726" s="5"/>
    </row>
    <row r="2727" spans="3:6" x14ac:dyDescent="0.25">
      <c r="C2727" s="3"/>
      <c r="D2727" s="3"/>
      <c r="E2727" s="3"/>
      <c r="F2727" s="5"/>
    </row>
    <row r="2728" spans="3:6" x14ac:dyDescent="0.25">
      <c r="C2728" s="3"/>
      <c r="D2728" s="3"/>
      <c r="E2728" s="3"/>
      <c r="F2728" s="5"/>
    </row>
    <row r="2729" spans="3:6" x14ac:dyDescent="0.25">
      <c r="C2729" s="3"/>
      <c r="D2729" s="3"/>
      <c r="E2729" s="3"/>
      <c r="F2729" s="5"/>
    </row>
    <row r="2730" spans="3:6" x14ac:dyDescent="0.25">
      <c r="C2730" s="3"/>
      <c r="D2730" s="3"/>
      <c r="E2730" s="3"/>
      <c r="F2730" s="5"/>
    </row>
    <row r="2731" spans="3:6" x14ac:dyDescent="0.25">
      <c r="C2731" s="3"/>
      <c r="D2731" s="3"/>
      <c r="E2731" s="3"/>
      <c r="F2731" s="5"/>
    </row>
    <row r="2732" spans="3:6" x14ac:dyDescent="0.25">
      <c r="C2732" s="3"/>
      <c r="D2732" s="3"/>
      <c r="E2732" s="3"/>
      <c r="F2732" s="5"/>
    </row>
    <row r="2733" spans="3:6" x14ac:dyDescent="0.25">
      <c r="C2733" s="3"/>
      <c r="D2733" s="3"/>
      <c r="E2733" s="3"/>
      <c r="F2733" s="5"/>
    </row>
    <row r="2734" spans="3:6" x14ac:dyDescent="0.25">
      <c r="C2734" s="3"/>
      <c r="D2734" s="3"/>
      <c r="E2734" s="3"/>
      <c r="F2734" s="5"/>
    </row>
    <row r="2735" spans="3:6" x14ac:dyDescent="0.25">
      <c r="C2735" s="3"/>
      <c r="D2735" s="3"/>
      <c r="E2735" s="3"/>
      <c r="F2735" s="5"/>
    </row>
    <row r="2736" spans="3:6" x14ac:dyDescent="0.25">
      <c r="C2736" s="3"/>
      <c r="D2736" s="3"/>
      <c r="E2736" s="3"/>
      <c r="F2736" s="5"/>
    </row>
    <row r="2737" spans="3:6" x14ac:dyDescent="0.25">
      <c r="C2737" s="3"/>
      <c r="D2737" s="3"/>
      <c r="E2737" s="3"/>
      <c r="F2737" s="5"/>
    </row>
    <row r="2738" spans="3:6" x14ac:dyDescent="0.25">
      <c r="C2738" s="3"/>
      <c r="D2738" s="3"/>
      <c r="E2738" s="3"/>
      <c r="F2738" s="5"/>
    </row>
    <row r="2739" spans="3:6" x14ac:dyDescent="0.25">
      <c r="C2739" s="3"/>
      <c r="D2739" s="3"/>
      <c r="E2739" s="3"/>
      <c r="F2739" s="5"/>
    </row>
    <row r="2740" spans="3:6" x14ac:dyDescent="0.25">
      <c r="C2740" s="3"/>
      <c r="D2740" s="3"/>
      <c r="E2740" s="3"/>
      <c r="F2740" s="5"/>
    </row>
    <row r="2741" spans="3:6" x14ac:dyDescent="0.25">
      <c r="C2741" s="3"/>
      <c r="D2741" s="3"/>
      <c r="E2741" s="3"/>
      <c r="F2741" s="5"/>
    </row>
    <row r="2742" spans="3:6" x14ac:dyDescent="0.25">
      <c r="C2742" s="3"/>
      <c r="D2742" s="3"/>
      <c r="E2742" s="3"/>
      <c r="F2742" s="5"/>
    </row>
    <row r="2743" spans="3:6" x14ac:dyDescent="0.25">
      <c r="C2743" s="3"/>
      <c r="D2743" s="3"/>
      <c r="E2743" s="3"/>
      <c r="F2743" s="5"/>
    </row>
    <row r="2744" spans="3:6" x14ac:dyDescent="0.25">
      <c r="C2744" s="3"/>
      <c r="D2744" s="3"/>
      <c r="E2744" s="3"/>
      <c r="F2744" s="5"/>
    </row>
    <row r="2745" spans="3:6" x14ac:dyDescent="0.25">
      <c r="C2745" s="3"/>
      <c r="D2745" s="3"/>
      <c r="E2745" s="3"/>
      <c r="F2745" s="5"/>
    </row>
    <row r="2746" spans="3:6" x14ac:dyDescent="0.25">
      <c r="C2746" s="3"/>
      <c r="D2746" s="3"/>
      <c r="E2746" s="3"/>
      <c r="F2746" s="5"/>
    </row>
    <row r="2747" spans="3:6" x14ac:dyDescent="0.25">
      <c r="C2747" s="3"/>
      <c r="D2747" s="3"/>
      <c r="E2747" s="3"/>
      <c r="F2747" s="5"/>
    </row>
    <row r="2748" spans="3:6" x14ac:dyDescent="0.25">
      <c r="C2748" s="3"/>
      <c r="D2748" s="3"/>
      <c r="E2748" s="3"/>
      <c r="F2748" s="5"/>
    </row>
    <row r="2749" spans="3:6" x14ac:dyDescent="0.25">
      <c r="C2749" s="3"/>
      <c r="D2749" s="3"/>
      <c r="E2749" s="3"/>
      <c r="F2749" s="5"/>
    </row>
    <row r="2750" spans="3:6" x14ac:dyDescent="0.25">
      <c r="C2750" s="3"/>
      <c r="D2750" s="3"/>
      <c r="E2750" s="3"/>
      <c r="F2750" s="5"/>
    </row>
    <row r="2751" spans="3:6" x14ac:dyDescent="0.25">
      <c r="C2751" s="3"/>
      <c r="D2751" s="3"/>
      <c r="E2751" s="3"/>
      <c r="F2751" s="5"/>
    </row>
    <row r="2752" spans="3:6" x14ac:dyDescent="0.25">
      <c r="C2752" s="3"/>
      <c r="D2752" s="3"/>
      <c r="E2752" s="3"/>
      <c r="F2752" s="5"/>
    </row>
    <row r="2753" spans="3:6" x14ac:dyDescent="0.25">
      <c r="C2753" s="3"/>
      <c r="D2753" s="3"/>
      <c r="E2753" s="3"/>
      <c r="F2753" s="5"/>
    </row>
    <row r="2754" spans="3:6" x14ac:dyDescent="0.25">
      <c r="C2754" s="3"/>
      <c r="D2754" s="3"/>
      <c r="E2754" s="3"/>
      <c r="F2754" s="5"/>
    </row>
    <row r="2755" spans="3:6" x14ac:dyDescent="0.25">
      <c r="C2755" s="3"/>
      <c r="D2755" s="3"/>
      <c r="E2755" s="3"/>
      <c r="F2755" s="5"/>
    </row>
    <row r="2756" spans="3:6" x14ac:dyDescent="0.25">
      <c r="C2756" s="3"/>
      <c r="D2756" s="3"/>
      <c r="E2756" s="3"/>
      <c r="F2756" s="5"/>
    </row>
    <row r="2757" spans="3:6" x14ac:dyDescent="0.25">
      <c r="C2757" s="3"/>
      <c r="D2757" s="3"/>
      <c r="E2757" s="3"/>
      <c r="F2757" s="5"/>
    </row>
    <row r="2758" spans="3:6" x14ac:dyDescent="0.25">
      <c r="C2758" s="3"/>
      <c r="D2758" s="3"/>
      <c r="E2758" s="3"/>
      <c r="F2758" s="5"/>
    </row>
    <row r="2759" spans="3:6" x14ac:dyDescent="0.25">
      <c r="C2759" s="3"/>
      <c r="D2759" s="3"/>
      <c r="E2759" s="3"/>
      <c r="F2759" s="5"/>
    </row>
    <row r="2760" spans="3:6" x14ac:dyDescent="0.25">
      <c r="C2760" s="3"/>
      <c r="D2760" s="3"/>
      <c r="E2760" s="3"/>
      <c r="F2760" s="5"/>
    </row>
    <row r="2761" spans="3:6" x14ac:dyDescent="0.25">
      <c r="C2761" s="3"/>
      <c r="D2761" s="3"/>
      <c r="E2761" s="3"/>
      <c r="F2761" s="5"/>
    </row>
    <row r="2762" spans="3:6" x14ac:dyDescent="0.25">
      <c r="C2762" s="3"/>
      <c r="D2762" s="3"/>
      <c r="E2762" s="3"/>
      <c r="F2762" s="5"/>
    </row>
    <row r="2763" spans="3:6" x14ac:dyDescent="0.25">
      <c r="C2763" s="3"/>
      <c r="D2763" s="3"/>
      <c r="E2763" s="3"/>
      <c r="F2763" s="5"/>
    </row>
    <row r="2764" spans="3:6" x14ac:dyDescent="0.25">
      <c r="C2764" s="3"/>
      <c r="D2764" s="3"/>
      <c r="E2764" s="3"/>
      <c r="F2764" s="5"/>
    </row>
    <row r="2765" spans="3:6" x14ac:dyDescent="0.25">
      <c r="C2765" s="3"/>
      <c r="D2765" s="3"/>
      <c r="E2765" s="3"/>
      <c r="F2765" s="5"/>
    </row>
    <row r="2766" spans="3:6" x14ac:dyDescent="0.25">
      <c r="C2766" s="3"/>
      <c r="D2766" s="3"/>
      <c r="E2766" s="3"/>
      <c r="F2766" s="5"/>
    </row>
    <row r="2767" spans="3:6" x14ac:dyDescent="0.25">
      <c r="C2767" s="3"/>
      <c r="D2767" s="3"/>
      <c r="E2767" s="3"/>
      <c r="F2767" s="5"/>
    </row>
    <row r="2768" spans="3:6" x14ac:dyDescent="0.25">
      <c r="C2768" s="3"/>
      <c r="D2768" s="3"/>
      <c r="E2768" s="3"/>
      <c r="F2768" s="5"/>
    </row>
    <row r="2769" spans="3:6" x14ac:dyDescent="0.25">
      <c r="C2769" s="3"/>
      <c r="D2769" s="3"/>
      <c r="E2769" s="3"/>
      <c r="F2769" s="5"/>
    </row>
    <row r="2770" spans="3:6" x14ac:dyDescent="0.25">
      <c r="C2770" s="3"/>
      <c r="D2770" s="3"/>
      <c r="E2770" s="3"/>
      <c r="F2770" s="5"/>
    </row>
    <row r="2771" spans="3:6" x14ac:dyDescent="0.25">
      <c r="C2771" s="3"/>
      <c r="D2771" s="3"/>
      <c r="E2771" s="3"/>
      <c r="F2771" s="5"/>
    </row>
    <row r="2772" spans="3:6" x14ac:dyDescent="0.25">
      <c r="C2772" s="3"/>
      <c r="D2772" s="3"/>
      <c r="E2772" s="3"/>
      <c r="F2772" s="5"/>
    </row>
    <row r="2773" spans="3:6" x14ac:dyDescent="0.25">
      <c r="C2773" s="3"/>
      <c r="D2773" s="3"/>
      <c r="E2773" s="3"/>
      <c r="F2773" s="5"/>
    </row>
    <row r="2774" spans="3:6" x14ac:dyDescent="0.25">
      <c r="C2774" s="3"/>
      <c r="D2774" s="3"/>
      <c r="E2774" s="3"/>
      <c r="F2774" s="5"/>
    </row>
    <row r="2775" spans="3:6" x14ac:dyDescent="0.25">
      <c r="C2775" s="3"/>
      <c r="D2775" s="3"/>
      <c r="E2775" s="3"/>
      <c r="F2775" s="5"/>
    </row>
    <row r="2776" spans="3:6" x14ac:dyDescent="0.25">
      <c r="C2776" s="3"/>
      <c r="D2776" s="3"/>
      <c r="E2776" s="3"/>
      <c r="F2776" s="5"/>
    </row>
    <row r="2777" spans="3:6" x14ac:dyDescent="0.25">
      <c r="C2777" s="3"/>
      <c r="D2777" s="3"/>
      <c r="E2777" s="3"/>
      <c r="F2777" s="5"/>
    </row>
    <row r="2778" spans="3:6" x14ac:dyDescent="0.25">
      <c r="C2778" s="3"/>
      <c r="D2778" s="3"/>
      <c r="E2778" s="3"/>
      <c r="F2778" s="5"/>
    </row>
    <row r="2779" spans="3:6" x14ac:dyDescent="0.25">
      <c r="C2779" s="3"/>
      <c r="D2779" s="3"/>
      <c r="E2779" s="3"/>
      <c r="F2779" s="5"/>
    </row>
    <row r="2780" spans="3:6" x14ac:dyDescent="0.25">
      <c r="C2780" s="3"/>
      <c r="D2780" s="3"/>
      <c r="E2780" s="3"/>
      <c r="F2780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8" sqref="C18"/>
    </sheetView>
  </sheetViews>
  <sheetFormatPr baseColWidth="10" defaultRowHeight="15" x14ac:dyDescent="0.25"/>
  <cols>
    <col min="3" max="3" width="17.42578125" bestFit="1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t="s">
        <v>12</v>
      </c>
      <c r="B2">
        <f>HEX2DEC(MID(A2,3,2))</f>
        <v>163</v>
      </c>
      <c r="C2" t="s">
        <v>1440</v>
      </c>
    </row>
    <row r="3" spans="1:3" x14ac:dyDescent="0.25">
      <c r="A3" t="s">
        <v>13</v>
      </c>
      <c r="B3">
        <f t="shared" ref="B3:B21" si="0">HEX2DEC(MID(A3,3,2))</f>
        <v>165</v>
      </c>
      <c r="C3" t="s">
        <v>32</v>
      </c>
    </row>
    <row r="4" spans="1:3" x14ac:dyDescent="0.25">
      <c r="A4" t="s">
        <v>14</v>
      </c>
      <c r="B4">
        <f t="shared" si="0"/>
        <v>166</v>
      </c>
      <c r="C4" t="s">
        <v>25</v>
      </c>
    </row>
    <row r="5" spans="1:3" x14ac:dyDescent="0.25">
      <c r="A5" t="s">
        <v>15</v>
      </c>
      <c r="B5">
        <f t="shared" si="0"/>
        <v>176</v>
      </c>
      <c r="C5" t="s">
        <v>26</v>
      </c>
    </row>
    <row r="6" spans="1:3" x14ac:dyDescent="0.25">
      <c r="A6" t="s">
        <v>981</v>
      </c>
      <c r="B6">
        <f t="shared" si="0"/>
        <v>177</v>
      </c>
      <c r="C6" t="s">
        <v>989</v>
      </c>
    </row>
    <row r="7" spans="1:3" x14ac:dyDescent="0.25">
      <c r="A7" t="s">
        <v>982</v>
      </c>
      <c r="B7">
        <f t="shared" si="0"/>
        <v>178</v>
      </c>
      <c r="C7" t="s">
        <v>990</v>
      </c>
    </row>
    <row r="8" spans="1:3" x14ac:dyDescent="0.25">
      <c r="A8" t="s">
        <v>983</v>
      </c>
      <c r="B8">
        <f t="shared" si="0"/>
        <v>179</v>
      </c>
      <c r="C8" t="s">
        <v>991</v>
      </c>
    </row>
    <row r="9" spans="1:3" x14ac:dyDescent="0.25">
      <c r="A9" t="s">
        <v>984</v>
      </c>
      <c r="B9">
        <f t="shared" si="0"/>
        <v>180</v>
      </c>
      <c r="C9" t="s">
        <v>992</v>
      </c>
    </row>
    <row r="10" spans="1:3" x14ac:dyDescent="0.25">
      <c r="A10" t="s">
        <v>985</v>
      </c>
      <c r="B10">
        <f t="shared" si="0"/>
        <v>181</v>
      </c>
      <c r="C10" t="s">
        <v>993</v>
      </c>
    </row>
    <row r="11" spans="1:3" x14ac:dyDescent="0.25">
      <c r="A11" t="s">
        <v>986</v>
      </c>
      <c r="B11">
        <f t="shared" si="0"/>
        <v>182</v>
      </c>
      <c r="C11" t="s">
        <v>994</v>
      </c>
    </row>
    <row r="12" spans="1:3" x14ac:dyDescent="0.25">
      <c r="A12" t="s">
        <v>987</v>
      </c>
      <c r="B12">
        <f t="shared" si="0"/>
        <v>183</v>
      </c>
      <c r="C12" t="s">
        <v>995</v>
      </c>
    </row>
    <row r="13" spans="1:3" x14ac:dyDescent="0.25">
      <c r="A13" t="s">
        <v>988</v>
      </c>
      <c r="B13">
        <f t="shared" si="0"/>
        <v>184</v>
      </c>
      <c r="C13" t="s">
        <v>996</v>
      </c>
    </row>
    <row r="14" spans="1:3" x14ac:dyDescent="0.25">
      <c r="A14" t="s">
        <v>16</v>
      </c>
      <c r="B14">
        <f t="shared" si="0"/>
        <v>185</v>
      </c>
      <c r="C14" t="s">
        <v>27</v>
      </c>
    </row>
    <row r="15" spans="1:3" x14ac:dyDescent="0.25">
      <c r="A15" t="s">
        <v>17</v>
      </c>
      <c r="B15">
        <f t="shared" si="0"/>
        <v>169</v>
      </c>
      <c r="C15" t="s">
        <v>24</v>
      </c>
    </row>
    <row r="16" spans="1:3" x14ac:dyDescent="0.25">
      <c r="A16" t="s">
        <v>18</v>
      </c>
      <c r="B16">
        <f t="shared" si="0"/>
        <v>170</v>
      </c>
      <c r="C16" t="s">
        <v>1441</v>
      </c>
    </row>
    <row r="17" spans="1:3" x14ac:dyDescent="0.25">
      <c r="A17" t="s">
        <v>19</v>
      </c>
      <c r="B17">
        <f t="shared" si="0"/>
        <v>172</v>
      </c>
      <c r="C17" t="s">
        <v>33</v>
      </c>
    </row>
    <row r="18" spans="1:3" x14ac:dyDescent="0.25">
      <c r="A18" t="s">
        <v>20</v>
      </c>
      <c r="B18">
        <f t="shared" si="0"/>
        <v>147</v>
      </c>
      <c r="C18" t="s">
        <v>28</v>
      </c>
    </row>
    <row r="19" spans="1:3" x14ac:dyDescent="0.25">
      <c r="A19" t="s">
        <v>21</v>
      </c>
      <c r="B19">
        <f t="shared" si="0"/>
        <v>156</v>
      </c>
      <c r="C19" t="s">
        <v>29</v>
      </c>
    </row>
    <row r="20" spans="1:3" x14ac:dyDescent="0.25">
      <c r="A20" t="s">
        <v>22</v>
      </c>
      <c r="B20">
        <f t="shared" si="0"/>
        <v>150</v>
      </c>
      <c r="C20" t="s">
        <v>30</v>
      </c>
    </row>
    <row r="21" spans="1:3" x14ac:dyDescent="0.25">
      <c r="A21" t="s">
        <v>23</v>
      </c>
      <c r="B21">
        <f t="shared" si="0"/>
        <v>154</v>
      </c>
      <c r="C21" t="s">
        <v>31</v>
      </c>
    </row>
    <row r="22" spans="1:3" x14ac:dyDescent="0.25">
      <c r="A22" s="2" t="s">
        <v>34</v>
      </c>
      <c r="B22" s="2" t="s">
        <v>34</v>
      </c>
      <c r="C22" s="2" t="s">
        <v>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Log</vt:lpstr>
      <vt:lpstr>Codes</vt:lpstr>
      <vt:lpstr>KdoCodeTab</vt:lpstr>
      <vt:lpstr>KdoWertTab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Sonnenrein</dc:creator>
  <cp:lastModifiedBy>Fred Sonnenrein</cp:lastModifiedBy>
  <dcterms:created xsi:type="dcterms:W3CDTF">2015-12-05T18:00:47Z</dcterms:created>
  <dcterms:modified xsi:type="dcterms:W3CDTF">2016-11-03T07:27:11Z</dcterms:modified>
</cp:coreProperties>
</file>