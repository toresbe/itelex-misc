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Daten\AvrProgs\TxP2\KommLogs\"/>
    </mc:Choice>
  </mc:AlternateContent>
  <bookViews>
    <workbookView xWindow="0" yWindow="0" windowWidth="25200" windowHeight="12135"/>
  </bookViews>
  <sheets>
    <sheet name="Log" sheetId="1" r:id="rId1"/>
    <sheet name="Codes" sheetId="2" r:id="rId2"/>
  </sheets>
  <definedNames>
    <definedName name="KdoCodeTab">Codes!$C$2:$C$22</definedName>
    <definedName name="KdoWertTab">Codes!$B$2:$B$22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4" i="1"/>
  <c r="B6" i="2"/>
  <c r="B7" i="2"/>
  <c r="B8" i="2"/>
  <c r="B9" i="2"/>
  <c r="B10" i="2"/>
  <c r="B11" i="2"/>
  <c r="B12" i="2"/>
  <c r="B13" i="2"/>
  <c r="B14" i="2"/>
  <c r="B443" i="1"/>
  <c r="C443" i="1"/>
  <c r="D443" i="1"/>
  <c r="G443" i="1"/>
  <c r="B444" i="1"/>
  <c r="G444" i="1" s="1"/>
  <c r="C444" i="1"/>
  <c r="D444" i="1"/>
  <c r="B445" i="1"/>
  <c r="G445" i="1" s="1"/>
  <c r="C445" i="1"/>
  <c r="D445" i="1"/>
  <c r="B446" i="1"/>
  <c r="G446" i="1" s="1"/>
  <c r="C446" i="1"/>
  <c r="D446" i="1"/>
  <c r="B447" i="1"/>
  <c r="G447" i="1" s="1"/>
  <c r="C447" i="1"/>
  <c r="D447" i="1"/>
  <c r="B448" i="1"/>
  <c r="G448" i="1" s="1"/>
  <c r="C448" i="1"/>
  <c r="D448" i="1"/>
  <c r="B449" i="1"/>
  <c r="G449" i="1" s="1"/>
  <c r="C449" i="1"/>
  <c r="D449" i="1"/>
  <c r="B450" i="1"/>
  <c r="C450" i="1"/>
  <c r="D450" i="1"/>
  <c r="G450" i="1"/>
  <c r="B451" i="1"/>
  <c r="G451" i="1" s="1"/>
  <c r="C451" i="1"/>
  <c r="D451" i="1"/>
  <c r="B452" i="1"/>
  <c r="G452" i="1" s="1"/>
  <c r="C452" i="1"/>
  <c r="D452" i="1"/>
  <c r="B453" i="1"/>
  <c r="C453" i="1"/>
  <c r="D453" i="1"/>
  <c r="F453" i="1"/>
  <c r="B454" i="1"/>
  <c r="C454" i="1"/>
  <c r="D454" i="1"/>
  <c r="G454" i="1"/>
  <c r="B455" i="1"/>
  <c r="G455" i="1" s="1"/>
  <c r="C455" i="1"/>
  <c r="D455" i="1"/>
  <c r="B456" i="1"/>
  <c r="C456" i="1"/>
  <c r="D456" i="1"/>
  <c r="G456" i="1"/>
  <c r="B457" i="1"/>
  <c r="G457" i="1" s="1"/>
  <c r="C457" i="1"/>
  <c r="D457" i="1"/>
  <c r="B458" i="1"/>
  <c r="C458" i="1"/>
  <c r="D458" i="1"/>
  <c r="G458" i="1"/>
  <c r="B459" i="1"/>
  <c r="G459" i="1" s="1"/>
  <c r="C459" i="1"/>
  <c r="D459" i="1"/>
  <c r="B460" i="1"/>
  <c r="C460" i="1"/>
  <c r="D460" i="1"/>
  <c r="G460" i="1"/>
  <c r="B461" i="1"/>
  <c r="G461" i="1" s="1"/>
  <c r="C461" i="1"/>
  <c r="D461" i="1"/>
  <c r="B462" i="1"/>
  <c r="C462" i="1"/>
  <c r="D462" i="1"/>
  <c r="G462" i="1"/>
  <c r="B463" i="1"/>
  <c r="G463" i="1" s="1"/>
  <c r="C463" i="1"/>
  <c r="D463" i="1"/>
  <c r="B464" i="1"/>
  <c r="C464" i="1"/>
  <c r="D464" i="1"/>
  <c r="G464" i="1"/>
  <c r="B465" i="1"/>
  <c r="G465" i="1" s="1"/>
  <c r="C465" i="1"/>
  <c r="D465" i="1"/>
  <c r="B466" i="1"/>
  <c r="C466" i="1"/>
  <c r="D466" i="1"/>
  <c r="G466" i="1"/>
  <c r="B467" i="1"/>
  <c r="G467" i="1" s="1"/>
  <c r="C467" i="1"/>
  <c r="D467" i="1"/>
  <c r="B468" i="1"/>
  <c r="C468" i="1"/>
  <c r="D468" i="1"/>
  <c r="G468" i="1"/>
  <c r="B469" i="1"/>
  <c r="G469" i="1" s="1"/>
  <c r="C469" i="1"/>
  <c r="D469" i="1"/>
  <c r="B470" i="1"/>
  <c r="C470" i="1"/>
  <c r="D470" i="1"/>
  <c r="G470" i="1"/>
  <c r="B471" i="1"/>
  <c r="G471" i="1" s="1"/>
  <c r="C471" i="1"/>
  <c r="D471" i="1"/>
  <c r="B472" i="1"/>
  <c r="C472" i="1"/>
  <c r="D472" i="1"/>
  <c r="G472" i="1"/>
  <c r="B473" i="1"/>
  <c r="G473" i="1" s="1"/>
  <c r="C473" i="1"/>
  <c r="D473" i="1"/>
  <c r="B474" i="1"/>
  <c r="C474" i="1"/>
  <c r="D474" i="1"/>
  <c r="G474" i="1"/>
  <c r="B475" i="1"/>
  <c r="G475" i="1" s="1"/>
  <c r="C475" i="1"/>
  <c r="D475" i="1"/>
  <c r="B476" i="1"/>
  <c r="C476" i="1"/>
  <c r="D476" i="1"/>
  <c r="G476" i="1"/>
  <c r="B477" i="1"/>
  <c r="C477" i="1"/>
  <c r="D477" i="1"/>
  <c r="F477" i="1"/>
  <c r="B478" i="1"/>
  <c r="C478" i="1"/>
  <c r="D478" i="1"/>
  <c r="G478" i="1"/>
  <c r="B479" i="1"/>
  <c r="G479" i="1" s="1"/>
  <c r="C479" i="1"/>
  <c r="D479" i="1"/>
  <c r="B480" i="1"/>
  <c r="C480" i="1"/>
  <c r="D480" i="1"/>
  <c r="G480" i="1"/>
  <c r="B481" i="1"/>
  <c r="G481" i="1" s="1"/>
  <c r="C481" i="1"/>
  <c r="D481" i="1"/>
  <c r="B482" i="1"/>
  <c r="C482" i="1"/>
  <c r="D482" i="1"/>
  <c r="G482" i="1"/>
  <c r="B483" i="1"/>
  <c r="G483" i="1" s="1"/>
  <c r="C483" i="1"/>
  <c r="D483" i="1"/>
  <c r="B484" i="1"/>
  <c r="C484" i="1"/>
  <c r="D484" i="1"/>
  <c r="G484" i="1"/>
  <c r="B485" i="1"/>
  <c r="G485" i="1" s="1"/>
  <c r="C485" i="1"/>
  <c r="D485" i="1"/>
  <c r="B486" i="1"/>
  <c r="C486" i="1"/>
  <c r="D486" i="1"/>
  <c r="G486" i="1"/>
  <c r="B487" i="1"/>
  <c r="G487" i="1" s="1"/>
  <c r="C487" i="1"/>
  <c r="D487" i="1"/>
  <c r="B488" i="1"/>
  <c r="C488" i="1"/>
  <c r="D488" i="1"/>
  <c r="G488" i="1"/>
  <c r="B489" i="1"/>
  <c r="G489" i="1" s="1"/>
  <c r="C489" i="1"/>
  <c r="D489" i="1"/>
  <c r="B490" i="1"/>
  <c r="C490" i="1"/>
  <c r="D490" i="1"/>
  <c r="G490" i="1"/>
  <c r="B491" i="1"/>
  <c r="G491" i="1" s="1"/>
  <c r="C491" i="1"/>
  <c r="D491" i="1"/>
  <c r="B492" i="1"/>
  <c r="C492" i="1"/>
  <c r="D492" i="1"/>
  <c r="G492" i="1"/>
  <c r="B493" i="1"/>
  <c r="G493" i="1" s="1"/>
  <c r="C493" i="1"/>
  <c r="D493" i="1"/>
  <c r="B494" i="1"/>
  <c r="C494" i="1"/>
  <c r="D494" i="1"/>
  <c r="G494" i="1"/>
  <c r="B495" i="1"/>
  <c r="G495" i="1" s="1"/>
  <c r="C495" i="1"/>
  <c r="D495" i="1"/>
  <c r="B496" i="1"/>
  <c r="C496" i="1"/>
  <c r="D496" i="1"/>
  <c r="G496" i="1"/>
  <c r="B497" i="1"/>
  <c r="G497" i="1" s="1"/>
  <c r="C497" i="1"/>
  <c r="D497" i="1"/>
  <c r="B498" i="1"/>
  <c r="C498" i="1"/>
  <c r="D498" i="1"/>
  <c r="F498" i="1"/>
  <c r="B499" i="1"/>
  <c r="G499" i="1" s="1"/>
  <c r="C499" i="1"/>
  <c r="D499" i="1"/>
  <c r="B500" i="1"/>
  <c r="C500" i="1"/>
  <c r="D500" i="1"/>
  <c r="G500" i="1"/>
  <c r="B501" i="1"/>
  <c r="G501" i="1" s="1"/>
  <c r="C501" i="1"/>
  <c r="D501" i="1"/>
  <c r="B502" i="1"/>
  <c r="C502" i="1"/>
  <c r="D502" i="1"/>
  <c r="G502" i="1"/>
  <c r="B503" i="1"/>
  <c r="G503" i="1" s="1"/>
  <c r="C503" i="1"/>
  <c r="D503" i="1"/>
  <c r="B504" i="1"/>
  <c r="C504" i="1"/>
  <c r="D504" i="1"/>
  <c r="G504" i="1"/>
  <c r="B505" i="1"/>
  <c r="G505" i="1" s="1"/>
  <c r="C505" i="1"/>
  <c r="D505" i="1"/>
  <c r="B506" i="1"/>
  <c r="C506" i="1"/>
  <c r="D506" i="1"/>
  <c r="G506" i="1"/>
  <c r="B507" i="1"/>
  <c r="G507" i="1" s="1"/>
  <c r="C507" i="1"/>
  <c r="D507" i="1"/>
  <c r="B508" i="1"/>
  <c r="C508" i="1"/>
  <c r="D508" i="1"/>
  <c r="G508" i="1"/>
  <c r="B509" i="1"/>
  <c r="G509" i="1" s="1"/>
  <c r="C509" i="1"/>
  <c r="D509" i="1"/>
  <c r="B510" i="1"/>
  <c r="C510" i="1"/>
  <c r="D510" i="1"/>
  <c r="G510" i="1"/>
  <c r="B511" i="1"/>
  <c r="G511" i="1" s="1"/>
  <c r="C511" i="1"/>
  <c r="D511" i="1"/>
  <c r="B512" i="1"/>
  <c r="C512" i="1"/>
  <c r="D512" i="1"/>
  <c r="G512" i="1"/>
  <c r="B513" i="1"/>
  <c r="G513" i="1" s="1"/>
  <c r="C513" i="1"/>
  <c r="D513" i="1"/>
  <c r="B514" i="1"/>
  <c r="C514" i="1"/>
  <c r="D514" i="1"/>
  <c r="G514" i="1"/>
  <c r="B515" i="1"/>
  <c r="G515" i="1" s="1"/>
  <c r="C515" i="1"/>
  <c r="D515" i="1"/>
  <c r="B516" i="1"/>
  <c r="C516" i="1"/>
  <c r="D516" i="1"/>
  <c r="G516" i="1"/>
  <c r="B517" i="1"/>
  <c r="G517" i="1" s="1"/>
  <c r="C517" i="1"/>
  <c r="D517" i="1"/>
  <c r="B518" i="1"/>
  <c r="C518" i="1"/>
  <c r="D518" i="1"/>
  <c r="G518" i="1"/>
  <c r="B519" i="1"/>
  <c r="G519" i="1" s="1"/>
  <c r="C519" i="1"/>
  <c r="D519" i="1"/>
  <c r="B520" i="1"/>
  <c r="C520" i="1"/>
  <c r="D520" i="1"/>
  <c r="G520" i="1"/>
  <c r="B521" i="1"/>
  <c r="G521" i="1" s="1"/>
  <c r="C521" i="1"/>
  <c r="D521" i="1"/>
  <c r="B522" i="1"/>
  <c r="C522" i="1"/>
  <c r="D522" i="1"/>
  <c r="G522" i="1"/>
  <c r="B523" i="1"/>
  <c r="G523" i="1" s="1"/>
  <c r="C523" i="1"/>
  <c r="D523" i="1"/>
  <c r="B524" i="1"/>
  <c r="C524" i="1"/>
  <c r="D524" i="1"/>
  <c r="G524" i="1"/>
  <c r="B525" i="1"/>
  <c r="G525" i="1" s="1"/>
  <c r="C525" i="1"/>
  <c r="D525" i="1"/>
  <c r="B526" i="1"/>
  <c r="C526" i="1"/>
  <c r="D526" i="1"/>
  <c r="F526" i="1"/>
  <c r="G526" i="1"/>
  <c r="B527" i="1"/>
  <c r="G527" i="1" s="1"/>
  <c r="C527" i="1"/>
  <c r="D527" i="1"/>
  <c r="B528" i="1"/>
  <c r="C528" i="1"/>
  <c r="D528" i="1"/>
  <c r="G528" i="1"/>
  <c r="B529" i="1"/>
  <c r="G529" i="1" s="1"/>
  <c r="C529" i="1"/>
  <c r="D529" i="1"/>
  <c r="B530" i="1"/>
  <c r="C530" i="1"/>
  <c r="D530" i="1"/>
  <c r="G530" i="1"/>
  <c r="B531" i="1"/>
  <c r="G531" i="1" s="1"/>
  <c r="C531" i="1"/>
  <c r="D531" i="1"/>
  <c r="B532" i="1"/>
  <c r="C532" i="1"/>
  <c r="D532" i="1"/>
  <c r="G532" i="1"/>
  <c r="B533" i="1"/>
  <c r="G533" i="1" s="1"/>
  <c r="C533" i="1"/>
  <c r="D533" i="1"/>
  <c r="B534" i="1"/>
  <c r="C534" i="1"/>
  <c r="D534" i="1"/>
  <c r="G534" i="1"/>
  <c r="B535" i="1"/>
  <c r="G535" i="1" s="1"/>
  <c r="C535" i="1"/>
  <c r="D535" i="1"/>
  <c r="B536" i="1"/>
  <c r="C536" i="1"/>
  <c r="D536" i="1"/>
  <c r="G536" i="1"/>
  <c r="B537" i="1"/>
  <c r="G537" i="1" s="1"/>
  <c r="C537" i="1"/>
  <c r="D537" i="1"/>
  <c r="B538" i="1"/>
  <c r="C538" i="1"/>
  <c r="D538" i="1"/>
  <c r="G538" i="1"/>
  <c r="B539" i="1"/>
  <c r="G539" i="1" s="1"/>
  <c r="C539" i="1"/>
  <c r="D539" i="1"/>
  <c r="B540" i="1"/>
  <c r="C540" i="1"/>
  <c r="D540" i="1"/>
  <c r="G540" i="1"/>
  <c r="B541" i="1"/>
  <c r="G541" i="1" s="1"/>
  <c r="C541" i="1"/>
  <c r="D541" i="1"/>
  <c r="B542" i="1"/>
  <c r="C542" i="1"/>
  <c r="D542" i="1"/>
  <c r="G542" i="1"/>
  <c r="B543" i="1"/>
  <c r="G543" i="1" s="1"/>
  <c r="C543" i="1"/>
  <c r="D543" i="1"/>
  <c r="B544" i="1"/>
  <c r="C544" i="1"/>
  <c r="D544" i="1"/>
  <c r="G544" i="1"/>
  <c r="B545" i="1"/>
  <c r="G545" i="1" s="1"/>
  <c r="C545" i="1"/>
  <c r="D545" i="1"/>
  <c r="B546" i="1"/>
  <c r="C546" i="1"/>
  <c r="D546" i="1"/>
  <c r="G546" i="1"/>
  <c r="B547" i="1"/>
  <c r="G547" i="1" s="1"/>
  <c r="C547" i="1"/>
  <c r="D547" i="1"/>
  <c r="B548" i="1"/>
  <c r="C548" i="1"/>
  <c r="D548" i="1"/>
  <c r="G548" i="1"/>
  <c r="B549" i="1"/>
  <c r="C549" i="1"/>
  <c r="D549" i="1"/>
  <c r="G549" i="1"/>
  <c r="B550" i="1"/>
  <c r="G550" i="1" s="1"/>
  <c r="C550" i="1"/>
  <c r="D550" i="1"/>
  <c r="B551" i="1"/>
  <c r="C551" i="1"/>
  <c r="D551" i="1"/>
  <c r="G551" i="1"/>
  <c r="B552" i="1"/>
  <c r="G552" i="1" s="1"/>
  <c r="C552" i="1"/>
  <c r="D552" i="1"/>
  <c r="B553" i="1"/>
  <c r="C553" i="1"/>
  <c r="D553" i="1"/>
  <c r="G553" i="1"/>
  <c r="B554" i="1"/>
  <c r="G554" i="1" s="1"/>
  <c r="C554" i="1"/>
  <c r="D554" i="1"/>
  <c r="B555" i="1"/>
  <c r="C555" i="1"/>
  <c r="D555" i="1"/>
  <c r="G555" i="1"/>
  <c r="B556" i="1"/>
  <c r="C556" i="1"/>
  <c r="D556" i="1"/>
  <c r="F556" i="1"/>
  <c r="B557" i="1"/>
  <c r="C557" i="1"/>
  <c r="D557" i="1"/>
  <c r="G557" i="1"/>
  <c r="B558" i="1"/>
  <c r="G558" i="1" s="1"/>
  <c r="C558" i="1"/>
  <c r="D558" i="1"/>
  <c r="B559" i="1"/>
  <c r="C559" i="1"/>
  <c r="D559" i="1"/>
  <c r="G559" i="1"/>
  <c r="B560" i="1"/>
  <c r="G560" i="1" s="1"/>
  <c r="C560" i="1"/>
  <c r="D560" i="1"/>
  <c r="B561" i="1"/>
  <c r="C561" i="1"/>
  <c r="D561" i="1"/>
  <c r="G561" i="1"/>
  <c r="B562" i="1"/>
  <c r="G562" i="1" s="1"/>
  <c r="C562" i="1"/>
  <c r="D562" i="1"/>
  <c r="B563" i="1"/>
  <c r="C563" i="1"/>
  <c r="D563" i="1"/>
  <c r="G563" i="1"/>
  <c r="B564" i="1"/>
  <c r="G564" i="1" s="1"/>
  <c r="C564" i="1"/>
  <c r="D564" i="1"/>
  <c r="B565" i="1"/>
  <c r="C565" i="1"/>
  <c r="D565" i="1"/>
  <c r="G565" i="1"/>
  <c r="B566" i="1"/>
  <c r="G566" i="1" s="1"/>
  <c r="C566" i="1"/>
  <c r="D566" i="1"/>
  <c r="B567" i="1"/>
  <c r="C567" i="1"/>
  <c r="D567" i="1"/>
  <c r="G567" i="1"/>
  <c r="B568" i="1"/>
  <c r="G568" i="1" s="1"/>
  <c r="C568" i="1"/>
  <c r="D568" i="1"/>
  <c r="B569" i="1"/>
  <c r="C569" i="1"/>
  <c r="D569" i="1"/>
  <c r="G569" i="1"/>
  <c r="B570" i="1"/>
  <c r="G570" i="1" s="1"/>
  <c r="C570" i="1"/>
  <c r="D570" i="1"/>
  <c r="B571" i="1"/>
  <c r="C571" i="1"/>
  <c r="D571" i="1"/>
  <c r="G571" i="1"/>
  <c r="B572" i="1"/>
  <c r="G572" i="1" s="1"/>
  <c r="C572" i="1"/>
  <c r="D572" i="1"/>
  <c r="B573" i="1"/>
  <c r="C573" i="1"/>
  <c r="D573" i="1"/>
  <c r="G573" i="1"/>
  <c r="B574" i="1"/>
  <c r="G574" i="1" s="1"/>
  <c r="C574" i="1"/>
  <c r="D574" i="1"/>
  <c r="B575" i="1"/>
  <c r="C575" i="1"/>
  <c r="D575" i="1"/>
  <c r="G575" i="1"/>
  <c r="B576" i="1"/>
  <c r="G576" i="1" s="1"/>
  <c r="C576" i="1"/>
  <c r="D576" i="1"/>
  <c r="B577" i="1"/>
  <c r="C577" i="1"/>
  <c r="D577" i="1"/>
  <c r="G577" i="1"/>
  <c r="B578" i="1"/>
  <c r="G578" i="1" s="1"/>
  <c r="C578" i="1"/>
  <c r="D578" i="1"/>
  <c r="B579" i="1"/>
  <c r="C579" i="1"/>
  <c r="D579" i="1"/>
  <c r="G579" i="1"/>
  <c r="B580" i="1"/>
  <c r="G580" i="1" s="1"/>
  <c r="C580" i="1"/>
  <c r="D580" i="1"/>
  <c r="B581" i="1"/>
  <c r="C581" i="1"/>
  <c r="D581" i="1"/>
  <c r="G581" i="1"/>
  <c r="B582" i="1"/>
  <c r="G582" i="1" s="1"/>
  <c r="C582" i="1"/>
  <c r="D582" i="1"/>
  <c r="B583" i="1"/>
  <c r="C583" i="1"/>
  <c r="D583" i="1"/>
  <c r="G583" i="1"/>
  <c r="B584" i="1"/>
  <c r="C584" i="1"/>
  <c r="D584" i="1"/>
  <c r="F584" i="1"/>
  <c r="B585" i="1"/>
  <c r="C585" i="1"/>
  <c r="D585" i="1"/>
  <c r="F585" i="1"/>
  <c r="B586" i="1"/>
  <c r="G586" i="1" s="1"/>
  <c r="C586" i="1"/>
  <c r="D586" i="1"/>
  <c r="B587" i="1"/>
  <c r="C587" i="1"/>
  <c r="D587" i="1"/>
  <c r="G587" i="1"/>
  <c r="B588" i="1"/>
  <c r="G588" i="1" s="1"/>
  <c r="C588" i="1"/>
  <c r="D588" i="1"/>
  <c r="B589" i="1"/>
  <c r="C589" i="1"/>
  <c r="D589" i="1"/>
  <c r="G589" i="1"/>
  <c r="B590" i="1"/>
  <c r="G590" i="1" s="1"/>
  <c r="C590" i="1"/>
  <c r="D590" i="1"/>
  <c r="B591" i="1"/>
  <c r="C591" i="1"/>
  <c r="D591" i="1"/>
  <c r="G591" i="1"/>
  <c r="B592" i="1"/>
  <c r="G592" i="1" s="1"/>
  <c r="C592" i="1"/>
  <c r="D592" i="1"/>
  <c r="B593" i="1"/>
  <c r="C593" i="1"/>
  <c r="D593" i="1"/>
  <c r="G593" i="1"/>
  <c r="B594" i="1"/>
  <c r="G594" i="1" s="1"/>
  <c r="C594" i="1"/>
  <c r="D594" i="1"/>
  <c r="B595" i="1"/>
  <c r="C595" i="1"/>
  <c r="D595" i="1"/>
  <c r="G595" i="1"/>
  <c r="B596" i="1"/>
  <c r="G596" i="1" s="1"/>
  <c r="C596" i="1"/>
  <c r="D596" i="1"/>
  <c r="B597" i="1"/>
  <c r="C597" i="1"/>
  <c r="D597" i="1"/>
  <c r="G597" i="1"/>
  <c r="B598" i="1"/>
  <c r="G598" i="1" s="1"/>
  <c r="C598" i="1"/>
  <c r="D598" i="1"/>
  <c r="B599" i="1"/>
  <c r="C599" i="1"/>
  <c r="D599" i="1"/>
  <c r="G599" i="1"/>
  <c r="B600" i="1"/>
  <c r="G600" i="1" s="1"/>
  <c r="C600" i="1"/>
  <c r="D600" i="1"/>
  <c r="B601" i="1"/>
  <c r="C601" i="1"/>
  <c r="D601" i="1"/>
  <c r="G601" i="1"/>
  <c r="B602" i="1"/>
  <c r="G602" i="1" s="1"/>
  <c r="C602" i="1"/>
  <c r="D602" i="1"/>
  <c r="B603" i="1"/>
  <c r="C603" i="1"/>
  <c r="D603" i="1"/>
  <c r="F603" i="1"/>
  <c r="B604" i="1"/>
  <c r="G604" i="1" s="1"/>
  <c r="C604" i="1"/>
  <c r="D604" i="1"/>
  <c r="B605" i="1"/>
  <c r="C605" i="1"/>
  <c r="D605" i="1"/>
  <c r="G605" i="1"/>
  <c r="B606" i="1"/>
  <c r="G606" i="1" s="1"/>
  <c r="C606" i="1"/>
  <c r="D606" i="1"/>
  <c r="B607" i="1"/>
  <c r="C607" i="1"/>
  <c r="D607" i="1"/>
  <c r="G607" i="1"/>
  <c r="B608" i="1"/>
  <c r="G608" i="1" s="1"/>
  <c r="C608" i="1"/>
  <c r="D608" i="1"/>
  <c r="B609" i="1"/>
  <c r="C609" i="1"/>
  <c r="D609" i="1"/>
  <c r="G609" i="1"/>
  <c r="B610" i="1"/>
  <c r="G610" i="1" s="1"/>
  <c r="C610" i="1"/>
  <c r="D610" i="1"/>
  <c r="B611" i="1"/>
  <c r="C611" i="1"/>
  <c r="D611" i="1"/>
  <c r="G611" i="1"/>
  <c r="B612" i="1"/>
  <c r="G612" i="1" s="1"/>
  <c r="C612" i="1"/>
  <c r="D612" i="1"/>
  <c r="B613" i="1"/>
  <c r="C613" i="1"/>
  <c r="D613" i="1"/>
  <c r="G613" i="1"/>
  <c r="B614" i="1"/>
  <c r="G614" i="1" s="1"/>
  <c r="C614" i="1"/>
  <c r="D614" i="1"/>
  <c r="B615" i="1"/>
  <c r="C615" i="1"/>
  <c r="D615" i="1"/>
  <c r="F615" i="1"/>
  <c r="B616" i="1"/>
  <c r="G616" i="1" s="1"/>
  <c r="C616" i="1"/>
  <c r="D616" i="1"/>
  <c r="B617" i="1"/>
  <c r="C617" i="1"/>
  <c r="D617" i="1"/>
  <c r="G617" i="1"/>
  <c r="B618" i="1"/>
  <c r="G618" i="1" s="1"/>
  <c r="C618" i="1"/>
  <c r="D618" i="1"/>
  <c r="B619" i="1"/>
  <c r="C619" i="1"/>
  <c r="D619" i="1"/>
  <c r="G619" i="1"/>
  <c r="B620" i="1"/>
  <c r="G620" i="1" s="1"/>
  <c r="C620" i="1"/>
  <c r="D620" i="1"/>
  <c r="B621" i="1"/>
  <c r="C621" i="1"/>
  <c r="D621" i="1"/>
  <c r="G621" i="1"/>
  <c r="B622" i="1"/>
  <c r="G622" i="1" s="1"/>
  <c r="C622" i="1"/>
  <c r="D622" i="1"/>
  <c r="B623" i="1"/>
  <c r="C623" i="1"/>
  <c r="D623" i="1"/>
  <c r="G623" i="1"/>
  <c r="B624" i="1"/>
  <c r="G624" i="1" s="1"/>
  <c r="C624" i="1"/>
  <c r="D624" i="1"/>
  <c r="B625" i="1"/>
  <c r="C625" i="1"/>
  <c r="D625" i="1"/>
  <c r="G625" i="1"/>
  <c r="B626" i="1"/>
  <c r="G626" i="1" s="1"/>
  <c r="C626" i="1"/>
  <c r="D626" i="1"/>
  <c r="B627" i="1"/>
  <c r="C627" i="1"/>
  <c r="D627" i="1"/>
  <c r="G627" i="1"/>
  <c r="B628" i="1"/>
  <c r="G628" i="1" s="1"/>
  <c r="C628" i="1"/>
  <c r="D628" i="1"/>
  <c r="B629" i="1"/>
  <c r="C629" i="1"/>
  <c r="D629" i="1"/>
  <c r="G629" i="1"/>
  <c r="B630" i="1"/>
  <c r="G630" i="1" s="1"/>
  <c r="C630" i="1"/>
  <c r="D630" i="1"/>
  <c r="B631" i="1"/>
  <c r="C631" i="1"/>
  <c r="D631" i="1"/>
  <c r="G631" i="1"/>
  <c r="B632" i="1"/>
  <c r="G632" i="1" s="1"/>
  <c r="C632" i="1"/>
  <c r="D632" i="1"/>
  <c r="B633" i="1"/>
  <c r="C633" i="1"/>
  <c r="D633" i="1"/>
  <c r="G633" i="1"/>
  <c r="B634" i="1"/>
  <c r="G634" i="1" s="1"/>
  <c r="C634" i="1"/>
  <c r="D634" i="1"/>
  <c r="B635" i="1"/>
  <c r="C635" i="1"/>
  <c r="D635" i="1"/>
  <c r="G635" i="1"/>
  <c r="B636" i="1"/>
  <c r="G636" i="1" s="1"/>
  <c r="C636" i="1"/>
  <c r="D636" i="1"/>
  <c r="B637" i="1"/>
  <c r="C637" i="1"/>
  <c r="D637" i="1"/>
  <c r="G637" i="1"/>
  <c r="B638" i="1"/>
  <c r="G638" i="1" s="1"/>
  <c r="C638" i="1"/>
  <c r="D638" i="1"/>
  <c r="B639" i="1"/>
  <c r="C639" i="1"/>
  <c r="D639" i="1"/>
  <c r="F639" i="1"/>
  <c r="B640" i="1"/>
  <c r="G640" i="1" s="1"/>
  <c r="C640" i="1"/>
  <c r="D640" i="1"/>
  <c r="B641" i="1"/>
  <c r="C641" i="1"/>
  <c r="D641" i="1"/>
  <c r="G641" i="1"/>
  <c r="B642" i="1"/>
  <c r="G642" i="1" s="1"/>
  <c r="C642" i="1"/>
  <c r="D642" i="1"/>
  <c r="B643" i="1"/>
  <c r="C643" i="1"/>
  <c r="D643" i="1"/>
  <c r="G643" i="1"/>
  <c r="B644" i="1"/>
  <c r="G644" i="1" s="1"/>
  <c r="C644" i="1"/>
  <c r="D644" i="1"/>
  <c r="B645" i="1"/>
  <c r="C645" i="1"/>
  <c r="D645" i="1"/>
  <c r="G645" i="1"/>
  <c r="B646" i="1"/>
  <c r="G646" i="1" s="1"/>
  <c r="C646" i="1"/>
  <c r="D646" i="1"/>
  <c r="B647" i="1"/>
  <c r="C647" i="1"/>
  <c r="D647" i="1"/>
  <c r="G647" i="1"/>
  <c r="B648" i="1"/>
  <c r="G648" i="1" s="1"/>
  <c r="C648" i="1"/>
  <c r="D648" i="1"/>
  <c r="B649" i="1"/>
  <c r="C649" i="1"/>
  <c r="D649" i="1"/>
  <c r="G649" i="1"/>
  <c r="B650" i="1"/>
  <c r="G650" i="1" s="1"/>
  <c r="C650" i="1"/>
  <c r="D650" i="1"/>
  <c r="B651" i="1"/>
  <c r="C651" i="1"/>
  <c r="D651" i="1"/>
  <c r="G651" i="1"/>
  <c r="B652" i="1"/>
  <c r="C652" i="1"/>
  <c r="D652" i="1"/>
  <c r="F652" i="1"/>
  <c r="B653" i="1"/>
  <c r="C653" i="1"/>
  <c r="D653" i="1"/>
  <c r="G653" i="1"/>
  <c r="B654" i="1"/>
  <c r="G654" i="1" s="1"/>
  <c r="C654" i="1"/>
  <c r="D654" i="1"/>
  <c r="B655" i="1"/>
  <c r="C655" i="1"/>
  <c r="D655" i="1"/>
  <c r="G655" i="1"/>
  <c r="B656" i="1"/>
  <c r="G656" i="1" s="1"/>
  <c r="C656" i="1"/>
  <c r="D656" i="1"/>
  <c r="B657" i="1"/>
  <c r="C657" i="1"/>
  <c r="D657" i="1"/>
  <c r="G657" i="1"/>
  <c r="B658" i="1"/>
  <c r="G658" i="1" s="1"/>
  <c r="C658" i="1"/>
  <c r="D658" i="1"/>
  <c r="B659" i="1"/>
  <c r="C659" i="1"/>
  <c r="D659" i="1"/>
  <c r="G659" i="1"/>
  <c r="B660" i="1"/>
  <c r="G660" i="1" s="1"/>
  <c r="C660" i="1"/>
  <c r="D660" i="1"/>
  <c r="B661" i="1"/>
  <c r="C661" i="1"/>
  <c r="D661" i="1"/>
  <c r="G661" i="1"/>
  <c r="B662" i="1"/>
  <c r="G662" i="1" s="1"/>
  <c r="C662" i="1"/>
  <c r="D662" i="1"/>
  <c r="B663" i="1"/>
  <c r="C663" i="1"/>
  <c r="D663" i="1"/>
  <c r="G663" i="1"/>
  <c r="B664" i="1"/>
  <c r="G664" i="1" s="1"/>
  <c r="C664" i="1"/>
  <c r="D664" i="1"/>
  <c r="B665" i="1"/>
  <c r="C665" i="1"/>
  <c r="D665" i="1"/>
  <c r="G665" i="1"/>
  <c r="B666" i="1"/>
  <c r="G666" i="1" s="1"/>
  <c r="C666" i="1"/>
  <c r="D666" i="1"/>
  <c r="B667" i="1"/>
  <c r="C667" i="1"/>
  <c r="D667" i="1"/>
  <c r="G667" i="1"/>
  <c r="B668" i="1"/>
  <c r="G668" i="1" s="1"/>
  <c r="C668" i="1"/>
  <c r="D668" i="1"/>
  <c r="B669" i="1"/>
  <c r="C669" i="1"/>
  <c r="D669" i="1"/>
  <c r="G669" i="1"/>
  <c r="B670" i="1"/>
  <c r="C670" i="1"/>
  <c r="D670" i="1"/>
  <c r="F670" i="1"/>
  <c r="B671" i="1"/>
  <c r="C671" i="1"/>
  <c r="D671" i="1"/>
  <c r="G671" i="1"/>
  <c r="B672" i="1"/>
  <c r="G672" i="1" s="1"/>
  <c r="C672" i="1"/>
  <c r="D672" i="1"/>
  <c r="B673" i="1"/>
  <c r="C673" i="1"/>
  <c r="D673" i="1"/>
  <c r="G673" i="1"/>
  <c r="B674" i="1"/>
  <c r="G674" i="1" s="1"/>
  <c r="C674" i="1"/>
  <c r="D674" i="1"/>
  <c r="B675" i="1"/>
  <c r="C675" i="1"/>
  <c r="D675" i="1"/>
  <c r="G675" i="1"/>
  <c r="B676" i="1"/>
  <c r="G676" i="1" s="1"/>
  <c r="C676" i="1"/>
  <c r="D676" i="1"/>
  <c r="B677" i="1"/>
  <c r="C677" i="1"/>
  <c r="D677" i="1"/>
  <c r="G677" i="1"/>
  <c r="B678" i="1"/>
  <c r="G678" i="1" s="1"/>
  <c r="C678" i="1"/>
  <c r="D678" i="1"/>
  <c r="B679" i="1"/>
  <c r="C679" i="1"/>
  <c r="D679" i="1"/>
  <c r="G679" i="1"/>
  <c r="B680" i="1"/>
  <c r="G680" i="1" s="1"/>
  <c r="C680" i="1"/>
  <c r="D680" i="1"/>
  <c r="B681" i="1"/>
  <c r="C681" i="1"/>
  <c r="D681" i="1"/>
  <c r="G681" i="1"/>
  <c r="B682" i="1"/>
  <c r="G682" i="1" s="1"/>
  <c r="C682" i="1"/>
  <c r="D682" i="1"/>
  <c r="B683" i="1"/>
  <c r="C683" i="1"/>
  <c r="D683" i="1"/>
  <c r="G683" i="1"/>
  <c r="B684" i="1"/>
  <c r="G684" i="1" s="1"/>
  <c r="C684" i="1"/>
  <c r="D684" i="1"/>
  <c r="B685" i="1"/>
  <c r="C685" i="1"/>
  <c r="D685" i="1"/>
  <c r="G685" i="1"/>
  <c r="B686" i="1"/>
  <c r="G686" i="1" s="1"/>
  <c r="C686" i="1"/>
  <c r="D686" i="1"/>
  <c r="B687" i="1"/>
  <c r="C687" i="1"/>
  <c r="D687" i="1"/>
  <c r="G687" i="1"/>
  <c r="B688" i="1"/>
  <c r="G688" i="1" s="1"/>
  <c r="C688" i="1"/>
  <c r="D688" i="1"/>
  <c r="B689" i="1"/>
  <c r="C689" i="1"/>
  <c r="D689" i="1"/>
  <c r="G689" i="1"/>
  <c r="B690" i="1"/>
  <c r="G690" i="1" s="1"/>
  <c r="C690" i="1"/>
  <c r="D690" i="1"/>
  <c r="B691" i="1"/>
  <c r="C691" i="1"/>
  <c r="D691" i="1"/>
  <c r="G691" i="1"/>
  <c r="B692" i="1"/>
  <c r="G692" i="1" s="1"/>
  <c r="C692" i="1"/>
  <c r="D692" i="1"/>
  <c r="B693" i="1"/>
  <c r="C693" i="1"/>
  <c r="D693" i="1"/>
  <c r="G693" i="1"/>
  <c r="B694" i="1"/>
  <c r="G694" i="1" s="1"/>
  <c r="C694" i="1"/>
  <c r="D694" i="1"/>
  <c r="B695" i="1"/>
  <c r="C695" i="1"/>
  <c r="D695" i="1"/>
  <c r="G695" i="1"/>
  <c r="B696" i="1"/>
  <c r="C696" i="1"/>
  <c r="D696" i="1"/>
  <c r="F696" i="1"/>
  <c r="B697" i="1"/>
  <c r="C697" i="1"/>
  <c r="D697" i="1"/>
  <c r="G697" i="1"/>
  <c r="B698" i="1"/>
  <c r="G698" i="1" s="1"/>
  <c r="C698" i="1"/>
  <c r="D698" i="1"/>
  <c r="B699" i="1"/>
  <c r="C699" i="1"/>
  <c r="D699" i="1"/>
  <c r="G699" i="1"/>
  <c r="B700" i="1"/>
  <c r="G700" i="1" s="1"/>
  <c r="C700" i="1"/>
  <c r="D700" i="1"/>
  <c r="B701" i="1"/>
  <c r="C701" i="1"/>
  <c r="D701" i="1"/>
  <c r="G701" i="1"/>
  <c r="B702" i="1"/>
  <c r="G702" i="1" s="1"/>
  <c r="C702" i="1"/>
  <c r="D702" i="1"/>
  <c r="B703" i="1"/>
  <c r="C703" i="1"/>
  <c r="D703" i="1"/>
  <c r="G703" i="1"/>
  <c r="B704" i="1"/>
  <c r="G704" i="1" s="1"/>
  <c r="C704" i="1"/>
  <c r="D704" i="1"/>
  <c r="B705" i="1"/>
  <c r="C705" i="1"/>
  <c r="D705" i="1"/>
  <c r="G705" i="1"/>
  <c r="B706" i="1"/>
  <c r="G706" i="1" s="1"/>
  <c r="C706" i="1"/>
  <c r="D706" i="1"/>
  <c r="B707" i="1"/>
  <c r="C707" i="1"/>
  <c r="D707" i="1"/>
  <c r="G707" i="1"/>
  <c r="B708" i="1"/>
  <c r="G708" i="1" s="1"/>
  <c r="C708" i="1"/>
  <c r="D708" i="1"/>
  <c r="B709" i="1"/>
  <c r="C709" i="1"/>
  <c r="D709" i="1"/>
  <c r="G709" i="1"/>
  <c r="B710" i="1"/>
  <c r="G710" i="1" s="1"/>
  <c r="C710" i="1"/>
  <c r="D710" i="1"/>
  <c r="B711" i="1"/>
  <c r="C711" i="1"/>
  <c r="D711" i="1"/>
  <c r="G711" i="1"/>
  <c r="B712" i="1"/>
  <c r="G712" i="1" s="1"/>
  <c r="C712" i="1"/>
  <c r="D712" i="1"/>
  <c r="B713" i="1"/>
  <c r="C713" i="1"/>
  <c r="D713" i="1"/>
  <c r="G713" i="1"/>
  <c r="B714" i="1"/>
  <c r="C714" i="1"/>
  <c r="D714" i="1"/>
  <c r="F714" i="1"/>
  <c r="B715" i="1"/>
  <c r="C715" i="1"/>
  <c r="D715" i="1"/>
  <c r="G715" i="1"/>
  <c r="B716" i="1"/>
  <c r="G716" i="1" s="1"/>
  <c r="C716" i="1"/>
  <c r="D716" i="1"/>
  <c r="B717" i="1"/>
  <c r="C717" i="1"/>
  <c r="D717" i="1"/>
  <c r="G717" i="1"/>
  <c r="B718" i="1"/>
  <c r="G718" i="1" s="1"/>
  <c r="C718" i="1"/>
  <c r="D718" i="1"/>
  <c r="B719" i="1"/>
  <c r="C719" i="1"/>
  <c r="D719" i="1"/>
  <c r="G719" i="1"/>
  <c r="B720" i="1"/>
  <c r="G720" i="1" s="1"/>
  <c r="C720" i="1"/>
  <c r="D720" i="1"/>
  <c r="B721" i="1"/>
  <c r="C721" i="1"/>
  <c r="D721" i="1"/>
  <c r="G721" i="1"/>
  <c r="B722" i="1"/>
  <c r="G722" i="1" s="1"/>
  <c r="C722" i="1"/>
  <c r="D722" i="1"/>
  <c r="B723" i="1"/>
  <c r="C723" i="1"/>
  <c r="D723" i="1"/>
  <c r="G723" i="1"/>
  <c r="B724" i="1"/>
  <c r="G724" i="1" s="1"/>
  <c r="C724" i="1"/>
  <c r="D724" i="1"/>
  <c r="B725" i="1"/>
  <c r="C725" i="1"/>
  <c r="D725" i="1"/>
  <c r="G725" i="1"/>
  <c r="B726" i="1"/>
  <c r="G726" i="1" s="1"/>
  <c r="C726" i="1"/>
  <c r="D726" i="1"/>
  <c r="B727" i="1"/>
  <c r="C727" i="1"/>
  <c r="D727" i="1"/>
  <c r="G727" i="1"/>
  <c r="B728" i="1"/>
  <c r="G728" i="1" s="1"/>
  <c r="C728" i="1"/>
  <c r="D728" i="1"/>
  <c r="B729" i="1"/>
  <c r="C729" i="1"/>
  <c r="D729" i="1"/>
  <c r="G729" i="1"/>
  <c r="B730" i="1"/>
  <c r="G730" i="1" s="1"/>
  <c r="C730" i="1"/>
  <c r="D730" i="1"/>
  <c r="B731" i="1"/>
  <c r="C731" i="1"/>
  <c r="D731" i="1"/>
  <c r="G731" i="1"/>
  <c r="B732" i="1"/>
  <c r="G732" i="1" s="1"/>
  <c r="C732" i="1"/>
  <c r="D732" i="1"/>
  <c r="B733" i="1"/>
  <c r="C733" i="1"/>
  <c r="D733" i="1"/>
  <c r="F733" i="1"/>
  <c r="B734" i="1"/>
  <c r="G734" i="1" s="1"/>
  <c r="C734" i="1"/>
  <c r="D734" i="1"/>
  <c r="B735" i="1"/>
  <c r="C735" i="1"/>
  <c r="D735" i="1"/>
  <c r="G735" i="1"/>
  <c r="B736" i="1"/>
  <c r="G736" i="1" s="1"/>
  <c r="C736" i="1"/>
  <c r="D736" i="1"/>
  <c r="B737" i="1"/>
  <c r="C737" i="1"/>
  <c r="D737" i="1"/>
  <c r="G737" i="1"/>
  <c r="B738" i="1"/>
  <c r="G738" i="1" s="1"/>
  <c r="C738" i="1"/>
  <c r="D738" i="1"/>
  <c r="B739" i="1"/>
  <c r="C739" i="1"/>
  <c r="D739" i="1"/>
  <c r="G739" i="1"/>
  <c r="B740" i="1"/>
  <c r="G740" i="1" s="1"/>
  <c r="C740" i="1"/>
  <c r="D740" i="1"/>
  <c r="B741" i="1"/>
  <c r="C741" i="1"/>
  <c r="D741" i="1"/>
  <c r="G741" i="1"/>
  <c r="B742" i="1"/>
  <c r="G742" i="1" s="1"/>
  <c r="C742" i="1"/>
  <c r="D742" i="1"/>
  <c r="B743" i="1"/>
  <c r="C743" i="1"/>
  <c r="D743" i="1"/>
  <c r="G743" i="1"/>
  <c r="B744" i="1"/>
  <c r="G744" i="1" s="1"/>
  <c r="C744" i="1"/>
  <c r="D744" i="1"/>
  <c r="B745" i="1"/>
  <c r="C745" i="1"/>
  <c r="D745" i="1"/>
  <c r="G745" i="1"/>
  <c r="B746" i="1"/>
  <c r="G746" i="1" s="1"/>
  <c r="C746" i="1"/>
  <c r="D746" i="1"/>
  <c r="B747" i="1"/>
  <c r="C747" i="1"/>
  <c r="D747" i="1"/>
  <c r="G747" i="1"/>
  <c r="B748" i="1"/>
  <c r="G748" i="1" s="1"/>
  <c r="C748" i="1"/>
  <c r="D748" i="1"/>
  <c r="B749" i="1"/>
  <c r="C749" i="1"/>
  <c r="D749" i="1"/>
  <c r="G749" i="1"/>
  <c r="B750" i="1"/>
  <c r="G750" i="1" s="1"/>
  <c r="C750" i="1"/>
  <c r="D750" i="1"/>
  <c r="B751" i="1"/>
  <c r="C751" i="1"/>
  <c r="D751" i="1"/>
  <c r="G751" i="1"/>
  <c r="B752" i="1"/>
  <c r="G752" i="1" s="1"/>
  <c r="C752" i="1"/>
  <c r="D752" i="1"/>
  <c r="B753" i="1"/>
  <c r="C753" i="1"/>
  <c r="D753" i="1"/>
  <c r="G753" i="1"/>
  <c r="B754" i="1"/>
  <c r="G754" i="1" s="1"/>
  <c r="C754" i="1"/>
  <c r="D754" i="1"/>
  <c r="B755" i="1"/>
  <c r="C755" i="1"/>
  <c r="D755" i="1"/>
  <c r="F755" i="1"/>
  <c r="B756" i="1"/>
  <c r="G756" i="1" s="1"/>
  <c r="C756" i="1"/>
  <c r="D756" i="1"/>
  <c r="B757" i="1"/>
  <c r="C757" i="1"/>
  <c r="D757" i="1"/>
  <c r="G757" i="1"/>
  <c r="B758" i="1"/>
  <c r="G758" i="1" s="1"/>
  <c r="C758" i="1"/>
  <c r="D758" i="1"/>
  <c r="B759" i="1"/>
  <c r="C759" i="1"/>
  <c r="D759" i="1"/>
  <c r="G759" i="1"/>
  <c r="B760" i="1"/>
  <c r="G760" i="1" s="1"/>
  <c r="C760" i="1"/>
  <c r="D760" i="1"/>
  <c r="B761" i="1"/>
  <c r="C761" i="1"/>
  <c r="D761" i="1"/>
  <c r="G761" i="1"/>
  <c r="B762" i="1"/>
  <c r="G762" i="1" s="1"/>
  <c r="C762" i="1"/>
  <c r="D762" i="1"/>
  <c r="B763" i="1"/>
  <c r="C763" i="1"/>
  <c r="D763" i="1"/>
  <c r="G763" i="1"/>
  <c r="B764" i="1"/>
  <c r="G764" i="1" s="1"/>
  <c r="C764" i="1"/>
  <c r="D764" i="1"/>
  <c r="B765" i="1"/>
  <c r="C765" i="1"/>
  <c r="D765" i="1"/>
  <c r="G765" i="1"/>
  <c r="B766" i="1"/>
  <c r="G766" i="1" s="1"/>
  <c r="C766" i="1"/>
  <c r="D766" i="1"/>
  <c r="B767" i="1"/>
  <c r="C767" i="1"/>
  <c r="D767" i="1"/>
  <c r="G767" i="1"/>
  <c r="B768" i="1"/>
  <c r="G768" i="1" s="1"/>
  <c r="C768" i="1"/>
  <c r="D768" i="1"/>
  <c r="B769" i="1"/>
  <c r="C769" i="1"/>
  <c r="D769" i="1"/>
  <c r="G769" i="1"/>
  <c r="B770" i="1"/>
  <c r="G770" i="1" s="1"/>
  <c r="C770" i="1"/>
  <c r="D770" i="1"/>
  <c r="B771" i="1"/>
  <c r="C771" i="1"/>
  <c r="D771" i="1"/>
  <c r="G771" i="1"/>
  <c r="B772" i="1"/>
  <c r="G772" i="1" s="1"/>
  <c r="C772" i="1"/>
  <c r="D772" i="1"/>
  <c r="B773" i="1"/>
  <c r="C773" i="1"/>
  <c r="D773" i="1"/>
  <c r="G773" i="1"/>
  <c r="B774" i="1"/>
  <c r="G774" i="1" s="1"/>
  <c r="C774" i="1"/>
  <c r="D774" i="1"/>
  <c r="B775" i="1"/>
  <c r="C775" i="1"/>
  <c r="D775" i="1"/>
  <c r="G775" i="1"/>
  <c r="B776" i="1"/>
  <c r="G776" i="1" s="1"/>
  <c r="C776" i="1"/>
  <c r="D776" i="1"/>
  <c r="B777" i="1"/>
  <c r="C777" i="1"/>
  <c r="D777" i="1"/>
  <c r="G777" i="1"/>
  <c r="B778" i="1"/>
  <c r="G778" i="1" s="1"/>
  <c r="C778" i="1"/>
  <c r="D778" i="1"/>
  <c r="B779" i="1"/>
  <c r="C779" i="1"/>
  <c r="D779" i="1"/>
  <c r="G779" i="1"/>
  <c r="B780" i="1"/>
  <c r="G780" i="1" s="1"/>
  <c r="C780" i="1"/>
  <c r="D780" i="1"/>
  <c r="B781" i="1"/>
  <c r="C781" i="1"/>
  <c r="D781" i="1"/>
  <c r="G781" i="1"/>
  <c r="B782" i="1"/>
  <c r="G782" i="1" s="1"/>
  <c r="C782" i="1"/>
  <c r="D782" i="1"/>
  <c r="B783" i="1"/>
  <c r="C783" i="1"/>
  <c r="D783" i="1"/>
  <c r="G783" i="1"/>
  <c r="B784" i="1"/>
  <c r="G784" i="1" s="1"/>
  <c r="C784" i="1"/>
  <c r="D784" i="1"/>
  <c r="B785" i="1"/>
  <c r="C785" i="1"/>
  <c r="D785" i="1"/>
  <c r="G785" i="1"/>
  <c r="B786" i="1"/>
  <c r="G786" i="1" s="1"/>
  <c r="C786" i="1"/>
  <c r="D786" i="1"/>
  <c r="B787" i="1"/>
  <c r="C787" i="1"/>
  <c r="D787" i="1"/>
  <c r="G787" i="1"/>
  <c r="B788" i="1"/>
  <c r="G788" i="1" s="1"/>
  <c r="C788" i="1"/>
  <c r="D788" i="1"/>
  <c r="B789" i="1"/>
  <c r="C789" i="1"/>
  <c r="D789" i="1"/>
  <c r="G789" i="1"/>
  <c r="B790" i="1"/>
  <c r="G790" i="1" s="1"/>
  <c r="C790" i="1"/>
  <c r="D790" i="1"/>
  <c r="B791" i="1"/>
  <c r="C791" i="1"/>
  <c r="D791" i="1"/>
  <c r="G791" i="1"/>
  <c r="B792" i="1"/>
  <c r="G792" i="1" s="1"/>
  <c r="C792" i="1"/>
  <c r="D792" i="1"/>
  <c r="B793" i="1"/>
  <c r="C793" i="1"/>
  <c r="D793" i="1"/>
  <c r="F793" i="1"/>
  <c r="B794" i="1"/>
  <c r="G794" i="1" s="1"/>
  <c r="C794" i="1"/>
  <c r="D794" i="1"/>
  <c r="B795" i="1"/>
  <c r="C795" i="1"/>
  <c r="D795" i="1"/>
  <c r="G795" i="1"/>
  <c r="B796" i="1"/>
  <c r="G796" i="1" s="1"/>
  <c r="C796" i="1"/>
  <c r="D796" i="1"/>
  <c r="B797" i="1"/>
  <c r="C797" i="1"/>
  <c r="D797" i="1"/>
  <c r="G797" i="1"/>
  <c r="B798" i="1"/>
  <c r="G798" i="1" s="1"/>
  <c r="C798" i="1"/>
  <c r="D798" i="1"/>
  <c r="B799" i="1"/>
  <c r="C799" i="1"/>
  <c r="D799" i="1"/>
  <c r="G799" i="1"/>
  <c r="B800" i="1"/>
  <c r="G800" i="1" s="1"/>
  <c r="C800" i="1"/>
  <c r="D800" i="1"/>
  <c r="B801" i="1"/>
  <c r="C801" i="1"/>
  <c r="D801" i="1"/>
  <c r="G801" i="1"/>
  <c r="B802" i="1"/>
  <c r="G802" i="1" s="1"/>
  <c r="C802" i="1"/>
  <c r="D802" i="1"/>
  <c r="B803" i="1"/>
  <c r="C803" i="1"/>
  <c r="D803" i="1"/>
  <c r="G803" i="1"/>
  <c r="B804" i="1"/>
  <c r="G804" i="1" s="1"/>
  <c r="C804" i="1"/>
  <c r="D804" i="1"/>
  <c r="B805" i="1"/>
  <c r="C805" i="1"/>
  <c r="D805" i="1"/>
  <c r="G805" i="1"/>
  <c r="B806" i="1"/>
  <c r="G806" i="1" s="1"/>
  <c r="C806" i="1"/>
  <c r="D806" i="1"/>
  <c r="B807" i="1"/>
  <c r="C807" i="1"/>
  <c r="D807" i="1"/>
  <c r="G807" i="1"/>
  <c r="B808" i="1"/>
  <c r="G808" i="1" s="1"/>
  <c r="C808" i="1"/>
  <c r="D808" i="1"/>
  <c r="B809" i="1"/>
  <c r="C809" i="1"/>
  <c r="D809" i="1"/>
  <c r="F809" i="1"/>
  <c r="B810" i="1"/>
  <c r="G810" i="1" s="1"/>
  <c r="C810" i="1"/>
  <c r="D810" i="1"/>
  <c r="B811" i="1"/>
  <c r="C811" i="1"/>
  <c r="D811" i="1"/>
  <c r="G811" i="1"/>
  <c r="B812" i="1"/>
  <c r="G812" i="1" s="1"/>
  <c r="C812" i="1"/>
  <c r="D812" i="1"/>
  <c r="B813" i="1"/>
  <c r="C813" i="1"/>
  <c r="D813" i="1"/>
  <c r="G813" i="1"/>
  <c r="B814" i="1"/>
  <c r="G814" i="1" s="1"/>
  <c r="C814" i="1"/>
  <c r="D814" i="1"/>
  <c r="B815" i="1"/>
  <c r="C815" i="1"/>
  <c r="D815" i="1"/>
  <c r="G815" i="1"/>
  <c r="B816" i="1"/>
  <c r="G816" i="1" s="1"/>
  <c r="C816" i="1"/>
  <c r="D816" i="1"/>
  <c r="B817" i="1"/>
  <c r="C817" i="1"/>
  <c r="D817" i="1"/>
  <c r="G817" i="1"/>
  <c r="B818" i="1"/>
  <c r="C818" i="1"/>
  <c r="D818" i="1"/>
  <c r="F818" i="1"/>
  <c r="B819" i="1"/>
  <c r="C819" i="1"/>
  <c r="D819" i="1"/>
  <c r="G819" i="1"/>
  <c r="B820" i="1"/>
  <c r="G820" i="1" s="1"/>
  <c r="C820" i="1"/>
  <c r="D820" i="1"/>
  <c r="B821" i="1"/>
  <c r="C821" i="1"/>
  <c r="D821" i="1"/>
  <c r="G821" i="1"/>
  <c r="B822" i="1"/>
  <c r="G822" i="1" s="1"/>
  <c r="C822" i="1"/>
  <c r="D822" i="1"/>
  <c r="B823" i="1"/>
  <c r="C823" i="1"/>
  <c r="D823" i="1"/>
  <c r="G823" i="1"/>
  <c r="B824" i="1"/>
  <c r="G824" i="1" s="1"/>
  <c r="C824" i="1"/>
  <c r="D824" i="1"/>
  <c r="B825" i="1"/>
  <c r="C825" i="1"/>
  <c r="D825" i="1"/>
  <c r="G825" i="1"/>
  <c r="B826" i="1"/>
  <c r="G826" i="1" s="1"/>
  <c r="C826" i="1"/>
  <c r="D826" i="1"/>
  <c r="B827" i="1"/>
  <c r="C827" i="1"/>
  <c r="D827" i="1"/>
  <c r="G827" i="1"/>
  <c r="B828" i="1"/>
  <c r="G828" i="1" s="1"/>
  <c r="C828" i="1"/>
  <c r="D828" i="1"/>
  <c r="B829" i="1"/>
  <c r="C829" i="1"/>
  <c r="D829" i="1"/>
  <c r="G829" i="1"/>
  <c r="B830" i="1"/>
  <c r="G830" i="1" s="1"/>
  <c r="C830" i="1"/>
  <c r="D830" i="1"/>
  <c r="B831" i="1"/>
  <c r="C831" i="1"/>
  <c r="D831" i="1"/>
  <c r="G831" i="1"/>
  <c r="B832" i="1"/>
  <c r="G832" i="1" s="1"/>
  <c r="C832" i="1"/>
  <c r="D832" i="1"/>
  <c r="B833" i="1"/>
  <c r="C833" i="1"/>
  <c r="D833" i="1"/>
  <c r="G833" i="1"/>
  <c r="B834" i="1"/>
  <c r="G834" i="1" s="1"/>
  <c r="C834" i="1"/>
  <c r="D834" i="1"/>
  <c r="B835" i="1"/>
  <c r="C835" i="1"/>
  <c r="D835" i="1"/>
  <c r="G835" i="1"/>
  <c r="B836" i="1"/>
  <c r="G836" i="1" s="1"/>
  <c r="C836" i="1"/>
  <c r="D836" i="1"/>
  <c r="B837" i="1"/>
  <c r="C837" i="1"/>
  <c r="D837" i="1"/>
  <c r="G837" i="1"/>
  <c r="B838" i="1"/>
  <c r="G838" i="1" s="1"/>
  <c r="C838" i="1"/>
  <c r="D838" i="1"/>
  <c r="B839" i="1"/>
  <c r="C839" i="1"/>
  <c r="D839" i="1"/>
  <c r="G839" i="1"/>
  <c r="B840" i="1"/>
  <c r="C840" i="1"/>
  <c r="D840" i="1"/>
  <c r="B841" i="1"/>
  <c r="C841" i="1"/>
  <c r="D841" i="1"/>
  <c r="G841" i="1"/>
  <c r="B842" i="1"/>
  <c r="G842" i="1" s="1"/>
  <c r="C842" i="1"/>
  <c r="D842" i="1"/>
  <c r="B843" i="1"/>
  <c r="C843" i="1"/>
  <c r="D843" i="1"/>
  <c r="G843" i="1"/>
  <c r="B844" i="1"/>
  <c r="G844" i="1" s="1"/>
  <c r="C844" i="1"/>
  <c r="D844" i="1"/>
  <c r="B845" i="1"/>
  <c r="C845" i="1"/>
  <c r="D845" i="1"/>
  <c r="G845" i="1"/>
  <c r="B846" i="1"/>
  <c r="G846" i="1" s="1"/>
  <c r="C846" i="1"/>
  <c r="D846" i="1"/>
  <c r="B847" i="1"/>
  <c r="C847" i="1"/>
  <c r="D847" i="1"/>
  <c r="G847" i="1"/>
  <c r="B848" i="1"/>
  <c r="G848" i="1" s="1"/>
  <c r="C848" i="1"/>
  <c r="D848" i="1"/>
  <c r="B849" i="1"/>
  <c r="C849" i="1"/>
  <c r="D849" i="1"/>
  <c r="G849" i="1"/>
  <c r="B850" i="1"/>
  <c r="G850" i="1" s="1"/>
  <c r="C850" i="1"/>
  <c r="D850" i="1"/>
  <c r="B851" i="1"/>
  <c r="C851" i="1"/>
  <c r="D851" i="1"/>
  <c r="G851" i="1"/>
  <c r="B852" i="1"/>
  <c r="G852" i="1" s="1"/>
  <c r="C852" i="1"/>
  <c r="D852" i="1"/>
  <c r="B853" i="1"/>
  <c r="C853" i="1"/>
  <c r="D853" i="1"/>
  <c r="G853" i="1"/>
  <c r="B854" i="1"/>
  <c r="G854" i="1" s="1"/>
  <c r="C854" i="1"/>
  <c r="D854" i="1"/>
  <c r="B855" i="1"/>
  <c r="C855" i="1"/>
  <c r="D855" i="1"/>
  <c r="G855" i="1"/>
  <c r="B856" i="1"/>
  <c r="G856" i="1" s="1"/>
  <c r="C856" i="1"/>
  <c r="D856" i="1"/>
  <c r="B857" i="1"/>
  <c r="C857" i="1"/>
  <c r="D857" i="1"/>
  <c r="G857" i="1"/>
  <c r="B858" i="1"/>
  <c r="G858" i="1" s="1"/>
  <c r="C858" i="1"/>
  <c r="D858" i="1"/>
  <c r="B859" i="1"/>
  <c r="C859" i="1"/>
  <c r="D859" i="1"/>
  <c r="G859" i="1"/>
  <c r="B860" i="1"/>
  <c r="G860" i="1" s="1"/>
  <c r="C860" i="1"/>
  <c r="D860" i="1"/>
  <c r="B861" i="1"/>
  <c r="C861" i="1"/>
  <c r="D861" i="1"/>
  <c r="G861" i="1"/>
  <c r="B862" i="1"/>
  <c r="C862" i="1"/>
  <c r="D862" i="1"/>
  <c r="F862" i="1"/>
  <c r="B863" i="1"/>
  <c r="C863" i="1"/>
  <c r="D863" i="1"/>
  <c r="G863" i="1"/>
  <c r="B864" i="1"/>
  <c r="G864" i="1" s="1"/>
  <c r="C864" i="1"/>
  <c r="D864" i="1"/>
  <c r="B865" i="1"/>
  <c r="C865" i="1"/>
  <c r="D865" i="1"/>
  <c r="G865" i="1"/>
  <c r="B866" i="1"/>
  <c r="G866" i="1" s="1"/>
  <c r="C866" i="1"/>
  <c r="D866" i="1"/>
  <c r="B867" i="1"/>
  <c r="C867" i="1"/>
  <c r="D867" i="1"/>
  <c r="G867" i="1"/>
  <c r="B868" i="1"/>
  <c r="G868" i="1" s="1"/>
  <c r="C868" i="1"/>
  <c r="D868" i="1"/>
  <c r="B869" i="1"/>
  <c r="C869" i="1"/>
  <c r="D869" i="1"/>
  <c r="G869" i="1"/>
  <c r="B870" i="1"/>
  <c r="C870" i="1"/>
  <c r="D870" i="1"/>
  <c r="G870" i="1"/>
  <c r="B871" i="1"/>
  <c r="G871" i="1" s="1"/>
  <c r="C871" i="1"/>
  <c r="D871" i="1"/>
  <c r="B872" i="1"/>
  <c r="C872" i="1"/>
  <c r="D872" i="1"/>
  <c r="G872" i="1"/>
  <c r="B873" i="1"/>
  <c r="G873" i="1" s="1"/>
  <c r="C873" i="1"/>
  <c r="D873" i="1"/>
  <c r="B874" i="1"/>
  <c r="C874" i="1"/>
  <c r="D874" i="1"/>
  <c r="G874" i="1"/>
  <c r="B875" i="1"/>
  <c r="G875" i="1" s="1"/>
  <c r="C875" i="1"/>
  <c r="D875" i="1"/>
  <c r="B876" i="1"/>
  <c r="C876" i="1"/>
  <c r="D876" i="1"/>
  <c r="G876" i="1"/>
  <c r="B877" i="1"/>
  <c r="G877" i="1" s="1"/>
  <c r="C877" i="1"/>
  <c r="D877" i="1"/>
  <c r="B878" i="1"/>
  <c r="C878" i="1"/>
  <c r="D878" i="1"/>
  <c r="G878" i="1"/>
  <c r="B879" i="1"/>
  <c r="G879" i="1" s="1"/>
  <c r="C879" i="1"/>
  <c r="D879" i="1"/>
  <c r="B880" i="1"/>
  <c r="C880" i="1"/>
  <c r="D880" i="1"/>
  <c r="G880" i="1"/>
  <c r="B881" i="1"/>
  <c r="G881" i="1" s="1"/>
  <c r="C881" i="1"/>
  <c r="D881" i="1"/>
  <c r="B882" i="1"/>
  <c r="C882" i="1"/>
  <c r="D882" i="1"/>
  <c r="F882" i="1"/>
  <c r="B883" i="1"/>
  <c r="G883" i="1" s="1"/>
  <c r="C883" i="1"/>
  <c r="D883" i="1"/>
  <c r="B884" i="1"/>
  <c r="C884" i="1"/>
  <c r="D884" i="1"/>
  <c r="G884" i="1"/>
  <c r="B885" i="1"/>
  <c r="G885" i="1" s="1"/>
  <c r="C885" i="1"/>
  <c r="D885" i="1"/>
  <c r="B886" i="1"/>
  <c r="C886" i="1"/>
  <c r="D886" i="1"/>
  <c r="G886" i="1"/>
  <c r="B887" i="1"/>
  <c r="G887" i="1" s="1"/>
  <c r="C887" i="1"/>
  <c r="D887" i="1"/>
  <c r="B888" i="1"/>
  <c r="C888" i="1"/>
  <c r="D888" i="1"/>
  <c r="G888" i="1"/>
  <c r="B889" i="1"/>
  <c r="G889" i="1" s="1"/>
  <c r="C889" i="1"/>
  <c r="D889" i="1"/>
  <c r="B890" i="1"/>
  <c r="C890" i="1"/>
  <c r="D890" i="1"/>
  <c r="G890" i="1"/>
  <c r="B891" i="1"/>
  <c r="G891" i="1" s="1"/>
  <c r="C891" i="1"/>
  <c r="D891" i="1"/>
  <c r="B892" i="1"/>
  <c r="C892" i="1"/>
  <c r="D892" i="1"/>
  <c r="G892" i="1"/>
  <c r="B893" i="1"/>
  <c r="G893" i="1" s="1"/>
  <c r="C893" i="1"/>
  <c r="D893" i="1"/>
  <c r="B894" i="1"/>
  <c r="C894" i="1"/>
  <c r="D894" i="1"/>
  <c r="G894" i="1"/>
  <c r="B895" i="1"/>
  <c r="G895" i="1" s="1"/>
  <c r="C895" i="1"/>
  <c r="D895" i="1"/>
  <c r="B896" i="1"/>
  <c r="C896" i="1"/>
  <c r="D896" i="1"/>
  <c r="G896" i="1"/>
  <c r="B897" i="1"/>
  <c r="G897" i="1" s="1"/>
  <c r="C897" i="1"/>
  <c r="D897" i="1"/>
  <c r="B898" i="1"/>
  <c r="C898" i="1"/>
  <c r="D898" i="1"/>
  <c r="G898" i="1"/>
  <c r="B899" i="1"/>
  <c r="G899" i="1" s="1"/>
  <c r="C899" i="1"/>
  <c r="D899" i="1"/>
  <c r="B900" i="1"/>
  <c r="C900" i="1"/>
  <c r="D900" i="1"/>
  <c r="G900" i="1"/>
  <c r="B901" i="1"/>
  <c r="C901" i="1"/>
  <c r="D901" i="1"/>
  <c r="F901" i="1"/>
  <c r="B902" i="1"/>
  <c r="C902" i="1"/>
  <c r="D902" i="1"/>
  <c r="G902" i="1"/>
  <c r="B903" i="1"/>
  <c r="G903" i="1" s="1"/>
  <c r="C903" i="1"/>
  <c r="D903" i="1"/>
  <c r="B904" i="1"/>
  <c r="C904" i="1"/>
  <c r="D904" i="1"/>
  <c r="G904" i="1"/>
  <c r="B905" i="1"/>
  <c r="G905" i="1" s="1"/>
  <c r="C905" i="1"/>
  <c r="D905" i="1"/>
  <c r="B906" i="1"/>
  <c r="C906" i="1"/>
  <c r="D906" i="1"/>
  <c r="G906" i="1"/>
  <c r="B907" i="1"/>
  <c r="G907" i="1" s="1"/>
  <c r="C907" i="1"/>
  <c r="D907" i="1"/>
  <c r="B908" i="1"/>
  <c r="C908" i="1"/>
  <c r="D908" i="1"/>
  <c r="G908" i="1"/>
  <c r="B909" i="1"/>
  <c r="G909" i="1" s="1"/>
  <c r="C909" i="1"/>
  <c r="D909" i="1"/>
  <c r="B910" i="1"/>
  <c r="C910" i="1"/>
  <c r="D910" i="1"/>
  <c r="G910" i="1"/>
  <c r="B911" i="1"/>
  <c r="G911" i="1" s="1"/>
  <c r="C911" i="1"/>
  <c r="D911" i="1"/>
  <c r="B912" i="1"/>
  <c r="C912" i="1"/>
  <c r="D912" i="1"/>
  <c r="G912" i="1"/>
  <c r="B913" i="1"/>
  <c r="G913" i="1" s="1"/>
  <c r="C913" i="1"/>
  <c r="D913" i="1"/>
  <c r="B914" i="1"/>
  <c r="C914" i="1"/>
  <c r="D914" i="1"/>
  <c r="G914" i="1"/>
  <c r="B915" i="1"/>
  <c r="G915" i="1" s="1"/>
  <c r="C915" i="1"/>
  <c r="D915" i="1"/>
  <c r="B916" i="1"/>
  <c r="C916" i="1"/>
  <c r="D916" i="1"/>
  <c r="G916" i="1"/>
  <c r="B917" i="1"/>
  <c r="G917" i="1" s="1"/>
  <c r="C917" i="1"/>
  <c r="D917" i="1"/>
  <c r="B918" i="1"/>
  <c r="C918" i="1"/>
  <c r="D918" i="1"/>
  <c r="G918" i="1"/>
  <c r="B919" i="1"/>
  <c r="G919" i="1" s="1"/>
  <c r="C919" i="1"/>
  <c r="D919" i="1"/>
  <c r="B920" i="1"/>
  <c r="C920" i="1"/>
  <c r="D920" i="1"/>
  <c r="G920" i="1"/>
  <c r="B921" i="1"/>
  <c r="G921" i="1" s="1"/>
  <c r="C921" i="1"/>
  <c r="D921" i="1"/>
  <c r="B922" i="1"/>
  <c r="C922" i="1"/>
  <c r="D922" i="1"/>
  <c r="G922" i="1"/>
  <c r="B923" i="1"/>
  <c r="C923" i="1"/>
  <c r="D923" i="1"/>
  <c r="F923" i="1"/>
  <c r="B924" i="1"/>
  <c r="C924" i="1"/>
  <c r="D924" i="1"/>
  <c r="G924" i="1"/>
  <c r="B925" i="1"/>
  <c r="G925" i="1" s="1"/>
  <c r="C925" i="1"/>
  <c r="D925" i="1"/>
  <c r="B926" i="1"/>
  <c r="C926" i="1"/>
  <c r="D926" i="1"/>
  <c r="G926" i="1"/>
  <c r="B927" i="1"/>
  <c r="G927" i="1" s="1"/>
  <c r="C927" i="1"/>
  <c r="D927" i="1"/>
  <c r="B928" i="1"/>
  <c r="C928" i="1"/>
  <c r="D928" i="1"/>
  <c r="G928" i="1"/>
  <c r="B929" i="1"/>
  <c r="G929" i="1" s="1"/>
  <c r="C929" i="1"/>
  <c r="D929" i="1"/>
  <c r="B930" i="1"/>
  <c r="C930" i="1"/>
  <c r="D930" i="1"/>
  <c r="G930" i="1"/>
  <c r="B931" i="1"/>
  <c r="G931" i="1" s="1"/>
  <c r="C931" i="1"/>
  <c r="D931" i="1"/>
  <c r="B932" i="1"/>
  <c r="C932" i="1"/>
  <c r="D932" i="1"/>
  <c r="G932" i="1"/>
  <c r="B933" i="1"/>
  <c r="G933" i="1" s="1"/>
  <c r="C933" i="1"/>
  <c r="D933" i="1"/>
  <c r="B934" i="1"/>
  <c r="C934" i="1"/>
  <c r="D934" i="1"/>
  <c r="G934" i="1"/>
  <c r="B935" i="1"/>
  <c r="G935" i="1" s="1"/>
  <c r="C935" i="1"/>
  <c r="D935" i="1"/>
  <c r="B936" i="1"/>
  <c r="C936" i="1"/>
  <c r="D936" i="1"/>
  <c r="G936" i="1"/>
  <c r="B937" i="1"/>
  <c r="C937" i="1"/>
  <c r="D937" i="1"/>
  <c r="F937" i="1"/>
  <c r="B938" i="1"/>
  <c r="C938" i="1"/>
  <c r="D938" i="1"/>
  <c r="G938" i="1"/>
  <c r="B939" i="1"/>
  <c r="G939" i="1" s="1"/>
  <c r="C939" i="1"/>
  <c r="D939" i="1"/>
  <c r="B940" i="1"/>
  <c r="C940" i="1"/>
  <c r="D940" i="1"/>
  <c r="G940" i="1"/>
  <c r="B941" i="1"/>
  <c r="G941" i="1" s="1"/>
  <c r="C941" i="1"/>
  <c r="D941" i="1"/>
  <c r="B942" i="1"/>
  <c r="C942" i="1"/>
  <c r="D942" i="1"/>
  <c r="G942" i="1"/>
  <c r="B943" i="1"/>
  <c r="G943" i="1" s="1"/>
  <c r="C943" i="1"/>
  <c r="D943" i="1"/>
  <c r="B944" i="1"/>
  <c r="C944" i="1"/>
  <c r="D944" i="1"/>
  <c r="G944" i="1"/>
  <c r="B945" i="1"/>
  <c r="G945" i="1" s="1"/>
  <c r="C945" i="1"/>
  <c r="D945" i="1"/>
  <c r="B946" i="1"/>
  <c r="C946" i="1"/>
  <c r="D946" i="1"/>
  <c r="G946" i="1"/>
  <c r="B947" i="1"/>
  <c r="G947" i="1" s="1"/>
  <c r="C947" i="1"/>
  <c r="D947" i="1"/>
  <c r="B948" i="1"/>
  <c r="C948" i="1"/>
  <c r="D948" i="1"/>
  <c r="G948" i="1"/>
  <c r="B949" i="1"/>
  <c r="G949" i="1" s="1"/>
  <c r="C949" i="1"/>
  <c r="D949" i="1"/>
  <c r="B950" i="1"/>
  <c r="C950" i="1"/>
  <c r="D950" i="1"/>
  <c r="G950" i="1"/>
  <c r="B951" i="1"/>
  <c r="G951" i="1" s="1"/>
  <c r="C951" i="1"/>
  <c r="D951" i="1"/>
  <c r="B952" i="1"/>
  <c r="C952" i="1"/>
  <c r="D952" i="1"/>
  <c r="G952" i="1"/>
  <c r="B953" i="1"/>
  <c r="G953" i="1" s="1"/>
  <c r="C953" i="1"/>
  <c r="D953" i="1"/>
  <c r="B954" i="1"/>
  <c r="C954" i="1"/>
  <c r="D954" i="1"/>
  <c r="G954" i="1"/>
  <c r="B955" i="1"/>
  <c r="G955" i="1" s="1"/>
  <c r="C955" i="1"/>
  <c r="D955" i="1"/>
  <c r="B956" i="1"/>
  <c r="C956" i="1"/>
  <c r="D956" i="1"/>
  <c r="G956" i="1"/>
  <c r="B957" i="1"/>
  <c r="G957" i="1" s="1"/>
  <c r="C957" i="1"/>
  <c r="D957" i="1"/>
  <c r="B958" i="1"/>
  <c r="C958" i="1"/>
  <c r="D958" i="1"/>
  <c r="G958" i="1"/>
  <c r="B959" i="1"/>
  <c r="G959" i="1" s="1"/>
  <c r="C959" i="1"/>
  <c r="D959" i="1"/>
  <c r="B960" i="1"/>
  <c r="C960" i="1"/>
  <c r="D960" i="1"/>
  <c r="G960" i="1"/>
  <c r="B961" i="1"/>
  <c r="G961" i="1" s="1"/>
  <c r="C961" i="1"/>
  <c r="D961" i="1"/>
  <c r="B962" i="1"/>
  <c r="C962" i="1"/>
  <c r="D962" i="1"/>
  <c r="G962" i="1"/>
  <c r="B963" i="1"/>
  <c r="G963" i="1" s="1"/>
  <c r="C963" i="1"/>
  <c r="D963" i="1"/>
  <c r="B964" i="1"/>
  <c r="C964" i="1"/>
  <c r="D964" i="1"/>
  <c r="G964" i="1"/>
  <c r="B965" i="1"/>
  <c r="C965" i="1"/>
  <c r="D965" i="1"/>
  <c r="F965" i="1"/>
  <c r="B966" i="1"/>
  <c r="C966" i="1"/>
  <c r="D966" i="1"/>
  <c r="G966" i="1"/>
  <c r="B967" i="1"/>
  <c r="G967" i="1" s="1"/>
  <c r="C967" i="1"/>
  <c r="D967" i="1"/>
  <c r="B968" i="1"/>
  <c r="C968" i="1"/>
  <c r="D968" i="1"/>
  <c r="G968" i="1"/>
  <c r="B969" i="1"/>
  <c r="G969" i="1" s="1"/>
  <c r="C969" i="1"/>
  <c r="D969" i="1"/>
  <c r="B970" i="1"/>
  <c r="C970" i="1"/>
  <c r="D970" i="1"/>
  <c r="G970" i="1"/>
  <c r="B971" i="1"/>
  <c r="G971" i="1" s="1"/>
  <c r="C971" i="1"/>
  <c r="D971" i="1"/>
  <c r="B972" i="1"/>
  <c r="C972" i="1"/>
  <c r="D972" i="1"/>
  <c r="G972" i="1"/>
  <c r="B973" i="1"/>
  <c r="G973" i="1" s="1"/>
  <c r="C973" i="1"/>
  <c r="D973" i="1"/>
  <c r="B974" i="1"/>
  <c r="C974" i="1"/>
  <c r="D974" i="1"/>
  <c r="G974" i="1"/>
  <c r="B975" i="1"/>
  <c r="G975" i="1" s="1"/>
  <c r="C975" i="1"/>
  <c r="D975" i="1"/>
  <c r="B976" i="1"/>
  <c r="C976" i="1"/>
  <c r="D976" i="1"/>
  <c r="G976" i="1"/>
  <c r="B977" i="1"/>
  <c r="G977" i="1" s="1"/>
  <c r="C977" i="1"/>
  <c r="D977" i="1"/>
  <c r="B978" i="1"/>
  <c r="C978" i="1"/>
  <c r="D978" i="1"/>
  <c r="G978" i="1"/>
  <c r="B979" i="1"/>
  <c r="G979" i="1" s="1"/>
  <c r="C979" i="1"/>
  <c r="D979" i="1"/>
  <c r="B980" i="1"/>
  <c r="C980" i="1"/>
  <c r="D980" i="1"/>
  <c r="G980" i="1"/>
  <c r="B981" i="1"/>
  <c r="G981" i="1" s="1"/>
  <c r="C981" i="1"/>
  <c r="D981" i="1"/>
  <c r="B982" i="1"/>
  <c r="C982" i="1"/>
  <c r="D982" i="1"/>
  <c r="G982" i="1"/>
  <c r="B983" i="1"/>
  <c r="G983" i="1" s="1"/>
  <c r="C983" i="1"/>
  <c r="D983" i="1"/>
  <c r="B984" i="1"/>
  <c r="C984" i="1"/>
  <c r="D984" i="1"/>
  <c r="G984" i="1"/>
  <c r="B985" i="1"/>
  <c r="G985" i="1" s="1"/>
  <c r="C985" i="1"/>
  <c r="D985" i="1"/>
  <c r="B986" i="1"/>
  <c r="C986" i="1"/>
  <c r="D986" i="1"/>
  <c r="G986" i="1"/>
  <c r="B987" i="1"/>
  <c r="G987" i="1" s="1"/>
  <c r="C987" i="1"/>
  <c r="D987" i="1"/>
  <c r="B988" i="1"/>
  <c r="C988" i="1"/>
  <c r="D988" i="1"/>
  <c r="G988" i="1"/>
  <c r="B989" i="1"/>
  <c r="G989" i="1" s="1"/>
  <c r="C989" i="1"/>
  <c r="D989" i="1"/>
  <c r="B990" i="1"/>
  <c r="C990" i="1"/>
  <c r="D990" i="1"/>
  <c r="G990" i="1"/>
  <c r="B991" i="1"/>
  <c r="G991" i="1" s="1"/>
  <c r="C991" i="1"/>
  <c r="D991" i="1"/>
  <c r="B992" i="1"/>
  <c r="C992" i="1"/>
  <c r="D992" i="1"/>
  <c r="G992" i="1"/>
  <c r="B993" i="1"/>
  <c r="C993" i="1"/>
  <c r="D993" i="1"/>
  <c r="F993" i="1"/>
  <c r="B994" i="1"/>
  <c r="C994" i="1"/>
  <c r="D994" i="1"/>
  <c r="G994" i="1"/>
  <c r="B995" i="1"/>
  <c r="G995" i="1" s="1"/>
  <c r="C995" i="1"/>
  <c r="D995" i="1"/>
  <c r="B996" i="1"/>
  <c r="C996" i="1"/>
  <c r="D996" i="1"/>
  <c r="G996" i="1"/>
  <c r="B997" i="1"/>
  <c r="G997" i="1" s="1"/>
  <c r="C997" i="1"/>
  <c r="D997" i="1"/>
  <c r="B998" i="1"/>
  <c r="C998" i="1"/>
  <c r="D998" i="1"/>
  <c r="G998" i="1"/>
  <c r="B999" i="1"/>
  <c r="G999" i="1" s="1"/>
  <c r="C999" i="1"/>
  <c r="D999" i="1"/>
  <c r="B1000" i="1"/>
  <c r="C1000" i="1"/>
  <c r="D1000" i="1"/>
  <c r="G1000" i="1"/>
  <c r="B1001" i="1"/>
  <c r="G1001" i="1" s="1"/>
  <c r="C1001" i="1"/>
  <c r="D1001" i="1"/>
  <c r="B1002" i="1"/>
  <c r="C1002" i="1"/>
  <c r="D1002" i="1"/>
  <c r="G1002" i="1"/>
  <c r="B1003" i="1"/>
  <c r="G1003" i="1" s="1"/>
  <c r="C1003" i="1"/>
  <c r="D1003" i="1"/>
  <c r="B1004" i="1"/>
  <c r="C1004" i="1"/>
  <c r="D1004" i="1"/>
  <c r="G1004" i="1"/>
  <c r="B1005" i="1"/>
  <c r="G1005" i="1" s="1"/>
  <c r="C1005" i="1"/>
  <c r="D1005" i="1"/>
  <c r="B1006" i="1"/>
  <c r="C1006" i="1"/>
  <c r="D1006" i="1"/>
  <c r="G1006" i="1"/>
  <c r="B1007" i="1"/>
  <c r="G1007" i="1" s="1"/>
  <c r="C1007" i="1"/>
  <c r="D1007" i="1"/>
  <c r="B1008" i="1"/>
  <c r="C1008" i="1"/>
  <c r="D1008" i="1"/>
  <c r="G1008" i="1"/>
  <c r="B1009" i="1"/>
  <c r="G1009" i="1" s="1"/>
  <c r="C1009" i="1"/>
  <c r="D1009" i="1"/>
  <c r="B1010" i="1"/>
  <c r="C1010" i="1"/>
  <c r="D1010" i="1"/>
  <c r="G1010" i="1"/>
  <c r="B1011" i="1"/>
  <c r="G1011" i="1" s="1"/>
  <c r="C1011" i="1"/>
  <c r="D1011" i="1"/>
  <c r="B1012" i="1"/>
  <c r="C1012" i="1"/>
  <c r="D1012" i="1"/>
  <c r="F1012" i="1"/>
  <c r="B1013" i="1"/>
  <c r="G1013" i="1" s="1"/>
  <c r="C1013" i="1"/>
  <c r="D1013" i="1"/>
  <c r="B1014" i="1"/>
  <c r="C1014" i="1"/>
  <c r="D1014" i="1"/>
  <c r="G1014" i="1"/>
  <c r="B1015" i="1"/>
  <c r="G1015" i="1" s="1"/>
  <c r="C1015" i="1"/>
  <c r="D1015" i="1"/>
  <c r="B1016" i="1"/>
  <c r="C1016" i="1"/>
  <c r="D1016" i="1"/>
  <c r="G1016" i="1"/>
  <c r="B1017" i="1"/>
  <c r="G1017" i="1" s="1"/>
  <c r="C1017" i="1"/>
  <c r="D1017" i="1"/>
  <c r="B1018" i="1"/>
  <c r="C1018" i="1"/>
  <c r="D1018" i="1"/>
  <c r="G1018" i="1"/>
  <c r="B1019" i="1"/>
  <c r="G1019" i="1" s="1"/>
  <c r="C1019" i="1"/>
  <c r="D1019" i="1"/>
  <c r="B1020" i="1"/>
  <c r="C1020" i="1"/>
  <c r="D1020" i="1"/>
  <c r="G1020" i="1"/>
  <c r="B1021" i="1"/>
  <c r="G1021" i="1" s="1"/>
  <c r="C1021" i="1"/>
  <c r="D1021" i="1"/>
  <c r="B1022" i="1"/>
  <c r="C1022" i="1"/>
  <c r="D1022" i="1"/>
  <c r="G1022" i="1"/>
  <c r="B1023" i="1"/>
  <c r="G1023" i="1" s="1"/>
  <c r="C1023" i="1"/>
  <c r="D1023" i="1"/>
  <c r="B1024" i="1"/>
  <c r="C1024" i="1"/>
  <c r="D1024" i="1"/>
  <c r="G1024" i="1"/>
  <c r="B1025" i="1"/>
  <c r="G1025" i="1" s="1"/>
  <c r="C1025" i="1"/>
  <c r="D1025" i="1"/>
  <c r="B1026" i="1"/>
  <c r="C1026" i="1"/>
  <c r="D1026" i="1"/>
  <c r="G1026" i="1"/>
  <c r="B1027" i="1"/>
  <c r="G1027" i="1" s="1"/>
  <c r="C1027" i="1"/>
  <c r="D1027" i="1"/>
  <c r="B1028" i="1"/>
  <c r="C1028" i="1"/>
  <c r="D1028" i="1"/>
  <c r="G1028" i="1"/>
  <c r="B1029" i="1"/>
  <c r="G1029" i="1" s="1"/>
  <c r="C1029" i="1"/>
  <c r="D1029" i="1"/>
  <c r="B1030" i="1"/>
  <c r="C1030" i="1"/>
  <c r="D1030" i="1"/>
  <c r="G1030" i="1"/>
  <c r="B1031" i="1"/>
  <c r="G1031" i="1" s="1"/>
  <c r="C1031" i="1"/>
  <c r="D1031" i="1"/>
  <c r="B1032" i="1"/>
  <c r="C1032" i="1"/>
  <c r="D1032" i="1"/>
  <c r="F1032" i="1"/>
  <c r="B1033" i="1"/>
  <c r="G1033" i="1" s="1"/>
  <c r="C1033" i="1"/>
  <c r="D1033" i="1"/>
  <c r="B1034" i="1"/>
  <c r="C1034" i="1"/>
  <c r="D1034" i="1"/>
  <c r="G1034" i="1"/>
  <c r="B1035" i="1"/>
  <c r="G1035" i="1" s="1"/>
  <c r="C1035" i="1"/>
  <c r="D1035" i="1"/>
  <c r="B1036" i="1"/>
  <c r="C1036" i="1"/>
  <c r="D1036" i="1"/>
  <c r="G1036" i="1"/>
  <c r="B1037" i="1"/>
  <c r="G1037" i="1" s="1"/>
  <c r="C1037" i="1"/>
  <c r="D1037" i="1"/>
  <c r="B1038" i="1"/>
  <c r="C1038" i="1"/>
  <c r="D1038" i="1"/>
  <c r="G1038" i="1"/>
  <c r="B1039" i="1"/>
  <c r="G1039" i="1" s="1"/>
  <c r="C1039" i="1"/>
  <c r="D1039" i="1"/>
  <c r="B1040" i="1"/>
  <c r="C1040" i="1"/>
  <c r="D1040" i="1"/>
  <c r="G1040" i="1"/>
  <c r="B1041" i="1"/>
  <c r="C1041" i="1"/>
  <c r="D1041" i="1"/>
  <c r="F1041" i="1"/>
  <c r="B1042" i="1"/>
  <c r="C1042" i="1"/>
  <c r="D1042" i="1"/>
  <c r="G1042" i="1"/>
  <c r="B1043" i="1"/>
  <c r="G1043" i="1" s="1"/>
  <c r="C1043" i="1"/>
  <c r="D1043" i="1"/>
  <c r="B1044" i="1"/>
  <c r="C1044" i="1"/>
  <c r="D1044" i="1"/>
  <c r="G1044" i="1"/>
  <c r="B1045" i="1"/>
  <c r="G1045" i="1" s="1"/>
  <c r="C1045" i="1"/>
  <c r="D1045" i="1"/>
  <c r="B1046" i="1"/>
  <c r="C1046" i="1"/>
  <c r="D1046" i="1"/>
  <c r="G1046" i="1"/>
  <c r="B1047" i="1"/>
  <c r="G1047" i="1" s="1"/>
  <c r="C1047" i="1"/>
  <c r="D1047" i="1"/>
  <c r="B1048" i="1"/>
  <c r="C1048" i="1"/>
  <c r="D1048" i="1"/>
  <c r="G1048" i="1"/>
  <c r="B1049" i="1"/>
  <c r="G1049" i="1" s="1"/>
  <c r="C1049" i="1"/>
  <c r="D1049" i="1"/>
  <c r="B1050" i="1"/>
  <c r="C1050" i="1"/>
  <c r="D1050" i="1"/>
  <c r="G1050" i="1"/>
  <c r="B1051" i="1"/>
  <c r="G1051" i="1" s="1"/>
  <c r="C1051" i="1"/>
  <c r="D1051" i="1"/>
  <c r="B1052" i="1"/>
  <c r="C1052" i="1"/>
  <c r="D1052" i="1"/>
  <c r="G1052" i="1"/>
  <c r="B1053" i="1"/>
  <c r="G1053" i="1" s="1"/>
  <c r="C1053" i="1"/>
  <c r="D1053" i="1"/>
  <c r="B1054" i="1"/>
  <c r="C1054" i="1"/>
  <c r="D1054" i="1"/>
  <c r="G1054" i="1"/>
  <c r="B1055" i="1"/>
  <c r="F1055" i="1" s="1"/>
  <c r="C1055" i="1"/>
  <c r="D1055" i="1"/>
  <c r="B1056" i="1"/>
  <c r="C1056" i="1"/>
  <c r="D1056" i="1"/>
  <c r="G1056" i="1"/>
  <c r="B1057" i="1"/>
  <c r="G1057" i="1" s="1"/>
  <c r="C1057" i="1"/>
  <c r="D1057" i="1"/>
  <c r="B1058" i="1"/>
  <c r="C1058" i="1"/>
  <c r="D1058" i="1"/>
  <c r="G1058" i="1"/>
  <c r="B1059" i="1"/>
  <c r="G1059" i="1" s="1"/>
  <c r="C1059" i="1"/>
  <c r="D1059" i="1"/>
  <c r="B1060" i="1"/>
  <c r="C1060" i="1"/>
  <c r="D1060" i="1"/>
  <c r="G1060" i="1"/>
  <c r="B1061" i="1"/>
  <c r="G1061" i="1" s="1"/>
  <c r="C1061" i="1"/>
  <c r="D1061" i="1"/>
  <c r="B1062" i="1"/>
  <c r="C1062" i="1"/>
  <c r="D1062" i="1"/>
  <c r="G1062" i="1"/>
  <c r="B1063" i="1"/>
  <c r="G1063" i="1" s="1"/>
  <c r="C1063" i="1"/>
  <c r="D1063" i="1"/>
  <c r="B1064" i="1"/>
  <c r="C1064" i="1"/>
  <c r="D1064" i="1"/>
  <c r="G1064" i="1"/>
  <c r="B1065" i="1"/>
  <c r="G1065" i="1" s="1"/>
  <c r="C1065" i="1"/>
  <c r="D1065" i="1"/>
  <c r="B1066" i="1"/>
  <c r="C1066" i="1"/>
  <c r="D1066" i="1"/>
  <c r="G1066" i="1"/>
  <c r="B1067" i="1"/>
  <c r="G1067" i="1" s="1"/>
  <c r="C1067" i="1"/>
  <c r="D1067" i="1"/>
  <c r="B1068" i="1"/>
  <c r="C1068" i="1"/>
  <c r="D1068" i="1"/>
  <c r="G1068" i="1"/>
  <c r="B1069" i="1"/>
  <c r="G1069" i="1" s="1"/>
  <c r="C1069" i="1"/>
  <c r="D1069" i="1"/>
  <c r="B1070" i="1"/>
  <c r="C1070" i="1"/>
  <c r="D1070" i="1"/>
  <c r="G1070" i="1"/>
  <c r="B1071" i="1"/>
  <c r="F1071" i="1" s="1"/>
  <c r="C1071" i="1"/>
  <c r="D1071" i="1"/>
  <c r="B1072" i="1"/>
  <c r="C1072" i="1"/>
  <c r="D1072" i="1"/>
  <c r="G1072" i="1"/>
  <c r="B1073" i="1"/>
  <c r="G1073" i="1" s="1"/>
  <c r="C1073" i="1"/>
  <c r="D1073" i="1"/>
  <c r="B1074" i="1"/>
  <c r="C1074" i="1"/>
  <c r="D1074" i="1"/>
  <c r="G1074" i="1"/>
  <c r="B1075" i="1"/>
  <c r="F1075" i="1" s="1"/>
  <c r="C1075" i="1"/>
  <c r="D1075" i="1"/>
  <c r="B1076" i="1"/>
  <c r="C1076" i="1"/>
  <c r="D1076" i="1"/>
  <c r="F1076" i="1"/>
  <c r="B1077" i="1"/>
  <c r="G1077" i="1" s="1"/>
  <c r="C1077" i="1"/>
  <c r="D1077" i="1"/>
  <c r="B1078" i="1"/>
  <c r="C1078" i="1"/>
  <c r="D1078" i="1"/>
  <c r="G1078" i="1"/>
  <c r="B1079" i="1"/>
  <c r="G1079" i="1" s="1"/>
  <c r="C1079" i="1"/>
  <c r="D1079" i="1"/>
  <c r="B1080" i="1"/>
  <c r="C1080" i="1"/>
  <c r="D1080" i="1"/>
  <c r="G1080" i="1"/>
  <c r="B1081" i="1"/>
  <c r="G1081" i="1" s="1"/>
  <c r="C1081" i="1"/>
  <c r="D1081" i="1"/>
  <c r="B1082" i="1"/>
  <c r="C1082" i="1"/>
  <c r="D1082" i="1"/>
  <c r="G1082" i="1"/>
  <c r="B1083" i="1"/>
  <c r="G1083" i="1" s="1"/>
  <c r="C1083" i="1"/>
  <c r="D1083" i="1"/>
  <c r="B1084" i="1"/>
  <c r="C1084" i="1"/>
  <c r="D1084" i="1"/>
  <c r="G1084" i="1"/>
  <c r="B1085" i="1"/>
  <c r="G1085" i="1" s="1"/>
  <c r="C1085" i="1"/>
  <c r="D1085" i="1"/>
  <c r="B1086" i="1"/>
  <c r="C1086" i="1"/>
  <c r="D1086" i="1"/>
  <c r="G1086" i="1"/>
  <c r="B1087" i="1"/>
  <c r="G1087" i="1" s="1"/>
  <c r="C1087" i="1"/>
  <c r="D1087" i="1"/>
  <c r="B1088" i="1"/>
  <c r="C1088" i="1"/>
  <c r="D1088" i="1"/>
  <c r="G1088" i="1"/>
  <c r="B1089" i="1"/>
  <c r="G1089" i="1" s="1"/>
  <c r="C1089" i="1"/>
  <c r="D1089" i="1"/>
  <c r="B1090" i="1"/>
  <c r="C1090" i="1"/>
  <c r="D1090" i="1"/>
  <c r="G1090" i="1"/>
  <c r="B1091" i="1"/>
  <c r="G1091" i="1" s="1"/>
  <c r="C1091" i="1"/>
  <c r="D1091" i="1"/>
  <c r="B1092" i="1"/>
  <c r="C1092" i="1"/>
  <c r="D1092" i="1"/>
  <c r="G1092" i="1"/>
  <c r="B1093" i="1"/>
  <c r="G1093" i="1" s="1"/>
  <c r="C1093" i="1"/>
  <c r="D1093" i="1"/>
  <c r="B1094" i="1"/>
  <c r="C1094" i="1"/>
  <c r="D1094" i="1"/>
  <c r="G1094" i="1"/>
  <c r="B1095" i="1"/>
  <c r="G1095" i="1" s="1"/>
  <c r="C1095" i="1"/>
  <c r="D1095" i="1"/>
  <c r="B1096" i="1"/>
  <c r="C1096" i="1"/>
  <c r="D1096" i="1"/>
  <c r="G1096" i="1"/>
  <c r="B1097" i="1"/>
  <c r="G1097" i="1" s="1"/>
  <c r="C1097" i="1"/>
  <c r="D1097" i="1"/>
  <c r="B1098" i="1"/>
  <c r="C1098" i="1"/>
  <c r="D1098" i="1"/>
  <c r="G1098" i="1"/>
  <c r="B1099" i="1"/>
  <c r="G1099" i="1" s="1"/>
  <c r="C1099" i="1"/>
  <c r="D1099" i="1"/>
  <c r="B1100" i="1"/>
  <c r="C1100" i="1"/>
  <c r="D1100" i="1"/>
  <c r="F1100" i="1"/>
  <c r="B1101" i="1"/>
  <c r="G1101" i="1" s="1"/>
  <c r="C1101" i="1"/>
  <c r="D1101" i="1"/>
  <c r="B1102" i="1"/>
  <c r="C1102" i="1"/>
  <c r="D1102" i="1"/>
  <c r="G1102" i="1"/>
  <c r="B1103" i="1"/>
  <c r="G1103" i="1" s="1"/>
  <c r="C1103" i="1"/>
  <c r="D1103" i="1"/>
  <c r="B1104" i="1"/>
  <c r="C1104" i="1"/>
  <c r="D1104" i="1"/>
  <c r="G1104" i="1"/>
  <c r="B1105" i="1"/>
  <c r="G1105" i="1" s="1"/>
  <c r="C1105" i="1"/>
  <c r="D1105" i="1"/>
  <c r="B1106" i="1"/>
  <c r="C1106" i="1"/>
  <c r="D1106" i="1"/>
  <c r="G1106" i="1"/>
  <c r="B1107" i="1"/>
  <c r="G1107" i="1" s="1"/>
  <c r="C1107" i="1"/>
  <c r="D1107" i="1"/>
  <c r="B1108" i="1"/>
  <c r="C1108" i="1"/>
  <c r="D1108" i="1"/>
  <c r="G1108" i="1"/>
  <c r="B1109" i="1"/>
  <c r="G1109" i="1" s="1"/>
  <c r="C1109" i="1"/>
  <c r="D1109" i="1"/>
  <c r="B1110" i="1"/>
  <c r="C1110" i="1"/>
  <c r="D1110" i="1"/>
  <c r="G1110" i="1"/>
  <c r="B1111" i="1"/>
  <c r="G1111" i="1" s="1"/>
  <c r="C1111" i="1"/>
  <c r="D1111" i="1"/>
  <c r="B1112" i="1"/>
  <c r="C1112" i="1"/>
  <c r="D1112" i="1"/>
  <c r="G1112" i="1"/>
  <c r="B1113" i="1"/>
  <c r="G1113" i="1" s="1"/>
  <c r="C1113" i="1"/>
  <c r="D1113" i="1"/>
  <c r="B1114" i="1"/>
  <c r="C1114" i="1"/>
  <c r="D1114" i="1"/>
  <c r="G1114" i="1"/>
  <c r="B1115" i="1"/>
  <c r="G1115" i="1" s="1"/>
  <c r="C1115" i="1"/>
  <c r="D1115" i="1"/>
  <c r="B1116" i="1"/>
  <c r="C1116" i="1"/>
  <c r="D1116" i="1"/>
  <c r="G1116" i="1"/>
  <c r="B1117" i="1"/>
  <c r="G1117" i="1" s="1"/>
  <c r="C1117" i="1"/>
  <c r="D1117" i="1"/>
  <c r="B1118" i="1"/>
  <c r="C1118" i="1"/>
  <c r="D1118" i="1"/>
  <c r="G1118" i="1"/>
  <c r="B1119" i="1"/>
  <c r="G1119" i="1" s="1"/>
  <c r="C1119" i="1"/>
  <c r="D1119" i="1"/>
  <c r="B1120" i="1"/>
  <c r="C1120" i="1"/>
  <c r="D1120" i="1"/>
  <c r="G1120" i="1"/>
  <c r="B1121" i="1"/>
  <c r="G1121" i="1" s="1"/>
  <c r="C1121" i="1"/>
  <c r="D1121" i="1"/>
  <c r="B1122" i="1"/>
  <c r="C1122" i="1"/>
  <c r="D1122" i="1"/>
  <c r="G1122" i="1"/>
  <c r="B1123" i="1"/>
  <c r="G1123" i="1" s="1"/>
  <c r="C1123" i="1"/>
  <c r="D1123" i="1"/>
  <c r="B1124" i="1"/>
  <c r="C1124" i="1"/>
  <c r="D1124" i="1"/>
  <c r="G1124" i="1"/>
  <c r="B1125" i="1"/>
  <c r="G1125" i="1" s="1"/>
  <c r="C1125" i="1"/>
  <c r="D1125" i="1"/>
  <c r="B1126" i="1"/>
  <c r="C1126" i="1"/>
  <c r="D1126" i="1"/>
  <c r="F1126" i="1"/>
  <c r="B1127" i="1"/>
  <c r="G1127" i="1" s="1"/>
  <c r="C1127" i="1"/>
  <c r="D1127" i="1"/>
  <c r="B1128" i="1"/>
  <c r="C1128" i="1"/>
  <c r="D1128" i="1"/>
  <c r="G1128" i="1"/>
  <c r="B1129" i="1"/>
  <c r="G1129" i="1" s="1"/>
  <c r="C1129" i="1"/>
  <c r="D1129" i="1"/>
  <c r="B1130" i="1"/>
  <c r="C1130" i="1"/>
  <c r="D1130" i="1"/>
  <c r="G1130" i="1"/>
  <c r="B1131" i="1"/>
  <c r="G1131" i="1" s="1"/>
  <c r="C1131" i="1"/>
  <c r="D1131" i="1"/>
  <c r="B1132" i="1"/>
  <c r="C1132" i="1"/>
  <c r="D1132" i="1"/>
  <c r="G1132" i="1"/>
  <c r="B1133" i="1"/>
  <c r="G1133" i="1" s="1"/>
  <c r="C1133" i="1"/>
  <c r="D1133" i="1"/>
  <c r="B1134" i="1"/>
  <c r="C1134" i="1"/>
  <c r="D1134" i="1"/>
  <c r="G1134" i="1"/>
  <c r="B1135" i="1"/>
  <c r="G1135" i="1" s="1"/>
  <c r="C1135" i="1"/>
  <c r="D1135" i="1"/>
  <c r="B1136" i="1"/>
  <c r="C1136" i="1"/>
  <c r="D1136" i="1"/>
  <c r="G1136" i="1"/>
  <c r="B1137" i="1"/>
  <c r="G1137" i="1" s="1"/>
  <c r="C1137" i="1"/>
  <c r="D1137" i="1"/>
  <c r="B1138" i="1"/>
  <c r="C1138" i="1"/>
  <c r="D1138" i="1"/>
  <c r="G1138" i="1"/>
  <c r="B1139" i="1"/>
  <c r="G1139" i="1" s="1"/>
  <c r="C1139" i="1"/>
  <c r="D1139" i="1"/>
  <c r="B1140" i="1"/>
  <c r="C1140" i="1"/>
  <c r="D1140" i="1"/>
  <c r="G1140" i="1"/>
  <c r="B1141" i="1"/>
  <c r="G1141" i="1" s="1"/>
  <c r="C1141" i="1"/>
  <c r="D1141" i="1"/>
  <c r="B1142" i="1"/>
  <c r="C1142" i="1"/>
  <c r="D1142" i="1"/>
  <c r="G1142" i="1"/>
  <c r="B1143" i="1"/>
  <c r="G1143" i="1" s="1"/>
  <c r="C1143" i="1"/>
  <c r="D1143" i="1"/>
  <c r="B1144" i="1"/>
  <c r="C1144" i="1"/>
  <c r="D1144" i="1"/>
  <c r="G1144" i="1"/>
  <c r="B1145" i="1"/>
  <c r="G1145" i="1" s="1"/>
  <c r="C1145" i="1"/>
  <c r="D1145" i="1"/>
  <c r="B1146" i="1"/>
  <c r="C1146" i="1"/>
  <c r="D1146" i="1"/>
  <c r="F1146" i="1"/>
  <c r="B1147" i="1"/>
  <c r="G1147" i="1" s="1"/>
  <c r="C1147" i="1"/>
  <c r="D1147" i="1"/>
  <c r="B1148" i="1"/>
  <c r="C1148" i="1"/>
  <c r="D1148" i="1"/>
  <c r="G1148" i="1"/>
  <c r="B1149" i="1"/>
  <c r="G1149" i="1" s="1"/>
  <c r="C1149" i="1"/>
  <c r="D1149" i="1"/>
  <c r="B1150" i="1"/>
  <c r="C1150" i="1"/>
  <c r="D1150" i="1"/>
  <c r="G1150" i="1"/>
  <c r="B1151" i="1"/>
  <c r="G1151" i="1" s="1"/>
  <c r="C1151" i="1"/>
  <c r="D1151" i="1"/>
  <c r="B1152" i="1"/>
  <c r="C1152" i="1"/>
  <c r="D1152" i="1"/>
  <c r="G1152" i="1"/>
  <c r="B1153" i="1"/>
  <c r="G1153" i="1" s="1"/>
  <c r="C1153" i="1"/>
  <c r="D1153" i="1"/>
  <c r="B1154" i="1"/>
  <c r="C1154" i="1"/>
  <c r="D1154" i="1"/>
  <c r="G1154" i="1"/>
  <c r="B1155" i="1"/>
  <c r="G1155" i="1" s="1"/>
  <c r="C1155" i="1"/>
  <c r="D1155" i="1"/>
  <c r="B1156" i="1"/>
  <c r="C1156" i="1"/>
  <c r="D1156" i="1"/>
  <c r="G1156" i="1"/>
  <c r="B1157" i="1"/>
  <c r="G1157" i="1" s="1"/>
  <c r="C1157" i="1"/>
  <c r="D1157" i="1"/>
  <c r="B1158" i="1"/>
  <c r="C1158" i="1"/>
  <c r="D1158" i="1"/>
  <c r="G1158" i="1"/>
  <c r="B1159" i="1"/>
  <c r="F1159" i="1" s="1"/>
  <c r="C1159" i="1"/>
  <c r="D1159" i="1"/>
  <c r="B1160" i="1"/>
  <c r="C1160" i="1"/>
  <c r="D1160" i="1"/>
  <c r="G1160" i="1"/>
  <c r="B1161" i="1"/>
  <c r="C1161" i="1"/>
  <c r="D1161" i="1"/>
  <c r="F1161" i="1"/>
  <c r="B1162" i="1"/>
  <c r="C1162" i="1"/>
  <c r="D1162" i="1"/>
  <c r="F1162" i="1"/>
  <c r="B1163" i="1"/>
  <c r="C1163" i="1"/>
  <c r="D1163" i="1"/>
  <c r="F1163" i="1"/>
  <c r="B1164" i="1"/>
  <c r="C1164" i="1"/>
  <c r="D1164" i="1"/>
  <c r="F1164" i="1"/>
  <c r="B1165" i="1"/>
  <c r="C1165" i="1"/>
  <c r="D1165" i="1"/>
  <c r="F1165" i="1"/>
  <c r="B1166" i="1"/>
  <c r="C1166" i="1"/>
  <c r="D1166" i="1"/>
  <c r="G1166" i="1"/>
  <c r="B1167" i="1"/>
  <c r="C1167" i="1"/>
  <c r="D1167" i="1"/>
  <c r="F1167" i="1"/>
  <c r="B1168" i="1"/>
  <c r="C1168" i="1"/>
  <c r="D1168" i="1"/>
  <c r="F1168" i="1"/>
  <c r="B1169" i="1"/>
  <c r="C1169" i="1"/>
  <c r="D1169" i="1"/>
  <c r="F1169" i="1"/>
  <c r="B1170" i="1"/>
  <c r="C1170" i="1"/>
  <c r="D1170" i="1"/>
  <c r="F1170" i="1"/>
  <c r="B1171" i="1"/>
  <c r="G1171" i="1" s="1"/>
  <c r="C1171" i="1"/>
  <c r="D1171" i="1"/>
  <c r="F1171" i="1"/>
  <c r="B1172" i="1"/>
  <c r="C1172" i="1"/>
  <c r="D1172" i="1"/>
  <c r="F1172" i="1"/>
  <c r="B1173" i="1"/>
  <c r="C1173" i="1"/>
  <c r="D1173" i="1"/>
  <c r="F1173" i="1"/>
  <c r="B1174" i="1"/>
  <c r="C1174" i="1"/>
  <c r="D1174" i="1"/>
  <c r="F1174" i="1"/>
  <c r="B1175" i="1"/>
  <c r="G1175" i="1" s="1"/>
  <c r="C1175" i="1"/>
  <c r="D1175" i="1"/>
  <c r="F1175" i="1"/>
  <c r="B1176" i="1"/>
  <c r="C1176" i="1"/>
  <c r="D1176" i="1"/>
  <c r="F1176" i="1"/>
  <c r="B1177" i="1"/>
  <c r="C1177" i="1"/>
  <c r="D1177" i="1"/>
  <c r="F1177" i="1"/>
  <c r="B1178" i="1"/>
  <c r="C1178" i="1"/>
  <c r="D1178" i="1"/>
  <c r="F1178" i="1"/>
  <c r="B1179" i="1"/>
  <c r="C1179" i="1"/>
  <c r="D1179" i="1"/>
  <c r="F1179" i="1"/>
  <c r="B1180" i="1"/>
  <c r="C1180" i="1"/>
  <c r="D1180" i="1"/>
  <c r="F1180" i="1"/>
  <c r="B1181" i="1"/>
  <c r="C1181" i="1"/>
  <c r="D1181" i="1"/>
  <c r="F1181" i="1"/>
  <c r="B1182" i="1"/>
  <c r="C1182" i="1"/>
  <c r="D1182" i="1"/>
  <c r="F1182" i="1"/>
  <c r="B1183" i="1"/>
  <c r="G1183" i="1" s="1"/>
  <c r="C1183" i="1"/>
  <c r="D1183" i="1"/>
  <c r="F1183" i="1"/>
  <c r="B1184" i="1"/>
  <c r="C1184" i="1"/>
  <c r="D1184" i="1"/>
  <c r="F1184" i="1"/>
  <c r="B1185" i="1"/>
  <c r="C1185" i="1"/>
  <c r="D1185" i="1"/>
  <c r="F1185" i="1"/>
  <c r="B1186" i="1"/>
  <c r="C1186" i="1"/>
  <c r="D1186" i="1"/>
  <c r="F1186" i="1"/>
  <c r="B1187" i="1"/>
  <c r="G1187" i="1" s="1"/>
  <c r="C1187" i="1"/>
  <c r="D1187" i="1"/>
  <c r="F1187" i="1"/>
  <c r="B1188" i="1"/>
  <c r="C1188" i="1"/>
  <c r="D1188" i="1"/>
  <c r="F1188" i="1"/>
  <c r="B1189" i="1"/>
  <c r="C1189" i="1"/>
  <c r="D1189" i="1"/>
  <c r="F1189" i="1"/>
  <c r="B1190" i="1"/>
  <c r="C1190" i="1"/>
  <c r="D1190" i="1"/>
  <c r="F1190" i="1"/>
  <c r="B1191" i="1"/>
  <c r="C1191" i="1"/>
  <c r="D1191" i="1"/>
  <c r="F1191" i="1"/>
  <c r="B1192" i="1"/>
  <c r="C1192" i="1"/>
  <c r="D1192" i="1"/>
  <c r="F1192" i="1"/>
  <c r="B1193" i="1"/>
  <c r="C1193" i="1"/>
  <c r="D1193" i="1"/>
  <c r="F1193" i="1"/>
  <c r="B1194" i="1"/>
  <c r="C1194" i="1"/>
  <c r="D1194" i="1"/>
  <c r="F1194" i="1"/>
  <c r="B1195" i="1"/>
  <c r="C1195" i="1"/>
  <c r="D1195" i="1"/>
  <c r="F1195" i="1"/>
  <c r="B1196" i="1"/>
  <c r="C1196" i="1"/>
  <c r="D1196" i="1"/>
  <c r="F1196" i="1"/>
  <c r="B1197" i="1"/>
  <c r="G1197" i="1" s="1"/>
  <c r="C1197" i="1"/>
  <c r="D1197" i="1"/>
  <c r="B1198" i="1"/>
  <c r="C1198" i="1"/>
  <c r="D1198" i="1"/>
  <c r="F1198" i="1"/>
  <c r="B1199" i="1"/>
  <c r="C1199" i="1"/>
  <c r="D1199" i="1"/>
  <c r="F1199" i="1"/>
  <c r="B1200" i="1"/>
  <c r="C1200" i="1"/>
  <c r="D1200" i="1"/>
  <c r="F1200" i="1"/>
  <c r="B1201" i="1"/>
  <c r="C1201" i="1"/>
  <c r="D1201" i="1"/>
  <c r="F1201" i="1"/>
  <c r="B1202" i="1"/>
  <c r="C1202" i="1"/>
  <c r="D1202" i="1"/>
  <c r="F1202" i="1"/>
  <c r="B1203" i="1"/>
  <c r="C1203" i="1"/>
  <c r="D1203" i="1"/>
  <c r="F1203" i="1"/>
  <c r="B1204" i="1"/>
  <c r="C1204" i="1"/>
  <c r="D1204" i="1"/>
  <c r="F1204" i="1"/>
  <c r="B1205" i="1"/>
  <c r="C1205" i="1"/>
  <c r="D1205" i="1"/>
  <c r="F1205" i="1"/>
  <c r="B1206" i="1"/>
  <c r="C1206" i="1"/>
  <c r="D1206" i="1"/>
  <c r="F1206" i="1"/>
  <c r="B1207" i="1"/>
  <c r="C1207" i="1"/>
  <c r="D1207" i="1"/>
  <c r="F1207" i="1"/>
  <c r="B1208" i="1"/>
  <c r="C1208" i="1"/>
  <c r="D1208" i="1"/>
  <c r="F1208" i="1"/>
  <c r="B1209" i="1"/>
  <c r="C1209" i="1"/>
  <c r="D1209" i="1"/>
  <c r="F1209" i="1"/>
  <c r="B1210" i="1"/>
  <c r="C1210" i="1"/>
  <c r="D1210" i="1"/>
  <c r="F1210" i="1"/>
  <c r="B1211" i="1"/>
  <c r="C1211" i="1"/>
  <c r="D1211" i="1"/>
  <c r="F1211" i="1"/>
  <c r="B1212" i="1"/>
  <c r="C1212" i="1"/>
  <c r="D1212" i="1"/>
  <c r="F1212" i="1"/>
  <c r="B1213" i="1"/>
  <c r="C1213" i="1"/>
  <c r="D1213" i="1"/>
  <c r="F1213" i="1"/>
  <c r="B1214" i="1"/>
  <c r="C1214" i="1"/>
  <c r="D1214" i="1"/>
  <c r="F1214" i="1"/>
  <c r="B1215" i="1"/>
  <c r="C1215" i="1"/>
  <c r="D1215" i="1"/>
  <c r="F1215" i="1"/>
  <c r="B1216" i="1"/>
  <c r="C1216" i="1"/>
  <c r="D1216" i="1"/>
  <c r="F1216" i="1"/>
  <c r="B1217" i="1"/>
  <c r="C1217" i="1"/>
  <c r="D1217" i="1"/>
  <c r="F1217" i="1"/>
  <c r="B1218" i="1"/>
  <c r="C1218" i="1"/>
  <c r="D1218" i="1"/>
  <c r="F1218" i="1"/>
  <c r="B1219" i="1"/>
  <c r="C1219" i="1"/>
  <c r="D1219" i="1"/>
  <c r="F1219" i="1"/>
  <c r="B1220" i="1"/>
  <c r="C1220" i="1"/>
  <c r="D1220" i="1"/>
  <c r="F1220" i="1"/>
  <c r="B1221" i="1"/>
  <c r="C1221" i="1"/>
  <c r="D1221" i="1"/>
  <c r="F1221" i="1"/>
  <c r="B1222" i="1"/>
  <c r="C1222" i="1"/>
  <c r="D1222" i="1"/>
  <c r="F1222" i="1"/>
  <c r="B1223" i="1"/>
  <c r="C1223" i="1"/>
  <c r="D1223" i="1"/>
  <c r="F1223" i="1"/>
  <c r="B1224" i="1"/>
  <c r="C1224" i="1"/>
  <c r="D1224" i="1"/>
  <c r="F1224" i="1"/>
  <c r="B1225" i="1"/>
  <c r="C1225" i="1"/>
  <c r="D1225" i="1"/>
  <c r="F1225" i="1"/>
  <c r="B1226" i="1"/>
  <c r="C1226" i="1"/>
  <c r="D1226" i="1"/>
  <c r="F1226" i="1"/>
  <c r="B1227" i="1"/>
  <c r="C1227" i="1"/>
  <c r="D1227" i="1"/>
  <c r="F1227" i="1"/>
  <c r="B1228" i="1"/>
  <c r="C1228" i="1"/>
  <c r="D1228" i="1"/>
  <c r="F1228" i="1"/>
  <c r="G1228" i="1"/>
  <c r="B1229" i="1"/>
  <c r="G1229" i="1" s="1"/>
  <c r="C1229" i="1"/>
  <c r="D1229" i="1"/>
  <c r="F1229" i="1"/>
  <c r="B1230" i="1"/>
  <c r="C1230" i="1"/>
  <c r="D1230" i="1"/>
  <c r="F1230" i="1"/>
  <c r="B1231" i="1"/>
  <c r="C1231" i="1"/>
  <c r="D1231" i="1"/>
  <c r="F1231" i="1"/>
  <c r="B1232" i="1"/>
  <c r="C1232" i="1"/>
  <c r="D1232" i="1"/>
  <c r="F1232" i="1"/>
  <c r="B1233" i="1"/>
  <c r="C1233" i="1"/>
  <c r="D1233" i="1"/>
  <c r="F1233" i="1"/>
  <c r="B1234" i="1"/>
  <c r="C1234" i="1"/>
  <c r="D1234" i="1"/>
  <c r="F1234" i="1"/>
  <c r="B1235" i="1"/>
  <c r="C1235" i="1"/>
  <c r="D1235" i="1"/>
  <c r="F1235" i="1"/>
  <c r="B1236" i="1"/>
  <c r="C1236" i="1"/>
  <c r="D1236" i="1"/>
  <c r="G1236" i="1"/>
  <c r="B1237" i="1"/>
  <c r="C1237" i="1"/>
  <c r="D1237" i="1"/>
  <c r="F1237" i="1"/>
  <c r="B1238" i="1"/>
  <c r="C1238" i="1"/>
  <c r="D1238" i="1"/>
  <c r="F1238" i="1"/>
  <c r="B1239" i="1"/>
  <c r="C1239" i="1"/>
  <c r="D1239" i="1"/>
  <c r="F1239" i="1"/>
  <c r="B1240" i="1"/>
  <c r="C1240" i="1"/>
  <c r="D1240" i="1"/>
  <c r="F1240" i="1"/>
  <c r="B1241" i="1"/>
  <c r="C1241" i="1"/>
  <c r="D1241" i="1"/>
  <c r="F1241" i="1"/>
  <c r="B1242" i="1"/>
  <c r="C1242" i="1"/>
  <c r="D1242" i="1"/>
  <c r="F1242" i="1"/>
  <c r="B1243" i="1"/>
  <c r="C1243" i="1"/>
  <c r="D1243" i="1"/>
  <c r="F1243" i="1"/>
  <c r="B1244" i="1"/>
  <c r="C1244" i="1"/>
  <c r="D1244" i="1"/>
  <c r="F1244" i="1"/>
  <c r="B1245" i="1"/>
  <c r="F1245" i="1" s="1"/>
  <c r="C1245" i="1"/>
  <c r="D1245" i="1"/>
  <c r="B1246" i="1"/>
  <c r="C1246" i="1"/>
  <c r="D1246" i="1"/>
  <c r="F1246" i="1"/>
  <c r="B1247" i="1"/>
  <c r="C1247" i="1"/>
  <c r="D1247" i="1"/>
  <c r="F1247" i="1"/>
  <c r="B1248" i="1"/>
  <c r="C1248" i="1"/>
  <c r="D1248" i="1"/>
  <c r="F1248" i="1"/>
  <c r="B1249" i="1"/>
  <c r="F1249" i="1" s="1"/>
  <c r="C1249" i="1"/>
  <c r="D1249" i="1"/>
  <c r="B1250" i="1"/>
  <c r="C1250" i="1"/>
  <c r="D1250" i="1"/>
  <c r="F1250" i="1"/>
  <c r="B1251" i="1"/>
  <c r="C1251" i="1"/>
  <c r="D1251" i="1"/>
  <c r="F1251" i="1"/>
  <c r="B1252" i="1"/>
  <c r="C1252" i="1"/>
  <c r="D1252" i="1"/>
  <c r="F1252" i="1"/>
  <c r="B1253" i="1"/>
  <c r="F1253" i="1" s="1"/>
  <c r="C1253" i="1"/>
  <c r="D1253" i="1"/>
  <c r="B1254" i="1"/>
  <c r="C1254" i="1"/>
  <c r="D1254" i="1"/>
  <c r="F1254" i="1"/>
  <c r="B1255" i="1"/>
  <c r="C1255" i="1"/>
  <c r="D1255" i="1"/>
  <c r="F1255" i="1"/>
  <c r="B1256" i="1"/>
  <c r="C1256" i="1"/>
  <c r="D1256" i="1"/>
  <c r="F1256" i="1"/>
  <c r="B1257" i="1"/>
  <c r="F1257" i="1" s="1"/>
  <c r="C1257" i="1"/>
  <c r="D1257" i="1"/>
  <c r="B1258" i="1"/>
  <c r="C1258" i="1"/>
  <c r="D1258" i="1"/>
  <c r="F1258" i="1"/>
  <c r="B1259" i="1"/>
  <c r="C1259" i="1"/>
  <c r="D1259" i="1"/>
  <c r="F1259" i="1"/>
  <c r="B1260" i="1"/>
  <c r="C1260" i="1"/>
  <c r="D1260" i="1"/>
  <c r="F1260" i="1"/>
  <c r="B1261" i="1"/>
  <c r="F1261" i="1" s="1"/>
  <c r="C1261" i="1"/>
  <c r="D1261" i="1"/>
  <c r="B1262" i="1"/>
  <c r="C1262" i="1"/>
  <c r="D1262" i="1"/>
  <c r="F1262" i="1"/>
  <c r="B1263" i="1"/>
  <c r="G1263" i="1" s="1"/>
  <c r="C1263" i="1"/>
  <c r="D1263" i="1"/>
  <c r="F1263" i="1"/>
  <c r="B1264" i="1"/>
  <c r="C1264" i="1"/>
  <c r="D1264" i="1"/>
  <c r="F1264" i="1"/>
  <c r="B1265" i="1"/>
  <c r="F1265" i="1" s="1"/>
  <c r="C1265" i="1"/>
  <c r="D1265" i="1"/>
  <c r="B1266" i="1"/>
  <c r="C1266" i="1"/>
  <c r="D1266" i="1"/>
  <c r="F1266" i="1"/>
  <c r="B1267" i="1"/>
  <c r="G1267" i="1" s="1"/>
  <c r="C1267" i="1"/>
  <c r="D1267" i="1"/>
  <c r="B1268" i="1"/>
  <c r="C1268" i="1"/>
  <c r="D1268" i="1"/>
  <c r="F1268" i="1"/>
  <c r="B1269" i="1"/>
  <c r="F1269" i="1" s="1"/>
  <c r="C1269" i="1"/>
  <c r="D1269" i="1"/>
  <c r="B1270" i="1"/>
  <c r="C1270" i="1"/>
  <c r="D1270" i="1"/>
  <c r="F1270" i="1"/>
  <c r="B1271" i="1"/>
  <c r="C1271" i="1"/>
  <c r="D1271" i="1"/>
  <c r="F1271" i="1"/>
  <c r="B1272" i="1"/>
  <c r="C1272" i="1"/>
  <c r="D1272" i="1"/>
  <c r="F1272" i="1"/>
  <c r="B1273" i="1"/>
  <c r="F1273" i="1" s="1"/>
  <c r="C1273" i="1"/>
  <c r="D1273" i="1"/>
  <c r="B1274" i="1"/>
  <c r="C1274" i="1"/>
  <c r="D1274" i="1"/>
  <c r="F1274" i="1"/>
  <c r="B1275" i="1"/>
  <c r="C1275" i="1"/>
  <c r="D1275" i="1"/>
  <c r="F1275" i="1"/>
  <c r="B1276" i="1"/>
  <c r="C1276" i="1"/>
  <c r="D1276" i="1"/>
  <c r="F1276" i="1"/>
  <c r="B1277" i="1"/>
  <c r="F1277" i="1" s="1"/>
  <c r="C1277" i="1"/>
  <c r="D1277" i="1"/>
  <c r="B1278" i="1"/>
  <c r="C1278" i="1"/>
  <c r="D1278" i="1"/>
  <c r="F1278" i="1"/>
  <c r="B1279" i="1"/>
  <c r="C1279" i="1"/>
  <c r="D1279" i="1"/>
  <c r="F1279" i="1"/>
  <c r="B1280" i="1"/>
  <c r="C1280" i="1"/>
  <c r="D1280" i="1"/>
  <c r="F1280" i="1"/>
  <c r="G1280" i="1"/>
  <c r="B1281" i="1"/>
  <c r="F1281" i="1" s="1"/>
  <c r="C1281" i="1"/>
  <c r="D1281" i="1"/>
  <c r="B1282" i="1"/>
  <c r="C1282" i="1"/>
  <c r="D1282" i="1"/>
  <c r="F1282" i="1"/>
  <c r="G1282" i="1"/>
  <c r="B1283" i="1"/>
  <c r="C1283" i="1"/>
  <c r="D1283" i="1"/>
  <c r="F1283" i="1"/>
  <c r="B1284" i="1"/>
  <c r="C1284" i="1"/>
  <c r="D1284" i="1"/>
  <c r="F1284" i="1"/>
  <c r="B1285" i="1"/>
  <c r="F1285" i="1" s="1"/>
  <c r="C1285" i="1"/>
  <c r="D1285" i="1"/>
  <c r="B1286" i="1"/>
  <c r="C1286" i="1"/>
  <c r="D1286" i="1"/>
  <c r="F1286" i="1"/>
  <c r="B1287" i="1"/>
  <c r="C1287" i="1"/>
  <c r="D1287" i="1"/>
  <c r="F1287" i="1"/>
  <c r="B1288" i="1"/>
  <c r="C1288" i="1"/>
  <c r="D1288" i="1"/>
  <c r="F1288" i="1"/>
  <c r="B1289" i="1"/>
  <c r="F1289" i="1" s="1"/>
  <c r="C1289" i="1"/>
  <c r="D1289" i="1"/>
  <c r="B1290" i="1"/>
  <c r="C1290" i="1"/>
  <c r="D1290" i="1"/>
  <c r="F1290" i="1"/>
  <c r="B1291" i="1"/>
  <c r="G1291" i="1" s="1"/>
  <c r="C1291" i="1"/>
  <c r="D1291" i="1"/>
  <c r="F1291" i="1"/>
  <c r="B1292" i="1"/>
  <c r="C1292" i="1"/>
  <c r="D1292" i="1"/>
  <c r="F1292" i="1"/>
  <c r="B1293" i="1"/>
  <c r="F1293" i="1" s="1"/>
  <c r="C1293" i="1"/>
  <c r="D1293" i="1"/>
  <c r="B1294" i="1"/>
  <c r="C1294" i="1"/>
  <c r="D1294" i="1"/>
  <c r="F1294" i="1"/>
  <c r="B1295" i="1"/>
  <c r="C1295" i="1"/>
  <c r="D1295" i="1"/>
  <c r="F1295" i="1"/>
  <c r="B1296" i="1"/>
  <c r="C1296" i="1"/>
  <c r="D1296" i="1"/>
  <c r="F1296" i="1"/>
  <c r="B1297" i="1"/>
  <c r="F1297" i="1" s="1"/>
  <c r="C1297" i="1"/>
  <c r="D1297" i="1"/>
  <c r="B1298" i="1"/>
  <c r="C1298" i="1"/>
  <c r="D1298" i="1"/>
  <c r="F1298" i="1"/>
  <c r="B1299" i="1"/>
  <c r="C1299" i="1"/>
  <c r="D1299" i="1"/>
  <c r="F1299" i="1"/>
  <c r="B1300" i="1"/>
  <c r="C1300" i="1"/>
  <c r="D1300" i="1"/>
  <c r="F1300" i="1"/>
  <c r="B1301" i="1"/>
  <c r="F1301" i="1" s="1"/>
  <c r="C1301" i="1"/>
  <c r="D1301" i="1"/>
  <c r="B1302" i="1"/>
  <c r="C1302" i="1"/>
  <c r="D1302" i="1"/>
  <c r="F1302" i="1"/>
  <c r="B1303" i="1"/>
  <c r="C1303" i="1"/>
  <c r="D1303" i="1"/>
  <c r="F1303" i="1"/>
  <c r="B1304" i="1"/>
  <c r="C1304" i="1"/>
  <c r="D1304" i="1"/>
  <c r="G1304" i="1"/>
  <c r="B1305" i="1"/>
  <c r="F1305" i="1" s="1"/>
  <c r="C1305" i="1"/>
  <c r="D1305" i="1"/>
  <c r="B1306" i="1"/>
  <c r="C1306" i="1"/>
  <c r="D1306" i="1"/>
  <c r="F1306" i="1"/>
  <c r="B1307" i="1"/>
  <c r="C1307" i="1"/>
  <c r="D1307" i="1"/>
  <c r="F1307" i="1"/>
  <c r="B1308" i="1"/>
  <c r="C1308" i="1"/>
  <c r="D1308" i="1"/>
  <c r="F1308" i="1"/>
  <c r="B1309" i="1"/>
  <c r="F1309" i="1" s="1"/>
  <c r="C1309" i="1"/>
  <c r="D1309" i="1"/>
  <c r="B1310" i="1"/>
  <c r="C1310" i="1"/>
  <c r="D1310" i="1"/>
  <c r="F1310" i="1"/>
  <c r="B1311" i="1"/>
  <c r="C1311" i="1"/>
  <c r="D1311" i="1"/>
  <c r="F1311" i="1"/>
  <c r="B1312" i="1"/>
  <c r="C1312" i="1"/>
  <c r="D1312" i="1"/>
  <c r="G1312" i="1"/>
  <c r="B1313" i="1"/>
  <c r="G1313" i="1" s="1"/>
  <c r="C1313" i="1"/>
  <c r="D1313" i="1"/>
  <c r="B1314" i="1"/>
  <c r="C1314" i="1"/>
  <c r="D1314" i="1"/>
  <c r="G1314" i="1"/>
  <c r="B1315" i="1"/>
  <c r="G1315" i="1" s="1"/>
  <c r="C1315" i="1"/>
  <c r="D1315" i="1"/>
  <c r="B1316" i="1"/>
  <c r="C1316" i="1"/>
  <c r="D1316" i="1"/>
  <c r="G1316" i="1"/>
  <c r="B1317" i="1"/>
  <c r="G1317" i="1" s="1"/>
  <c r="C1317" i="1"/>
  <c r="D1317" i="1"/>
  <c r="B1318" i="1"/>
  <c r="C1318" i="1"/>
  <c r="D1318" i="1"/>
  <c r="G1318" i="1"/>
  <c r="B1319" i="1"/>
  <c r="G1319" i="1" s="1"/>
  <c r="C1319" i="1"/>
  <c r="D1319" i="1"/>
  <c r="B1320" i="1"/>
  <c r="C1320" i="1"/>
  <c r="D1320" i="1"/>
  <c r="G1320" i="1"/>
  <c r="B1321" i="1"/>
  <c r="F1321" i="1" s="1"/>
  <c r="C1321" i="1"/>
  <c r="D1321" i="1"/>
  <c r="B1322" i="1"/>
  <c r="C1322" i="1"/>
  <c r="D1322" i="1"/>
  <c r="G1322" i="1"/>
  <c r="B1323" i="1"/>
  <c r="G1323" i="1" s="1"/>
  <c r="C1323" i="1"/>
  <c r="D1323" i="1"/>
  <c r="B1324" i="1"/>
  <c r="C1324" i="1"/>
  <c r="D1324" i="1"/>
  <c r="G1324" i="1"/>
  <c r="B1325" i="1"/>
  <c r="G1325" i="1" s="1"/>
  <c r="C1325" i="1"/>
  <c r="D1325" i="1"/>
  <c r="B1326" i="1"/>
  <c r="C1326" i="1"/>
  <c r="D1326" i="1"/>
  <c r="G1326" i="1"/>
  <c r="B1327" i="1"/>
  <c r="G1327" i="1" s="1"/>
  <c r="C1327" i="1"/>
  <c r="D1327" i="1"/>
  <c r="B1328" i="1"/>
  <c r="C1328" i="1"/>
  <c r="D1328" i="1"/>
  <c r="G1328" i="1"/>
  <c r="B1329" i="1"/>
  <c r="G1329" i="1" s="1"/>
  <c r="C1329" i="1"/>
  <c r="D1329" i="1"/>
  <c r="B1330" i="1"/>
  <c r="C1330" i="1"/>
  <c r="D1330" i="1"/>
  <c r="G1330" i="1"/>
  <c r="B1331" i="1"/>
  <c r="G1331" i="1" s="1"/>
  <c r="C1331" i="1"/>
  <c r="D1331" i="1"/>
  <c r="B1332" i="1"/>
  <c r="C1332" i="1"/>
  <c r="D1332" i="1"/>
  <c r="G1332" i="1"/>
  <c r="B1333" i="1"/>
  <c r="G1333" i="1" s="1"/>
  <c r="C1333" i="1"/>
  <c r="D1333" i="1"/>
  <c r="B1334" i="1"/>
  <c r="C1334" i="1"/>
  <c r="D1334" i="1"/>
  <c r="G1334" i="1"/>
  <c r="B1335" i="1"/>
  <c r="G1335" i="1" s="1"/>
  <c r="C1335" i="1"/>
  <c r="D1335" i="1"/>
  <c r="B1336" i="1"/>
  <c r="C1336" i="1"/>
  <c r="D1336" i="1"/>
  <c r="G1336" i="1"/>
  <c r="B1337" i="1"/>
  <c r="G1337" i="1" s="1"/>
  <c r="C1337" i="1"/>
  <c r="D1337" i="1"/>
  <c r="B1338" i="1"/>
  <c r="C1338" i="1"/>
  <c r="D1338" i="1"/>
  <c r="G1338" i="1"/>
  <c r="B1339" i="1"/>
  <c r="G1339" i="1" s="1"/>
  <c r="C1339" i="1"/>
  <c r="D1339" i="1"/>
  <c r="B1340" i="1"/>
  <c r="C1340" i="1"/>
  <c r="D1340" i="1"/>
  <c r="G1340" i="1"/>
  <c r="B1341" i="1"/>
  <c r="G1341" i="1" s="1"/>
  <c r="C1341" i="1"/>
  <c r="D1341" i="1"/>
  <c r="B1342" i="1"/>
  <c r="C1342" i="1"/>
  <c r="D1342" i="1"/>
  <c r="G1342" i="1"/>
  <c r="B1343" i="1"/>
  <c r="G1343" i="1" s="1"/>
  <c r="C1343" i="1"/>
  <c r="D1343" i="1"/>
  <c r="B1344" i="1"/>
  <c r="G1344" i="1" s="1"/>
  <c r="C1344" i="1"/>
  <c r="D1344" i="1"/>
  <c r="B1345" i="1"/>
  <c r="C1345" i="1"/>
  <c r="D1345" i="1"/>
  <c r="G1345" i="1"/>
  <c r="B1346" i="1"/>
  <c r="G1346" i="1" s="1"/>
  <c r="C1346" i="1"/>
  <c r="D1346" i="1"/>
  <c r="B1347" i="1"/>
  <c r="C1347" i="1"/>
  <c r="D1347" i="1"/>
  <c r="F1347" i="1"/>
  <c r="B1348" i="1"/>
  <c r="G1348" i="1" s="1"/>
  <c r="C1348" i="1"/>
  <c r="D1348" i="1"/>
  <c r="B1349" i="1"/>
  <c r="C1349" i="1"/>
  <c r="D1349" i="1"/>
  <c r="G1349" i="1"/>
  <c r="B1350" i="1"/>
  <c r="G1350" i="1" s="1"/>
  <c r="C1350" i="1"/>
  <c r="D1350" i="1"/>
  <c r="B1351" i="1"/>
  <c r="C1351" i="1"/>
  <c r="D1351" i="1"/>
  <c r="G1351" i="1"/>
  <c r="B1352" i="1"/>
  <c r="G1352" i="1" s="1"/>
  <c r="C1352" i="1"/>
  <c r="D1352" i="1"/>
  <c r="B1353" i="1"/>
  <c r="C1353" i="1"/>
  <c r="D1353" i="1"/>
  <c r="G1353" i="1"/>
  <c r="B1354" i="1"/>
  <c r="G1354" i="1" s="1"/>
  <c r="C1354" i="1"/>
  <c r="D1354" i="1"/>
  <c r="B1355" i="1"/>
  <c r="C1355" i="1"/>
  <c r="D1355" i="1"/>
  <c r="G1355" i="1"/>
  <c r="B1356" i="1"/>
  <c r="G1356" i="1" s="1"/>
  <c r="C1356" i="1"/>
  <c r="D1356" i="1"/>
  <c r="B1357" i="1"/>
  <c r="C1357" i="1"/>
  <c r="D1357" i="1"/>
  <c r="G1357" i="1"/>
  <c r="B1358" i="1"/>
  <c r="G1358" i="1" s="1"/>
  <c r="C1358" i="1"/>
  <c r="D1358" i="1"/>
  <c r="B1359" i="1"/>
  <c r="C1359" i="1"/>
  <c r="D1359" i="1"/>
  <c r="G1359" i="1"/>
  <c r="B1360" i="1"/>
  <c r="G1360" i="1" s="1"/>
  <c r="C1360" i="1"/>
  <c r="D1360" i="1"/>
  <c r="B1361" i="1"/>
  <c r="C1361" i="1"/>
  <c r="D1361" i="1"/>
  <c r="G1361" i="1"/>
  <c r="B1362" i="1"/>
  <c r="G1362" i="1" s="1"/>
  <c r="C1362" i="1"/>
  <c r="D1362" i="1"/>
  <c r="B1363" i="1"/>
  <c r="C1363" i="1"/>
  <c r="D1363" i="1"/>
  <c r="G1363" i="1"/>
  <c r="B1364" i="1"/>
  <c r="G1364" i="1" s="1"/>
  <c r="C1364" i="1"/>
  <c r="D1364" i="1"/>
  <c r="B1365" i="1"/>
  <c r="C1365" i="1"/>
  <c r="D1365" i="1"/>
  <c r="G1365" i="1"/>
  <c r="B1366" i="1"/>
  <c r="G1366" i="1" s="1"/>
  <c r="C1366" i="1"/>
  <c r="D1366" i="1"/>
  <c r="B1367" i="1"/>
  <c r="C1367" i="1"/>
  <c r="D1367" i="1"/>
  <c r="G1367" i="1"/>
  <c r="B1368" i="1"/>
  <c r="G1368" i="1" s="1"/>
  <c r="C1368" i="1"/>
  <c r="D1368" i="1"/>
  <c r="B1369" i="1"/>
  <c r="C1369" i="1"/>
  <c r="D1369" i="1"/>
  <c r="G1369" i="1"/>
  <c r="B1370" i="1"/>
  <c r="G1370" i="1" s="1"/>
  <c r="C1370" i="1"/>
  <c r="D1370" i="1"/>
  <c r="B1371" i="1"/>
  <c r="C1371" i="1"/>
  <c r="D1371" i="1"/>
  <c r="G1371" i="1"/>
  <c r="B1372" i="1"/>
  <c r="G1372" i="1" s="1"/>
  <c r="C1372" i="1"/>
  <c r="D1372" i="1"/>
  <c r="B1373" i="1"/>
  <c r="C1373" i="1"/>
  <c r="D1373" i="1"/>
  <c r="F1373" i="1"/>
  <c r="B1374" i="1"/>
  <c r="G1374" i="1" s="1"/>
  <c r="C1374" i="1"/>
  <c r="D1374" i="1"/>
  <c r="B1375" i="1"/>
  <c r="C1375" i="1"/>
  <c r="D1375" i="1"/>
  <c r="G1375" i="1"/>
  <c r="B1376" i="1"/>
  <c r="G1376" i="1" s="1"/>
  <c r="C1376" i="1"/>
  <c r="D1376" i="1"/>
  <c r="B1377" i="1"/>
  <c r="C1377" i="1"/>
  <c r="D1377" i="1"/>
  <c r="G1377" i="1"/>
  <c r="B1378" i="1"/>
  <c r="G1378" i="1" s="1"/>
  <c r="C1378" i="1"/>
  <c r="D1378" i="1"/>
  <c r="B1379" i="1"/>
  <c r="C1379" i="1"/>
  <c r="D1379" i="1"/>
  <c r="G1379" i="1"/>
  <c r="B1380" i="1"/>
  <c r="G1380" i="1" s="1"/>
  <c r="C1380" i="1"/>
  <c r="D1380" i="1"/>
  <c r="B1381" i="1"/>
  <c r="C1381" i="1"/>
  <c r="D1381" i="1"/>
  <c r="G1381" i="1"/>
  <c r="B1382" i="1"/>
  <c r="C1382" i="1"/>
  <c r="D1382" i="1"/>
  <c r="F1382" i="1"/>
  <c r="B1383" i="1"/>
  <c r="C1383" i="1"/>
  <c r="D1383" i="1"/>
  <c r="G1383" i="1"/>
  <c r="B1384" i="1"/>
  <c r="G1384" i="1" s="1"/>
  <c r="C1384" i="1"/>
  <c r="D1384" i="1"/>
  <c r="B1385" i="1"/>
  <c r="C1385" i="1"/>
  <c r="D1385" i="1"/>
  <c r="G1385" i="1"/>
  <c r="B1386" i="1"/>
  <c r="C1386" i="1"/>
  <c r="D1386" i="1"/>
  <c r="F1386" i="1"/>
  <c r="B1387" i="1"/>
  <c r="C1387" i="1"/>
  <c r="D1387" i="1"/>
  <c r="G1387" i="1"/>
  <c r="B1388" i="1"/>
  <c r="C1388" i="1"/>
  <c r="D1388" i="1"/>
  <c r="F1388" i="1"/>
  <c r="B1389" i="1"/>
  <c r="C1389" i="1"/>
  <c r="D1389" i="1"/>
  <c r="G1389" i="1"/>
  <c r="B1390" i="1"/>
  <c r="C1390" i="1"/>
  <c r="D1390" i="1"/>
  <c r="F1390" i="1"/>
  <c r="B1391" i="1"/>
  <c r="C1391" i="1"/>
  <c r="D1391" i="1"/>
  <c r="G1391" i="1"/>
  <c r="B1392" i="1"/>
  <c r="C1392" i="1"/>
  <c r="D1392" i="1"/>
  <c r="F1392" i="1"/>
  <c r="B1393" i="1"/>
  <c r="C1393" i="1"/>
  <c r="D1393" i="1"/>
  <c r="F1393" i="1"/>
  <c r="G1393" i="1"/>
  <c r="B1394" i="1"/>
  <c r="G1394" i="1" s="1"/>
  <c r="C1394" i="1"/>
  <c r="D1394" i="1"/>
  <c r="F1394" i="1"/>
  <c r="B1395" i="1"/>
  <c r="C1395" i="1"/>
  <c r="D1395" i="1"/>
  <c r="F1395" i="1"/>
  <c r="G1395" i="1"/>
  <c r="B1396" i="1"/>
  <c r="G1396" i="1" s="1"/>
  <c r="C1396" i="1"/>
  <c r="D1396" i="1"/>
  <c r="F1396" i="1"/>
  <c r="C5" i="1"/>
  <c r="D5" i="1"/>
  <c r="C6" i="1"/>
  <c r="D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C23" i="1"/>
  <c r="D23" i="1"/>
  <c r="C24" i="1"/>
  <c r="D24" i="1"/>
  <c r="C25" i="1"/>
  <c r="D25" i="1"/>
  <c r="C26" i="1"/>
  <c r="D26" i="1"/>
  <c r="C27" i="1"/>
  <c r="D27" i="1"/>
  <c r="C28" i="1"/>
  <c r="D28" i="1"/>
  <c r="C29" i="1"/>
  <c r="D29" i="1"/>
  <c r="C30" i="1"/>
  <c r="D30" i="1"/>
  <c r="C31" i="1"/>
  <c r="D31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C40" i="1"/>
  <c r="D40" i="1"/>
  <c r="C41" i="1"/>
  <c r="D41" i="1"/>
  <c r="C42" i="1"/>
  <c r="D42" i="1"/>
  <c r="C43" i="1"/>
  <c r="D43" i="1"/>
  <c r="C44" i="1"/>
  <c r="D44" i="1"/>
  <c r="C45" i="1"/>
  <c r="D45" i="1"/>
  <c r="C46" i="1"/>
  <c r="D46" i="1"/>
  <c r="C47" i="1"/>
  <c r="D47" i="1"/>
  <c r="C48" i="1"/>
  <c r="D48" i="1"/>
  <c r="C49" i="1"/>
  <c r="D49" i="1"/>
  <c r="C50" i="1"/>
  <c r="D50" i="1"/>
  <c r="C51" i="1"/>
  <c r="D51" i="1"/>
  <c r="C52" i="1"/>
  <c r="D52" i="1"/>
  <c r="C53" i="1"/>
  <c r="D53" i="1"/>
  <c r="C54" i="1"/>
  <c r="D54" i="1"/>
  <c r="C55" i="1"/>
  <c r="D55" i="1"/>
  <c r="C56" i="1"/>
  <c r="D56" i="1"/>
  <c r="C57" i="1"/>
  <c r="D57" i="1"/>
  <c r="C58" i="1"/>
  <c r="D58" i="1"/>
  <c r="C59" i="1"/>
  <c r="D59" i="1"/>
  <c r="C60" i="1"/>
  <c r="D60" i="1"/>
  <c r="C61" i="1"/>
  <c r="D61" i="1"/>
  <c r="C62" i="1"/>
  <c r="D62" i="1"/>
  <c r="C63" i="1"/>
  <c r="D63" i="1"/>
  <c r="C64" i="1"/>
  <c r="D64" i="1"/>
  <c r="C65" i="1"/>
  <c r="D65" i="1"/>
  <c r="C66" i="1"/>
  <c r="D66" i="1"/>
  <c r="C67" i="1"/>
  <c r="D67" i="1"/>
  <c r="C68" i="1"/>
  <c r="D68" i="1"/>
  <c r="C69" i="1"/>
  <c r="D69" i="1"/>
  <c r="C70" i="1"/>
  <c r="D70" i="1"/>
  <c r="C71" i="1"/>
  <c r="D71" i="1"/>
  <c r="C72" i="1"/>
  <c r="D72" i="1"/>
  <c r="C73" i="1"/>
  <c r="D73" i="1"/>
  <c r="C74" i="1"/>
  <c r="D74" i="1"/>
  <c r="C75" i="1"/>
  <c r="D75" i="1"/>
  <c r="C76" i="1"/>
  <c r="D76" i="1"/>
  <c r="C77" i="1"/>
  <c r="D77" i="1"/>
  <c r="C78" i="1"/>
  <c r="D78" i="1"/>
  <c r="C79" i="1"/>
  <c r="D79" i="1"/>
  <c r="C80" i="1"/>
  <c r="D80" i="1"/>
  <c r="C81" i="1"/>
  <c r="D81" i="1"/>
  <c r="C82" i="1"/>
  <c r="D82" i="1"/>
  <c r="C83" i="1"/>
  <c r="D83" i="1"/>
  <c r="C84" i="1"/>
  <c r="D84" i="1"/>
  <c r="C85" i="1"/>
  <c r="D85" i="1"/>
  <c r="C86" i="1"/>
  <c r="D86" i="1"/>
  <c r="C87" i="1"/>
  <c r="D87" i="1"/>
  <c r="C88" i="1"/>
  <c r="D88" i="1"/>
  <c r="C89" i="1"/>
  <c r="D89" i="1"/>
  <c r="C90" i="1"/>
  <c r="D90" i="1"/>
  <c r="C91" i="1"/>
  <c r="D91" i="1"/>
  <c r="C92" i="1"/>
  <c r="D92" i="1"/>
  <c r="C93" i="1"/>
  <c r="D93" i="1"/>
  <c r="C94" i="1"/>
  <c r="D94" i="1"/>
  <c r="C95" i="1"/>
  <c r="D95" i="1"/>
  <c r="C96" i="1"/>
  <c r="D96" i="1"/>
  <c r="C97" i="1"/>
  <c r="D97" i="1"/>
  <c r="C98" i="1"/>
  <c r="D98" i="1"/>
  <c r="C99" i="1"/>
  <c r="D99" i="1"/>
  <c r="C100" i="1"/>
  <c r="D100" i="1"/>
  <c r="C101" i="1"/>
  <c r="D101" i="1"/>
  <c r="C102" i="1"/>
  <c r="D102" i="1"/>
  <c r="C103" i="1"/>
  <c r="D103" i="1"/>
  <c r="C104" i="1"/>
  <c r="D104" i="1"/>
  <c r="C105" i="1"/>
  <c r="D105" i="1"/>
  <c r="C106" i="1"/>
  <c r="D106" i="1"/>
  <c r="C107" i="1"/>
  <c r="D107" i="1"/>
  <c r="C108" i="1"/>
  <c r="D108" i="1"/>
  <c r="C109" i="1"/>
  <c r="D109" i="1"/>
  <c r="C110" i="1"/>
  <c r="D110" i="1"/>
  <c r="C111" i="1"/>
  <c r="D111" i="1"/>
  <c r="C112" i="1"/>
  <c r="D112" i="1"/>
  <c r="C113" i="1"/>
  <c r="D113" i="1"/>
  <c r="C114" i="1"/>
  <c r="D114" i="1"/>
  <c r="C115" i="1"/>
  <c r="D115" i="1"/>
  <c r="C116" i="1"/>
  <c r="D116" i="1"/>
  <c r="C117" i="1"/>
  <c r="D117" i="1"/>
  <c r="C118" i="1"/>
  <c r="D118" i="1"/>
  <c r="C119" i="1"/>
  <c r="D119" i="1"/>
  <c r="C120" i="1"/>
  <c r="D120" i="1"/>
  <c r="C121" i="1"/>
  <c r="D121" i="1"/>
  <c r="C122" i="1"/>
  <c r="D122" i="1"/>
  <c r="C123" i="1"/>
  <c r="D123" i="1"/>
  <c r="C124" i="1"/>
  <c r="D124" i="1"/>
  <c r="C125" i="1"/>
  <c r="D125" i="1"/>
  <c r="C126" i="1"/>
  <c r="D126" i="1"/>
  <c r="C127" i="1"/>
  <c r="D127" i="1"/>
  <c r="C128" i="1"/>
  <c r="D128" i="1"/>
  <c r="C129" i="1"/>
  <c r="D129" i="1"/>
  <c r="C130" i="1"/>
  <c r="D130" i="1"/>
  <c r="C131" i="1"/>
  <c r="D131" i="1"/>
  <c r="C132" i="1"/>
  <c r="D132" i="1"/>
  <c r="C133" i="1"/>
  <c r="D133" i="1"/>
  <c r="C134" i="1"/>
  <c r="D134" i="1"/>
  <c r="C135" i="1"/>
  <c r="D135" i="1"/>
  <c r="C136" i="1"/>
  <c r="D136" i="1"/>
  <c r="C137" i="1"/>
  <c r="D137" i="1"/>
  <c r="C138" i="1"/>
  <c r="D138" i="1"/>
  <c r="C139" i="1"/>
  <c r="D139" i="1"/>
  <c r="C140" i="1"/>
  <c r="D140" i="1"/>
  <c r="C141" i="1"/>
  <c r="D141" i="1"/>
  <c r="C142" i="1"/>
  <c r="D142" i="1"/>
  <c r="C143" i="1"/>
  <c r="D143" i="1"/>
  <c r="C144" i="1"/>
  <c r="D144" i="1"/>
  <c r="C145" i="1"/>
  <c r="D145" i="1"/>
  <c r="C146" i="1"/>
  <c r="D146" i="1"/>
  <c r="C147" i="1"/>
  <c r="D147" i="1"/>
  <c r="C148" i="1"/>
  <c r="D148" i="1"/>
  <c r="C149" i="1"/>
  <c r="D149" i="1"/>
  <c r="C150" i="1"/>
  <c r="D150" i="1"/>
  <c r="C151" i="1"/>
  <c r="D151" i="1"/>
  <c r="C152" i="1"/>
  <c r="D152" i="1"/>
  <c r="C153" i="1"/>
  <c r="D153" i="1"/>
  <c r="C154" i="1"/>
  <c r="D154" i="1"/>
  <c r="C155" i="1"/>
  <c r="D155" i="1"/>
  <c r="C156" i="1"/>
  <c r="D156" i="1"/>
  <c r="C157" i="1"/>
  <c r="D157" i="1"/>
  <c r="C158" i="1"/>
  <c r="D158" i="1"/>
  <c r="C159" i="1"/>
  <c r="D159" i="1"/>
  <c r="C160" i="1"/>
  <c r="D160" i="1"/>
  <c r="C161" i="1"/>
  <c r="D161" i="1"/>
  <c r="C162" i="1"/>
  <c r="D162" i="1"/>
  <c r="C163" i="1"/>
  <c r="D163" i="1"/>
  <c r="C164" i="1"/>
  <c r="D164" i="1"/>
  <c r="C165" i="1"/>
  <c r="D165" i="1"/>
  <c r="C166" i="1"/>
  <c r="D166" i="1"/>
  <c r="C167" i="1"/>
  <c r="D167" i="1"/>
  <c r="C168" i="1"/>
  <c r="D168" i="1"/>
  <c r="C169" i="1"/>
  <c r="D169" i="1"/>
  <c r="C170" i="1"/>
  <c r="D170" i="1"/>
  <c r="C171" i="1"/>
  <c r="D171" i="1"/>
  <c r="C172" i="1"/>
  <c r="D172" i="1"/>
  <c r="C173" i="1"/>
  <c r="D173" i="1"/>
  <c r="C174" i="1"/>
  <c r="D174" i="1"/>
  <c r="C175" i="1"/>
  <c r="D175" i="1"/>
  <c r="C176" i="1"/>
  <c r="D176" i="1"/>
  <c r="C177" i="1"/>
  <c r="D177" i="1"/>
  <c r="C178" i="1"/>
  <c r="D178" i="1"/>
  <c r="C179" i="1"/>
  <c r="D179" i="1"/>
  <c r="C180" i="1"/>
  <c r="D180" i="1"/>
  <c r="C181" i="1"/>
  <c r="D181" i="1"/>
  <c r="C182" i="1"/>
  <c r="D182" i="1"/>
  <c r="C183" i="1"/>
  <c r="D183" i="1"/>
  <c r="C184" i="1"/>
  <c r="D184" i="1"/>
  <c r="C185" i="1"/>
  <c r="D185" i="1"/>
  <c r="C186" i="1"/>
  <c r="D186" i="1"/>
  <c r="C187" i="1"/>
  <c r="D187" i="1"/>
  <c r="C188" i="1"/>
  <c r="D188" i="1"/>
  <c r="C189" i="1"/>
  <c r="D189" i="1"/>
  <c r="C190" i="1"/>
  <c r="D190" i="1"/>
  <c r="C191" i="1"/>
  <c r="D191" i="1"/>
  <c r="C192" i="1"/>
  <c r="D192" i="1"/>
  <c r="C193" i="1"/>
  <c r="D193" i="1"/>
  <c r="C194" i="1"/>
  <c r="D194" i="1"/>
  <c r="C195" i="1"/>
  <c r="D195" i="1"/>
  <c r="C196" i="1"/>
  <c r="D196" i="1"/>
  <c r="C197" i="1"/>
  <c r="D197" i="1"/>
  <c r="C198" i="1"/>
  <c r="D198" i="1"/>
  <c r="C199" i="1"/>
  <c r="D199" i="1"/>
  <c r="C200" i="1"/>
  <c r="D200" i="1"/>
  <c r="C201" i="1"/>
  <c r="D201" i="1"/>
  <c r="C202" i="1"/>
  <c r="D202" i="1"/>
  <c r="C203" i="1"/>
  <c r="D203" i="1"/>
  <c r="C204" i="1"/>
  <c r="D204" i="1"/>
  <c r="C205" i="1"/>
  <c r="D205" i="1"/>
  <c r="C206" i="1"/>
  <c r="D206" i="1"/>
  <c r="C207" i="1"/>
  <c r="D207" i="1"/>
  <c r="C208" i="1"/>
  <c r="D208" i="1"/>
  <c r="C209" i="1"/>
  <c r="D209" i="1"/>
  <c r="C210" i="1"/>
  <c r="D210" i="1"/>
  <c r="C211" i="1"/>
  <c r="D211" i="1"/>
  <c r="C212" i="1"/>
  <c r="D212" i="1"/>
  <c r="C213" i="1"/>
  <c r="D213" i="1"/>
  <c r="C214" i="1"/>
  <c r="D214" i="1"/>
  <c r="C215" i="1"/>
  <c r="D215" i="1"/>
  <c r="C216" i="1"/>
  <c r="D216" i="1"/>
  <c r="C217" i="1"/>
  <c r="D217" i="1"/>
  <c r="C218" i="1"/>
  <c r="D218" i="1"/>
  <c r="C219" i="1"/>
  <c r="D219" i="1"/>
  <c r="C220" i="1"/>
  <c r="D220" i="1"/>
  <c r="C221" i="1"/>
  <c r="D221" i="1"/>
  <c r="C222" i="1"/>
  <c r="D222" i="1"/>
  <c r="C223" i="1"/>
  <c r="D223" i="1"/>
  <c r="C224" i="1"/>
  <c r="D224" i="1"/>
  <c r="C225" i="1"/>
  <c r="D225" i="1"/>
  <c r="C226" i="1"/>
  <c r="D226" i="1"/>
  <c r="C227" i="1"/>
  <c r="D227" i="1"/>
  <c r="C228" i="1"/>
  <c r="D228" i="1"/>
  <c r="C229" i="1"/>
  <c r="D229" i="1"/>
  <c r="C230" i="1"/>
  <c r="D230" i="1"/>
  <c r="C231" i="1"/>
  <c r="D231" i="1"/>
  <c r="C232" i="1"/>
  <c r="D232" i="1"/>
  <c r="C233" i="1"/>
  <c r="D233" i="1"/>
  <c r="C234" i="1"/>
  <c r="D234" i="1"/>
  <c r="C235" i="1"/>
  <c r="D235" i="1"/>
  <c r="C236" i="1"/>
  <c r="D236" i="1"/>
  <c r="C237" i="1"/>
  <c r="D237" i="1"/>
  <c r="C238" i="1"/>
  <c r="D238" i="1"/>
  <c r="C239" i="1"/>
  <c r="D239" i="1"/>
  <c r="C240" i="1"/>
  <c r="D240" i="1"/>
  <c r="C241" i="1"/>
  <c r="D241" i="1"/>
  <c r="C242" i="1"/>
  <c r="D242" i="1"/>
  <c r="C243" i="1"/>
  <c r="D243" i="1"/>
  <c r="C244" i="1"/>
  <c r="D244" i="1"/>
  <c r="C245" i="1"/>
  <c r="D245" i="1"/>
  <c r="C246" i="1"/>
  <c r="D246" i="1"/>
  <c r="C247" i="1"/>
  <c r="D247" i="1"/>
  <c r="C248" i="1"/>
  <c r="D248" i="1"/>
  <c r="C249" i="1"/>
  <c r="D249" i="1"/>
  <c r="C250" i="1"/>
  <c r="D250" i="1"/>
  <c r="C251" i="1"/>
  <c r="D251" i="1"/>
  <c r="C252" i="1"/>
  <c r="D252" i="1"/>
  <c r="C253" i="1"/>
  <c r="D253" i="1"/>
  <c r="C254" i="1"/>
  <c r="D254" i="1"/>
  <c r="C255" i="1"/>
  <c r="D255" i="1"/>
  <c r="C256" i="1"/>
  <c r="D256" i="1"/>
  <c r="C257" i="1"/>
  <c r="D257" i="1"/>
  <c r="C258" i="1"/>
  <c r="D258" i="1"/>
  <c r="C259" i="1"/>
  <c r="D259" i="1"/>
  <c r="C260" i="1"/>
  <c r="D260" i="1"/>
  <c r="C261" i="1"/>
  <c r="D261" i="1"/>
  <c r="C262" i="1"/>
  <c r="D262" i="1"/>
  <c r="C263" i="1"/>
  <c r="D263" i="1"/>
  <c r="C264" i="1"/>
  <c r="D264" i="1"/>
  <c r="C265" i="1"/>
  <c r="D265" i="1"/>
  <c r="C266" i="1"/>
  <c r="D266" i="1"/>
  <c r="C267" i="1"/>
  <c r="D267" i="1"/>
  <c r="C268" i="1"/>
  <c r="D268" i="1"/>
  <c r="C269" i="1"/>
  <c r="D269" i="1"/>
  <c r="C270" i="1"/>
  <c r="D270" i="1"/>
  <c r="C271" i="1"/>
  <c r="D271" i="1"/>
  <c r="C272" i="1"/>
  <c r="D272" i="1"/>
  <c r="C273" i="1"/>
  <c r="D273" i="1"/>
  <c r="C274" i="1"/>
  <c r="D274" i="1"/>
  <c r="C275" i="1"/>
  <c r="D275" i="1"/>
  <c r="C276" i="1"/>
  <c r="D276" i="1"/>
  <c r="C277" i="1"/>
  <c r="D277" i="1"/>
  <c r="C278" i="1"/>
  <c r="D278" i="1"/>
  <c r="C279" i="1"/>
  <c r="D279" i="1"/>
  <c r="C280" i="1"/>
  <c r="D280" i="1"/>
  <c r="C281" i="1"/>
  <c r="D281" i="1"/>
  <c r="C282" i="1"/>
  <c r="D282" i="1"/>
  <c r="C283" i="1"/>
  <c r="D283" i="1"/>
  <c r="C284" i="1"/>
  <c r="D284" i="1"/>
  <c r="C285" i="1"/>
  <c r="D285" i="1"/>
  <c r="C286" i="1"/>
  <c r="D286" i="1"/>
  <c r="C287" i="1"/>
  <c r="D287" i="1"/>
  <c r="C288" i="1"/>
  <c r="D288" i="1"/>
  <c r="C289" i="1"/>
  <c r="D289" i="1"/>
  <c r="C290" i="1"/>
  <c r="D290" i="1"/>
  <c r="C291" i="1"/>
  <c r="D291" i="1"/>
  <c r="C292" i="1"/>
  <c r="D292" i="1"/>
  <c r="C293" i="1"/>
  <c r="D293" i="1"/>
  <c r="C294" i="1"/>
  <c r="D294" i="1"/>
  <c r="C295" i="1"/>
  <c r="D295" i="1"/>
  <c r="C296" i="1"/>
  <c r="D296" i="1"/>
  <c r="C297" i="1"/>
  <c r="D297" i="1"/>
  <c r="C298" i="1"/>
  <c r="D298" i="1"/>
  <c r="C299" i="1"/>
  <c r="D299" i="1"/>
  <c r="C300" i="1"/>
  <c r="D300" i="1"/>
  <c r="C301" i="1"/>
  <c r="D301" i="1"/>
  <c r="C302" i="1"/>
  <c r="D302" i="1"/>
  <c r="C303" i="1"/>
  <c r="D303" i="1"/>
  <c r="C304" i="1"/>
  <c r="D304" i="1"/>
  <c r="C305" i="1"/>
  <c r="D305" i="1"/>
  <c r="C306" i="1"/>
  <c r="D306" i="1"/>
  <c r="C307" i="1"/>
  <c r="D307" i="1"/>
  <c r="C308" i="1"/>
  <c r="D308" i="1"/>
  <c r="C309" i="1"/>
  <c r="D309" i="1"/>
  <c r="C310" i="1"/>
  <c r="D310" i="1"/>
  <c r="C311" i="1"/>
  <c r="D311" i="1"/>
  <c r="C312" i="1"/>
  <c r="D312" i="1"/>
  <c r="C313" i="1"/>
  <c r="D313" i="1"/>
  <c r="C314" i="1"/>
  <c r="D314" i="1"/>
  <c r="C315" i="1"/>
  <c r="D315" i="1"/>
  <c r="C316" i="1"/>
  <c r="D316" i="1"/>
  <c r="C317" i="1"/>
  <c r="D317" i="1"/>
  <c r="C318" i="1"/>
  <c r="D318" i="1"/>
  <c r="C319" i="1"/>
  <c r="D319" i="1"/>
  <c r="C320" i="1"/>
  <c r="D320" i="1"/>
  <c r="C321" i="1"/>
  <c r="D321" i="1"/>
  <c r="C322" i="1"/>
  <c r="D322" i="1"/>
  <c r="C323" i="1"/>
  <c r="D323" i="1"/>
  <c r="C324" i="1"/>
  <c r="D324" i="1"/>
  <c r="C325" i="1"/>
  <c r="D325" i="1"/>
  <c r="C326" i="1"/>
  <c r="D326" i="1"/>
  <c r="C327" i="1"/>
  <c r="D327" i="1"/>
  <c r="C328" i="1"/>
  <c r="D328" i="1"/>
  <c r="C329" i="1"/>
  <c r="D329" i="1"/>
  <c r="C330" i="1"/>
  <c r="D330" i="1"/>
  <c r="C331" i="1"/>
  <c r="D331" i="1"/>
  <c r="C332" i="1"/>
  <c r="D332" i="1"/>
  <c r="C333" i="1"/>
  <c r="D333" i="1"/>
  <c r="C334" i="1"/>
  <c r="D334" i="1"/>
  <c r="C335" i="1"/>
  <c r="D335" i="1"/>
  <c r="C336" i="1"/>
  <c r="D336" i="1"/>
  <c r="C337" i="1"/>
  <c r="D337" i="1"/>
  <c r="C338" i="1"/>
  <c r="D338" i="1"/>
  <c r="C339" i="1"/>
  <c r="D339" i="1"/>
  <c r="C340" i="1"/>
  <c r="D340" i="1"/>
  <c r="C341" i="1"/>
  <c r="D341" i="1"/>
  <c r="C342" i="1"/>
  <c r="D342" i="1"/>
  <c r="C343" i="1"/>
  <c r="D343" i="1"/>
  <c r="C344" i="1"/>
  <c r="D344" i="1"/>
  <c r="C345" i="1"/>
  <c r="D345" i="1"/>
  <c r="C346" i="1"/>
  <c r="D346" i="1"/>
  <c r="C347" i="1"/>
  <c r="D347" i="1"/>
  <c r="C348" i="1"/>
  <c r="D348" i="1"/>
  <c r="C349" i="1"/>
  <c r="D349" i="1"/>
  <c r="C350" i="1"/>
  <c r="D350" i="1"/>
  <c r="C351" i="1"/>
  <c r="D351" i="1"/>
  <c r="C352" i="1"/>
  <c r="D352" i="1"/>
  <c r="C353" i="1"/>
  <c r="D353" i="1"/>
  <c r="C354" i="1"/>
  <c r="D354" i="1"/>
  <c r="C355" i="1"/>
  <c r="D355" i="1"/>
  <c r="C356" i="1"/>
  <c r="D356" i="1"/>
  <c r="C357" i="1"/>
  <c r="D357" i="1"/>
  <c r="C358" i="1"/>
  <c r="D358" i="1"/>
  <c r="C359" i="1"/>
  <c r="D359" i="1"/>
  <c r="C360" i="1"/>
  <c r="D360" i="1"/>
  <c r="C361" i="1"/>
  <c r="D361" i="1"/>
  <c r="C362" i="1"/>
  <c r="D362" i="1"/>
  <c r="C363" i="1"/>
  <c r="D363" i="1"/>
  <c r="C364" i="1"/>
  <c r="D364" i="1"/>
  <c r="C365" i="1"/>
  <c r="D365" i="1"/>
  <c r="C366" i="1"/>
  <c r="D366" i="1"/>
  <c r="C367" i="1"/>
  <c r="D367" i="1"/>
  <c r="C368" i="1"/>
  <c r="D368" i="1"/>
  <c r="C369" i="1"/>
  <c r="D369" i="1"/>
  <c r="C370" i="1"/>
  <c r="D370" i="1"/>
  <c r="C371" i="1"/>
  <c r="D371" i="1"/>
  <c r="C372" i="1"/>
  <c r="D372" i="1"/>
  <c r="C373" i="1"/>
  <c r="D373" i="1"/>
  <c r="C374" i="1"/>
  <c r="D374" i="1"/>
  <c r="C375" i="1"/>
  <c r="D375" i="1"/>
  <c r="C376" i="1"/>
  <c r="D376" i="1"/>
  <c r="C377" i="1"/>
  <c r="D377" i="1"/>
  <c r="C378" i="1"/>
  <c r="D378" i="1"/>
  <c r="C379" i="1"/>
  <c r="D379" i="1"/>
  <c r="C380" i="1"/>
  <c r="D380" i="1"/>
  <c r="C381" i="1"/>
  <c r="D381" i="1"/>
  <c r="C382" i="1"/>
  <c r="D382" i="1"/>
  <c r="C383" i="1"/>
  <c r="D383" i="1"/>
  <c r="C384" i="1"/>
  <c r="D384" i="1"/>
  <c r="C385" i="1"/>
  <c r="D385" i="1"/>
  <c r="C386" i="1"/>
  <c r="D386" i="1"/>
  <c r="C387" i="1"/>
  <c r="D387" i="1"/>
  <c r="C388" i="1"/>
  <c r="D388" i="1"/>
  <c r="C389" i="1"/>
  <c r="D389" i="1"/>
  <c r="C390" i="1"/>
  <c r="D390" i="1"/>
  <c r="C391" i="1"/>
  <c r="D391" i="1"/>
  <c r="C392" i="1"/>
  <c r="D392" i="1"/>
  <c r="C393" i="1"/>
  <c r="D393" i="1"/>
  <c r="C394" i="1"/>
  <c r="D394" i="1"/>
  <c r="C395" i="1"/>
  <c r="D395" i="1"/>
  <c r="C396" i="1"/>
  <c r="D396" i="1"/>
  <c r="C397" i="1"/>
  <c r="D397" i="1"/>
  <c r="C398" i="1"/>
  <c r="D398" i="1"/>
  <c r="C399" i="1"/>
  <c r="D399" i="1"/>
  <c r="C400" i="1"/>
  <c r="D400" i="1"/>
  <c r="C401" i="1"/>
  <c r="D401" i="1"/>
  <c r="C402" i="1"/>
  <c r="D402" i="1"/>
  <c r="C403" i="1"/>
  <c r="D403" i="1"/>
  <c r="C404" i="1"/>
  <c r="D404" i="1"/>
  <c r="C405" i="1"/>
  <c r="D405" i="1"/>
  <c r="C406" i="1"/>
  <c r="D406" i="1"/>
  <c r="C407" i="1"/>
  <c r="D407" i="1"/>
  <c r="C408" i="1"/>
  <c r="D408" i="1"/>
  <c r="C409" i="1"/>
  <c r="D409" i="1"/>
  <c r="C410" i="1"/>
  <c r="D410" i="1"/>
  <c r="C411" i="1"/>
  <c r="D411" i="1"/>
  <c r="C412" i="1"/>
  <c r="D412" i="1"/>
  <c r="C413" i="1"/>
  <c r="D413" i="1"/>
  <c r="C414" i="1"/>
  <c r="D414" i="1"/>
  <c r="C415" i="1"/>
  <c r="D415" i="1"/>
  <c r="C416" i="1"/>
  <c r="D416" i="1"/>
  <c r="C417" i="1"/>
  <c r="D417" i="1"/>
  <c r="C418" i="1"/>
  <c r="D418" i="1"/>
  <c r="C419" i="1"/>
  <c r="D419" i="1"/>
  <c r="C420" i="1"/>
  <c r="D420" i="1"/>
  <c r="C421" i="1"/>
  <c r="D421" i="1"/>
  <c r="C422" i="1"/>
  <c r="D422" i="1"/>
  <c r="C423" i="1"/>
  <c r="D423" i="1"/>
  <c r="C424" i="1"/>
  <c r="D424" i="1"/>
  <c r="C425" i="1"/>
  <c r="D425" i="1"/>
  <c r="C426" i="1"/>
  <c r="D426" i="1"/>
  <c r="C427" i="1"/>
  <c r="D427" i="1"/>
  <c r="C428" i="1"/>
  <c r="D428" i="1"/>
  <c r="C429" i="1"/>
  <c r="D429" i="1"/>
  <c r="C430" i="1"/>
  <c r="D430" i="1"/>
  <c r="C431" i="1"/>
  <c r="D431" i="1"/>
  <c r="C432" i="1"/>
  <c r="D432" i="1"/>
  <c r="C433" i="1"/>
  <c r="D433" i="1"/>
  <c r="C434" i="1"/>
  <c r="D434" i="1"/>
  <c r="C435" i="1"/>
  <c r="D435" i="1"/>
  <c r="C436" i="1"/>
  <c r="D436" i="1"/>
  <c r="C437" i="1"/>
  <c r="D437" i="1"/>
  <c r="C438" i="1"/>
  <c r="D438" i="1"/>
  <c r="C439" i="1"/>
  <c r="D439" i="1"/>
  <c r="C440" i="1"/>
  <c r="D440" i="1"/>
  <c r="C441" i="1"/>
  <c r="D441" i="1"/>
  <c r="C442" i="1"/>
  <c r="D442" i="1"/>
  <c r="B3" i="2"/>
  <c r="B4" i="2"/>
  <c r="B5" i="2"/>
  <c r="B15" i="2"/>
  <c r="B16" i="2"/>
  <c r="B17" i="2"/>
  <c r="B18" i="2"/>
  <c r="B19" i="2"/>
  <c r="B20" i="2"/>
  <c r="B21" i="2"/>
  <c r="B2" i="2"/>
  <c r="D4" i="1"/>
  <c r="C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F130" i="1" s="1"/>
  <c r="B131" i="1"/>
  <c r="B132" i="1"/>
  <c r="B133" i="1"/>
  <c r="B134" i="1"/>
  <c r="B135" i="1"/>
  <c r="B136" i="1"/>
  <c r="B137" i="1"/>
  <c r="B138" i="1"/>
  <c r="F138" i="1" s="1"/>
  <c r="B139" i="1"/>
  <c r="F139" i="1" s="1"/>
  <c r="B140" i="1"/>
  <c r="B141" i="1"/>
  <c r="F141" i="1" s="1"/>
  <c r="B142" i="1"/>
  <c r="F142" i="1" s="1"/>
  <c r="B143" i="1"/>
  <c r="F143" i="1" s="1"/>
  <c r="B144" i="1"/>
  <c r="F144" i="1" s="1"/>
  <c r="B145" i="1"/>
  <c r="F145" i="1" s="1"/>
  <c r="B146" i="1"/>
  <c r="F146" i="1" s="1"/>
  <c r="B147" i="1"/>
  <c r="F147" i="1" s="1"/>
  <c r="B148" i="1"/>
  <c r="F148" i="1" s="1"/>
  <c r="B149" i="1"/>
  <c r="F149" i="1" s="1"/>
  <c r="B150" i="1"/>
  <c r="F150" i="1" s="1"/>
  <c r="B151" i="1"/>
  <c r="B152" i="1"/>
  <c r="B153" i="1"/>
  <c r="B154" i="1"/>
  <c r="B155" i="1"/>
  <c r="B156" i="1"/>
  <c r="B157" i="1"/>
  <c r="B158" i="1"/>
  <c r="B159" i="1"/>
  <c r="B160" i="1"/>
  <c r="F160" i="1" s="1"/>
  <c r="B161" i="1"/>
  <c r="F161" i="1" s="1"/>
  <c r="B162" i="1"/>
  <c r="F162" i="1" s="1"/>
  <c r="B163" i="1"/>
  <c r="F163" i="1" s="1"/>
  <c r="B164" i="1"/>
  <c r="F164" i="1" s="1"/>
  <c r="B165" i="1"/>
  <c r="F165" i="1" s="1"/>
  <c r="B166" i="1"/>
  <c r="F166" i="1" s="1"/>
  <c r="B167" i="1"/>
  <c r="F167" i="1" s="1"/>
  <c r="B168" i="1"/>
  <c r="F168" i="1" s="1"/>
  <c r="B169" i="1"/>
  <c r="F169" i="1" s="1"/>
  <c r="B170" i="1"/>
  <c r="F170" i="1" s="1"/>
  <c r="B171" i="1"/>
  <c r="B172" i="1"/>
  <c r="F172" i="1" s="1"/>
  <c r="B173" i="1"/>
  <c r="F173" i="1" s="1"/>
  <c r="B174" i="1"/>
  <c r="F174" i="1" s="1"/>
  <c r="B175" i="1"/>
  <c r="F175" i="1" s="1"/>
  <c r="B176" i="1"/>
  <c r="B177" i="1"/>
  <c r="B178" i="1"/>
  <c r="B179" i="1"/>
  <c r="B180" i="1"/>
  <c r="B181" i="1"/>
  <c r="B182" i="1"/>
  <c r="F182" i="1" s="1"/>
  <c r="B183" i="1"/>
  <c r="F183" i="1" s="1"/>
  <c r="B184" i="1"/>
  <c r="F184" i="1" s="1"/>
  <c r="B185" i="1"/>
  <c r="F185" i="1" s="1"/>
  <c r="B186" i="1"/>
  <c r="F186" i="1" s="1"/>
  <c r="B187" i="1"/>
  <c r="F187" i="1" s="1"/>
  <c r="B188" i="1"/>
  <c r="F188" i="1" s="1"/>
  <c r="B189" i="1"/>
  <c r="F189" i="1" s="1"/>
  <c r="B190" i="1"/>
  <c r="B191" i="1"/>
  <c r="B192" i="1"/>
  <c r="F192" i="1" s="1"/>
  <c r="B193" i="1"/>
  <c r="F193" i="1" s="1"/>
  <c r="B194" i="1"/>
  <c r="F194" i="1" s="1"/>
  <c r="B195" i="1"/>
  <c r="F195" i="1" s="1"/>
  <c r="B196" i="1"/>
  <c r="F196" i="1" s="1"/>
  <c r="B197" i="1"/>
  <c r="F197" i="1" s="1"/>
  <c r="B198" i="1"/>
  <c r="F198" i="1" s="1"/>
  <c r="B199" i="1"/>
  <c r="F199" i="1" s="1"/>
  <c r="B200" i="1"/>
  <c r="F200" i="1" s="1"/>
  <c r="B201" i="1"/>
  <c r="F201" i="1" s="1"/>
  <c r="B202" i="1"/>
  <c r="F202" i="1" s="1"/>
  <c r="B203" i="1"/>
  <c r="F203" i="1" s="1"/>
  <c r="B204" i="1"/>
  <c r="B205" i="1"/>
  <c r="B206" i="1"/>
  <c r="B207" i="1"/>
  <c r="B208" i="1"/>
  <c r="B209" i="1"/>
  <c r="B210" i="1"/>
  <c r="B211" i="1"/>
  <c r="B212" i="1"/>
  <c r="B213" i="1"/>
  <c r="B214" i="1"/>
  <c r="G214" i="1" s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G247" i="1" s="1"/>
  <c r="B248" i="1"/>
  <c r="B249" i="1"/>
  <c r="G249" i="1" s="1"/>
  <c r="B250" i="1"/>
  <c r="B251" i="1"/>
  <c r="G251" i="1" s="1"/>
  <c r="B252" i="1"/>
  <c r="B253" i="1"/>
  <c r="B254" i="1"/>
  <c r="G254" i="1" s="1"/>
  <c r="B255" i="1"/>
  <c r="G255" i="1" s="1"/>
  <c r="B256" i="1"/>
  <c r="G256" i="1" s="1"/>
  <c r="B257" i="1"/>
  <c r="G257" i="1" s="1"/>
  <c r="B258" i="1"/>
  <c r="G258" i="1" s="1"/>
  <c r="B259" i="1"/>
  <c r="G259" i="1" s="1"/>
  <c r="B260" i="1"/>
  <c r="G260" i="1" s="1"/>
  <c r="B261" i="1"/>
  <c r="B262" i="1"/>
  <c r="G262" i="1" s="1"/>
  <c r="B263" i="1"/>
  <c r="G263" i="1" s="1"/>
  <c r="B264" i="1"/>
  <c r="G264" i="1" s="1"/>
  <c r="B265" i="1"/>
  <c r="G265" i="1" s="1"/>
  <c r="B266" i="1"/>
  <c r="G266" i="1" s="1"/>
  <c r="B267" i="1"/>
  <c r="G267" i="1" s="1"/>
  <c r="B268" i="1"/>
  <c r="G268" i="1" s="1"/>
  <c r="B269" i="1"/>
  <c r="G269" i="1" s="1"/>
  <c r="B270" i="1"/>
  <c r="G270" i="1" s="1"/>
  <c r="B271" i="1"/>
  <c r="G271" i="1" s="1"/>
  <c r="B272" i="1"/>
  <c r="G272" i="1" s="1"/>
  <c r="B273" i="1"/>
  <c r="B274" i="1"/>
  <c r="B275" i="1"/>
  <c r="G275" i="1" s="1"/>
  <c r="B276" i="1"/>
  <c r="G276" i="1" s="1"/>
  <c r="B277" i="1"/>
  <c r="B278" i="1"/>
  <c r="G278" i="1" s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G299" i="1" s="1"/>
  <c r="B300" i="1"/>
  <c r="B301" i="1"/>
  <c r="B302" i="1"/>
  <c r="B303" i="1"/>
  <c r="G303" i="1" s="1"/>
  <c r="B304" i="1"/>
  <c r="B305" i="1"/>
  <c r="B306" i="1"/>
  <c r="B307" i="1"/>
  <c r="B308" i="1"/>
  <c r="B309" i="1"/>
  <c r="G309" i="1" s="1"/>
  <c r="B310" i="1"/>
  <c r="B311" i="1"/>
  <c r="B312" i="1"/>
  <c r="B313" i="1"/>
  <c r="B314" i="1"/>
  <c r="G314" i="1" s="1"/>
  <c r="B315" i="1"/>
  <c r="B316" i="1"/>
  <c r="B317" i="1"/>
  <c r="B318" i="1"/>
  <c r="B319" i="1"/>
  <c r="B320" i="1"/>
  <c r="G320" i="1" s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G340" i="1" s="1"/>
  <c r="B341" i="1"/>
  <c r="B342" i="1"/>
  <c r="B343" i="1"/>
  <c r="B344" i="1"/>
  <c r="B345" i="1"/>
  <c r="B346" i="1"/>
  <c r="B347" i="1"/>
  <c r="G347" i="1" s="1"/>
  <c r="B348" i="1"/>
  <c r="G348" i="1" s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F362" i="1" s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F380" i="1" s="1"/>
  <c r="B381" i="1"/>
  <c r="B382" i="1"/>
  <c r="F382" i="1" s="1"/>
  <c r="B383" i="1"/>
  <c r="B384" i="1"/>
  <c r="F384" i="1" s="1"/>
  <c r="B385" i="1"/>
  <c r="B386" i="1"/>
  <c r="B387" i="1"/>
  <c r="B388" i="1"/>
  <c r="F388" i="1" s="1"/>
  <c r="B389" i="1"/>
  <c r="F389" i="1" s="1"/>
  <c r="B390" i="1"/>
  <c r="B391" i="1"/>
  <c r="B392" i="1"/>
  <c r="B393" i="1"/>
  <c r="B394" i="1"/>
  <c r="B395" i="1"/>
  <c r="B396" i="1"/>
  <c r="F396" i="1" s="1"/>
  <c r="B397" i="1"/>
  <c r="B398" i="1"/>
  <c r="B399" i="1"/>
  <c r="B400" i="1"/>
  <c r="F400" i="1" s="1"/>
  <c r="B401" i="1"/>
  <c r="F401" i="1" s="1"/>
  <c r="B402" i="1"/>
  <c r="F402" i="1" s="1"/>
  <c r="B403" i="1"/>
  <c r="F403" i="1" s="1"/>
  <c r="B404" i="1"/>
  <c r="F404" i="1" s="1"/>
  <c r="B405" i="1"/>
  <c r="F405" i="1" s="1"/>
  <c r="B406" i="1"/>
  <c r="F406" i="1" s="1"/>
  <c r="B407" i="1"/>
  <c r="F407" i="1" s="1"/>
  <c r="B408" i="1"/>
  <c r="F408" i="1" s="1"/>
  <c r="B409" i="1"/>
  <c r="F409" i="1" s="1"/>
  <c r="B410" i="1"/>
  <c r="F410" i="1" s="1"/>
  <c r="B411" i="1"/>
  <c r="F411" i="1" s="1"/>
  <c r="B412" i="1"/>
  <c r="B413" i="1"/>
  <c r="B414" i="1"/>
  <c r="F414" i="1" s="1"/>
  <c r="B415" i="1"/>
  <c r="F415" i="1" s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G431" i="1" s="1"/>
  <c r="B432" i="1"/>
  <c r="G432" i="1" s="1"/>
  <c r="B433" i="1"/>
  <c r="B434" i="1"/>
  <c r="B435" i="1"/>
  <c r="B436" i="1"/>
  <c r="B437" i="1"/>
  <c r="B438" i="1"/>
  <c r="B439" i="1"/>
  <c r="B440" i="1"/>
  <c r="B441" i="1"/>
  <c r="B442" i="1"/>
  <c r="B4" i="1"/>
  <c r="G4" i="1" s="1"/>
  <c r="F340" i="1" l="1"/>
  <c r="H340" i="1" s="1"/>
  <c r="F320" i="1"/>
  <c r="F314" i="1"/>
  <c r="G410" i="1"/>
  <c r="H410" i="1" s="1"/>
  <c r="H1396" i="1"/>
  <c r="H1394" i="1"/>
  <c r="H1263" i="1"/>
  <c r="G310" i="1"/>
  <c r="F444" i="1"/>
  <c r="H444" i="1" s="1"/>
  <c r="F446" i="1"/>
  <c r="H446" i="1" s="1"/>
  <c r="F448" i="1"/>
  <c r="H448" i="1" s="1"/>
  <c r="F450" i="1"/>
  <c r="H450" i="1" s="1"/>
  <c r="F452" i="1"/>
  <c r="H452" i="1" s="1"/>
  <c r="F454" i="1"/>
  <c r="H454" i="1" s="1"/>
  <c r="F456" i="1"/>
  <c r="F458" i="1"/>
  <c r="H458" i="1" s="1"/>
  <c r="F460" i="1"/>
  <c r="H460" i="1" s="1"/>
  <c r="F462" i="1"/>
  <c r="H462" i="1" s="1"/>
  <c r="F464" i="1"/>
  <c r="H464" i="1" s="1"/>
  <c r="F466" i="1"/>
  <c r="H466" i="1" s="1"/>
  <c r="F468" i="1"/>
  <c r="H468" i="1" s="1"/>
  <c r="F470" i="1"/>
  <c r="H470" i="1" s="1"/>
  <c r="F472" i="1"/>
  <c r="F474" i="1"/>
  <c r="H474" i="1" s="1"/>
  <c r="F476" i="1"/>
  <c r="H476" i="1" s="1"/>
  <c r="F478" i="1"/>
  <c r="H478" i="1" s="1"/>
  <c r="F484" i="1"/>
  <c r="H484" i="1" s="1"/>
  <c r="F486" i="1"/>
  <c r="H486" i="1" s="1"/>
  <c r="F492" i="1"/>
  <c r="F494" i="1"/>
  <c r="H494" i="1" s="1"/>
  <c r="F500" i="1"/>
  <c r="F502" i="1"/>
  <c r="H502" i="1" s="1"/>
  <c r="F504" i="1"/>
  <c r="H504" i="1" s="1"/>
  <c r="F506" i="1"/>
  <c r="H506" i="1" s="1"/>
  <c r="F480" i="1"/>
  <c r="F490" i="1"/>
  <c r="F496" i="1"/>
  <c r="F508" i="1"/>
  <c r="H508" i="1" s="1"/>
  <c r="F510" i="1"/>
  <c r="H510" i="1" s="1"/>
  <c r="F512" i="1"/>
  <c r="H512" i="1" s="1"/>
  <c r="F514" i="1"/>
  <c r="H514" i="1" s="1"/>
  <c r="F516" i="1"/>
  <c r="H516" i="1" s="1"/>
  <c r="F518" i="1"/>
  <c r="F520" i="1"/>
  <c r="H520" i="1" s="1"/>
  <c r="F522" i="1"/>
  <c r="H522" i="1" s="1"/>
  <c r="F524" i="1"/>
  <c r="H524" i="1" s="1"/>
  <c r="F530" i="1"/>
  <c r="H530" i="1" s="1"/>
  <c r="F532" i="1"/>
  <c r="H532" i="1" s="1"/>
  <c r="F538" i="1"/>
  <c r="H538" i="1" s="1"/>
  <c r="F540" i="1"/>
  <c r="H540" i="1" s="1"/>
  <c r="F546" i="1"/>
  <c r="F548" i="1"/>
  <c r="H548" i="1" s="1"/>
  <c r="F551" i="1"/>
  <c r="H551" i="1" s="1"/>
  <c r="F553" i="1"/>
  <c r="H553" i="1" s="1"/>
  <c r="F555" i="1"/>
  <c r="H555" i="1" s="1"/>
  <c r="F557" i="1"/>
  <c r="H557" i="1" s="1"/>
  <c r="F559" i="1"/>
  <c r="H559" i="1" s="1"/>
  <c r="F561" i="1"/>
  <c r="H561" i="1" s="1"/>
  <c r="F563" i="1"/>
  <c r="F565" i="1"/>
  <c r="H565" i="1" s="1"/>
  <c r="F567" i="1"/>
  <c r="H567" i="1" s="1"/>
  <c r="F569" i="1"/>
  <c r="H569" i="1" s="1"/>
  <c r="F571" i="1"/>
  <c r="H571" i="1" s="1"/>
  <c r="F573" i="1"/>
  <c r="H573" i="1" s="1"/>
  <c r="F575" i="1"/>
  <c r="H575" i="1" s="1"/>
  <c r="F577" i="1"/>
  <c r="H577" i="1" s="1"/>
  <c r="F579" i="1"/>
  <c r="F581" i="1"/>
  <c r="H581" i="1" s="1"/>
  <c r="F583" i="1"/>
  <c r="H583" i="1" s="1"/>
  <c r="G585" i="1"/>
  <c r="H585" i="1" s="1"/>
  <c r="F587" i="1"/>
  <c r="H587" i="1" s="1"/>
  <c r="F589" i="1"/>
  <c r="H589" i="1" s="1"/>
  <c r="F591" i="1"/>
  <c r="H591" i="1" s="1"/>
  <c r="F593" i="1"/>
  <c r="H593" i="1" s="1"/>
  <c r="F595" i="1"/>
  <c r="F597" i="1"/>
  <c r="H597" i="1" s="1"/>
  <c r="F599" i="1"/>
  <c r="H599" i="1" s="1"/>
  <c r="F601" i="1"/>
  <c r="H601" i="1" s="1"/>
  <c r="G603" i="1"/>
  <c r="H603" i="1" s="1"/>
  <c r="F605" i="1"/>
  <c r="H605" i="1" s="1"/>
  <c r="F607" i="1"/>
  <c r="H607" i="1" s="1"/>
  <c r="F609" i="1"/>
  <c r="H609" i="1" s="1"/>
  <c r="F611" i="1"/>
  <c r="H611" i="1" s="1"/>
  <c r="F482" i="1"/>
  <c r="F488" i="1"/>
  <c r="F528" i="1"/>
  <c r="F534" i="1"/>
  <c r="F544" i="1"/>
  <c r="F623" i="1"/>
  <c r="F625" i="1"/>
  <c r="F631" i="1"/>
  <c r="F633" i="1"/>
  <c r="G639" i="1"/>
  <c r="F641" i="1"/>
  <c r="F647" i="1"/>
  <c r="F649" i="1"/>
  <c r="G793" i="1"/>
  <c r="H793" i="1" s="1"/>
  <c r="F795" i="1"/>
  <c r="H795" i="1" s="1"/>
  <c r="F801" i="1"/>
  <c r="H801" i="1" s="1"/>
  <c r="F803" i="1"/>
  <c r="H803" i="1" s="1"/>
  <c r="G809" i="1"/>
  <c r="H809" i="1" s="1"/>
  <c r="F811" i="1"/>
  <c r="H811" i="1" s="1"/>
  <c r="F817" i="1"/>
  <c r="H817" i="1" s="1"/>
  <c r="F819" i="1"/>
  <c r="H819" i="1" s="1"/>
  <c r="F825" i="1"/>
  <c r="H825" i="1" s="1"/>
  <c r="F827" i="1"/>
  <c r="H827" i="1" s="1"/>
  <c r="F833" i="1"/>
  <c r="H833" i="1" s="1"/>
  <c r="F835" i="1"/>
  <c r="H835" i="1" s="1"/>
  <c r="F841" i="1"/>
  <c r="H841" i="1" s="1"/>
  <c r="F843" i="1"/>
  <c r="H843" i="1" s="1"/>
  <c r="F849" i="1"/>
  <c r="H849" i="1" s="1"/>
  <c r="F851" i="1"/>
  <c r="H851" i="1" s="1"/>
  <c r="F857" i="1"/>
  <c r="H857" i="1" s="1"/>
  <c r="F859" i="1"/>
  <c r="H859" i="1" s="1"/>
  <c r="F865" i="1"/>
  <c r="H865" i="1" s="1"/>
  <c r="F867" i="1"/>
  <c r="H867" i="1" s="1"/>
  <c r="G498" i="1"/>
  <c r="F536" i="1"/>
  <c r="F542" i="1"/>
  <c r="G615" i="1"/>
  <c r="H615" i="1" s="1"/>
  <c r="F617" i="1"/>
  <c r="H617" i="1" s="1"/>
  <c r="F621" i="1"/>
  <c r="H621" i="1" s="1"/>
  <c r="F627" i="1"/>
  <c r="H627" i="1" s="1"/>
  <c r="F637" i="1"/>
  <c r="H637" i="1" s="1"/>
  <c r="F645" i="1"/>
  <c r="F651" i="1"/>
  <c r="H651" i="1" s="1"/>
  <c r="F655" i="1"/>
  <c r="F659" i="1"/>
  <c r="H659" i="1" s="1"/>
  <c r="F663" i="1"/>
  <c r="H663" i="1" s="1"/>
  <c r="F667" i="1"/>
  <c r="H667" i="1" s="1"/>
  <c r="F671" i="1"/>
  <c r="H671" i="1" s="1"/>
  <c r="F675" i="1"/>
  <c r="H675" i="1" s="1"/>
  <c r="F679" i="1"/>
  <c r="H679" i="1" s="1"/>
  <c r="F683" i="1"/>
  <c r="H683" i="1" s="1"/>
  <c r="F687" i="1"/>
  <c r="H687" i="1" s="1"/>
  <c r="F691" i="1"/>
  <c r="H691" i="1" s="1"/>
  <c r="F695" i="1"/>
  <c r="H695" i="1" s="1"/>
  <c r="F699" i="1"/>
  <c r="H699" i="1" s="1"/>
  <c r="F703" i="1"/>
  <c r="H703" i="1" s="1"/>
  <c r="F707" i="1"/>
  <c r="H707" i="1" s="1"/>
  <c r="F711" i="1"/>
  <c r="H711" i="1" s="1"/>
  <c r="F715" i="1"/>
  <c r="H715" i="1" s="1"/>
  <c r="F719" i="1"/>
  <c r="H719" i="1" s="1"/>
  <c r="F723" i="1"/>
  <c r="H723" i="1" s="1"/>
  <c r="F727" i="1"/>
  <c r="H727" i="1" s="1"/>
  <c r="F731" i="1"/>
  <c r="H731" i="1" s="1"/>
  <c r="F737" i="1"/>
  <c r="F741" i="1"/>
  <c r="H741" i="1" s="1"/>
  <c r="F745" i="1"/>
  <c r="H745" i="1" s="1"/>
  <c r="F749" i="1"/>
  <c r="H749" i="1" s="1"/>
  <c r="F753" i="1"/>
  <c r="H753" i="1" s="1"/>
  <c r="F759" i="1"/>
  <c r="H759" i="1" s="1"/>
  <c r="F763" i="1"/>
  <c r="H763" i="1" s="1"/>
  <c r="F767" i="1"/>
  <c r="H767" i="1" s="1"/>
  <c r="F771" i="1"/>
  <c r="F775" i="1"/>
  <c r="H775" i="1" s="1"/>
  <c r="F779" i="1"/>
  <c r="H779" i="1" s="1"/>
  <c r="F783" i="1"/>
  <c r="H783" i="1" s="1"/>
  <c r="F787" i="1"/>
  <c r="H787" i="1" s="1"/>
  <c r="F791" i="1"/>
  <c r="F799" i="1"/>
  <c r="F805" i="1"/>
  <c r="H805" i="1" s="1"/>
  <c r="F813" i="1"/>
  <c r="H813" i="1" s="1"/>
  <c r="F821" i="1"/>
  <c r="H821" i="1" s="1"/>
  <c r="F831" i="1"/>
  <c r="H831" i="1" s="1"/>
  <c r="F837" i="1"/>
  <c r="H837" i="1" s="1"/>
  <c r="F847" i="1"/>
  <c r="H847" i="1" s="1"/>
  <c r="F853" i="1"/>
  <c r="H853" i="1" s="1"/>
  <c r="F863" i="1"/>
  <c r="H863" i="1" s="1"/>
  <c r="F869" i="1"/>
  <c r="H869" i="1" s="1"/>
  <c r="F872" i="1"/>
  <c r="H872" i="1" s="1"/>
  <c r="F874" i="1"/>
  <c r="H874" i="1" s="1"/>
  <c r="F876" i="1"/>
  <c r="F878" i="1"/>
  <c r="H878" i="1" s="1"/>
  <c r="F880" i="1"/>
  <c r="H880" i="1" s="1"/>
  <c r="G882" i="1"/>
  <c r="H882" i="1" s="1"/>
  <c r="F884" i="1"/>
  <c r="H884" i="1" s="1"/>
  <c r="F886" i="1"/>
  <c r="H886" i="1" s="1"/>
  <c r="F888" i="1"/>
  <c r="H888" i="1" s="1"/>
  <c r="F890" i="1"/>
  <c r="H890" i="1" s="1"/>
  <c r="F892" i="1"/>
  <c r="F894" i="1"/>
  <c r="H894" i="1" s="1"/>
  <c r="F896" i="1"/>
  <c r="H896" i="1" s="1"/>
  <c r="F898" i="1"/>
  <c r="H898" i="1" s="1"/>
  <c r="F900" i="1"/>
  <c r="H900" i="1" s="1"/>
  <c r="F902" i="1"/>
  <c r="H902" i="1" s="1"/>
  <c r="F904" i="1"/>
  <c r="H904" i="1" s="1"/>
  <c r="F906" i="1"/>
  <c r="H906" i="1" s="1"/>
  <c r="F908" i="1"/>
  <c r="F910" i="1"/>
  <c r="H910" i="1" s="1"/>
  <c r="F912" i="1"/>
  <c r="H912" i="1" s="1"/>
  <c r="F914" i="1"/>
  <c r="H914" i="1" s="1"/>
  <c r="F916" i="1"/>
  <c r="H916" i="1" s="1"/>
  <c r="F918" i="1"/>
  <c r="H918" i="1" s="1"/>
  <c r="F920" i="1"/>
  <c r="H920" i="1" s="1"/>
  <c r="F922" i="1"/>
  <c r="H922" i="1" s="1"/>
  <c r="F924" i="1"/>
  <c r="F926" i="1"/>
  <c r="H926" i="1" s="1"/>
  <c r="F928" i="1"/>
  <c r="H928" i="1" s="1"/>
  <c r="F930" i="1"/>
  <c r="H930" i="1" s="1"/>
  <c r="F932" i="1"/>
  <c r="H932" i="1" s="1"/>
  <c r="F934" i="1"/>
  <c r="H934" i="1" s="1"/>
  <c r="F936" i="1"/>
  <c r="H936" i="1" s="1"/>
  <c r="F938" i="1"/>
  <c r="H938" i="1" s="1"/>
  <c r="F940" i="1"/>
  <c r="F942" i="1"/>
  <c r="H942" i="1" s="1"/>
  <c r="F944" i="1"/>
  <c r="H944" i="1" s="1"/>
  <c r="F946" i="1"/>
  <c r="H946" i="1" s="1"/>
  <c r="F948" i="1"/>
  <c r="H948" i="1" s="1"/>
  <c r="F950" i="1"/>
  <c r="H950" i="1" s="1"/>
  <c r="F952" i="1"/>
  <c r="H952" i="1" s="1"/>
  <c r="F954" i="1"/>
  <c r="H954" i="1" s="1"/>
  <c r="F956" i="1"/>
  <c r="F958" i="1"/>
  <c r="H958" i="1" s="1"/>
  <c r="F960" i="1"/>
  <c r="H960" i="1" s="1"/>
  <c r="F962" i="1"/>
  <c r="H962" i="1" s="1"/>
  <c r="F964" i="1"/>
  <c r="H964" i="1" s="1"/>
  <c r="F966" i="1"/>
  <c r="H966" i="1" s="1"/>
  <c r="F968" i="1"/>
  <c r="H968" i="1" s="1"/>
  <c r="F970" i="1"/>
  <c r="H970" i="1" s="1"/>
  <c r="F972" i="1"/>
  <c r="F974" i="1"/>
  <c r="H974" i="1" s="1"/>
  <c r="F976" i="1"/>
  <c r="H976" i="1" s="1"/>
  <c r="F978" i="1"/>
  <c r="H978" i="1" s="1"/>
  <c r="F980" i="1"/>
  <c r="H980" i="1" s="1"/>
  <c r="F982" i="1"/>
  <c r="H982" i="1" s="1"/>
  <c r="F984" i="1"/>
  <c r="H984" i="1" s="1"/>
  <c r="F986" i="1"/>
  <c r="H986" i="1" s="1"/>
  <c r="F988" i="1"/>
  <c r="F990" i="1"/>
  <c r="H990" i="1" s="1"/>
  <c r="F992" i="1"/>
  <c r="H992" i="1" s="1"/>
  <c r="F994" i="1"/>
  <c r="H994" i="1" s="1"/>
  <c r="F996" i="1"/>
  <c r="H996" i="1" s="1"/>
  <c r="F998" i="1"/>
  <c r="H998" i="1" s="1"/>
  <c r="F1000" i="1"/>
  <c r="H1000" i="1" s="1"/>
  <c r="F1002" i="1"/>
  <c r="H1002" i="1" s="1"/>
  <c r="F1004" i="1"/>
  <c r="F1006" i="1"/>
  <c r="H1006" i="1" s="1"/>
  <c r="F1008" i="1"/>
  <c r="H1008" i="1" s="1"/>
  <c r="F1010" i="1"/>
  <c r="H1010" i="1" s="1"/>
  <c r="G1012" i="1"/>
  <c r="H1012" i="1" s="1"/>
  <c r="F1014" i="1"/>
  <c r="H1014" i="1" s="1"/>
  <c r="F1016" i="1"/>
  <c r="H1016" i="1" s="1"/>
  <c r="F1018" i="1"/>
  <c r="H1018" i="1" s="1"/>
  <c r="F1020" i="1"/>
  <c r="H1020" i="1" s="1"/>
  <c r="F1022" i="1"/>
  <c r="H1022" i="1" s="1"/>
  <c r="F1024" i="1"/>
  <c r="F1026" i="1"/>
  <c r="H1026" i="1" s="1"/>
  <c r="F1028" i="1"/>
  <c r="H1028" i="1" s="1"/>
  <c r="F1030" i="1"/>
  <c r="H1030" i="1" s="1"/>
  <c r="G1032" i="1"/>
  <c r="H1032" i="1" s="1"/>
  <c r="F1034" i="1"/>
  <c r="H1034" i="1" s="1"/>
  <c r="F1040" i="1"/>
  <c r="H1040" i="1" s="1"/>
  <c r="F1042" i="1"/>
  <c r="H1042" i="1" s="1"/>
  <c r="F1048" i="1"/>
  <c r="H1048" i="1" s="1"/>
  <c r="F1050" i="1"/>
  <c r="H1050" i="1" s="1"/>
  <c r="F1056" i="1"/>
  <c r="F1058" i="1"/>
  <c r="H1058" i="1" s="1"/>
  <c r="F1064" i="1"/>
  <c r="H1064" i="1" s="1"/>
  <c r="F1066" i="1"/>
  <c r="H1066" i="1" s="1"/>
  <c r="F1072" i="1"/>
  <c r="H1072" i="1" s="1"/>
  <c r="F1074" i="1"/>
  <c r="H1074" i="1" s="1"/>
  <c r="F1080" i="1"/>
  <c r="H1080" i="1" s="1"/>
  <c r="F1082" i="1"/>
  <c r="H1082" i="1" s="1"/>
  <c r="F1088" i="1"/>
  <c r="F1090" i="1"/>
  <c r="H1090" i="1" s="1"/>
  <c r="F1096" i="1"/>
  <c r="H1096" i="1" s="1"/>
  <c r="F1098" i="1"/>
  <c r="H1098" i="1" s="1"/>
  <c r="F1104" i="1"/>
  <c r="H1104" i="1" s="1"/>
  <c r="F1106" i="1"/>
  <c r="H1106" i="1" s="1"/>
  <c r="F1112" i="1"/>
  <c r="H1112" i="1" s="1"/>
  <c r="F1114" i="1"/>
  <c r="H1114" i="1" s="1"/>
  <c r="F1120" i="1"/>
  <c r="F1122" i="1"/>
  <c r="H1122" i="1" s="1"/>
  <c r="F1128" i="1"/>
  <c r="H1128" i="1" s="1"/>
  <c r="F1130" i="1"/>
  <c r="H1130" i="1" s="1"/>
  <c r="F1136" i="1"/>
  <c r="H1136" i="1" s="1"/>
  <c r="F1138" i="1"/>
  <c r="H1138" i="1" s="1"/>
  <c r="F1144" i="1"/>
  <c r="H1144" i="1" s="1"/>
  <c r="G1146" i="1"/>
  <c r="H1146" i="1" s="1"/>
  <c r="F1152" i="1"/>
  <c r="H1152" i="1" s="1"/>
  <c r="F1154" i="1"/>
  <c r="H1154" i="1" s="1"/>
  <c r="F1160" i="1"/>
  <c r="H1160" i="1" s="1"/>
  <c r="G1162" i="1"/>
  <c r="H1162" i="1" s="1"/>
  <c r="G1164" i="1"/>
  <c r="H1164" i="1" s="1"/>
  <c r="F1166" i="1"/>
  <c r="H1166" i="1" s="1"/>
  <c r="G1168" i="1"/>
  <c r="H1168" i="1" s="1"/>
  <c r="G1170" i="1"/>
  <c r="H1170" i="1" s="1"/>
  <c r="G1172" i="1"/>
  <c r="H1172" i="1" s="1"/>
  <c r="G1174" i="1"/>
  <c r="H1174" i="1" s="1"/>
  <c r="G1176" i="1"/>
  <c r="H1176" i="1" s="1"/>
  <c r="G1178" i="1"/>
  <c r="H1178" i="1" s="1"/>
  <c r="G1180" i="1"/>
  <c r="H1180" i="1" s="1"/>
  <c r="G1182" i="1"/>
  <c r="H1182" i="1" s="1"/>
  <c r="G1184" i="1"/>
  <c r="H1184" i="1" s="1"/>
  <c r="G1186" i="1"/>
  <c r="H1186" i="1" s="1"/>
  <c r="G1188" i="1"/>
  <c r="H1188" i="1" s="1"/>
  <c r="G1190" i="1"/>
  <c r="H1190" i="1" s="1"/>
  <c r="G1192" i="1"/>
  <c r="H1192" i="1" s="1"/>
  <c r="G1194" i="1"/>
  <c r="H1194" i="1" s="1"/>
  <c r="G1196" i="1"/>
  <c r="H1196" i="1" s="1"/>
  <c r="G1198" i="1"/>
  <c r="H1198" i="1" s="1"/>
  <c r="G1200" i="1"/>
  <c r="H1200" i="1" s="1"/>
  <c r="G1202" i="1"/>
  <c r="H1202" i="1" s="1"/>
  <c r="G1204" i="1"/>
  <c r="H1204" i="1" s="1"/>
  <c r="G1206" i="1"/>
  <c r="H1206" i="1" s="1"/>
  <c r="G1208" i="1"/>
  <c r="H1208" i="1" s="1"/>
  <c r="G1210" i="1"/>
  <c r="H1210" i="1" s="1"/>
  <c r="G1212" i="1"/>
  <c r="H1212" i="1" s="1"/>
  <c r="G1214" i="1"/>
  <c r="H1214" i="1" s="1"/>
  <c r="G1216" i="1"/>
  <c r="H1216" i="1" s="1"/>
  <c r="G1218" i="1"/>
  <c r="H1218" i="1" s="1"/>
  <c r="G1220" i="1"/>
  <c r="H1220" i="1" s="1"/>
  <c r="G1222" i="1"/>
  <c r="H1222" i="1" s="1"/>
  <c r="G1224" i="1"/>
  <c r="H1224" i="1" s="1"/>
  <c r="G1226" i="1"/>
  <c r="H1226" i="1" s="1"/>
  <c r="G1230" i="1"/>
  <c r="H1230" i="1" s="1"/>
  <c r="G1232" i="1"/>
  <c r="H1232" i="1" s="1"/>
  <c r="G1234" i="1"/>
  <c r="H1234" i="1" s="1"/>
  <c r="F1236" i="1"/>
  <c r="H1236" i="1" s="1"/>
  <c r="G1238" i="1"/>
  <c r="H1238" i="1" s="1"/>
  <c r="G1240" i="1"/>
  <c r="H1240" i="1" s="1"/>
  <c r="G1242" i="1"/>
  <c r="H1242" i="1" s="1"/>
  <c r="G1244" i="1"/>
  <c r="H1244" i="1" s="1"/>
  <c r="G1250" i="1"/>
  <c r="H1250" i="1" s="1"/>
  <c r="G1252" i="1"/>
  <c r="H1252" i="1" s="1"/>
  <c r="G1258" i="1"/>
  <c r="H1258" i="1" s="1"/>
  <c r="G1260" i="1"/>
  <c r="H1260" i="1" s="1"/>
  <c r="G1266" i="1"/>
  <c r="H1266" i="1" s="1"/>
  <c r="G1268" i="1"/>
  <c r="H1268" i="1" s="1"/>
  <c r="G1274" i="1"/>
  <c r="H1274" i="1" s="1"/>
  <c r="G1276" i="1"/>
  <c r="H1276" i="1" s="1"/>
  <c r="G1284" i="1"/>
  <c r="H1284" i="1" s="1"/>
  <c r="G1290" i="1"/>
  <c r="H1290" i="1" s="1"/>
  <c r="G1292" i="1"/>
  <c r="H1292" i="1" s="1"/>
  <c r="G1298" i="1"/>
  <c r="H1298" i="1" s="1"/>
  <c r="G1300" i="1"/>
  <c r="H1300" i="1" s="1"/>
  <c r="G1306" i="1"/>
  <c r="H1306" i="1" s="1"/>
  <c r="G1308" i="1"/>
  <c r="H1308" i="1" s="1"/>
  <c r="F1314" i="1"/>
  <c r="H1314" i="1" s="1"/>
  <c r="F1316" i="1"/>
  <c r="H1316" i="1" s="1"/>
  <c r="F1322" i="1"/>
  <c r="H1322" i="1" s="1"/>
  <c r="F1324" i="1"/>
  <c r="H1324" i="1" s="1"/>
  <c r="F1330" i="1"/>
  <c r="H1330" i="1" s="1"/>
  <c r="F1332" i="1"/>
  <c r="H1332" i="1" s="1"/>
  <c r="F1338" i="1"/>
  <c r="H1338" i="1" s="1"/>
  <c r="F1340" i="1"/>
  <c r="H1340" i="1" s="1"/>
  <c r="F619" i="1"/>
  <c r="H619" i="1" s="1"/>
  <c r="F653" i="1"/>
  <c r="H653" i="1" s="1"/>
  <c r="F657" i="1"/>
  <c r="H657" i="1" s="1"/>
  <c r="F661" i="1"/>
  <c r="H661" i="1" s="1"/>
  <c r="F665" i="1"/>
  <c r="H665" i="1" s="1"/>
  <c r="F669" i="1"/>
  <c r="F717" i="1"/>
  <c r="H717" i="1" s="1"/>
  <c r="F721" i="1"/>
  <c r="H721" i="1" s="1"/>
  <c r="F725" i="1"/>
  <c r="H725" i="1" s="1"/>
  <c r="F729" i="1"/>
  <c r="H729" i="1" s="1"/>
  <c r="G733" i="1"/>
  <c r="H733" i="1" s="1"/>
  <c r="F735" i="1"/>
  <c r="F739" i="1"/>
  <c r="H739" i="1" s="1"/>
  <c r="F743" i="1"/>
  <c r="H743" i="1" s="1"/>
  <c r="F747" i="1"/>
  <c r="H747" i="1" s="1"/>
  <c r="F751" i="1"/>
  <c r="H751" i="1" s="1"/>
  <c r="G755" i="1"/>
  <c r="H755" i="1" s="1"/>
  <c r="F757" i="1"/>
  <c r="H757" i="1" s="1"/>
  <c r="F761" i="1"/>
  <c r="H761" i="1" s="1"/>
  <c r="F765" i="1"/>
  <c r="H765" i="1" s="1"/>
  <c r="F769" i="1"/>
  <c r="H769" i="1" s="1"/>
  <c r="F773" i="1"/>
  <c r="H773" i="1" s="1"/>
  <c r="F777" i="1"/>
  <c r="H777" i="1" s="1"/>
  <c r="F781" i="1"/>
  <c r="H781" i="1" s="1"/>
  <c r="F785" i="1"/>
  <c r="H785" i="1" s="1"/>
  <c r="F789" i="1"/>
  <c r="F797" i="1"/>
  <c r="H797" i="1" s="1"/>
  <c r="F839" i="1"/>
  <c r="F845" i="1"/>
  <c r="H845" i="1" s="1"/>
  <c r="F1038" i="1"/>
  <c r="H1038" i="1" s="1"/>
  <c r="F1046" i="1"/>
  <c r="H1046" i="1" s="1"/>
  <c r="F1052" i="1"/>
  <c r="H1052" i="1" s="1"/>
  <c r="F1062" i="1"/>
  <c r="H1062" i="1" s="1"/>
  <c r="F1068" i="1"/>
  <c r="F1086" i="1"/>
  <c r="H1086" i="1" s="1"/>
  <c r="F1092" i="1"/>
  <c r="F1110" i="1"/>
  <c r="H1110" i="1" s="1"/>
  <c r="F1116" i="1"/>
  <c r="H1116" i="1" s="1"/>
  <c r="G1126" i="1"/>
  <c r="H1126" i="1" s="1"/>
  <c r="F1134" i="1"/>
  <c r="H1134" i="1" s="1"/>
  <c r="F1140" i="1"/>
  <c r="H1140" i="1" s="1"/>
  <c r="F1148" i="1"/>
  <c r="H1148" i="1" s="1"/>
  <c r="F1158" i="1"/>
  <c r="H1158" i="1" s="1"/>
  <c r="G1270" i="1"/>
  <c r="G1272" i="1"/>
  <c r="H1272" i="1" s="1"/>
  <c r="G1278" i="1"/>
  <c r="G1286" i="1"/>
  <c r="H1286" i="1" s="1"/>
  <c r="G1288" i="1"/>
  <c r="G1294" i="1"/>
  <c r="H1294" i="1" s="1"/>
  <c r="G1296" i="1"/>
  <c r="G1302" i="1"/>
  <c r="H1302" i="1" s="1"/>
  <c r="F1304" i="1"/>
  <c r="H1304" i="1" s="1"/>
  <c r="F1320" i="1"/>
  <c r="H1320" i="1" s="1"/>
  <c r="F1326" i="1"/>
  <c r="H1326" i="1" s="1"/>
  <c r="F1336" i="1"/>
  <c r="H1336" i="1" s="1"/>
  <c r="F1342" i="1"/>
  <c r="H1342" i="1" s="1"/>
  <c r="G1347" i="1"/>
  <c r="H1347" i="1" s="1"/>
  <c r="F1349" i="1"/>
  <c r="F613" i="1"/>
  <c r="H613" i="1" s="1"/>
  <c r="F629" i="1"/>
  <c r="H629" i="1" s="1"/>
  <c r="F635" i="1"/>
  <c r="H635" i="1" s="1"/>
  <c r="F643" i="1"/>
  <c r="H643" i="1" s="1"/>
  <c r="F673" i="1"/>
  <c r="H673" i="1" s="1"/>
  <c r="F677" i="1"/>
  <c r="H677" i="1" s="1"/>
  <c r="F681" i="1"/>
  <c r="H681" i="1" s="1"/>
  <c r="F685" i="1"/>
  <c r="H685" i="1" s="1"/>
  <c r="F689" i="1"/>
  <c r="H689" i="1" s="1"/>
  <c r="F693" i="1"/>
  <c r="H693" i="1" s="1"/>
  <c r="F697" i="1"/>
  <c r="H697" i="1" s="1"/>
  <c r="F701" i="1"/>
  <c r="H701" i="1" s="1"/>
  <c r="F705" i="1"/>
  <c r="H705" i="1" s="1"/>
  <c r="F709" i="1"/>
  <c r="H709" i="1" s="1"/>
  <c r="F713" i="1"/>
  <c r="H713" i="1" s="1"/>
  <c r="F807" i="1"/>
  <c r="H807" i="1" s="1"/>
  <c r="F815" i="1"/>
  <c r="F823" i="1"/>
  <c r="H823" i="1" s="1"/>
  <c r="F829" i="1"/>
  <c r="H829" i="1" s="1"/>
  <c r="F1036" i="1"/>
  <c r="F1054" i="1"/>
  <c r="H1054" i="1" s="1"/>
  <c r="F1060" i="1"/>
  <c r="H1060" i="1" s="1"/>
  <c r="F1094" i="1"/>
  <c r="H1094" i="1" s="1"/>
  <c r="G1100" i="1"/>
  <c r="F1102" i="1"/>
  <c r="H1102" i="1" s="1"/>
  <c r="F1108" i="1"/>
  <c r="F1132" i="1"/>
  <c r="H1132" i="1" s="1"/>
  <c r="F1150" i="1"/>
  <c r="H1150" i="1" s="1"/>
  <c r="F1156" i="1"/>
  <c r="H1156" i="1" s="1"/>
  <c r="G1310" i="1"/>
  <c r="F1312" i="1"/>
  <c r="H1312" i="1" s="1"/>
  <c r="F1318" i="1"/>
  <c r="H1318" i="1" s="1"/>
  <c r="F1345" i="1"/>
  <c r="H1345" i="1" s="1"/>
  <c r="F1353" i="1"/>
  <c r="H1353" i="1" s="1"/>
  <c r="F1357" i="1"/>
  <c r="H1357" i="1" s="1"/>
  <c r="F1361" i="1"/>
  <c r="H1361" i="1" s="1"/>
  <c r="F1365" i="1"/>
  <c r="H1365" i="1" s="1"/>
  <c r="F1369" i="1"/>
  <c r="G1373" i="1"/>
  <c r="H1373" i="1" s="1"/>
  <c r="F1375" i="1"/>
  <c r="H1375" i="1" s="1"/>
  <c r="F1379" i="1"/>
  <c r="H1379" i="1" s="1"/>
  <c r="F1381" i="1"/>
  <c r="H1381" i="1" s="1"/>
  <c r="F1383" i="1"/>
  <c r="H1383" i="1" s="1"/>
  <c r="F1385" i="1"/>
  <c r="H1385" i="1" s="1"/>
  <c r="F1387" i="1"/>
  <c r="H1387" i="1" s="1"/>
  <c r="F1389" i="1"/>
  <c r="F1391" i="1"/>
  <c r="H1391" i="1" s="1"/>
  <c r="G17" i="1"/>
  <c r="F38" i="1"/>
  <c r="G54" i="1"/>
  <c r="G78" i="1"/>
  <c r="G95" i="1"/>
  <c r="G110" i="1"/>
  <c r="G118" i="1"/>
  <c r="F855" i="1"/>
  <c r="H855" i="1" s="1"/>
  <c r="F861" i="1"/>
  <c r="H861" i="1" s="1"/>
  <c r="F870" i="1"/>
  <c r="H870" i="1" s="1"/>
  <c r="F1044" i="1"/>
  <c r="H1044" i="1" s="1"/>
  <c r="F1070" i="1"/>
  <c r="G1076" i="1"/>
  <c r="H1076" i="1" s="1"/>
  <c r="F1078" i="1"/>
  <c r="H1078" i="1" s="1"/>
  <c r="F1084" i="1"/>
  <c r="H1084" i="1" s="1"/>
  <c r="F1118" i="1"/>
  <c r="F1124" i="1"/>
  <c r="H1124" i="1" s="1"/>
  <c r="F1142" i="1"/>
  <c r="G1246" i="1"/>
  <c r="H1246" i="1" s="1"/>
  <c r="G1248" i="1"/>
  <c r="H1248" i="1" s="1"/>
  <c r="G1254" i="1"/>
  <c r="H1254" i="1" s="1"/>
  <c r="G1256" i="1"/>
  <c r="H1256" i="1" s="1"/>
  <c r="G1262" i="1"/>
  <c r="H1262" i="1" s="1"/>
  <c r="G1264" i="1"/>
  <c r="H1264" i="1" s="1"/>
  <c r="F1328" i="1"/>
  <c r="H1328" i="1" s="1"/>
  <c r="F1334" i="1"/>
  <c r="H1334" i="1" s="1"/>
  <c r="F1351" i="1"/>
  <c r="H1351" i="1" s="1"/>
  <c r="F1355" i="1"/>
  <c r="H1355" i="1" s="1"/>
  <c r="F1359" i="1"/>
  <c r="H1359" i="1" s="1"/>
  <c r="F1363" i="1"/>
  <c r="H1363" i="1" s="1"/>
  <c r="F1367" i="1"/>
  <c r="H1367" i="1" s="1"/>
  <c r="F1371" i="1"/>
  <c r="H1371" i="1" s="1"/>
  <c r="F1377" i="1"/>
  <c r="H1377" i="1" s="1"/>
  <c r="G442" i="1"/>
  <c r="F441" i="1"/>
  <c r="G440" i="1"/>
  <c r="F439" i="1"/>
  <c r="G438" i="1"/>
  <c r="G437" i="1"/>
  <c r="G436" i="1"/>
  <c r="G435" i="1"/>
  <c r="G434" i="1"/>
  <c r="G433" i="1"/>
  <c r="F432" i="1"/>
  <c r="H432" i="1" s="1"/>
  <c r="G430" i="1"/>
  <c r="G428" i="1"/>
  <c r="G427" i="1"/>
  <c r="G426" i="1"/>
  <c r="G425" i="1"/>
  <c r="G424" i="1"/>
  <c r="G423" i="1"/>
  <c r="G422" i="1"/>
  <c r="G421" i="1"/>
  <c r="G420" i="1"/>
  <c r="G418" i="1"/>
  <c r="G417" i="1"/>
  <c r="G416" i="1"/>
  <c r="G414" i="1"/>
  <c r="H414" i="1" s="1"/>
  <c r="G413" i="1"/>
  <c r="G412" i="1"/>
  <c r="G409" i="1"/>
  <c r="H409" i="1" s="1"/>
  <c r="G408" i="1"/>
  <c r="G406" i="1"/>
  <c r="H406" i="1" s="1"/>
  <c r="G404" i="1"/>
  <c r="H404" i="1" s="1"/>
  <c r="G402" i="1"/>
  <c r="H402" i="1" s="1"/>
  <c r="G401" i="1"/>
  <c r="H401" i="1" s="1"/>
  <c r="G395" i="1"/>
  <c r="G386" i="1"/>
  <c r="G382" i="1"/>
  <c r="H382" i="1" s="1"/>
  <c r="G378" i="1"/>
  <c r="G376" i="1"/>
  <c r="G375" i="1"/>
  <c r="G372" i="1"/>
  <c r="G370" i="1"/>
  <c r="G364" i="1"/>
  <c r="G359" i="1"/>
  <c r="G355" i="1"/>
  <c r="G353" i="1"/>
  <c r="F352" i="1"/>
  <c r="F350" i="1"/>
  <c r="G349" i="1"/>
  <c r="F348" i="1"/>
  <c r="H348" i="1" s="1"/>
  <c r="F346" i="1"/>
  <c r="G345" i="1"/>
  <c r="F344" i="1"/>
  <c r="F342" i="1"/>
  <c r="G341" i="1"/>
  <c r="F338" i="1"/>
  <c r="G337" i="1"/>
  <c r="F336" i="1"/>
  <c r="G335" i="1"/>
  <c r="F334" i="1"/>
  <c r="G333" i="1"/>
  <c r="F332" i="1"/>
  <c r="G331" i="1"/>
  <c r="F330" i="1"/>
  <c r="G329" i="1"/>
  <c r="F328" i="1"/>
  <c r="G327" i="1"/>
  <c r="F326" i="1"/>
  <c r="G325" i="1"/>
  <c r="F324" i="1"/>
  <c r="G323" i="1"/>
  <c r="F322" i="1"/>
  <c r="G321" i="1"/>
  <c r="G319" i="1"/>
  <c r="F318" i="1"/>
  <c r="G317" i="1"/>
  <c r="F316" i="1"/>
  <c r="G315" i="1"/>
  <c r="G313" i="1"/>
  <c r="F312" i="1"/>
  <c r="F308" i="1"/>
  <c r="G305" i="1"/>
  <c r="F304" i="1"/>
  <c r="G301" i="1"/>
  <c r="F300" i="1"/>
  <c r="G297" i="1"/>
  <c r="F296" i="1"/>
  <c r="G293" i="1"/>
  <c r="F292" i="1"/>
  <c r="G289" i="1"/>
  <c r="G285" i="1"/>
  <c r="G281" i="1"/>
  <c r="G277" i="1"/>
  <c r="G134" i="1"/>
  <c r="G133" i="1"/>
  <c r="G130" i="1"/>
  <c r="H130" i="1" s="1"/>
  <c r="G129" i="1"/>
  <c r="G127" i="1"/>
  <c r="G123" i="1"/>
  <c r="G122" i="1"/>
  <c r="G121" i="1"/>
  <c r="G120" i="1"/>
  <c r="G117" i="1"/>
  <c r="G116" i="1"/>
  <c r="G115" i="1"/>
  <c r="G114" i="1"/>
  <c r="G101" i="1"/>
  <c r="G99" i="1"/>
  <c r="G37" i="1"/>
  <c r="F35" i="1"/>
  <c r="G22" i="1"/>
  <c r="G21" i="1"/>
  <c r="G429" i="1"/>
  <c r="G419" i="1"/>
  <c r="G351" i="1"/>
  <c r="G343" i="1"/>
  <c r="G339" i="1"/>
  <c r="G53" i="1"/>
  <c r="G399" i="1"/>
  <c r="F398" i="1"/>
  <c r="G394" i="1"/>
  <c r="G392" i="1"/>
  <c r="G390" i="1"/>
  <c r="G385" i="1"/>
  <c r="G383" i="1"/>
  <c r="G379" i="1"/>
  <c r="G366" i="1"/>
  <c r="G362" i="1"/>
  <c r="H362" i="1" s="1"/>
  <c r="G361" i="1"/>
  <c r="G357" i="1"/>
  <c r="G356" i="1"/>
  <c r="G311" i="1"/>
  <c r="G307" i="1"/>
  <c r="G306" i="1"/>
  <c r="G302" i="1"/>
  <c r="G298" i="1"/>
  <c r="G295" i="1"/>
  <c r="G294" i="1"/>
  <c r="G291" i="1"/>
  <c r="G290" i="1"/>
  <c r="G287" i="1"/>
  <c r="G286" i="1"/>
  <c r="G283" i="1"/>
  <c r="G282" i="1"/>
  <c r="G279" i="1"/>
  <c r="G273" i="1"/>
  <c r="G261" i="1"/>
  <c r="G253" i="1"/>
  <c r="G252" i="1"/>
  <c r="G250" i="1"/>
  <c r="G248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2" i="1"/>
  <c r="F210" i="1"/>
  <c r="G209" i="1"/>
  <c r="G207" i="1"/>
  <c r="G206" i="1"/>
  <c r="G205" i="1"/>
  <c r="F204" i="1"/>
  <c r="G202" i="1"/>
  <c r="H202" i="1" s="1"/>
  <c r="G198" i="1"/>
  <c r="H198" i="1" s="1"/>
  <c r="G194" i="1"/>
  <c r="H194" i="1" s="1"/>
  <c r="G190" i="1"/>
  <c r="G183" i="1"/>
  <c r="H183" i="1" s="1"/>
  <c r="G181" i="1"/>
  <c r="F180" i="1"/>
  <c r="F178" i="1"/>
  <c r="G177" i="1"/>
  <c r="G176" i="1"/>
  <c r="G175" i="1"/>
  <c r="H175" i="1" s="1"/>
  <c r="G174" i="1"/>
  <c r="H174" i="1" s="1"/>
  <c r="F171" i="1"/>
  <c r="G170" i="1"/>
  <c r="H170" i="1" s="1"/>
  <c r="G168" i="1"/>
  <c r="H168" i="1" s="1"/>
  <c r="G167" i="1"/>
  <c r="H167" i="1" s="1"/>
  <c r="G162" i="1"/>
  <c r="H162" i="1" s="1"/>
  <c r="G161" i="1"/>
  <c r="H161" i="1" s="1"/>
  <c r="G160" i="1"/>
  <c r="H160" i="1" s="1"/>
  <c r="G158" i="1"/>
  <c r="G157" i="1"/>
  <c r="F156" i="1"/>
  <c r="G155" i="1"/>
  <c r="G154" i="1"/>
  <c r="G153" i="1"/>
  <c r="G152" i="1"/>
  <c r="G147" i="1"/>
  <c r="H147" i="1" s="1"/>
  <c r="G146" i="1"/>
  <c r="H146" i="1" s="1"/>
  <c r="G143" i="1"/>
  <c r="H143" i="1" s="1"/>
  <c r="F140" i="1"/>
  <c r="G139" i="1"/>
  <c r="H139" i="1" s="1"/>
  <c r="G138" i="1"/>
  <c r="H138" i="1" s="1"/>
  <c r="G137" i="1"/>
  <c r="G135" i="1"/>
  <c r="G132" i="1"/>
  <c r="G131" i="1"/>
  <c r="G126" i="1"/>
  <c r="G125" i="1"/>
  <c r="G109" i="1"/>
  <c r="G108" i="1"/>
  <c r="G107" i="1"/>
  <c r="G93" i="1"/>
  <c r="G75" i="1"/>
  <c r="G59" i="1"/>
  <c r="G45" i="1"/>
  <c r="G43" i="1"/>
  <c r="F42" i="1"/>
  <c r="G29" i="1"/>
  <c r="G28" i="1"/>
  <c r="G27" i="1"/>
  <c r="G15" i="1"/>
  <c r="G8" i="1"/>
  <c r="G1392" i="1"/>
  <c r="H1392" i="1" s="1"/>
  <c r="G1388" i="1"/>
  <c r="H1388" i="1" s="1"/>
  <c r="G1386" i="1"/>
  <c r="H1386" i="1" s="1"/>
  <c r="F1384" i="1"/>
  <c r="H1384" i="1" s="1"/>
  <c r="G1382" i="1"/>
  <c r="H1382" i="1" s="1"/>
  <c r="F1380" i="1"/>
  <c r="H1380" i="1" s="1"/>
  <c r="F1333" i="1"/>
  <c r="H1333" i="1" s="1"/>
  <c r="F1331" i="1"/>
  <c r="H1331" i="1" s="1"/>
  <c r="F1267" i="1"/>
  <c r="H1267" i="1" s="1"/>
  <c r="G1261" i="1"/>
  <c r="H1261" i="1" s="1"/>
  <c r="G1259" i="1"/>
  <c r="H1259" i="1" s="1"/>
  <c r="G1253" i="1"/>
  <c r="H1253" i="1" s="1"/>
  <c r="G1251" i="1"/>
  <c r="H1251" i="1" s="1"/>
  <c r="G1245" i="1"/>
  <c r="H1245" i="1" s="1"/>
  <c r="G1243" i="1"/>
  <c r="H1243" i="1" s="1"/>
  <c r="G1239" i="1"/>
  <c r="H1239" i="1" s="1"/>
  <c r="G1237" i="1"/>
  <c r="H1237" i="1" s="1"/>
  <c r="F1197" i="1"/>
  <c r="H1197" i="1" s="1"/>
  <c r="G1185" i="1"/>
  <c r="H1185" i="1" s="1"/>
  <c r="G1181" i="1"/>
  <c r="H1181" i="1" s="1"/>
  <c r="G1177" i="1"/>
  <c r="H1177" i="1" s="1"/>
  <c r="G1173" i="1"/>
  <c r="H1173" i="1" s="1"/>
  <c r="F1145" i="1"/>
  <c r="H1145" i="1" s="1"/>
  <c r="F1121" i="1"/>
  <c r="H1121" i="1" s="1"/>
  <c r="F1081" i="1"/>
  <c r="H1081" i="1" s="1"/>
  <c r="G1075" i="1"/>
  <c r="H1075" i="1" s="1"/>
  <c r="F1073" i="1"/>
  <c r="H1073" i="1" s="1"/>
  <c r="F1043" i="1"/>
  <c r="H1043" i="1" s="1"/>
  <c r="F1011" i="1"/>
  <c r="H1011" i="1" s="1"/>
  <c r="F1009" i="1"/>
  <c r="H1009" i="1" s="1"/>
  <c r="F1007" i="1"/>
  <c r="H1007" i="1" s="1"/>
  <c r="F1005" i="1"/>
  <c r="H1005" i="1" s="1"/>
  <c r="F1003" i="1"/>
  <c r="H1003" i="1" s="1"/>
  <c r="F1001" i="1"/>
  <c r="H1001" i="1" s="1"/>
  <c r="F999" i="1"/>
  <c r="H999" i="1" s="1"/>
  <c r="F997" i="1"/>
  <c r="H997" i="1" s="1"/>
  <c r="F995" i="1"/>
  <c r="H995" i="1" s="1"/>
  <c r="F963" i="1"/>
  <c r="H963" i="1" s="1"/>
  <c r="F961" i="1"/>
  <c r="H961" i="1" s="1"/>
  <c r="F959" i="1"/>
  <c r="H959" i="1" s="1"/>
  <c r="F957" i="1"/>
  <c r="H957" i="1" s="1"/>
  <c r="F955" i="1"/>
  <c r="H955" i="1" s="1"/>
  <c r="F953" i="1"/>
  <c r="H953" i="1" s="1"/>
  <c r="F951" i="1"/>
  <c r="H951" i="1" s="1"/>
  <c r="F949" i="1"/>
  <c r="H949" i="1" s="1"/>
  <c r="F947" i="1"/>
  <c r="H947" i="1" s="1"/>
  <c r="F945" i="1"/>
  <c r="H945" i="1" s="1"/>
  <c r="F943" i="1"/>
  <c r="H943" i="1" s="1"/>
  <c r="F941" i="1"/>
  <c r="H941" i="1" s="1"/>
  <c r="F939" i="1"/>
  <c r="H939" i="1" s="1"/>
  <c r="F881" i="1"/>
  <c r="H881" i="1" s="1"/>
  <c r="F879" i="1"/>
  <c r="H879" i="1" s="1"/>
  <c r="F877" i="1"/>
  <c r="H877" i="1" s="1"/>
  <c r="F875" i="1"/>
  <c r="H875" i="1" s="1"/>
  <c r="F873" i="1"/>
  <c r="H873" i="1" s="1"/>
  <c r="F860" i="1"/>
  <c r="H860" i="1" s="1"/>
  <c r="F858" i="1"/>
  <c r="H858" i="1" s="1"/>
  <c r="G112" i="1"/>
  <c r="G111" i="1"/>
  <c r="G105" i="1"/>
  <c r="G104" i="1"/>
  <c r="G103" i="1"/>
  <c r="G98" i="1"/>
  <c r="G97" i="1"/>
  <c r="G96" i="1"/>
  <c r="G90" i="1"/>
  <c r="G88" i="1"/>
  <c r="G87" i="1"/>
  <c r="G80" i="1"/>
  <c r="G73" i="1"/>
  <c r="G57" i="1"/>
  <c r="G56" i="1"/>
  <c r="G55" i="1"/>
  <c r="G49" i="1"/>
  <c r="G47" i="1"/>
  <c r="G41" i="1"/>
  <c r="F40" i="1"/>
  <c r="G39" i="1"/>
  <c r="G33" i="1"/>
  <c r="G31" i="1"/>
  <c r="G25" i="1"/>
  <c r="G24" i="1"/>
  <c r="G23" i="1"/>
  <c r="G20" i="1"/>
  <c r="G19" i="1"/>
  <c r="F18" i="1"/>
  <c r="G11" i="1"/>
  <c r="F1317" i="1"/>
  <c r="H1317" i="1" s="1"/>
  <c r="F1315" i="1"/>
  <c r="H1315" i="1" s="1"/>
  <c r="F1155" i="1"/>
  <c r="H1155" i="1" s="1"/>
  <c r="F1153" i="1"/>
  <c r="H1153" i="1" s="1"/>
  <c r="F1131" i="1"/>
  <c r="H1131" i="1" s="1"/>
  <c r="F1129" i="1"/>
  <c r="H1129" i="1" s="1"/>
  <c r="F1107" i="1"/>
  <c r="H1107" i="1" s="1"/>
  <c r="F1105" i="1"/>
  <c r="H1105" i="1" s="1"/>
  <c r="F1099" i="1"/>
  <c r="H1099" i="1" s="1"/>
  <c r="F1097" i="1"/>
  <c r="H1097" i="1" s="1"/>
  <c r="F1059" i="1"/>
  <c r="H1059" i="1" s="1"/>
  <c r="F1057" i="1"/>
  <c r="H1057" i="1" s="1"/>
  <c r="F1035" i="1"/>
  <c r="H1035" i="1" s="1"/>
  <c r="F1033" i="1"/>
  <c r="H1033" i="1" s="1"/>
  <c r="G923" i="1"/>
  <c r="H923" i="1" s="1"/>
  <c r="F921" i="1"/>
  <c r="H921" i="1" s="1"/>
  <c r="F919" i="1"/>
  <c r="H919" i="1" s="1"/>
  <c r="F917" i="1"/>
  <c r="H917" i="1" s="1"/>
  <c r="F915" i="1"/>
  <c r="H915" i="1" s="1"/>
  <c r="F913" i="1"/>
  <c r="H913" i="1" s="1"/>
  <c r="F911" i="1"/>
  <c r="H911" i="1" s="1"/>
  <c r="F909" i="1"/>
  <c r="H909" i="1" s="1"/>
  <c r="F907" i="1"/>
  <c r="H907" i="1" s="1"/>
  <c r="F905" i="1"/>
  <c r="H905" i="1" s="1"/>
  <c r="F903" i="1"/>
  <c r="H903" i="1" s="1"/>
  <c r="F828" i="1"/>
  <c r="H828" i="1" s="1"/>
  <c r="F826" i="1"/>
  <c r="H826" i="1" s="1"/>
  <c r="H645" i="1"/>
  <c r="F640" i="1"/>
  <c r="H640" i="1" s="1"/>
  <c r="F632" i="1"/>
  <c r="H632" i="1" s="1"/>
  <c r="F602" i="1"/>
  <c r="F600" i="1"/>
  <c r="F598" i="1"/>
  <c r="F596" i="1"/>
  <c r="F594" i="1"/>
  <c r="F592" i="1"/>
  <c r="F590" i="1"/>
  <c r="F588" i="1"/>
  <c r="F586" i="1"/>
  <c r="F582" i="1"/>
  <c r="F580" i="1"/>
  <c r="H580" i="1" s="1"/>
  <c r="F578" i="1"/>
  <c r="F576" i="1"/>
  <c r="H576" i="1" s="1"/>
  <c r="F574" i="1"/>
  <c r="F572" i="1"/>
  <c r="H572" i="1" s="1"/>
  <c r="F570" i="1"/>
  <c r="F568" i="1"/>
  <c r="H568" i="1" s="1"/>
  <c r="F566" i="1"/>
  <c r="F564" i="1"/>
  <c r="H564" i="1" s="1"/>
  <c r="F562" i="1"/>
  <c r="F560" i="1"/>
  <c r="H560" i="1" s="1"/>
  <c r="F558" i="1"/>
  <c r="F1378" i="1"/>
  <c r="H1378" i="1" s="1"/>
  <c r="F1376" i="1"/>
  <c r="H1376" i="1" s="1"/>
  <c r="F1374" i="1"/>
  <c r="F1372" i="1"/>
  <c r="H1372" i="1" s="1"/>
  <c r="F1370" i="1"/>
  <c r="H1370" i="1" s="1"/>
  <c r="F1368" i="1"/>
  <c r="H1368" i="1" s="1"/>
  <c r="F1366" i="1"/>
  <c r="F1364" i="1"/>
  <c r="H1364" i="1" s="1"/>
  <c r="F1362" i="1"/>
  <c r="H1362" i="1" s="1"/>
  <c r="F1360" i="1"/>
  <c r="H1360" i="1" s="1"/>
  <c r="F1358" i="1"/>
  <c r="F1356" i="1"/>
  <c r="H1356" i="1" s="1"/>
  <c r="F1354" i="1"/>
  <c r="H1354" i="1" s="1"/>
  <c r="F1352" i="1"/>
  <c r="H1352" i="1" s="1"/>
  <c r="F1339" i="1"/>
  <c r="H1339" i="1" s="1"/>
  <c r="F1323" i="1"/>
  <c r="H1323" i="1" s="1"/>
  <c r="G1285" i="1"/>
  <c r="H1285" i="1" s="1"/>
  <c r="G1277" i="1"/>
  <c r="H1277" i="1" s="1"/>
  <c r="G1269" i="1"/>
  <c r="H1269" i="1" s="1"/>
  <c r="G1233" i="1"/>
  <c r="H1233" i="1" s="1"/>
  <c r="G1227" i="1"/>
  <c r="H1227" i="1" s="1"/>
  <c r="G1223" i="1"/>
  <c r="H1223" i="1" s="1"/>
  <c r="G1219" i="1"/>
  <c r="H1219" i="1" s="1"/>
  <c r="G1215" i="1"/>
  <c r="H1215" i="1" s="1"/>
  <c r="G1211" i="1"/>
  <c r="H1211" i="1" s="1"/>
  <c r="G1207" i="1"/>
  <c r="H1207" i="1" s="1"/>
  <c r="G1203" i="1"/>
  <c r="H1203" i="1" s="1"/>
  <c r="G1199" i="1"/>
  <c r="H1199" i="1" s="1"/>
  <c r="G1163" i="1"/>
  <c r="H1163" i="1" s="1"/>
  <c r="F1147" i="1"/>
  <c r="H1147" i="1" s="1"/>
  <c r="F1137" i="1"/>
  <c r="H1137" i="1" s="1"/>
  <c r="F1113" i="1"/>
  <c r="H1113" i="1" s="1"/>
  <c r="F1089" i="1"/>
  <c r="H1089" i="1" s="1"/>
  <c r="F1065" i="1"/>
  <c r="H1065" i="1" s="1"/>
  <c r="F1049" i="1"/>
  <c r="H1049" i="1" s="1"/>
  <c r="F1031" i="1"/>
  <c r="H1031" i="1" s="1"/>
  <c r="F1029" i="1"/>
  <c r="F1027" i="1"/>
  <c r="H1027" i="1" s="1"/>
  <c r="F1025" i="1"/>
  <c r="H1025" i="1" s="1"/>
  <c r="F1023" i="1"/>
  <c r="H1023" i="1" s="1"/>
  <c r="F1021" i="1"/>
  <c r="F1019" i="1"/>
  <c r="H1019" i="1" s="1"/>
  <c r="F1017" i="1"/>
  <c r="H1017" i="1" s="1"/>
  <c r="F1015" i="1"/>
  <c r="H1015" i="1" s="1"/>
  <c r="F1013" i="1"/>
  <c r="G993" i="1"/>
  <c r="H993" i="1" s="1"/>
  <c r="F991" i="1"/>
  <c r="H991" i="1" s="1"/>
  <c r="F989" i="1"/>
  <c r="H989" i="1" s="1"/>
  <c r="F987" i="1"/>
  <c r="F985" i="1"/>
  <c r="H985" i="1" s="1"/>
  <c r="F983" i="1"/>
  <c r="H983" i="1" s="1"/>
  <c r="F981" i="1"/>
  <c r="H981" i="1" s="1"/>
  <c r="F979" i="1"/>
  <c r="F977" i="1"/>
  <c r="H977" i="1" s="1"/>
  <c r="F975" i="1"/>
  <c r="H975" i="1" s="1"/>
  <c r="F973" i="1"/>
  <c r="H973" i="1" s="1"/>
  <c r="F971" i="1"/>
  <c r="F969" i="1"/>
  <c r="H969" i="1" s="1"/>
  <c r="F967" i="1"/>
  <c r="H967" i="1" s="1"/>
  <c r="G937" i="1"/>
  <c r="H937" i="1" s="1"/>
  <c r="F935" i="1"/>
  <c r="F933" i="1"/>
  <c r="H933" i="1" s="1"/>
  <c r="F931" i="1"/>
  <c r="H931" i="1" s="1"/>
  <c r="F929" i="1"/>
  <c r="H929" i="1" s="1"/>
  <c r="F927" i="1"/>
  <c r="F925" i="1"/>
  <c r="H925" i="1" s="1"/>
  <c r="F899" i="1"/>
  <c r="H899" i="1" s="1"/>
  <c r="F897" i="1"/>
  <c r="H897" i="1" s="1"/>
  <c r="F895" i="1"/>
  <c r="H895" i="1" s="1"/>
  <c r="F893" i="1"/>
  <c r="F891" i="1"/>
  <c r="H891" i="1" s="1"/>
  <c r="F889" i="1"/>
  <c r="H889" i="1" s="1"/>
  <c r="F887" i="1"/>
  <c r="H887" i="1" s="1"/>
  <c r="F885" i="1"/>
  <c r="F883" i="1"/>
  <c r="H883" i="1" s="1"/>
  <c r="F842" i="1"/>
  <c r="H842" i="1" s="1"/>
  <c r="F794" i="1"/>
  <c r="H794" i="1" s="1"/>
  <c r="H771" i="1"/>
  <c r="H737" i="1"/>
  <c r="H655" i="1"/>
  <c r="F1350" i="1"/>
  <c r="H1350" i="1" s="1"/>
  <c r="F1348" i="1"/>
  <c r="H1348" i="1" s="1"/>
  <c r="F1346" i="1"/>
  <c r="F1344" i="1"/>
  <c r="H1344" i="1" s="1"/>
  <c r="F1343" i="1"/>
  <c r="H1343" i="1" s="1"/>
  <c r="F1337" i="1"/>
  <c r="H1337" i="1" s="1"/>
  <c r="F1335" i="1"/>
  <c r="H1335" i="1" s="1"/>
  <c r="F1327" i="1"/>
  <c r="H1327" i="1" s="1"/>
  <c r="G1321" i="1"/>
  <c r="H1321" i="1" s="1"/>
  <c r="F1319" i="1"/>
  <c r="H1319" i="1" s="1"/>
  <c r="G1311" i="1"/>
  <c r="H1311" i="1" s="1"/>
  <c r="G1305" i="1"/>
  <c r="H1305" i="1" s="1"/>
  <c r="G1303" i="1"/>
  <c r="H1303" i="1" s="1"/>
  <c r="G1297" i="1"/>
  <c r="H1297" i="1" s="1"/>
  <c r="G1295" i="1"/>
  <c r="H1295" i="1" s="1"/>
  <c r="H1291" i="1"/>
  <c r="G1289" i="1"/>
  <c r="H1289" i="1" s="1"/>
  <c r="G1287" i="1"/>
  <c r="H1287" i="1" s="1"/>
  <c r="H1282" i="1"/>
  <c r="G1281" i="1"/>
  <c r="H1281" i="1" s="1"/>
  <c r="G1279" i="1"/>
  <c r="H1279" i="1" s="1"/>
  <c r="G1271" i="1"/>
  <c r="H1271" i="1" s="1"/>
  <c r="G1265" i="1"/>
  <c r="H1265" i="1" s="1"/>
  <c r="G1257" i="1"/>
  <c r="H1257" i="1" s="1"/>
  <c r="G1247" i="1"/>
  <c r="H1247" i="1" s="1"/>
  <c r="H1228" i="1"/>
  <c r="F1157" i="1"/>
  <c r="H1157" i="1" s="1"/>
  <c r="F1151" i="1"/>
  <c r="H1151" i="1" s="1"/>
  <c r="F1149" i="1"/>
  <c r="H1149" i="1" s="1"/>
  <c r="F1141" i="1"/>
  <c r="H1141" i="1" s="1"/>
  <c r="F1133" i="1"/>
  <c r="H1133" i="1" s="1"/>
  <c r="F1127" i="1"/>
  <c r="H1127" i="1" s="1"/>
  <c r="F1125" i="1"/>
  <c r="H1125" i="1" s="1"/>
  <c r="H1120" i="1"/>
  <c r="F1119" i="1"/>
  <c r="H1119" i="1" s="1"/>
  <c r="F1117" i="1"/>
  <c r="H1117" i="1" s="1"/>
  <c r="F1111" i="1"/>
  <c r="H1111" i="1" s="1"/>
  <c r="F1109" i="1"/>
  <c r="H1109" i="1" s="1"/>
  <c r="F1103" i="1"/>
  <c r="H1103" i="1" s="1"/>
  <c r="F1101" i="1"/>
  <c r="H1101" i="1" s="1"/>
  <c r="F1095" i="1"/>
  <c r="H1095" i="1" s="1"/>
  <c r="F1093" i="1"/>
  <c r="H1093" i="1" s="1"/>
  <c r="H1088" i="1"/>
  <c r="F1087" i="1"/>
  <c r="H1087" i="1" s="1"/>
  <c r="F1085" i="1"/>
  <c r="H1085" i="1" s="1"/>
  <c r="F1079" i="1"/>
  <c r="H1079" i="1" s="1"/>
  <c r="F1077" i="1"/>
  <c r="H1077" i="1" s="1"/>
  <c r="G1071" i="1"/>
  <c r="H1071" i="1" s="1"/>
  <c r="F1069" i="1"/>
  <c r="H1069" i="1" s="1"/>
  <c r="F1063" i="1"/>
  <c r="H1063" i="1" s="1"/>
  <c r="F1061" i="1"/>
  <c r="H1061" i="1" s="1"/>
  <c r="H1056" i="1"/>
  <c r="G1055" i="1"/>
  <c r="H1055" i="1" s="1"/>
  <c r="F1053" i="1"/>
  <c r="H1053" i="1" s="1"/>
  <c r="F1047" i="1"/>
  <c r="H1047" i="1" s="1"/>
  <c r="F1045" i="1"/>
  <c r="H1045" i="1" s="1"/>
  <c r="F1039" i="1"/>
  <c r="H1039" i="1" s="1"/>
  <c r="F1037" i="1"/>
  <c r="H1037" i="1" s="1"/>
  <c r="H1024" i="1"/>
  <c r="H1004" i="1"/>
  <c r="H988" i="1"/>
  <c r="H972" i="1"/>
  <c r="H956" i="1"/>
  <c r="F866" i="1"/>
  <c r="H866" i="1" s="1"/>
  <c r="F850" i="1"/>
  <c r="H850" i="1" s="1"/>
  <c r="F834" i="1"/>
  <c r="H834" i="1" s="1"/>
  <c r="F820" i="1"/>
  <c r="H820" i="1" s="1"/>
  <c r="F810" i="1"/>
  <c r="H810" i="1" s="1"/>
  <c r="F802" i="1"/>
  <c r="H802" i="1" s="1"/>
  <c r="H735" i="1"/>
  <c r="H669" i="1"/>
  <c r="F648" i="1"/>
  <c r="H648" i="1" s="1"/>
  <c r="F624" i="1"/>
  <c r="H624" i="1" s="1"/>
  <c r="F539" i="1"/>
  <c r="H539" i="1" s="1"/>
  <c r="F871" i="1"/>
  <c r="H871" i="1" s="1"/>
  <c r="F856" i="1"/>
  <c r="H856" i="1" s="1"/>
  <c r="F854" i="1"/>
  <c r="H854" i="1" s="1"/>
  <c r="F846" i="1"/>
  <c r="H846" i="1" s="1"/>
  <c r="G840" i="1"/>
  <c r="F838" i="1"/>
  <c r="H838" i="1" s="1"/>
  <c r="F830" i="1"/>
  <c r="H830" i="1" s="1"/>
  <c r="F822" i="1"/>
  <c r="H822" i="1" s="1"/>
  <c r="F816" i="1"/>
  <c r="H816" i="1" s="1"/>
  <c r="F814" i="1"/>
  <c r="H814" i="1" s="1"/>
  <c r="F806" i="1"/>
  <c r="H806" i="1" s="1"/>
  <c r="F800" i="1"/>
  <c r="H800" i="1" s="1"/>
  <c r="F798" i="1"/>
  <c r="H798" i="1" s="1"/>
  <c r="F792" i="1"/>
  <c r="H792" i="1" s="1"/>
  <c r="F790" i="1"/>
  <c r="H790" i="1" s="1"/>
  <c r="F788" i="1"/>
  <c r="H788" i="1" s="1"/>
  <c r="F786" i="1"/>
  <c r="H786" i="1" s="1"/>
  <c r="F784" i="1"/>
  <c r="H784" i="1" s="1"/>
  <c r="F782" i="1"/>
  <c r="F780" i="1"/>
  <c r="H780" i="1" s="1"/>
  <c r="F778" i="1"/>
  <c r="H778" i="1" s="1"/>
  <c r="F776" i="1"/>
  <c r="H776" i="1" s="1"/>
  <c r="F774" i="1"/>
  <c r="F772" i="1"/>
  <c r="H772" i="1" s="1"/>
  <c r="F770" i="1"/>
  <c r="H770" i="1" s="1"/>
  <c r="F768" i="1"/>
  <c r="H768" i="1" s="1"/>
  <c r="F766" i="1"/>
  <c r="F764" i="1"/>
  <c r="H764" i="1" s="1"/>
  <c r="F762" i="1"/>
  <c r="H762" i="1" s="1"/>
  <c r="F760" i="1"/>
  <c r="H760" i="1" s="1"/>
  <c r="F758" i="1"/>
  <c r="F756" i="1"/>
  <c r="H756" i="1" s="1"/>
  <c r="F754" i="1"/>
  <c r="H754" i="1" s="1"/>
  <c r="F752" i="1"/>
  <c r="H752" i="1" s="1"/>
  <c r="F750" i="1"/>
  <c r="F748" i="1"/>
  <c r="H748" i="1" s="1"/>
  <c r="F746" i="1"/>
  <c r="H746" i="1" s="1"/>
  <c r="F744" i="1"/>
  <c r="H744" i="1" s="1"/>
  <c r="F742" i="1"/>
  <c r="F740" i="1"/>
  <c r="H740" i="1" s="1"/>
  <c r="F738" i="1"/>
  <c r="H738" i="1" s="1"/>
  <c r="F736" i="1"/>
  <c r="H736" i="1" s="1"/>
  <c r="F734" i="1"/>
  <c r="F732" i="1"/>
  <c r="H732" i="1" s="1"/>
  <c r="F730" i="1"/>
  <c r="H730" i="1" s="1"/>
  <c r="F728" i="1"/>
  <c r="H728" i="1" s="1"/>
  <c r="F726" i="1"/>
  <c r="F724" i="1"/>
  <c r="H724" i="1" s="1"/>
  <c r="F722" i="1"/>
  <c r="F720" i="1"/>
  <c r="H720" i="1" s="1"/>
  <c r="F718" i="1"/>
  <c r="F716" i="1"/>
  <c r="H716" i="1" s="1"/>
  <c r="F712" i="1"/>
  <c r="H712" i="1" s="1"/>
  <c r="F710" i="1"/>
  <c r="F708" i="1"/>
  <c r="H708" i="1" s="1"/>
  <c r="F706" i="1"/>
  <c r="H706" i="1" s="1"/>
  <c r="F704" i="1"/>
  <c r="H704" i="1" s="1"/>
  <c r="F702" i="1"/>
  <c r="F700" i="1"/>
  <c r="H700" i="1" s="1"/>
  <c r="F698" i="1"/>
  <c r="H698" i="1" s="1"/>
  <c r="G696" i="1"/>
  <c r="H696" i="1" s="1"/>
  <c r="F694" i="1"/>
  <c r="F692" i="1"/>
  <c r="H692" i="1" s="1"/>
  <c r="F690" i="1"/>
  <c r="H690" i="1" s="1"/>
  <c r="F688" i="1"/>
  <c r="H688" i="1" s="1"/>
  <c r="F686" i="1"/>
  <c r="F684" i="1"/>
  <c r="H684" i="1" s="1"/>
  <c r="F682" i="1"/>
  <c r="H682" i="1" s="1"/>
  <c r="F680" i="1"/>
  <c r="H680" i="1" s="1"/>
  <c r="F678" i="1"/>
  <c r="F676" i="1"/>
  <c r="H676" i="1" s="1"/>
  <c r="F674" i="1"/>
  <c r="H674" i="1" s="1"/>
  <c r="F672" i="1"/>
  <c r="H672" i="1" s="1"/>
  <c r="F668" i="1"/>
  <c r="H668" i="1" s="1"/>
  <c r="F666" i="1"/>
  <c r="F664" i="1"/>
  <c r="H664" i="1" s="1"/>
  <c r="F662" i="1"/>
  <c r="F660" i="1"/>
  <c r="H660" i="1" s="1"/>
  <c r="F658" i="1"/>
  <c r="F656" i="1"/>
  <c r="H656" i="1" s="1"/>
  <c r="F654" i="1"/>
  <c r="G652" i="1"/>
  <c r="H652" i="1" s="1"/>
  <c r="F644" i="1"/>
  <c r="H644" i="1" s="1"/>
  <c r="F636" i="1"/>
  <c r="H636" i="1" s="1"/>
  <c r="F628" i="1"/>
  <c r="H628" i="1" s="1"/>
  <c r="F620" i="1"/>
  <c r="H620" i="1" s="1"/>
  <c r="F618" i="1"/>
  <c r="F616" i="1"/>
  <c r="H616" i="1" s="1"/>
  <c r="F614" i="1"/>
  <c r="F612" i="1"/>
  <c r="H612" i="1" s="1"/>
  <c r="F610" i="1"/>
  <c r="F608" i="1"/>
  <c r="H608" i="1" s="1"/>
  <c r="F606" i="1"/>
  <c r="F604" i="1"/>
  <c r="H604" i="1" s="1"/>
  <c r="F554" i="1"/>
  <c r="H554" i="1" s="1"/>
  <c r="F552" i="1"/>
  <c r="F550" i="1"/>
  <c r="H550" i="1" s="1"/>
  <c r="F549" i="1"/>
  <c r="H549" i="1" s="1"/>
  <c r="F547" i="1"/>
  <c r="H547" i="1" s="1"/>
  <c r="F531" i="1"/>
  <c r="H531" i="1" s="1"/>
  <c r="F523" i="1"/>
  <c r="H523" i="1" s="1"/>
  <c r="F521" i="1"/>
  <c r="H521" i="1" s="1"/>
  <c r="F519" i="1"/>
  <c r="H519" i="1" s="1"/>
  <c r="F517" i="1"/>
  <c r="F515" i="1"/>
  <c r="H515" i="1" s="1"/>
  <c r="F513" i="1"/>
  <c r="H513" i="1" s="1"/>
  <c r="F511" i="1"/>
  <c r="H511" i="1" s="1"/>
  <c r="F509" i="1"/>
  <c r="F487" i="1"/>
  <c r="H487" i="1" s="1"/>
  <c r="F485" i="1"/>
  <c r="H485" i="1" s="1"/>
  <c r="G477" i="1"/>
  <c r="H477" i="1" s="1"/>
  <c r="F475" i="1"/>
  <c r="F473" i="1"/>
  <c r="H473" i="1" s="1"/>
  <c r="F471" i="1"/>
  <c r="H471" i="1" s="1"/>
  <c r="F469" i="1"/>
  <c r="H469" i="1" s="1"/>
  <c r="F467" i="1"/>
  <c r="F465" i="1"/>
  <c r="H465" i="1" s="1"/>
  <c r="F463" i="1"/>
  <c r="H463" i="1" s="1"/>
  <c r="F461" i="1"/>
  <c r="H461" i="1" s="1"/>
  <c r="F459" i="1"/>
  <c r="F457" i="1"/>
  <c r="H457" i="1" s="1"/>
  <c r="F455" i="1"/>
  <c r="H455" i="1" s="1"/>
  <c r="H595" i="1"/>
  <c r="H579" i="1"/>
  <c r="H563" i="1"/>
  <c r="H546" i="1"/>
  <c r="F545" i="1"/>
  <c r="H545" i="1" s="1"/>
  <c r="F543" i="1"/>
  <c r="H543" i="1" s="1"/>
  <c r="F537" i="1"/>
  <c r="H537" i="1" s="1"/>
  <c r="F535" i="1"/>
  <c r="H535" i="1" s="1"/>
  <c r="F529" i="1"/>
  <c r="H529" i="1" s="1"/>
  <c r="F527" i="1"/>
  <c r="H527" i="1" s="1"/>
  <c r="H518" i="1"/>
  <c r="F507" i="1"/>
  <c r="H507" i="1" s="1"/>
  <c r="F505" i="1"/>
  <c r="H505" i="1" s="1"/>
  <c r="F503" i="1"/>
  <c r="F501" i="1"/>
  <c r="H501" i="1" s="1"/>
  <c r="F493" i="1"/>
  <c r="H493" i="1" s="1"/>
  <c r="G453" i="1"/>
  <c r="H453" i="1" s="1"/>
  <c r="F451" i="1"/>
  <c r="F449" i="1"/>
  <c r="H449" i="1" s="1"/>
  <c r="F447" i="1"/>
  <c r="H447" i="1" s="1"/>
  <c r="F445" i="1"/>
  <c r="H445" i="1" s="1"/>
  <c r="H500" i="1"/>
  <c r="F497" i="1"/>
  <c r="H497" i="1" s="1"/>
  <c r="H492" i="1"/>
  <c r="F491" i="1"/>
  <c r="H491" i="1" s="1"/>
  <c r="F489" i="1"/>
  <c r="H489" i="1" s="1"/>
  <c r="F481" i="1"/>
  <c r="H481" i="1" s="1"/>
  <c r="H472" i="1"/>
  <c r="H456" i="1"/>
  <c r="H1395" i="1"/>
  <c r="H1393" i="1"/>
  <c r="H1389" i="1"/>
  <c r="H1369" i="1"/>
  <c r="H1349" i="1"/>
  <c r="H1310" i="1"/>
  <c r="H1296" i="1"/>
  <c r="H1288" i="1"/>
  <c r="H1280" i="1"/>
  <c r="H1278" i="1"/>
  <c r="H1270" i="1"/>
  <c r="H1142" i="1"/>
  <c r="H1118" i="1"/>
  <c r="H1108" i="1"/>
  <c r="H1100" i="1"/>
  <c r="H1092" i="1"/>
  <c r="H1070" i="1"/>
  <c r="H1068" i="1"/>
  <c r="H1036" i="1"/>
  <c r="H940" i="1"/>
  <c r="H924" i="1"/>
  <c r="H908" i="1"/>
  <c r="H892" i="1"/>
  <c r="H876" i="1"/>
  <c r="H839" i="1"/>
  <c r="H815" i="1"/>
  <c r="H799" i="1"/>
  <c r="H791" i="1"/>
  <c r="H789" i="1"/>
  <c r="H649" i="1"/>
  <c r="H647" i="1"/>
  <c r="H641" i="1"/>
  <c r="H639" i="1"/>
  <c r="H633" i="1"/>
  <c r="H631" i="1"/>
  <c r="H625" i="1"/>
  <c r="H623" i="1"/>
  <c r="H544" i="1"/>
  <c r="H542" i="1"/>
  <c r="H536" i="1"/>
  <c r="H534" i="1"/>
  <c r="H528" i="1"/>
  <c r="H526" i="1"/>
  <c r="H498" i="1"/>
  <c r="H496" i="1"/>
  <c r="H490" i="1"/>
  <c r="H488" i="1"/>
  <c r="H482" i="1"/>
  <c r="H480" i="1"/>
  <c r="G1390" i="1"/>
  <c r="H1390" i="1" s="1"/>
  <c r="H1374" i="1"/>
  <c r="H1366" i="1"/>
  <c r="H1358" i="1"/>
  <c r="H1346" i="1"/>
  <c r="F1341" i="1"/>
  <c r="H1341" i="1" s="1"/>
  <c r="F1329" i="1"/>
  <c r="H1329" i="1" s="1"/>
  <c r="F1325" i="1"/>
  <c r="H1325" i="1" s="1"/>
  <c r="F1313" i="1"/>
  <c r="H1313" i="1" s="1"/>
  <c r="G1307" i="1"/>
  <c r="H1307" i="1" s="1"/>
  <c r="G1299" i="1"/>
  <c r="H1299" i="1" s="1"/>
  <c r="G1283" i="1"/>
  <c r="H1283" i="1" s="1"/>
  <c r="G1275" i="1"/>
  <c r="H1275" i="1" s="1"/>
  <c r="G1255" i="1"/>
  <c r="H1255" i="1" s="1"/>
  <c r="G1309" i="1"/>
  <c r="H1309" i="1" s="1"/>
  <c r="G1301" i="1"/>
  <c r="H1301" i="1" s="1"/>
  <c r="G1293" i="1"/>
  <c r="H1293" i="1" s="1"/>
  <c r="G1273" i="1"/>
  <c r="H1273" i="1" s="1"/>
  <c r="G1249" i="1"/>
  <c r="H1249" i="1" s="1"/>
  <c r="G1241" i="1"/>
  <c r="H1241" i="1" s="1"/>
  <c r="G1235" i="1"/>
  <c r="H1235" i="1" s="1"/>
  <c r="G1231" i="1"/>
  <c r="H1231" i="1" s="1"/>
  <c r="H1229" i="1"/>
  <c r="G1225" i="1"/>
  <c r="H1225" i="1" s="1"/>
  <c r="G1221" i="1"/>
  <c r="H1221" i="1" s="1"/>
  <c r="G1217" i="1"/>
  <c r="H1217" i="1" s="1"/>
  <c r="G1213" i="1"/>
  <c r="H1213" i="1" s="1"/>
  <c r="G1209" i="1"/>
  <c r="H1209" i="1" s="1"/>
  <c r="G1205" i="1"/>
  <c r="H1205" i="1" s="1"/>
  <c r="G1201" i="1"/>
  <c r="H1201" i="1" s="1"/>
  <c r="G1195" i="1"/>
  <c r="H1195" i="1" s="1"/>
  <c r="G1193" i="1"/>
  <c r="H1193" i="1" s="1"/>
  <c r="G1191" i="1"/>
  <c r="H1191" i="1" s="1"/>
  <c r="G1189" i="1"/>
  <c r="H1189" i="1" s="1"/>
  <c r="H1187" i="1"/>
  <c r="H1183" i="1"/>
  <c r="G1179" i="1"/>
  <c r="H1179" i="1" s="1"/>
  <c r="H1175" i="1"/>
  <c r="H1171" i="1"/>
  <c r="G1169" i="1"/>
  <c r="H1169" i="1" s="1"/>
  <c r="G1167" i="1"/>
  <c r="H1167" i="1" s="1"/>
  <c r="G1165" i="1"/>
  <c r="H1165" i="1" s="1"/>
  <c r="G1161" i="1"/>
  <c r="H1161" i="1" s="1"/>
  <c r="F1143" i="1"/>
  <c r="H1143" i="1" s="1"/>
  <c r="F1139" i="1"/>
  <c r="H1139" i="1" s="1"/>
  <c r="F1135" i="1"/>
  <c r="H1135" i="1" s="1"/>
  <c r="F1123" i="1"/>
  <c r="H1123" i="1" s="1"/>
  <c r="F1115" i="1"/>
  <c r="H1115" i="1" s="1"/>
  <c r="F1091" i="1"/>
  <c r="H1091" i="1" s="1"/>
  <c r="F1083" i="1"/>
  <c r="H1083" i="1" s="1"/>
  <c r="F1067" i="1"/>
  <c r="H1067" i="1" s="1"/>
  <c r="F1051" i="1"/>
  <c r="H1051" i="1" s="1"/>
  <c r="G1041" i="1"/>
  <c r="H1041" i="1" s="1"/>
  <c r="G1159" i="1"/>
  <c r="H1159" i="1" s="1"/>
  <c r="H1029" i="1"/>
  <c r="H1021" i="1"/>
  <c r="H1013" i="1"/>
  <c r="H987" i="1"/>
  <c r="H979" i="1"/>
  <c r="H971" i="1"/>
  <c r="G965" i="1"/>
  <c r="H965" i="1" s="1"/>
  <c r="H935" i="1"/>
  <c r="H927" i="1"/>
  <c r="G901" i="1"/>
  <c r="H901" i="1" s="1"/>
  <c r="H893" i="1"/>
  <c r="H885" i="1"/>
  <c r="H782" i="1"/>
  <c r="H774" i="1"/>
  <c r="H766" i="1"/>
  <c r="H758" i="1"/>
  <c r="H750" i="1"/>
  <c r="H742" i="1"/>
  <c r="H734" i="1"/>
  <c r="H726" i="1"/>
  <c r="H722" i="1"/>
  <c r="H718" i="1"/>
  <c r="G714" i="1"/>
  <c r="H714" i="1" s="1"/>
  <c r="H710" i="1"/>
  <c r="H702" i="1"/>
  <c r="H694" i="1"/>
  <c r="H686" i="1"/>
  <c r="H678" i="1"/>
  <c r="G670" i="1"/>
  <c r="H670" i="1" s="1"/>
  <c r="H666" i="1"/>
  <c r="H662" i="1"/>
  <c r="H658" i="1"/>
  <c r="H654" i="1"/>
  <c r="F868" i="1"/>
  <c r="H868" i="1" s="1"/>
  <c r="F864" i="1"/>
  <c r="H864" i="1" s="1"/>
  <c r="G862" i="1"/>
  <c r="H862" i="1" s="1"/>
  <c r="F852" i="1"/>
  <c r="H852" i="1" s="1"/>
  <c r="F848" i="1"/>
  <c r="H848" i="1" s="1"/>
  <c r="F844" i="1"/>
  <c r="H844" i="1" s="1"/>
  <c r="F840" i="1"/>
  <c r="F836" i="1"/>
  <c r="H836" i="1" s="1"/>
  <c r="F832" i="1"/>
  <c r="H832" i="1" s="1"/>
  <c r="F824" i="1"/>
  <c r="H824" i="1" s="1"/>
  <c r="G818" i="1"/>
  <c r="H818" i="1" s="1"/>
  <c r="F812" i="1"/>
  <c r="H812" i="1" s="1"/>
  <c r="F808" i="1"/>
  <c r="H808" i="1" s="1"/>
  <c r="F804" i="1"/>
  <c r="H804" i="1" s="1"/>
  <c r="F796" i="1"/>
  <c r="H796" i="1" s="1"/>
  <c r="H618" i="1"/>
  <c r="H614" i="1"/>
  <c r="H610" i="1"/>
  <c r="H606" i="1"/>
  <c r="H602" i="1"/>
  <c r="H600" i="1"/>
  <c r="H598" i="1"/>
  <c r="H596" i="1"/>
  <c r="H594" i="1"/>
  <c r="H592" i="1"/>
  <c r="H590" i="1"/>
  <c r="H588" i="1"/>
  <c r="H586" i="1"/>
  <c r="G584" i="1"/>
  <c r="H584" i="1" s="1"/>
  <c r="H582" i="1"/>
  <c r="H578" i="1"/>
  <c r="H574" i="1"/>
  <c r="H570" i="1"/>
  <c r="H566" i="1"/>
  <c r="H562" i="1"/>
  <c r="H558" i="1"/>
  <c r="G556" i="1"/>
  <c r="H556" i="1" s="1"/>
  <c r="H552" i="1"/>
  <c r="F650" i="1"/>
  <c r="H650" i="1" s="1"/>
  <c r="F646" i="1"/>
  <c r="H646" i="1" s="1"/>
  <c r="F642" i="1"/>
  <c r="H642" i="1" s="1"/>
  <c r="F638" i="1"/>
  <c r="H638" i="1" s="1"/>
  <c r="F634" i="1"/>
  <c r="H634" i="1" s="1"/>
  <c r="F630" i="1"/>
  <c r="H630" i="1" s="1"/>
  <c r="F626" i="1"/>
  <c r="H626" i="1" s="1"/>
  <c r="F622" i="1"/>
  <c r="H622" i="1" s="1"/>
  <c r="H517" i="1"/>
  <c r="H509" i="1"/>
  <c r="H503" i="1"/>
  <c r="F541" i="1"/>
  <c r="H541" i="1" s="1"/>
  <c r="F533" i="1"/>
  <c r="H533" i="1" s="1"/>
  <c r="F525" i="1"/>
  <c r="H525" i="1" s="1"/>
  <c r="H475" i="1"/>
  <c r="H467" i="1"/>
  <c r="H459" i="1"/>
  <c r="H451" i="1"/>
  <c r="F499" i="1"/>
  <c r="H499" i="1" s="1"/>
  <c r="F495" i="1"/>
  <c r="H495" i="1" s="1"/>
  <c r="F483" i="1"/>
  <c r="H483" i="1" s="1"/>
  <c r="F479" i="1"/>
  <c r="H479" i="1" s="1"/>
  <c r="F386" i="1"/>
  <c r="G374" i="1"/>
  <c r="F374" i="1"/>
  <c r="G368" i="1"/>
  <c r="F366" i="1"/>
  <c r="F360" i="1"/>
  <c r="G360" i="1"/>
  <c r="G358" i="1"/>
  <c r="G354" i="1"/>
  <c r="G352" i="1"/>
  <c r="G350" i="1"/>
  <c r="G346" i="1"/>
  <c r="G342" i="1"/>
  <c r="H342" i="1" s="1"/>
  <c r="G338" i="1"/>
  <c r="G336" i="1"/>
  <c r="G334" i="1"/>
  <c r="G332" i="1"/>
  <c r="G330" i="1"/>
  <c r="G328" i="1"/>
  <c r="G326" i="1"/>
  <c r="G324" i="1"/>
  <c r="G322" i="1"/>
  <c r="G316" i="1"/>
  <c r="H316" i="1" s="1"/>
  <c r="G308" i="1"/>
  <c r="G304" i="1"/>
  <c r="G300" i="1"/>
  <c r="G296" i="1"/>
  <c r="G292" i="1"/>
  <c r="G288" i="1"/>
  <c r="G284" i="1"/>
  <c r="G280" i="1"/>
  <c r="F134" i="1"/>
  <c r="F126" i="1"/>
  <c r="G32" i="1"/>
  <c r="G10" i="1"/>
  <c r="G398" i="1"/>
  <c r="F392" i="1"/>
  <c r="F370" i="1"/>
  <c r="F310" i="1"/>
  <c r="F306" i="1"/>
  <c r="F302" i="1"/>
  <c r="F298" i="1"/>
  <c r="F294" i="1"/>
  <c r="F270" i="1"/>
  <c r="H270" i="1" s="1"/>
  <c r="F266" i="1"/>
  <c r="F262" i="1"/>
  <c r="H262" i="1" s="1"/>
  <c r="F258" i="1"/>
  <c r="F254" i="1"/>
  <c r="H254" i="1" s="1"/>
  <c r="F250" i="1"/>
  <c r="F242" i="1"/>
  <c r="F238" i="1"/>
  <c r="F234" i="1"/>
  <c r="F230" i="1"/>
  <c r="F226" i="1"/>
  <c r="F222" i="1"/>
  <c r="F218" i="1"/>
  <c r="F214" i="1"/>
  <c r="H214" i="1" s="1"/>
  <c r="F122" i="1"/>
  <c r="G140" i="1"/>
  <c r="G397" i="1"/>
  <c r="F397" i="1"/>
  <c r="F395" i="1"/>
  <c r="F393" i="1"/>
  <c r="G393" i="1"/>
  <c r="F391" i="1"/>
  <c r="G391" i="1"/>
  <c r="G387" i="1"/>
  <c r="F387" i="1"/>
  <c r="F385" i="1"/>
  <c r="F383" i="1"/>
  <c r="G381" i="1"/>
  <c r="F381" i="1"/>
  <c r="F377" i="1"/>
  <c r="G377" i="1"/>
  <c r="F375" i="1"/>
  <c r="F373" i="1"/>
  <c r="G373" i="1"/>
  <c r="F371" i="1"/>
  <c r="G371" i="1"/>
  <c r="F369" i="1"/>
  <c r="G369" i="1"/>
  <c r="F367" i="1"/>
  <c r="G367" i="1"/>
  <c r="F365" i="1"/>
  <c r="G365" i="1"/>
  <c r="F363" i="1"/>
  <c r="G363" i="1"/>
  <c r="F245" i="1"/>
  <c r="F243" i="1"/>
  <c r="F241" i="1"/>
  <c r="F239" i="1"/>
  <c r="F237" i="1"/>
  <c r="F235" i="1"/>
  <c r="F233" i="1"/>
  <c r="F231" i="1"/>
  <c r="F229" i="1"/>
  <c r="F227" i="1"/>
  <c r="F225" i="1"/>
  <c r="F223" i="1"/>
  <c r="F221" i="1"/>
  <c r="F219" i="1"/>
  <c r="F217" i="1"/>
  <c r="F215" i="1"/>
  <c r="G213" i="1"/>
  <c r="F213" i="1"/>
  <c r="F211" i="1"/>
  <c r="G211" i="1"/>
  <c r="G191" i="1"/>
  <c r="F191" i="1"/>
  <c r="F179" i="1"/>
  <c r="G179" i="1"/>
  <c r="G159" i="1"/>
  <c r="F159" i="1"/>
  <c r="F155" i="1"/>
  <c r="G151" i="1"/>
  <c r="F151" i="1"/>
  <c r="F137" i="1"/>
  <c r="F135" i="1"/>
  <c r="F133" i="1"/>
  <c r="F131" i="1"/>
  <c r="F129" i="1"/>
  <c r="F127" i="1"/>
  <c r="F125" i="1"/>
  <c r="F123" i="1"/>
  <c r="G119" i="1"/>
  <c r="F119" i="1"/>
  <c r="F117" i="1"/>
  <c r="F115" i="1"/>
  <c r="G113" i="1"/>
  <c r="F113" i="1"/>
  <c r="F111" i="1"/>
  <c r="F109" i="1"/>
  <c r="F107" i="1"/>
  <c r="F105" i="1"/>
  <c r="F103" i="1"/>
  <c r="F101" i="1"/>
  <c r="F97" i="1"/>
  <c r="F95" i="1"/>
  <c r="F93" i="1"/>
  <c r="F91" i="1"/>
  <c r="G91" i="1"/>
  <c r="F89" i="1"/>
  <c r="G89" i="1"/>
  <c r="G85" i="1"/>
  <c r="F85" i="1"/>
  <c r="G83" i="1"/>
  <c r="F83" i="1"/>
  <c r="G81" i="1"/>
  <c r="F81" i="1"/>
  <c r="G79" i="1"/>
  <c r="F79" i="1"/>
  <c r="G77" i="1"/>
  <c r="F77" i="1"/>
  <c r="F75" i="1"/>
  <c r="F71" i="1"/>
  <c r="G71" i="1"/>
  <c r="F69" i="1"/>
  <c r="G69" i="1"/>
  <c r="F67" i="1"/>
  <c r="G67" i="1"/>
  <c r="F65" i="1"/>
  <c r="G65" i="1"/>
  <c r="F63" i="1"/>
  <c r="G63" i="1"/>
  <c r="F61" i="1"/>
  <c r="G61" i="1"/>
  <c r="F57" i="1"/>
  <c r="F55" i="1"/>
  <c r="F51" i="1"/>
  <c r="G51" i="1"/>
  <c r="F49" i="1"/>
  <c r="G13" i="1"/>
  <c r="F13" i="1"/>
  <c r="G9" i="1"/>
  <c r="F9" i="1"/>
  <c r="F7" i="1"/>
  <c r="G7" i="1"/>
  <c r="F5" i="1"/>
  <c r="G5" i="1"/>
  <c r="H408" i="1"/>
  <c r="F361" i="1"/>
  <c r="F359" i="1"/>
  <c r="F357" i="1"/>
  <c r="F355" i="1"/>
  <c r="H350" i="1"/>
  <c r="H338" i="1"/>
  <c r="H320" i="1"/>
  <c r="H314" i="1"/>
  <c r="F207" i="1"/>
  <c r="G199" i="1"/>
  <c r="H199" i="1" s="1"/>
  <c r="F153" i="1"/>
  <c r="G274" i="1"/>
  <c r="F274" i="1"/>
  <c r="F246" i="1"/>
  <c r="G246" i="1"/>
  <c r="G208" i="1"/>
  <c r="F208" i="1"/>
  <c r="F206" i="1"/>
  <c r="G136" i="1"/>
  <c r="F136" i="1"/>
  <c r="F132" i="1"/>
  <c r="G128" i="1"/>
  <c r="F128" i="1"/>
  <c r="G124" i="1"/>
  <c r="F124" i="1"/>
  <c r="F120" i="1"/>
  <c r="F118" i="1"/>
  <c r="F116" i="1"/>
  <c r="F114" i="1"/>
  <c r="F112" i="1"/>
  <c r="F110" i="1"/>
  <c r="F108" i="1"/>
  <c r="F106" i="1"/>
  <c r="G106" i="1"/>
  <c r="F104" i="1"/>
  <c r="F102" i="1"/>
  <c r="G102" i="1"/>
  <c r="F100" i="1"/>
  <c r="G100" i="1"/>
  <c r="F98" i="1"/>
  <c r="F96" i="1"/>
  <c r="G94" i="1"/>
  <c r="F94" i="1"/>
  <c r="G92" i="1"/>
  <c r="F92" i="1"/>
  <c r="F90" i="1"/>
  <c r="F88" i="1"/>
  <c r="F86" i="1"/>
  <c r="G86" i="1"/>
  <c r="F84" i="1"/>
  <c r="G84" i="1"/>
  <c r="F82" i="1"/>
  <c r="G82" i="1"/>
  <c r="F80" i="1"/>
  <c r="F78" i="1"/>
  <c r="F76" i="1"/>
  <c r="G76" i="1"/>
  <c r="F74" i="1"/>
  <c r="G74" i="1"/>
  <c r="G72" i="1"/>
  <c r="F72" i="1"/>
  <c r="G70" i="1"/>
  <c r="F70" i="1"/>
  <c r="G68" i="1"/>
  <c r="F68" i="1"/>
  <c r="G66" i="1"/>
  <c r="F66" i="1"/>
  <c r="G64" i="1"/>
  <c r="F64" i="1"/>
  <c r="G62" i="1"/>
  <c r="F62" i="1"/>
  <c r="G60" i="1"/>
  <c r="F60" i="1"/>
  <c r="F4" i="1"/>
  <c r="H4" i="1" s="1"/>
  <c r="G441" i="1"/>
  <c r="G439" i="1"/>
  <c r="H439" i="1" s="1"/>
  <c r="F437" i="1"/>
  <c r="F435" i="1"/>
  <c r="F433" i="1"/>
  <c r="F431" i="1"/>
  <c r="H431" i="1" s="1"/>
  <c r="F429" i="1"/>
  <c r="F427" i="1"/>
  <c r="F425" i="1"/>
  <c r="H425" i="1" s="1"/>
  <c r="F423" i="1"/>
  <c r="F421" i="1"/>
  <c r="F419" i="1"/>
  <c r="F417" i="1"/>
  <c r="G415" i="1"/>
  <c r="H415" i="1" s="1"/>
  <c r="F413" i="1"/>
  <c r="G411" i="1"/>
  <c r="H411" i="1" s="1"/>
  <c r="G407" i="1"/>
  <c r="H407" i="1" s="1"/>
  <c r="G405" i="1"/>
  <c r="H405" i="1" s="1"/>
  <c r="G403" i="1"/>
  <c r="H403" i="1" s="1"/>
  <c r="G400" i="1"/>
  <c r="H400" i="1" s="1"/>
  <c r="F399" i="1"/>
  <c r="G396" i="1"/>
  <c r="H396" i="1" s="1"/>
  <c r="F394" i="1"/>
  <c r="F390" i="1"/>
  <c r="G389" i="1"/>
  <c r="G388" i="1"/>
  <c r="H388" i="1" s="1"/>
  <c r="G384" i="1"/>
  <c r="G380" i="1"/>
  <c r="H380" i="1" s="1"/>
  <c r="F379" i="1"/>
  <c r="F376" i="1"/>
  <c r="F372" i="1"/>
  <c r="F368" i="1"/>
  <c r="F364" i="1"/>
  <c r="F358" i="1"/>
  <c r="F356" i="1"/>
  <c r="F354" i="1"/>
  <c r="F353" i="1"/>
  <c r="F351" i="1"/>
  <c r="H351" i="1" s="1"/>
  <c r="F349" i="1"/>
  <c r="F347" i="1"/>
  <c r="H347" i="1" s="1"/>
  <c r="F345" i="1"/>
  <c r="F343" i="1"/>
  <c r="F341" i="1"/>
  <c r="F339" i="1"/>
  <c r="H339" i="1" s="1"/>
  <c r="F337" i="1"/>
  <c r="F335" i="1"/>
  <c r="F333" i="1"/>
  <c r="F331" i="1"/>
  <c r="F329" i="1"/>
  <c r="F327" i="1"/>
  <c r="F325" i="1"/>
  <c r="F323" i="1"/>
  <c r="F321" i="1"/>
  <c r="F319" i="1"/>
  <c r="F317" i="1"/>
  <c r="F315" i="1"/>
  <c r="F313" i="1"/>
  <c r="G312" i="1"/>
  <c r="F311" i="1"/>
  <c r="F309" i="1"/>
  <c r="H309" i="1" s="1"/>
  <c r="F307" i="1"/>
  <c r="F305" i="1"/>
  <c r="F303" i="1"/>
  <c r="H303" i="1" s="1"/>
  <c r="F301" i="1"/>
  <c r="F299" i="1"/>
  <c r="H299" i="1" s="1"/>
  <c r="F297" i="1"/>
  <c r="F295" i="1"/>
  <c r="F293" i="1"/>
  <c r="F291" i="1"/>
  <c r="F289" i="1"/>
  <c r="F287" i="1"/>
  <c r="F285" i="1"/>
  <c r="F283" i="1"/>
  <c r="F281" i="1"/>
  <c r="F279" i="1"/>
  <c r="F277" i="1"/>
  <c r="F275" i="1"/>
  <c r="H275" i="1" s="1"/>
  <c r="F272" i="1"/>
  <c r="H272" i="1" s="1"/>
  <c r="F268" i="1"/>
  <c r="F264" i="1"/>
  <c r="H264" i="1" s="1"/>
  <c r="F260" i="1"/>
  <c r="F256" i="1"/>
  <c r="H256" i="1" s="1"/>
  <c r="F252" i="1"/>
  <c r="F248" i="1"/>
  <c r="F244" i="1"/>
  <c r="F240" i="1"/>
  <c r="F236" i="1"/>
  <c r="F232" i="1"/>
  <c r="F228" i="1"/>
  <c r="F224" i="1"/>
  <c r="F220" i="1"/>
  <c r="F216" i="1"/>
  <c r="F212" i="1"/>
  <c r="G203" i="1"/>
  <c r="H203" i="1" s="1"/>
  <c r="G195" i="1"/>
  <c r="G184" i="1"/>
  <c r="H184" i="1" s="1"/>
  <c r="G166" i="1"/>
  <c r="H166" i="1" s="1"/>
  <c r="G148" i="1"/>
  <c r="H148" i="1" s="1"/>
  <c r="F23" i="1"/>
  <c r="F21" i="1"/>
  <c r="F58" i="1"/>
  <c r="G58" i="1"/>
  <c r="F56" i="1"/>
  <c r="F54" i="1"/>
  <c r="G52" i="1"/>
  <c r="F52" i="1"/>
  <c r="G50" i="1"/>
  <c r="F50" i="1"/>
  <c r="G48" i="1"/>
  <c r="F48" i="1"/>
  <c r="F46" i="1"/>
  <c r="G46" i="1"/>
  <c r="G44" i="1"/>
  <c r="F44" i="1"/>
  <c r="G42" i="1"/>
  <c r="G40" i="1"/>
  <c r="G38" i="1"/>
  <c r="G36" i="1"/>
  <c r="F36" i="1"/>
  <c r="F34" i="1"/>
  <c r="G34" i="1"/>
  <c r="F30" i="1"/>
  <c r="G30" i="1"/>
  <c r="F28" i="1"/>
  <c r="F26" i="1"/>
  <c r="G26" i="1"/>
  <c r="F24" i="1"/>
  <c r="F20" i="1"/>
  <c r="G18" i="1"/>
  <c r="G16" i="1"/>
  <c r="F16" i="1"/>
  <c r="F14" i="1"/>
  <c r="G14" i="1"/>
  <c r="F12" i="1"/>
  <c r="G12" i="1"/>
  <c r="G6" i="1"/>
  <c r="F6" i="1"/>
  <c r="F290" i="1"/>
  <c r="F288" i="1"/>
  <c r="F286" i="1"/>
  <c r="F284" i="1"/>
  <c r="F282" i="1"/>
  <c r="F280" i="1"/>
  <c r="F278" i="1"/>
  <c r="F276" i="1"/>
  <c r="F273" i="1"/>
  <c r="F271" i="1"/>
  <c r="H271" i="1" s="1"/>
  <c r="F269" i="1"/>
  <c r="H269" i="1" s="1"/>
  <c r="F267" i="1"/>
  <c r="H267" i="1" s="1"/>
  <c r="F265" i="1"/>
  <c r="H265" i="1" s="1"/>
  <c r="F263" i="1"/>
  <c r="H263" i="1" s="1"/>
  <c r="F261" i="1"/>
  <c r="F259" i="1"/>
  <c r="H259" i="1" s="1"/>
  <c r="F257" i="1"/>
  <c r="H257" i="1" s="1"/>
  <c r="F255" i="1"/>
  <c r="H255" i="1" s="1"/>
  <c r="F253" i="1"/>
  <c r="F251" i="1"/>
  <c r="H251" i="1" s="1"/>
  <c r="F249" i="1"/>
  <c r="H249" i="1" s="1"/>
  <c r="F247" i="1"/>
  <c r="H247" i="1" s="1"/>
  <c r="F209" i="1"/>
  <c r="F205" i="1"/>
  <c r="G201" i="1"/>
  <c r="G197" i="1"/>
  <c r="H197" i="1" s="1"/>
  <c r="G193" i="1"/>
  <c r="G188" i="1"/>
  <c r="H188" i="1" s="1"/>
  <c r="G172" i="1"/>
  <c r="H172" i="1" s="1"/>
  <c r="G164" i="1"/>
  <c r="H164" i="1" s="1"/>
  <c r="G144" i="1"/>
  <c r="H144" i="1" s="1"/>
  <c r="F121" i="1"/>
  <c r="H121" i="1" s="1"/>
  <c r="F99" i="1"/>
  <c r="F87" i="1"/>
  <c r="F73" i="1"/>
  <c r="F32" i="1"/>
  <c r="G204" i="1"/>
  <c r="G200" i="1"/>
  <c r="H200" i="1" s="1"/>
  <c r="G196" i="1"/>
  <c r="H196" i="1" s="1"/>
  <c r="G192" i="1"/>
  <c r="H192" i="1" s="1"/>
  <c r="G186" i="1"/>
  <c r="H186" i="1" s="1"/>
  <c r="G182" i="1"/>
  <c r="H182" i="1" s="1"/>
  <c r="F177" i="1"/>
  <c r="G173" i="1"/>
  <c r="H173" i="1" s="1"/>
  <c r="G171" i="1"/>
  <c r="G169" i="1"/>
  <c r="H169" i="1" s="1"/>
  <c r="G165" i="1"/>
  <c r="H165" i="1" s="1"/>
  <c r="G163" i="1"/>
  <c r="H163" i="1" s="1"/>
  <c r="G150" i="1"/>
  <c r="H150" i="1" s="1"/>
  <c r="G142" i="1"/>
  <c r="H142" i="1" s="1"/>
  <c r="F39" i="1"/>
  <c r="F37" i="1"/>
  <c r="F10" i="1"/>
  <c r="G210" i="1"/>
  <c r="G189" i="1"/>
  <c r="H189" i="1" s="1"/>
  <c r="G187" i="1"/>
  <c r="G185" i="1"/>
  <c r="H185" i="1" s="1"/>
  <c r="F181" i="1"/>
  <c r="G180" i="1"/>
  <c r="G178" i="1"/>
  <c r="F157" i="1"/>
  <c r="G156" i="1"/>
  <c r="G149" i="1"/>
  <c r="H149" i="1" s="1"/>
  <c r="G145" i="1"/>
  <c r="H145" i="1" s="1"/>
  <c r="G141" i="1"/>
  <c r="H141" i="1" s="1"/>
  <c r="F47" i="1"/>
  <c r="F45" i="1"/>
  <c r="F31" i="1"/>
  <c r="F29" i="1"/>
  <c r="F15" i="1"/>
  <c r="F59" i="1"/>
  <c r="F53" i="1"/>
  <c r="F43" i="1"/>
  <c r="F41" i="1"/>
  <c r="F33" i="1"/>
  <c r="F27" i="1"/>
  <c r="F25" i="1"/>
  <c r="F19" i="1"/>
  <c r="F17" i="1"/>
  <c r="H17" i="1" s="1"/>
  <c r="F11" i="1"/>
  <c r="F8" i="1"/>
  <c r="H276" i="1"/>
  <c r="H322" i="1" l="1"/>
  <c r="H53" i="1"/>
  <c r="H32" i="1"/>
  <c r="H284" i="1"/>
  <c r="H310" i="1"/>
  <c r="H346" i="1"/>
  <c r="H292" i="1"/>
  <c r="H300" i="1"/>
  <c r="H308" i="1"/>
  <c r="H352" i="1"/>
  <c r="H10" i="1"/>
  <c r="H281" i="1"/>
  <c r="H319" i="1"/>
  <c r="H343" i="1"/>
  <c r="H354" i="1"/>
  <c r="H419" i="1"/>
  <c r="H326" i="1"/>
  <c r="H334" i="1"/>
  <c r="H33" i="1"/>
  <c r="H180" i="1"/>
  <c r="H204" i="1"/>
  <c r="H273" i="1"/>
  <c r="H312" i="1"/>
  <c r="H435" i="1"/>
  <c r="G35" i="1"/>
  <c r="H35" i="1" s="1"/>
  <c r="F22" i="1"/>
  <c r="H22" i="1" s="1"/>
  <c r="F154" i="1"/>
  <c r="H154" i="1" s="1"/>
  <c r="F158" i="1"/>
  <c r="H158" i="1" s="1"/>
  <c r="F190" i="1"/>
  <c r="H190" i="1" s="1"/>
  <c r="F378" i="1"/>
  <c r="H378" i="1" s="1"/>
  <c r="F412" i="1"/>
  <c r="H412" i="1" s="1"/>
  <c r="F418" i="1"/>
  <c r="H418" i="1" s="1"/>
  <c r="F422" i="1"/>
  <c r="H422" i="1" s="1"/>
  <c r="F426" i="1"/>
  <c r="H426" i="1" s="1"/>
  <c r="H27" i="1"/>
  <c r="H156" i="1"/>
  <c r="H210" i="1"/>
  <c r="H413" i="1"/>
  <c r="H433" i="1"/>
  <c r="H437" i="1"/>
  <c r="H398" i="1"/>
  <c r="H330" i="1"/>
  <c r="F152" i="1"/>
  <c r="H152" i="1" s="1"/>
  <c r="F176" i="1"/>
  <c r="H176" i="1" s="1"/>
  <c r="F416" i="1"/>
  <c r="H416" i="1" s="1"/>
  <c r="F420" i="1"/>
  <c r="H420" i="1" s="1"/>
  <c r="F424" i="1"/>
  <c r="H424" i="1" s="1"/>
  <c r="H11" i="1"/>
  <c r="H19" i="1"/>
  <c r="H23" i="1"/>
  <c r="H25" i="1"/>
  <c r="H59" i="1"/>
  <c r="H29" i="1"/>
  <c r="H178" i="1"/>
  <c r="H187" i="1"/>
  <c r="H193" i="1"/>
  <c r="H201" i="1"/>
  <c r="H278" i="1"/>
  <c r="H21" i="1"/>
  <c r="H195" i="1"/>
  <c r="H260" i="1"/>
  <c r="H268" i="1"/>
  <c r="H384" i="1"/>
  <c r="H389" i="1"/>
  <c r="H258" i="1"/>
  <c r="H266" i="1"/>
  <c r="H296" i="1"/>
  <c r="H304" i="1"/>
  <c r="H324" i="1"/>
  <c r="H328" i="1"/>
  <c r="H332" i="1"/>
  <c r="H336" i="1"/>
  <c r="H840" i="1"/>
  <c r="H313" i="1"/>
  <c r="H321" i="1"/>
  <c r="H325" i="1"/>
  <c r="H333" i="1"/>
  <c r="H429" i="1"/>
  <c r="H246" i="1"/>
  <c r="G344" i="1"/>
  <c r="H344" i="1" s="1"/>
  <c r="H280" i="1"/>
  <c r="H288" i="1"/>
  <c r="H358" i="1"/>
  <c r="H368" i="1"/>
  <c r="H366" i="1"/>
  <c r="H134" i="1"/>
  <c r="H126" i="1"/>
  <c r="H277" i="1"/>
  <c r="H331" i="1"/>
  <c r="H390" i="1"/>
  <c r="H140" i="1"/>
  <c r="H392" i="1"/>
  <c r="H370" i="1"/>
  <c r="H99" i="1"/>
  <c r="H37" i="1"/>
  <c r="G318" i="1"/>
  <c r="H318" i="1" s="1"/>
  <c r="H374" i="1"/>
  <c r="H386" i="1"/>
  <c r="H41" i="1"/>
  <c r="H43" i="1"/>
  <c r="H45" i="1"/>
  <c r="H157" i="1"/>
  <c r="H87" i="1"/>
  <c r="H282" i="1"/>
  <c r="H290" i="1"/>
  <c r="H212" i="1"/>
  <c r="H220" i="1"/>
  <c r="H228" i="1"/>
  <c r="H236" i="1"/>
  <c r="H244" i="1"/>
  <c r="H252" i="1"/>
  <c r="H279" i="1"/>
  <c r="H283" i="1"/>
  <c r="H287" i="1"/>
  <c r="H291" i="1"/>
  <c r="H295" i="1"/>
  <c r="H307" i="1"/>
  <c r="H311" i="1"/>
  <c r="H317" i="1"/>
  <c r="H329" i="1"/>
  <c r="H337" i="1"/>
  <c r="H341" i="1"/>
  <c r="H345" i="1"/>
  <c r="H349" i="1"/>
  <c r="H353" i="1"/>
  <c r="H356" i="1"/>
  <c r="H364" i="1"/>
  <c r="H372" i="1"/>
  <c r="H379" i="1"/>
  <c r="H394" i="1"/>
  <c r="H399" i="1"/>
  <c r="H417" i="1"/>
  <c r="H421" i="1"/>
  <c r="H441" i="1"/>
  <c r="H357" i="1"/>
  <c r="H361" i="1"/>
  <c r="H122" i="1"/>
  <c r="H218" i="1"/>
  <c r="H226" i="1"/>
  <c r="H234" i="1"/>
  <c r="H242" i="1"/>
  <c r="H298" i="1"/>
  <c r="H306" i="1"/>
  <c r="F428" i="1"/>
  <c r="H428" i="1" s="1"/>
  <c r="F434" i="1"/>
  <c r="H434" i="1" s="1"/>
  <c r="F438" i="1"/>
  <c r="H438" i="1" s="1"/>
  <c r="F442" i="1"/>
  <c r="H442" i="1" s="1"/>
  <c r="H171" i="1"/>
  <c r="H209" i="1"/>
  <c r="H253" i="1"/>
  <c r="H261" i="1"/>
  <c r="H286" i="1"/>
  <c r="H8" i="1"/>
  <c r="H15" i="1"/>
  <c r="H31" i="1"/>
  <c r="H47" i="1"/>
  <c r="H181" i="1"/>
  <c r="H39" i="1"/>
  <c r="H177" i="1"/>
  <c r="H73" i="1"/>
  <c r="H205" i="1"/>
  <c r="H216" i="1"/>
  <c r="H224" i="1"/>
  <c r="H232" i="1"/>
  <c r="H240" i="1"/>
  <c r="H248" i="1"/>
  <c r="H285" i="1"/>
  <c r="H289" i="1"/>
  <c r="H293" i="1"/>
  <c r="H297" i="1"/>
  <c r="H301" i="1"/>
  <c r="H305" i="1"/>
  <c r="H315" i="1"/>
  <c r="H323" i="1"/>
  <c r="H327" i="1"/>
  <c r="H335" i="1"/>
  <c r="H376" i="1"/>
  <c r="H423" i="1"/>
  <c r="H427" i="1"/>
  <c r="H153" i="1"/>
  <c r="H207" i="1"/>
  <c r="H355" i="1"/>
  <c r="H359" i="1"/>
  <c r="H213" i="1"/>
  <c r="H215" i="1"/>
  <c r="H217" i="1"/>
  <c r="H219" i="1"/>
  <c r="H221" i="1"/>
  <c r="H223" i="1"/>
  <c r="H225" i="1"/>
  <c r="H227" i="1"/>
  <c r="H229" i="1"/>
  <c r="H231" i="1"/>
  <c r="H233" i="1"/>
  <c r="H235" i="1"/>
  <c r="H237" i="1"/>
  <c r="H239" i="1"/>
  <c r="H241" i="1"/>
  <c r="H243" i="1"/>
  <c r="H245" i="1"/>
  <c r="H222" i="1"/>
  <c r="H230" i="1"/>
  <c r="H238" i="1"/>
  <c r="H250" i="1"/>
  <c r="H294" i="1"/>
  <c r="H302" i="1"/>
  <c r="F443" i="1"/>
  <c r="H443" i="1" s="1"/>
  <c r="F430" i="1"/>
  <c r="H430" i="1" s="1"/>
  <c r="F436" i="1"/>
  <c r="H436" i="1" s="1"/>
  <c r="F440" i="1"/>
  <c r="H440" i="1" s="1"/>
  <c r="H12" i="1"/>
  <c r="H14" i="1"/>
  <c r="H18" i="1"/>
  <c r="H26" i="1"/>
  <c r="H30" i="1"/>
  <c r="H363" i="1"/>
  <c r="H365" i="1"/>
  <c r="H367" i="1"/>
  <c r="H369" i="1"/>
  <c r="H371" i="1"/>
  <c r="H373" i="1"/>
  <c r="H375" i="1"/>
  <c r="H377" i="1"/>
  <c r="H391" i="1"/>
  <c r="H393" i="1"/>
  <c r="H395" i="1"/>
  <c r="H36" i="1"/>
  <c r="H40" i="1"/>
  <c r="H44" i="1"/>
  <c r="H48" i="1"/>
  <c r="H50" i="1"/>
  <c r="H52" i="1"/>
  <c r="H74" i="1"/>
  <c r="H76" i="1"/>
  <c r="H78" i="1"/>
  <c r="H80" i="1"/>
  <c r="H82" i="1"/>
  <c r="H84" i="1"/>
  <c r="H86" i="1"/>
  <c r="H100" i="1"/>
  <c r="H102" i="1"/>
  <c r="H104" i="1"/>
  <c r="H106" i="1"/>
  <c r="H108" i="1"/>
  <c r="H110" i="1"/>
  <c r="H112" i="1"/>
  <c r="H114" i="1"/>
  <c r="H116" i="1"/>
  <c r="H118" i="1"/>
  <c r="H120" i="1"/>
  <c r="H124" i="1"/>
  <c r="H132" i="1"/>
  <c r="H5" i="1"/>
  <c r="H7" i="1"/>
  <c r="H49" i="1"/>
  <c r="H51" i="1"/>
  <c r="H61" i="1"/>
  <c r="H63" i="1"/>
  <c r="H65" i="1"/>
  <c r="H67" i="1"/>
  <c r="H69" i="1"/>
  <c r="H71" i="1"/>
  <c r="H89" i="1"/>
  <c r="H91" i="1"/>
  <c r="H93" i="1"/>
  <c r="H95" i="1"/>
  <c r="H97" i="1"/>
  <c r="H123" i="1"/>
  <c r="H125" i="1"/>
  <c r="H127" i="1"/>
  <c r="H129" i="1"/>
  <c r="H131" i="1"/>
  <c r="H133" i="1"/>
  <c r="H135" i="1"/>
  <c r="H137" i="1"/>
  <c r="H151" i="1"/>
  <c r="H159" i="1"/>
  <c r="H191" i="1"/>
  <c r="H360" i="1"/>
  <c r="H6" i="1"/>
  <c r="H16" i="1"/>
  <c r="H20" i="1"/>
  <c r="H24" i="1"/>
  <c r="H28" i="1"/>
  <c r="H34" i="1"/>
  <c r="H38" i="1"/>
  <c r="H42" i="1"/>
  <c r="H46" i="1"/>
  <c r="H54" i="1"/>
  <c r="H56" i="1"/>
  <c r="H58" i="1"/>
  <c r="H60" i="1"/>
  <c r="H62" i="1"/>
  <c r="H64" i="1"/>
  <c r="H66" i="1"/>
  <c r="H68" i="1"/>
  <c r="H70" i="1"/>
  <c r="H72" i="1"/>
  <c r="H88" i="1"/>
  <c r="H90" i="1"/>
  <c r="H92" i="1"/>
  <c r="H94" i="1"/>
  <c r="H96" i="1"/>
  <c r="H98" i="1"/>
  <c r="H128" i="1"/>
  <c r="H136" i="1"/>
  <c r="H206" i="1"/>
  <c r="H208" i="1"/>
  <c r="H274" i="1"/>
  <c r="H9" i="1"/>
  <c r="H13" i="1"/>
  <c r="H55" i="1"/>
  <c r="H57" i="1"/>
  <c r="H75" i="1"/>
  <c r="H77" i="1"/>
  <c r="H79" i="1"/>
  <c r="H81" i="1"/>
  <c r="H83" i="1"/>
  <c r="H85" i="1"/>
  <c r="H101" i="1"/>
  <c r="H103" i="1"/>
  <c r="H105" i="1"/>
  <c r="H107" i="1"/>
  <c r="H109" i="1"/>
  <c r="H111" i="1"/>
  <c r="H113" i="1"/>
  <c r="H115" i="1"/>
  <c r="H117" i="1"/>
  <c r="H119" i="1"/>
  <c r="H155" i="1"/>
  <c r="H179" i="1"/>
  <c r="H211" i="1"/>
  <c r="H381" i="1"/>
  <c r="H383" i="1"/>
  <c r="H385" i="1"/>
  <c r="H387" i="1"/>
  <c r="H397" i="1"/>
</calcChain>
</file>

<file path=xl/sharedStrings.xml><?xml version="1.0" encoding="utf-8"?>
<sst xmlns="http://schemas.openxmlformats.org/spreadsheetml/2006/main" count="1447" uniqueCount="1436">
  <si>
    <t>Terminal log file</t>
  </si>
  <si>
    <t xml:space="preserve">Date: 05.12.2015 - </t>
  </si>
  <si>
    <t>-----------------------------------------------</t>
  </si>
  <si>
    <t>05492a:CF&lt;-</t>
  </si>
  <si>
    <t>06117f:3E&gt;+A3-</t>
  </si>
  <si>
    <t>06118d:42&gt;+A9-</t>
  </si>
  <si>
    <t>06119b:3E&gt;+A9-</t>
  </si>
  <si>
    <t>06498d:42&gt;+A9-</t>
  </si>
  <si>
    <t>06800a:42&gt;+A9-</t>
  </si>
  <si>
    <t>06800e:3E&gt;+A9-</t>
  </si>
  <si>
    <t>06922e:00&gt;+63+6C+6B+0F+0C+05+0C+2F+00+00+00+00+00+00+00+00+</t>
  </si>
  <si>
    <t>07183d:00&gt;+63+6C+6B+0F+0C+05+0C+2F+00+00+00+00+00+00+00+00+</t>
  </si>
  <si>
    <t>07481f:42&gt;+A9-</t>
  </si>
  <si>
    <t>07482d:3E&gt;+A9-</t>
  </si>
  <si>
    <t>08163f:42&gt;+A9-</t>
  </si>
  <si>
    <t>08164e:3E&gt;+A9-</t>
  </si>
  <si>
    <t>08845e:42&gt;+A9-</t>
  </si>
  <si>
    <t>08846d:3E&gt;+A9-</t>
  </si>
  <si>
    <t>09527e:42&gt;+A9-</t>
  </si>
  <si>
    <t>09528d:3E&gt;+A9-</t>
  </si>
  <si>
    <t>10209e:42&gt;+A9-</t>
  </si>
  <si>
    <t>10210c:3E&gt;+A9-</t>
  </si>
  <si>
    <t>10891d:42&gt;+A9-</t>
  </si>
  <si>
    <t>10892c:3E&gt;+A9-</t>
  </si>
  <si>
    <t>00650f:42&gt;+A9-</t>
  </si>
  <si>
    <t>00651d:3E&gt;+A9-</t>
  </si>
  <si>
    <t>01332f:42&gt;+A9-</t>
  </si>
  <si>
    <t>01333d:3E&gt;+A9-</t>
  </si>
  <si>
    <t>02014f:42&gt;+A9-</t>
  </si>
  <si>
    <t>02015d:3E&gt;+A9-</t>
  </si>
  <si>
    <t>02696e:42&gt;+A9-</t>
  </si>
  <si>
    <t>02697c:3E&gt;+A9-</t>
  </si>
  <si>
    <t>03378e:42&gt;+A9-</t>
  </si>
  <si>
    <t>03379c:3E&gt;+A9-</t>
  </si>
  <si>
    <t>04060e:42&gt;+A9-</t>
  </si>
  <si>
    <t>04061c:3E&gt;+A9-</t>
  </si>
  <si>
    <t>04742d:42&gt;+A9-</t>
  </si>
  <si>
    <t>04743c:3E&gt;+A9-</t>
  </si>
  <si>
    <t>05424d:42&gt;+A9-</t>
  </si>
  <si>
    <t>05425c:3E&gt;+A9-</t>
  </si>
  <si>
    <t>06106c:42&gt;+A9-</t>
  </si>
  <si>
    <t>06107c:3E&gt;+A9-</t>
  </si>
  <si>
    <t>06788c:42&gt;+A9-</t>
  </si>
  <si>
    <t>06789c:3E&gt;+A9-</t>
  </si>
  <si>
    <t>07470b:42&gt;+A9-</t>
  </si>
  <si>
    <t>07471c:3E&gt;+A9-</t>
  </si>
  <si>
    <t>08105f:3E&gt;+93-</t>
  </si>
  <si>
    <t>08106f:3E&gt;+96-</t>
  </si>
  <si>
    <t>08125b:3E&gt;+9C-</t>
  </si>
  <si>
    <t>08126b:3E&gt;+9A-</t>
  </si>
  <si>
    <t>08152b:42&gt;+A9-</t>
  </si>
  <si>
    <t>08153c:3E&gt;+A9-</t>
  </si>
  <si>
    <t>08756d:3E&gt;+93-</t>
  </si>
  <si>
    <t>08757d:3E&gt;+96-</t>
  </si>
  <si>
    <t>08817b:3E&gt;+9C-</t>
  </si>
  <si>
    <t>08818b:3E&gt;+9A-</t>
  </si>
  <si>
    <t>08834b:42&gt;+A9-</t>
  </si>
  <si>
    <t>08835b:3E&gt;+A9-</t>
  </si>
  <si>
    <t>08837c:3E&gt;+93-</t>
  </si>
  <si>
    <t>08838c:3E&gt;+96-</t>
  </si>
  <si>
    <t>08856d:3E&gt;+9C-</t>
  </si>
  <si>
    <t>08857d:3E&gt;+9A-</t>
  </si>
  <si>
    <t>09348d:3E&gt;+93-</t>
  </si>
  <si>
    <t>09349d:3E&gt;+96-</t>
  </si>
  <si>
    <t>09368f:3E&gt;+9C-</t>
  </si>
  <si>
    <t>09369e:3E&gt;+9A-</t>
  </si>
  <si>
    <t>09409b:3E&gt;+93-</t>
  </si>
  <si>
    <t>09410b:3E&gt;+96-</t>
  </si>
  <si>
    <t>09468e:3E&gt;+9C-</t>
  </si>
  <si>
    <t>09469e:3E&gt;+9A-</t>
  </si>
  <si>
    <t>09516a:42&gt;+A9-</t>
  </si>
  <si>
    <t>09517b:3E&gt;+A9-</t>
  </si>
  <si>
    <t>09903b:3E&gt;+93-</t>
  </si>
  <si>
    <t>09904b:3E&gt;+96-</t>
  </si>
  <si>
    <t>09942e:3E&gt;+9C-</t>
  </si>
  <si>
    <t>09943e:3E&gt;+9A-</t>
  </si>
  <si>
    <t>09962f:3E&gt;+93-</t>
  </si>
  <si>
    <t>09963f:3E&gt;+96-</t>
  </si>
  <si>
    <t>10003c:3E&gt;+9C-</t>
  </si>
  <si>
    <t>10004b:3E&gt;+9A-</t>
  </si>
  <si>
    <t>10141e:3E&gt;+93-</t>
  </si>
  <si>
    <t>10142e:3E&gt;+96-</t>
  </si>
  <si>
    <t>10181a:3E&gt;+9C-</t>
  </si>
  <si>
    <t>10182a:3E&gt;+9A-</t>
  </si>
  <si>
    <t>10198a:42&gt;+A9-</t>
  </si>
  <si>
    <t>10199b:3E&gt;+A9-</t>
  </si>
  <si>
    <t>10201b:3E&gt;+93-</t>
  </si>
  <si>
    <t>10202b:3E&gt;+96-</t>
  </si>
  <si>
    <t>10240e:3E&gt;+9C-</t>
  </si>
  <si>
    <t>10241e:3E&gt;+9A-</t>
  </si>
  <si>
    <t>10482b:3E&gt;+93-</t>
  </si>
  <si>
    <t>10483a:3E&gt;+96-</t>
  </si>
  <si>
    <t>10562a:3E&gt;+9C-</t>
  </si>
  <si>
    <t>10562f:3E&gt;+9A-</t>
  </si>
  <si>
    <t>10877b:3E&gt;+93-</t>
  </si>
  <si>
    <t>10878b:3E&gt;+96-</t>
  </si>
  <si>
    <t>10880a:42&gt;+A9-</t>
  </si>
  <si>
    <t>10881b:3E&gt;+A9-</t>
  </si>
  <si>
    <t>00014b:3E&gt;+9C-</t>
  </si>
  <si>
    <t>00015b:3E&gt;+9A-</t>
  </si>
  <si>
    <t>00034c:3E&gt;+93-</t>
  </si>
  <si>
    <t>00035c:3E&gt;+96-</t>
  </si>
  <si>
    <t>00074f:27&lt;+</t>
  </si>
  <si>
    <t>00075e:3E&gt;+9A-</t>
  </si>
  <si>
    <t>00344e:3E&gt;+93-</t>
  </si>
  <si>
    <t>00345d:3E&gt;+96-</t>
  </si>
  <si>
    <t>00364f:3E&gt;+9C-</t>
  </si>
  <si>
    <t>00365e:3E&gt;+9A-</t>
  </si>
  <si>
    <t>00385a:3E&gt;+93-</t>
  </si>
  <si>
    <t>00385f:3E&gt;+96-</t>
  </si>
  <si>
    <t>00405b:3E&gt;+9C-</t>
  </si>
  <si>
    <t>00406b:3E&gt;+9A-</t>
  </si>
  <si>
    <t>00445d:3E&gt;+93-</t>
  </si>
  <si>
    <t>00446d:3E&gt;+96-</t>
  </si>
  <si>
    <t>00464f:3E&gt;+9C-</t>
  </si>
  <si>
    <t>00465e:3E&gt;+9A-</t>
  </si>
  <si>
    <t>00613c:3E&gt;+93-</t>
  </si>
  <si>
    <t>00614c:3E&gt;+96-</t>
  </si>
  <si>
    <t>00639c:42&gt;+A9-</t>
  </si>
  <si>
    <t>00640d:3E&gt;+A9-</t>
  </si>
  <si>
    <t>00652e:3E&gt;+9C-</t>
  </si>
  <si>
    <t>00653e:3E&gt;+9A-</t>
  </si>
  <si>
    <t>00672f:3E&gt;+93-</t>
  </si>
  <si>
    <t>00673f:3E&gt;+96-</t>
  </si>
  <si>
    <t>00693b:3E&gt;+9C-</t>
  </si>
  <si>
    <t>00694a:3E&gt;+9A-</t>
  </si>
  <si>
    <t>00713c:3E&gt;+93-</t>
  </si>
  <si>
    <t>00714b:3E&gt;+96-</t>
  </si>
  <si>
    <t>00732d:3E&gt;+9C-</t>
  </si>
  <si>
    <t>00733d:3E&gt;+9A-</t>
  </si>
  <si>
    <t>00849e:3E&gt;+93-</t>
  </si>
  <si>
    <t>00850e:4B&lt;+</t>
  </si>
  <si>
    <t>00868f:3E&gt;+9C-</t>
  </si>
  <si>
    <t>00869f:3E&gt;+9A-</t>
  </si>
  <si>
    <t>00890b:3E&gt;+93-</t>
  </si>
  <si>
    <t>00891a:3E&gt;+96-</t>
  </si>
  <si>
    <t>00970a:3E&gt;+9C-</t>
  </si>
  <si>
    <t>00971a:3E&gt;+9A-</t>
  </si>
  <si>
    <t>01125d:3E&gt;+93-</t>
  </si>
  <si>
    <t>01126d:3E&gt;+96-</t>
  </si>
  <si>
    <t>01144f:3E&gt;+9C-</t>
  </si>
  <si>
    <t>01145f:3E&gt;+9A-</t>
  </si>
  <si>
    <t>01166a:3E&gt;+93-</t>
  </si>
  <si>
    <t>01166f:3E&gt;+96-</t>
  </si>
  <si>
    <t>01205c:3E&gt;+9C-</t>
  </si>
  <si>
    <t>01206c:3E&gt;+9A-</t>
  </si>
  <si>
    <t>01225d:3E&gt;+93-</t>
  </si>
  <si>
    <t>01226d:3E&gt;+96-</t>
  </si>
  <si>
    <t>01245f:27&lt;+</t>
  </si>
  <si>
    <t>01246e:3E&gt;+9A-</t>
  </si>
  <si>
    <t>01321b:42&gt;+A9-</t>
  </si>
  <si>
    <t>01322c:3E&gt;+A9-</t>
  </si>
  <si>
    <t>02003b:42&gt;+A9-</t>
  </si>
  <si>
    <t>02004d:3E&gt;+A9-</t>
  </si>
  <si>
    <t>02685a:42&gt;+A9-</t>
  </si>
  <si>
    <t>02686d:3E&gt;+A9-</t>
  </si>
  <si>
    <t>03367a:42&gt;+A9-</t>
  </si>
  <si>
    <t>03368c:3E&gt;+A9-</t>
  </si>
  <si>
    <t>03571e:3E&gt;+93-</t>
  </si>
  <si>
    <t>03572d:3E&gt;+96-</t>
  </si>
  <si>
    <t>03651c:3E&gt;+9C-</t>
  </si>
  <si>
    <t>03652c:3E&gt;+9A-</t>
  </si>
  <si>
    <t>03671d:3E&gt;+93-</t>
  </si>
  <si>
    <t>03672d:3E&gt;+96-</t>
  </si>
  <si>
    <t>03691f:3E&gt;+9C-</t>
  </si>
  <si>
    <t>03692f:3E&gt;+9A-</t>
  </si>
  <si>
    <t>03904a:3E&gt;+93-</t>
  </si>
  <si>
    <t>03904f:3E&gt;+96-</t>
  </si>
  <si>
    <t>03943c:3E&gt;+9C-</t>
  </si>
  <si>
    <t>03944c:3E&gt;+9A-</t>
  </si>
  <si>
    <t>03963d:3E&gt;+93-</t>
  </si>
  <si>
    <t>03964d:3E&gt;+96-</t>
  </si>
  <si>
    <t>04023b:3E&gt;+9C-</t>
  </si>
  <si>
    <t>04024b:3E&gt;+9A-</t>
  </si>
  <si>
    <t>04049a:42&gt;+A9-</t>
  </si>
  <si>
    <t>04050c:3E&gt;+A9-</t>
  </si>
  <si>
    <t>04730f:42&gt;+A9-</t>
  </si>
  <si>
    <t>04732c:3E&gt;+A9-</t>
  </si>
  <si>
    <t>05412f:42&gt;+A9-</t>
  </si>
  <si>
    <t>05414c:3E&gt;+A9-</t>
  </si>
  <si>
    <t>05564f:3E&gt;+93-</t>
  </si>
  <si>
    <t>05565f:3E&gt;+96-</t>
  </si>
  <si>
    <t>05584b:3E&gt;+9C-</t>
  </si>
  <si>
    <t>05585b:3E&gt;+9A-</t>
  </si>
  <si>
    <t>05624e:3E&gt;+93-</t>
  </si>
  <si>
    <t>05625d:3E&gt;+96-</t>
  </si>
  <si>
    <t>05644e:3E&gt;+9C-</t>
  </si>
  <si>
    <t>05645e:3E&gt;+9A-</t>
  </si>
  <si>
    <t>06094f:42&gt;+A9-</t>
  </si>
  <si>
    <t>06096c:3E&gt;+A9-</t>
  </si>
  <si>
    <t>06386c:3E&gt;+93-</t>
  </si>
  <si>
    <t>06387c:3E&gt;+96-</t>
  </si>
  <si>
    <t>06406d:3E&gt;+9C-</t>
  </si>
  <si>
    <t>06407d:3E&gt;+9A-</t>
  </si>
  <si>
    <t>06426e:3E&gt;+93-</t>
  </si>
  <si>
    <t>06427e:3E&gt;+96-</t>
  </si>
  <si>
    <t>06466b:3E&gt;+9C-</t>
  </si>
  <si>
    <t>06467a:3E&gt;+9A-</t>
  </si>
  <si>
    <t>06487d:3E&gt;+93-</t>
  </si>
  <si>
    <t>06488c:3E&gt;+96-</t>
  </si>
  <si>
    <t>06506d:3E&gt;+9C-</t>
  </si>
  <si>
    <t>06507d:3E&gt;+9A-</t>
  </si>
  <si>
    <t>06669e:42&gt;+93-</t>
  </si>
  <si>
    <t>06670d:42&gt;+96-</t>
  </si>
  <si>
    <t>06690a:42&gt;+9C-</t>
  </si>
  <si>
    <t>06690f:42&gt;+9A-</t>
  </si>
  <si>
    <t>06776e:42&gt;+A9-</t>
  </si>
  <si>
    <t>06778c:3E&gt;+A9-</t>
  </si>
  <si>
    <t>06820b:42&gt;+93-</t>
  </si>
  <si>
    <t>06821b:42&gt;+96-</t>
  </si>
  <si>
    <t>06900a:42&gt;+9C-</t>
  </si>
  <si>
    <t>06901a:42&gt;+9A-</t>
  </si>
  <si>
    <t>06920b:42&gt;+93-</t>
  </si>
  <si>
    <t>06921b:42&gt;+96-</t>
  </si>
  <si>
    <t>06940d:42&gt;+9C-</t>
  </si>
  <si>
    <t>06941d:42&gt;+9A-</t>
  </si>
  <si>
    <t>06969e:42&gt;+93-</t>
  </si>
  <si>
    <t>06970d:42&gt;+96-</t>
  </si>
  <si>
    <t>07010b:42&gt;+9C-</t>
  </si>
  <si>
    <t>07011a:42&gt;+9A-</t>
  </si>
  <si>
    <t>07029c:42&gt;+93-</t>
  </si>
  <si>
    <t>07030c:42&gt;+96-</t>
  </si>
  <si>
    <t>07090a:42&gt;+9C-</t>
  </si>
  <si>
    <t>07090f:42&gt;+9A-</t>
  </si>
  <si>
    <t>07119b:42&gt;+93-</t>
  </si>
  <si>
    <t>07120b:42&gt;+96-</t>
  </si>
  <si>
    <t>07139d:42&gt;+9C-</t>
  </si>
  <si>
    <t>07140d:42&gt;+9A-</t>
  </si>
  <si>
    <t>07179f:42&gt;+93-</t>
  </si>
  <si>
    <t>07180f:42&gt;+96-</t>
  </si>
  <si>
    <t>07200a:42&gt;+9C-</t>
  </si>
  <si>
    <t>07201a:42&gt;+9A-</t>
  </si>
  <si>
    <t>07268e:42&gt;+93-</t>
  </si>
  <si>
    <t>07269e:42&gt;+96-</t>
  </si>
  <si>
    <t>07309b:42&gt;+9C-</t>
  </si>
  <si>
    <t>07310b:42&gt;+9A-</t>
  </si>
  <si>
    <t>07349d:42&gt;+93-</t>
  </si>
  <si>
    <t>07350d:42&gt;+96-</t>
  </si>
  <si>
    <t>07390a:42&gt;+9C-</t>
  </si>
  <si>
    <t>07391a:42&gt;+9A-</t>
  </si>
  <si>
    <t>07419c:42&gt;+93-</t>
  </si>
  <si>
    <t>07420c:42&gt;+96-</t>
  </si>
  <si>
    <t>07458e:42&gt;+A9-</t>
  </si>
  <si>
    <t>07460c:3E&gt;+A9-</t>
  </si>
  <si>
    <t>07519c:42&gt;+9C-</t>
  </si>
  <si>
    <t>07520c:42&gt;+9A-</t>
  </si>
  <si>
    <t>07569f:42&gt;+93-</t>
  </si>
  <si>
    <t>07570f:42&gt;+96-</t>
  </si>
  <si>
    <t>07590a:42&gt;+9C-</t>
  </si>
  <si>
    <t>07591a:42&gt;+9A-</t>
  </si>
  <si>
    <t>07649e:42&gt;+93-</t>
  </si>
  <si>
    <t>07650d:42&gt;+96-</t>
  </si>
  <si>
    <t>07690a:42&gt;+9C-</t>
  </si>
  <si>
    <t>07690f:42&gt;+9A-</t>
  </si>
  <si>
    <t>07719c:42&gt;+93-</t>
  </si>
  <si>
    <t>07720b:42&gt;+96-</t>
  </si>
  <si>
    <t>07800b:42&gt;+9C-</t>
  </si>
  <si>
    <t>07801a:42&gt;+9A-</t>
  </si>
  <si>
    <t>07870a:42&gt;+93-</t>
  </si>
  <si>
    <t>07870f:42&gt;+96-</t>
  </si>
  <si>
    <t>07949e:42&gt;+9C-</t>
  </si>
  <si>
    <t>07950d:42&gt;+9A-</t>
  </si>
  <si>
    <t>08019d:42&gt;+93-</t>
  </si>
  <si>
    <t>08020c:42&gt;+96-</t>
  </si>
  <si>
    <t>08039e:42&gt;+9C-</t>
  </si>
  <si>
    <t>08040d:42&gt;+9A-</t>
  </si>
  <si>
    <t>08080a:42&gt;+93-</t>
  </si>
  <si>
    <t>08081a:42&gt;+96-</t>
  </si>
  <si>
    <t>08119c:42&gt;+9C-</t>
  </si>
  <si>
    <t>08120c:42&gt;+9A-</t>
  </si>
  <si>
    <t>08140e:42&gt;+A9-</t>
  </si>
  <si>
    <t>08142b:3E&gt;+A9-</t>
  </si>
  <si>
    <t>08170a:42&gt;+93-</t>
  </si>
  <si>
    <t>08170f:42&gt;+96-</t>
  </si>
  <si>
    <t>08209c:42&gt;+9C-</t>
  </si>
  <si>
    <t>08210c:42&gt;+9A-</t>
  </si>
  <si>
    <t>08229d:42&gt;+93-</t>
  </si>
  <si>
    <t>08230d:42&gt;+96-</t>
  </si>
  <si>
    <t>08249f:42&gt;+9C-</t>
  </si>
  <si>
    <t>08250e:42&gt;+9A-</t>
  </si>
  <si>
    <t>08270a:42&gt;+93-</t>
  </si>
  <si>
    <t>08270f:42&gt;+96-</t>
  </si>
  <si>
    <t>08290b:42&gt;+9C-</t>
  </si>
  <si>
    <t>08291a:42&gt;+9A-</t>
  </si>
  <si>
    <t>08319d:42&gt;+93-</t>
  </si>
  <si>
    <t>08320c:42&gt;+96-</t>
  </si>
  <si>
    <t>08380b:42&gt;+9C-</t>
  </si>
  <si>
    <t>08381a:42&gt;+9A-</t>
  </si>
  <si>
    <t>08399c:42&gt;+93-</t>
  </si>
  <si>
    <t>08400c:42&gt;+96-</t>
  </si>
  <si>
    <t>08439e:42&gt;+9C-</t>
  </si>
  <si>
    <t>08440e:42&gt;+9A-</t>
  </si>
  <si>
    <t>08469a:42&gt;+93-</t>
  </si>
  <si>
    <t>08470a:42&gt;+96-</t>
  </si>
  <si>
    <t>08489b:42&gt;+9C-</t>
  </si>
  <si>
    <t>08490b:42&gt;+9A-</t>
  </si>
  <si>
    <t>08619d:42&gt;+93-</t>
  </si>
  <si>
    <t>08620c:42&gt;+96-</t>
  </si>
  <si>
    <t>08680b:42&gt;+9C-</t>
  </si>
  <si>
    <t>08681b:42&gt;+9A-</t>
  </si>
  <si>
    <t>08699c:42&gt;+93-</t>
  </si>
  <si>
    <t>08700b:42&gt;+96-</t>
  </si>
  <si>
    <t>08719d:42&gt;+9C-</t>
  </si>
  <si>
    <t>08720c:42&gt;+9A-</t>
  </si>
  <si>
    <t>08769a:42&gt;+93-</t>
  </si>
  <si>
    <t>08770a:42&gt;+96-</t>
  </si>
  <si>
    <t>08789b:42&gt;+9C-</t>
  </si>
  <si>
    <t>08790b:42&gt;+9A-</t>
  </si>
  <si>
    <t>08822d:42&gt;+A9-</t>
  </si>
  <si>
    <t>08824b:3E&gt;+A9-</t>
  </si>
  <si>
    <t>08829e:42&gt;+93-</t>
  </si>
  <si>
    <t>08830d:42&gt;+96-</t>
  </si>
  <si>
    <t>08890b:42&gt;+9C-</t>
  </si>
  <si>
    <t>08891b:42&gt;+9A-</t>
  </si>
  <si>
    <t>08919d:42&gt;+93-</t>
  </si>
  <si>
    <t>08920d:42&gt;+96-</t>
  </si>
  <si>
    <t>08939e:42&gt;+9C-</t>
  </si>
  <si>
    <t>08940e:42&gt;+9A-</t>
  </si>
  <si>
    <t>08979b:42&gt;+93-</t>
  </si>
  <si>
    <t>08980b:42&gt;+96-</t>
  </si>
  <si>
    <t>09019e:42&gt;+9C-</t>
  </si>
  <si>
    <t>09020d:42&gt;+9A-</t>
  </si>
  <si>
    <t>09070b:42&gt;+93-</t>
  </si>
  <si>
    <t>09071a:42&gt;+96-</t>
  </si>
  <si>
    <t>09090c:42&gt;+9C-</t>
  </si>
  <si>
    <t>09091b:42&gt;+9A-</t>
  </si>
  <si>
    <t>09109d:42&gt;+93-</t>
  </si>
  <si>
    <t>09110d:42&gt;+96-</t>
  </si>
  <si>
    <t>09190c:42&gt;+9C-</t>
  </si>
  <si>
    <t>09191c:42&gt;+9A-</t>
  </si>
  <si>
    <t>09219d:42&gt;+93-</t>
  </si>
  <si>
    <t>09220d:42&gt;+96-</t>
  </si>
  <si>
    <t>09280b:42&gt;+9C-</t>
  </si>
  <si>
    <t>09281b:42&gt;+9A-</t>
  </si>
  <si>
    <t>09299d:42&gt;+93-</t>
  </si>
  <si>
    <t>09300c:42&gt;+96-</t>
  </si>
  <si>
    <t>09340f:42&gt;+9C-</t>
  </si>
  <si>
    <t>09341f:42&gt;+9A-</t>
  </si>
  <si>
    <t>09370b:42&gt;+93-</t>
  </si>
  <si>
    <t>09371b:42&gt;+96-</t>
  </si>
  <si>
    <t>09390c:42&gt;+9C-</t>
  </si>
  <si>
    <t>09391c:42&gt;+9A-</t>
  </si>
  <si>
    <t>09410e:42&gt;+93-</t>
  </si>
  <si>
    <t>09411d:42&gt;+96-</t>
  </si>
  <si>
    <t>09450a:42&gt;+9C-</t>
  </si>
  <si>
    <t>09450f:42&gt;+9A-</t>
  </si>
  <si>
    <t>09470b:42&gt;+93-</t>
  </si>
  <si>
    <t>09471b:42&gt;+96-</t>
  </si>
  <si>
    <t>09490c:42&gt;+9C-</t>
  </si>
  <si>
    <t>09491c:42&gt;+9A-</t>
  </si>
  <si>
    <t>09504d:42&gt;+A9-</t>
  </si>
  <si>
    <t>09506b:3E&gt;+A9-</t>
  </si>
  <si>
    <t>09520e:42&gt;+93-</t>
  </si>
  <si>
    <t>09521d:42&gt;+96-</t>
  </si>
  <si>
    <t>09541a:42&gt;+9C-</t>
  </si>
  <si>
    <t>09541f:42&gt;+9A-</t>
  </si>
  <si>
    <t>10186c:42&gt;+A9-</t>
  </si>
  <si>
    <t>10188b:3E&gt;+A9-</t>
  </si>
  <si>
    <t>10868c:42&gt;+A9-</t>
  </si>
  <si>
    <t>10870b:3E&gt;+A9-</t>
  </si>
  <si>
    <t>10901d:3E&gt;+93-</t>
  </si>
  <si>
    <t>10902d:3E&gt;+96-</t>
  </si>
  <si>
    <t>00058e:3E&gt;+9C-</t>
  </si>
  <si>
    <t>00059d:3E&gt;+9A-</t>
  </si>
  <si>
    <t>00079a:3E&gt;+93-</t>
  </si>
  <si>
    <t>00080a:3E&gt;+96-</t>
  </si>
  <si>
    <t>00098a:3E&gt;+9C-</t>
  </si>
  <si>
    <t>00099a:3E&gt;+9A-</t>
  </si>
  <si>
    <t>00483a:3E&gt;+93-</t>
  </si>
  <si>
    <t>00483f:3E&gt;+96-</t>
  </si>
  <si>
    <t>00522c:3E&gt;+9C-</t>
  </si>
  <si>
    <t>00523c:3E&gt;+9A-</t>
  </si>
  <si>
    <t>00542e:3E&gt;+93-</t>
  </si>
  <si>
    <t>00543d:3E&gt;+96-</t>
  </si>
  <si>
    <t>00603b:3E&gt;+9C-</t>
  </si>
  <si>
    <t>00604b:3E&gt;+9A-</t>
  </si>
  <si>
    <t>00627e:42&gt;+A9-</t>
  </si>
  <si>
    <t>00629d:3E&gt;+A9-</t>
  </si>
  <si>
    <t>00780b:3E&gt;+93-</t>
  </si>
  <si>
    <t>00781a:3E&gt;+96-</t>
  </si>
  <si>
    <t>00819d:3E&gt;+9C-</t>
  </si>
  <si>
    <t>00820d:3E&gt;+9A-</t>
  </si>
  <si>
    <t>00839e:3E&gt;+93-</t>
  </si>
  <si>
    <t>00840e:3E&gt;+96-</t>
  </si>
  <si>
    <t>00900c:3E&gt;+9C-</t>
  </si>
  <si>
    <t>00901c:3E&gt;+9A-</t>
  </si>
  <si>
    <t>01027e:3E&gt;+93-</t>
  </si>
  <si>
    <t>01028e:3E&gt;+96-</t>
  </si>
  <si>
    <t>01067a:3E&gt;+9C-</t>
  </si>
  <si>
    <t>01067f:3E&gt;+9A-</t>
  </si>
  <si>
    <t>01087b:3E&gt;+93-</t>
  </si>
  <si>
    <t>01088a:3E&gt;+96-</t>
  </si>
  <si>
    <t>01146f:3E&gt;+9C-</t>
  </si>
  <si>
    <t>01147e:3E&gt;+9A-</t>
  </si>
  <si>
    <t>01288b:3E&gt;+93-</t>
  </si>
  <si>
    <t>01289b:3E&gt;+96-</t>
  </si>
  <si>
    <t>01309d:42&gt;+A9-</t>
  </si>
  <si>
    <t>01311d:3E&gt;+A9-</t>
  </si>
  <si>
    <t>01327e:3E&gt;+9C-</t>
  </si>
  <si>
    <t>01328e:3E&gt;+9A-</t>
  </si>
  <si>
    <t>01348f:3E&gt;+93-</t>
  </si>
  <si>
    <t>01349f:3E&gt;+96-</t>
  </si>
  <si>
    <t>01408d:3E&gt;+9C-</t>
  </si>
  <si>
    <t>01409c:3E&gt;+9A-</t>
  </si>
  <si>
    <t>01922f:3E&gt;+93-</t>
  </si>
  <si>
    <t>01923f:3E&gt;+96-</t>
  </si>
  <si>
    <t>01963b:3E&gt;+9C-</t>
  </si>
  <si>
    <t>01964b:3E&gt;+9A-</t>
  </si>
  <si>
    <t>01983c:3E&gt;+93-</t>
  </si>
  <si>
    <t>01984c:3E&gt;+96-</t>
  </si>
  <si>
    <t>01991d:42&gt;+A9-</t>
  </si>
  <si>
    <t>01993d:3E&gt;+A9-</t>
  </si>
  <si>
    <t>02043b:3E&gt;+9C-</t>
  </si>
  <si>
    <t>02044a:3E&gt;+9A-</t>
  </si>
  <si>
    <t>02673d:42&gt;+A9-</t>
  </si>
  <si>
    <t>02675c:3E&gt;+A9-</t>
  </si>
  <si>
    <t>03355c:42&gt;+A9-</t>
  </si>
  <si>
    <t>03357c:3E&gt;+A9-</t>
  </si>
  <si>
    <t>04037c:42&gt;+A9-</t>
  </si>
  <si>
    <t>04039c:3E&gt;+A9-</t>
  </si>
  <si>
    <t>04719b:42&gt;+A9-</t>
  </si>
  <si>
    <t>04721b:3E&gt;+A9-</t>
  </si>
  <si>
    <t>05401b:42&gt;+A9-</t>
  </si>
  <si>
    <t>05403c:3E&gt;+A9-</t>
  </si>
  <si>
    <t>06083a:42&gt;+A9-</t>
  </si>
  <si>
    <t>06085b:3E&gt;+A9-</t>
  </si>
  <si>
    <t>06765a:42&gt;+A9-</t>
  </si>
  <si>
    <t>06767b:3E&gt;+A9-</t>
  </si>
  <si>
    <t>06866b:42&gt;+93-</t>
  </si>
  <si>
    <t>06867a:42&gt;+96-</t>
  </si>
  <si>
    <t>07447a:42&gt;+A9-</t>
  </si>
  <si>
    <t>07449b:3E&gt;+A9-</t>
  </si>
  <si>
    <t>08128f:42&gt;+A9-</t>
  </si>
  <si>
    <t>08131b:3E&gt;+A9-</t>
  </si>
  <si>
    <t>08176c:42&gt;+AA-</t>
  </si>
  <si>
    <t>08813b:3E&gt;+A9-</t>
  </si>
  <si>
    <t>09495a:3E&gt;+A9-</t>
  </si>
  <si>
    <t>10177a:3E&gt;+A9-</t>
  </si>
  <si>
    <t>10859a:3E&gt;+A9-</t>
  </si>
  <si>
    <t>00617c:3E&gt;+AC-</t>
  </si>
  <si>
    <t>End log file</t>
  </si>
  <si>
    <t>Adresse</t>
  </si>
  <si>
    <t>06116d:3F&lt;+80-</t>
  </si>
  <si>
    <t>06117b:3E&gt;+21-</t>
  </si>
  <si>
    <t>Status</t>
  </si>
  <si>
    <t>Kdo(dez)</t>
  </si>
  <si>
    <t>Hex</t>
  </si>
  <si>
    <t>Dez</t>
  </si>
  <si>
    <t>Code</t>
  </si>
  <si>
    <t>0xA3</t>
  </si>
  <si>
    <t>0xA5</t>
  </si>
  <si>
    <t>0xA6</t>
  </si>
  <si>
    <t>0xB0</t>
  </si>
  <si>
    <t>0xB9</t>
  </si>
  <si>
    <t>0xA9</t>
  </si>
  <si>
    <t>0xAA</t>
  </si>
  <si>
    <t>0xAC</t>
  </si>
  <si>
    <t>0x93</t>
  </si>
  <si>
    <t>0x9C</t>
  </si>
  <si>
    <t>0x96</t>
  </si>
  <si>
    <t>0x9A</t>
  </si>
  <si>
    <t>BusLebenszeichen</t>
  </si>
  <si>
    <t xml:space="preserve">WahlFreigabe </t>
  </si>
  <si>
    <t>Wahlziffer0</t>
  </si>
  <si>
    <t>Wahlziffer9</t>
  </si>
  <si>
    <t>Schluss</t>
  </si>
  <si>
    <t>Space</t>
  </si>
  <si>
    <t>Mark</t>
  </si>
  <si>
    <t>SpaceWdh</t>
  </si>
  <si>
    <t>MarkWdh</t>
  </si>
  <si>
    <t>Ein</t>
  </si>
  <si>
    <t>QuittEin</t>
  </si>
  <si>
    <t>QuittSchluss</t>
  </si>
  <si>
    <t>---Ende</t>
  </si>
  <si>
    <t>Kdo-Text</t>
  </si>
  <si>
    <t>A an B</t>
  </si>
  <si>
    <t>B an A</t>
  </si>
  <si>
    <t>sonst</t>
  </si>
  <si>
    <t>02022a:CA&gt;+93-</t>
  </si>
  <si>
    <t>02022f:CA&gt;+96-</t>
  </si>
  <si>
    <t>02082e:CA&gt;+9C-</t>
  </si>
  <si>
    <t>02083d:CA&gt;+9A-</t>
  </si>
  <si>
    <t>02112a:CA&gt;+93-</t>
  </si>
  <si>
    <t>02112f:CA&gt;+96-</t>
  </si>
  <si>
    <t>02128f:3E&gt;+9A-</t>
  </si>
  <si>
    <t>02132b:CA&gt;+9C-</t>
  </si>
  <si>
    <t>02133a:CA&gt;+9A-</t>
  </si>
  <si>
    <t>02171d:CA&gt;+93-</t>
  </si>
  <si>
    <t>02172c:CA&gt;+96-</t>
  </si>
  <si>
    <t>02191f:CA&gt;+9C-</t>
  </si>
  <si>
    <t>02192e:CA&gt;+9A-</t>
  </si>
  <si>
    <t>02262d:CA&gt;+93-</t>
  </si>
  <si>
    <t>02263c:CA&gt;+96-</t>
  </si>
  <si>
    <t>02303a:CA&gt;+9C-</t>
  </si>
  <si>
    <t>02303f:CA&gt;+9A-</t>
  </si>
  <si>
    <t>02342c:CA&gt;+93-</t>
  </si>
  <si>
    <t>02343b:CA&gt;+96-</t>
  </si>
  <si>
    <t>02382e:CA&gt;+9C-</t>
  </si>
  <si>
    <t>02383d:CA&gt;+9A-</t>
  </si>
  <si>
    <t>02412a:CA&gt;+93-</t>
  </si>
  <si>
    <t>02412f:CA&gt;+96-</t>
  </si>
  <si>
    <t>02484d:CA&gt;+A9-</t>
  </si>
  <si>
    <t>02512a:CA&gt;+9C-</t>
  </si>
  <si>
    <t>02513a:CA&gt;+9A-</t>
  </si>
  <si>
    <t>02562d:CA&gt;+93-</t>
  </si>
  <si>
    <t>02563d:CA&gt;+96-</t>
  </si>
  <si>
    <t>02582e:CA&gt;+9C-</t>
  </si>
  <si>
    <t>02583e:CA&gt;+9A-</t>
  </si>
  <si>
    <t>02634f:3E&gt;+9A-</t>
  </si>
  <si>
    <t>02642b:CA&gt;+93-</t>
  </si>
  <si>
    <t>02643b:CA&gt;+96-</t>
  </si>
  <si>
    <t>02682e:CA&gt;+9C-</t>
  </si>
  <si>
    <t>02683e:CA&gt;+9A-</t>
  </si>
  <si>
    <t>02712a:CA&gt;+93-</t>
  </si>
  <si>
    <t>02712f:CA&gt;+96-</t>
  </si>
  <si>
    <t>02791f:CA&gt;+9C-</t>
  </si>
  <si>
    <t>02792f:CA&gt;+9A-</t>
  </si>
  <si>
    <t>02862d:CA&gt;+93-</t>
  </si>
  <si>
    <t>02863d:CA&gt;+96-</t>
  </si>
  <si>
    <t>02942c:CA&gt;+9C-</t>
  </si>
  <si>
    <t>02943b:CA&gt;+9A-</t>
  </si>
  <si>
    <t>03012b:CA&gt;+93-</t>
  </si>
  <si>
    <t>03013a:CA&gt;+96-</t>
  </si>
  <si>
    <t>03032c:CA&gt;+9C-</t>
  </si>
  <si>
    <t>03033b:CA&gt;+9A-</t>
  </si>
  <si>
    <t>03072e:CA&gt;+93-</t>
  </si>
  <si>
    <t>03073e:CA&gt;+96-</t>
  </si>
  <si>
    <t>03112a:CA&gt;+9C-</t>
  </si>
  <si>
    <t>03113a:CA&gt;+9A-</t>
  </si>
  <si>
    <t>03140f:3E&gt;+9A-</t>
  </si>
  <si>
    <t>03162e:CA&gt;+93-</t>
  </si>
  <si>
    <t>03163d:CA&gt;+96-</t>
  </si>
  <si>
    <t>03166d:CA&gt;+A9-</t>
  </si>
  <si>
    <t>03203a:CA&gt;+9C-</t>
  </si>
  <si>
    <t>03204a:CA&gt;+9A-</t>
  </si>
  <si>
    <t>03222c:CA&gt;+93-</t>
  </si>
  <si>
    <t>03224f:CA&gt;+96-</t>
  </si>
  <si>
    <t>03242c:CA&gt;+9C-</t>
  </si>
  <si>
    <t>03243c:CA&gt;+9A-</t>
  </si>
  <si>
    <t>03262d:CA&gt;+93-</t>
  </si>
  <si>
    <t>03263d:CA&gt;+96-</t>
  </si>
  <si>
    <t>03282f:CA&gt;+9C-</t>
  </si>
  <si>
    <t>03283f:CA&gt;+9A-</t>
  </si>
  <si>
    <t>03312b:CA&gt;+93-</t>
  </si>
  <si>
    <t>03313a:CA&gt;+96-</t>
  </si>
  <si>
    <t>03372f:CA&gt;+9C-</t>
  </si>
  <si>
    <t>03373e:CA&gt;+9A-</t>
  </si>
  <si>
    <t>03392f:CA&gt;+93-</t>
  </si>
  <si>
    <t>03393f:CA&gt;+96-</t>
  </si>
  <si>
    <t>03433c:CA&gt;+9C-</t>
  </si>
  <si>
    <t>03434c:CA&gt;+9A-</t>
  </si>
  <si>
    <t>03462e:CA&gt;+93-</t>
  </si>
  <si>
    <t>03463f:CA&gt;+96-</t>
  </si>
  <si>
    <t>03482f:CA&gt;+9C-</t>
  </si>
  <si>
    <t>03483e:CA&gt;+9A-</t>
  </si>
  <si>
    <t>03612b:CA&gt;+93-</t>
  </si>
  <si>
    <t>03613a:CA&gt;+96-</t>
  </si>
  <si>
    <t>03646f:26&gt;-</t>
  </si>
  <si>
    <t>03672f:CA&gt;+9C-</t>
  </si>
  <si>
    <t>03673e:CA&gt;+9A-</t>
  </si>
  <si>
    <t>03693a:CA&gt;+93-</t>
  </si>
  <si>
    <t>03693f:CA&gt;+96-</t>
  </si>
  <si>
    <t>03712b:CA&gt;+9C-</t>
  </si>
  <si>
    <t>03713a:CA&gt;+9A-</t>
  </si>
  <si>
    <t>03762e:CA&gt;+93-</t>
  </si>
  <si>
    <t>03763e:CA&gt;+96-</t>
  </si>
  <si>
    <t>03783a:CA&gt;+9C-</t>
  </si>
  <si>
    <t>03783f:CA&gt;+9A-</t>
  </si>
  <si>
    <t>03823c:CA&gt;+93-</t>
  </si>
  <si>
    <t>03824b:CA&gt;+96-</t>
  </si>
  <si>
    <t>03848d:CA&gt;+A9-</t>
  </si>
  <si>
    <t>03882f:CA&gt;+9C-</t>
  </si>
  <si>
    <t>03883f:CA&gt;+9A-</t>
  </si>
  <si>
    <t>03913b:CA&gt;+93-</t>
  </si>
  <si>
    <t>03914b:CA&gt;+96-</t>
  </si>
  <si>
    <t>03933d:CA&gt;+9C-</t>
  </si>
  <si>
    <t>03934c:CA&gt;+9A-</t>
  </si>
  <si>
    <t>03972f:CA&gt;+93-</t>
  </si>
  <si>
    <t>03973e:CA&gt;+96-</t>
  </si>
  <si>
    <t>04012b:CA&gt;+9C-</t>
  </si>
  <si>
    <t>04013b:CA&gt;+9A-</t>
  </si>
  <si>
    <t>04062e:CA&gt;+93-</t>
  </si>
  <si>
    <t>04063e:CA&gt;+96-</t>
  </si>
  <si>
    <t>04082f:CA&gt;+9C-</t>
  </si>
  <si>
    <t>04083f:CA&gt;+9A-</t>
  </si>
  <si>
    <t>04103b:CA&gt;+93-</t>
  </si>
  <si>
    <t>04104b:CA&gt;+96-</t>
  </si>
  <si>
    <t>04152f:3E&gt;+9A-</t>
  </si>
  <si>
    <t>04183a:CA&gt;+9C-</t>
  </si>
  <si>
    <t>04183f:CA&gt;+9A-</t>
  </si>
  <si>
    <t>04213c:CA&gt;+93-</t>
  </si>
  <si>
    <t>04214b:CA&gt;+96-</t>
  </si>
  <si>
    <t>04272f:CA&gt;+9C-</t>
  </si>
  <si>
    <t>04273f:CA&gt;+9A-</t>
  </si>
  <si>
    <t>04293a:CA&gt;+93-</t>
  </si>
  <si>
    <t>04294a:CA&gt;+96-</t>
  </si>
  <si>
    <t>04333d:CA&gt;+9C-</t>
  </si>
  <si>
    <t>04334d:CA&gt;+9A-</t>
  </si>
  <si>
    <t>04362f:CA&gt;+93-</t>
  </si>
  <si>
    <t>04363f:CA&gt;+96-</t>
  </si>
  <si>
    <t>04384a:CA&gt;+9C-</t>
  </si>
  <si>
    <t>04384f:CA&gt;+9A-</t>
  </si>
  <si>
    <t>04403b:CA&gt;+93-</t>
  </si>
  <si>
    <t>04404b:CA&gt;+96-</t>
  </si>
  <si>
    <t>04443d:CA&gt;+9C-</t>
  </si>
  <si>
    <t>04444d:CA&gt;+9A-</t>
  </si>
  <si>
    <t>04463f:CA&gt;+93-</t>
  </si>
  <si>
    <t>04464f:CA&gt;+96-</t>
  </si>
  <si>
    <t>04484a:CA&gt;+9C-</t>
  </si>
  <si>
    <t>04485a:CA&gt;+9A-</t>
  </si>
  <si>
    <t>04513c:CA&gt;+93-</t>
  </si>
  <si>
    <t>04514c:CA&gt;+96-</t>
  </si>
  <si>
    <t>04530d:CA&gt;+A9-</t>
  </si>
  <si>
    <t>04533d:CA&gt;+9C-</t>
  </si>
  <si>
    <t>04534d:CA&gt;+9A-</t>
  </si>
  <si>
    <t>04659a:3E&gt;+9A-</t>
  </si>
  <si>
    <t>05165a:3E&gt;+9A-</t>
  </si>
  <si>
    <t>05212c:CA&gt;+A9-</t>
  </si>
  <si>
    <t>05298c:CA&gt;+93-</t>
  </si>
  <si>
    <t>05299c:CA&gt;+96-</t>
  </si>
  <si>
    <t>05378b:CA&gt;+9C-</t>
  </si>
  <si>
    <t>05379a:CA&gt;+9A-</t>
  </si>
  <si>
    <t>05398c:CA&gt;+93-</t>
  </si>
  <si>
    <t>05399b:CA&gt;+96-</t>
  </si>
  <si>
    <t>05418e:CA&gt;+9C-</t>
  </si>
  <si>
    <t>05419d:CA&gt;+9A-</t>
  </si>
  <si>
    <t>05535e:CA&gt;+93-</t>
  </si>
  <si>
    <t>05536e:CA&gt;+96-</t>
  </si>
  <si>
    <t>05576b:CA&gt;+9C-</t>
  </si>
  <si>
    <t>05577b:CA&gt;+9A-</t>
  </si>
  <si>
    <t>05596c:CA&gt;+93-</t>
  </si>
  <si>
    <t>05597c:CA&gt;+96-</t>
  </si>
  <si>
    <t>05656a:CA&gt;+9C-</t>
  </si>
  <si>
    <t>05656f:CA&gt;+9A-</t>
  </si>
  <si>
    <t>05671a:3E&gt;+9A-</t>
  </si>
  <si>
    <t>05726e:CA&gt;+93-</t>
  </si>
  <si>
    <t>05727d:CA&gt;+96-</t>
  </si>
  <si>
    <t>05766b:CA&gt;+9C-</t>
  </si>
  <si>
    <t>05767a:CA&gt;+9A-</t>
  </si>
  <si>
    <t>05786c:CA&gt;+93-</t>
  </si>
  <si>
    <t>05787b:CA&gt;+96-</t>
  </si>
  <si>
    <t>05847a:CA&gt;+9C-</t>
  </si>
  <si>
    <t>05847f:CA&gt;+9A-</t>
  </si>
  <si>
    <t>05894b:CA&gt;+A9-</t>
  </si>
  <si>
    <t>06148a:CA&gt;+93-</t>
  </si>
  <si>
    <t>06148f:CA&gt;+96-</t>
  </si>
  <si>
    <t>06177a:3E&gt;+9A-</t>
  </si>
  <si>
    <t>06208d:CA&gt;+9C-</t>
  </si>
  <si>
    <t>06209d:CA&gt;+9A-</t>
  </si>
  <si>
    <t>06228f:CA&gt;+93-</t>
  </si>
  <si>
    <t>06229f:CA&gt;+96-</t>
  </si>
  <si>
    <t>06248a:CA&gt;+9C-</t>
  </si>
  <si>
    <t>06248f:CA&gt;+9A-</t>
  </si>
  <si>
    <t>06355a:CA&gt;+93-</t>
  </si>
  <si>
    <t>06356c:CA&gt;+96-</t>
  </si>
  <si>
    <t>06375b:CA&gt;+9C-</t>
  </si>
  <si>
    <t>06376b:CA&gt;+9A-</t>
  </si>
  <si>
    <t>06415e:CA&gt;+93-</t>
  </si>
  <si>
    <t>06416d:CA&gt;+96-</t>
  </si>
  <si>
    <t>06476c:CA&gt;+9C-</t>
  </si>
  <si>
    <t>06477b:CA&gt;+9A-</t>
  </si>
  <si>
    <t>06570c:CA&gt;+93-</t>
  </si>
  <si>
    <t>06571b:CA&gt;+96-</t>
  </si>
  <si>
    <t>06576b:CA&gt;+A9-</t>
  </si>
  <si>
    <t>06610e:CA&gt;+9C-</t>
  </si>
  <si>
    <t>06611e:CA&gt;+9A-</t>
  </si>
  <si>
    <t>06629f:CA&gt;+93-</t>
  </si>
  <si>
    <t>06630e:CA&gt;+96-</t>
  </si>
  <si>
    <t>06670c:CA&gt;+9C-</t>
  </si>
  <si>
    <t>06671b:CA&gt;+9A-</t>
  </si>
  <si>
    <t>06683a:3E&gt;+9A-</t>
  </si>
  <si>
    <t>06720f:CA&gt;+93-</t>
  </si>
  <si>
    <t>06721e:CA&gt;+96-</t>
  </si>
  <si>
    <t>06761c:CA&gt;+9C-</t>
  </si>
  <si>
    <t>06762b:CA&gt;+9A-</t>
  </si>
  <si>
    <t>06780c:CA&gt;+93-</t>
  </si>
  <si>
    <t>06781c:CA&gt;+96-</t>
  </si>
  <si>
    <t>06820f:CA&gt;+9C-</t>
  </si>
  <si>
    <t>06821f:CA&gt;+9A-</t>
  </si>
  <si>
    <t>06935a:CA&gt;+93-</t>
  </si>
  <si>
    <t>06936a:CA&gt;+96-</t>
  </si>
  <si>
    <t>07014f:CA&gt;+9C-</t>
  </si>
  <si>
    <t>07015e:CA&gt;+9A-</t>
  </si>
  <si>
    <t>07189a:3E&gt;+9A-</t>
  </si>
  <si>
    <t>07258b:CA&gt;+A9-</t>
  </si>
  <si>
    <t>07265c:CA&gt;+93-</t>
  </si>
  <si>
    <t>07266c:CA&gt;+96-</t>
  </si>
  <si>
    <t>07325a:CA&gt;+9C-</t>
  </si>
  <si>
    <t>07325f:CA&gt;+9A-</t>
  </si>
  <si>
    <t>07345b:CA&gt;+93-</t>
  </si>
  <si>
    <t>07346a:CA&gt;+96-</t>
  </si>
  <si>
    <t>07385d:CA&gt;+9C-</t>
  </si>
  <si>
    <t>07386c:CA&gt;+9A-</t>
  </si>
  <si>
    <t>07553b:CA&gt;+93-</t>
  </si>
  <si>
    <t>07554b:CA&gt;+96-</t>
  </si>
  <si>
    <t>07612f:CA&gt;+9C-</t>
  </si>
  <si>
    <t>07613e:CA&gt;+9A-</t>
  </si>
  <si>
    <t>07633a:CA&gt;+93-</t>
  </si>
  <si>
    <t>07634a:CA&gt;+96-</t>
  </si>
  <si>
    <t>07652c:CA&gt;+9C-</t>
  </si>
  <si>
    <t>07653b:CA&gt;+9A-</t>
  </si>
  <si>
    <t>07695a:3E&gt;+9A-</t>
  </si>
  <si>
    <t>07769d:CA&gt;+93-</t>
  </si>
  <si>
    <t>07770c:CA&gt;+96-</t>
  </si>
  <si>
    <t>07789e:CA&gt;+9C-</t>
  </si>
  <si>
    <t>07790d:CA&gt;+9A-</t>
  </si>
  <si>
    <t>07809f:CA&gt;+93-</t>
  </si>
  <si>
    <t>07810f:CA&gt;+96-</t>
  </si>
  <si>
    <t>07889e:CA&gt;+9C-</t>
  </si>
  <si>
    <t>07890d:CA&gt;+9A-</t>
  </si>
  <si>
    <t>07920a:CA&gt;+93-</t>
  </si>
  <si>
    <t>07921a:CA&gt;+96-</t>
  </si>
  <si>
    <t>07940a:CA&gt;+A9-</t>
  </si>
  <si>
    <t>07980d:CA&gt;+9C-</t>
  </si>
  <si>
    <t>07982f:CA&gt;+9A-</t>
  </si>
  <si>
    <t>08020a:CA&gt;+93-</t>
  </si>
  <si>
    <t>08021a:CA&gt;+96-</t>
  </si>
  <si>
    <t>08040b:CA&gt;+9C-</t>
  </si>
  <si>
    <t>08041b:CA&gt;+9A-</t>
  </si>
  <si>
    <t>08069d:CA&gt;+93-</t>
  </si>
  <si>
    <t>08070d:CA&gt;+96-</t>
  </si>
  <si>
    <t>08130b:CA&gt;+9C-</t>
  </si>
  <si>
    <t>08131a:CA&gt;+9A-</t>
  </si>
  <si>
    <t>08170e:CA&gt;+93-</t>
  </si>
  <si>
    <t>08171d:CA&gt;+96-</t>
  </si>
  <si>
    <t>08190f:CA&gt;+9C-</t>
  </si>
  <si>
    <t>08191e:CA&gt;+9A-</t>
  </si>
  <si>
    <t>08201a:3E&gt;+9A-</t>
  </si>
  <si>
    <t>08259d:CA&gt;+93-</t>
  </si>
  <si>
    <t>08260c:CA&gt;+96-</t>
  </si>
  <si>
    <t>08300a:CA&gt;+9C-</t>
  </si>
  <si>
    <t>08300f:CA&gt;+9A-</t>
  </si>
  <si>
    <t>08339c:CA&gt;+93-</t>
  </si>
  <si>
    <t>08340b:CA&gt;+96-</t>
  </si>
  <si>
    <t>08379e:CA&gt;+9C-</t>
  </si>
  <si>
    <t>08380e:CA&gt;+9A-</t>
  </si>
  <si>
    <t>08493f:CA&gt;+93-</t>
  </si>
  <si>
    <t>08494f:CA&gt;+96-</t>
  </si>
  <si>
    <t>08554d:CA&gt;+9C-</t>
  </si>
  <si>
    <t>08555c:CA&gt;+9A-</t>
  </si>
  <si>
    <t>08594f:CA&gt;+93-</t>
  </si>
  <si>
    <t>08595e:CA&gt;+96-</t>
  </si>
  <si>
    <t>08615b:CA&gt;+9C-</t>
  </si>
  <si>
    <t>08616a:CA&gt;+9A-</t>
  </si>
  <si>
    <t>08622a:CA&gt;+A9-</t>
  </si>
  <si>
    <t>08707b:3E&gt;+9A-</t>
  </si>
  <si>
    <t>08719a:CA&gt;+93-</t>
  </si>
  <si>
    <t>08720a:CA&gt;+96-</t>
  </si>
  <si>
    <t>08759e:CA&gt;+9C-</t>
  </si>
  <si>
    <t>08760d:CA&gt;+9A-</t>
  </si>
  <si>
    <t>08778e:CA&gt;+93-</t>
  </si>
  <si>
    <t>08779e:CA&gt;+96-</t>
  </si>
  <si>
    <t>08799a:CA&gt;+9C-</t>
  </si>
  <si>
    <t>08800a:CA&gt;+9A-</t>
  </si>
  <si>
    <t>09010a:CA&gt;+93-</t>
  </si>
  <si>
    <t>09011a:CA&gt;+96-</t>
  </si>
  <si>
    <t>09030b:CA&gt;+9C-</t>
  </si>
  <si>
    <t>09031b:CA&gt;+9A-</t>
  </si>
  <si>
    <t>09069e:CA&gt;+93-</t>
  </si>
  <si>
    <t>09070e:CA&gt;+96-</t>
  </si>
  <si>
    <t>09089f:CA&gt;+9C-</t>
  </si>
  <si>
    <t>09090f:CA&gt;+9A-</t>
  </si>
  <si>
    <t>09159e:CA&gt;+93-</t>
  </si>
  <si>
    <t>09160d:CA&gt;+96-</t>
  </si>
  <si>
    <t>09213b:3E&gt;+9A-</t>
  </si>
  <si>
    <t>09220b:CA&gt;+9C-</t>
  </si>
  <si>
    <t>09221b:CA&gt;+9A-</t>
  </si>
  <si>
    <t>09259e:CA&gt;+93-</t>
  </si>
  <si>
    <t>09260e:CA&gt;+96-</t>
  </si>
  <si>
    <t>09279f:CA&gt;+9C-</t>
  </si>
  <si>
    <t>09280f:CA&gt;+9A-</t>
  </si>
  <si>
    <t>09304a:CA&gt;+A9-</t>
  </si>
  <si>
    <t>09310b:CA&gt;+93-</t>
  </si>
  <si>
    <t>09311a:CA&gt;+96-</t>
  </si>
  <si>
    <t>09370f:CA&gt;+9C-</t>
  </si>
  <si>
    <t>09371e:CA&gt;+9A-</t>
  </si>
  <si>
    <t>09390a:CA&gt;+93-</t>
  </si>
  <si>
    <t>09391a:CA&gt;+96-</t>
  </si>
  <si>
    <t>09430c:CA&gt;+9C-</t>
  </si>
  <si>
    <t>09431c:CA&gt;+9A-</t>
  </si>
  <si>
    <t>09552e:CA&gt;+93-</t>
  </si>
  <si>
    <t>09553d:CA&gt;+96-</t>
  </si>
  <si>
    <t>09573f:CA&gt;+9C-</t>
  </si>
  <si>
    <t>09574f:CA&gt;+9A-</t>
  </si>
  <si>
    <t>09703a:CA&gt;+93-</t>
  </si>
  <si>
    <t>09704a:CA&gt;+96-</t>
  </si>
  <si>
    <t>09719b:3E&gt;+9A-</t>
  </si>
  <si>
    <t>09723c:CA&gt;+9C-</t>
  </si>
  <si>
    <t>09724c:CA&gt;+9A-</t>
  </si>
  <si>
    <t>09743d:CA&gt;+93-</t>
  </si>
  <si>
    <t>09744d:CA&gt;+96-</t>
  </si>
  <si>
    <t>09763e:CA&gt;+9C-</t>
  </si>
  <si>
    <t>09764e:CA&gt;+9A-</t>
  </si>
  <si>
    <t>09804b:CA&gt;+93-</t>
  </si>
  <si>
    <t>09805b:CA&gt;+96-</t>
  </si>
  <si>
    <t>09824c:CA&gt;+9C-</t>
  </si>
  <si>
    <t>09825c:CA&gt;+9A-</t>
  </si>
  <si>
    <t>09853e:CA&gt;+93-</t>
  </si>
  <si>
    <t>09854d:CA&gt;+96-</t>
  </si>
  <si>
    <t>09894b:CA&gt;+9C-</t>
  </si>
  <si>
    <t>09895a:CA&gt;+9A-</t>
  </si>
  <si>
    <t>09914c:CA&gt;+93-</t>
  </si>
  <si>
    <t>09915b:CA&gt;+96-</t>
  </si>
  <si>
    <t>09934d:CA&gt;+9C-</t>
  </si>
  <si>
    <t>09935c:CA&gt;+9A-</t>
  </si>
  <si>
    <t>09953e:CA&gt;+93-</t>
  </si>
  <si>
    <t>09954e:CA&gt;+96-</t>
  </si>
  <si>
    <t>09973f:CA&gt;+9C-</t>
  </si>
  <si>
    <t>09974f:CA&gt;+9A-</t>
  </si>
  <si>
    <t>09986a:CA&gt;+A9-</t>
  </si>
  <si>
    <t>10004c:CA&gt;+93-</t>
  </si>
  <si>
    <t>10005b:CA&gt;+96-</t>
  </si>
  <si>
    <t>10024d:CA&gt;+9C-</t>
  </si>
  <si>
    <t>10025c:CA&gt;+9A-</t>
  </si>
  <si>
    <t>10044e:CA&gt;+93-</t>
  </si>
  <si>
    <t>10045d:CA&gt;+96-</t>
  </si>
  <si>
    <t>10124c:CA&gt;+9C-</t>
  </si>
  <si>
    <t>10125c:CA&gt;+9A-</t>
  </si>
  <si>
    <t>10177a:CA&gt;+93-</t>
  </si>
  <si>
    <t>10177f:CA&gt;+96-</t>
  </si>
  <si>
    <t>10197b:CA&gt;+9C-</t>
  </si>
  <si>
    <t>10198c:CA&gt;+9A-</t>
  </si>
  <si>
    <t>10217c:CA&gt;+93-</t>
  </si>
  <si>
    <t>10218c:CA&gt;+96-</t>
  </si>
  <si>
    <t>10225b:3E&gt;+9A-</t>
  </si>
  <si>
    <t>10256f:CA&gt;+9C-</t>
  </si>
  <si>
    <t>10257e:CA&gt;+9A-</t>
  </si>
  <si>
    <t>10278a:CA&gt;+93-</t>
  </si>
  <si>
    <t>10279a:CA&gt;+96-</t>
  </si>
  <si>
    <t>10297b:CA&gt;+9C-</t>
  </si>
  <si>
    <t>10298b:CA&gt;+9A-</t>
  </si>
  <si>
    <t>10327d:CA&gt;+93-</t>
  </si>
  <si>
    <t>10328d:CA&gt;+96-</t>
  </si>
  <si>
    <t>10387b:CA&gt;+9C-</t>
  </si>
  <si>
    <t>10388b:CA&gt;+9A-</t>
  </si>
  <si>
    <t>10407c:CA&gt;+93-</t>
  </si>
  <si>
    <t>10408b:CA&gt;+96-</t>
  </si>
  <si>
    <t>10447e:CA&gt;+9C-</t>
  </si>
  <si>
    <t>10448d:CA&gt;+9A-</t>
  </si>
  <si>
    <t>10667f:CA&gt;+A9-</t>
  </si>
  <si>
    <t>10731b:3E&gt;+9A-</t>
  </si>
  <si>
    <t>00179f:CA&gt;+93-</t>
  </si>
  <si>
    <t>00180e:CA&gt;+96-</t>
  </si>
  <si>
    <t>00239c:CA&gt;+9C-</t>
  </si>
  <si>
    <t>00240c:CA&gt;+9A-</t>
  </si>
  <si>
    <t>00259d:CA&gt;+93-</t>
  </si>
  <si>
    <t>00260d:CA&gt;+96-</t>
  </si>
  <si>
    <t>00279e:CA&gt;+9C-</t>
  </si>
  <si>
    <t>00280e:CA&gt;+9A-</t>
  </si>
  <si>
    <t>00314d:3E&gt;+9A-</t>
  </si>
  <si>
    <t>00410b:CA&gt;+93-</t>
  </si>
  <si>
    <t>00411a:CA&gt;+96-</t>
  </si>
  <si>
    <t>00427a:CA&gt;+A9-</t>
  </si>
  <si>
    <t>00449c:CA&gt;+9C-</t>
  </si>
  <si>
    <t>00450c:CA&gt;+9A-</t>
  </si>
  <si>
    <t>00489f:CA&gt;+93-</t>
  </si>
  <si>
    <t>00490f:CA&gt;+96-</t>
  </si>
  <si>
    <t>00530c:CA&gt;+9C-</t>
  </si>
  <si>
    <t>00531c:CA&gt;+9A-</t>
  </si>
  <si>
    <t>00559d:CA&gt;+93-</t>
  </si>
  <si>
    <t>00560d:CA&gt;+96-</t>
  </si>
  <si>
    <t>00579e:CA&gt;+9C-</t>
  </si>
  <si>
    <t>00580e:CA&gt;+9A-</t>
  </si>
  <si>
    <t>00600a:CA&gt;+93-</t>
  </si>
  <si>
    <t>00600f:CA&gt;+96-</t>
  </si>
  <si>
    <t>00680f:CA&gt;+9C-</t>
  </si>
  <si>
    <t>00681e:CA&gt;+9A-</t>
  </si>
  <si>
    <t>00764e:CA&gt;+93-</t>
  </si>
  <si>
    <t>00767b:CA&gt;+96-</t>
  </si>
  <si>
    <t>00805b:CA&gt;+9C-</t>
  </si>
  <si>
    <t>00806a:CA&gt;+9A-</t>
  </si>
  <si>
    <t>00825c:CA&gt;+93-</t>
  </si>
  <si>
    <t>00826b:CA&gt;+96-</t>
  </si>
  <si>
    <t>00845d:CA&gt;+9C-</t>
  </si>
  <si>
    <t>00846c:CA&gt;+9A-</t>
  </si>
  <si>
    <t>00865e:CA&gt;+93-</t>
  </si>
  <si>
    <t>00866d:CA&gt;+96-</t>
  </si>
  <si>
    <t>00884f:CA&gt;+9C-</t>
  </si>
  <si>
    <t>00885f:CA&gt;+9A-</t>
  </si>
  <si>
    <t>00915b:CA&gt;+93-</t>
  </si>
  <si>
    <t>00916b:CA&gt;+96-</t>
  </si>
  <si>
    <t>00974f:CA&gt;+9C-</t>
  </si>
  <si>
    <t>00975e:CA&gt;+9A-</t>
  </si>
  <si>
    <t>00995b:CA&gt;+93-</t>
  </si>
  <si>
    <t>00996a:CA&gt;+96-</t>
  </si>
  <si>
    <t>01035d:CA&gt;+9C-</t>
  </si>
  <si>
    <t>01036c:CA&gt;+9A-</t>
  </si>
  <si>
    <t>01109a:CA&gt;+A9-</t>
  </si>
  <si>
    <t>01133c:CA&gt;+93-</t>
  </si>
  <si>
    <t>01134c:CA&gt;+96-</t>
  </si>
  <si>
    <t>01194a:CA&gt;+9C-</t>
  </si>
  <si>
    <t>01195a:CA&gt;+9A-</t>
  </si>
  <si>
    <t>01326d:3E&gt;+9A-</t>
  </si>
  <si>
    <t>01381f:CA&gt;+93-</t>
  </si>
  <si>
    <t>01382f:CA&gt;+96-</t>
  </si>
  <si>
    <t>01422c:CA&gt;+9C-</t>
  </si>
  <si>
    <t>01423c:CA&gt;+9A-</t>
  </si>
  <si>
    <t>01462f:CA&gt;+93-</t>
  </si>
  <si>
    <t>01463e:CA&gt;+96-</t>
  </si>
  <si>
    <t>01502b:CA&gt;+9C-</t>
  </si>
  <si>
    <t>01503b:CA&gt;+9A-</t>
  </si>
  <si>
    <t>01542d:CA&gt;+93-</t>
  </si>
  <si>
    <t>01543d:CA&gt;+96-</t>
  </si>
  <si>
    <t>01642d:CA&gt;+9C-</t>
  </si>
  <si>
    <t>01643d:CA&gt;+9A-</t>
  </si>
  <si>
    <t>01745e:CA&gt;+93-</t>
  </si>
  <si>
    <t>01746d:CA&gt;+96-</t>
  </si>
  <si>
    <t>01791a:CA&gt;+A9-</t>
  </si>
  <si>
    <t>01805c:CA&gt;+9C-</t>
  </si>
  <si>
    <t>01806b:CA&gt;+9A-</t>
  </si>
  <si>
    <t>01825d:CA&gt;+93-</t>
  </si>
  <si>
    <t>01826c:CA&gt;+96-</t>
  </si>
  <si>
    <t>01832d:3E&gt;+9A-</t>
  </si>
  <si>
    <t>01865f:CA&gt;+9C-</t>
  </si>
  <si>
    <t>01866e:CA&gt;+9A-</t>
  </si>
  <si>
    <t>01954e:CA&gt;+93-</t>
  </si>
  <si>
    <t>01955e:CA&gt;+96-</t>
  </si>
  <si>
    <t>01975a:CA&gt;+9C-</t>
  </si>
  <si>
    <t>01976a:CA&gt;+9A-</t>
  </si>
  <si>
    <t>01994b:CA&gt;+93-</t>
  </si>
  <si>
    <t>01995a:CA&gt;+96-</t>
  </si>
  <si>
    <t>02074a:CA&gt;+9C-</t>
  </si>
  <si>
    <t>02075a:CA&gt;+9A-</t>
  </si>
  <si>
    <t>02150f:CA&gt;+93-</t>
  </si>
  <si>
    <t>02151e:CA&gt;+96-</t>
  </si>
  <si>
    <t>02191b:CA&gt;+9C-</t>
  </si>
  <si>
    <t>02192a:CA&gt;+9A-</t>
  </si>
  <si>
    <t>02230d:CA&gt;+93-</t>
  </si>
  <si>
    <t>02231d:CA&gt;+96-</t>
  </si>
  <si>
    <t>02271a:CA&gt;+9C-</t>
  </si>
  <si>
    <t>02272a:CA&gt;+9A-</t>
  </si>
  <si>
    <t>02338d:3E&gt;+9A-</t>
  </si>
  <si>
    <t>02388b:CA&gt;+93-</t>
  </si>
  <si>
    <t>02389a:CA&gt;+96-</t>
  </si>
  <si>
    <t>02448f:CA&gt;+9C-</t>
  </si>
  <si>
    <t>02449e:CA&gt;+9A-</t>
  </si>
  <si>
    <t>02473a:CA&gt;+A9-</t>
  </si>
  <si>
    <t>02488c:CA&gt;+93-</t>
  </si>
  <si>
    <t>02489b:CA&gt;+96-</t>
  </si>
  <si>
    <t>02508d:CA&gt;+9C-</t>
  </si>
  <si>
    <t>02509c:CA&gt;+9A-</t>
  </si>
  <si>
    <t>02543f:CA&gt;+93-</t>
  </si>
  <si>
    <t>02544e:CA&gt;+96-</t>
  </si>
  <si>
    <t>02563f:CA&gt;+9C-</t>
  </si>
  <si>
    <t>02564f:CA&gt;+9A-</t>
  </si>
  <si>
    <t>02584b:CA&gt;+93-</t>
  </si>
  <si>
    <t>02585b:CA&gt;+96-</t>
  </si>
  <si>
    <t>02664a:CA&gt;+9C-</t>
  </si>
  <si>
    <t>02665a:CA&gt;+9A-</t>
  </si>
  <si>
    <t>02694c:CA&gt;+93-</t>
  </si>
  <si>
    <t>02695b:CA&gt;+96-</t>
  </si>
  <si>
    <t>02755a:CA&gt;+9C-</t>
  </si>
  <si>
    <t>02755f:CA&gt;+9A-</t>
  </si>
  <si>
    <t>02844e:3E&gt;+9A-</t>
  </si>
  <si>
    <t>02859a:CA&gt;+93-</t>
  </si>
  <si>
    <t>02860a:CA&gt;+96-</t>
  </si>
  <si>
    <t>02919d:CA&gt;+9C-</t>
  </si>
  <si>
    <t>02920d:CA&gt;+9A-</t>
  </si>
  <si>
    <t>02939e:CA&gt;+93-</t>
  </si>
  <si>
    <t>02940e:CA&gt;+96-</t>
  </si>
  <si>
    <t>02980b:CA&gt;+9C-</t>
  </si>
  <si>
    <t>02981b:CA&gt;+9A-</t>
  </si>
  <si>
    <t>03154f:CA&gt;+A9-</t>
  </si>
  <si>
    <t>03256a:CA&gt;+93-</t>
  </si>
  <si>
    <t>03257a:CA&gt;+96-</t>
  </si>
  <si>
    <t>03276b:CA&gt;+9C-</t>
  </si>
  <si>
    <t>03277b:CA&gt;+9A-</t>
  </si>
  <si>
    <t>03350e:3E&gt;+9A-</t>
  </si>
  <si>
    <t>03356a:CA&gt;+93-</t>
  </si>
  <si>
    <t>03357a:CA&gt;+96-</t>
  </si>
  <si>
    <t>03376b:CA&gt;+9C-</t>
  </si>
  <si>
    <t>03377b:CA&gt;+9A-</t>
  </si>
  <si>
    <t>03456a:CA&gt;+93-</t>
  </si>
  <si>
    <t>03456f:CA&gt;+96-</t>
  </si>
  <si>
    <t>03496d:CA&gt;+9C-</t>
  </si>
  <si>
    <t>03497c:CA&gt;+9A-</t>
  </si>
  <si>
    <t>03516e:CA&gt;+93-</t>
  </si>
  <si>
    <t>03517d:CA&gt;+96-</t>
  </si>
  <si>
    <t>03556a:CA&gt;+9C-</t>
  </si>
  <si>
    <t>03557a:CA&gt;+9A-</t>
  </si>
  <si>
    <t>03605e:CA&gt;+93-</t>
  </si>
  <si>
    <t>03606d:CA&gt;+96-</t>
  </si>
  <si>
    <t>03626f:CA&gt;+9C-</t>
  </si>
  <si>
    <t>03627f:CA&gt;+9A-</t>
  </si>
  <si>
    <t>03647a:CA&gt;+93-</t>
  </si>
  <si>
    <t>03648a:CA&gt;+96-</t>
  </si>
  <si>
    <t>03726f:CA&gt;+9C-</t>
  </si>
  <si>
    <t>03727e:CA&gt;+9A-</t>
  </si>
  <si>
    <t>03756b:CA&gt;+93-</t>
  </si>
  <si>
    <t>03757a:CA&gt;+96-</t>
  </si>
  <si>
    <t>03796d:CA&gt;+9C-</t>
  </si>
  <si>
    <t>03797c:CA&gt;+9A-</t>
  </si>
  <si>
    <t>03836f:CA&gt;+A9-</t>
  </si>
  <si>
    <t>03837f:CA&gt;+93-</t>
  </si>
  <si>
    <t>03838e:CA&gt;+96-</t>
  </si>
  <si>
    <t>03856e:3E&gt;+9A-</t>
  </si>
  <si>
    <t>03876c:CA&gt;+9C-</t>
  </si>
  <si>
    <t>03877b:CA&gt;+9A-</t>
  </si>
  <si>
    <t>03912e:CA&gt;+93-</t>
  </si>
  <si>
    <t>03913e:CA&gt;+96-</t>
  </si>
  <si>
    <t>03973c:CA&gt;+9C-</t>
  </si>
  <si>
    <t>03974c:CA&gt;+9A-</t>
  </si>
  <si>
    <t>04012e:CA&gt;+93-</t>
  </si>
  <si>
    <t>04013e:CA&gt;+96-</t>
  </si>
  <si>
    <t>04032f:CA&gt;+9C-</t>
  </si>
  <si>
    <t>04033f:CA&gt;+9A-</t>
  </si>
  <si>
    <t>04063b:CA&gt;+93-</t>
  </si>
  <si>
    <t>04064a:CA&gt;+96-</t>
  </si>
  <si>
    <t>04082c:CA&gt;+9C-</t>
  </si>
  <si>
    <t>04083c:CA&gt;+9A-</t>
  </si>
  <si>
    <t>04102e:CA&gt;+93-</t>
  </si>
  <si>
    <t>04103d:CA&gt;+96-</t>
  </si>
  <si>
    <t>04182d:CA&gt;+9C-</t>
  </si>
  <si>
    <t>04183d:CA&gt;+9A-</t>
  </si>
  <si>
    <t>04212f:CA&gt;+93-</t>
  </si>
  <si>
    <t>04213e:CA&gt;+96-</t>
  </si>
  <si>
    <t>04272c:CA&gt;+9C-</t>
  </si>
  <si>
    <t>04273c:CA&gt;+9A-</t>
  </si>
  <si>
    <t>04312f:CA&gt;+93-</t>
  </si>
  <si>
    <t>04313e:CA&gt;+96-</t>
  </si>
  <si>
    <t>04333a:CA&gt;+9C-</t>
  </si>
  <si>
    <t>04333f:CA&gt;+9A-</t>
  </si>
  <si>
    <t>04362c:CA&gt;+93+</t>
  </si>
  <si>
    <t>04363a:3E&gt;+9A-</t>
  </si>
  <si>
    <t>04363e:CA&gt;+96-</t>
  </si>
  <si>
    <t>04422f:CA&gt;+9C-</t>
  </si>
  <si>
    <t>04423f:CA&gt;+9A-</t>
  </si>
  <si>
    <t>04443b:CA&gt;+93-</t>
  </si>
  <si>
    <t>04444a:CA&gt;+96-</t>
  </si>
  <si>
    <t>04483d:CA&gt;+9C-</t>
  </si>
  <si>
    <t>04484d:CA&gt;+9A-</t>
  </si>
  <si>
    <t>04518e:CA&gt;+A9-</t>
  </si>
  <si>
    <t>04652b:CA&gt;+93-</t>
  </si>
  <si>
    <t>04653b:CA&gt;+96-</t>
  </si>
  <si>
    <t>04752c:CA&gt;+9C-</t>
  </si>
  <si>
    <t>04753b:CA&gt;+9A-</t>
  </si>
  <si>
    <t>04802f:CA&gt;+93-</t>
  </si>
  <si>
    <t>04803e:CA&gt;+96-</t>
  </si>
  <si>
    <t>04823a:CA&gt;+9C-</t>
  </si>
  <si>
    <t>04823f:CA&gt;+9A-</t>
  </si>
  <si>
    <t>04843b:CA&gt;+93-</t>
  </si>
  <si>
    <t>04844a:CA&gt;+96-</t>
  </si>
  <si>
    <t>04868e:3E&gt;+9A-</t>
  </si>
  <si>
    <t>04923a:CA&gt;+9C-</t>
  </si>
  <si>
    <t>04924a:CA&gt;+9A-</t>
  </si>
  <si>
    <t>04986d:CA&gt;+93-</t>
  </si>
  <si>
    <t>04987d:CA&gt;+96-</t>
  </si>
  <si>
    <t>05007f:CA&gt;+9C-</t>
  </si>
  <si>
    <t>05008f:CA&gt;+9A-</t>
  </si>
  <si>
    <t>05027b:CA&gt;+93-</t>
  </si>
  <si>
    <t>05028a:CA&gt;+96-</t>
  </si>
  <si>
    <t>05047c:CA&gt;+9C-</t>
  </si>
  <si>
    <t>05048b:CA&gt;+9A-</t>
  </si>
  <si>
    <t>05067d:CA&gt;+93-</t>
  </si>
  <si>
    <t>05068c:CA&gt;+96-</t>
  </si>
  <si>
    <t>05108a:CA&gt;+9C-</t>
  </si>
  <si>
    <t>05108f:CA&gt;+9A-</t>
  </si>
  <si>
    <t>05137b:CA&gt;+93-</t>
  </si>
  <si>
    <t>05138a:CA&gt;+96-</t>
  </si>
  <si>
    <t>05200e:CA&gt;+A9-</t>
  </si>
  <si>
    <t>05237b:CA&gt;+9C-</t>
  </si>
  <si>
    <t>05238b:CA&gt;+9A-</t>
  </si>
  <si>
    <t>05374e:3E&gt;+9A-</t>
  </si>
  <si>
    <t>05752c:CA&gt;+93-</t>
  </si>
  <si>
    <t>05753c:CA&gt;+96-</t>
  </si>
  <si>
    <t>05773e:CA&gt;+9C-</t>
  </si>
  <si>
    <t>05774d:CA&gt;+9A-</t>
  </si>
  <si>
    <t>05813b:CA&gt;+93-</t>
  </si>
  <si>
    <t>05814a:CA&gt;+96-</t>
  </si>
  <si>
    <t>05832b:CA&gt;+9C-</t>
  </si>
  <si>
    <t>05833b:CA&gt;+9A-</t>
  </si>
  <si>
    <t>05880e:3E&gt;+9A-</t>
  </si>
  <si>
    <t>05882e:CA&gt;+A9-</t>
  </si>
  <si>
    <t>05903a:CA&gt;+93-</t>
  </si>
  <si>
    <t>05903f:CA&gt;+96-</t>
  </si>
  <si>
    <t>05962e:CA&gt;+9C-</t>
  </si>
  <si>
    <t>05963d:CA&gt;+9A-</t>
  </si>
  <si>
    <t>06052d:CA&gt;+93-</t>
  </si>
  <si>
    <t>06053c:CA&gt;+96-</t>
  </si>
  <si>
    <t>06113b:CA&gt;+9C-</t>
  </si>
  <si>
    <t>06114a:CA&gt;+9A-</t>
  </si>
  <si>
    <t>06203a:CA&gt;+93-</t>
  </si>
  <si>
    <t>06203f:CA&gt;+96-</t>
  </si>
  <si>
    <t>06262d:CA&gt;+9C-</t>
  </si>
  <si>
    <t>06263d:CA&gt;+9A-</t>
  </si>
  <si>
    <t>06386e:3E&gt;+9A-</t>
  </si>
  <si>
    <t>06564d:CA&gt;+A9-</t>
  </si>
  <si>
    <t>06586a:CA&gt;+93-</t>
  </si>
  <si>
    <t>06586f:CA&gt;+96-</t>
  </si>
  <si>
    <t>06665f:CA&gt;+9C-</t>
  </si>
  <si>
    <t>06666e:CA&gt;+9A-</t>
  </si>
  <si>
    <t>06686a:CA&gt;+93-</t>
  </si>
  <si>
    <t>06686f:CA&gt;+96-</t>
  </si>
  <si>
    <t>06706a:CA&gt;+9C-</t>
  </si>
  <si>
    <t>06707a:CA&gt;+9A-</t>
  </si>
  <si>
    <t>06828c:CA&gt;+93-</t>
  </si>
  <si>
    <t>06829c:CA&gt;+96-</t>
  </si>
  <si>
    <t>06868e:CA&gt;+9C-</t>
  </si>
  <si>
    <t>06869e:CA&gt;+9A-</t>
  </si>
  <si>
    <t>06889a:CA&gt;+93-</t>
  </si>
  <si>
    <t>06890a:CA&gt;+96-</t>
  </si>
  <si>
    <t>06892f:3E&gt;+9A-</t>
  </si>
  <si>
    <t>06949d:CA&gt;+9C-</t>
  </si>
  <si>
    <t>06950d:CA&gt;+9A-</t>
  </si>
  <si>
    <t>07246d:CA&gt;+A9-</t>
  </si>
  <si>
    <t>07398f:3E&gt;+9A-</t>
  </si>
  <si>
    <t>07904f:3E&gt;+9A-</t>
  </si>
  <si>
    <t>07928d:CA&gt;+A9-</t>
  </si>
  <si>
    <t>08027e:CA&gt;+93-</t>
  </si>
  <si>
    <t>08028d:CA&gt;+96-</t>
  </si>
  <si>
    <t>08047f:CA&gt;+9C-</t>
  </si>
  <si>
    <t>08048e:CA&gt;+9A-</t>
  </si>
  <si>
    <t>08067a:CA&gt;+93-</t>
  </si>
  <si>
    <t>08068a:CA&gt;+96-</t>
  </si>
  <si>
    <t>08127d:CA&gt;+9C-</t>
  </si>
  <si>
    <t>08128d:CA&gt;+9A-</t>
  </si>
  <si>
    <t>08187c:CA&gt;+93-</t>
  </si>
  <si>
    <t>08188b:CA&gt;+96-</t>
  </si>
  <si>
    <t>08207d:CA&gt;+9C-</t>
  </si>
  <si>
    <t>08208c:CA&gt;+9A-</t>
  </si>
  <si>
    <t>08227e:CA&gt;+93-</t>
  </si>
  <si>
    <t>08228d:CA&gt;+96-</t>
  </si>
  <si>
    <t>08287b:CA&gt;+9C-</t>
  </si>
  <si>
    <t>08288b:CA&gt;+9A-</t>
  </si>
  <si>
    <t>08345f:CA&gt;+93-</t>
  </si>
  <si>
    <t>08346e:CA&gt;+96-</t>
  </si>
  <si>
    <t>08365a:CA&gt;+9C-</t>
  </si>
  <si>
    <t>08366a:CA&gt;+9A-</t>
  </si>
  <si>
    <t>08385b:CA&gt;+93-</t>
  </si>
  <si>
    <t>08386b:CA&gt;+96-</t>
  </si>
  <si>
    <t>08410f:3E&gt;+9A-</t>
  </si>
  <si>
    <t>08445f:CA&gt;+9C-</t>
  </si>
  <si>
    <t>08446e:CA&gt;+9A-</t>
  </si>
  <si>
    <t>08509c:CA&gt;+93-</t>
  </si>
  <si>
    <t>08510c:CA&gt;+96-</t>
  </si>
  <si>
    <t>08529e:CA&gt;+9C-</t>
  </si>
  <si>
    <t>08530d:CA&gt;+9A-</t>
  </si>
  <si>
    <t>08549f:CA&gt;+93-</t>
  </si>
  <si>
    <t>08550f:CA&gt;+96-</t>
  </si>
  <si>
    <t>08609d:CA&gt;+9C-</t>
  </si>
  <si>
    <t>08610d:CA&gt;+9A-</t>
  </si>
  <si>
    <t>08611b:CA&gt;+A9-</t>
  </si>
  <si>
    <t>08667b:CA&gt;+93-</t>
  </si>
  <si>
    <t>08668b:CA&gt;+96-</t>
  </si>
  <si>
    <t>08687c:CA&gt;+9C-</t>
  </si>
  <si>
    <t>08688c:CA&gt;+9A-</t>
  </si>
  <si>
    <t>08707d:CA&gt;+93-</t>
  </si>
  <si>
    <t>08708d:CA&gt;+96-</t>
  </si>
  <si>
    <t>08768a:CA&gt;+9C-</t>
  </si>
  <si>
    <t>08769a:CA&gt;+9A-</t>
  </si>
  <si>
    <t>08817e:CA&gt;+93-</t>
  </si>
  <si>
    <t>08818d:CA&gt;+96-</t>
  </si>
  <si>
    <t>08837f:CA&gt;+9C-</t>
  </si>
  <si>
    <t>08838e:CA&gt;+9A-</t>
  </si>
  <si>
    <t>08858a:CA&gt;+93-</t>
  </si>
  <si>
    <t>08859a:CA&gt;+96-</t>
  </si>
  <si>
    <t>08916f:3E&gt;+9A-</t>
  </si>
  <si>
    <t>08917e:CA&gt;+9C-</t>
  </si>
  <si>
    <t>08918e:CA&gt;+9A-</t>
  </si>
  <si>
    <t>09058a:CA&gt;+93-</t>
  </si>
  <si>
    <t>09059a:CA&gt;+96-</t>
  </si>
  <si>
    <t>09138f:CA&gt;+9C-</t>
  </si>
  <si>
    <t>09139f:CA&gt;+9A-</t>
  </si>
  <si>
    <t>09159a:CA&gt;+93-</t>
  </si>
  <si>
    <t>09160a:CA&gt;+96-</t>
  </si>
  <si>
    <t>09179c:CA&gt;+9C-</t>
  </si>
  <si>
    <t>09180c:CA&gt;+9A-</t>
  </si>
  <si>
    <t>09289c:CA&gt;+93-</t>
  </si>
  <si>
    <t>09290c:CA&gt;+96-</t>
  </si>
  <si>
    <t>09292c:CA&gt;+A9-</t>
  </si>
  <si>
    <t>09329e:CA&gt;+9C-</t>
  </si>
  <si>
    <t>09330e:CA&gt;+9A-</t>
  </si>
  <si>
    <t>09350a:CA&gt;+93-</t>
  </si>
  <si>
    <t>09351a:CA&gt;+96-</t>
  </si>
  <si>
    <t>09410e:CA&gt;+9C-</t>
  </si>
  <si>
    <t>09411e:CA&gt;+9A-</t>
  </si>
  <si>
    <t>09422f:3E&gt;+9A-</t>
  </si>
  <si>
    <t>09697d:CA&gt;+93-</t>
  </si>
  <si>
    <t>09698d:CA&gt;+96-</t>
  </si>
  <si>
    <t>09718f:CA&gt;+9C-</t>
  </si>
  <si>
    <t>09719e:CA&gt;+9A-</t>
  </si>
  <si>
    <t>09737f:CA&gt;+93-</t>
  </si>
  <si>
    <t>09738f:CA&gt;+96-</t>
  </si>
  <si>
    <t>09778c:CA&gt;+9C-</t>
  </si>
  <si>
    <t>09779c:CA&gt;+9A-</t>
  </si>
  <si>
    <t>09798d:CA&gt;+93-</t>
  </si>
  <si>
    <t>09799d:CA&gt;+96-</t>
  </si>
  <si>
    <t>09818e:CA&gt;+9C-</t>
  </si>
  <si>
    <t>09819e:CA&gt;+9A-</t>
  </si>
  <si>
    <t>09928f:3E&gt;+9A-</t>
  </si>
  <si>
    <t>09974c:CA&gt;+A9-</t>
  </si>
  <si>
    <t>10435a:3E&gt;+9A-</t>
  </si>
  <si>
    <t>10570a:3E&gt;+93-</t>
  </si>
  <si>
    <t>10576c:3E&gt;+96-</t>
  </si>
  <si>
    <t>10590b:3E&gt;+9C-</t>
  </si>
  <si>
    <t>10596b:3E&gt;+9A-</t>
  </si>
  <si>
    <t>10656c:CA&gt;+A9-</t>
  </si>
  <si>
    <t>10721b:3E&gt;+93-</t>
  </si>
  <si>
    <t>10727b:3E&gt;+96-</t>
  </si>
  <si>
    <t>10801f:3E&gt;+9C-</t>
  </si>
  <si>
    <t>10807f:3E&gt;+9A-</t>
  </si>
  <si>
    <t>10822a:24&gt;-</t>
  </si>
  <si>
    <t>10828a:3E&gt;+96-</t>
  </si>
  <si>
    <t>10842b:3E&gt;+9C-</t>
  </si>
  <si>
    <t>10848b:3E&gt;+9A-</t>
  </si>
  <si>
    <t>10872c:24&gt;-</t>
  </si>
  <si>
    <t>10878d:3E&gt;+96-</t>
  </si>
  <si>
    <t>10912e:3E&gt;+9C-</t>
  </si>
  <si>
    <t>10918e:3E&gt;+9A-</t>
  </si>
  <si>
    <t>00010b:3E&gt;+93-</t>
  </si>
  <si>
    <t>00016b:3E&gt;+96-</t>
  </si>
  <si>
    <t>00070e:3E&gt;+9C-</t>
  </si>
  <si>
    <t>00076e:3E&gt;+9A-</t>
  </si>
  <si>
    <t>00100f:24&gt;-</t>
  </si>
  <si>
    <t>00107a:3E&gt;+96-</t>
  </si>
  <si>
    <t>00121a:3E&gt;+9C-</t>
  </si>
  <si>
    <t>00127b:3E&gt;+9A-</t>
  </si>
  <si>
    <t>00161c:24&gt;-</t>
  </si>
  <si>
    <t>00167d:3E&gt;+96-</t>
  </si>
  <si>
    <t>00181d:3E&gt;+9C-</t>
  </si>
  <si>
    <t>00187e:3E&gt;+9A-</t>
  </si>
  <si>
    <t>00252b:3E&gt;+93-</t>
  </si>
  <si>
    <t>00258b:3E&gt;+96-</t>
  </si>
  <si>
    <t>00332e:3E&gt;+9C-</t>
  </si>
  <si>
    <t>00338f:3E&gt;+9A-</t>
  </si>
  <si>
    <t>00403c:3E&gt;+93-</t>
  </si>
  <si>
    <t>00409c:3E&gt;+96-</t>
  </si>
  <si>
    <t>00415d:CA&gt;+A9-</t>
  </si>
  <si>
    <t>00423d:3E&gt;+9C-</t>
  </si>
  <si>
    <t>00429d:3E&gt;+9A-</t>
  </si>
  <si>
    <t>00463f:3E&gt;+93-</t>
  </si>
  <si>
    <t>00469f:3E&gt;+96-</t>
  </si>
  <si>
    <t>00504b:3E&gt;+9C-</t>
  </si>
  <si>
    <t>00510b:3E&gt;+9A-</t>
  </si>
  <si>
    <t>00554d:3E&gt;+93-</t>
  </si>
  <si>
    <t>00560d:3E&gt;+96-</t>
  </si>
  <si>
    <t>00574e:3E&gt;+9C-</t>
  </si>
  <si>
    <t>00580e:3E&gt;+9A-</t>
  </si>
  <si>
    <t>00594f:3E&gt;+93-</t>
  </si>
  <si>
    <t>00600f:3E&gt;+96-</t>
  </si>
  <si>
    <t>00615a:3E&gt;+9C-</t>
  </si>
  <si>
    <t>00621a:3E&gt;+9A-</t>
  </si>
  <si>
    <t>00635b:3E&gt;+93-</t>
  </si>
  <si>
    <t>00641b:3E&gt;+96-</t>
  </si>
  <si>
    <t>00655c:3E&gt;+9C-</t>
  </si>
  <si>
    <t>00661c:3E&gt;+9A-</t>
  </si>
  <si>
    <t>00705e:3E&gt;+93-</t>
  </si>
  <si>
    <t>00711f:3E&gt;+96-</t>
  </si>
  <si>
    <t>00725f:3E&gt;+9C-</t>
  </si>
  <si>
    <t>00732a:3E&gt;+9A-</t>
  </si>
  <si>
    <t>00786c:3E&gt;+93-</t>
  </si>
  <si>
    <t>00792c:3E&gt;+96-</t>
  </si>
  <si>
    <t>00806d:3E&gt;+9C-</t>
  </si>
  <si>
    <t>00812d:3E&gt;+9A-</t>
  </si>
  <si>
    <t>00856f:3E&gt;+93-</t>
  </si>
  <si>
    <t>00863a:3E&gt;+96-</t>
  </si>
  <si>
    <t>00877a:3E&gt;+9C-</t>
  </si>
  <si>
    <t>00883b:3E&gt;+9A-</t>
  </si>
  <si>
    <t>00917c:24&gt;-</t>
  </si>
  <si>
    <t>00923d:25&lt;-</t>
  </si>
  <si>
    <t>00957e:3E&gt;+9C-</t>
  </si>
  <si>
    <t>00963f:3E&gt;+9A-</t>
  </si>
  <si>
    <t>01008b:3E&gt;+93-</t>
  </si>
  <si>
    <t>01014b:3E&gt;+96-</t>
  </si>
  <si>
    <t>01028c:3E&gt;+9C-</t>
  </si>
  <si>
    <t>01034c:3E&gt;+9A-</t>
  </si>
  <si>
    <t>01097d:CA&gt;+A9-</t>
  </si>
  <si>
    <t>01159c:3E&gt;+93-</t>
  </si>
  <si>
    <t>01165c:3E&gt;+96-</t>
  </si>
  <si>
    <t>01179d:3E&gt;+9C-</t>
  </si>
  <si>
    <t>01185d:3E&gt;+9A-</t>
  </si>
  <si>
    <t>01219f:3E&gt;+93-</t>
  </si>
  <si>
    <t>01225f:3E&gt;+96-</t>
  </si>
  <si>
    <t>01280c:3E&gt;+9C-</t>
  </si>
  <si>
    <t>01286c:3E&gt;+9A-</t>
  </si>
  <si>
    <t>01318d:3E&gt;+93-</t>
  </si>
  <si>
    <t>01324e:3E&gt;+96-</t>
  </si>
  <si>
    <t>01379a:3E&gt;+9C-</t>
  </si>
  <si>
    <t>01385b:3E&gt;+9A-</t>
  </si>
  <si>
    <t>01399b:3E&gt;+93-</t>
  </si>
  <si>
    <t>01405c:3E&gt;+96-</t>
  </si>
  <si>
    <t>01439d:3E&gt;+9C-</t>
  </si>
  <si>
    <t>01445e:3E&gt;+9A-</t>
  </si>
  <si>
    <t>01487f:3E&gt;+93-</t>
  </si>
  <si>
    <t>01494a:3E&gt;+96-</t>
  </si>
  <si>
    <t>01588e:3E&gt;+9C-</t>
  </si>
  <si>
    <t>01594f:3E&gt;+9A-</t>
  </si>
  <si>
    <t>01659c:3E&gt;+93-</t>
  </si>
  <si>
    <t>01665c:3E&gt;+96-</t>
  </si>
  <si>
    <t>01699e:3E&gt;+9C-</t>
  </si>
  <si>
    <t>01705e:3E&gt;+9A-</t>
  </si>
  <si>
    <t>01719f:3E&gt;+93-</t>
  </si>
  <si>
    <t>01725f:3E&gt;+96-</t>
  </si>
  <si>
    <t>01740a:27&lt;+</t>
  </si>
  <si>
    <t>01746a:3E&gt;+9A-</t>
  </si>
  <si>
    <t>01760b:3E&gt;+93-</t>
  </si>
  <si>
    <t>01766b:3E&gt;+96-</t>
  </si>
  <si>
    <t>01779c:CA&gt;+A9-</t>
  </si>
  <si>
    <t>01780b:3E&gt;+9C-</t>
  </si>
  <si>
    <t>01786c:3E&gt;+9A-</t>
  </si>
  <si>
    <t>01828e:3E&gt;+93-</t>
  </si>
  <si>
    <t>01834e:3E&gt;+96-</t>
  </si>
  <si>
    <t>01848f:3E&gt;+9C-</t>
  </si>
  <si>
    <t>01854f:3E&gt;+9A-</t>
  </si>
  <si>
    <t>01869a:3E&gt;+93-</t>
  </si>
  <si>
    <t>01875a:3E&gt;+96-</t>
  </si>
  <si>
    <t>01949e:3E&gt;+9C-</t>
  </si>
  <si>
    <t>01955e:3E&gt;+9A-</t>
  </si>
  <si>
    <t>02000a:3E&gt;+93-</t>
  </si>
  <si>
    <t>02006a:3E&gt;+96-</t>
  </si>
  <si>
    <t>02020b:27&lt;+</t>
  </si>
  <si>
    <t>02026b:3E&gt;+9A-</t>
  </si>
  <si>
    <t>02080e:24&gt;-</t>
  </si>
  <si>
    <t>02086e:3E&gt;+96-</t>
  </si>
  <si>
    <t>02121a:3E&gt;+9C-</t>
  </si>
  <si>
    <t>02127a:3E&gt;+9A-</t>
  </si>
  <si>
    <t>02169c:3E&gt;+93-</t>
  </si>
  <si>
    <t>02175c:3E&gt;+96-</t>
  </si>
  <si>
    <t>02229f:3E&gt;+9C-</t>
  </si>
  <si>
    <t>02235f:3E&gt;+9A-</t>
  </si>
  <si>
    <t>02250a:3E&gt;+93-</t>
  </si>
  <si>
    <t>02256f:25&lt;-</t>
  </si>
  <si>
    <t>02290c:3E&gt;+9C-</t>
  </si>
  <si>
    <t>02296c:3E&gt;+9A-</t>
  </si>
  <si>
    <t>02340e:3E&gt;+93-</t>
  </si>
  <si>
    <t>02346e:3E&gt;+96-</t>
  </si>
  <si>
    <t>02360f:3E&gt;+9C-</t>
  </si>
  <si>
    <t>02366f:3E&gt;+9A-</t>
  </si>
  <si>
    <t>02381a:3E&gt;+93-</t>
  </si>
  <si>
    <t>02387a:3E&gt;+96-</t>
  </si>
  <si>
    <t>02421c:3E&gt;+9C-</t>
  </si>
  <si>
    <t>02427e:3E&gt;+9A-</t>
  </si>
  <si>
    <t>02441d:3E&gt;+93-</t>
  </si>
  <si>
    <t>02447d:3E&gt;+96-</t>
  </si>
  <si>
    <t>02461c:CA&gt;+A9-</t>
  </si>
  <si>
    <t>02462b:3E&gt;+9C-</t>
  </si>
  <si>
    <t>02467e:3E&gt;+9A-</t>
  </si>
  <si>
    <t>02512a:3E&gt;+93-</t>
  </si>
  <si>
    <t>02518b:3E&gt;+96-</t>
  </si>
  <si>
    <t>02532b:3E&gt;+9C-</t>
  </si>
  <si>
    <t>02538c:3E&gt;+9A-</t>
  </si>
  <si>
    <t>03044c:3E&gt;+9A-</t>
  </si>
  <si>
    <t>03143c:CA&gt;+A9-</t>
  </si>
  <si>
    <t>03444c:CA&gt;+93-</t>
  </si>
  <si>
    <t>03445c:CA&gt;+96-</t>
  </si>
  <si>
    <t>03464e:CA&gt;+9C-</t>
  </si>
  <si>
    <t>03465d:CA&gt;+9A-</t>
  </si>
  <si>
    <t>03504a:CA&gt;+93-</t>
  </si>
  <si>
    <t>03504f:CA&gt;+96-</t>
  </si>
  <si>
    <t>03524c:CA&gt;+9C-</t>
  </si>
  <si>
    <t>03525b:CA&gt;+9A-</t>
  </si>
  <si>
    <t>03550c:3E&gt;+9A-</t>
  </si>
  <si>
    <t>03593f:CA&gt;+93-</t>
  </si>
  <si>
    <t>03594f:CA&gt;+96-</t>
  </si>
  <si>
    <t>03673e:CA&gt;+9C-</t>
  </si>
  <si>
    <t>03674d:CA&gt;+9A-</t>
  </si>
  <si>
    <t>03694a:CA&gt;+93-</t>
  </si>
  <si>
    <t>03694f:CA&gt;+96-</t>
  </si>
  <si>
    <t>03714b:CA&gt;+9C-</t>
  </si>
  <si>
    <t>03715b:CA&gt;+9A-</t>
  </si>
  <si>
    <t>03749d:CA&gt;+93-</t>
  </si>
  <si>
    <t>03750c:CA&gt;+96-</t>
  </si>
  <si>
    <t>03790a:CA&gt;+9C-</t>
  </si>
  <si>
    <t>03790f:CA&gt;+9A-</t>
  </si>
  <si>
    <t>03810b:CA&gt;+93-</t>
  </si>
  <si>
    <t>03811a:CA&gt;+96-</t>
  </si>
  <si>
    <t>03825c:CA&gt;+A9-</t>
  </si>
  <si>
    <t>03870f:CA&gt;+9C-</t>
  </si>
  <si>
    <t>03871e:CA&gt;+9A-</t>
  </si>
  <si>
    <t>03921c:CA&gt;+93-</t>
  </si>
  <si>
    <t>03922b:CA&gt;+96-</t>
  </si>
  <si>
    <t>03960e:CA&gt;+9C-</t>
  </si>
  <si>
    <t>03961d:CA&gt;+9A-</t>
  </si>
  <si>
    <t>03980f:CA&gt;+93-</t>
  </si>
  <si>
    <t>03981f:CA&gt;+96-</t>
  </si>
  <si>
    <t>04041d:CA&gt;+9C-</t>
  </si>
  <si>
    <t>04042c:CA&gt;+9A-</t>
  </si>
  <si>
    <t>04056c:3E&gt;+9A-</t>
  </si>
  <si>
    <t>04092a:CA&gt;+93-</t>
  </si>
  <si>
    <t>04093a:CA&gt;+96-</t>
  </si>
  <si>
    <t>04132d:CA&gt;+9C-</t>
  </si>
  <si>
    <t>04133c:CA&gt;+9A-</t>
  </si>
  <si>
    <t>04151e:CA&gt;+93-</t>
  </si>
  <si>
    <t>04152e:CA&gt;+96-</t>
  </si>
  <si>
    <t>04212b:CA&gt;+9C-</t>
  </si>
  <si>
    <t>04213b:CA&gt;+9A-</t>
  </si>
  <si>
    <t>04251e:CA&gt;+93-</t>
  </si>
  <si>
    <t>04252d:CA&gt;+96-</t>
  </si>
  <si>
    <t>04292a:CA&gt;+9C-</t>
  </si>
  <si>
    <t>04293a:CA&gt;+9A-</t>
  </si>
  <si>
    <t>04311c:CA&gt;+93-</t>
  </si>
  <si>
    <t>04312b:CA&gt;+96-</t>
  </si>
  <si>
    <t>04372f:CA&gt;+9C-</t>
  </si>
  <si>
    <t>04373f:CA&gt;+9A-</t>
  </si>
  <si>
    <t>04404a:CA&gt;+96-</t>
  </si>
  <si>
    <t>04443e:CA&gt;+9C-</t>
  </si>
  <si>
    <t>04464e:CA&gt;+96-</t>
  </si>
  <si>
    <t>04507b:CA&gt;+A9-</t>
  </si>
  <si>
    <t>04523c:CA&gt;+9C-</t>
  </si>
  <si>
    <t>04524c:CA&gt;+9A-</t>
  </si>
  <si>
    <t>04562c:3E&gt;+9A-</t>
  </si>
  <si>
    <t>04566f:CA&gt;+93-</t>
  </si>
  <si>
    <t>04567f:CA&gt;+96-</t>
  </si>
  <si>
    <t>04607b:CA&gt;+9C-</t>
  </si>
  <si>
    <t>04608b:CA&gt;+9A-</t>
  </si>
  <si>
    <t>04627d:CA&gt;+93-</t>
  </si>
  <si>
    <t>04628d:CA&gt;+96-</t>
  </si>
  <si>
    <t>04688a:CA&gt;+9C-</t>
  </si>
  <si>
    <t>04689a:CA&gt;+9A-</t>
  </si>
  <si>
    <t>05068c:3E&gt;+9A-</t>
  </si>
  <si>
    <t>05189a:CA&gt;+A9-</t>
  </si>
  <si>
    <t>05292b:CA&gt;+93-</t>
  </si>
  <si>
    <t>05293b:CA&gt;+96-</t>
  </si>
  <si>
    <t>05574c:3E&gt;+9A-</t>
  </si>
  <si>
    <t>05871a:CA&gt;+A9-</t>
  </si>
  <si>
    <t>06080c:3E&gt;+9A-</t>
  </si>
  <si>
    <t>06552f:CA&gt;+A9-</t>
  </si>
  <si>
    <t>06586c:3E&gt;+9A-</t>
  </si>
  <si>
    <t>06602c:CA&gt;+AA-</t>
  </si>
  <si>
    <t>06603f:3E&gt;+AC-</t>
  </si>
  <si>
    <t>0xB1</t>
  </si>
  <si>
    <t>0xB2</t>
  </si>
  <si>
    <t>0xB3</t>
  </si>
  <si>
    <t>0xB4</t>
  </si>
  <si>
    <t>0xB5</t>
  </si>
  <si>
    <t>0xB6</t>
  </si>
  <si>
    <t>0xB7</t>
  </si>
  <si>
    <t>0xB8</t>
  </si>
  <si>
    <t>Wahlziffer1</t>
  </si>
  <si>
    <t>Wahlziffer2</t>
  </si>
  <si>
    <t>Wahlziffer3</t>
  </si>
  <si>
    <t>Wahlziffer4</t>
  </si>
  <si>
    <t>Wahlziffer5</t>
  </si>
  <si>
    <t>Wahlziffer6</t>
  </si>
  <si>
    <t>Wahlziffer7</t>
  </si>
  <si>
    <t>Wahlziffer8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</si>
</sst>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5" fontId="0" fillId="0" borderId="0" xfId="0" applyNumberFormat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780"/>
  <sheetViews>
    <sheetView tabSelected="1" workbookViewId="0">
      <selection activeCell="H19" sqref="H19"/>
    </sheetView>
  </sheetViews>
  <sheetFormatPr baseColWidth="10" defaultRowHeight="15" outlineLevelCol="1" x14ac:dyDescent="0.25"/>
  <cols>
    <col min="1" max="1" width="61.5703125" bestFit="1" customWidth="1"/>
    <col min="3" max="4" width="11.42578125" hidden="1" customWidth="1" outlineLevel="1"/>
    <col min="5" max="5" width="17.42578125" hidden="1" customWidth="1" outlineLevel="1"/>
    <col min="6" max="6" width="19.85546875" customWidth="1" collapsed="1"/>
    <col min="7" max="8" width="19.85546875" customWidth="1"/>
  </cols>
  <sheetData>
    <row r="1" spans="1:8" x14ac:dyDescent="0.25">
      <c r="A1" s="1" t="s">
        <v>0</v>
      </c>
      <c r="B1" s="4" t="s">
        <v>441</v>
      </c>
      <c r="C1" s="4" t="s">
        <v>444</v>
      </c>
      <c r="D1" s="4" t="s">
        <v>445</v>
      </c>
      <c r="E1" s="4" t="s">
        <v>474</v>
      </c>
      <c r="F1" s="4" t="s">
        <v>475</v>
      </c>
      <c r="G1" s="4" t="s">
        <v>476</v>
      </c>
      <c r="H1" s="4" t="s">
        <v>477</v>
      </c>
    </row>
    <row r="2" spans="1:8" x14ac:dyDescent="0.25">
      <c r="A2" t="s">
        <v>1</v>
      </c>
      <c r="F2" s="3">
        <v>31</v>
      </c>
      <c r="G2" s="3">
        <v>33</v>
      </c>
    </row>
    <row r="3" spans="1:8" x14ac:dyDescent="0.25">
      <c r="A3" t="s">
        <v>2</v>
      </c>
    </row>
    <row r="4" spans="1:8" x14ac:dyDescent="0.25">
      <c r="A4" t="s">
        <v>3</v>
      </c>
      <c r="B4" s="3">
        <f>INT(HEX2DEC(MID(A4,8,2))/2)</f>
        <v>103</v>
      </c>
      <c r="C4" s="3" t="str">
        <f>IF(MID(A4,10,1)="&lt;",MID(A4,12,2),"")</f>
        <v/>
      </c>
      <c r="D4" s="3" t="str">
        <f>IF(MID(A4,10,1)="&gt;",HEX2DEC(MID(A4,12,2)),"")</f>
        <v/>
      </c>
      <c r="E4" s="5" t="str">
        <f>IF(C4="",IF(D4="","",IF(D4&lt;128,"Wahl "&amp;D4,INDEX(KdoCodeTab,MATCH(D4,KdoWertTab,0)))),"Status "&amp;C4)</f>
        <v/>
      </c>
      <c r="F4" t="str">
        <f t="shared" ref="F4" si="0">IF(B4=$F$2,E4,"")</f>
        <v/>
      </c>
      <c r="G4" t="str">
        <f t="shared" ref="G4" si="1">IF(B4=$G$2,E4,"")</f>
        <v/>
      </c>
      <c r="H4" t="str">
        <f>IF(F4&amp;G4="",E4,"")</f>
        <v/>
      </c>
    </row>
    <row r="5" spans="1:8" x14ac:dyDescent="0.25">
      <c r="A5" t="s">
        <v>442</v>
      </c>
      <c r="B5" s="3">
        <f t="shared" ref="B5:B68" si="2">INT(HEX2DEC(MID(A5,8,2))/2)</f>
        <v>31</v>
      </c>
      <c r="C5" s="3" t="str">
        <f t="shared" ref="C5:C68" si="3">IF(MID(A5,10,1)="&lt;",MID(A5,12,2),"")</f>
        <v>80</v>
      </c>
      <c r="D5" s="3" t="str">
        <f t="shared" ref="D5:D68" si="4">IF(MID(A5,10,1)="&gt;",HEX2DEC(MID(A5,12,2)),"")</f>
        <v/>
      </c>
      <c r="E5" s="5" t="str">
        <f>IF(C5="",IF(D5="","",IF(D5&lt;128,"Wahl "&amp;D5,INDEX(KdoCodeTab,MATCH(D5,KdoWertTab,0)))),"Status "&amp;C5)</f>
        <v>Status 80</v>
      </c>
      <c r="F5" t="str">
        <f t="shared" ref="F5:F68" si="5">IF(B5=$F$2,E5,"")</f>
        <v>Status 80</v>
      </c>
      <c r="G5" t="str">
        <f t="shared" ref="G5:G68" si="6">IF(B5=$G$2,E5,"")</f>
        <v/>
      </c>
      <c r="H5" t="str">
        <f t="shared" ref="H5:H68" si="7">IF(F5&amp;G5="",E5,"")</f>
        <v/>
      </c>
    </row>
    <row r="6" spans="1:8" x14ac:dyDescent="0.25">
      <c r="A6" t="s">
        <v>443</v>
      </c>
      <c r="B6" s="3">
        <f t="shared" si="2"/>
        <v>31</v>
      </c>
      <c r="C6" s="3" t="str">
        <f t="shared" si="3"/>
        <v/>
      </c>
      <c r="D6" s="3">
        <f t="shared" si="4"/>
        <v>33</v>
      </c>
      <c r="E6" s="5" t="str">
        <f>IF(C6="",IF(D6="","",IF(D6&lt;128,"Wahl "&amp;D6,INDEX(KdoCodeTab,MATCH(D6,KdoWertTab,0)))),"Status "&amp;C6)</f>
        <v>Wahl 33</v>
      </c>
      <c r="F6" t="str">
        <f t="shared" si="5"/>
        <v>Wahl 33</v>
      </c>
      <c r="G6" t="str">
        <f t="shared" si="6"/>
        <v/>
      </c>
      <c r="H6" t="str">
        <f t="shared" si="7"/>
        <v/>
      </c>
    </row>
    <row r="7" spans="1:8" x14ac:dyDescent="0.25">
      <c r="A7" t="s">
        <v>4</v>
      </c>
      <c r="B7" s="3">
        <f t="shared" si="2"/>
        <v>31</v>
      </c>
      <c r="C7" s="3" t="str">
        <f t="shared" si="3"/>
        <v/>
      </c>
      <c r="D7" s="3">
        <f t="shared" si="4"/>
        <v>163</v>
      </c>
      <c r="E7" s="5" t="str">
        <f>IF(C7="",IF(D7="","",IF(D7&lt;128,"Wahl "&amp;D7,INDEX(KdoCodeTab,MATCH(D7,KdoWertTab,0)))),"Status "&amp;C7)</f>
        <v>Ein</v>
      </c>
      <c r="F7" t="str">
        <f t="shared" si="5"/>
        <v>Ein</v>
      </c>
      <c r="G7" t="str">
        <f t="shared" si="6"/>
        <v/>
      </c>
      <c r="H7" t="str">
        <f t="shared" si="7"/>
        <v/>
      </c>
    </row>
    <row r="8" spans="1:8" x14ac:dyDescent="0.25">
      <c r="A8" t="s">
        <v>5</v>
      </c>
      <c r="B8" s="3">
        <f t="shared" si="2"/>
        <v>33</v>
      </c>
      <c r="C8" s="3" t="str">
        <f t="shared" si="3"/>
        <v/>
      </c>
      <c r="D8" s="3">
        <f t="shared" si="4"/>
        <v>169</v>
      </c>
      <c r="E8" s="5" t="str">
        <f>IF(C8="",IF(D8="","",IF(D8&lt;128,"Wahl "&amp;D8,INDEX(KdoCodeTab,MATCH(D8,KdoWertTab,0)))),"Status "&amp;C8)</f>
        <v>BusLebenszeichen</v>
      </c>
      <c r="F8" t="str">
        <f t="shared" si="5"/>
        <v/>
      </c>
      <c r="G8" t="str">
        <f t="shared" si="6"/>
        <v>BusLebenszeichen</v>
      </c>
      <c r="H8" t="str">
        <f t="shared" si="7"/>
        <v/>
      </c>
    </row>
    <row r="9" spans="1:8" x14ac:dyDescent="0.25">
      <c r="A9" t="s">
        <v>6</v>
      </c>
      <c r="B9" s="3">
        <f t="shared" si="2"/>
        <v>31</v>
      </c>
      <c r="C9" s="3" t="str">
        <f t="shared" si="3"/>
        <v/>
      </c>
      <c r="D9" s="3">
        <f t="shared" si="4"/>
        <v>169</v>
      </c>
      <c r="E9" s="5" t="str">
        <f>IF(C9="",IF(D9="","",IF(D9&lt;128,"Wahl "&amp;D9,INDEX(KdoCodeTab,MATCH(D9,KdoWertTab,0)))),"Status "&amp;C9)</f>
        <v>BusLebenszeichen</v>
      </c>
      <c r="F9" t="str">
        <f t="shared" si="5"/>
        <v>BusLebenszeichen</v>
      </c>
      <c r="G9" t="str">
        <f t="shared" si="6"/>
        <v/>
      </c>
      <c r="H9" t="str">
        <f t="shared" si="7"/>
        <v/>
      </c>
    </row>
    <row r="10" spans="1:8" x14ac:dyDescent="0.25">
      <c r="A10" t="s">
        <v>7</v>
      </c>
      <c r="B10" s="3">
        <f t="shared" si="2"/>
        <v>33</v>
      </c>
      <c r="C10" s="3" t="str">
        <f t="shared" si="3"/>
        <v/>
      </c>
      <c r="D10" s="3">
        <f t="shared" si="4"/>
        <v>169</v>
      </c>
      <c r="E10" s="5" t="str">
        <f>IF(C10="",IF(D10="","",IF(D10&lt;128,"Wahl "&amp;D10,INDEX(KdoCodeTab,MATCH(D10,KdoWertTab,0)))),"Status "&amp;C10)</f>
        <v>BusLebenszeichen</v>
      </c>
      <c r="F10" t="str">
        <f t="shared" si="5"/>
        <v/>
      </c>
      <c r="G10" t="str">
        <f t="shared" si="6"/>
        <v>BusLebenszeichen</v>
      </c>
      <c r="H10" t="str">
        <f t="shared" si="7"/>
        <v/>
      </c>
    </row>
    <row r="11" spans="1:8" x14ac:dyDescent="0.25">
      <c r="A11" t="s">
        <v>8</v>
      </c>
      <c r="B11" s="3">
        <f t="shared" si="2"/>
        <v>33</v>
      </c>
      <c r="C11" s="3" t="str">
        <f t="shared" si="3"/>
        <v/>
      </c>
      <c r="D11" s="3">
        <f t="shared" si="4"/>
        <v>169</v>
      </c>
      <c r="E11" s="5" t="str">
        <f>IF(C11="",IF(D11="","",IF(D11&lt;128,"Wahl "&amp;D11,INDEX(KdoCodeTab,MATCH(D11,KdoWertTab,0)))),"Status "&amp;C11)</f>
        <v>BusLebenszeichen</v>
      </c>
      <c r="F11" t="str">
        <f t="shared" si="5"/>
        <v/>
      </c>
      <c r="G11" t="str">
        <f t="shared" si="6"/>
        <v>BusLebenszeichen</v>
      </c>
      <c r="H11" t="str">
        <f t="shared" si="7"/>
        <v/>
      </c>
    </row>
    <row r="12" spans="1:8" x14ac:dyDescent="0.25">
      <c r="A12" t="s">
        <v>9</v>
      </c>
      <c r="B12" s="3">
        <f t="shared" si="2"/>
        <v>31</v>
      </c>
      <c r="C12" s="3" t="str">
        <f t="shared" si="3"/>
        <v/>
      </c>
      <c r="D12" s="3">
        <f t="shared" si="4"/>
        <v>169</v>
      </c>
      <c r="E12" s="5" t="str">
        <f>IF(C12="",IF(D12="","",IF(D12&lt;128,"Wahl "&amp;D12,INDEX(KdoCodeTab,MATCH(D12,KdoWertTab,0)))),"Status "&amp;C12)</f>
        <v>BusLebenszeichen</v>
      </c>
      <c r="F12" t="str">
        <f t="shared" si="5"/>
        <v>BusLebenszeichen</v>
      </c>
      <c r="G12" t="str">
        <f t="shared" si="6"/>
        <v/>
      </c>
      <c r="H12" t="str">
        <f t="shared" si="7"/>
        <v/>
      </c>
    </row>
    <row r="13" spans="1:8" x14ac:dyDescent="0.25">
      <c r="A13" t="s">
        <v>10</v>
      </c>
      <c r="B13" s="3">
        <f t="shared" si="2"/>
        <v>0</v>
      </c>
      <c r="C13" s="3" t="str">
        <f t="shared" si="3"/>
        <v/>
      </c>
      <c r="D13" s="3">
        <f t="shared" si="4"/>
        <v>99</v>
      </c>
      <c r="E13" s="5" t="str">
        <f>IF(C13="",IF(D13="","",IF(D13&lt;128,"Wahl "&amp;D13,INDEX(KdoCodeTab,MATCH(D13,KdoWertTab,0)))),"Status "&amp;C13)</f>
        <v>Wahl 99</v>
      </c>
      <c r="F13" t="str">
        <f t="shared" si="5"/>
        <v/>
      </c>
      <c r="G13" t="str">
        <f t="shared" si="6"/>
        <v/>
      </c>
      <c r="H13" t="str">
        <f t="shared" si="7"/>
        <v>Wahl 99</v>
      </c>
    </row>
    <row r="14" spans="1:8" x14ac:dyDescent="0.25">
      <c r="A14" t="s">
        <v>11</v>
      </c>
      <c r="B14" s="3">
        <f t="shared" si="2"/>
        <v>0</v>
      </c>
      <c r="C14" s="3" t="str">
        <f t="shared" si="3"/>
        <v/>
      </c>
      <c r="D14" s="3">
        <f t="shared" si="4"/>
        <v>99</v>
      </c>
      <c r="E14" s="5" t="str">
        <f>IF(C14="",IF(D14="","",IF(D14&lt;128,"Wahl "&amp;D14,INDEX(KdoCodeTab,MATCH(D14,KdoWertTab,0)))),"Status "&amp;C14)</f>
        <v>Wahl 99</v>
      </c>
      <c r="F14" t="str">
        <f t="shared" si="5"/>
        <v/>
      </c>
      <c r="G14" t="str">
        <f t="shared" si="6"/>
        <v/>
      </c>
      <c r="H14" t="str">
        <f t="shared" si="7"/>
        <v>Wahl 99</v>
      </c>
    </row>
    <row r="15" spans="1:8" x14ac:dyDescent="0.25">
      <c r="A15" t="s">
        <v>12</v>
      </c>
      <c r="B15" s="3">
        <f t="shared" si="2"/>
        <v>33</v>
      </c>
      <c r="C15" s="3" t="str">
        <f t="shared" si="3"/>
        <v/>
      </c>
      <c r="D15" s="3">
        <f t="shared" si="4"/>
        <v>169</v>
      </c>
      <c r="E15" s="5" t="str">
        <f>IF(C15="",IF(D15="","",IF(D15&lt;128,"Wahl "&amp;D15,INDEX(KdoCodeTab,MATCH(D15,KdoWertTab,0)))),"Status "&amp;C15)</f>
        <v>BusLebenszeichen</v>
      </c>
      <c r="F15" t="str">
        <f t="shared" si="5"/>
        <v/>
      </c>
      <c r="G15" t="str">
        <f t="shared" si="6"/>
        <v>BusLebenszeichen</v>
      </c>
      <c r="H15" t="str">
        <f t="shared" si="7"/>
        <v/>
      </c>
    </row>
    <row r="16" spans="1:8" x14ac:dyDescent="0.25">
      <c r="A16" t="s">
        <v>13</v>
      </c>
      <c r="B16" s="3">
        <f t="shared" si="2"/>
        <v>31</v>
      </c>
      <c r="C16" s="3" t="str">
        <f t="shared" si="3"/>
        <v/>
      </c>
      <c r="D16" s="3">
        <f t="shared" si="4"/>
        <v>169</v>
      </c>
      <c r="E16" s="5" t="str">
        <f>IF(C16="",IF(D16="","",IF(D16&lt;128,"Wahl "&amp;D16,INDEX(KdoCodeTab,MATCH(D16,KdoWertTab,0)))),"Status "&amp;C16)</f>
        <v>BusLebenszeichen</v>
      </c>
      <c r="F16" t="str">
        <f t="shared" si="5"/>
        <v>BusLebenszeichen</v>
      </c>
      <c r="G16" t="str">
        <f t="shared" si="6"/>
        <v/>
      </c>
      <c r="H16" t="str">
        <f t="shared" si="7"/>
        <v/>
      </c>
    </row>
    <row r="17" spans="1:8" x14ac:dyDescent="0.25">
      <c r="A17" t="s">
        <v>14</v>
      </c>
      <c r="B17" s="3">
        <f t="shared" si="2"/>
        <v>33</v>
      </c>
      <c r="C17" s="3" t="str">
        <f t="shared" si="3"/>
        <v/>
      </c>
      <c r="D17" s="3">
        <f t="shared" si="4"/>
        <v>169</v>
      </c>
      <c r="E17" s="5" t="str">
        <f>IF(C17="",IF(D17="","",IF(D17&lt;128,"Wahl "&amp;D17,INDEX(KdoCodeTab,MATCH(D17,KdoWertTab,0)))),"Status "&amp;C17)</f>
        <v>BusLebenszeichen</v>
      </c>
      <c r="F17" t="str">
        <f t="shared" si="5"/>
        <v/>
      </c>
      <c r="G17" t="str">
        <f t="shared" si="6"/>
        <v>BusLebenszeichen</v>
      </c>
      <c r="H17" t="str">
        <f t="shared" si="7"/>
        <v/>
      </c>
    </row>
    <row r="18" spans="1:8" x14ac:dyDescent="0.25">
      <c r="A18" t="s">
        <v>15</v>
      </c>
      <c r="B18" s="3">
        <f t="shared" si="2"/>
        <v>31</v>
      </c>
      <c r="C18" s="3" t="str">
        <f t="shared" si="3"/>
        <v/>
      </c>
      <c r="D18" s="3">
        <f t="shared" si="4"/>
        <v>169</v>
      </c>
      <c r="E18" s="5" t="str">
        <f>IF(C18="",IF(D18="","",IF(D18&lt;128,"Wahl "&amp;D18,INDEX(KdoCodeTab,MATCH(D18,KdoWertTab,0)))),"Status "&amp;C18)</f>
        <v>BusLebenszeichen</v>
      </c>
      <c r="F18" t="str">
        <f t="shared" si="5"/>
        <v>BusLebenszeichen</v>
      </c>
      <c r="G18" t="str">
        <f t="shared" si="6"/>
        <v/>
      </c>
      <c r="H18" t="str">
        <f t="shared" si="7"/>
        <v/>
      </c>
    </row>
    <row r="19" spans="1:8" x14ac:dyDescent="0.25">
      <c r="A19" t="s">
        <v>16</v>
      </c>
      <c r="B19" s="3">
        <f t="shared" si="2"/>
        <v>33</v>
      </c>
      <c r="C19" s="3" t="str">
        <f t="shared" si="3"/>
        <v/>
      </c>
      <c r="D19" s="3">
        <f t="shared" si="4"/>
        <v>169</v>
      </c>
      <c r="E19" s="5" t="str">
        <f>IF(C19="",IF(D19="","",IF(D19&lt;128,"Wahl "&amp;D19,INDEX(KdoCodeTab,MATCH(D19,KdoWertTab,0)))),"Status "&amp;C19)</f>
        <v>BusLebenszeichen</v>
      </c>
      <c r="F19" t="str">
        <f t="shared" si="5"/>
        <v/>
      </c>
      <c r="G19" t="str">
        <f t="shared" si="6"/>
        <v>BusLebenszeichen</v>
      </c>
      <c r="H19" t="str">
        <f t="shared" si="7"/>
        <v/>
      </c>
    </row>
    <row r="20" spans="1:8" x14ac:dyDescent="0.25">
      <c r="A20" t="s">
        <v>17</v>
      </c>
      <c r="B20" s="3">
        <f t="shared" si="2"/>
        <v>31</v>
      </c>
      <c r="C20" s="3" t="str">
        <f t="shared" si="3"/>
        <v/>
      </c>
      <c r="D20" s="3">
        <f t="shared" si="4"/>
        <v>169</v>
      </c>
      <c r="E20" s="5" t="str">
        <f>IF(C20="",IF(D20="","",IF(D20&lt;128,"Wahl "&amp;D20,INDEX(KdoCodeTab,MATCH(D20,KdoWertTab,0)))),"Status "&amp;C20)</f>
        <v>BusLebenszeichen</v>
      </c>
      <c r="F20" t="str">
        <f t="shared" si="5"/>
        <v>BusLebenszeichen</v>
      </c>
      <c r="G20" t="str">
        <f t="shared" si="6"/>
        <v/>
      </c>
      <c r="H20" t="str">
        <f t="shared" si="7"/>
        <v/>
      </c>
    </row>
    <row r="21" spans="1:8" x14ac:dyDescent="0.25">
      <c r="A21" t="s">
        <v>18</v>
      </c>
      <c r="B21" s="3">
        <f t="shared" si="2"/>
        <v>33</v>
      </c>
      <c r="C21" s="3" t="str">
        <f t="shared" si="3"/>
        <v/>
      </c>
      <c r="D21" s="3">
        <f t="shared" si="4"/>
        <v>169</v>
      </c>
      <c r="E21" s="5" t="str">
        <f>IF(C21="",IF(D21="","",IF(D21&lt;128,"Wahl "&amp;D21,INDEX(KdoCodeTab,MATCH(D21,KdoWertTab,0)))),"Status "&amp;C21)</f>
        <v>BusLebenszeichen</v>
      </c>
      <c r="F21" t="str">
        <f t="shared" si="5"/>
        <v/>
      </c>
      <c r="G21" t="str">
        <f t="shared" si="6"/>
        <v>BusLebenszeichen</v>
      </c>
      <c r="H21" t="str">
        <f t="shared" si="7"/>
        <v/>
      </c>
    </row>
    <row r="22" spans="1:8" x14ac:dyDescent="0.25">
      <c r="A22" t="s">
        <v>19</v>
      </c>
      <c r="B22" s="3">
        <f t="shared" si="2"/>
        <v>31</v>
      </c>
      <c r="C22" s="3" t="str">
        <f t="shared" si="3"/>
        <v/>
      </c>
      <c r="D22" s="3">
        <f t="shared" si="4"/>
        <v>169</v>
      </c>
      <c r="E22" s="5" t="str">
        <f>IF(C22="",IF(D22="","",IF(D22&lt;128,"Wahl "&amp;D22,INDEX(KdoCodeTab,MATCH(D22,KdoWertTab,0)))),"Status "&amp;C22)</f>
        <v>BusLebenszeichen</v>
      </c>
      <c r="F22" t="str">
        <f t="shared" si="5"/>
        <v>BusLebenszeichen</v>
      </c>
      <c r="G22" t="str">
        <f t="shared" si="6"/>
        <v/>
      </c>
      <c r="H22" t="str">
        <f t="shared" si="7"/>
        <v/>
      </c>
    </row>
    <row r="23" spans="1:8" x14ac:dyDescent="0.25">
      <c r="A23" t="s">
        <v>20</v>
      </c>
      <c r="B23" s="3">
        <f t="shared" si="2"/>
        <v>33</v>
      </c>
      <c r="C23" s="3" t="str">
        <f t="shared" si="3"/>
        <v/>
      </c>
      <c r="D23" s="3">
        <f t="shared" si="4"/>
        <v>169</v>
      </c>
      <c r="E23" s="5" t="str">
        <f>IF(C23="",IF(D23="","",IF(D23&lt;128,"Wahl "&amp;D23,INDEX(KdoCodeTab,MATCH(D23,KdoWertTab,0)))),"Status "&amp;C23)</f>
        <v>BusLebenszeichen</v>
      </c>
      <c r="F23" t="str">
        <f t="shared" si="5"/>
        <v/>
      </c>
      <c r="G23" t="str">
        <f t="shared" si="6"/>
        <v>BusLebenszeichen</v>
      </c>
      <c r="H23" t="str">
        <f t="shared" si="7"/>
        <v/>
      </c>
    </row>
    <row r="24" spans="1:8" x14ac:dyDescent="0.25">
      <c r="A24" t="s">
        <v>21</v>
      </c>
      <c r="B24" s="3">
        <f t="shared" si="2"/>
        <v>31</v>
      </c>
      <c r="C24" s="3" t="str">
        <f t="shared" si="3"/>
        <v/>
      </c>
      <c r="D24" s="3">
        <f t="shared" si="4"/>
        <v>169</v>
      </c>
      <c r="E24" s="5" t="str">
        <f>IF(C24="",IF(D24="","",IF(D24&lt;128,"Wahl "&amp;D24,INDEX(KdoCodeTab,MATCH(D24,KdoWertTab,0)))),"Status "&amp;C24)</f>
        <v>BusLebenszeichen</v>
      </c>
      <c r="F24" t="str">
        <f t="shared" si="5"/>
        <v>BusLebenszeichen</v>
      </c>
      <c r="G24" t="str">
        <f t="shared" si="6"/>
        <v/>
      </c>
      <c r="H24" t="str">
        <f t="shared" si="7"/>
        <v/>
      </c>
    </row>
    <row r="25" spans="1:8" x14ac:dyDescent="0.25">
      <c r="A25" t="s">
        <v>22</v>
      </c>
      <c r="B25" s="3">
        <f t="shared" si="2"/>
        <v>33</v>
      </c>
      <c r="C25" s="3" t="str">
        <f t="shared" si="3"/>
        <v/>
      </c>
      <c r="D25" s="3">
        <f t="shared" si="4"/>
        <v>169</v>
      </c>
      <c r="E25" s="5" t="str">
        <f>IF(C25="",IF(D25="","",IF(D25&lt;128,"Wahl "&amp;D25,INDEX(KdoCodeTab,MATCH(D25,KdoWertTab,0)))),"Status "&amp;C25)</f>
        <v>BusLebenszeichen</v>
      </c>
      <c r="F25" t="str">
        <f t="shared" si="5"/>
        <v/>
      </c>
      <c r="G25" t="str">
        <f t="shared" si="6"/>
        <v>BusLebenszeichen</v>
      </c>
      <c r="H25" t="str">
        <f t="shared" si="7"/>
        <v/>
      </c>
    </row>
    <row r="26" spans="1:8" x14ac:dyDescent="0.25">
      <c r="A26" t="s">
        <v>23</v>
      </c>
      <c r="B26" s="3">
        <f t="shared" si="2"/>
        <v>31</v>
      </c>
      <c r="C26" s="3" t="str">
        <f t="shared" si="3"/>
        <v/>
      </c>
      <c r="D26" s="3">
        <f t="shared" si="4"/>
        <v>169</v>
      </c>
      <c r="E26" s="5" t="str">
        <f>IF(C26="",IF(D26="","",IF(D26&lt;128,"Wahl "&amp;D26,INDEX(KdoCodeTab,MATCH(D26,KdoWertTab,0)))),"Status "&amp;C26)</f>
        <v>BusLebenszeichen</v>
      </c>
      <c r="F26" t="str">
        <f t="shared" si="5"/>
        <v>BusLebenszeichen</v>
      </c>
      <c r="G26" t="str">
        <f t="shared" si="6"/>
        <v/>
      </c>
      <c r="H26" t="str">
        <f t="shared" si="7"/>
        <v/>
      </c>
    </row>
    <row r="27" spans="1:8" x14ac:dyDescent="0.25">
      <c r="A27" t="s">
        <v>24</v>
      </c>
      <c r="B27" s="3">
        <f t="shared" si="2"/>
        <v>33</v>
      </c>
      <c r="C27" s="3" t="str">
        <f t="shared" si="3"/>
        <v/>
      </c>
      <c r="D27" s="3">
        <f t="shared" si="4"/>
        <v>169</v>
      </c>
      <c r="E27" s="5" t="str">
        <f>IF(C27="",IF(D27="","",IF(D27&lt;128,"Wahl "&amp;D27,INDEX(KdoCodeTab,MATCH(D27,KdoWertTab,0)))),"Status "&amp;C27)</f>
        <v>BusLebenszeichen</v>
      </c>
      <c r="F27" t="str">
        <f t="shared" si="5"/>
        <v/>
      </c>
      <c r="G27" t="str">
        <f t="shared" si="6"/>
        <v>BusLebenszeichen</v>
      </c>
      <c r="H27" t="str">
        <f t="shared" si="7"/>
        <v/>
      </c>
    </row>
    <row r="28" spans="1:8" x14ac:dyDescent="0.25">
      <c r="A28" t="s">
        <v>25</v>
      </c>
      <c r="B28" s="3">
        <f t="shared" si="2"/>
        <v>31</v>
      </c>
      <c r="C28" s="3" t="str">
        <f t="shared" si="3"/>
        <v/>
      </c>
      <c r="D28" s="3">
        <f t="shared" si="4"/>
        <v>169</v>
      </c>
      <c r="E28" s="5" t="str">
        <f>IF(C28="",IF(D28="","",IF(D28&lt;128,"Wahl "&amp;D28,INDEX(KdoCodeTab,MATCH(D28,KdoWertTab,0)))),"Status "&amp;C28)</f>
        <v>BusLebenszeichen</v>
      </c>
      <c r="F28" t="str">
        <f t="shared" si="5"/>
        <v>BusLebenszeichen</v>
      </c>
      <c r="G28" t="str">
        <f t="shared" si="6"/>
        <v/>
      </c>
      <c r="H28" t="str">
        <f t="shared" si="7"/>
        <v/>
      </c>
    </row>
    <row r="29" spans="1:8" x14ac:dyDescent="0.25">
      <c r="A29" t="s">
        <v>26</v>
      </c>
      <c r="B29" s="3">
        <f t="shared" si="2"/>
        <v>33</v>
      </c>
      <c r="C29" s="3" t="str">
        <f t="shared" si="3"/>
        <v/>
      </c>
      <c r="D29" s="3">
        <f t="shared" si="4"/>
        <v>169</v>
      </c>
      <c r="E29" s="5" t="str">
        <f>IF(C29="",IF(D29="","",IF(D29&lt;128,"Wahl "&amp;D29,INDEX(KdoCodeTab,MATCH(D29,KdoWertTab,0)))),"Status "&amp;C29)</f>
        <v>BusLebenszeichen</v>
      </c>
      <c r="F29" t="str">
        <f t="shared" si="5"/>
        <v/>
      </c>
      <c r="G29" t="str">
        <f t="shared" si="6"/>
        <v>BusLebenszeichen</v>
      </c>
      <c r="H29" t="str">
        <f t="shared" si="7"/>
        <v/>
      </c>
    </row>
    <row r="30" spans="1:8" x14ac:dyDescent="0.25">
      <c r="A30" t="s">
        <v>27</v>
      </c>
      <c r="B30" s="3">
        <f t="shared" si="2"/>
        <v>31</v>
      </c>
      <c r="C30" s="3" t="str">
        <f t="shared" si="3"/>
        <v/>
      </c>
      <c r="D30" s="3">
        <f t="shared" si="4"/>
        <v>169</v>
      </c>
      <c r="E30" s="5" t="str">
        <f>IF(C30="",IF(D30="","",IF(D30&lt;128,"Wahl "&amp;D30,INDEX(KdoCodeTab,MATCH(D30,KdoWertTab,0)))),"Status "&amp;C30)</f>
        <v>BusLebenszeichen</v>
      </c>
      <c r="F30" t="str">
        <f t="shared" si="5"/>
        <v>BusLebenszeichen</v>
      </c>
      <c r="G30" t="str">
        <f t="shared" si="6"/>
        <v/>
      </c>
      <c r="H30" t="str">
        <f t="shared" si="7"/>
        <v/>
      </c>
    </row>
    <row r="31" spans="1:8" x14ac:dyDescent="0.25">
      <c r="A31" t="s">
        <v>28</v>
      </c>
      <c r="B31" s="3">
        <f t="shared" si="2"/>
        <v>33</v>
      </c>
      <c r="C31" s="3" t="str">
        <f t="shared" si="3"/>
        <v/>
      </c>
      <c r="D31" s="3">
        <f t="shared" si="4"/>
        <v>169</v>
      </c>
      <c r="E31" s="5" t="str">
        <f>IF(C31="",IF(D31="","",IF(D31&lt;128,"Wahl "&amp;D31,INDEX(KdoCodeTab,MATCH(D31,KdoWertTab,0)))),"Status "&amp;C31)</f>
        <v>BusLebenszeichen</v>
      </c>
      <c r="F31" t="str">
        <f t="shared" si="5"/>
        <v/>
      </c>
      <c r="G31" t="str">
        <f t="shared" si="6"/>
        <v>BusLebenszeichen</v>
      </c>
      <c r="H31" t="str">
        <f t="shared" si="7"/>
        <v/>
      </c>
    </row>
    <row r="32" spans="1:8" x14ac:dyDescent="0.25">
      <c r="A32" t="s">
        <v>29</v>
      </c>
      <c r="B32" s="3">
        <f t="shared" si="2"/>
        <v>31</v>
      </c>
      <c r="C32" s="3" t="str">
        <f t="shared" si="3"/>
        <v/>
      </c>
      <c r="D32" s="3">
        <f t="shared" si="4"/>
        <v>169</v>
      </c>
      <c r="E32" s="5" t="str">
        <f>IF(C32="",IF(D32="","",IF(D32&lt;128,"Wahl "&amp;D32,INDEX(KdoCodeTab,MATCH(D32,KdoWertTab,0)))),"Status "&amp;C32)</f>
        <v>BusLebenszeichen</v>
      </c>
      <c r="F32" t="str">
        <f t="shared" si="5"/>
        <v>BusLebenszeichen</v>
      </c>
      <c r="G32" t="str">
        <f t="shared" si="6"/>
        <v/>
      </c>
      <c r="H32" t="str">
        <f t="shared" si="7"/>
        <v/>
      </c>
    </row>
    <row r="33" spans="1:8" x14ac:dyDescent="0.25">
      <c r="A33" t="s">
        <v>30</v>
      </c>
      <c r="B33" s="3">
        <f t="shared" si="2"/>
        <v>33</v>
      </c>
      <c r="C33" s="3" t="str">
        <f t="shared" si="3"/>
        <v/>
      </c>
      <c r="D33" s="3">
        <f t="shared" si="4"/>
        <v>169</v>
      </c>
      <c r="E33" s="5" t="str">
        <f>IF(C33="",IF(D33="","",IF(D33&lt;128,"Wahl "&amp;D33,INDEX(KdoCodeTab,MATCH(D33,KdoWertTab,0)))),"Status "&amp;C33)</f>
        <v>BusLebenszeichen</v>
      </c>
      <c r="F33" t="str">
        <f t="shared" si="5"/>
        <v/>
      </c>
      <c r="G33" t="str">
        <f t="shared" si="6"/>
        <v>BusLebenszeichen</v>
      </c>
      <c r="H33" t="str">
        <f t="shared" si="7"/>
        <v/>
      </c>
    </row>
    <row r="34" spans="1:8" x14ac:dyDescent="0.25">
      <c r="A34" t="s">
        <v>31</v>
      </c>
      <c r="B34" s="3">
        <f t="shared" si="2"/>
        <v>31</v>
      </c>
      <c r="C34" s="3" t="str">
        <f t="shared" si="3"/>
        <v/>
      </c>
      <c r="D34" s="3">
        <f t="shared" si="4"/>
        <v>169</v>
      </c>
      <c r="E34" s="5" t="str">
        <f>IF(C34="",IF(D34="","",IF(D34&lt;128,"Wahl "&amp;D34,INDEX(KdoCodeTab,MATCH(D34,KdoWertTab,0)))),"Status "&amp;C34)</f>
        <v>BusLebenszeichen</v>
      </c>
      <c r="F34" t="str">
        <f t="shared" si="5"/>
        <v>BusLebenszeichen</v>
      </c>
      <c r="G34" t="str">
        <f t="shared" si="6"/>
        <v/>
      </c>
      <c r="H34" t="str">
        <f t="shared" si="7"/>
        <v/>
      </c>
    </row>
    <row r="35" spans="1:8" x14ac:dyDescent="0.25">
      <c r="A35" t="s">
        <v>32</v>
      </c>
      <c r="B35" s="3">
        <f t="shared" si="2"/>
        <v>33</v>
      </c>
      <c r="C35" s="3" t="str">
        <f t="shared" si="3"/>
        <v/>
      </c>
      <c r="D35" s="3">
        <f t="shared" si="4"/>
        <v>169</v>
      </c>
      <c r="E35" s="5" t="str">
        <f>IF(C35="",IF(D35="","",IF(D35&lt;128,"Wahl "&amp;D35,INDEX(KdoCodeTab,MATCH(D35,KdoWertTab,0)))),"Status "&amp;C35)</f>
        <v>BusLebenszeichen</v>
      </c>
      <c r="F35" t="str">
        <f t="shared" si="5"/>
        <v/>
      </c>
      <c r="G35" t="str">
        <f t="shared" si="6"/>
        <v>BusLebenszeichen</v>
      </c>
      <c r="H35" t="str">
        <f t="shared" si="7"/>
        <v/>
      </c>
    </row>
    <row r="36" spans="1:8" x14ac:dyDescent="0.25">
      <c r="A36" t="s">
        <v>33</v>
      </c>
      <c r="B36" s="3">
        <f t="shared" si="2"/>
        <v>31</v>
      </c>
      <c r="C36" s="3" t="str">
        <f t="shared" si="3"/>
        <v/>
      </c>
      <c r="D36" s="3">
        <f t="shared" si="4"/>
        <v>169</v>
      </c>
      <c r="E36" s="5" t="str">
        <f>IF(C36="",IF(D36="","",IF(D36&lt;128,"Wahl "&amp;D36,INDEX(KdoCodeTab,MATCH(D36,KdoWertTab,0)))),"Status "&amp;C36)</f>
        <v>BusLebenszeichen</v>
      </c>
      <c r="F36" t="str">
        <f t="shared" si="5"/>
        <v>BusLebenszeichen</v>
      </c>
      <c r="G36" t="str">
        <f t="shared" si="6"/>
        <v/>
      </c>
      <c r="H36" t="str">
        <f t="shared" si="7"/>
        <v/>
      </c>
    </row>
    <row r="37" spans="1:8" x14ac:dyDescent="0.25">
      <c r="A37" t="s">
        <v>34</v>
      </c>
      <c r="B37" s="3">
        <f t="shared" si="2"/>
        <v>33</v>
      </c>
      <c r="C37" s="3" t="str">
        <f t="shared" si="3"/>
        <v/>
      </c>
      <c r="D37" s="3">
        <f t="shared" si="4"/>
        <v>169</v>
      </c>
      <c r="E37" s="5" t="str">
        <f>IF(C37="",IF(D37="","",IF(D37&lt;128,"Wahl "&amp;D37,INDEX(KdoCodeTab,MATCH(D37,KdoWertTab,0)))),"Status "&amp;C37)</f>
        <v>BusLebenszeichen</v>
      </c>
      <c r="F37" t="str">
        <f t="shared" si="5"/>
        <v/>
      </c>
      <c r="G37" t="str">
        <f t="shared" si="6"/>
        <v>BusLebenszeichen</v>
      </c>
      <c r="H37" t="str">
        <f t="shared" si="7"/>
        <v/>
      </c>
    </row>
    <row r="38" spans="1:8" x14ac:dyDescent="0.25">
      <c r="A38" t="s">
        <v>35</v>
      </c>
      <c r="B38" s="3">
        <f t="shared" si="2"/>
        <v>31</v>
      </c>
      <c r="C38" s="3" t="str">
        <f t="shared" si="3"/>
        <v/>
      </c>
      <c r="D38" s="3">
        <f t="shared" si="4"/>
        <v>169</v>
      </c>
      <c r="E38" s="5" t="str">
        <f>IF(C38="",IF(D38="","",IF(D38&lt;128,"Wahl "&amp;D38,INDEX(KdoCodeTab,MATCH(D38,KdoWertTab,0)))),"Status "&amp;C38)</f>
        <v>BusLebenszeichen</v>
      </c>
      <c r="F38" t="str">
        <f t="shared" si="5"/>
        <v>BusLebenszeichen</v>
      </c>
      <c r="G38" t="str">
        <f t="shared" si="6"/>
        <v/>
      </c>
      <c r="H38" t="str">
        <f t="shared" si="7"/>
        <v/>
      </c>
    </row>
    <row r="39" spans="1:8" x14ac:dyDescent="0.25">
      <c r="A39" t="s">
        <v>36</v>
      </c>
      <c r="B39" s="3">
        <f t="shared" si="2"/>
        <v>33</v>
      </c>
      <c r="C39" s="3" t="str">
        <f t="shared" si="3"/>
        <v/>
      </c>
      <c r="D39" s="3">
        <f t="shared" si="4"/>
        <v>169</v>
      </c>
      <c r="E39" s="5" t="str">
        <f>IF(C39="",IF(D39="","",IF(D39&lt;128,"Wahl "&amp;D39,INDEX(KdoCodeTab,MATCH(D39,KdoWertTab,0)))),"Status "&amp;C39)</f>
        <v>BusLebenszeichen</v>
      </c>
      <c r="F39" t="str">
        <f t="shared" si="5"/>
        <v/>
      </c>
      <c r="G39" t="str">
        <f t="shared" si="6"/>
        <v>BusLebenszeichen</v>
      </c>
      <c r="H39" t="str">
        <f t="shared" si="7"/>
        <v/>
      </c>
    </row>
    <row r="40" spans="1:8" x14ac:dyDescent="0.25">
      <c r="A40" t="s">
        <v>37</v>
      </c>
      <c r="B40" s="3">
        <f t="shared" si="2"/>
        <v>31</v>
      </c>
      <c r="C40" s="3" t="str">
        <f t="shared" si="3"/>
        <v/>
      </c>
      <c r="D40" s="3">
        <f t="shared" si="4"/>
        <v>169</v>
      </c>
      <c r="E40" s="5" t="str">
        <f>IF(C40="",IF(D40="","",IF(D40&lt;128,"Wahl "&amp;D40,INDEX(KdoCodeTab,MATCH(D40,KdoWertTab,0)))),"Status "&amp;C40)</f>
        <v>BusLebenszeichen</v>
      </c>
      <c r="F40" t="str">
        <f t="shared" si="5"/>
        <v>BusLebenszeichen</v>
      </c>
      <c r="G40" t="str">
        <f t="shared" si="6"/>
        <v/>
      </c>
      <c r="H40" t="str">
        <f t="shared" si="7"/>
        <v/>
      </c>
    </row>
    <row r="41" spans="1:8" x14ac:dyDescent="0.25">
      <c r="A41" t="s">
        <v>38</v>
      </c>
      <c r="B41" s="3">
        <f t="shared" si="2"/>
        <v>33</v>
      </c>
      <c r="C41" s="3" t="str">
        <f t="shared" si="3"/>
        <v/>
      </c>
      <c r="D41" s="3">
        <f t="shared" si="4"/>
        <v>169</v>
      </c>
      <c r="E41" s="5" t="str">
        <f>IF(C41="",IF(D41="","",IF(D41&lt;128,"Wahl "&amp;D41,INDEX(KdoCodeTab,MATCH(D41,KdoWertTab,0)))),"Status "&amp;C41)</f>
        <v>BusLebenszeichen</v>
      </c>
      <c r="F41" t="str">
        <f t="shared" si="5"/>
        <v/>
      </c>
      <c r="G41" t="str">
        <f t="shared" si="6"/>
        <v>BusLebenszeichen</v>
      </c>
      <c r="H41" t="str">
        <f t="shared" si="7"/>
        <v/>
      </c>
    </row>
    <row r="42" spans="1:8" x14ac:dyDescent="0.25">
      <c r="A42" t="s">
        <v>39</v>
      </c>
      <c r="B42" s="3">
        <f t="shared" si="2"/>
        <v>31</v>
      </c>
      <c r="C42" s="3" t="str">
        <f t="shared" si="3"/>
        <v/>
      </c>
      <c r="D42" s="3">
        <f t="shared" si="4"/>
        <v>169</v>
      </c>
      <c r="E42" s="5" t="str">
        <f>IF(C42="",IF(D42="","",IF(D42&lt;128,"Wahl "&amp;D42,INDEX(KdoCodeTab,MATCH(D42,KdoWertTab,0)))),"Status "&amp;C42)</f>
        <v>BusLebenszeichen</v>
      </c>
      <c r="F42" t="str">
        <f t="shared" si="5"/>
        <v>BusLebenszeichen</v>
      </c>
      <c r="G42" t="str">
        <f t="shared" si="6"/>
        <v/>
      </c>
      <c r="H42" t="str">
        <f t="shared" si="7"/>
        <v/>
      </c>
    </row>
    <row r="43" spans="1:8" x14ac:dyDescent="0.25">
      <c r="A43" t="s">
        <v>40</v>
      </c>
      <c r="B43" s="3">
        <f t="shared" si="2"/>
        <v>33</v>
      </c>
      <c r="C43" s="3" t="str">
        <f t="shared" si="3"/>
        <v/>
      </c>
      <c r="D43" s="3">
        <f t="shared" si="4"/>
        <v>169</v>
      </c>
      <c r="E43" s="5" t="str">
        <f>IF(C43="",IF(D43="","",IF(D43&lt;128,"Wahl "&amp;D43,INDEX(KdoCodeTab,MATCH(D43,KdoWertTab,0)))),"Status "&amp;C43)</f>
        <v>BusLebenszeichen</v>
      </c>
      <c r="F43" t="str">
        <f t="shared" si="5"/>
        <v/>
      </c>
      <c r="G43" t="str">
        <f t="shared" si="6"/>
        <v>BusLebenszeichen</v>
      </c>
      <c r="H43" t="str">
        <f t="shared" si="7"/>
        <v/>
      </c>
    </row>
    <row r="44" spans="1:8" x14ac:dyDescent="0.25">
      <c r="A44" t="s">
        <v>41</v>
      </c>
      <c r="B44" s="3">
        <f t="shared" si="2"/>
        <v>31</v>
      </c>
      <c r="C44" s="3" t="str">
        <f t="shared" si="3"/>
        <v/>
      </c>
      <c r="D44" s="3">
        <f t="shared" si="4"/>
        <v>169</v>
      </c>
      <c r="E44" s="5" t="str">
        <f>IF(C44="",IF(D44="","",IF(D44&lt;128,"Wahl "&amp;D44,INDEX(KdoCodeTab,MATCH(D44,KdoWertTab,0)))),"Status "&amp;C44)</f>
        <v>BusLebenszeichen</v>
      </c>
      <c r="F44" t="str">
        <f t="shared" si="5"/>
        <v>BusLebenszeichen</v>
      </c>
      <c r="G44" t="str">
        <f t="shared" si="6"/>
        <v/>
      </c>
      <c r="H44" t="str">
        <f t="shared" si="7"/>
        <v/>
      </c>
    </row>
    <row r="45" spans="1:8" x14ac:dyDescent="0.25">
      <c r="A45" t="s">
        <v>42</v>
      </c>
      <c r="B45" s="3">
        <f t="shared" si="2"/>
        <v>33</v>
      </c>
      <c r="C45" s="3" t="str">
        <f t="shared" si="3"/>
        <v/>
      </c>
      <c r="D45" s="3">
        <f t="shared" si="4"/>
        <v>169</v>
      </c>
      <c r="E45" s="5" t="str">
        <f>IF(C45="",IF(D45="","",IF(D45&lt;128,"Wahl "&amp;D45,INDEX(KdoCodeTab,MATCH(D45,KdoWertTab,0)))),"Status "&amp;C45)</f>
        <v>BusLebenszeichen</v>
      </c>
      <c r="F45" t="str">
        <f t="shared" si="5"/>
        <v/>
      </c>
      <c r="G45" t="str">
        <f t="shared" si="6"/>
        <v>BusLebenszeichen</v>
      </c>
      <c r="H45" t="str">
        <f t="shared" si="7"/>
        <v/>
      </c>
    </row>
    <row r="46" spans="1:8" x14ac:dyDescent="0.25">
      <c r="A46" t="s">
        <v>43</v>
      </c>
      <c r="B46" s="3">
        <f t="shared" si="2"/>
        <v>31</v>
      </c>
      <c r="C46" s="3" t="str">
        <f t="shared" si="3"/>
        <v/>
      </c>
      <c r="D46" s="3">
        <f t="shared" si="4"/>
        <v>169</v>
      </c>
      <c r="E46" s="5" t="str">
        <f>IF(C46="",IF(D46="","",IF(D46&lt;128,"Wahl "&amp;D46,INDEX(KdoCodeTab,MATCH(D46,KdoWertTab,0)))),"Status "&amp;C46)</f>
        <v>BusLebenszeichen</v>
      </c>
      <c r="F46" t="str">
        <f t="shared" si="5"/>
        <v>BusLebenszeichen</v>
      </c>
      <c r="G46" t="str">
        <f t="shared" si="6"/>
        <v/>
      </c>
      <c r="H46" t="str">
        <f t="shared" si="7"/>
        <v/>
      </c>
    </row>
    <row r="47" spans="1:8" x14ac:dyDescent="0.25">
      <c r="A47" t="s">
        <v>44</v>
      </c>
      <c r="B47" s="3">
        <f t="shared" si="2"/>
        <v>33</v>
      </c>
      <c r="C47" s="3" t="str">
        <f t="shared" si="3"/>
        <v/>
      </c>
      <c r="D47" s="3">
        <f t="shared" si="4"/>
        <v>169</v>
      </c>
      <c r="E47" s="5" t="str">
        <f>IF(C47="",IF(D47="","",IF(D47&lt;128,"Wahl "&amp;D47,INDEX(KdoCodeTab,MATCH(D47,KdoWertTab,0)))),"Status "&amp;C47)</f>
        <v>BusLebenszeichen</v>
      </c>
      <c r="F47" t="str">
        <f t="shared" si="5"/>
        <v/>
      </c>
      <c r="G47" t="str">
        <f t="shared" si="6"/>
        <v>BusLebenszeichen</v>
      </c>
      <c r="H47" t="str">
        <f t="shared" si="7"/>
        <v/>
      </c>
    </row>
    <row r="48" spans="1:8" x14ac:dyDescent="0.25">
      <c r="A48" t="s">
        <v>45</v>
      </c>
      <c r="B48" s="3">
        <f t="shared" si="2"/>
        <v>31</v>
      </c>
      <c r="C48" s="3" t="str">
        <f t="shared" si="3"/>
        <v/>
      </c>
      <c r="D48" s="3">
        <f t="shared" si="4"/>
        <v>169</v>
      </c>
      <c r="E48" s="5" t="str">
        <f>IF(C48="",IF(D48="","",IF(D48&lt;128,"Wahl "&amp;D48,INDEX(KdoCodeTab,MATCH(D48,KdoWertTab,0)))),"Status "&amp;C48)</f>
        <v>BusLebenszeichen</v>
      </c>
      <c r="F48" t="str">
        <f t="shared" si="5"/>
        <v>BusLebenszeichen</v>
      </c>
      <c r="G48" t="str">
        <f t="shared" si="6"/>
        <v/>
      </c>
      <c r="H48" t="str">
        <f t="shared" si="7"/>
        <v/>
      </c>
    </row>
    <row r="49" spans="1:8" x14ac:dyDescent="0.25">
      <c r="A49" t="s">
        <v>46</v>
      </c>
      <c r="B49" s="3">
        <f t="shared" si="2"/>
        <v>31</v>
      </c>
      <c r="C49" s="3" t="str">
        <f t="shared" si="3"/>
        <v/>
      </c>
      <c r="D49" s="3">
        <f t="shared" si="4"/>
        <v>147</v>
      </c>
      <c r="E49" s="5" t="str">
        <f>IF(C49="",IF(D49="","",IF(D49&lt;128,"Wahl "&amp;D49,INDEX(KdoCodeTab,MATCH(D49,KdoWertTab,0)))),"Status "&amp;C49)</f>
        <v>Space</v>
      </c>
      <c r="F49" t="str">
        <f t="shared" si="5"/>
        <v>Space</v>
      </c>
      <c r="G49" t="str">
        <f t="shared" si="6"/>
        <v/>
      </c>
      <c r="H49" t="str">
        <f t="shared" si="7"/>
        <v/>
      </c>
    </row>
    <row r="50" spans="1:8" x14ac:dyDescent="0.25">
      <c r="A50" t="s">
        <v>47</v>
      </c>
      <c r="B50" s="3">
        <f t="shared" si="2"/>
        <v>31</v>
      </c>
      <c r="C50" s="3" t="str">
        <f t="shared" si="3"/>
        <v/>
      </c>
      <c r="D50" s="3">
        <f t="shared" si="4"/>
        <v>150</v>
      </c>
      <c r="E50" s="5" t="str">
        <f>IF(C50="",IF(D50="","",IF(D50&lt;128,"Wahl "&amp;D50,INDEX(KdoCodeTab,MATCH(D50,KdoWertTab,0)))),"Status "&amp;C50)</f>
        <v>SpaceWdh</v>
      </c>
      <c r="F50" t="str">
        <f t="shared" si="5"/>
        <v>SpaceWdh</v>
      </c>
      <c r="G50" t="str">
        <f t="shared" si="6"/>
        <v/>
      </c>
      <c r="H50" t="str">
        <f t="shared" si="7"/>
        <v/>
      </c>
    </row>
    <row r="51" spans="1:8" x14ac:dyDescent="0.25">
      <c r="A51" t="s">
        <v>48</v>
      </c>
      <c r="B51" s="3">
        <f t="shared" si="2"/>
        <v>31</v>
      </c>
      <c r="C51" s="3" t="str">
        <f t="shared" si="3"/>
        <v/>
      </c>
      <c r="D51" s="3">
        <f t="shared" si="4"/>
        <v>156</v>
      </c>
      <c r="E51" s="5" t="str">
        <f>IF(C51="",IF(D51="","",IF(D51&lt;128,"Wahl "&amp;D51,INDEX(KdoCodeTab,MATCH(D51,KdoWertTab,0)))),"Status "&amp;C51)</f>
        <v>Mark</v>
      </c>
      <c r="F51" t="str">
        <f t="shared" si="5"/>
        <v>Mark</v>
      </c>
      <c r="G51" t="str">
        <f t="shared" si="6"/>
        <v/>
      </c>
      <c r="H51" t="str">
        <f t="shared" si="7"/>
        <v/>
      </c>
    </row>
    <row r="52" spans="1:8" x14ac:dyDescent="0.25">
      <c r="A52" t="s">
        <v>49</v>
      </c>
      <c r="B52" s="3">
        <f t="shared" si="2"/>
        <v>31</v>
      </c>
      <c r="C52" s="3" t="str">
        <f t="shared" si="3"/>
        <v/>
      </c>
      <c r="D52" s="3">
        <f t="shared" si="4"/>
        <v>154</v>
      </c>
      <c r="E52" s="5" t="str">
        <f>IF(C52="",IF(D52="","",IF(D52&lt;128,"Wahl "&amp;D52,INDEX(KdoCodeTab,MATCH(D52,KdoWertTab,0)))),"Status "&amp;C52)</f>
        <v>MarkWdh</v>
      </c>
      <c r="F52" t="str">
        <f t="shared" si="5"/>
        <v>MarkWdh</v>
      </c>
      <c r="G52" t="str">
        <f t="shared" si="6"/>
        <v/>
      </c>
      <c r="H52" t="str">
        <f t="shared" si="7"/>
        <v/>
      </c>
    </row>
    <row r="53" spans="1:8" x14ac:dyDescent="0.25">
      <c r="A53" t="s">
        <v>50</v>
      </c>
      <c r="B53" s="3">
        <f t="shared" si="2"/>
        <v>33</v>
      </c>
      <c r="C53" s="3" t="str">
        <f t="shared" si="3"/>
        <v/>
      </c>
      <c r="D53" s="3">
        <f t="shared" si="4"/>
        <v>169</v>
      </c>
      <c r="E53" s="5" t="str">
        <f>IF(C53="",IF(D53="","",IF(D53&lt;128,"Wahl "&amp;D53,INDEX(KdoCodeTab,MATCH(D53,KdoWertTab,0)))),"Status "&amp;C53)</f>
        <v>BusLebenszeichen</v>
      </c>
      <c r="F53" t="str">
        <f t="shared" si="5"/>
        <v/>
      </c>
      <c r="G53" t="str">
        <f t="shared" si="6"/>
        <v>BusLebenszeichen</v>
      </c>
      <c r="H53" t="str">
        <f t="shared" si="7"/>
        <v/>
      </c>
    </row>
    <row r="54" spans="1:8" x14ac:dyDescent="0.25">
      <c r="A54" t="s">
        <v>51</v>
      </c>
      <c r="B54" s="3">
        <f t="shared" si="2"/>
        <v>31</v>
      </c>
      <c r="C54" s="3" t="str">
        <f t="shared" si="3"/>
        <v/>
      </c>
      <c r="D54" s="3">
        <f t="shared" si="4"/>
        <v>169</v>
      </c>
      <c r="E54" s="5" t="str">
        <f>IF(C54="",IF(D54="","",IF(D54&lt;128,"Wahl "&amp;D54,INDEX(KdoCodeTab,MATCH(D54,KdoWertTab,0)))),"Status "&amp;C54)</f>
        <v>BusLebenszeichen</v>
      </c>
      <c r="F54" t="str">
        <f t="shared" si="5"/>
        <v>BusLebenszeichen</v>
      </c>
      <c r="G54" t="str">
        <f t="shared" si="6"/>
        <v/>
      </c>
      <c r="H54" t="str">
        <f t="shared" si="7"/>
        <v/>
      </c>
    </row>
    <row r="55" spans="1:8" x14ac:dyDescent="0.25">
      <c r="A55" t="s">
        <v>52</v>
      </c>
      <c r="B55" s="3">
        <f t="shared" si="2"/>
        <v>31</v>
      </c>
      <c r="C55" s="3" t="str">
        <f t="shared" si="3"/>
        <v/>
      </c>
      <c r="D55" s="3">
        <f t="shared" si="4"/>
        <v>147</v>
      </c>
      <c r="E55" s="5" t="str">
        <f>IF(C55="",IF(D55="","",IF(D55&lt;128,"Wahl "&amp;D55,INDEX(KdoCodeTab,MATCH(D55,KdoWertTab,0)))),"Status "&amp;C55)</f>
        <v>Space</v>
      </c>
      <c r="F55" t="str">
        <f t="shared" si="5"/>
        <v>Space</v>
      </c>
      <c r="G55" t="str">
        <f t="shared" si="6"/>
        <v/>
      </c>
      <c r="H55" t="str">
        <f t="shared" si="7"/>
        <v/>
      </c>
    </row>
    <row r="56" spans="1:8" x14ac:dyDescent="0.25">
      <c r="A56" t="s">
        <v>53</v>
      </c>
      <c r="B56" s="3">
        <f t="shared" si="2"/>
        <v>31</v>
      </c>
      <c r="C56" s="3" t="str">
        <f t="shared" si="3"/>
        <v/>
      </c>
      <c r="D56" s="3">
        <f t="shared" si="4"/>
        <v>150</v>
      </c>
      <c r="E56" s="5" t="str">
        <f>IF(C56="",IF(D56="","",IF(D56&lt;128,"Wahl "&amp;D56,INDEX(KdoCodeTab,MATCH(D56,KdoWertTab,0)))),"Status "&amp;C56)</f>
        <v>SpaceWdh</v>
      </c>
      <c r="F56" t="str">
        <f t="shared" si="5"/>
        <v>SpaceWdh</v>
      </c>
      <c r="G56" t="str">
        <f t="shared" si="6"/>
        <v/>
      </c>
      <c r="H56" t="str">
        <f t="shared" si="7"/>
        <v/>
      </c>
    </row>
    <row r="57" spans="1:8" x14ac:dyDescent="0.25">
      <c r="A57" t="s">
        <v>54</v>
      </c>
      <c r="B57" s="3">
        <f t="shared" si="2"/>
        <v>31</v>
      </c>
      <c r="C57" s="3" t="str">
        <f t="shared" si="3"/>
        <v/>
      </c>
      <c r="D57" s="3">
        <f t="shared" si="4"/>
        <v>156</v>
      </c>
      <c r="E57" s="5" t="str">
        <f>IF(C57="",IF(D57="","",IF(D57&lt;128,"Wahl "&amp;D57,INDEX(KdoCodeTab,MATCH(D57,KdoWertTab,0)))),"Status "&amp;C57)</f>
        <v>Mark</v>
      </c>
      <c r="F57" t="str">
        <f t="shared" si="5"/>
        <v>Mark</v>
      </c>
      <c r="G57" t="str">
        <f t="shared" si="6"/>
        <v/>
      </c>
      <c r="H57" t="str">
        <f t="shared" si="7"/>
        <v/>
      </c>
    </row>
    <row r="58" spans="1:8" x14ac:dyDescent="0.25">
      <c r="A58" t="s">
        <v>55</v>
      </c>
      <c r="B58" s="3">
        <f t="shared" si="2"/>
        <v>31</v>
      </c>
      <c r="C58" s="3" t="str">
        <f t="shared" si="3"/>
        <v/>
      </c>
      <c r="D58" s="3">
        <f t="shared" si="4"/>
        <v>154</v>
      </c>
      <c r="E58" s="5" t="str">
        <f>IF(C58="",IF(D58="","",IF(D58&lt;128,"Wahl "&amp;D58,INDEX(KdoCodeTab,MATCH(D58,KdoWertTab,0)))),"Status "&amp;C58)</f>
        <v>MarkWdh</v>
      </c>
      <c r="F58" t="str">
        <f t="shared" si="5"/>
        <v>MarkWdh</v>
      </c>
      <c r="G58" t="str">
        <f t="shared" si="6"/>
        <v/>
      </c>
      <c r="H58" t="str">
        <f t="shared" si="7"/>
        <v/>
      </c>
    </row>
    <row r="59" spans="1:8" x14ac:dyDescent="0.25">
      <c r="A59" t="s">
        <v>56</v>
      </c>
      <c r="B59" s="3">
        <f t="shared" si="2"/>
        <v>33</v>
      </c>
      <c r="C59" s="3" t="str">
        <f t="shared" si="3"/>
        <v/>
      </c>
      <c r="D59" s="3">
        <f t="shared" si="4"/>
        <v>169</v>
      </c>
      <c r="E59" s="5" t="str">
        <f>IF(C59="",IF(D59="","",IF(D59&lt;128,"Wahl "&amp;D59,INDEX(KdoCodeTab,MATCH(D59,KdoWertTab,0)))),"Status "&amp;C59)</f>
        <v>BusLebenszeichen</v>
      </c>
      <c r="F59" t="str">
        <f t="shared" si="5"/>
        <v/>
      </c>
      <c r="G59" t="str">
        <f t="shared" si="6"/>
        <v>BusLebenszeichen</v>
      </c>
      <c r="H59" t="str">
        <f t="shared" si="7"/>
        <v/>
      </c>
    </row>
    <row r="60" spans="1:8" x14ac:dyDescent="0.25">
      <c r="A60" t="s">
        <v>57</v>
      </c>
      <c r="B60" s="3">
        <f t="shared" si="2"/>
        <v>31</v>
      </c>
      <c r="C60" s="3" t="str">
        <f t="shared" si="3"/>
        <v/>
      </c>
      <c r="D60" s="3">
        <f t="shared" si="4"/>
        <v>169</v>
      </c>
      <c r="E60" s="5" t="str">
        <f>IF(C60="",IF(D60="","",IF(D60&lt;128,"Wahl "&amp;D60,INDEX(KdoCodeTab,MATCH(D60,KdoWertTab,0)))),"Status "&amp;C60)</f>
        <v>BusLebenszeichen</v>
      </c>
      <c r="F60" t="str">
        <f t="shared" si="5"/>
        <v>BusLebenszeichen</v>
      </c>
      <c r="G60" t="str">
        <f t="shared" si="6"/>
        <v/>
      </c>
      <c r="H60" t="str">
        <f t="shared" si="7"/>
        <v/>
      </c>
    </row>
    <row r="61" spans="1:8" x14ac:dyDescent="0.25">
      <c r="A61" t="s">
        <v>58</v>
      </c>
      <c r="B61" s="3">
        <f t="shared" si="2"/>
        <v>31</v>
      </c>
      <c r="C61" s="3" t="str">
        <f t="shared" si="3"/>
        <v/>
      </c>
      <c r="D61" s="3">
        <f t="shared" si="4"/>
        <v>147</v>
      </c>
      <c r="E61" s="5" t="str">
        <f>IF(C61="",IF(D61="","",IF(D61&lt;128,"Wahl "&amp;D61,INDEX(KdoCodeTab,MATCH(D61,KdoWertTab,0)))),"Status "&amp;C61)</f>
        <v>Space</v>
      </c>
      <c r="F61" t="str">
        <f t="shared" si="5"/>
        <v>Space</v>
      </c>
      <c r="G61" t="str">
        <f t="shared" si="6"/>
        <v/>
      </c>
      <c r="H61" t="str">
        <f t="shared" si="7"/>
        <v/>
      </c>
    </row>
    <row r="62" spans="1:8" x14ac:dyDescent="0.25">
      <c r="A62" t="s">
        <v>59</v>
      </c>
      <c r="B62" s="3">
        <f t="shared" si="2"/>
        <v>31</v>
      </c>
      <c r="C62" s="3" t="str">
        <f t="shared" si="3"/>
        <v/>
      </c>
      <c r="D62" s="3">
        <f t="shared" si="4"/>
        <v>150</v>
      </c>
      <c r="E62" s="5" t="str">
        <f>IF(C62="",IF(D62="","",IF(D62&lt;128,"Wahl "&amp;D62,INDEX(KdoCodeTab,MATCH(D62,KdoWertTab,0)))),"Status "&amp;C62)</f>
        <v>SpaceWdh</v>
      </c>
      <c r="F62" t="str">
        <f t="shared" si="5"/>
        <v>SpaceWdh</v>
      </c>
      <c r="G62" t="str">
        <f t="shared" si="6"/>
        <v/>
      </c>
      <c r="H62" t="str">
        <f t="shared" si="7"/>
        <v/>
      </c>
    </row>
    <row r="63" spans="1:8" x14ac:dyDescent="0.25">
      <c r="A63" t="s">
        <v>60</v>
      </c>
      <c r="B63" s="3">
        <f t="shared" si="2"/>
        <v>31</v>
      </c>
      <c r="C63" s="3" t="str">
        <f t="shared" si="3"/>
        <v/>
      </c>
      <c r="D63" s="3">
        <f t="shared" si="4"/>
        <v>156</v>
      </c>
      <c r="E63" s="5" t="str">
        <f>IF(C63="",IF(D63="","",IF(D63&lt;128,"Wahl "&amp;D63,INDEX(KdoCodeTab,MATCH(D63,KdoWertTab,0)))),"Status "&amp;C63)</f>
        <v>Mark</v>
      </c>
      <c r="F63" t="str">
        <f t="shared" si="5"/>
        <v>Mark</v>
      </c>
      <c r="G63" t="str">
        <f t="shared" si="6"/>
        <v/>
      </c>
      <c r="H63" t="str">
        <f t="shared" si="7"/>
        <v/>
      </c>
    </row>
    <row r="64" spans="1:8" x14ac:dyDescent="0.25">
      <c r="A64" t="s">
        <v>61</v>
      </c>
      <c r="B64" s="3">
        <f t="shared" si="2"/>
        <v>31</v>
      </c>
      <c r="C64" s="3" t="str">
        <f t="shared" si="3"/>
        <v/>
      </c>
      <c r="D64" s="3">
        <f t="shared" si="4"/>
        <v>154</v>
      </c>
      <c r="E64" s="5" t="str">
        <f>IF(C64="",IF(D64="","",IF(D64&lt;128,"Wahl "&amp;D64,INDEX(KdoCodeTab,MATCH(D64,KdoWertTab,0)))),"Status "&amp;C64)</f>
        <v>MarkWdh</v>
      </c>
      <c r="F64" t="str">
        <f t="shared" si="5"/>
        <v>MarkWdh</v>
      </c>
      <c r="G64" t="str">
        <f t="shared" si="6"/>
        <v/>
      </c>
      <c r="H64" t="str">
        <f t="shared" si="7"/>
        <v/>
      </c>
    </row>
    <row r="65" spans="1:8" x14ac:dyDescent="0.25">
      <c r="A65" t="s">
        <v>62</v>
      </c>
      <c r="B65" s="3">
        <f t="shared" si="2"/>
        <v>31</v>
      </c>
      <c r="C65" s="3" t="str">
        <f t="shared" si="3"/>
        <v/>
      </c>
      <c r="D65" s="3">
        <f t="shared" si="4"/>
        <v>147</v>
      </c>
      <c r="E65" s="5" t="str">
        <f>IF(C65="",IF(D65="","",IF(D65&lt;128,"Wahl "&amp;D65,INDEX(KdoCodeTab,MATCH(D65,KdoWertTab,0)))),"Status "&amp;C65)</f>
        <v>Space</v>
      </c>
      <c r="F65" t="str">
        <f t="shared" si="5"/>
        <v>Space</v>
      </c>
      <c r="G65" t="str">
        <f t="shared" si="6"/>
        <v/>
      </c>
      <c r="H65" t="str">
        <f t="shared" si="7"/>
        <v/>
      </c>
    </row>
    <row r="66" spans="1:8" x14ac:dyDescent="0.25">
      <c r="A66" t="s">
        <v>63</v>
      </c>
      <c r="B66" s="3">
        <f t="shared" si="2"/>
        <v>31</v>
      </c>
      <c r="C66" s="3" t="str">
        <f t="shared" si="3"/>
        <v/>
      </c>
      <c r="D66" s="3">
        <f t="shared" si="4"/>
        <v>150</v>
      </c>
      <c r="E66" s="5" t="str">
        <f>IF(C66="",IF(D66="","",IF(D66&lt;128,"Wahl "&amp;D66,INDEX(KdoCodeTab,MATCH(D66,KdoWertTab,0)))),"Status "&amp;C66)</f>
        <v>SpaceWdh</v>
      </c>
      <c r="F66" t="str">
        <f t="shared" si="5"/>
        <v>SpaceWdh</v>
      </c>
      <c r="G66" t="str">
        <f t="shared" si="6"/>
        <v/>
      </c>
      <c r="H66" t="str">
        <f t="shared" si="7"/>
        <v/>
      </c>
    </row>
    <row r="67" spans="1:8" x14ac:dyDescent="0.25">
      <c r="A67" t="s">
        <v>64</v>
      </c>
      <c r="B67" s="3">
        <f t="shared" si="2"/>
        <v>31</v>
      </c>
      <c r="C67" s="3" t="str">
        <f t="shared" si="3"/>
        <v/>
      </c>
      <c r="D67" s="3">
        <f t="shared" si="4"/>
        <v>156</v>
      </c>
      <c r="E67" s="5" t="str">
        <f>IF(C67="",IF(D67="","",IF(D67&lt;128,"Wahl "&amp;D67,INDEX(KdoCodeTab,MATCH(D67,KdoWertTab,0)))),"Status "&amp;C67)</f>
        <v>Mark</v>
      </c>
      <c r="F67" t="str">
        <f t="shared" si="5"/>
        <v>Mark</v>
      </c>
      <c r="G67" t="str">
        <f t="shared" si="6"/>
        <v/>
      </c>
      <c r="H67" t="str">
        <f t="shared" si="7"/>
        <v/>
      </c>
    </row>
    <row r="68" spans="1:8" x14ac:dyDescent="0.25">
      <c r="A68" t="s">
        <v>65</v>
      </c>
      <c r="B68" s="3">
        <f t="shared" si="2"/>
        <v>31</v>
      </c>
      <c r="C68" s="3" t="str">
        <f t="shared" si="3"/>
        <v/>
      </c>
      <c r="D68" s="3">
        <f t="shared" si="4"/>
        <v>154</v>
      </c>
      <c r="E68" s="5" t="str">
        <f>IF(C68="",IF(D68="","",IF(D68&lt;128,"Wahl "&amp;D68,INDEX(KdoCodeTab,MATCH(D68,KdoWertTab,0)))),"Status "&amp;C68)</f>
        <v>MarkWdh</v>
      </c>
      <c r="F68" t="str">
        <f t="shared" si="5"/>
        <v>MarkWdh</v>
      </c>
      <c r="G68" t="str">
        <f t="shared" si="6"/>
        <v/>
      </c>
      <c r="H68" t="str">
        <f t="shared" si="7"/>
        <v/>
      </c>
    </row>
    <row r="69" spans="1:8" x14ac:dyDescent="0.25">
      <c r="A69" t="s">
        <v>66</v>
      </c>
      <c r="B69" s="3">
        <f t="shared" ref="B69:B132" si="8">INT(HEX2DEC(MID(A69,8,2))/2)</f>
        <v>31</v>
      </c>
      <c r="C69" s="3" t="str">
        <f t="shared" ref="C69:C132" si="9">IF(MID(A69,10,1)="&lt;",MID(A69,12,2),"")</f>
        <v/>
      </c>
      <c r="D69" s="3">
        <f t="shared" ref="D69:D132" si="10">IF(MID(A69,10,1)="&gt;",HEX2DEC(MID(A69,12,2)),"")</f>
        <v>147</v>
      </c>
      <c r="E69" s="5" t="str">
        <f>IF(C69="",IF(D69="","",IF(D69&lt;128,"Wahl "&amp;D69,INDEX(KdoCodeTab,MATCH(D69,KdoWertTab,0)))),"Status "&amp;C69)</f>
        <v>Space</v>
      </c>
      <c r="F69" t="str">
        <f t="shared" ref="F69:F132" si="11">IF(B69=$F$2,E69,"")</f>
        <v>Space</v>
      </c>
      <c r="G69" t="str">
        <f t="shared" ref="G69:G132" si="12">IF(B69=$G$2,E69,"")</f>
        <v/>
      </c>
      <c r="H69" t="str">
        <f t="shared" ref="H69:H132" si="13">IF(F69&amp;G69="",E69,"")</f>
        <v/>
      </c>
    </row>
    <row r="70" spans="1:8" x14ac:dyDescent="0.25">
      <c r="A70" t="s">
        <v>67</v>
      </c>
      <c r="B70" s="3">
        <f t="shared" si="8"/>
        <v>31</v>
      </c>
      <c r="C70" s="3" t="str">
        <f t="shared" si="9"/>
        <v/>
      </c>
      <c r="D70" s="3">
        <f t="shared" si="10"/>
        <v>150</v>
      </c>
      <c r="E70" s="5" t="str">
        <f>IF(C70="",IF(D70="","",IF(D70&lt;128,"Wahl "&amp;D70,INDEX(KdoCodeTab,MATCH(D70,KdoWertTab,0)))),"Status "&amp;C70)</f>
        <v>SpaceWdh</v>
      </c>
      <c r="F70" t="str">
        <f t="shared" si="11"/>
        <v>SpaceWdh</v>
      </c>
      <c r="G70" t="str">
        <f t="shared" si="12"/>
        <v/>
      </c>
      <c r="H70" t="str">
        <f t="shared" si="13"/>
        <v/>
      </c>
    </row>
    <row r="71" spans="1:8" x14ac:dyDescent="0.25">
      <c r="A71" t="s">
        <v>68</v>
      </c>
      <c r="B71" s="3">
        <f t="shared" si="8"/>
        <v>31</v>
      </c>
      <c r="C71" s="3" t="str">
        <f t="shared" si="9"/>
        <v/>
      </c>
      <c r="D71" s="3">
        <f t="shared" si="10"/>
        <v>156</v>
      </c>
      <c r="E71" s="5" t="str">
        <f>IF(C71="",IF(D71="","",IF(D71&lt;128,"Wahl "&amp;D71,INDEX(KdoCodeTab,MATCH(D71,KdoWertTab,0)))),"Status "&amp;C71)</f>
        <v>Mark</v>
      </c>
      <c r="F71" t="str">
        <f t="shared" si="11"/>
        <v>Mark</v>
      </c>
      <c r="G71" t="str">
        <f t="shared" si="12"/>
        <v/>
      </c>
      <c r="H71" t="str">
        <f t="shared" si="13"/>
        <v/>
      </c>
    </row>
    <row r="72" spans="1:8" x14ac:dyDescent="0.25">
      <c r="A72" t="s">
        <v>69</v>
      </c>
      <c r="B72" s="3">
        <f t="shared" si="8"/>
        <v>31</v>
      </c>
      <c r="C72" s="3" t="str">
        <f t="shared" si="9"/>
        <v/>
      </c>
      <c r="D72" s="3">
        <f t="shared" si="10"/>
        <v>154</v>
      </c>
      <c r="E72" s="5" t="str">
        <f>IF(C72="",IF(D72="","",IF(D72&lt;128,"Wahl "&amp;D72,INDEX(KdoCodeTab,MATCH(D72,KdoWertTab,0)))),"Status "&amp;C72)</f>
        <v>MarkWdh</v>
      </c>
      <c r="F72" t="str">
        <f t="shared" si="11"/>
        <v>MarkWdh</v>
      </c>
      <c r="G72" t="str">
        <f t="shared" si="12"/>
        <v/>
      </c>
      <c r="H72" t="str">
        <f t="shared" si="13"/>
        <v/>
      </c>
    </row>
    <row r="73" spans="1:8" x14ac:dyDescent="0.25">
      <c r="A73" t="s">
        <v>70</v>
      </c>
      <c r="B73" s="3">
        <f t="shared" si="8"/>
        <v>33</v>
      </c>
      <c r="C73" s="3" t="str">
        <f t="shared" si="9"/>
        <v/>
      </c>
      <c r="D73" s="3">
        <f t="shared" si="10"/>
        <v>169</v>
      </c>
      <c r="E73" s="5" t="str">
        <f>IF(C73="",IF(D73="","",IF(D73&lt;128,"Wahl "&amp;D73,INDEX(KdoCodeTab,MATCH(D73,KdoWertTab,0)))),"Status "&amp;C73)</f>
        <v>BusLebenszeichen</v>
      </c>
      <c r="F73" t="str">
        <f t="shared" si="11"/>
        <v/>
      </c>
      <c r="G73" t="str">
        <f t="shared" si="12"/>
        <v>BusLebenszeichen</v>
      </c>
      <c r="H73" t="str">
        <f t="shared" si="13"/>
        <v/>
      </c>
    </row>
    <row r="74" spans="1:8" x14ac:dyDescent="0.25">
      <c r="A74" t="s">
        <v>71</v>
      </c>
      <c r="B74" s="3">
        <f t="shared" si="8"/>
        <v>31</v>
      </c>
      <c r="C74" s="3" t="str">
        <f t="shared" si="9"/>
        <v/>
      </c>
      <c r="D74" s="3">
        <f t="shared" si="10"/>
        <v>169</v>
      </c>
      <c r="E74" s="5" t="str">
        <f>IF(C74="",IF(D74="","",IF(D74&lt;128,"Wahl "&amp;D74,INDEX(KdoCodeTab,MATCH(D74,KdoWertTab,0)))),"Status "&amp;C74)</f>
        <v>BusLebenszeichen</v>
      </c>
      <c r="F74" t="str">
        <f t="shared" si="11"/>
        <v>BusLebenszeichen</v>
      </c>
      <c r="G74" t="str">
        <f t="shared" si="12"/>
        <v/>
      </c>
      <c r="H74" t="str">
        <f t="shared" si="13"/>
        <v/>
      </c>
    </row>
    <row r="75" spans="1:8" x14ac:dyDescent="0.25">
      <c r="A75" t="s">
        <v>72</v>
      </c>
      <c r="B75" s="3">
        <f t="shared" si="8"/>
        <v>31</v>
      </c>
      <c r="C75" s="3" t="str">
        <f t="shared" si="9"/>
        <v/>
      </c>
      <c r="D75" s="3">
        <f t="shared" si="10"/>
        <v>147</v>
      </c>
      <c r="E75" s="5" t="str">
        <f>IF(C75="",IF(D75="","",IF(D75&lt;128,"Wahl "&amp;D75,INDEX(KdoCodeTab,MATCH(D75,KdoWertTab,0)))),"Status "&amp;C75)</f>
        <v>Space</v>
      </c>
      <c r="F75" t="str">
        <f t="shared" si="11"/>
        <v>Space</v>
      </c>
      <c r="G75" t="str">
        <f t="shared" si="12"/>
        <v/>
      </c>
      <c r="H75" t="str">
        <f t="shared" si="13"/>
        <v/>
      </c>
    </row>
    <row r="76" spans="1:8" x14ac:dyDescent="0.25">
      <c r="A76" t="s">
        <v>73</v>
      </c>
      <c r="B76" s="3">
        <f t="shared" si="8"/>
        <v>31</v>
      </c>
      <c r="C76" s="3" t="str">
        <f t="shared" si="9"/>
        <v/>
      </c>
      <c r="D76" s="3">
        <f t="shared" si="10"/>
        <v>150</v>
      </c>
      <c r="E76" s="5" t="str">
        <f>IF(C76="",IF(D76="","",IF(D76&lt;128,"Wahl "&amp;D76,INDEX(KdoCodeTab,MATCH(D76,KdoWertTab,0)))),"Status "&amp;C76)</f>
        <v>SpaceWdh</v>
      </c>
      <c r="F76" t="str">
        <f t="shared" si="11"/>
        <v>SpaceWdh</v>
      </c>
      <c r="G76" t="str">
        <f t="shared" si="12"/>
        <v/>
      </c>
      <c r="H76" t="str">
        <f t="shared" si="13"/>
        <v/>
      </c>
    </row>
    <row r="77" spans="1:8" x14ac:dyDescent="0.25">
      <c r="A77" t="s">
        <v>74</v>
      </c>
      <c r="B77" s="3">
        <f t="shared" si="8"/>
        <v>31</v>
      </c>
      <c r="C77" s="3" t="str">
        <f t="shared" si="9"/>
        <v/>
      </c>
      <c r="D77" s="3">
        <f t="shared" si="10"/>
        <v>156</v>
      </c>
      <c r="E77" s="5" t="str">
        <f>IF(C77="",IF(D77="","",IF(D77&lt;128,"Wahl "&amp;D77,INDEX(KdoCodeTab,MATCH(D77,KdoWertTab,0)))),"Status "&amp;C77)</f>
        <v>Mark</v>
      </c>
      <c r="F77" t="str">
        <f t="shared" si="11"/>
        <v>Mark</v>
      </c>
      <c r="G77" t="str">
        <f t="shared" si="12"/>
        <v/>
      </c>
      <c r="H77" t="str">
        <f t="shared" si="13"/>
        <v/>
      </c>
    </row>
    <row r="78" spans="1:8" x14ac:dyDescent="0.25">
      <c r="A78" t="s">
        <v>75</v>
      </c>
      <c r="B78" s="3">
        <f t="shared" si="8"/>
        <v>31</v>
      </c>
      <c r="C78" s="3" t="str">
        <f t="shared" si="9"/>
        <v/>
      </c>
      <c r="D78" s="3">
        <f t="shared" si="10"/>
        <v>154</v>
      </c>
      <c r="E78" s="5" t="str">
        <f>IF(C78="",IF(D78="","",IF(D78&lt;128,"Wahl "&amp;D78,INDEX(KdoCodeTab,MATCH(D78,KdoWertTab,0)))),"Status "&amp;C78)</f>
        <v>MarkWdh</v>
      </c>
      <c r="F78" t="str">
        <f t="shared" si="11"/>
        <v>MarkWdh</v>
      </c>
      <c r="G78" t="str">
        <f t="shared" si="12"/>
        <v/>
      </c>
      <c r="H78" t="str">
        <f t="shared" si="13"/>
        <v/>
      </c>
    </row>
    <row r="79" spans="1:8" x14ac:dyDescent="0.25">
      <c r="A79" t="s">
        <v>76</v>
      </c>
      <c r="B79" s="3">
        <f t="shared" si="8"/>
        <v>31</v>
      </c>
      <c r="C79" s="3" t="str">
        <f t="shared" si="9"/>
        <v/>
      </c>
      <c r="D79" s="3">
        <f t="shared" si="10"/>
        <v>147</v>
      </c>
      <c r="E79" s="5" t="str">
        <f>IF(C79="",IF(D79="","",IF(D79&lt;128,"Wahl "&amp;D79,INDEX(KdoCodeTab,MATCH(D79,KdoWertTab,0)))),"Status "&amp;C79)</f>
        <v>Space</v>
      </c>
      <c r="F79" t="str">
        <f t="shared" si="11"/>
        <v>Space</v>
      </c>
      <c r="G79" t="str">
        <f t="shared" si="12"/>
        <v/>
      </c>
      <c r="H79" t="str">
        <f t="shared" si="13"/>
        <v/>
      </c>
    </row>
    <row r="80" spans="1:8" x14ac:dyDescent="0.25">
      <c r="A80" t="s">
        <v>77</v>
      </c>
      <c r="B80" s="3">
        <f t="shared" si="8"/>
        <v>31</v>
      </c>
      <c r="C80" s="3" t="str">
        <f t="shared" si="9"/>
        <v/>
      </c>
      <c r="D80" s="3">
        <f t="shared" si="10"/>
        <v>150</v>
      </c>
      <c r="E80" s="5" t="str">
        <f>IF(C80="",IF(D80="","",IF(D80&lt;128,"Wahl "&amp;D80,INDEX(KdoCodeTab,MATCH(D80,KdoWertTab,0)))),"Status "&amp;C80)</f>
        <v>SpaceWdh</v>
      </c>
      <c r="F80" t="str">
        <f t="shared" si="11"/>
        <v>SpaceWdh</v>
      </c>
      <c r="G80" t="str">
        <f t="shared" si="12"/>
        <v/>
      </c>
      <c r="H80" t="str">
        <f t="shared" si="13"/>
        <v/>
      </c>
    </row>
    <row r="81" spans="1:8" x14ac:dyDescent="0.25">
      <c r="A81" t="s">
        <v>78</v>
      </c>
      <c r="B81" s="3">
        <f t="shared" si="8"/>
        <v>31</v>
      </c>
      <c r="C81" s="3" t="str">
        <f t="shared" si="9"/>
        <v/>
      </c>
      <c r="D81" s="3">
        <f t="shared" si="10"/>
        <v>156</v>
      </c>
      <c r="E81" s="5" t="str">
        <f>IF(C81="",IF(D81="","",IF(D81&lt;128,"Wahl "&amp;D81,INDEX(KdoCodeTab,MATCH(D81,KdoWertTab,0)))),"Status "&amp;C81)</f>
        <v>Mark</v>
      </c>
      <c r="F81" t="str">
        <f t="shared" si="11"/>
        <v>Mark</v>
      </c>
      <c r="G81" t="str">
        <f t="shared" si="12"/>
        <v/>
      </c>
      <c r="H81" t="str">
        <f t="shared" si="13"/>
        <v/>
      </c>
    </row>
    <row r="82" spans="1:8" x14ac:dyDescent="0.25">
      <c r="A82" t="s">
        <v>79</v>
      </c>
      <c r="B82" s="3">
        <f t="shared" si="8"/>
        <v>31</v>
      </c>
      <c r="C82" s="3" t="str">
        <f t="shared" si="9"/>
        <v/>
      </c>
      <c r="D82" s="3">
        <f t="shared" si="10"/>
        <v>154</v>
      </c>
      <c r="E82" s="5" t="str">
        <f>IF(C82="",IF(D82="","",IF(D82&lt;128,"Wahl "&amp;D82,INDEX(KdoCodeTab,MATCH(D82,KdoWertTab,0)))),"Status "&amp;C82)</f>
        <v>MarkWdh</v>
      </c>
      <c r="F82" t="str">
        <f t="shared" si="11"/>
        <v>MarkWdh</v>
      </c>
      <c r="G82" t="str">
        <f t="shared" si="12"/>
        <v/>
      </c>
      <c r="H82" t="str">
        <f t="shared" si="13"/>
        <v/>
      </c>
    </row>
    <row r="83" spans="1:8" x14ac:dyDescent="0.25">
      <c r="A83" t="s">
        <v>80</v>
      </c>
      <c r="B83" s="3">
        <f t="shared" si="8"/>
        <v>31</v>
      </c>
      <c r="C83" s="3" t="str">
        <f t="shared" si="9"/>
        <v/>
      </c>
      <c r="D83" s="3">
        <f t="shared" si="10"/>
        <v>147</v>
      </c>
      <c r="E83" s="5" t="str">
        <f>IF(C83="",IF(D83="","",IF(D83&lt;128,"Wahl "&amp;D83,INDEX(KdoCodeTab,MATCH(D83,KdoWertTab,0)))),"Status "&amp;C83)</f>
        <v>Space</v>
      </c>
      <c r="F83" t="str">
        <f t="shared" si="11"/>
        <v>Space</v>
      </c>
      <c r="G83" t="str">
        <f t="shared" si="12"/>
        <v/>
      </c>
      <c r="H83" t="str">
        <f t="shared" si="13"/>
        <v/>
      </c>
    </row>
    <row r="84" spans="1:8" x14ac:dyDescent="0.25">
      <c r="A84" t="s">
        <v>81</v>
      </c>
      <c r="B84" s="3">
        <f t="shared" si="8"/>
        <v>31</v>
      </c>
      <c r="C84" s="3" t="str">
        <f t="shared" si="9"/>
        <v/>
      </c>
      <c r="D84" s="3">
        <f t="shared" si="10"/>
        <v>150</v>
      </c>
      <c r="E84" s="5" t="str">
        <f>IF(C84="",IF(D84="","",IF(D84&lt;128,"Wahl "&amp;D84,INDEX(KdoCodeTab,MATCH(D84,KdoWertTab,0)))),"Status "&amp;C84)</f>
        <v>SpaceWdh</v>
      </c>
      <c r="F84" t="str">
        <f t="shared" si="11"/>
        <v>SpaceWdh</v>
      </c>
      <c r="G84" t="str">
        <f t="shared" si="12"/>
        <v/>
      </c>
      <c r="H84" t="str">
        <f t="shared" si="13"/>
        <v/>
      </c>
    </row>
    <row r="85" spans="1:8" x14ac:dyDescent="0.25">
      <c r="A85" t="s">
        <v>82</v>
      </c>
      <c r="B85" s="3">
        <f t="shared" si="8"/>
        <v>31</v>
      </c>
      <c r="C85" s="3" t="str">
        <f t="shared" si="9"/>
        <v/>
      </c>
      <c r="D85" s="3">
        <f t="shared" si="10"/>
        <v>156</v>
      </c>
      <c r="E85" s="5" t="str">
        <f>IF(C85="",IF(D85="","",IF(D85&lt;128,"Wahl "&amp;D85,INDEX(KdoCodeTab,MATCH(D85,KdoWertTab,0)))),"Status "&amp;C85)</f>
        <v>Mark</v>
      </c>
      <c r="F85" t="str">
        <f t="shared" si="11"/>
        <v>Mark</v>
      </c>
      <c r="G85" t="str">
        <f t="shared" si="12"/>
        <v/>
      </c>
      <c r="H85" t="str">
        <f t="shared" si="13"/>
        <v/>
      </c>
    </row>
    <row r="86" spans="1:8" x14ac:dyDescent="0.25">
      <c r="A86" t="s">
        <v>83</v>
      </c>
      <c r="B86" s="3">
        <f t="shared" si="8"/>
        <v>31</v>
      </c>
      <c r="C86" s="3" t="str">
        <f t="shared" si="9"/>
        <v/>
      </c>
      <c r="D86" s="3">
        <f t="shared" si="10"/>
        <v>154</v>
      </c>
      <c r="E86" s="5" t="str">
        <f>IF(C86="",IF(D86="","",IF(D86&lt;128,"Wahl "&amp;D86,INDEX(KdoCodeTab,MATCH(D86,KdoWertTab,0)))),"Status "&amp;C86)</f>
        <v>MarkWdh</v>
      </c>
      <c r="F86" t="str">
        <f t="shared" si="11"/>
        <v>MarkWdh</v>
      </c>
      <c r="G86" t="str">
        <f t="shared" si="12"/>
        <v/>
      </c>
      <c r="H86" t="str">
        <f t="shared" si="13"/>
        <v/>
      </c>
    </row>
    <row r="87" spans="1:8" x14ac:dyDescent="0.25">
      <c r="A87" t="s">
        <v>84</v>
      </c>
      <c r="B87" s="3">
        <f t="shared" si="8"/>
        <v>33</v>
      </c>
      <c r="C87" s="3" t="str">
        <f t="shared" si="9"/>
        <v/>
      </c>
      <c r="D87" s="3">
        <f t="shared" si="10"/>
        <v>169</v>
      </c>
      <c r="E87" s="5" t="str">
        <f>IF(C87="",IF(D87="","",IF(D87&lt;128,"Wahl "&amp;D87,INDEX(KdoCodeTab,MATCH(D87,KdoWertTab,0)))),"Status "&amp;C87)</f>
        <v>BusLebenszeichen</v>
      </c>
      <c r="F87" t="str">
        <f t="shared" si="11"/>
        <v/>
      </c>
      <c r="G87" t="str">
        <f t="shared" si="12"/>
        <v>BusLebenszeichen</v>
      </c>
      <c r="H87" t="str">
        <f t="shared" si="13"/>
        <v/>
      </c>
    </row>
    <row r="88" spans="1:8" x14ac:dyDescent="0.25">
      <c r="A88" t="s">
        <v>85</v>
      </c>
      <c r="B88" s="3">
        <f t="shared" si="8"/>
        <v>31</v>
      </c>
      <c r="C88" s="3" t="str">
        <f t="shared" si="9"/>
        <v/>
      </c>
      <c r="D88" s="3">
        <f t="shared" si="10"/>
        <v>169</v>
      </c>
      <c r="E88" s="5" t="str">
        <f>IF(C88="",IF(D88="","",IF(D88&lt;128,"Wahl "&amp;D88,INDEX(KdoCodeTab,MATCH(D88,KdoWertTab,0)))),"Status "&amp;C88)</f>
        <v>BusLebenszeichen</v>
      </c>
      <c r="F88" t="str">
        <f t="shared" si="11"/>
        <v>BusLebenszeichen</v>
      </c>
      <c r="G88" t="str">
        <f t="shared" si="12"/>
        <v/>
      </c>
      <c r="H88" t="str">
        <f t="shared" si="13"/>
        <v/>
      </c>
    </row>
    <row r="89" spans="1:8" x14ac:dyDescent="0.25">
      <c r="A89" t="s">
        <v>86</v>
      </c>
      <c r="B89" s="3">
        <f t="shared" si="8"/>
        <v>31</v>
      </c>
      <c r="C89" s="3" t="str">
        <f t="shared" si="9"/>
        <v/>
      </c>
      <c r="D89" s="3">
        <f t="shared" si="10"/>
        <v>147</v>
      </c>
      <c r="E89" s="5" t="str">
        <f>IF(C89="",IF(D89="","",IF(D89&lt;128,"Wahl "&amp;D89,INDEX(KdoCodeTab,MATCH(D89,KdoWertTab,0)))),"Status "&amp;C89)</f>
        <v>Space</v>
      </c>
      <c r="F89" t="str">
        <f t="shared" si="11"/>
        <v>Space</v>
      </c>
      <c r="G89" t="str">
        <f t="shared" si="12"/>
        <v/>
      </c>
      <c r="H89" t="str">
        <f t="shared" si="13"/>
        <v/>
      </c>
    </row>
    <row r="90" spans="1:8" x14ac:dyDescent="0.25">
      <c r="A90" t="s">
        <v>87</v>
      </c>
      <c r="B90" s="3">
        <f t="shared" si="8"/>
        <v>31</v>
      </c>
      <c r="C90" s="3" t="str">
        <f t="shared" si="9"/>
        <v/>
      </c>
      <c r="D90" s="3">
        <f t="shared" si="10"/>
        <v>150</v>
      </c>
      <c r="E90" s="5" t="str">
        <f>IF(C90="",IF(D90="","",IF(D90&lt;128,"Wahl "&amp;D90,INDEX(KdoCodeTab,MATCH(D90,KdoWertTab,0)))),"Status "&amp;C90)</f>
        <v>SpaceWdh</v>
      </c>
      <c r="F90" t="str">
        <f t="shared" si="11"/>
        <v>SpaceWdh</v>
      </c>
      <c r="G90" t="str">
        <f t="shared" si="12"/>
        <v/>
      </c>
      <c r="H90" t="str">
        <f t="shared" si="13"/>
        <v/>
      </c>
    </row>
    <row r="91" spans="1:8" x14ac:dyDescent="0.25">
      <c r="A91" t="s">
        <v>88</v>
      </c>
      <c r="B91" s="3">
        <f t="shared" si="8"/>
        <v>31</v>
      </c>
      <c r="C91" s="3" t="str">
        <f t="shared" si="9"/>
        <v/>
      </c>
      <c r="D91" s="3">
        <f t="shared" si="10"/>
        <v>156</v>
      </c>
      <c r="E91" s="5" t="str">
        <f>IF(C91="",IF(D91="","",IF(D91&lt;128,"Wahl "&amp;D91,INDEX(KdoCodeTab,MATCH(D91,KdoWertTab,0)))),"Status "&amp;C91)</f>
        <v>Mark</v>
      </c>
      <c r="F91" t="str">
        <f t="shared" si="11"/>
        <v>Mark</v>
      </c>
      <c r="G91" t="str">
        <f t="shared" si="12"/>
        <v/>
      </c>
      <c r="H91" t="str">
        <f t="shared" si="13"/>
        <v/>
      </c>
    </row>
    <row r="92" spans="1:8" x14ac:dyDescent="0.25">
      <c r="A92" t="s">
        <v>89</v>
      </c>
      <c r="B92" s="3">
        <f t="shared" si="8"/>
        <v>31</v>
      </c>
      <c r="C92" s="3" t="str">
        <f t="shared" si="9"/>
        <v/>
      </c>
      <c r="D92" s="3">
        <f t="shared" si="10"/>
        <v>154</v>
      </c>
      <c r="E92" s="5" t="str">
        <f>IF(C92="",IF(D92="","",IF(D92&lt;128,"Wahl "&amp;D92,INDEX(KdoCodeTab,MATCH(D92,KdoWertTab,0)))),"Status "&amp;C92)</f>
        <v>MarkWdh</v>
      </c>
      <c r="F92" t="str">
        <f t="shared" si="11"/>
        <v>MarkWdh</v>
      </c>
      <c r="G92" t="str">
        <f t="shared" si="12"/>
        <v/>
      </c>
      <c r="H92" t="str">
        <f t="shared" si="13"/>
        <v/>
      </c>
    </row>
    <row r="93" spans="1:8" x14ac:dyDescent="0.25">
      <c r="A93" t="s">
        <v>90</v>
      </c>
      <c r="B93" s="3">
        <f t="shared" si="8"/>
        <v>31</v>
      </c>
      <c r="C93" s="3" t="str">
        <f t="shared" si="9"/>
        <v/>
      </c>
      <c r="D93" s="3">
        <f t="shared" si="10"/>
        <v>147</v>
      </c>
      <c r="E93" s="5" t="str">
        <f>IF(C93="",IF(D93="","",IF(D93&lt;128,"Wahl "&amp;D93,INDEX(KdoCodeTab,MATCH(D93,KdoWertTab,0)))),"Status "&amp;C93)</f>
        <v>Space</v>
      </c>
      <c r="F93" t="str">
        <f t="shared" si="11"/>
        <v>Space</v>
      </c>
      <c r="G93" t="str">
        <f t="shared" si="12"/>
        <v/>
      </c>
      <c r="H93" t="str">
        <f t="shared" si="13"/>
        <v/>
      </c>
    </row>
    <row r="94" spans="1:8" x14ac:dyDescent="0.25">
      <c r="A94" t="s">
        <v>91</v>
      </c>
      <c r="B94" s="3">
        <f t="shared" si="8"/>
        <v>31</v>
      </c>
      <c r="C94" s="3" t="str">
        <f t="shared" si="9"/>
        <v/>
      </c>
      <c r="D94" s="3">
        <f t="shared" si="10"/>
        <v>150</v>
      </c>
      <c r="E94" s="5" t="str">
        <f>IF(C94="",IF(D94="","",IF(D94&lt;128,"Wahl "&amp;D94,INDEX(KdoCodeTab,MATCH(D94,KdoWertTab,0)))),"Status "&amp;C94)</f>
        <v>SpaceWdh</v>
      </c>
      <c r="F94" t="str">
        <f t="shared" si="11"/>
        <v>SpaceWdh</v>
      </c>
      <c r="G94" t="str">
        <f t="shared" si="12"/>
        <v/>
      </c>
      <c r="H94" t="str">
        <f t="shared" si="13"/>
        <v/>
      </c>
    </row>
    <row r="95" spans="1:8" x14ac:dyDescent="0.25">
      <c r="A95" t="s">
        <v>92</v>
      </c>
      <c r="B95" s="3">
        <f t="shared" si="8"/>
        <v>31</v>
      </c>
      <c r="C95" s="3" t="str">
        <f t="shared" si="9"/>
        <v/>
      </c>
      <c r="D95" s="3">
        <f t="shared" si="10"/>
        <v>156</v>
      </c>
      <c r="E95" s="5" t="str">
        <f>IF(C95="",IF(D95="","",IF(D95&lt;128,"Wahl "&amp;D95,INDEX(KdoCodeTab,MATCH(D95,KdoWertTab,0)))),"Status "&amp;C95)</f>
        <v>Mark</v>
      </c>
      <c r="F95" t="str">
        <f t="shared" si="11"/>
        <v>Mark</v>
      </c>
      <c r="G95" t="str">
        <f t="shared" si="12"/>
        <v/>
      </c>
      <c r="H95" t="str">
        <f t="shared" si="13"/>
        <v/>
      </c>
    </row>
    <row r="96" spans="1:8" x14ac:dyDescent="0.25">
      <c r="A96" t="s">
        <v>93</v>
      </c>
      <c r="B96" s="3">
        <f t="shared" si="8"/>
        <v>31</v>
      </c>
      <c r="C96" s="3" t="str">
        <f t="shared" si="9"/>
        <v/>
      </c>
      <c r="D96" s="3">
        <f t="shared" si="10"/>
        <v>154</v>
      </c>
      <c r="E96" s="5" t="str">
        <f>IF(C96="",IF(D96="","",IF(D96&lt;128,"Wahl "&amp;D96,INDEX(KdoCodeTab,MATCH(D96,KdoWertTab,0)))),"Status "&amp;C96)</f>
        <v>MarkWdh</v>
      </c>
      <c r="F96" t="str">
        <f t="shared" si="11"/>
        <v>MarkWdh</v>
      </c>
      <c r="G96" t="str">
        <f t="shared" si="12"/>
        <v/>
      </c>
      <c r="H96" t="str">
        <f t="shared" si="13"/>
        <v/>
      </c>
    </row>
    <row r="97" spans="1:8" x14ac:dyDescent="0.25">
      <c r="A97" t="s">
        <v>94</v>
      </c>
      <c r="B97" s="3">
        <f t="shared" si="8"/>
        <v>31</v>
      </c>
      <c r="C97" s="3" t="str">
        <f t="shared" si="9"/>
        <v/>
      </c>
      <c r="D97" s="3">
        <f t="shared" si="10"/>
        <v>147</v>
      </c>
      <c r="E97" s="5" t="str">
        <f>IF(C97="",IF(D97="","",IF(D97&lt;128,"Wahl "&amp;D97,INDEX(KdoCodeTab,MATCH(D97,KdoWertTab,0)))),"Status "&amp;C97)</f>
        <v>Space</v>
      </c>
      <c r="F97" t="str">
        <f t="shared" si="11"/>
        <v>Space</v>
      </c>
      <c r="G97" t="str">
        <f t="shared" si="12"/>
        <v/>
      </c>
      <c r="H97" t="str">
        <f t="shared" si="13"/>
        <v/>
      </c>
    </row>
    <row r="98" spans="1:8" x14ac:dyDescent="0.25">
      <c r="A98" t="s">
        <v>95</v>
      </c>
      <c r="B98" s="3">
        <f t="shared" si="8"/>
        <v>31</v>
      </c>
      <c r="C98" s="3" t="str">
        <f t="shared" si="9"/>
        <v/>
      </c>
      <c r="D98" s="3">
        <f t="shared" si="10"/>
        <v>150</v>
      </c>
      <c r="E98" s="5" t="str">
        <f>IF(C98="",IF(D98="","",IF(D98&lt;128,"Wahl "&amp;D98,INDEX(KdoCodeTab,MATCH(D98,KdoWertTab,0)))),"Status "&amp;C98)</f>
        <v>SpaceWdh</v>
      </c>
      <c r="F98" t="str">
        <f t="shared" si="11"/>
        <v>SpaceWdh</v>
      </c>
      <c r="G98" t="str">
        <f t="shared" si="12"/>
        <v/>
      </c>
      <c r="H98" t="str">
        <f t="shared" si="13"/>
        <v/>
      </c>
    </row>
    <row r="99" spans="1:8" x14ac:dyDescent="0.25">
      <c r="A99" t="s">
        <v>96</v>
      </c>
      <c r="B99" s="3">
        <f t="shared" si="8"/>
        <v>33</v>
      </c>
      <c r="C99" s="3" t="str">
        <f t="shared" si="9"/>
        <v/>
      </c>
      <c r="D99" s="3">
        <f t="shared" si="10"/>
        <v>169</v>
      </c>
      <c r="E99" s="5" t="str">
        <f>IF(C99="",IF(D99="","",IF(D99&lt;128,"Wahl "&amp;D99,INDEX(KdoCodeTab,MATCH(D99,KdoWertTab,0)))),"Status "&amp;C99)</f>
        <v>BusLebenszeichen</v>
      </c>
      <c r="F99" t="str">
        <f t="shared" si="11"/>
        <v/>
      </c>
      <c r="G99" t="str">
        <f t="shared" si="12"/>
        <v>BusLebenszeichen</v>
      </c>
      <c r="H99" t="str">
        <f t="shared" si="13"/>
        <v/>
      </c>
    </row>
    <row r="100" spans="1:8" x14ac:dyDescent="0.25">
      <c r="A100" t="s">
        <v>97</v>
      </c>
      <c r="B100" s="3">
        <f t="shared" si="8"/>
        <v>31</v>
      </c>
      <c r="C100" s="3" t="str">
        <f t="shared" si="9"/>
        <v/>
      </c>
      <c r="D100" s="3">
        <f t="shared" si="10"/>
        <v>169</v>
      </c>
      <c r="E100" s="5" t="str">
        <f>IF(C100="",IF(D100="","",IF(D100&lt;128,"Wahl "&amp;D100,INDEX(KdoCodeTab,MATCH(D100,KdoWertTab,0)))),"Status "&amp;C100)</f>
        <v>BusLebenszeichen</v>
      </c>
      <c r="F100" t="str">
        <f t="shared" si="11"/>
        <v>BusLebenszeichen</v>
      </c>
      <c r="G100" t="str">
        <f t="shared" si="12"/>
        <v/>
      </c>
      <c r="H100" t="str">
        <f t="shared" si="13"/>
        <v/>
      </c>
    </row>
    <row r="101" spans="1:8" x14ac:dyDescent="0.25">
      <c r="A101" t="s">
        <v>98</v>
      </c>
      <c r="B101" s="3">
        <f t="shared" si="8"/>
        <v>31</v>
      </c>
      <c r="C101" s="3" t="str">
        <f t="shared" si="9"/>
        <v/>
      </c>
      <c r="D101" s="3">
        <f t="shared" si="10"/>
        <v>156</v>
      </c>
      <c r="E101" s="5" t="str">
        <f>IF(C101="",IF(D101="","",IF(D101&lt;128,"Wahl "&amp;D101,INDEX(KdoCodeTab,MATCH(D101,KdoWertTab,0)))),"Status "&amp;C101)</f>
        <v>Mark</v>
      </c>
      <c r="F101" t="str">
        <f t="shared" si="11"/>
        <v>Mark</v>
      </c>
      <c r="G101" t="str">
        <f t="shared" si="12"/>
        <v/>
      </c>
      <c r="H101" t="str">
        <f t="shared" si="13"/>
        <v/>
      </c>
    </row>
    <row r="102" spans="1:8" x14ac:dyDescent="0.25">
      <c r="A102" t="s">
        <v>99</v>
      </c>
      <c r="B102" s="3">
        <f t="shared" si="8"/>
        <v>31</v>
      </c>
      <c r="C102" s="3" t="str">
        <f t="shared" si="9"/>
        <v/>
      </c>
      <c r="D102" s="3">
        <f t="shared" si="10"/>
        <v>154</v>
      </c>
      <c r="E102" s="5" t="str">
        <f>IF(C102="",IF(D102="","",IF(D102&lt;128,"Wahl "&amp;D102,INDEX(KdoCodeTab,MATCH(D102,KdoWertTab,0)))),"Status "&amp;C102)</f>
        <v>MarkWdh</v>
      </c>
      <c r="F102" t="str">
        <f t="shared" si="11"/>
        <v>MarkWdh</v>
      </c>
      <c r="G102" t="str">
        <f t="shared" si="12"/>
        <v/>
      </c>
      <c r="H102" t="str">
        <f t="shared" si="13"/>
        <v/>
      </c>
    </row>
    <row r="103" spans="1:8" x14ac:dyDescent="0.25">
      <c r="A103" t="s">
        <v>100</v>
      </c>
      <c r="B103" s="3">
        <f t="shared" si="8"/>
        <v>31</v>
      </c>
      <c r="C103" s="3" t="str">
        <f t="shared" si="9"/>
        <v/>
      </c>
      <c r="D103" s="3">
        <f t="shared" si="10"/>
        <v>147</v>
      </c>
      <c r="E103" s="5" t="str">
        <f>IF(C103="",IF(D103="","",IF(D103&lt;128,"Wahl "&amp;D103,INDEX(KdoCodeTab,MATCH(D103,KdoWertTab,0)))),"Status "&amp;C103)</f>
        <v>Space</v>
      </c>
      <c r="F103" t="str">
        <f t="shared" si="11"/>
        <v>Space</v>
      </c>
      <c r="G103" t="str">
        <f t="shared" si="12"/>
        <v/>
      </c>
      <c r="H103" t="str">
        <f t="shared" si="13"/>
        <v/>
      </c>
    </row>
    <row r="104" spans="1:8" x14ac:dyDescent="0.25">
      <c r="A104" t="s">
        <v>101</v>
      </c>
      <c r="B104" s="3">
        <f t="shared" si="8"/>
        <v>31</v>
      </c>
      <c r="C104" s="3" t="str">
        <f t="shared" si="9"/>
        <v/>
      </c>
      <c r="D104" s="3">
        <f t="shared" si="10"/>
        <v>150</v>
      </c>
      <c r="E104" s="5" t="str">
        <f>IF(C104="",IF(D104="","",IF(D104&lt;128,"Wahl "&amp;D104,INDEX(KdoCodeTab,MATCH(D104,KdoWertTab,0)))),"Status "&amp;C104)</f>
        <v>SpaceWdh</v>
      </c>
      <c r="F104" t="str">
        <f t="shared" si="11"/>
        <v>SpaceWdh</v>
      </c>
      <c r="G104" t="str">
        <f t="shared" si="12"/>
        <v/>
      </c>
      <c r="H104" t="str">
        <f t="shared" si="13"/>
        <v/>
      </c>
    </row>
    <row r="105" spans="1:8" x14ac:dyDescent="0.25">
      <c r="A105" t="s">
        <v>102</v>
      </c>
      <c r="B105" s="3">
        <f t="shared" si="8"/>
        <v>19</v>
      </c>
      <c r="C105" s="3" t="str">
        <f t="shared" si="9"/>
        <v/>
      </c>
      <c r="D105" s="3" t="str">
        <f t="shared" si="10"/>
        <v/>
      </c>
      <c r="E105" s="5" t="str">
        <f>IF(C105="",IF(D105="","",IF(D105&lt;128,"Wahl "&amp;D105,INDEX(KdoCodeTab,MATCH(D105,KdoWertTab,0)))),"Status "&amp;C105)</f>
        <v/>
      </c>
      <c r="F105" t="str">
        <f t="shared" si="11"/>
        <v/>
      </c>
      <c r="G105" t="str">
        <f t="shared" si="12"/>
        <v/>
      </c>
      <c r="H105" t="str">
        <f t="shared" si="13"/>
        <v/>
      </c>
    </row>
    <row r="106" spans="1:8" x14ac:dyDescent="0.25">
      <c r="A106" t="s">
        <v>103</v>
      </c>
      <c r="B106" s="3">
        <f t="shared" si="8"/>
        <v>31</v>
      </c>
      <c r="C106" s="3" t="str">
        <f t="shared" si="9"/>
        <v/>
      </c>
      <c r="D106" s="3">
        <f t="shared" si="10"/>
        <v>154</v>
      </c>
      <c r="E106" s="5" t="str">
        <f>IF(C106="",IF(D106="","",IF(D106&lt;128,"Wahl "&amp;D106,INDEX(KdoCodeTab,MATCH(D106,KdoWertTab,0)))),"Status "&amp;C106)</f>
        <v>MarkWdh</v>
      </c>
      <c r="F106" t="str">
        <f t="shared" si="11"/>
        <v>MarkWdh</v>
      </c>
      <c r="G106" t="str">
        <f t="shared" si="12"/>
        <v/>
      </c>
      <c r="H106" t="str">
        <f t="shared" si="13"/>
        <v/>
      </c>
    </row>
    <row r="107" spans="1:8" x14ac:dyDescent="0.25">
      <c r="A107" t="s">
        <v>104</v>
      </c>
      <c r="B107" s="3">
        <f t="shared" si="8"/>
        <v>31</v>
      </c>
      <c r="C107" s="3" t="str">
        <f t="shared" si="9"/>
        <v/>
      </c>
      <c r="D107" s="3">
        <f t="shared" si="10"/>
        <v>147</v>
      </c>
      <c r="E107" s="5" t="str">
        <f>IF(C107="",IF(D107="","",IF(D107&lt;128,"Wahl "&amp;D107,INDEX(KdoCodeTab,MATCH(D107,KdoWertTab,0)))),"Status "&amp;C107)</f>
        <v>Space</v>
      </c>
      <c r="F107" t="str">
        <f t="shared" si="11"/>
        <v>Space</v>
      </c>
      <c r="G107" t="str">
        <f t="shared" si="12"/>
        <v/>
      </c>
      <c r="H107" t="str">
        <f t="shared" si="13"/>
        <v/>
      </c>
    </row>
    <row r="108" spans="1:8" x14ac:dyDescent="0.25">
      <c r="A108" t="s">
        <v>105</v>
      </c>
      <c r="B108" s="3">
        <f t="shared" si="8"/>
        <v>31</v>
      </c>
      <c r="C108" s="3" t="str">
        <f t="shared" si="9"/>
        <v/>
      </c>
      <c r="D108" s="3">
        <f t="shared" si="10"/>
        <v>150</v>
      </c>
      <c r="E108" s="5" t="str">
        <f>IF(C108="",IF(D108="","",IF(D108&lt;128,"Wahl "&amp;D108,INDEX(KdoCodeTab,MATCH(D108,KdoWertTab,0)))),"Status "&amp;C108)</f>
        <v>SpaceWdh</v>
      </c>
      <c r="F108" t="str">
        <f t="shared" si="11"/>
        <v>SpaceWdh</v>
      </c>
      <c r="G108" t="str">
        <f t="shared" si="12"/>
        <v/>
      </c>
      <c r="H108" t="str">
        <f t="shared" si="13"/>
        <v/>
      </c>
    </row>
    <row r="109" spans="1:8" x14ac:dyDescent="0.25">
      <c r="A109" t="s">
        <v>106</v>
      </c>
      <c r="B109" s="3">
        <f t="shared" si="8"/>
        <v>31</v>
      </c>
      <c r="C109" s="3" t="str">
        <f t="shared" si="9"/>
        <v/>
      </c>
      <c r="D109" s="3">
        <f t="shared" si="10"/>
        <v>156</v>
      </c>
      <c r="E109" s="5" t="str">
        <f>IF(C109="",IF(D109="","",IF(D109&lt;128,"Wahl "&amp;D109,INDEX(KdoCodeTab,MATCH(D109,KdoWertTab,0)))),"Status "&amp;C109)</f>
        <v>Mark</v>
      </c>
      <c r="F109" t="str">
        <f t="shared" si="11"/>
        <v>Mark</v>
      </c>
      <c r="G109" t="str">
        <f t="shared" si="12"/>
        <v/>
      </c>
      <c r="H109" t="str">
        <f t="shared" si="13"/>
        <v/>
      </c>
    </row>
    <row r="110" spans="1:8" x14ac:dyDescent="0.25">
      <c r="A110" t="s">
        <v>107</v>
      </c>
      <c r="B110" s="3">
        <f t="shared" si="8"/>
        <v>31</v>
      </c>
      <c r="C110" s="3" t="str">
        <f t="shared" si="9"/>
        <v/>
      </c>
      <c r="D110" s="3">
        <f t="shared" si="10"/>
        <v>154</v>
      </c>
      <c r="E110" s="5" t="str">
        <f>IF(C110="",IF(D110="","",IF(D110&lt;128,"Wahl "&amp;D110,INDEX(KdoCodeTab,MATCH(D110,KdoWertTab,0)))),"Status "&amp;C110)</f>
        <v>MarkWdh</v>
      </c>
      <c r="F110" t="str">
        <f t="shared" si="11"/>
        <v>MarkWdh</v>
      </c>
      <c r="G110" t="str">
        <f t="shared" si="12"/>
        <v/>
      </c>
      <c r="H110" t="str">
        <f t="shared" si="13"/>
        <v/>
      </c>
    </row>
    <row r="111" spans="1:8" x14ac:dyDescent="0.25">
      <c r="A111" t="s">
        <v>108</v>
      </c>
      <c r="B111" s="3">
        <f t="shared" si="8"/>
        <v>31</v>
      </c>
      <c r="C111" s="3" t="str">
        <f t="shared" si="9"/>
        <v/>
      </c>
      <c r="D111" s="3">
        <f t="shared" si="10"/>
        <v>147</v>
      </c>
      <c r="E111" s="5" t="str">
        <f>IF(C111="",IF(D111="","",IF(D111&lt;128,"Wahl "&amp;D111,INDEX(KdoCodeTab,MATCH(D111,KdoWertTab,0)))),"Status "&amp;C111)</f>
        <v>Space</v>
      </c>
      <c r="F111" t="str">
        <f t="shared" si="11"/>
        <v>Space</v>
      </c>
      <c r="G111" t="str">
        <f t="shared" si="12"/>
        <v/>
      </c>
      <c r="H111" t="str">
        <f t="shared" si="13"/>
        <v/>
      </c>
    </row>
    <row r="112" spans="1:8" x14ac:dyDescent="0.25">
      <c r="A112" t="s">
        <v>109</v>
      </c>
      <c r="B112" s="3">
        <f t="shared" si="8"/>
        <v>31</v>
      </c>
      <c r="C112" s="3" t="str">
        <f t="shared" si="9"/>
        <v/>
      </c>
      <c r="D112" s="3">
        <f t="shared" si="10"/>
        <v>150</v>
      </c>
      <c r="E112" s="5" t="str">
        <f>IF(C112="",IF(D112="","",IF(D112&lt;128,"Wahl "&amp;D112,INDEX(KdoCodeTab,MATCH(D112,KdoWertTab,0)))),"Status "&amp;C112)</f>
        <v>SpaceWdh</v>
      </c>
      <c r="F112" t="str">
        <f t="shared" si="11"/>
        <v>SpaceWdh</v>
      </c>
      <c r="G112" t="str">
        <f t="shared" si="12"/>
        <v/>
      </c>
      <c r="H112" t="str">
        <f t="shared" si="13"/>
        <v/>
      </c>
    </row>
    <row r="113" spans="1:8" x14ac:dyDescent="0.25">
      <c r="A113" t="s">
        <v>110</v>
      </c>
      <c r="B113" s="3">
        <f t="shared" si="8"/>
        <v>31</v>
      </c>
      <c r="C113" s="3" t="str">
        <f t="shared" si="9"/>
        <v/>
      </c>
      <c r="D113" s="3">
        <f t="shared" si="10"/>
        <v>156</v>
      </c>
      <c r="E113" s="5" t="str">
        <f>IF(C113="",IF(D113="","",IF(D113&lt;128,"Wahl "&amp;D113,INDEX(KdoCodeTab,MATCH(D113,KdoWertTab,0)))),"Status "&amp;C113)</f>
        <v>Mark</v>
      </c>
      <c r="F113" t="str">
        <f t="shared" si="11"/>
        <v>Mark</v>
      </c>
      <c r="G113" t="str">
        <f t="shared" si="12"/>
        <v/>
      </c>
      <c r="H113" t="str">
        <f t="shared" si="13"/>
        <v/>
      </c>
    </row>
    <row r="114" spans="1:8" x14ac:dyDescent="0.25">
      <c r="A114" t="s">
        <v>111</v>
      </c>
      <c r="B114" s="3">
        <f t="shared" si="8"/>
        <v>31</v>
      </c>
      <c r="C114" s="3" t="str">
        <f t="shared" si="9"/>
        <v/>
      </c>
      <c r="D114" s="3">
        <f t="shared" si="10"/>
        <v>154</v>
      </c>
      <c r="E114" s="5" t="str">
        <f>IF(C114="",IF(D114="","",IF(D114&lt;128,"Wahl "&amp;D114,INDEX(KdoCodeTab,MATCH(D114,KdoWertTab,0)))),"Status "&amp;C114)</f>
        <v>MarkWdh</v>
      </c>
      <c r="F114" t="str">
        <f t="shared" si="11"/>
        <v>MarkWdh</v>
      </c>
      <c r="G114" t="str">
        <f t="shared" si="12"/>
        <v/>
      </c>
      <c r="H114" t="str">
        <f t="shared" si="13"/>
        <v/>
      </c>
    </row>
    <row r="115" spans="1:8" x14ac:dyDescent="0.25">
      <c r="A115" t="s">
        <v>112</v>
      </c>
      <c r="B115" s="3">
        <f t="shared" si="8"/>
        <v>31</v>
      </c>
      <c r="C115" s="3" t="str">
        <f t="shared" si="9"/>
        <v/>
      </c>
      <c r="D115" s="3">
        <f t="shared" si="10"/>
        <v>147</v>
      </c>
      <c r="E115" s="5" t="str">
        <f>IF(C115="",IF(D115="","",IF(D115&lt;128,"Wahl "&amp;D115,INDEX(KdoCodeTab,MATCH(D115,KdoWertTab,0)))),"Status "&amp;C115)</f>
        <v>Space</v>
      </c>
      <c r="F115" t="str">
        <f t="shared" si="11"/>
        <v>Space</v>
      </c>
      <c r="G115" t="str">
        <f t="shared" si="12"/>
        <v/>
      </c>
      <c r="H115" t="str">
        <f t="shared" si="13"/>
        <v/>
      </c>
    </row>
    <row r="116" spans="1:8" x14ac:dyDescent="0.25">
      <c r="A116" t="s">
        <v>113</v>
      </c>
      <c r="B116" s="3">
        <f t="shared" si="8"/>
        <v>31</v>
      </c>
      <c r="C116" s="3" t="str">
        <f t="shared" si="9"/>
        <v/>
      </c>
      <c r="D116" s="3">
        <f t="shared" si="10"/>
        <v>150</v>
      </c>
      <c r="E116" s="5" t="str">
        <f>IF(C116="",IF(D116="","",IF(D116&lt;128,"Wahl "&amp;D116,INDEX(KdoCodeTab,MATCH(D116,KdoWertTab,0)))),"Status "&amp;C116)</f>
        <v>SpaceWdh</v>
      </c>
      <c r="F116" t="str">
        <f t="shared" si="11"/>
        <v>SpaceWdh</v>
      </c>
      <c r="G116" t="str">
        <f t="shared" si="12"/>
        <v/>
      </c>
      <c r="H116" t="str">
        <f t="shared" si="13"/>
        <v/>
      </c>
    </row>
    <row r="117" spans="1:8" x14ac:dyDescent="0.25">
      <c r="A117" t="s">
        <v>114</v>
      </c>
      <c r="B117" s="3">
        <f t="shared" si="8"/>
        <v>31</v>
      </c>
      <c r="C117" s="3" t="str">
        <f t="shared" si="9"/>
        <v/>
      </c>
      <c r="D117" s="3">
        <f t="shared" si="10"/>
        <v>156</v>
      </c>
      <c r="E117" s="5" t="str">
        <f>IF(C117="",IF(D117="","",IF(D117&lt;128,"Wahl "&amp;D117,INDEX(KdoCodeTab,MATCH(D117,KdoWertTab,0)))),"Status "&amp;C117)</f>
        <v>Mark</v>
      </c>
      <c r="F117" t="str">
        <f t="shared" si="11"/>
        <v>Mark</v>
      </c>
      <c r="G117" t="str">
        <f t="shared" si="12"/>
        <v/>
      </c>
      <c r="H117" t="str">
        <f t="shared" si="13"/>
        <v/>
      </c>
    </row>
    <row r="118" spans="1:8" x14ac:dyDescent="0.25">
      <c r="A118" t="s">
        <v>115</v>
      </c>
      <c r="B118" s="3">
        <f t="shared" si="8"/>
        <v>31</v>
      </c>
      <c r="C118" s="3" t="str">
        <f t="shared" si="9"/>
        <v/>
      </c>
      <c r="D118" s="3">
        <f t="shared" si="10"/>
        <v>154</v>
      </c>
      <c r="E118" s="5" t="str">
        <f>IF(C118="",IF(D118="","",IF(D118&lt;128,"Wahl "&amp;D118,INDEX(KdoCodeTab,MATCH(D118,KdoWertTab,0)))),"Status "&amp;C118)</f>
        <v>MarkWdh</v>
      </c>
      <c r="F118" t="str">
        <f t="shared" si="11"/>
        <v>MarkWdh</v>
      </c>
      <c r="G118" t="str">
        <f t="shared" si="12"/>
        <v/>
      </c>
      <c r="H118" t="str">
        <f t="shared" si="13"/>
        <v/>
      </c>
    </row>
    <row r="119" spans="1:8" x14ac:dyDescent="0.25">
      <c r="A119" t="s">
        <v>116</v>
      </c>
      <c r="B119" s="3">
        <f t="shared" si="8"/>
        <v>31</v>
      </c>
      <c r="C119" s="3" t="str">
        <f t="shared" si="9"/>
        <v/>
      </c>
      <c r="D119" s="3">
        <f t="shared" si="10"/>
        <v>147</v>
      </c>
      <c r="E119" s="5" t="str">
        <f>IF(C119="",IF(D119="","",IF(D119&lt;128,"Wahl "&amp;D119,INDEX(KdoCodeTab,MATCH(D119,KdoWertTab,0)))),"Status "&amp;C119)</f>
        <v>Space</v>
      </c>
      <c r="F119" t="str">
        <f t="shared" si="11"/>
        <v>Space</v>
      </c>
      <c r="G119" t="str">
        <f t="shared" si="12"/>
        <v/>
      </c>
      <c r="H119" t="str">
        <f t="shared" si="13"/>
        <v/>
      </c>
    </row>
    <row r="120" spans="1:8" x14ac:dyDescent="0.25">
      <c r="A120" t="s">
        <v>117</v>
      </c>
      <c r="B120" s="3">
        <f t="shared" si="8"/>
        <v>31</v>
      </c>
      <c r="C120" s="3" t="str">
        <f t="shared" si="9"/>
        <v/>
      </c>
      <c r="D120" s="3">
        <f t="shared" si="10"/>
        <v>150</v>
      </c>
      <c r="E120" s="5" t="str">
        <f>IF(C120="",IF(D120="","",IF(D120&lt;128,"Wahl "&amp;D120,INDEX(KdoCodeTab,MATCH(D120,KdoWertTab,0)))),"Status "&amp;C120)</f>
        <v>SpaceWdh</v>
      </c>
      <c r="F120" t="str">
        <f t="shared" si="11"/>
        <v>SpaceWdh</v>
      </c>
      <c r="G120" t="str">
        <f t="shared" si="12"/>
        <v/>
      </c>
      <c r="H120" t="str">
        <f t="shared" si="13"/>
        <v/>
      </c>
    </row>
    <row r="121" spans="1:8" x14ac:dyDescent="0.25">
      <c r="A121" t="s">
        <v>118</v>
      </c>
      <c r="B121" s="3">
        <f t="shared" si="8"/>
        <v>33</v>
      </c>
      <c r="C121" s="3" t="str">
        <f t="shared" si="9"/>
        <v/>
      </c>
      <c r="D121" s="3">
        <f t="shared" si="10"/>
        <v>169</v>
      </c>
      <c r="E121" s="5" t="str">
        <f>IF(C121="",IF(D121="","",IF(D121&lt;128,"Wahl "&amp;D121,INDEX(KdoCodeTab,MATCH(D121,KdoWertTab,0)))),"Status "&amp;C121)</f>
        <v>BusLebenszeichen</v>
      </c>
      <c r="F121" t="str">
        <f t="shared" si="11"/>
        <v/>
      </c>
      <c r="G121" t="str">
        <f t="shared" si="12"/>
        <v>BusLebenszeichen</v>
      </c>
      <c r="H121" t="str">
        <f t="shared" si="13"/>
        <v/>
      </c>
    </row>
    <row r="122" spans="1:8" x14ac:dyDescent="0.25">
      <c r="A122" t="s">
        <v>119</v>
      </c>
      <c r="B122" s="3">
        <f t="shared" si="8"/>
        <v>31</v>
      </c>
      <c r="C122" s="3" t="str">
        <f t="shared" si="9"/>
        <v/>
      </c>
      <c r="D122" s="3">
        <f t="shared" si="10"/>
        <v>169</v>
      </c>
      <c r="E122" s="5" t="str">
        <f>IF(C122="",IF(D122="","",IF(D122&lt;128,"Wahl "&amp;D122,INDEX(KdoCodeTab,MATCH(D122,KdoWertTab,0)))),"Status "&amp;C122)</f>
        <v>BusLebenszeichen</v>
      </c>
      <c r="F122" t="str">
        <f t="shared" si="11"/>
        <v>BusLebenszeichen</v>
      </c>
      <c r="G122" t="str">
        <f t="shared" si="12"/>
        <v/>
      </c>
      <c r="H122" t="str">
        <f t="shared" si="13"/>
        <v/>
      </c>
    </row>
    <row r="123" spans="1:8" x14ac:dyDescent="0.25">
      <c r="A123" t="s">
        <v>120</v>
      </c>
      <c r="B123" s="3">
        <f t="shared" si="8"/>
        <v>31</v>
      </c>
      <c r="C123" s="3" t="str">
        <f t="shared" si="9"/>
        <v/>
      </c>
      <c r="D123" s="3">
        <f t="shared" si="10"/>
        <v>156</v>
      </c>
      <c r="E123" s="5" t="str">
        <f>IF(C123="",IF(D123="","",IF(D123&lt;128,"Wahl "&amp;D123,INDEX(KdoCodeTab,MATCH(D123,KdoWertTab,0)))),"Status "&amp;C123)</f>
        <v>Mark</v>
      </c>
      <c r="F123" t="str">
        <f t="shared" si="11"/>
        <v>Mark</v>
      </c>
      <c r="G123" t="str">
        <f t="shared" si="12"/>
        <v/>
      </c>
      <c r="H123" t="str">
        <f t="shared" si="13"/>
        <v/>
      </c>
    </row>
    <row r="124" spans="1:8" x14ac:dyDescent="0.25">
      <c r="A124" t="s">
        <v>121</v>
      </c>
      <c r="B124" s="3">
        <f t="shared" si="8"/>
        <v>31</v>
      </c>
      <c r="C124" s="3" t="str">
        <f t="shared" si="9"/>
        <v/>
      </c>
      <c r="D124" s="3">
        <f t="shared" si="10"/>
        <v>154</v>
      </c>
      <c r="E124" s="5" t="str">
        <f>IF(C124="",IF(D124="","",IF(D124&lt;128,"Wahl "&amp;D124,INDEX(KdoCodeTab,MATCH(D124,KdoWertTab,0)))),"Status "&amp;C124)</f>
        <v>MarkWdh</v>
      </c>
      <c r="F124" t="str">
        <f t="shared" si="11"/>
        <v>MarkWdh</v>
      </c>
      <c r="G124" t="str">
        <f t="shared" si="12"/>
        <v/>
      </c>
      <c r="H124" t="str">
        <f t="shared" si="13"/>
        <v/>
      </c>
    </row>
    <row r="125" spans="1:8" x14ac:dyDescent="0.25">
      <c r="A125" t="s">
        <v>122</v>
      </c>
      <c r="B125" s="3">
        <f t="shared" si="8"/>
        <v>31</v>
      </c>
      <c r="C125" s="3" t="str">
        <f t="shared" si="9"/>
        <v/>
      </c>
      <c r="D125" s="3">
        <f t="shared" si="10"/>
        <v>147</v>
      </c>
      <c r="E125" s="5" t="str">
        <f>IF(C125="",IF(D125="","",IF(D125&lt;128,"Wahl "&amp;D125,INDEX(KdoCodeTab,MATCH(D125,KdoWertTab,0)))),"Status "&amp;C125)</f>
        <v>Space</v>
      </c>
      <c r="F125" t="str">
        <f t="shared" si="11"/>
        <v>Space</v>
      </c>
      <c r="G125" t="str">
        <f t="shared" si="12"/>
        <v/>
      </c>
      <c r="H125" t="str">
        <f t="shared" si="13"/>
        <v/>
      </c>
    </row>
    <row r="126" spans="1:8" x14ac:dyDescent="0.25">
      <c r="A126" t="s">
        <v>123</v>
      </c>
      <c r="B126" s="3">
        <f t="shared" si="8"/>
        <v>31</v>
      </c>
      <c r="C126" s="3" t="str">
        <f t="shared" si="9"/>
        <v/>
      </c>
      <c r="D126" s="3">
        <f t="shared" si="10"/>
        <v>150</v>
      </c>
      <c r="E126" s="5" t="str">
        <f>IF(C126="",IF(D126="","",IF(D126&lt;128,"Wahl "&amp;D126,INDEX(KdoCodeTab,MATCH(D126,KdoWertTab,0)))),"Status "&amp;C126)</f>
        <v>SpaceWdh</v>
      </c>
      <c r="F126" t="str">
        <f t="shared" si="11"/>
        <v>SpaceWdh</v>
      </c>
      <c r="G126" t="str">
        <f t="shared" si="12"/>
        <v/>
      </c>
      <c r="H126" t="str">
        <f t="shared" si="13"/>
        <v/>
      </c>
    </row>
    <row r="127" spans="1:8" x14ac:dyDescent="0.25">
      <c r="A127" t="s">
        <v>124</v>
      </c>
      <c r="B127" s="3">
        <f t="shared" si="8"/>
        <v>31</v>
      </c>
      <c r="C127" s="3" t="str">
        <f t="shared" si="9"/>
        <v/>
      </c>
      <c r="D127" s="3">
        <f t="shared" si="10"/>
        <v>156</v>
      </c>
      <c r="E127" s="5" t="str">
        <f>IF(C127="",IF(D127="","",IF(D127&lt;128,"Wahl "&amp;D127,INDEX(KdoCodeTab,MATCH(D127,KdoWertTab,0)))),"Status "&amp;C127)</f>
        <v>Mark</v>
      </c>
      <c r="F127" t="str">
        <f t="shared" si="11"/>
        <v>Mark</v>
      </c>
      <c r="G127" t="str">
        <f t="shared" si="12"/>
        <v/>
      </c>
      <c r="H127" t="str">
        <f t="shared" si="13"/>
        <v/>
      </c>
    </row>
    <row r="128" spans="1:8" x14ac:dyDescent="0.25">
      <c r="A128" t="s">
        <v>125</v>
      </c>
      <c r="B128" s="3">
        <f t="shared" si="8"/>
        <v>31</v>
      </c>
      <c r="C128" s="3" t="str">
        <f t="shared" si="9"/>
        <v/>
      </c>
      <c r="D128" s="3">
        <f t="shared" si="10"/>
        <v>154</v>
      </c>
      <c r="E128" s="5" t="str">
        <f>IF(C128="",IF(D128="","",IF(D128&lt;128,"Wahl "&amp;D128,INDEX(KdoCodeTab,MATCH(D128,KdoWertTab,0)))),"Status "&amp;C128)</f>
        <v>MarkWdh</v>
      </c>
      <c r="F128" t="str">
        <f t="shared" si="11"/>
        <v>MarkWdh</v>
      </c>
      <c r="G128" t="str">
        <f t="shared" si="12"/>
        <v/>
      </c>
      <c r="H128" t="str">
        <f t="shared" si="13"/>
        <v/>
      </c>
    </row>
    <row r="129" spans="1:8" x14ac:dyDescent="0.25">
      <c r="A129" t="s">
        <v>126</v>
      </c>
      <c r="B129" s="3">
        <f t="shared" si="8"/>
        <v>31</v>
      </c>
      <c r="C129" s="3" t="str">
        <f t="shared" si="9"/>
        <v/>
      </c>
      <c r="D129" s="3">
        <f t="shared" si="10"/>
        <v>147</v>
      </c>
      <c r="E129" s="5" t="str">
        <f>IF(C129="",IF(D129="","",IF(D129&lt;128,"Wahl "&amp;D129,INDEX(KdoCodeTab,MATCH(D129,KdoWertTab,0)))),"Status "&amp;C129)</f>
        <v>Space</v>
      </c>
      <c r="F129" t="str">
        <f t="shared" si="11"/>
        <v>Space</v>
      </c>
      <c r="G129" t="str">
        <f t="shared" si="12"/>
        <v/>
      </c>
      <c r="H129" t="str">
        <f t="shared" si="13"/>
        <v/>
      </c>
    </row>
    <row r="130" spans="1:8" x14ac:dyDescent="0.25">
      <c r="A130" t="s">
        <v>127</v>
      </c>
      <c r="B130" s="3">
        <f t="shared" si="8"/>
        <v>31</v>
      </c>
      <c r="C130" s="3" t="str">
        <f t="shared" si="9"/>
        <v/>
      </c>
      <c r="D130" s="3">
        <f t="shared" si="10"/>
        <v>150</v>
      </c>
      <c r="E130" s="5" t="str">
        <f>IF(C130="",IF(D130="","",IF(D130&lt;128,"Wahl "&amp;D130,INDEX(KdoCodeTab,MATCH(D130,KdoWertTab,0)))),"Status "&amp;C130)</f>
        <v>SpaceWdh</v>
      </c>
      <c r="F130" t="str">
        <f t="shared" si="11"/>
        <v>SpaceWdh</v>
      </c>
      <c r="G130" t="str">
        <f t="shared" si="12"/>
        <v/>
      </c>
      <c r="H130" t="str">
        <f t="shared" si="13"/>
        <v/>
      </c>
    </row>
    <row r="131" spans="1:8" x14ac:dyDescent="0.25">
      <c r="A131" t="s">
        <v>128</v>
      </c>
      <c r="B131" s="3">
        <f t="shared" si="8"/>
        <v>31</v>
      </c>
      <c r="C131" s="3" t="str">
        <f t="shared" si="9"/>
        <v/>
      </c>
      <c r="D131" s="3">
        <f t="shared" si="10"/>
        <v>156</v>
      </c>
      <c r="E131" s="5" t="str">
        <f>IF(C131="",IF(D131="","",IF(D131&lt;128,"Wahl "&amp;D131,INDEX(KdoCodeTab,MATCH(D131,KdoWertTab,0)))),"Status "&amp;C131)</f>
        <v>Mark</v>
      </c>
      <c r="F131" t="str">
        <f t="shared" si="11"/>
        <v>Mark</v>
      </c>
      <c r="G131" t="str">
        <f t="shared" si="12"/>
        <v/>
      </c>
      <c r="H131" t="str">
        <f t="shared" si="13"/>
        <v/>
      </c>
    </row>
    <row r="132" spans="1:8" x14ac:dyDescent="0.25">
      <c r="A132" t="s">
        <v>129</v>
      </c>
      <c r="B132" s="3">
        <f t="shared" si="8"/>
        <v>31</v>
      </c>
      <c r="C132" s="3" t="str">
        <f t="shared" si="9"/>
        <v/>
      </c>
      <c r="D132" s="3">
        <f t="shared" si="10"/>
        <v>154</v>
      </c>
      <c r="E132" s="5" t="str">
        <f>IF(C132="",IF(D132="","",IF(D132&lt;128,"Wahl "&amp;D132,INDEX(KdoCodeTab,MATCH(D132,KdoWertTab,0)))),"Status "&amp;C132)</f>
        <v>MarkWdh</v>
      </c>
      <c r="F132" t="str">
        <f t="shared" si="11"/>
        <v>MarkWdh</v>
      </c>
      <c r="G132" t="str">
        <f t="shared" si="12"/>
        <v/>
      </c>
      <c r="H132" t="str">
        <f t="shared" si="13"/>
        <v/>
      </c>
    </row>
    <row r="133" spans="1:8" x14ac:dyDescent="0.25">
      <c r="A133" t="s">
        <v>130</v>
      </c>
      <c r="B133" s="3">
        <f t="shared" ref="B133:B196" si="14">INT(HEX2DEC(MID(A133,8,2))/2)</f>
        <v>31</v>
      </c>
      <c r="C133" s="3" t="str">
        <f t="shared" ref="C133:C196" si="15">IF(MID(A133,10,1)="&lt;",MID(A133,12,2),"")</f>
        <v/>
      </c>
      <c r="D133" s="3">
        <f t="shared" ref="D133:D196" si="16">IF(MID(A133,10,1)="&gt;",HEX2DEC(MID(A133,12,2)),"")</f>
        <v>147</v>
      </c>
      <c r="E133" s="5" t="str">
        <f>IF(C133="",IF(D133="","",IF(D133&lt;128,"Wahl "&amp;D133,INDEX(KdoCodeTab,MATCH(D133,KdoWertTab,0)))),"Status "&amp;C133)</f>
        <v>Space</v>
      </c>
      <c r="F133" t="str">
        <f t="shared" ref="F133:F196" si="17">IF(B133=$F$2,E133,"")</f>
        <v>Space</v>
      </c>
      <c r="G133" t="str">
        <f t="shared" ref="G133:G196" si="18">IF(B133=$G$2,E133,"")</f>
        <v/>
      </c>
      <c r="H133" t="str">
        <f t="shared" ref="H133:H196" si="19">IF(F133&amp;G133="",E133,"")</f>
        <v/>
      </c>
    </row>
    <row r="134" spans="1:8" x14ac:dyDescent="0.25">
      <c r="A134" t="s">
        <v>131</v>
      </c>
      <c r="B134" s="3">
        <f t="shared" si="14"/>
        <v>37</v>
      </c>
      <c r="C134" s="3" t="str">
        <f t="shared" si="15"/>
        <v/>
      </c>
      <c r="D134" s="3" t="str">
        <f t="shared" si="16"/>
        <v/>
      </c>
      <c r="E134" s="5" t="str">
        <f>IF(C134="",IF(D134="","",IF(D134&lt;128,"Wahl "&amp;D134,INDEX(KdoCodeTab,MATCH(D134,KdoWertTab,0)))),"Status "&amp;C134)</f>
        <v/>
      </c>
      <c r="F134" t="str">
        <f t="shared" si="17"/>
        <v/>
      </c>
      <c r="G134" t="str">
        <f t="shared" si="18"/>
        <v/>
      </c>
      <c r="H134" t="str">
        <f t="shared" si="19"/>
        <v/>
      </c>
    </row>
    <row r="135" spans="1:8" x14ac:dyDescent="0.25">
      <c r="A135" t="s">
        <v>132</v>
      </c>
      <c r="B135" s="3">
        <f t="shared" si="14"/>
        <v>31</v>
      </c>
      <c r="C135" s="3" t="str">
        <f t="shared" si="15"/>
        <v/>
      </c>
      <c r="D135" s="3">
        <f t="shared" si="16"/>
        <v>156</v>
      </c>
      <c r="E135" s="5" t="str">
        <f>IF(C135="",IF(D135="","",IF(D135&lt;128,"Wahl "&amp;D135,INDEX(KdoCodeTab,MATCH(D135,KdoWertTab,0)))),"Status "&amp;C135)</f>
        <v>Mark</v>
      </c>
      <c r="F135" t="str">
        <f t="shared" si="17"/>
        <v>Mark</v>
      </c>
      <c r="G135" t="str">
        <f t="shared" si="18"/>
        <v/>
      </c>
      <c r="H135" t="str">
        <f t="shared" si="19"/>
        <v/>
      </c>
    </row>
    <row r="136" spans="1:8" x14ac:dyDescent="0.25">
      <c r="A136" t="s">
        <v>133</v>
      </c>
      <c r="B136" s="3">
        <f t="shared" si="14"/>
        <v>31</v>
      </c>
      <c r="C136" s="3" t="str">
        <f t="shared" si="15"/>
        <v/>
      </c>
      <c r="D136" s="3">
        <f t="shared" si="16"/>
        <v>154</v>
      </c>
      <c r="E136" s="5" t="str">
        <f>IF(C136="",IF(D136="","",IF(D136&lt;128,"Wahl "&amp;D136,INDEX(KdoCodeTab,MATCH(D136,KdoWertTab,0)))),"Status "&amp;C136)</f>
        <v>MarkWdh</v>
      </c>
      <c r="F136" t="str">
        <f t="shared" si="17"/>
        <v>MarkWdh</v>
      </c>
      <c r="G136" t="str">
        <f t="shared" si="18"/>
        <v/>
      </c>
      <c r="H136" t="str">
        <f t="shared" si="19"/>
        <v/>
      </c>
    </row>
    <row r="137" spans="1:8" x14ac:dyDescent="0.25">
      <c r="A137" t="s">
        <v>134</v>
      </c>
      <c r="B137" s="3">
        <f t="shared" si="14"/>
        <v>31</v>
      </c>
      <c r="C137" s="3" t="str">
        <f t="shared" si="15"/>
        <v/>
      </c>
      <c r="D137" s="3">
        <f t="shared" si="16"/>
        <v>147</v>
      </c>
      <c r="E137" s="5" t="str">
        <f>IF(C137="",IF(D137="","",IF(D137&lt;128,"Wahl "&amp;D137,INDEX(KdoCodeTab,MATCH(D137,KdoWertTab,0)))),"Status "&amp;C137)</f>
        <v>Space</v>
      </c>
      <c r="F137" t="str">
        <f t="shared" si="17"/>
        <v>Space</v>
      </c>
      <c r="G137" t="str">
        <f t="shared" si="18"/>
        <v/>
      </c>
      <c r="H137" t="str">
        <f t="shared" si="19"/>
        <v/>
      </c>
    </row>
    <row r="138" spans="1:8" x14ac:dyDescent="0.25">
      <c r="A138" t="s">
        <v>135</v>
      </c>
      <c r="B138" s="3">
        <f t="shared" si="14"/>
        <v>31</v>
      </c>
      <c r="C138" s="3" t="str">
        <f t="shared" si="15"/>
        <v/>
      </c>
      <c r="D138" s="3">
        <f t="shared" si="16"/>
        <v>150</v>
      </c>
      <c r="E138" s="5" t="str">
        <f>IF(C138="",IF(D138="","",IF(D138&lt;128,"Wahl "&amp;D138,INDEX(KdoCodeTab,MATCH(D138,KdoWertTab,0)))),"Status "&amp;C138)</f>
        <v>SpaceWdh</v>
      </c>
      <c r="F138" t="str">
        <f t="shared" si="17"/>
        <v>SpaceWdh</v>
      </c>
      <c r="G138" t="str">
        <f t="shared" si="18"/>
        <v/>
      </c>
      <c r="H138" t="str">
        <f t="shared" si="19"/>
        <v/>
      </c>
    </row>
    <row r="139" spans="1:8" x14ac:dyDescent="0.25">
      <c r="A139" t="s">
        <v>136</v>
      </c>
      <c r="B139" s="3">
        <f t="shared" si="14"/>
        <v>31</v>
      </c>
      <c r="C139" s="3" t="str">
        <f t="shared" si="15"/>
        <v/>
      </c>
      <c r="D139" s="3">
        <f t="shared" si="16"/>
        <v>156</v>
      </c>
      <c r="E139" s="5" t="str">
        <f>IF(C139="",IF(D139="","",IF(D139&lt;128,"Wahl "&amp;D139,INDEX(KdoCodeTab,MATCH(D139,KdoWertTab,0)))),"Status "&amp;C139)</f>
        <v>Mark</v>
      </c>
      <c r="F139" t="str">
        <f t="shared" si="17"/>
        <v>Mark</v>
      </c>
      <c r="G139" t="str">
        <f t="shared" si="18"/>
        <v/>
      </c>
      <c r="H139" t="str">
        <f t="shared" si="19"/>
        <v/>
      </c>
    </row>
    <row r="140" spans="1:8" x14ac:dyDescent="0.25">
      <c r="A140" t="s">
        <v>137</v>
      </c>
      <c r="B140" s="3">
        <f t="shared" si="14"/>
        <v>31</v>
      </c>
      <c r="C140" s="3" t="str">
        <f t="shared" si="15"/>
        <v/>
      </c>
      <c r="D140" s="3">
        <f t="shared" si="16"/>
        <v>154</v>
      </c>
      <c r="E140" s="5" t="str">
        <f>IF(C140="",IF(D140="","",IF(D140&lt;128,"Wahl "&amp;D140,INDEX(KdoCodeTab,MATCH(D140,KdoWertTab,0)))),"Status "&amp;C140)</f>
        <v>MarkWdh</v>
      </c>
      <c r="F140" t="str">
        <f t="shared" si="17"/>
        <v>MarkWdh</v>
      </c>
      <c r="G140" t="str">
        <f t="shared" si="18"/>
        <v/>
      </c>
      <c r="H140" t="str">
        <f t="shared" si="19"/>
        <v/>
      </c>
    </row>
    <row r="141" spans="1:8" x14ac:dyDescent="0.25">
      <c r="A141" t="s">
        <v>138</v>
      </c>
      <c r="B141" s="3">
        <f t="shared" si="14"/>
        <v>31</v>
      </c>
      <c r="C141" s="3" t="str">
        <f t="shared" si="15"/>
        <v/>
      </c>
      <c r="D141" s="3">
        <f t="shared" si="16"/>
        <v>147</v>
      </c>
      <c r="E141" s="5" t="str">
        <f>IF(C141="",IF(D141="","",IF(D141&lt;128,"Wahl "&amp;D141,INDEX(KdoCodeTab,MATCH(D141,KdoWertTab,0)))),"Status "&amp;C141)</f>
        <v>Space</v>
      </c>
      <c r="F141" t="str">
        <f t="shared" si="17"/>
        <v>Space</v>
      </c>
      <c r="G141" t="str">
        <f t="shared" si="18"/>
        <v/>
      </c>
      <c r="H141" t="str">
        <f t="shared" si="19"/>
        <v/>
      </c>
    </row>
    <row r="142" spans="1:8" x14ac:dyDescent="0.25">
      <c r="A142" t="s">
        <v>139</v>
      </c>
      <c r="B142" s="3">
        <f t="shared" si="14"/>
        <v>31</v>
      </c>
      <c r="C142" s="3" t="str">
        <f t="shared" si="15"/>
        <v/>
      </c>
      <c r="D142" s="3">
        <f t="shared" si="16"/>
        <v>150</v>
      </c>
      <c r="E142" s="5" t="str">
        <f>IF(C142="",IF(D142="","",IF(D142&lt;128,"Wahl "&amp;D142,INDEX(KdoCodeTab,MATCH(D142,KdoWertTab,0)))),"Status "&amp;C142)</f>
        <v>SpaceWdh</v>
      </c>
      <c r="F142" t="str">
        <f t="shared" si="17"/>
        <v>SpaceWdh</v>
      </c>
      <c r="G142" t="str">
        <f t="shared" si="18"/>
        <v/>
      </c>
      <c r="H142" t="str">
        <f t="shared" si="19"/>
        <v/>
      </c>
    </row>
    <row r="143" spans="1:8" x14ac:dyDescent="0.25">
      <c r="A143" t="s">
        <v>140</v>
      </c>
      <c r="B143" s="3">
        <f t="shared" si="14"/>
        <v>31</v>
      </c>
      <c r="C143" s="3" t="str">
        <f t="shared" si="15"/>
        <v/>
      </c>
      <c r="D143" s="3">
        <f t="shared" si="16"/>
        <v>156</v>
      </c>
      <c r="E143" s="5" t="str">
        <f>IF(C143="",IF(D143="","",IF(D143&lt;128,"Wahl "&amp;D143,INDEX(KdoCodeTab,MATCH(D143,KdoWertTab,0)))),"Status "&amp;C143)</f>
        <v>Mark</v>
      </c>
      <c r="F143" t="str">
        <f t="shared" si="17"/>
        <v>Mark</v>
      </c>
      <c r="G143" t="str">
        <f t="shared" si="18"/>
        <v/>
      </c>
      <c r="H143" t="str">
        <f t="shared" si="19"/>
        <v/>
      </c>
    </row>
    <row r="144" spans="1:8" x14ac:dyDescent="0.25">
      <c r="A144" t="s">
        <v>141</v>
      </c>
      <c r="B144" s="3">
        <f t="shared" si="14"/>
        <v>31</v>
      </c>
      <c r="C144" s="3" t="str">
        <f t="shared" si="15"/>
        <v/>
      </c>
      <c r="D144" s="3">
        <f t="shared" si="16"/>
        <v>154</v>
      </c>
      <c r="E144" s="5" t="str">
        <f>IF(C144="",IF(D144="","",IF(D144&lt;128,"Wahl "&amp;D144,INDEX(KdoCodeTab,MATCH(D144,KdoWertTab,0)))),"Status "&amp;C144)</f>
        <v>MarkWdh</v>
      </c>
      <c r="F144" t="str">
        <f t="shared" si="17"/>
        <v>MarkWdh</v>
      </c>
      <c r="G144" t="str">
        <f t="shared" si="18"/>
        <v/>
      </c>
      <c r="H144" t="str">
        <f t="shared" si="19"/>
        <v/>
      </c>
    </row>
    <row r="145" spans="1:8" x14ac:dyDescent="0.25">
      <c r="A145" t="s">
        <v>142</v>
      </c>
      <c r="B145" s="3">
        <f t="shared" si="14"/>
        <v>31</v>
      </c>
      <c r="C145" s="3" t="str">
        <f t="shared" si="15"/>
        <v/>
      </c>
      <c r="D145" s="3">
        <f t="shared" si="16"/>
        <v>147</v>
      </c>
      <c r="E145" s="5" t="str">
        <f>IF(C145="",IF(D145="","",IF(D145&lt;128,"Wahl "&amp;D145,INDEX(KdoCodeTab,MATCH(D145,KdoWertTab,0)))),"Status "&amp;C145)</f>
        <v>Space</v>
      </c>
      <c r="F145" t="str">
        <f t="shared" si="17"/>
        <v>Space</v>
      </c>
      <c r="G145" t="str">
        <f t="shared" si="18"/>
        <v/>
      </c>
      <c r="H145" t="str">
        <f t="shared" si="19"/>
        <v/>
      </c>
    </row>
    <row r="146" spans="1:8" x14ac:dyDescent="0.25">
      <c r="A146" t="s">
        <v>143</v>
      </c>
      <c r="B146" s="3">
        <f t="shared" si="14"/>
        <v>31</v>
      </c>
      <c r="C146" s="3" t="str">
        <f t="shared" si="15"/>
        <v/>
      </c>
      <c r="D146" s="3">
        <f t="shared" si="16"/>
        <v>150</v>
      </c>
      <c r="E146" s="5" t="str">
        <f>IF(C146="",IF(D146="","",IF(D146&lt;128,"Wahl "&amp;D146,INDEX(KdoCodeTab,MATCH(D146,KdoWertTab,0)))),"Status "&amp;C146)</f>
        <v>SpaceWdh</v>
      </c>
      <c r="F146" t="str">
        <f t="shared" si="17"/>
        <v>SpaceWdh</v>
      </c>
      <c r="G146" t="str">
        <f t="shared" si="18"/>
        <v/>
      </c>
      <c r="H146" t="str">
        <f t="shared" si="19"/>
        <v/>
      </c>
    </row>
    <row r="147" spans="1:8" x14ac:dyDescent="0.25">
      <c r="A147" t="s">
        <v>144</v>
      </c>
      <c r="B147" s="3">
        <f t="shared" si="14"/>
        <v>31</v>
      </c>
      <c r="C147" s="3" t="str">
        <f t="shared" si="15"/>
        <v/>
      </c>
      <c r="D147" s="3">
        <f t="shared" si="16"/>
        <v>156</v>
      </c>
      <c r="E147" s="5" t="str">
        <f>IF(C147="",IF(D147="","",IF(D147&lt;128,"Wahl "&amp;D147,INDEX(KdoCodeTab,MATCH(D147,KdoWertTab,0)))),"Status "&amp;C147)</f>
        <v>Mark</v>
      </c>
      <c r="F147" t="str">
        <f t="shared" si="17"/>
        <v>Mark</v>
      </c>
      <c r="G147" t="str">
        <f t="shared" si="18"/>
        <v/>
      </c>
      <c r="H147" t="str">
        <f t="shared" si="19"/>
        <v/>
      </c>
    </row>
    <row r="148" spans="1:8" x14ac:dyDescent="0.25">
      <c r="A148" t="s">
        <v>145</v>
      </c>
      <c r="B148" s="3">
        <f t="shared" si="14"/>
        <v>31</v>
      </c>
      <c r="C148" s="3" t="str">
        <f t="shared" si="15"/>
        <v/>
      </c>
      <c r="D148" s="3">
        <f t="shared" si="16"/>
        <v>154</v>
      </c>
      <c r="E148" s="5" t="str">
        <f>IF(C148="",IF(D148="","",IF(D148&lt;128,"Wahl "&amp;D148,INDEX(KdoCodeTab,MATCH(D148,KdoWertTab,0)))),"Status "&amp;C148)</f>
        <v>MarkWdh</v>
      </c>
      <c r="F148" t="str">
        <f t="shared" si="17"/>
        <v>MarkWdh</v>
      </c>
      <c r="G148" t="str">
        <f t="shared" si="18"/>
        <v/>
      </c>
      <c r="H148" t="str">
        <f t="shared" si="19"/>
        <v/>
      </c>
    </row>
    <row r="149" spans="1:8" x14ac:dyDescent="0.25">
      <c r="A149" t="s">
        <v>146</v>
      </c>
      <c r="B149" s="3">
        <f t="shared" si="14"/>
        <v>31</v>
      </c>
      <c r="C149" s="3" t="str">
        <f t="shared" si="15"/>
        <v/>
      </c>
      <c r="D149" s="3">
        <f t="shared" si="16"/>
        <v>147</v>
      </c>
      <c r="E149" s="5" t="str">
        <f>IF(C149="",IF(D149="","",IF(D149&lt;128,"Wahl "&amp;D149,INDEX(KdoCodeTab,MATCH(D149,KdoWertTab,0)))),"Status "&amp;C149)</f>
        <v>Space</v>
      </c>
      <c r="F149" t="str">
        <f t="shared" si="17"/>
        <v>Space</v>
      </c>
      <c r="G149" t="str">
        <f t="shared" si="18"/>
        <v/>
      </c>
      <c r="H149" t="str">
        <f t="shared" si="19"/>
        <v/>
      </c>
    </row>
    <row r="150" spans="1:8" x14ac:dyDescent="0.25">
      <c r="A150" t="s">
        <v>147</v>
      </c>
      <c r="B150" s="3">
        <f t="shared" si="14"/>
        <v>31</v>
      </c>
      <c r="C150" s="3" t="str">
        <f t="shared" si="15"/>
        <v/>
      </c>
      <c r="D150" s="3">
        <f t="shared" si="16"/>
        <v>150</v>
      </c>
      <c r="E150" s="5" t="str">
        <f>IF(C150="",IF(D150="","",IF(D150&lt;128,"Wahl "&amp;D150,INDEX(KdoCodeTab,MATCH(D150,KdoWertTab,0)))),"Status "&amp;C150)</f>
        <v>SpaceWdh</v>
      </c>
      <c r="F150" t="str">
        <f t="shared" si="17"/>
        <v>SpaceWdh</v>
      </c>
      <c r="G150" t="str">
        <f t="shared" si="18"/>
        <v/>
      </c>
      <c r="H150" t="str">
        <f t="shared" si="19"/>
        <v/>
      </c>
    </row>
    <row r="151" spans="1:8" x14ac:dyDescent="0.25">
      <c r="A151" t="s">
        <v>148</v>
      </c>
      <c r="B151" s="3">
        <f t="shared" si="14"/>
        <v>19</v>
      </c>
      <c r="C151" s="3" t="str">
        <f t="shared" si="15"/>
        <v/>
      </c>
      <c r="D151" s="3" t="str">
        <f t="shared" si="16"/>
        <v/>
      </c>
      <c r="E151" s="5" t="str">
        <f>IF(C151="",IF(D151="","",IF(D151&lt;128,"Wahl "&amp;D151,INDEX(KdoCodeTab,MATCH(D151,KdoWertTab,0)))),"Status "&amp;C151)</f>
        <v/>
      </c>
      <c r="F151" t="str">
        <f t="shared" si="17"/>
        <v/>
      </c>
      <c r="G151" t="str">
        <f t="shared" si="18"/>
        <v/>
      </c>
      <c r="H151" t="str">
        <f t="shared" si="19"/>
        <v/>
      </c>
    </row>
    <row r="152" spans="1:8" x14ac:dyDescent="0.25">
      <c r="A152" t="s">
        <v>149</v>
      </c>
      <c r="B152" s="3">
        <f t="shared" si="14"/>
        <v>31</v>
      </c>
      <c r="C152" s="3" t="str">
        <f t="shared" si="15"/>
        <v/>
      </c>
      <c r="D152" s="3">
        <f t="shared" si="16"/>
        <v>154</v>
      </c>
      <c r="E152" s="5" t="str">
        <f>IF(C152="",IF(D152="","",IF(D152&lt;128,"Wahl "&amp;D152,INDEX(KdoCodeTab,MATCH(D152,KdoWertTab,0)))),"Status "&amp;C152)</f>
        <v>MarkWdh</v>
      </c>
      <c r="F152" t="str">
        <f t="shared" si="17"/>
        <v>MarkWdh</v>
      </c>
      <c r="G152" t="str">
        <f t="shared" si="18"/>
        <v/>
      </c>
      <c r="H152" t="str">
        <f t="shared" si="19"/>
        <v/>
      </c>
    </row>
    <row r="153" spans="1:8" x14ac:dyDescent="0.25">
      <c r="A153" t="s">
        <v>150</v>
      </c>
      <c r="B153" s="3">
        <f t="shared" si="14"/>
        <v>33</v>
      </c>
      <c r="C153" s="3" t="str">
        <f t="shared" si="15"/>
        <v/>
      </c>
      <c r="D153" s="3">
        <f t="shared" si="16"/>
        <v>169</v>
      </c>
      <c r="E153" s="5" t="str">
        <f>IF(C153="",IF(D153="","",IF(D153&lt;128,"Wahl "&amp;D153,INDEX(KdoCodeTab,MATCH(D153,KdoWertTab,0)))),"Status "&amp;C153)</f>
        <v>BusLebenszeichen</v>
      </c>
      <c r="F153" t="str">
        <f t="shared" si="17"/>
        <v/>
      </c>
      <c r="G153" t="str">
        <f t="shared" si="18"/>
        <v>BusLebenszeichen</v>
      </c>
      <c r="H153" t="str">
        <f t="shared" si="19"/>
        <v/>
      </c>
    </row>
    <row r="154" spans="1:8" x14ac:dyDescent="0.25">
      <c r="A154" t="s">
        <v>151</v>
      </c>
      <c r="B154" s="3">
        <f t="shared" si="14"/>
        <v>31</v>
      </c>
      <c r="C154" s="3" t="str">
        <f t="shared" si="15"/>
        <v/>
      </c>
      <c r="D154" s="3">
        <f t="shared" si="16"/>
        <v>169</v>
      </c>
      <c r="E154" s="5" t="str">
        <f>IF(C154="",IF(D154="","",IF(D154&lt;128,"Wahl "&amp;D154,INDEX(KdoCodeTab,MATCH(D154,KdoWertTab,0)))),"Status "&amp;C154)</f>
        <v>BusLebenszeichen</v>
      </c>
      <c r="F154" t="str">
        <f t="shared" si="17"/>
        <v>BusLebenszeichen</v>
      </c>
      <c r="G154" t="str">
        <f t="shared" si="18"/>
        <v/>
      </c>
      <c r="H154" t="str">
        <f t="shared" si="19"/>
        <v/>
      </c>
    </row>
    <row r="155" spans="1:8" x14ac:dyDescent="0.25">
      <c r="A155" t="s">
        <v>152</v>
      </c>
      <c r="B155" s="3">
        <f t="shared" si="14"/>
        <v>33</v>
      </c>
      <c r="C155" s="3" t="str">
        <f t="shared" si="15"/>
        <v/>
      </c>
      <c r="D155" s="3">
        <f t="shared" si="16"/>
        <v>169</v>
      </c>
      <c r="E155" s="5" t="str">
        <f>IF(C155="",IF(D155="","",IF(D155&lt;128,"Wahl "&amp;D155,INDEX(KdoCodeTab,MATCH(D155,KdoWertTab,0)))),"Status "&amp;C155)</f>
        <v>BusLebenszeichen</v>
      </c>
      <c r="F155" t="str">
        <f t="shared" si="17"/>
        <v/>
      </c>
      <c r="G155" t="str">
        <f t="shared" si="18"/>
        <v>BusLebenszeichen</v>
      </c>
      <c r="H155" t="str">
        <f t="shared" si="19"/>
        <v/>
      </c>
    </row>
    <row r="156" spans="1:8" x14ac:dyDescent="0.25">
      <c r="A156" t="s">
        <v>153</v>
      </c>
      <c r="B156" s="3">
        <f t="shared" si="14"/>
        <v>31</v>
      </c>
      <c r="C156" s="3" t="str">
        <f t="shared" si="15"/>
        <v/>
      </c>
      <c r="D156" s="3">
        <f t="shared" si="16"/>
        <v>169</v>
      </c>
      <c r="E156" s="5" t="str">
        <f>IF(C156="",IF(D156="","",IF(D156&lt;128,"Wahl "&amp;D156,INDEX(KdoCodeTab,MATCH(D156,KdoWertTab,0)))),"Status "&amp;C156)</f>
        <v>BusLebenszeichen</v>
      </c>
      <c r="F156" t="str">
        <f t="shared" si="17"/>
        <v>BusLebenszeichen</v>
      </c>
      <c r="G156" t="str">
        <f t="shared" si="18"/>
        <v/>
      </c>
      <c r="H156" t="str">
        <f t="shared" si="19"/>
        <v/>
      </c>
    </row>
    <row r="157" spans="1:8" x14ac:dyDescent="0.25">
      <c r="A157" t="s">
        <v>154</v>
      </c>
      <c r="B157" s="3">
        <f t="shared" si="14"/>
        <v>33</v>
      </c>
      <c r="C157" s="3" t="str">
        <f t="shared" si="15"/>
        <v/>
      </c>
      <c r="D157" s="3">
        <f t="shared" si="16"/>
        <v>169</v>
      </c>
      <c r="E157" s="5" t="str">
        <f>IF(C157="",IF(D157="","",IF(D157&lt;128,"Wahl "&amp;D157,INDEX(KdoCodeTab,MATCH(D157,KdoWertTab,0)))),"Status "&amp;C157)</f>
        <v>BusLebenszeichen</v>
      </c>
      <c r="F157" t="str">
        <f t="shared" si="17"/>
        <v/>
      </c>
      <c r="G157" t="str">
        <f t="shared" si="18"/>
        <v>BusLebenszeichen</v>
      </c>
      <c r="H157" t="str">
        <f t="shared" si="19"/>
        <v/>
      </c>
    </row>
    <row r="158" spans="1:8" x14ac:dyDescent="0.25">
      <c r="A158" t="s">
        <v>155</v>
      </c>
      <c r="B158" s="3">
        <f t="shared" si="14"/>
        <v>31</v>
      </c>
      <c r="C158" s="3" t="str">
        <f t="shared" si="15"/>
        <v/>
      </c>
      <c r="D158" s="3">
        <f t="shared" si="16"/>
        <v>169</v>
      </c>
      <c r="E158" s="5" t="str">
        <f>IF(C158="",IF(D158="","",IF(D158&lt;128,"Wahl "&amp;D158,INDEX(KdoCodeTab,MATCH(D158,KdoWertTab,0)))),"Status "&amp;C158)</f>
        <v>BusLebenszeichen</v>
      </c>
      <c r="F158" t="str">
        <f t="shared" si="17"/>
        <v>BusLebenszeichen</v>
      </c>
      <c r="G158" t="str">
        <f t="shared" si="18"/>
        <v/>
      </c>
      <c r="H158" t="str">
        <f t="shared" si="19"/>
        <v/>
      </c>
    </row>
    <row r="159" spans="1:8" x14ac:dyDescent="0.25">
      <c r="A159" t="s">
        <v>156</v>
      </c>
      <c r="B159" s="3">
        <f t="shared" si="14"/>
        <v>33</v>
      </c>
      <c r="C159" s="3" t="str">
        <f t="shared" si="15"/>
        <v/>
      </c>
      <c r="D159" s="3">
        <f t="shared" si="16"/>
        <v>169</v>
      </c>
      <c r="E159" s="5" t="str">
        <f>IF(C159="",IF(D159="","",IF(D159&lt;128,"Wahl "&amp;D159,INDEX(KdoCodeTab,MATCH(D159,KdoWertTab,0)))),"Status "&amp;C159)</f>
        <v>BusLebenszeichen</v>
      </c>
      <c r="F159" t="str">
        <f t="shared" si="17"/>
        <v/>
      </c>
      <c r="G159" t="str">
        <f t="shared" si="18"/>
        <v>BusLebenszeichen</v>
      </c>
      <c r="H159" t="str">
        <f t="shared" si="19"/>
        <v/>
      </c>
    </row>
    <row r="160" spans="1:8" x14ac:dyDescent="0.25">
      <c r="A160" t="s">
        <v>157</v>
      </c>
      <c r="B160" s="3">
        <f t="shared" si="14"/>
        <v>31</v>
      </c>
      <c r="C160" s="3" t="str">
        <f t="shared" si="15"/>
        <v/>
      </c>
      <c r="D160" s="3">
        <f t="shared" si="16"/>
        <v>169</v>
      </c>
      <c r="E160" s="5" t="str">
        <f>IF(C160="",IF(D160="","",IF(D160&lt;128,"Wahl "&amp;D160,INDEX(KdoCodeTab,MATCH(D160,KdoWertTab,0)))),"Status "&amp;C160)</f>
        <v>BusLebenszeichen</v>
      </c>
      <c r="F160" t="str">
        <f t="shared" si="17"/>
        <v>BusLebenszeichen</v>
      </c>
      <c r="G160" t="str">
        <f t="shared" si="18"/>
        <v/>
      </c>
      <c r="H160" t="str">
        <f t="shared" si="19"/>
        <v/>
      </c>
    </row>
    <row r="161" spans="1:8" x14ac:dyDescent="0.25">
      <c r="A161" t="s">
        <v>158</v>
      </c>
      <c r="B161" s="3">
        <f t="shared" si="14"/>
        <v>31</v>
      </c>
      <c r="C161" s="3" t="str">
        <f t="shared" si="15"/>
        <v/>
      </c>
      <c r="D161" s="3">
        <f t="shared" si="16"/>
        <v>147</v>
      </c>
      <c r="E161" s="5" t="str">
        <f>IF(C161="",IF(D161="","",IF(D161&lt;128,"Wahl "&amp;D161,INDEX(KdoCodeTab,MATCH(D161,KdoWertTab,0)))),"Status "&amp;C161)</f>
        <v>Space</v>
      </c>
      <c r="F161" t="str">
        <f t="shared" si="17"/>
        <v>Space</v>
      </c>
      <c r="G161" t="str">
        <f t="shared" si="18"/>
        <v/>
      </c>
      <c r="H161" t="str">
        <f t="shared" si="19"/>
        <v/>
      </c>
    </row>
    <row r="162" spans="1:8" x14ac:dyDescent="0.25">
      <c r="A162" t="s">
        <v>159</v>
      </c>
      <c r="B162" s="3">
        <f t="shared" si="14"/>
        <v>31</v>
      </c>
      <c r="C162" s="3" t="str">
        <f t="shared" si="15"/>
        <v/>
      </c>
      <c r="D162" s="3">
        <f t="shared" si="16"/>
        <v>150</v>
      </c>
      <c r="E162" s="5" t="str">
        <f>IF(C162="",IF(D162="","",IF(D162&lt;128,"Wahl "&amp;D162,INDEX(KdoCodeTab,MATCH(D162,KdoWertTab,0)))),"Status "&amp;C162)</f>
        <v>SpaceWdh</v>
      </c>
      <c r="F162" t="str">
        <f t="shared" si="17"/>
        <v>SpaceWdh</v>
      </c>
      <c r="G162" t="str">
        <f t="shared" si="18"/>
        <v/>
      </c>
      <c r="H162" t="str">
        <f t="shared" si="19"/>
        <v/>
      </c>
    </row>
    <row r="163" spans="1:8" x14ac:dyDescent="0.25">
      <c r="A163" t="s">
        <v>160</v>
      </c>
      <c r="B163" s="3">
        <f t="shared" si="14"/>
        <v>31</v>
      </c>
      <c r="C163" s="3" t="str">
        <f t="shared" si="15"/>
        <v/>
      </c>
      <c r="D163" s="3">
        <f t="shared" si="16"/>
        <v>156</v>
      </c>
      <c r="E163" s="5" t="str">
        <f>IF(C163="",IF(D163="","",IF(D163&lt;128,"Wahl "&amp;D163,INDEX(KdoCodeTab,MATCH(D163,KdoWertTab,0)))),"Status "&amp;C163)</f>
        <v>Mark</v>
      </c>
      <c r="F163" t="str">
        <f t="shared" si="17"/>
        <v>Mark</v>
      </c>
      <c r="G163" t="str">
        <f t="shared" si="18"/>
        <v/>
      </c>
      <c r="H163" t="str">
        <f t="shared" si="19"/>
        <v/>
      </c>
    </row>
    <row r="164" spans="1:8" x14ac:dyDescent="0.25">
      <c r="A164" t="s">
        <v>161</v>
      </c>
      <c r="B164" s="3">
        <f t="shared" si="14"/>
        <v>31</v>
      </c>
      <c r="C164" s="3" t="str">
        <f t="shared" si="15"/>
        <v/>
      </c>
      <c r="D164" s="3">
        <f t="shared" si="16"/>
        <v>154</v>
      </c>
      <c r="E164" s="5" t="str">
        <f>IF(C164="",IF(D164="","",IF(D164&lt;128,"Wahl "&amp;D164,INDEX(KdoCodeTab,MATCH(D164,KdoWertTab,0)))),"Status "&amp;C164)</f>
        <v>MarkWdh</v>
      </c>
      <c r="F164" t="str">
        <f t="shared" si="17"/>
        <v>MarkWdh</v>
      </c>
      <c r="G164" t="str">
        <f t="shared" si="18"/>
        <v/>
      </c>
      <c r="H164" t="str">
        <f t="shared" si="19"/>
        <v/>
      </c>
    </row>
    <row r="165" spans="1:8" x14ac:dyDescent="0.25">
      <c r="A165" t="s">
        <v>162</v>
      </c>
      <c r="B165" s="3">
        <f t="shared" si="14"/>
        <v>31</v>
      </c>
      <c r="C165" s="3" t="str">
        <f t="shared" si="15"/>
        <v/>
      </c>
      <c r="D165" s="3">
        <f t="shared" si="16"/>
        <v>147</v>
      </c>
      <c r="E165" s="5" t="str">
        <f>IF(C165="",IF(D165="","",IF(D165&lt;128,"Wahl "&amp;D165,INDEX(KdoCodeTab,MATCH(D165,KdoWertTab,0)))),"Status "&amp;C165)</f>
        <v>Space</v>
      </c>
      <c r="F165" t="str">
        <f t="shared" si="17"/>
        <v>Space</v>
      </c>
      <c r="G165" t="str">
        <f t="shared" si="18"/>
        <v/>
      </c>
      <c r="H165" t="str">
        <f t="shared" si="19"/>
        <v/>
      </c>
    </row>
    <row r="166" spans="1:8" x14ac:dyDescent="0.25">
      <c r="A166" t="s">
        <v>163</v>
      </c>
      <c r="B166" s="3">
        <f t="shared" si="14"/>
        <v>31</v>
      </c>
      <c r="C166" s="3" t="str">
        <f t="shared" si="15"/>
        <v/>
      </c>
      <c r="D166" s="3">
        <f t="shared" si="16"/>
        <v>150</v>
      </c>
      <c r="E166" s="5" t="str">
        <f>IF(C166="",IF(D166="","",IF(D166&lt;128,"Wahl "&amp;D166,INDEX(KdoCodeTab,MATCH(D166,KdoWertTab,0)))),"Status "&amp;C166)</f>
        <v>SpaceWdh</v>
      </c>
      <c r="F166" t="str">
        <f t="shared" si="17"/>
        <v>SpaceWdh</v>
      </c>
      <c r="G166" t="str">
        <f t="shared" si="18"/>
        <v/>
      </c>
      <c r="H166" t="str">
        <f t="shared" si="19"/>
        <v/>
      </c>
    </row>
    <row r="167" spans="1:8" x14ac:dyDescent="0.25">
      <c r="A167" t="s">
        <v>164</v>
      </c>
      <c r="B167" s="3">
        <f t="shared" si="14"/>
        <v>31</v>
      </c>
      <c r="C167" s="3" t="str">
        <f t="shared" si="15"/>
        <v/>
      </c>
      <c r="D167" s="3">
        <f t="shared" si="16"/>
        <v>156</v>
      </c>
      <c r="E167" s="5" t="str">
        <f>IF(C167="",IF(D167="","",IF(D167&lt;128,"Wahl "&amp;D167,INDEX(KdoCodeTab,MATCH(D167,KdoWertTab,0)))),"Status "&amp;C167)</f>
        <v>Mark</v>
      </c>
      <c r="F167" t="str">
        <f t="shared" si="17"/>
        <v>Mark</v>
      </c>
      <c r="G167" t="str">
        <f t="shared" si="18"/>
        <v/>
      </c>
      <c r="H167" t="str">
        <f t="shared" si="19"/>
        <v/>
      </c>
    </row>
    <row r="168" spans="1:8" x14ac:dyDescent="0.25">
      <c r="A168" t="s">
        <v>165</v>
      </c>
      <c r="B168" s="3">
        <f t="shared" si="14"/>
        <v>31</v>
      </c>
      <c r="C168" s="3" t="str">
        <f t="shared" si="15"/>
        <v/>
      </c>
      <c r="D168" s="3">
        <f t="shared" si="16"/>
        <v>154</v>
      </c>
      <c r="E168" s="5" t="str">
        <f>IF(C168="",IF(D168="","",IF(D168&lt;128,"Wahl "&amp;D168,INDEX(KdoCodeTab,MATCH(D168,KdoWertTab,0)))),"Status "&amp;C168)</f>
        <v>MarkWdh</v>
      </c>
      <c r="F168" t="str">
        <f t="shared" si="17"/>
        <v>MarkWdh</v>
      </c>
      <c r="G168" t="str">
        <f t="shared" si="18"/>
        <v/>
      </c>
      <c r="H168" t="str">
        <f t="shared" si="19"/>
        <v/>
      </c>
    </row>
    <row r="169" spans="1:8" x14ac:dyDescent="0.25">
      <c r="A169" t="s">
        <v>166</v>
      </c>
      <c r="B169" s="3">
        <f t="shared" si="14"/>
        <v>31</v>
      </c>
      <c r="C169" s="3" t="str">
        <f t="shared" si="15"/>
        <v/>
      </c>
      <c r="D169" s="3">
        <f t="shared" si="16"/>
        <v>147</v>
      </c>
      <c r="E169" s="5" t="str">
        <f>IF(C169="",IF(D169="","",IF(D169&lt;128,"Wahl "&amp;D169,INDEX(KdoCodeTab,MATCH(D169,KdoWertTab,0)))),"Status "&amp;C169)</f>
        <v>Space</v>
      </c>
      <c r="F169" t="str">
        <f t="shared" si="17"/>
        <v>Space</v>
      </c>
      <c r="G169" t="str">
        <f t="shared" si="18"/>
        <v/>
      </c>
      <c r="H169" t="str">
        <f t="shared" si="19"/>
        <v/>
      </c>
    </row>
    <row r="170" spans="1:8" x14ac:dyDescent="0.25">
      <c r="A170" t="s">
        <v>167</v>
      </c>
      <c r="B170" s="3">
        <f t="shared" si="14"/>
        <v>31</v>
      </c>
      <c r="C170" s="3" t="str">
        <f t="shared" si="15"/>
        <v/>
      </c>
      <c r="D170" s="3">
        <f t="shared" si="16"/>
        <v>150</v>
      </c>
      <c r="E170" s="5" t="str">
        <f>IF(C170="",IF(D170="","",IF(D170&lt;128,"Wahl "&amp;D170,INDEX(KdoCodeTab,MATCH(D170,KdoWertTab,0)))),"Status "&amp;C170)</f>
        <v>SpaceWdh</v>
      </c>
      <c r="F170" t="str">
        <f t="shared" si="17"/>
        <v>SpaceWdh</v>
      </c>
      <c r="G170" t="str">
        <f t="shared" si="18"/>
        <v/>
      </c>
      <c r="H170" t="str">
        <f t="shared" si="19"/>
        <v/>
      </c>
    </row>
    <row r="171" spans="1:8" x14ac:dyDescent="0.25">
      <c r="A171" t="s">
        <v>168</v>
      </c>
      <c r="B171" s="3">
        <f t="shared" si="14"/>
        <v>31</v>
      </c>
      <c r="C171" s="3" t="str">
        <f t="shared" si="15"/>
        <v/>
      </c>
      <c r="D171" s="3">
        <f t="shared" si="16"/>
        <v>156</v>
      </c>
      <c r="E171" s="5" t="str">
        <f>IF(C171="",IF(D171="","",IF(D171&lt;128,"Wahl "&amp;D171,INDEX(KdoCodeTab,MATCH(D171,KdoWertTab,0)))),"Status "&amp;C171)</f>
        <v>Mark</v>
      </c>
      <c r="F171" t="str">
        <f t="shared" si="17"/>
        <v>Mark</v>
      </c>
      <c r="G171" t="str">
        <f t="shared" si="18"/>
        <v/>
      </c>
      <c r="H171" t="str">
        <f t="shared" si="19"/>
        <v/>
      </c>
    </row>
    <row r="172" spans="1:8" x14ac:dyDescent="0.25">
      <c r="A172" t="s">
        <v>169</v>
      </c>
      <c r="B172" s="3">
        <f t="shared" si="14"/>
        <v>31</v>
      </c>
      <c r="C172" s="3" t="str">
        <f t="shared" si="15"/>
        <v/>
      </c>
      <c r="D172" s="3">
        <f t="shared" si="16"/>
        <v>154</v>
      </c>
      <c r="E172" s="5" t="str">
        <f>IF(C172="",IF(D172="","",IF(D172&lt;128,"Wahl "&amp;D172,INDEX(KdoCodeTab,MATCH(D172,KdoWertTab,0)))),"Status "&amp;C172)</f>
        <v>MarkWdh</v>
      </c>
      <c r="F172" t="str">
        <f t="shared" si="17"/>
        <v>MarkWdh</v>
      </c>
      <c r="G172" t="str">
        <f t="shared" si="18"/>
        <v/>
      </c>
      <c r="H172" t="str">
        <f t="shared" si="19"/>
        <v/>
      </c>
    </row>
    <row r="173" spans="1:8" x14ac:dyDescent="0.25">
      <c r="A173" t="s">
        <v>170</v>
      </c>
      <c r="B173" s="3">
        <f t="shared" si="14"/>
        <v>31</v>
      </c>
      <c r="C173" s="3" t="str">
        <f t="shared" si="15"/>
        <v/>
      </c>
      <c r="D173" s="3">
        <f t="shared" si="16"/>
        <v>147</v>
      </c>
      <c r="E173" s="5" t="str">
        <f>IF(C173="",IF(D173="","",IF(D173&lt;128,"Wahl "&amp;D173,INDEX(KdoCodeTab,MATCH(D173,KdoWertTab,0)))),"Status "&amp;C173)</f>
        <v>Space</v>
      </c>
      <c r="F173" t="str">
        <f t="shared" si="17"/>
        <v>Space</v>
      </c>
      <c r="G173" t="str">
        <f t="shared" si="18"/>
        <v/>
      </c>
      <c r="H173" t="str">
        <f t="shared" si="19"/>
        <v/>
      </c>
    </row>
    <row r="174" spans="1:8" x14ac:dyDescent="0.25">
      <c r="A174" t="s">
        <v>171</v>
      </c>
      <c r="B174" s="3">
        <f t="shared" si="14"/>
        <v>31</v>
      </c>
      <c r="C174" s="3" t="str">
        <f t="shared" si="15"/>
        <v/>
      </c>
      <c r="D174" s="3">
        <f t="shared" si="16"/>
        <v>150</v>
      </c>
      <c r="E174" s="5" t="str">
        <f>IF(C174="",IF(D174="","",IF(D174&lt;128,"Wahl "&amp;D174,INDEX(KdoCodeTab,MATCH(D174,KdoWertTab,0)))),"Status "&amp;C174)</f>
        <v>SpaceWdh</v>
      </c>
      <c r="F174" t="str">
        <f t="shared" si="17"/>
        <v>SpaceWdh</v>
      </c>
      <c r="G174" t="str">
        <f t="shared" si="18"/>
        <v/>
      </c>
      <c r="H174" t="str">
        <f t="shared" si="19"/>
        <v/>
      </c>
    </row>
    <row r="175" spans="1:8" x14ac:dyDescent="0.25">
      <c r="A175" t="s">
        <v>172</v>
      </c>
      <c r="B175" s="3">
        <f t="shared" si="14"/>
        <v>31</v>
      </c>
      <c r="C175" s="3" t="str">
        <f t="shared" si="15"/>
        <v/>
      </c>
      <c r="D175" s="3">
        <f t="shared" si="16"/>
        <v>156</v>
      </c>
      <c r="E175" s="5" t="str">
        <f>IF(C175="",IF(D175="","",IF(D175&lt;128,"Wahl "&amp;D175,INDEX(KdoCodeTab,MATCH(D175,KdoWertTab,0)))),"Status "&amp;C175)</f>
        <v>Mark</v>
      </c>
      <c r="F175" t="str">
        <f t="shared" si="17"/>
        <v>Mark</v>
      </c>
      <c r="G175" t="str">
        <f t="shared" si="18"/>
        <v/>
      </c>
      <c r="H175" t="str">
        <f t="shared" si="19"/>
        <v/>
      </c>
    </row>
    <row r="176" spans="1:8" x14ac:dyDescent="0.25">
      <c r="A176" t="s">
        <v>173</v>
      </c>
      <c r="B176" s="3">
        <f t="shared" si="14"/>
        <v>31</v>
      </c>
      <c r="C176" s="3" t="str">
        <f t="shared" si="15"/>
        <v/>
      </c>
      <c r="D176" s="3">
        <f t="shared" si="16"/>
        <v>154</v>
      </c>
      <c r="E176" s="5" t="str">
        <f>IF(C176="",IF(D176="","",IF(D176&lt;128,"Wahl "&amp;D176,INDEX(KdoCodeTab,MATCH(D176,KdoWertTab,0)))),"Status "&amp;C176)</f>
        <v>MarkWdh</v>
      </c>
      <c r="F176" t="str">
        <f t="shared" si="17"/>
        <v>MarkWdh</v>
      </c>
      <c r="G176" t="str">
        <f t="shared" si="18"/>
        <v/>
      </c>
      <c r="H176" t="str">
        <f t="shared" si="19"/>
        <v/>
      </c>
    </row>
    <row r="177" spans="1:8" x14ac:dyDescent="0.25">
      <c r="A177" t="s">
        <v>174</v>
      </c>
      <c r="B177" s="3">
        <f t="shared" si="14"/>
        <v>33</v>
      </c>
      <c r="C177" s="3" t="str">
        <f t="shared" si="15"/>
        <v/>
      </c>
      <c r="D177" s="3">
        <f t="shared" si="16"/>
        <v>169</v>
      </c>
      <c r="E177" s="5" t="str">
        <f>IF(C177="",IF(D177="","",IF(D177&lt;128,"Wahl "&amp;D177,INDEX(KdoCodeTab,MATCH(D177,KdoWertTab,0)))),"Status "&amp;C177)</f>
        <v>BusLebenszeichen</v>
      </c>
      <c r="F177" t="str">
        <f t="shared" si="17"/>
        <v/>
      </c>
      <c r="G177" t="str">
        <f t="shared" si="18"/>
        <v>BusLebenszeichen</v>
      </c>
      <c r="H177" t="str">
        <f t="shared" si="19"/>
        <v/>
      </c>
    </row>
    <row r="178" spans="1:8" x14ac:dyDescent="0.25">
      <c r="A178" t="s">
        <v>175</v>
      </c>
      <c r="B178" s="3">
        <f t="shared" si="14"/>
        <v>31</v>
      </c>
      <c r="C178" s="3" t="str">
        <f t="shared" si="15"/>
        <v/>
      </c>
      <c r="D178" s="3">
        <f t="shared" si="16"/>
        <v>169</v>
      </c>
      <c r="E178" s="5" t="str">
        <f>IF(C178="",IF(D178="","",IF(D178&lt;128,"Wahl "&amp;D178,INDEX(KdoCodeTab,MATCH(D178,KdoWertTab,0)))),"Status "&amp;C178)</f>
        <v>BusLebenszeichen</v>
      </c>
      <c r="F178" t="str">
        <f t="shared" si="17"/>
        <v>BusLebenszeichen</v>
      </c>
      <c r="G178" t="str">
        <f t="shared" si="18"/>
        <v/>
      </c>
      <c r="H178" t="str">
        <f t="shared" si="19"/>
        <v/>
      </c>
    </row>
    <row r="179" spans="1:8" x14ac:dyDescent="0.25">
      <c r="A179" t="s">
        <v>176</v>
      </c>
      <c r="B179" s="3">
        <f t="shared" si="14"/>
        <v>33</v>
      </c>
      <c r="C179" s="3" t="str">
        <f t="shared" si="15"/>
        <v/>
      </c>
      <c r="D179" s="3">
        <f t="shared" si="16"/>
        <v>169</v>
      </c>
      <c r="E179" s="5" t="str">
        <f>IF(C179="",IF(D179="","",IF(D179&lt;128,"Wahl "&amp;D179,INDEX(KdoCodeTab,MATCH(D179,KdoWertTab,0)))),"Status "&amp;C179)</f>
        <v>BusLebenszeichen</v>
      </c>
      <c r="F179" t="str">
        <f t="shared" si="17"/>
        <v/>
      </c>
      <c r="G179" t="str">
        <f t="shared" si="18"/>
        <v>BusLebenszeichen</v>
      </c>
      <c r="H179" t="str">
        <f t="shared" si="19"/>
        <v/>
      </c>
    </row>
    <row r="180" spans="1:8" x14ac:dyDescent="0.25">
      <c r="A180" t="s">
        <v>177</v>
      </c>
      <c r="B180" s="3">
        <f t="shared" si="14"/>
        <v>31</v>
      </c>
      <c r="C180" s="3" t="str">
        <f t="shared" si="15"/>
        <v/>
      </c>
      <c r="D180" s="3">
        <f t="shared" si="16"/>
        <v>169</v>
      </c>
      <c r="E180" s="5" t="str">
        <f>IF(C180="",IF(D180="","",IF(D180&lt;128,"Wahl "&amp;D180,INDEX(KdoCodeTab,MATCH(D180,KdoWertTab,0)))),"Status "&amp;C180)</f>
        <v>BusLebenszeichen</v>
      </c>
      <c r="F180" t="str">
        <f t="shared" si="17"/>
        <v>BusLebenszeichen</v>
      </c>
      <c r="G180" t="str">
        <f t="shared" si="18"/>
        <v/>
      </c>
      <c r="H180" t="str">
        <f t="shared" si="19"/>
        <v/>
      </c>
    </row>
    <row r="181" spans="1:8" x14ac:dyDescent="0.25">
      <c r="A181" t="s">
        <v>178</v>
      </c>
      <c r="B181" s="3">
        <f t="shared" si="14"/>
        <v>33</v>
      </c>
      <c r="C181" s="3" t="str">
        <f t="shared" si="15"/>
        <v/>
      </c>
      <c r="D181" s="3">
        <f t="shared" si="16"/>
        <v>169</v>
      </c>
      <c r="E181" s="5" t="str">
        <f>IF(C181="",IF(D181="","",IF(D181&lt;128,"Wahl "&amp;D181,INDEX(KdoCodeTab,MATCH(D181,KdoWertTab,0)))),"Status "&amp;C181)</f>
        <v>BusLebenszeichen</v>
      </c>
      <c r="F181" t="str">
        <f t="shared" si="17"/>
        <v/>
      </c>
      <c r="G181" t="str">
        <f t="shared" si="18"/>
        <v>BusLebenszeichen</v>
      </c>
      <c r="H181" t="str">
        <f t="shared" si="19"/>
        <v/>
      </c>
    </row>
    <row r="182" spans="1:8" x14ac:dyDescent="0.25">
      <c r="A182" t="s">
        <v>179</v>
      </c>
      <c r="B182" s="3">
        <f t="shared" si="14"/>
        <v>31</v>
      </c>
      <c r="C182" s="3" t="str">
        <f t="shared" si="15"/>
        <v/>
      </c>
      <c r="D182" s="3">
        <f t="shared" si="16"/>
        <v>169</v>
      </c>
      <c r="E182" s="5" t="str">
        <f>IF(C182="",IF(D182="","",IF(D182&lt;128,"Wahl "&amp;D182,INDEX(KdoCodeTab,MATCH(D182,KdoWertTab,0)))),"Status "&amp;C182)</f>
        <v>BusLebenszeichen</v>
      </c>
      <c r="F182" t="str">
        <f t="shared" si="17"/>
        <v>BusLebenszeichen</v>
      </c>
      <c r="G182" t="str">
        <f t="shared" si="18"/>
        <v/>
      </c>
      <c r="H182" t="str">
        <f t="shared" si="19"/>
        <v/>
      </c>
    </row>
    <row r="183" spans="1:8" x14ac:dyDescent="0.25">
      <c r="A183" t="s">
        <v>180</v>
      </c>
      <c r="B183" s="3">
        <f t="shared" si="14"/>
        <v>31</v>
      </c>
      <c r="C183" s="3" t="str">
        <f t="shared" si="15"/>
        <v/>
      </c>
      <c r="D183" s="3">
        <f t="shared" si="16"/>
        <v>147</v>
      </c>
      <c r="E183" s="5" t="str">
        <f>IF(C183="",IF(D183="","",IF(D183&lt;128,"Wahl "&amp;D183,INDEX(KdoCodeTab,MATCH(D183,KdoWertTab,0)))),"Status "&amp;C183)</f>
        <v>Space</v>
      </c>
      <c r="F183" t="str">
        <f t="shared" si="17"/>
        <v>Space</v>
      </c>
      <c r="G183" t="str">
        <f t="shared" si="18"/>
        <v/>
      </c>
      <c r="H183" t="str">
        <f t="shared" si="19"/>
        <v/>
      </c>
    </row>
    <row r="184" spans="1:8" x14ac:dyDescent="0.25">
      <c r="A184" t="s">
        <v>181</v>
      </c>
      <c r="B184" s="3">
        <f t="shared" si="14"/>
        <v>31</v>
      </c>
      <c r="C184" s="3" t="str">
        <f t="shared" si="15"/>
        <v/>
      </c>
      <c r="D184" s="3">
        <f t="shared" si="16"/>
        <v>150</v>
      </c>
      <c r="E184" s="5" t="str">
        <f>IF(C184="",IF(D184="","",IF(D184&lt;128,"Wahl "&amp;D184,INDEX(KdoCodeTab,MATCH(D184,KdoWertTab,0)))),"Status "&amp;C184)</f>
        <v>SpaceWdh</v>
      </c>
      <c r="F184" t="str">
        <f t="shared" si="17"/>
        <v>SpaceWdh</v>
      </c>
      <c r="G184" t="str">
        <f t="shared" si="18"/>
        <v/>
      </c>
      <c r="H184" t="str">
        <f t="shared" si="19"/>
        <v/>
      </c>
    </row>
    <row r="185" spans="1:8" x14ac:dyDescent="0.25">
      <c r="A185" t="s">
        <v>182</v>
      </c>
      <c r="B185" s="3">
        <f t="shared" si="14"/>
        <v>31</v>
      </c>
      <c r="C185" s="3" t="str">
        <f t="shared" si="15"/>
        <v/>
      </c>
      <c r="D185" s="3">
        <f t="shared" si="16"/>
        <v>156</v>
      </c>
      <c r="E185" s="5" t="str">
        <f>IF(C185="",IF(D185="","",IF(D185&lt;128,"Wahl "&amp;D185,INDEX(KdoCodeTab,MATCH(D185,KdoWertTab,0)))),"Status "&amp;C185)</f>
        <v>Mark</v>
      </c>
      <c r="F185" t="str">
        <f t="shared" si="17"/>
        <v>Mark</v>
      </c>
      <c r="G185" t="str">
        <f t="shared" si="18"/>
        <v/>
      </c>
      <c r="H185" t="str">
        <f t="shared" si="19"/>
        <v/>
      </c>
    </row>
    <row r="186" spans="1:8" x14ac:dyDescent="0.25">
      <c r="A186" t="s">
        <v>183</v>
      </c>
      <c r="B186" s="3">
        <f t="shared" si="14"/>
        <v>31</v>
      </c>
      <c r="C186" s="3" t="str">
        <f t="shared" si="15"/>
        <v/>
      </c>
      <c r="D186" s="3">
        <f t="shared" si="16"/>
        <v>154</v>
      </c>
      <c r="E186" s="5" t="str">
        <f>IF(C186="",IF(D186="","",IF(D186&lt;128,"Wahl "&amp;D186,INDEX(KdoCodeTab,MATCH(D186,KdoWertTab,0)))),"Status "&amp;C186)</f>
        <v>MarkWdh</v>
      </c>
      <c r="F186" t="str">
        <f t="shared" si="17"/>
        <v>MarkWdh</v>
      </c>
      <c r="G186" t="str">
        <f t="shared" si="18"/>
        <v/>
      </c>
      <c r="H186" t="str">
        <f t="shared" si="19"/>
        <v/>
      </c>
    </row>
    <row r="187" spans="1:8" x14ac:dyDescent="0.25">
      <c r="A187" t="s">
        <v>184</v>
      </c>
      <c r="B187" s="3">
        <f t="shared" si="14"/>
        <v>31</v>
      </c>
      <c r="C187" s="3" t="str">
        <f t="shared" si="15"/>
        <v/>
      </c>
      <c r="D187" s="3">
        <f t="shared" si="16"/>
        <v>147</v>
      </c>
      <c r="E187" s="5" t="str">
        <f>IF(C187="",IF(D187="","",IF(D187&lt;128,"Wahl "&amp;D187,INDEX(KdoCodeTab,MATCH(D187,KdoWertTab,0)))),"Status "&amp;C187)</f>
        <v>Space</v>
      </c>
      <c r="F187" t="str">
        <f t="shared" si="17"/>
        <v>Space</v>
      </c>
      <c r="G187" t="str">
        <f t="shared" si="18"/>
        <v/>
      </c>
      <c r="H187" t="str">
        <f t="shared" si="19"/>
        <v/>
      </c>
    </row>
    <row r="188" spans="1:8" x14ac:dyDescent="0.25">
      <c r="A188" t="s">
        <v>185</v>
      </c>
      <c r="B188" s="3">
        <f t="shared" si="14"/>
        <v>31</v>
      </c>
      <c r="C188" s="3" t="str">
        <f t="shared" si="15"/>
        <v/>
      </c>
      <c r="D188" s="3">
        <f t="shared" si="16"/>
        <v>150</v>
      </c>
      <c r="E188" s="5" t="str">
        <f>IF(C188="",IF(D188="","",IF(D188&lt;128,"Wahl "&amp;D188,INDEX(KdoCodeTab,MATCH(D188,KdoWertTab,0)))),"Status "&amp;C188)</f>
        <v>SpaceWdh</v>
      </c>
      <c r="F188" t="str">
        <f t="shared" si="17"/>
        <v>SpaceWdh</v>
      </c>
      <c r="G188" t="str">
        <f t="shared" si="18"/>
        <v/>
      </c>
      <c r="H188" t="str">
        <f t="shared" si="19"/>
        <v/>
      </c>
    </row>
    <row r="189" spans="1:8" x14ac:dyDescent="0.25">
      <c r="A189" t="s">
        <v>186</v>
      </c>
      <c r="B189" s="3">
        <f t="shared" si="14"/>
        <v>31</v>
      </c>
      <c r="C189" s="3" t="str">
        <f t="shared" si="15"/>
        <v/>
      </c>
      <c r="D189" s="3">
        <f t="shared" si="16"/>
        <v>156</v>
      </c>
      <c r="E189" s="5" t="str">
        <f>IF(C189="",IF(D189="","",IF(D189&lt;128,"Wahl "&amp;D189,INDEX(KdoCodeTab,MATCH(D189,KdoWertTab,0)))),"Status "&amp;C189)</f>
        <v>Mark</v>
      </c>
      <c r="F189" t="str">
        <f t="shared" si="17"/>
        <v>Mark</v>
      </c>
      <c r="G189" t="str">
        <f t="shared" si="18"/>
        <v/>
      </c>
      <c r="H189" t="str">
        <f t="shared" si="19"/>
        <v/>
      </c>
    </row>
    <row r="190" spans="1:8" x14ac:dyDescent="0.25">
      <c r="A190" t="s">
        <v>187</v>
      </c>
      <c r="B190" s="3">
        <f t="shared" si="14"/>
        <v>31</v>
      </c>
      <c r="C190" s="3" t="str">
        <f t="shared" si="15"/>
        <v/>
      </c>
      <c r="D190" s="3">
        <f t="shared" si="16"/>
        <v>154</v>
      </c>
      <c r="E190" s="5" t="str">
        <f>IF(C190="",IF(D190="","",IF(D190&lt;128,"Wahl "&amp;D190,INDEX(KdoCodeTab,MATCH(D190,KdoWertTab,0)))),"Status "&amp;C190)</f>
        <v>MarkWdh</v>
      </c>
      <c r="F190" t="str">
        <f t="shared" si="17"/>
        <v>MarkWdh</v>
      </c>
      <c r="G190" t="str">
        <f t="shared" si="18"/>
        <v/>
      </c>
      <c r="H190" t="str">
        <f t="shared" si="19"/>
        <v/>
      </c>
    </row>
    <row r="191" spans="1:8" x14ac:dyDescent="0.25">
      <c r="A191" t="s">
        <v>188</v>
      </c>
      <c r="B191" s="3">
        <f t="shared" si="14"/>
        <v>33</v>
      </c>
      <c r="C191" s="3" t="str">
        <f t="shared" si="15"/>
        <v/>
      </c>
      <c r="D191" s="3">
        <f t="shared" si="16"/>
        <v>169</v>
      </c>
      <c r="E191" s="5" t="str">
        <f>IF(C191="",IF(D191="","",IF(D191&lt;128,"Wahl "&amp;D191,INDEX(KdoCodeTab,MATCH(D191,KdoWertTab,0)))),"Status "&amp;C191)</f>
        <v>BusLebenszeichen</v>
      </c>
      <c r="F191" t="str">
        <f t="shared" si="17"/>
        <v/>
      </c>
      <c r="G191" t="str">
        <f t="shared" si="18"/>
        <v>BusLebenszeichen</v>
      </c>
      <c r="H191" t="str">
        <f t="shared" si="19"/>
        <v/>
      </c>
    </row>
    <row r="192" spans="1:8" x14ac:dyDescent="0.25">
      <c r="A192" t="s">
        <v>189</v>
      </c>
      <c r="B192" s="3">
        <f t="shared" si="14"/>
        <v>31</v>
      </c>
      <c r="C192" s="3" t="str">
        <f t="shared" si="15"/>
        <v/>
      </c>
      <c r="D192" s="3">
        <f t="shared" si="16"/>
        <v>169</v>
      </c>
      <c r="E192" s="5" t="str">
        <f>IF(C192="",IF(D192="","",IF(D192&lt;128,"Wahl "&amp;D192,INDEX(KdoCodeTab,MATCH(D192,KdoWertTab,0)))),"Status "&amp;C192)</f>
        <v>BusLebenszeichen</v>
      </c>
      <c r="F192" t="str">
        <f t="shared" si="17"/>
        <v>BusLebenszeichen</v>
      </c>
      <c r="G192" t="str">
        <f t="shared" si="18"/>
        <v/>
      </c>
      <c r="H192" t="str">
        <f t="shared" si="19"/>
        <v/>
      </c>
    </row>
    <row r="193" spans="1:8" x14ac:dyDescent="0.25">
      <c r="A193" t="s">
        <v>190</v>
      </c>
      <c r="B193" s="3">
        <f t="shared" si="14"/>
        <v>31</v>
      </c>
      <c r="C193" s="3" t="str">
        <f t="shared" si="15"/>
        <v/>
      </c>
      <c r="D193" s="3">
        <f t="shared" si="16"/>
        <v>147</v>
      </c>
      <c r="E193" s="5" t="str">
        <f>IF(C193="",IF(D193="","",IF(D193&lt;128,"Wahl "&amp;D193,INDEX(KdoCodeTab,MATCH(D193,KdoWertTab,0)))),"Status "&amp;C193)</f>
        <v>Space</v>
      </c>
      <c r="F193" t="str">
        <f t="shared" si="17"/>
        <v>Space</v>
      </c>
      <c r="G193" t="str">
        <f t="shared" si="18"/>
        <v/>
      </c>
      <c r="H193" t="str">
        <f t="shared" si="19"/>
        <v/>
      </c>
    </row>
    <row r="194" spans="1:8" x14ac:dyDescent="0.25">
      <c r="A194" t="s">
        <v>191</v>
      </c>
      <c r="B194" s="3">
        <f t="shared" si="14"/>
        <v>31</v>
      </c>
      <c r="C194" s="3" t="str">
        <f t="shared" si="15"/>
        <v/>
      </c>
      <c r="D194" s="3">
        <f t="shared" si="16"/>
        <v>150</v>
      </c>
      <c r="E194" s="5" t="str">
        <f>IF(C194="",IF(D194="","",IF(D194&lt;128,"Wahl "&amp;D194,INDEX(KdoCodeTab,MATCH(D194,KdoWertTab,0)))),"Status "&amp;C194)</f>
        <v>SpaceWdh</v>
      </c>
      <c r="F194" t="str">
        <f t="shared" si="17"/>
        <v>SpaceWdh</v>
      </c>
      <c r="G194" t="str">
        <f t="shared" si="18"/>
        <v/>
      </c>
      <c r="H194" t="str">
        <f t="shared" si="19"/>
        <v/>
      </c>
    </row>
    <row r="195" spans="1:8" x14ac:dyDescent="0.25">
      <c r="A195" t="s">
        <v>192</v>
      </c>
      <c r="B195" s="3">
        <f t="shared" si="14"/>
        <v>31</v>
      </c>
      <c r="C195" s="3" t="str">
        <f t="shared" si="15"/>
        <v/>
      </c>
      <c r="D195" s="3">
        <f t="shared" si="16"/>
        <v>156</v>
      </c>
      <c r="E195" s="5" t="str">
        <f>IF(C195="",IF(D195="","",IF(D195&lt;128,"Wahl "&amp;D195,INDEX(KdoCodeTab,MATCH(D195,KdoWertTab,0)))),"Status "&amp;C195)</f>
        <v>Mark</v>
      </c>
      <c r="F195" t="str">
        <f t="shared" si="17"/>
        <v>Mark</v>
      </c>
      <c r="G195" t="str">
        <f t="shared" si="18"/>
        <v/>
      </c>
      <c r="H195" t="str">
        <f t="shared" si="19"/>
        <v/>
      </c>
    </row>
    <row r="196" spans="1:8" x14ac:dyDescent="0.25">
      <c r="A196" t="s">
        <v>193</v>
      </c>
      <c r="B196" s="3">
        <f t="shared" si="14"/>
        <v>31</v>
      </c>
      <c r="C196" s="3" t="str">
        <f t="shared" si="15"/>
        <v/>
      </c>
      <c r="D196" s="3">
        <f t="shared" si="16"/>
        <v>154</v>
      </c>
      <c r="E196" s="5" t="str">
        <f>IF(C196="",IF(D196="","",IF(D196&lt;128,"Wahl "&amp;D196,INDEX(KdoCodeTab,MATCH(D196,KdoWertTab,0)))),"Status "&amp;C196)</f>
        <v>MarkWdh</v>
      </c>
      <c r="F196" t="str">
        <f t="shared" si="17"/>
        <v>MarkWdh</v>
      </c>
      <c r="G196" t="str">
        <f t="shared" si="18"/>
        <v/>
      </c>
      <c r="H196" t="str">
        <f t="shared" si="19"/>
        <v/>
      </c>
    </row>
    <row r="197" spans="1:8" x14ac:dyDescent="0.25">
      <c r="A197" t="s">
        <v>194</v>
      </c>
      <c r="B197" s="3">
        <f t="shared" ref="B197:B260" si="20">INT(HEX2DEC(MID(A197,8,2))/2)</f>
        <v>31</v>
      </c>
      <c r="C197" s="3" t="str">
        <f t="shared" ref="C197:C260" si="21">IF(MID(A197,10,1)="&lt;",MID(A197,12,2),"")</f>
        <v/>
      </c>
      <c r="D197" s="3">
        <f t="shared" ref="D197:D260" si="22">IF(MID(A197,10,1)="&gt;",HEX2DEC(MID(A197,12,2)),"")</f>
        <v>147</v>
      </c>
      <c r="E197" s="5" t="str">
        <f>IF(C197="",IF(D197="","",IF(D197&lt;128,"Wahl "&amp;D197,INDEX(KdoCodeTab,MATCH(D197,KdoWertTab,0)))),"Status "&amp;C197)</f>
        <v>Space</v>
      </c>
      <c r="F197" t="str">
        <f t="shared" ref="F197:F260" si="23">IF(B197=$F$2,E197,"")</f>
        <v>Space</v>
      </c>
      <c r="G197" t="str">
        <f t="shared" ref="G197:G260" si="24">IF(B197=$G$2,E197,"")</f>
        <v/>
      </c>
      <c r="H197" t="str">
        <f t="shared" ref="H197:H260" si="25">IF(F197&amp;G197="",E197,"")</f>
        <v/>
      </c>
    </row>
    <row r="198" spans="1:8" x14ac:dyDescent="0.25">
      <c r="A198" t="s">
        <v>195</v>
      </c>
      <c r="B198" s="3">
        <f t="shared" si="20"/>
        <v>31</v>
      </c>
      <c r="C198" s="3" t="str">
        <f t="shared" si="21"/>
        <v/>
      </c>
      <c r="D198" s="3">
        <f t="shared" si="22"/>
        <v>150</v>
      </c>
      <c r="E198" s="5" t="str">
        <f>IF(C198="",IF(D198="","",IF(D198&lt;128,"Wahl "&amp;D198,INDEX(KdoCodeTab,MATCH(D198,KdoWertTab,0)))),"Status "&amp;C198)</f>
        <v>SpaceWdh</v>
      </c>
      <c r="F198" t="str">
        <f t="shared" si="23"/>
        <v>SpaceWdh</v>
      </c>
      <c r="G198" t="str">
        <f t="shared" si="24"/>
        <v/>
      </c>
      <c r="H198" t="str">
        <f t="shared" si="25"/>
        <v/>
      </c>
    </row>
    <row r="199" spans="1:8" x14ac:dyDescent="0.25">
      <c r="A199" t="s">
        <v>196</v>
      </c>
      <c r="B199" s="3">
        <f t="shared" si="20"/>
        <v>31</v>
      </c>
      <c r="C199" s="3" t="str">
        <f t="shared" si="21"/>
        <v/>
      </c>
      <c r="D199" s="3">
        <f t="shared" si="22"/>
        <v>156</v>
      </c>
      <c r="E199" s="5" t="str">
        <f>IF(C199="",IF(D199="","",IF(D199&lt;128,"Wahl "&amp;D199,INDEX(KdoCodeTab,MATCH(D199,KdoWertTab,0)))),"Status "&amp;C199)</f>
        <v>Mark</v>
      </c>
      <c r="F199" t="str">
        <f t="shared" si="23"/>
        <v>Mark</v>
      </c>
      <c r="G199" t="str">
        <f t="shared" si="24"/>
        <v/>
      </c>
      <c r="H199" t="str">
        <f t="shared" si="25"/>
        <v/>
      </c>
    </row>
    <row r="200" spans="1:8" x14ac:dyDescent="0.25">
      <c r="A200" t="s">
        <v>197</v>
      </c>
      <c r="B200" s="3">
        <f t="shared" si="20"/>
        <v>31</v>
      </c>
      <c r="C200" s="3" t="str">
        <f t="shared" si="21"/>
        <v/>
      </c>
      <c r="D200" s="3">
        <f t="shared" si="22"/>
        <v>154</v>
      </c>
      <c r="E200" s="5" t="str">
        <f>IF(C200="",IF(D200="","",IF(D200&lt;128,"Wahl "&amp;D200,INDEX(KdoCodeTab,MATCH(D200,KdoWertTab,0)))),"Status "&amp;C200)</f>
        <v>MarkWdh</v>
      </c>
      <c r="F200" t="str">
        <f t="shared" si="23"/>
        <v>MarkWdh</v>
      </c>
      <c r="G200" t="str">
        <f t="shared" si="24"/>
        <v/>
      </c>
      <c r="H200" t="str">
        <f t="shared" si="25"/>
        <v/>
      </c>
    </row>
    <row r="201" spans="1:8" x14ac:dyDescent="0.25">
      <c r="A201" t="s">
        <v>198</v>
      </c>
      <c r="B201" s="3">
        <f t="shared" si="20"/>
        <v>31</v>
      </c>
      <c r="C201" s="3" t="str">
        <f t="shared" si="21"/>
        <v/>
      </c>
      <c r="D201" s="3">
        <f t="shared" si="22"/>
        <v>147</v>
      </c>
      <c r="E201" s="5" t="str">
        <f>IF(C201="",IF(D201="","",IF(D201&lt;128,"Wahl "&amp;D201,INDEX(KdoCodeTab,MATCH(D201,KdoWertTab,0)))),"Status "&amp;C201)</f>
        <v>Space</v>
      </c>
      <c r="F201" t="str">
        <f t="shared" si="23"/>
        <v>Space</v>
      </c>
      <c r="G201" t="str">
        <f t="shared" si="24"/>
        <v/>
      </c>
      <c r="H201" t="str">
        <f t="shared" si="25"/>
        <v/>
      </c>
    </row>
    <row r="202" spans="1:8" x14ac:dyDescent="0.25">
      <c r="A202" t="s">
        <v>199</v>
      </c>
      <c r="B202" s="3">
        <f t="shared" si="20"/>
        <v>31</v>
      </c>
      <c r="C202" s="3" t="str">
        <f t="shared" si="21"/>
        <v/>
      </c>
      <c r="D202" s="3">
        <f t="shared" si="22"/>
        <v>150</v>
      </c>
      <c r="E202" s="5" t="str">
        <f>IF(C202="",IF(D202="","",IF(D202&lt;128,"Wahl "&amp;D202,INDEX(KdoCodeTab,MATCH(D202,KdoWertTab,0)))),"Status "&amp;C202)</f>
        <v>SpaceWdh</v>
      </c>
      <c r="F202" t="str">
        <f t="shared" si="23"/>
        <v>SpaceWdh</v>
      </c>
      <c r="G202" t="str">
        <f t="shared" si="24"/>
        <v/>
      </c>
      <c r="H202" t="str">
        <f t="shared" si="25"/>
        <v/>
      </c>
    </row>
    <row r="203" spans="1:8" x14ac:dyDescent="0.25">
      <c r="A203" t="s">
        <v>200</v>
      </c>
      <c r="B203" s="3">
        <f t="shared" si="20"/>
        <v>31</v>
      </c>
      <c r="C203" s="3" t="str">
        <f t="shared" si="21"/>
        <v/>
      </c>
      <c r="D203" s="3">
        <f t="shared" si="22"/>
        <v>156</v>
      </c>
      <c r="E203" s="5" t="str">
        <f>IF(C203="",IF(D203="","",IF(D203&lt;128,"Wahl "&amp;D203,INDEX(KdoCodeTab,MATCH(D203,KdoWertTab,0)))),"Status "&amp;C203)</f>
        <v>Mark</v>
      </c>
      <c r="F203" t="str">
        <f t="shared" si="23"/>
        <v>Mark</v>
      </c>
      <c r="G203" t="str">
        <f t="shared" si="24"/>
        <v/>
      </c>
      <c r="H203" t="str">
        <f t="shared" si="25"/>
        <v/>
      </c>
    </row>
    <row r="204" spans="1:8" x14ac:dyDescent="0.25">
      <c r="A204" t="s">
        <v>201</v>
      </c>
      <c r="B204" s="3">
        <f t="shared" si="20"/>
        <v>31</v>
      </c>
      <c r="C204" s="3" t="str">
        <f t="shared" si="21"/>
        <v/>
      </c>
      <c r="D204" s="3">
        <f t="shared" si="22"/>
        <v>154</v>
      </c>
      <c r="E204" s="5" t="str">
        <f>IF(C204="",IF(D204="","",IF(D204&lt;128,"Wahl "&amp;D204,INDEX(KdoCodeTab,MATCH(D204,KdoWertTab,0)))),"Status "&amp;C204)</f>
        <v>MarkWdh</v>
      </c>
      <c r="F204" t="str">
        <f t="shared" si="23"/>
        <v>MarkWdh</v>
      </c>
      <c r="G204" t="str">
        <f t="shared" si="24"/>
        <v/>
      </c>
      <c r="H204" t="str">
        <f t="shared" si="25"/>
        <v/>
      </c>
    </row>
    <row r="205" spans="1:8" x14ac:dyDescent="0.25">
      <c r="A205" t="s">
        <v>202</v>
      </c>
      <c r="B205" s="3">
        <f t="shared" si="20"/>
        <v>33</v>
      </c>
      <c r="C205" s="3" t="str">
        <f t="shared" si="21"/>
        <v/>
      </c>
      <c r="D205" s="3">
        <f t="shared" si="22"/>
        <v>147</v>
      </c>
      <c r="E205" s="5" t="str">
        <f>IF(C205="",IF(D205="","",IF(D205&lt;128,"Wahl "&amp;D205,INDEX(KdoCodeTab,MATCH(D205,KdoWertTab,0)))),"Status "&amp;C205)</f>
        <v>Space</v>
      </c>
      <c r="F205" t="str">
        <f t="shared" si="23"/>
        <v/>
      </c>
      <c r="G205" t="str">
        <f t="shared" si="24"/>
        <v>Space</v>
      </c>
      <c r="H205" t="str">
        <f t="shared" si="25"/>
        <v/>
      </c>
    </row>
    <row r="206" spans="1:8" x14ac:dyDescent="0.25">
      <c r="A206" t="s">
        <v>203</v>
      </c>
      <c r="B206" s="3">
        <f t="shared" si="20"/>
        <v>33</v>
      </c>
      <c r="C206" s="3" t="str">
        <f t="shared" si="21"/>
        <v/>
      </c>
      <c r="D206" s="3">
        <f t="shared" si="22"/>
        <v>150</v>
      </c>
      <c r="E206" s="5" t="str">
        <f>IF(C206="",IF(D206="","",IF(D206&lt;128,"Wahl "&amp;D206,INDEX(KdoCodeTab,MATCH(D206,KdoWertTab,0)))),"Status "&amp;C206)</f>
        <v>SpaceWdh</v>
      </c>
      <c r="F206" t="str">
        <f t="shared" si="23"/>
        <v/>
      </c>
      <c r="G206" t="str">
        <f t="shared" si="24"/>
        <v>SpaceWdh</v>
      </c>
      <c r="H206" t="str">
        <f t="shared" si="25"/>
        <v/>
      </c>
    </row>
    <row r="207" spans="1:8" x14ac:dyDescent="0.25">
      <c r="A207" t="s">
        <v>204</v>
      </c>
      <c r="B207" s="3">
        <f t="shared" si="20"/>
        <v>33</v>
      </c>
      <c r="C207" s="3" t="str">
        <f t="shared" si="21"/>
        <v/>
      </c>
      <c r="D207" s="3">
        <f t="shared" si="22"/>
        <v>156</v>
      </c>
      <c r="E207" s="5" t="str">
        <f>IF(C207="",IF(D207="","",IF(D207&lt;128,"Wahl "&amp;D207,INDEX(KdoCodeTab,MATCH(D207,KdoWertTab,0)))),"Status "&amp;C207)</f>
        <v>Mark</v>
      </c>
      <c r="F207" t="str">
        <f t="shared" si="23"/>
        <v/>
      </c>
      <c r="G207" t="str">
        <f t="shared" si="24"/>
        <v>Mark</v>
      </c>
      <c r="H207" t="str">
        <f t="shared" si="25"/>
        <v/>
      </c>
    </row>
    <row r="208" spans="1:8" x14ac:dyDescent="0.25">
      <c r="A208" t="s">
        <v>205</v>
      </c>
      <c r="B208" s="3">
        <f t="shared" si="20"/>
        <v>33</v>
      </c>
      <c r="C208" s="3" t="str">
        <f t="shared" si="21"/>
        <v/>
      </c>
      <c r="D208" s="3">
        <f t="shared" si="22"/>
        <v>154</v>
      </c>
      <c r="E208" s="5" t="str">
        <f>IF(C208="",IF(D208="","",IF(D208&lt;128,"Wahl "&amp;D208,INDEX(KdoCodeTab,MATCH(D208,KdoWertTab,0)))),"Status "&amp;C208)</f>
        <v>MarkWdh</v>
      </c>
      <c r="F208" t="str">
        <f t="shared" si="23"/>
        <v/>
      </c>
      <c r="G208" t="str">
        <f t="shared" si="24"/>
        <v>MarkWdh</v>
      </c>
      <c r="H208" t="str">
        <f t="shared" si="25"/>
        <v/>
      </c>
    </row>
    <row r="209" spans="1:8" x14ac:dyDescent="0.25">
      <c r="A209" t="s">
        <v>206</v>
      </c>
      <c r="B209" s="3">
        <f t="shared" si="20"/>
        <v>33</v>
      </c>
      <c r="C209" s="3" t="str">
        <f t="shared" si="21"/>
        <v/>
      </c>
      <c r="D209" s="3">
        <f t="shared" si="22"/>
        <v>169</v>
      </c>
      <c r="E209" s="5" t="str">
        <f>IF(C209="",IF(D209="","",IF(D209&lt;128,"Wahl "&amp;D209,INDEX(KdoCodeTab,MATCH(D209,KdoWertTab,0)))),"Status "&amp;C209)</f>
        <v>BusLebenszeichen</v>
      </c>
      <c r="F209" t="str">
        <f t="shared" si="23"/>
        <v/>
      </c>
      <c r="G209" t="str">
        <f t="shared" si="24"/>
        <v>BusLebenszeichen</v>
      </c>
      <c r="H209" t="str">
        <f t="shared" si="25"/>
        <v/>
      </c>
    </row>
    <row r="210" spans="1:8" x14ac:dyDescent="0.25">
      <c r="A210" t="s">
        <v>207</v>
      </c>
      <c r="B210" s="3">
        <f t="shared" si="20"/>
        <v>31</v>
      </c>
      <c r="C210" s="3" t="str">
        <f t="shared" si="21"/>
        <v/>
      </c>
      <c r="D210" s="3">
        <f t="shared" si="22"/>
        <v>169</v>
      </c>
      <c r="E210" s="5" t="str">
        <f>IF(C210="",IF(D210="","",IF(D210&lt;128,"Wahl "&amp;D210,INDEX(KdoCodeTab,MATCH(D210,KdoWertTab,0)))),"Status "&amp;C210)</f>
        <v>BusLebenszeichen</v>
      </c>
      <c r="F210" t="str">
        <f t="shared" si="23"/>
        <v>BusLebenszeichen</v>
      </c>
      <c r="G210" t="str">
        <f t="shared" si="24"/>
        <v/>
      </c>
      <c r="H210" t="str">
        <f t="shared" si="25"/>
        <v/>
      </c>
    </row>
    <row r="211" spans="1:8" x14ac:dyDescent="0.25">
      <c r="A211" t="s">
        <v>208</v>
      </c>
      <c r="B211" s="3">
        <f t="shared" si="20"/>
        <v>33</v>
      </c>
      <c r="C211" s="3" t="str">
        <f t="shared" si="21"/>
        <v/>
      </c>
      <c r="D211" s="3">
        <f t="shared" si="22"/>
        <v>147</v>
      </c>
      <c r="E211" s="5" t="str">
        <f>IF(C211="",IF(D211="","",IF(D211&lt;128,"Wahl "&amp;D211,INDEX(KdoCodeTab,MATCH(D211,KdoWertTab,0)))),"Status "&amp;C211)</f>
        <v>Space</v>
      </c>
      <c r="F211" t="str">
        <f t="shared" si="23"/>
        <v/>
      </c>
      <c r="G211" t="str">
        <f t="shared" si="24"/>
        <v>Space</v>
      </c>
      <c r="H211" t="str">
        <f t="shared" si="25"/>
        <v/>
      </c>
    </row>
    <row r="212" spans="1:8" x14ac:dyDescent="0.25">
      <c r="A212" t="s">
        <v>209</v>
      </c>
      <c r="B212" s="3">
        <f t="shared" si="20"/>
        <v>33</v>
      </c>
      <c r="C212" s="3" t="str">
        <f t="shared" si="21"/>
        <v/>
      </c>
      <c r="D212" s="3">
        <f t="shared" si="22"/>
        <v>150</v>
      </c>
      <c r="E212" s="5" t="str">
        <f>IF(C212="",IF(D212="","",IF(D212&lt;128,"Wahl "&amp;D212,INDEX(KdoCodeTab,MATCH(D212,KdoWertTab,0)))),"Status "&amp;C212)</f>
        <v>SpaceWdh</v>
      </c>
      <c r="F212" t="str">
        <f t="shared" si="23"/>
        <v/>
      </c>
      <c r="G212" t="str">
        <f t="shared" si="24"/>
        <v>SpaceWdh</v>
      </c>
      <c r="H212" t="str">
        <f t="shared" si="25"/>
        <v/>
      </c>
    </row>
    <row r="213" spans="1:8" x14ac:dyDescent="0.25">
      <c r="A213" t="s">
        <v>210</v>
      </c>
      <c r="B213" s="3">
        <f t="shared" si="20"/>
        <v>33</v>
      </c>
      <c r="C213" s="3" t="str">
        <f t="shared" si="21"/>
        <v/>
      </c>
      <c r="D213" s="3">
        <f t="shared" si="22"/>
        <v>156</v>
      </c>
      <c r="E213" s="5" t="str">
        <f>IF(C213="",IF(D213="","",IF(D213&lt;128,"Wahl "&amp;D213,INDEX(KdoCodeTab,MATCH(D213,KdoWertTab,0)))),"Status "&amp;C213)</f>
        <v>Mark</v>
      </c>
      <c r="F213" t="str">
        <f t="shared" si="23"/>
        <v/>
      </c>
      <c r="G213" t="str">
        <f t="shared" si="24"/>
        <v>Mark</v>
      </c>
      <c r="H213" t="str">
        <f t="shared" si="25"/>
        <v/>
      </c>
    </row>
    <row r="214" spans="1:8" x14ac:dyDescent="0.25">
      <c r="A214" t="s">
        <v>211</v>
      </c>
      <c r="B214" s="3">
        <f t="shared" si="20"/>
        <v>33</v>
      </c>
      <c r="C214" s="3" t="str">
        <f t="shared" si="21"/>
        <v/>
      </c>
      <c r="D214" s="3">
        <f t="shared" si="22"/>
        <v>154</v>
      </c>
      <c r="E214" s="5" t="str">
        <f>IF(C214="",IF(D214="","",IF(D214&lt;128,"Wahl "&amp;D214,INDEX(KdoCodeTab,MATCH(D214,KdoWertTab,0)))),"Status "&amp;C214)</f>
        <v>MarkWdh</v>
      </c>
      <c r="F214" t="str">
        <f t="shared" si="23"/>
        <v/>
      </c>
      <c r="G214" t="str">
        <f t="shared" si="24"/>
        <v>MarkWdh</v>
      </c>
      <c r="H214" t="str">
        <f t="shared" si="25"/>
        <v/>
      </c>
    </row>
    <row r="215" spans="1:8" x14ac:dyDescent="0.25">
      <c r="A215" t="s">
        <v>212</v>
      </c>
      <c r="B215" s="3">
        <f t="shared" si="20"/>
        <v>33</v>
      </c>
      <c r="C215" s="3" t="str">
        <f t="shared" si="21"/>
        <v/>
      </c>
      <c r="D215" s="3">
        <f t="shared" si="22"/>
        <v>147</v>
      </c>
      <c r="E215" s="5" t="str">
        <f>IF(C215="",IF(D215="","",IF(D215&lt;128,"Wahl "&amp;D215,INDEX(KdoCodeTab,MATCH(D215,KdoWertTab,0)))),"Status "&amp;C215)</f>
        <v>Space</v>
      </c>
      <c r="F215" t="str">
        <f t="shared" si="23"/>
        <v/>
      </c>
      <c r="G215" t="str">
        <f t="shared" si="24"/>
        <v>Space</v>
      </c>
      <c r="H215" t="str">
        <f t="shared" si="25"/>
        <v/>
      </c>
    </row>
    <row r="216" spans="1:8" x14ac:dyDescent="0.25">
      <c r="A216" t="s">
        <v>213</v>
      </c>
      <c r="B216" s="3">
        <f t="shared" si="20"/>
        <v>33</v>
      </c>
      <c r="C216" s="3" t="str">
        <f t="shared" si="21"/>
        <v/>
      </c>
      <c r="D216" s="3">
        <f t="shared" si="22"/>
        <v>150</v>
      </c>
      <c r="E216" s="5" t="str">
        <f>IF(C216="",IF(D216="","",IF(D216&lt;128,"Wahl "&amp;D216,INDEX(KdoCodeTab,MATCH(D216,KdoWertTab,0)))),"Status "&amp;C216)</f>
        <v>SpaceWdh</v>
      </c>
      <c r="F216" t="str">
        <f t="shared" si="23"/>
        <v/>
      </c>
      <c r="G216" t="str">
        <f t="shared" si="24"/>
        <v>SpaceWdh</v>
      </c>
      <c r="H216" t="str">
        <f t="shared" si="25"/>
        <v/>
      </c>
    </row>
    <row r="217" spans="1:8" x14ac:dyDescent="0.25">
      <c r="A217" t="s">
        <v>214</v>
      </c>
      <c r="B217" s="3">
        <f t="shared" si="20"/>
        <v>33</v>
      </c>
      <c r="C217" s="3" t="str">
        <f t="shared" si="21"/>
        <v/>
      </c>
      <c r="D217" s="3">
        <f t="shared" si="22"/>
        <v>156</v>
      </c>
      <c r="E217" s="5" t="str">
        <f>IF(C217="",IF(D217="","",IF(D217&lt;128,"Wahl "&amp;D217,INDEX(KdoCodeTab,MATCH(D217,KdoWertTab,0)))),"Status "&amp;C217)</f>
        <v>Mark</v>
      </c>
      <c r="F217" t="str">
        <f t="shared" si="23"/>
        <v/>
      </c>
      <c r="G217" t="str">
        <f t="shared" si="24"/>
        <v>Mark</v>
      </c>
      <c r="H217" t="str">
        <f t="shared" si="25"/>
        <v/>
      </c>
    </row>
    <row r="218" spans="1:8" x14ac:dyDescent="0.25">
      <c r="A218" t="s">
        <v>215</v>
      </c>
      <c r="B218" s="3">
        <f t="shared" si="20"/>
        <v>33</v>
      </c>
      <c r="C218" s="3" t="str">
        <f t="shared" si="21"/>
        <v/>
      </c>
      <c r="D218" s="3">
        <f t="shared" si="22"/>
        <v>154</v>
      </c>
      <c r="E218" s="5" t="str">
        <f>IF(C218="",IF(D218="","",IF(D218&lt;128,"Wahl "&amp;D218,INDEX(KdoCodeTab,MATCH(D218,KdoWertTab,0)))),"Status "&amp;C218)</f>
        <v>MarkWdh</v>
      </c>
      <c r="F218" t="str">
        <f t="shared" si="23"/>
        <v/>
      </c>
      <c r="G218" t="str">
        <f t="shared" si="24"/>
        <v>MarkWdh</v>
      </c>
      <c r="H218" t="str">
        <f t="shared" si="25"/>
        <v/>
      </c>
    </row>
    <row r="219" spans="1:8" x14ac:dyDescent="0.25">
      <c r="A219" t="s">
        <v>216</v>
      </c>
      <c r="B219" s="3">
        <f t="shared" si="20"/>
        <v>33</v>
      </c>
      <c r="C219" s="3" t="str">
        <f t="shared" si="21"/>
        <v/>
      </c>
      <c r="D219" s="3">
        <f t="shared" si="22"/>
        <v>147</v>
      </c>
      <c r="E219" s="5" t="str">
        <f>IF(C219="",IF(D219="","",IF(D219&lt;128,"Wahl "&amp;D219,INDEX(KdoCodeTab,MATCH(D219,KdoWertTab,0)))),"Status "&amp;C219)</f>
        <v>Space</v>
      </c>
      <c r="F219" t="str">
        <f t="shared" si="23"/>
        <v/>
      </c>
      <c r="G219" t="str">
        <f t="shared" si="24"/>
        <v>Space</v>
      </c>
      <c r="H219" t="str">
        <f t="shared" si="25"/>
        <v/>
      </c>
    </row>
    <row r="220" spans="1:8" x14ac:dyDescent="0.25">
      <c r="A220" t="s">
        <v>217</v>
      </c>
      <c r="B220" s="3">
        <f t="shared" si="20"/>
        <v>33</v>
      </c>
      <c r="C220" s="3" t="str">
        <f t="shared" si="21"/>
        <v/>
      </c>
      <c r="D220" s="3">
        <f t="shared" si="22"/>
        <v>150</v>
      </c>
      <c r="E220" s="5" t="str">
        <f>IF(C220="",IF(D220="","",IF(D220&lt;128,"Wahl "&amp;D220,INDEX(KdoCodeTab,MATCH(D220,KdoWertTab,0)))),"Status "&amp;C220)</f>
        <v>SpaceWdh</v>
      </c>
      <c r="F220" t="str">
        <f t="shared" si="23"/>
        <v/>
      </c>
      <c r="G220" t="str">
        <f t="shared" si="24"/>
        <v>SpaceWdh</v>
      </c>
      <c r="H220" t="str">
        <f t="shared" si="25"/>
        <v/>
      </c>
    </row>
    <row r="221" spans="1:8" x14ac:dyDescent="0.25">
      <c r="A221" t="s">
        <v>218</v>
      </c>
      <c r="B221" s="3">
        <f t="shared" si="20"/>
        <v>33</v>
      </c>
      <c r="C221" s="3" t="str">
        <f t="shared" si="21"/>
        <v/>
      </c>
      <c r="D221" s="3">
        <f t="shared" si="22"/>
        <v>156</v>
      </c>
      <c r="E221" s="5" t="str">
        <f>IF(C221="",IF(D221="","",IF(D221&lt;128,"Wahl "&amp;D221,INDEX(KdoCodeTab,MATCH(D221,KdoWertTab,0)))),"Status "&amp;C221)</f>
        <v>Mark</v>
      </c>
      <c r="F221" t="str">
        <f t="shared" si="23"/>
        <v/>
      </c>
      <c r="G221" t="str">
        <f t="shared" si="24"/>
        <v>Mark</v>
      </c>
      <c r="H221" t="str">
        <f t="shared" si="25"/>
        <v/>
      </c>
    </row>
    <row r="222" spans="1:8" x14ac:dyDescent="0.25">
      <c r="A222" t="s">
        <v>219</v>
      </c>
      <c r="B222" s="3">
        <f t="shared" si="20"/>
        <v>33</v>
      </c>
      <c r="C222" s="3" t="str">
        <f t="shared" si="21"/>
        <v/>
      </c>
      <c r="D222" s="3">
        <f t="shared" si="22"/>
        <v>154</v>
      </c>
      <c r="E222" s="5" t="str">
        <f>IF(C222="",IF(D222="","",IF(D222&lt;128,"Wahl "&amp;D222,INDEX(KdoCodeTab,MATCH(D222,KdoWertTab,0)))),"Status "&amp;C222)</f>
        <v>MarkWdh</v>
      </c>
      <c r="F222" t="str">
        <f t="shared" si="23"/>
        <v/>
      </c>
      <c r="G222" t="str">
        <f t="shared" si="24"/>
        <v>MarkWdh</v>
      </c>
      <c r="H222" t="str">
        <f t="shared" si="25"/>
        <v/>
      </c>
    </row>
    <row r="223" spans="1:8" x14ac:dyDescent="0.25">
      <c r="A223" t="s">
        <v>220</v>
      </c>
      <c r="B223" s="3">
        <f t="shared" si="20"/>
        <v>33</v>
      </c>
      <c r="C223" s="3" t="str">
        <f t="shared" si="21"/>
        <v/>
      </c>
      <c r="D223" s="3">
        <f t="shared" si="22"/>
        <v>147</v>
      </c>
      <c r="E223" s="5" t="str">
        <f>IF(C223="",IF(D223="","",IF(D223&lt;128,"Wahl "&amp;D223,INDEX(KdoCodeTab,MATCH(D223,KdoWertTab,0)))),"Status "&amp;C223)</f>
        <v>Space</v>
      </c>
      <c r="F223" t="str">
        <f t="shared" si="23"/>
        <v/>
      </c>
      <c r="G223" t="str">
        <f t="shared" si="24"/>
        <v>Space</v>
      </c>
      <c r="H223" t="str">
        <f t="shared" si="25"/>
        <v/>
      </c>
    </row>
    <row r="224" spans="1:8" x14ac:dyDescent="0.25">
      <c r="A224" t="s">
        <v>221</v>
      </c>
      <c r="B224" s="3">
        <f t="shared" si="20"/>
        <v>33</v>
      </c>
      <c r="C224" s="3" t="str">
        <f t="shared" si="21"/>
        <v/>
      </c>
      <c r="D224" s="3">
        <f t="shared" si="22"/>
        <v>150</v>
      </c>
      <c r="E224" s="5" t="str">
        <f>IF(C224="",IF(D224="","",IF(D224&lt;128,"Wahl "&amp;D224,INDEX(KdoCodeTab,MATCH(D224,KdoWertTab,0)))),"Status "&amp;C224)</f>
        <v>SpaceWdh</v>
      </c>
      <c r="F224" t="str">
        <f t="shared" si="23"/>
        <v/>
      </c>
      <c r="G224" t="str">
        <f t="shared" si="24"/>
        <v>SpaceWdh</v>
      </c>
      <c r="H224" t="str">
        <f t="shared" si="25"/>
        <v/>
      </c>
    </row>
    <row r="225" spans="1:8" x14ac:dyDescent="0.25">
      <c r="A225" t="s">
        <v>222</v>
      </c>
      <c r="B225" s="3">
        <f t="shared" si="20"/>
        <v>33</v>
      </c>
      <c r="C225" s="3" t="str">
        <f t="shared" si="21"/>
        <v/>
      </c>
      <c r="D225" s="3">
        <f t="shared" si="22"/>
        <v>156</v>
      </c>
      <c r="E225" s="5" t="str">
        <f>IF(C225="",IF(D225="","",IF(D225&lt;128,"Wahl "&amp;D225,INDEX(KdoCodeTab,MATCH(D225,KdoWertTab,0)))),"Status "&amp;C225)</f>
        <v>Mark</v>
      </c>
      <c r="F225" t="str">
        <f t="shared" si="23"/>
        <v/>
      </c>
      <c r="G225" t="str">
        <f t="shared" si="24"/>
        <v>Mark</v>
      </c>
      <c r="H225" t="str">
        <f t="shared" si="25"/>
        <v/>
      </c>
    </row>
    <row r="226" spans="1:8" x14ac:dyDescent="0.25">
      <c r="A226" t="s">
        <v>223</v>
      </c>
      <c r="B226" s="3">
        <f t="shared" si="20"/>
        <v>33</v>
      </c>
      <c r="C226" s="3" t="str">
        <f t="shared" si="21"/>
        <v/>
      </c>
      <c r="D226" s="3">
        <f t="shared" si="22"/>
        <v>154</v>
      </c>
      <c r="E226" s="5" t="str">
        <f>IF(C226="",IF(D226="","",IF(D226&lt;128,"Wahl "&amp;D226,INDEX(KdoCodeTab,MATCH(D226,KdoWertTab,0)))),"Status "&amp;C226)</f>
        <v>MarkWdh</v>
      </c>
      <c r="F226" t="str">
        <f t="shared" si="23"/>
        <v/>
      </c>
      <c r="G226" t="str">
        <f t="shared" si="24"/>
        <v>MarkWdh</v>
      </c>
      <c r="H226" t="str">
        <f t="shared" si="25"/>
        <v/>
      </c>
    </row>
    <row r="227" spans="1:8" x14ac:dyDescent="0.25">
      <c r="A227" t="s">
        <v>224</v>
      </c>
      <c r="B227" s="3">
        <f t="shared" si="20"/>
        <v>33</v>
      </c>
      <c r="C227" s="3" t="str">
        <f t="shared" si="21"/>
        <v/>
      </c>
      <c r="D227" s="3">
        <f t="shared" si="22"/>
        <v>147</v>
      </c>
      <c r="E227" s="5" t="str">
        <f>IF(C227="",IF(D227="","",IF(D227&lt;128,"Wahl "&amp;D227,INDEX(KdoCodeTab,MATCH(D227,KdoWertTab,0)))),"Status "&amp;C227)</f>
        <v>Space</v>
      </c>
      <c r="F227" t="str">
        <f t="shared" si="23"/>
        <v/>
      </c>
      <c r="G227" t="str">
        <f t="shared" si="24"/>
        <v>Space</v>
      </c>
      <c r="H227" t="str">
        <f t="shared" si="25"/>
        <v/>
      </c>
    </row>
    <row r="228" spans="1:8" x14ac:dyDescent="0.25">
      <c r="A228" t="s">
        <v>225</v>
      </c>
      <c r="B228" s="3">
        <f t="shared" si="20"/>
        <v>33</v>
      </c>
      <c r="C228" s="3" t="str">
        <f t="shared" si="21"/>
        <v/>
      </c>
      <c r="D228" s="3">
        <f t="shared" si="22"/>
        <v>150</v>
      </c>
      <c r="E228" s="5" t="str">
        <f>IF(C228="",IF(D228="","",IF(D228&lt;128,"Wahl "&amp;D228,INDEX(KdoCodeTab,MATCH(D228,KdoWertTab,0)))),"Status "&amp;C228)</f>
        <v>SpaceWdh</v>
      </c>
      <c r="F228" t="str">
        <f t="shared" si="23"/>
        <v/>
      </c>
      <c r="G228" t="str">
        <f t="shared" si="24"/>
        <v>SpaceWdh</v>
      </c>
      <c r="H228" t="str">
        <f t="shared" si="25"/>
        <v/>
      </c>
    </row>
    <row r="229" spans="1:8" x14ac:dyDescent="0.25">
      <c r="A229" t="s">
        <v>226</v>
      </c>
      <c r="B229" s="3">
        <f t="shared" si="20"/>
        <v>33</v>
      </c>
      <c r="C229" s="3" t="str">
        <f t="shared" si="21"/>
        <v/>
      </c>
      <c r="D229" s="3">
        <f t="shared" si="22"/>
        <v>156</v>
      </c>
      <c r="E229" s="5" t="str">
        <f>IF(C229="",IF(D229="","",IF(D229&lt;128,"Wahl "&amp;D229,INDEX(KdoCodeTab,MATCH(D229,KdoWertTab,0)))),"Status "&amp;C229)</f>
        <v>Mark</v>
      </c>
      <c r="F229" t="str">
        <f t="shared" si="23"/>
        <v/>
      </c>
      <c r="G229" t="str">
        <f t="shared" si="24"/>
        <v>Mark</v>
      </c>
      <c r="H229" t="str">
        <f t="shared" si="25"/>
        <v/>
      </c>
    </row>
    <row r="230" spans="1:8" x14ac:dyDescent="0.25">
      <c r="A230" t="s">
        <v>227</v>
      </c>
      <c r="B230" s="3">
        <f t="shared" si="20"/>
        <v>33</v>
      </c>
      <c r="C230" s="3" t="str">
        <f t="shared" si="21"/>
        <v/>
      </c>
      <c r="D230" s="3">
        <f t="shared" si="22"/>
        <v>154</v>
      </c>
      <c r="E230" s="5" t="str">
        <f>IF(C230="",IF(D230="","",IF(D230&lt;128,"Wahl "&amp;D230,INDEX(KdoCodeTab,MATCH(D230,KdoWertTab,0)))),"Status "&amp;C230)</f>
        <v>MarkWdh</v>
      </c>
      <c r="F230" t="str">
        <f t="shared" si="23"/>
        <v/>
      </c>
      <c r="G230" t="str">
        <f t="shared" si="24"/>
        <v>MarkWdh</v>
      </c>
      <c r="H230" t="str">
        <f t="shared" si="25"/>
        <v/>
      </c>
    </row>
    <row r="231" spans="1:8" x14ac:dyDescent="0.25">
      <c r="A231" t="s">
        <v>228</v>
      </c>
      <c r="B231" s="3">
        <f t="shared" si="20"/>
        <v>33</v>
      </c>
      <c r="C231" s="3" t="str">
        <f t="shared" si="21"/>
        <v/>
      </c>
      <c r="D231" s="3">
        <f t="shared" si="22"/>
        <v>147</v>
      </c>
      <c r="E231" s="5" t="str">
        <f>IF(C231="",IF(D231="","",IF(D231&lt;128,"Wahl "&amp;D231,INDEX(KdoCodeTab,MATCH(D231,KdoWertTab,0)))),"Status "&amp;C231)</f>
        <v>Space</v>
      </c>
      <c r="F231" t="str">
        <f t="shared" si="23"/>
        <v/>
      </c>
      <c r="G231" t="str">
        <f t="shared" si="24"/>
        <v>Space</v>
      </c>
      <c r="H231" t="str">
        <f t="shared" si="25"/>
        <v/>
      </c>
    </row>
    <row r="232" spans="1:8" x14ac:dyDescent="0.25">
      <c r="A232" t="s">
        <v>229</v>
      </c>
      <c r="B232" s="3">
        <f t="shared" si="20"/>
        <v>33</v>
      </c>
      <c r="C232" s="3" t="str">
        <f t="shared" si="21"/>
        <v/>
      </c>
      <c r="D232" s="3">
        <f t="shared" si="22"/>
        <v>150</v>
      </c>
      <c r="E232" s="5" t="str">
        <f>IF(C232="",IF(D232="","",IF(D232&lt;128,"Wahl "&amp;D232,INDEX(KdoCodeTab,MATCH(D232,KdoWertTab,0)))),"Status "&amp;C232)</f>
        <v>SpaceWdh</v>
      </c>
      <c r="F232" t="str">
        <f t="shared" si="23"/>
        <v/>
      </c>
      <c r="G232" t="str">
        <f t="shared" si="24"/>
        <v>SpaceWdh</v>
      </c>
      <c r="H232" t="str">
        <f t="shared" si="25"/>
        <v/>
      </c>
    </row>
    <row r="233" spans="1:8" x14ac:dyDescent="0.25">
      <c r="A233" t="s">
        <v>230</v>
      </c>
      <c r="B233" s="3">
        <f t="shared" si="20"/>
        <v>33</v>
      </c>
      <c r="C233" s="3" t="str">
        <f t="shared" si="21"/>
        <v/>
      </c>
      <c r="D233" s="3">
        <f t="shared" si="22"/>
        <v>156</v>
      </c>
      <c r="E233" s="5" t="str">
        <f>IF(C233="",IF(D233="","",IF(D233&lt;128,"Wahl "&amp;D233,INDEX(KdoCodeTab,MATCH(D233,KdoWertTab,0)))),"Status "&amp;C233)</f>
        <v>Mark</v>
      </c>
      <c r="F233" t="str">
        <f t="shared" si="23"/>
        <v/>
      </c>
      <c r="G233" t="str">
        <f t="shared" si="24"/>
        <v>Mark</v>
      </c>
      <c r="H233" t="str">
        <f t="shared" si="25"/>
        <v/>
      </c>
    </row>
    <row r="234" spans="1:8" x14ac:dyDescent="0.25">
      <c r="A234" t="s">
        <v>231</v>
      </c>
      <c r="B234" s="3">
        <f t="shared" si="20"/>
        <v>33</v>
      </c>
      <c r="C234" s="3" t="str">
        <f t="shared" si="21"/>
        <v/>
      </c>
      <c r="D234" s="3">
        <f t="shared" si="22"/>
        <v>154</v>
      </c>
      <c r="E234" s="5" t="str">
        <f>IF(C234="",IF(D234="","",IF(D234&lt;128,"Wahl "&amp;D234,INDEX(KdoCodeTab,MATCH(D234,KdoWertTab,0)))),"Status "&amp;C234)</f>
        <v>MarkWdh</v>
      </c>
      <c r="F234" t="str">
        <f t="shared" si="23"/>
        <v/>
      </c>
      <c r="G234" t="str">
        <f t="shared" si="24"/>
        <v>MarkWdh</v>
      </c>
      <c r="H234" t="str">
        <f t="shared" si="25"/>
        <v/>
      </c>
    </row>
    <row r="235" spans="1:8" x14ac:dyDescent="0.25">
      <c r="A235" t="s">
        <v>232</v>
      </c>
      <c r="B235" s="3">
        <f t="shared" si="20"/>
        <v>33</v>
      </c>
      <c r="C235" s="3" t="str">
        <f t="shared" si="21"/>
        <v/>
      </c>
      <c r="D235" s="3">
        <f t="shared" si="22"/>
        <v>147</v>
      </c>
      <c r="E235" s="5" t="str">
        <f>IF(C235="",IF(D235="","",IF(D235&lt;128,"Wahl "&amp;D235,INDEX(KdoCodeTab,MATCH(D235,KdoWertTab,0)))),"Status "&amp;C235)</f>
        <v>Space</v>
      </c>
      <c r="F235" t="str">
        <f t="shared" si="23"/>
        <v/>
      </c>
      <c r="G235" t="str">
        <f t="shared" si="24"/>
        <v>Space</v>
      </c>
      <c r="H235" t="str">
        <f t="shared" si="25"/>
        <v/>
      </c>
    </row>
    <row r="236" spans="1:8" x14ac:dyDescent="0.25">
      <c r="A236" t="s">
        <v>233</v>
      </c>
      <c r="B236" s="3">
        <f t="shared" si="20"/>
        <v>33</v>
      </c>
      <c r="C236" s="3" t="str">
        <f t="shared" si="21"/>
        <v/>
      </c>
      <c r="D236" s="3">
        <f t="shared" si="22"/>
        <v>150</v>
      </c>
      <c r="E236" s="5" t="str">
        <f>IF(C236="",IF(D236="","",IF(D236&lt;128,"Wahl "&amp;D236,INDEX(KdoCodeTab,MATCH(D236,KdoWertTab,0)))),"Status "&amp;C236)</f>
        <v>SpaceWdh</v>
      </c>
      <c r="F236" t="str">
        <f t="shared" si="23"/>
        <v/>
      </c>
      <c r="G236" t="str">
        <f t="shared" si="24"/>
        <v>SpaceWdh</v>
      </c>
      <c r="H236" t="str">
        <f t="shared" si="25"/>
        <v/>
      </c>
    </row>
    <row r="237" spans="1:8" x14ac:dyDescent="0.25">
      <c r="A237" t="s">
        <v>234</v>
      </c>
      <c r="B237" s="3">
        <f t="shared" si="20"/>
        <v>33</v>
      </c>
      <c r="C237" s="3" t="str">
        <f t="shared" si="21"/>
        <v/>
      </c>
      <c r="D237" s="3">
        <f t="shared" si="22"/>
        <v>156</v>
      </c>
      <c r="E237" s="5" t="str">
        <f>IF(C237="",IF(D237="","",IF(D237&lt;128,"Wahl "&amp;D237,INDEX(KdoCodeTab,MATCH(D237,KdoWertTab,0)))),"Status "&amp;C237)</f>
        <v>Mark</v>
      </c>
      <c r="F237" t="str">
        <f t="shared" si="23"/>
        <v/>
      </c>
      <c r="G237" t="str">
        <f t="shared" si="24"/>
        <v>Mark</v>
      </c>
      <c r="H237" t="str">
        <f t="shared" si="25"/>
        <v/>
      </c>
    </row>
    <row r="238" spans="1:8" x14ac:dyDescent="0.25">
      <c r="A238" t="s">
        <v>235</v>
      </c>
      <c r="B238" s="3">
        <f t="shared" si="20"/>
        <v>33</v>
      </c>
      <c r="C238" s="3" t="str">
        <f t="shared" si="21"/>
        <v/>
      </c>
      <c r="D238" s="3">
        <f t="shared" si="22"/>
        <v>154</v>
      </c>
      <c r="E238" s="5" t="str">
        <f>IF(C238="",IF(D238="","",IF(D238&lt;128,"Wahl "&amp;D238,INDEX(KdoCodeTab,MATCH(D238,KdoWertTab,0)))),"Status "&amp;C238)</f>
        <v>MarkWdh</v>
      </c>
      <c r="F238" t="str">
        <f t="shared" si="23"/>
        <v/>
      </c>
      <c r="G238" t="str">
        <f t="shared" si="24"/>
        <v>MarkWdh</v>
      </c>
      <c r="H238" t="str">
        <f t="shared" si="25"/>
        <v/>
      </c>
    </row>
    <row r="239" spans="1:8" x14ac:dyDescent="0.25">
      <c r="A239" t="s">
        <v>236</v>
      </c>
      <c r="B239" s="3">
        <f t="shared" si="20"/>
        <v>33</v>
      </c>
      <c r="C239" s="3" t="str">
        <f t="shared" si="21"/>
        <v/>
      </c>
      <c r="D239" s="3">
        <f t="shared" si="22"/>
        <v>147</v>
      </c>
      <c r="E239" s="5" t="str">
        <f>IF(C239="",IF(D239="","",IF(D239&lt;128,"Wahl "&amp;D239,INDEX(KdoCodeTab,MATCH(D239,KdoWertTab,0)))),"Status "&amp;C239)</f>
        <v>Space</v>
      </c>
      <c r="F239" t="str">
        <f t="shared" si="23"/>
        <v/>
      </c>
      <c r="G239" t="str">
        <f t="shared" si="24"/>
        <v>Space</v>
      </c>
      <c r="H239" t="str">
        <f t="shared" si="25"/>
        <v/>
      </c>
    </row>
    <row r="240" spans="1:8" x14ac:dyDescent="0.25">
      <c r="A240" t="s">
        <v>237</v>
      </c>
      <c r="B240" s="3">
        <f t="shared" si="20"/>
        <v>33</v>
      </c>
      <c r="C240" s="3" t="str">
        <f t="shared" si="21"/>
        <v/>
      </c>
      <c r="D240" s="3">
        <f t="shared" si="22"/>
        <v>150</v>
      </c>
      <c r="E240" s="5" t="str">
        <f>IF(C240="",IF(D240="","",IF(D240&lt;128,"Wahl "&amp;D240,INDEX(KdoCodeTab,MATCH(D240,KdoWertTab,0)))),"Status "&amp;C240)</f>
        <v>SpaceWdh</v>
      </c>
      <c r="F240" t="str">
        <f t="shared" si="23"/>
        <v/>
      </c>
      <c r="G240" t="str">
        <f t="shared" si="24"/>
        <v>SpaceWdh</v>
      </c>
      <c r="H240" t="str">
        <f t="shared" si="25"/>
        <v/>
      </c>
    </row>
    <row r="241" spans="1:8" x14ac:dyDescent="0.25">
      <c r="A241" t="s">
        <v>238</v>
      </c>
      <c r="B241" s="3">
        <f t="shared" si="20"/>
        <v>33</v>
      </c>
      <c r="C241" s="3" t="str">
        <f t="shared" si="21"/>
        <v/>
      </c>
      <c r="D241" s="3">
        <f t="shared" si="22"/>
        <v>156</v>
      </c>
      <c r="E241" s="5" t="str">
        <f>IF(C241="",IF(D241="","",IF(D241&lt;128,"Wahl "&amp;D241,INDEX(KdoCodeTab,MATCH(D241,KdoWertTab,0)))),"Status "&amp;C241)</f>
        <v>Mark</v>
      </c>
      <c r="F241" t="str">
        <f t="shared" si="23"/>
        <v/>
      </c>
      <c r="G241" t="str">
        <f t="shared" si="24"/>
        <v>Mark</v>
      </c>
      <c r="H241" t="str">
        <f t="shared" si="25"/>
        <v/>
      </c>
    </row>
    <row r="242" spans="1:8" x14ac:dyDescent="0.25">
      <c r="A242" t="s">
        <v>239</v>
      </c>
      <c r="B242" s="3">
        <f t="shared" si="20"/>
        <v>33</v>
      </c>
      <c r="C242" s="3" t="str">
        <f t="shared" si="21"/>
        <v/>
      </c>
      <c r="D242" s="3">
        <f t="shared" si="22"/>
        <v>154</v>
      </c>
      <c r="E242" s="5" t="str">
        <f>IF(C242="",IF(D242="","",IF(D242&lt;128,"Wahl "&amp;D242,INDEX(KdoCodeTab,MATCH(D242,KdoWertTab,0)))),"Status "&amp;C242)</f>
        <v>MarkWdh</v>
      </c>
      <c r="F242" t="str">
        <f t="shared" si="23"/>
        <v/>
      </c>
      <c r="G242" t="str">
        <f t="shared" si="24"/>
        <v>MarkWdh</v>
      </c>
      <c r="H242" t="str">
        <f t="shared" si="25"/>
        <v/>
      </c>
    </row>
    <row r="243" spans="1:8" x14ac:dyDescent="0.25">
      <c r="A243" t="s">
        <v>240</v>
      </c>
      <c r="B243" s="3">
        <f t="shared" si="20"/>
        <v>33</v>
      </c>
      <c r="C243" s="3" t="str">
        <f t="shared" si="21"/>
        <v/>
      </c>
      <c r="D243" s="3">
        <f t="shared" si="22"/>
        <v>147</v>
      </c>
      <c r="E243" s="5" t="str">
        <f>IF(C243="",IF(D243="","",IF(D243&lt;128,"Wahl "&amp;D243,INDEX(KdoCodeTab,MATCH(D243,KdoWertTab,0)))),"Status "&amp;C243)</f>
        <v>Space</v>
      </c>
      <c r="F243" t="str">
        <f t="shared" si="23"/>
        <v/>
      </c>
      <c r="G243" t="str">
        <f t="shared" si="24"/>
        <v>Space</v>
      </c>
      <c r="H243" t="str">
        <f t="shared" si="25"/>
        <v/>
      </c>
    </row>
    <row r="244" spans="1:8" x14ac:dyDescent="0.25">
      <c r="A244" t="s">
        <v>241</v>
      </c>
      <c r="B244" s="3">
        <f t="shared" si="20"/>
        <v>33</v>
      </c>
      <c r="C244" s="3" t="str">
        <f t="shared" si="21"/>
        <v/>
      </c>
      <c r="D244" s="3">
        <f t="shared" si="22"/>
        <v>150</v>
      </c>
      <c r="E244" s="5" t="str">
        <f>IF(C244="",IF(D244="","",IF(D244&lt;128,"Wahl "&amp;D244,INDEX(KdoCodeTab,MATCH(D244,KdoWertTab,0)))),"Status "&amp;C244)</f>
        <v>SpaceWdh</v>
      </c>
      <c r="F244" t="str">
        <f t="shared" si="23"/>
        <v/>
      </c>
      <c r="G244" t="str">
        <f t="shared" si="24"/>
        <v>SpaceWdh</v>
      </c>
      <c r="H244" t="str">
        <f t="shared" si="25"/>
        <v/>
      </c>
    </row>
    <row r="245" spans="1:8" x14ac:dyDescent="0.25">
      <c r="A245" t="s">
        <v>242</v>
      </c>
      <c r="B245" s="3">
        <f t="shared" si="20"/>
        <v>33</v>
      </c>
      <c r="C245" s="3" t="str">
        <f t="shared" si="21"/>
        <v/>
      </c>
      <c r="D245" s="3">
        <f t="shared" si="22"/>
        <v>169</v>
      </c>
      <c r="E245" s="5" t="str">
        <f>IF(C245="",IF(D245="","",IF(D245&lt;128,"Wahl "&amp;D245,INDEX(KdoCodeTab,MATCH(D245,KdoWertTab,0)))),"Status "&amp;C245)</f>
        <v>BusLebenszeichen</v>
      </c>
      <c r="F245" t="str">
        <f t="shared" si="23"/>
        <v/>
      </c>
      <c r="G245" t="str">
        <f t="shared" si="24"/>
        <v>BusLebenszeichen</v>
      </c>
      <c r="H245" t="str">
        <f t="shared" si="25"/>
        <v/>
      </c>
    </row>
    <row r="246" spans="1:8" x14ac:dyDescent="0.25">
      <c r="A246" t="s">
        <v>243</v>
      </c>
      <c r="B246" s="3">
        <f t="shared" si="20"/>
        <v>31</v>
      </c>
      <c r="C246" s="3" t="str">
        <f t="shared" si="21"/>
        <v/>
      </c>
      <c r="D246" s="3">
        <f t="shared" si="22"/>
        <v>169</v>
      </c>
      <c r="E246" s="5" t="str">
        <f>IF(C246="",IF(D246="","",IF(D246&lt;128,"Wahl "&amp;D246,INDEX(KdoCodeTab,MATCH(D246,KdoWertTab,0)))),"Status "&amp;C246)</f>
        <v>BusLebenszeichen</v>
      </c>
      <c r="F246" t="str">
        <f t="shared" si="23"/>
        <v>BusLebenszeichen</v>
      </c>
      <c r="G246" t="str">
        <f t="shared" si="24"/>
        <v/>
      </c>
      <c r="H246" t="str">
        <f t="shared" si="25"/>
        <v/>
      </c>
    </row>
    <row r="247" spans="1:8" x14ac:dyDescent="0.25">
      <c r="A247" t="s">
        <v>244</v>
      </c>
      <c r="B247" s="3">
        <f t="shared" si="20"/>
        <v>33</v>
      </c>
      <c r="C247" s="3" t="str">
        <f t="shared" si="21"/>
        <v/>
      </c>
      <c r="D247" s="3">
        <f t="shared" si="22"/>
        <v>156</v>
      </c>
      <c r="E247" s="5" t="str">
        <f>IF(C247="",IF(D247="","",IF(D247&lt;128,"Wahl "&amp;D247,INDEX(KdoCodeTab,MATCH(D247,KdoWertTab,0)))),"Status "&amp;C247)</f>
        <v>Mark</v>
      </c>
      <c r="F247" t="str">
        <f t="shared" si="23"/>
        <v/>
      </c>
      <c r="G247" t="str">
        <f t="shared" si="24"/>
        <v>Mark</v>
      </c>
      <c r="H247" t="str">
        <f t="shared" si="25"/>
        <v/>
      </c>
    </row>
    <row r="248" spans="1:8" x14ac:dyDescent="0.25">
      <c r="A248" t="s">
        <v>245</v>
      </c>
      <c r="B248" s="3">
        <f t="shared" si="20"/>
        <v>33</v>
      </c>
      <c r="C248" s="3" t="str">
        <f t="shared" si="21"/>
        <v/>
      </c>
      <c r="D248" s="3">
        <f t="shared" si="22"/>
        <v>154</v>
      </c>
      <c r="E248" s="5" t="str">
        <f>IF(C248="",IF(D248="","",IF(D248&lt;128,"Wahl "&amp;D248,INDEX(KdoCodeTab,MATCH(D248,KdoWertTab,0)))),"Status "&amp;C248)</f>
        <v>MarkWdh</v>
      </c>
      <c r="F248" t="str">
        <f t="shared" si="23"/>
        <v/>
      </c>
      <c r="G248" t="str">
        <f t="shared" si="24"/>
        <v>MarkWdh</v>
      </c>
      <c r="H248" t="str">
        <f t="shared" si="25"/>
        <v/>
      </c>
    </row>
    <row r="249" spans="1:8" x14ac:dyDescent="0.25">
      <c r="A249" t="s">
        <v>246</v>
      </c>
      <c r="B249" s="3">
        <f t="shared" si="20"/>
        <v>33</v>
      </c>
      <c r="C249" s="3" t="str">
        <f t="shared" si="21"/>
        <v/>
      </c>
      <c r="D249" s="3">
        <f t="shared" si="22"/>
        <v>147</v>
      </c>
      <c r="E249" s="5" t="str">
        <f>IF(C249="",IF(D249="","",IF(D249&lt;128,"Wahl "&amp;D249,INDEX(KdoCodeTab,MATCH(D249,KdoWertTab,0)))),"Status "&amp;C249)</f>
        <v>Space</v>
      </c>
      <c r="F249" t="str">
        <f t="shared" si="23"/>
        <v/>
      </c>
      <c r="G249" t="str">
        <f t="shared" si="24"/>
        <v>Space</v>
      </c>
      <c r="H249" t="str">
        <f t="shared" si="25"/>
        <v/>
      </c>
    </row>
    <row r="250" spans="1:8" x14ac:dyDescent="0.25">
      <c r="A250" t="s">
        <v>247</v>
      </c>
      <c r="B250" s="3">
        <f t="shared" si="20"/>
        <v>33</v>
      </c>
      <c r="C250" s="3" t="str">
        <f t="shared" si="21"/>
        <v/>
      </c>
      <c r="D250" s="3">
        <f t="shared" si="22"/>
        <v>150</v>
      </c>
      <c r="E250" s="5" t="str">
        <f>IF(C250="",IF(D250="","",IF(D250&lt;128,"Wahl "&amp;D250,INDEX(KdoCodeTab,MATCH(D250,KdoWertTab,0)))),"Status "&amp;C250)</f>
        <v>SpaceWdh</v>
      </c>
      <c r="F250" t="str">
        <f t="shared" si="23"/>
        <v/>
      </c>
      <c r="G250" t="str">
        <f t="shared" si="24"/>
        <v>SpaceWdh</v>
      </c>
      <c r="H250" t="str">
        <f t="shared" si="25"/>
        <v/>
      </c>
    </row>
    <row r="251" spans="1:8" x14ac:dyDescent="0.25">
      <c r="A251" t="s">
        <v>248</v>
      </c>
      <c r="B251" s="3">
        <f t="shared" si="20"/>
        <v>33</v>
      </c>
      <c r="C251" s="3" t="str">
        <f t="shared" si="21"/>
        <v/>
      </c>
      <c r="D251" s="3">
        <f t="shared" si="22"/>
        <v>156</v>
      </c>
      <c r="E251" s="5" t="str">
        <f>IF(C251="",IF(D251="","",IF(D251&lt;128,"Wahl "&amp;D251,INDEX(KdoCodeTab,MATCH(D251,KdoWertTab,0)))),"Status "&amp;C251)</f>
        <v>Mark</v>
      </c>
      <c r="F251" t="str">
        <f t="shared" si="23"/>
        <v/>
      </c>
      <c r="G251" t="str">
        <f t="shared" si="24"/>
        <v>Mark</v>
      </c>
      <c r="H251" t="str">
        <f t="shared" si="25"/>
        <v/>
      </c>
    </row>
    <row r="252" spans="1:8" x14ac:dyDescent="0.25">
      <c r="A252" t="s">
        <v>249</v>
      </c>
      <c r="B252" s="3">
        <f t="shared" si="20"/>
        <v>33</v>
      </c>
      <c r="C252" s="3" t="str">
        <f t="shared" si="21"/>
        <v/>
      </c>
      <c r="D252" s="3">
        <f t="shared" si="22"/>
        <v>154</v>
      </c>
      <c r="E252" s="5" t="str">
        <f>IF(C252="",IF(D252="","",IF(D252&lt;128,"Wahl "&amp;D252,INDEX(KdoCodeTab,MATCH(D252,KdoWertTab,0)))),"Status "&amp;C252)</f>
        <v>MarkWdh</v>
      </c>
      <c r="F252" t="str">
        <f t="shared" si="23"/>
        <v/>
      </c>
      <c r="G252" t="str">
        <f t="shared" si="24"/>
        <v>MarkWdh</v>
      </c>
      <c r="H252" t="str">
        <f t="shared" si="25"/>
        <v/>
      </c>
    </row>
    <row r="253" spans="1:8" x14ac:dyDescent="0.25">
      <c r="A253" t="s">
        <v>250</v>
      </c>
      <c r="B253" s="3">
        <f t="shared" si="20"/>
        <v>33</v>
      </c>
      <c r="C253" s="3" t="str">
        <f t="shared" si="21"/>
        <v/>
      </c>
      <c r="D253" s="3">
        <f t="shared" si="22"/>
        <v>147</v>
      </c>
      <c r="E253" s="5" t="str">
        <f>IF(C253="",IF(D253="","",IF(D253&lt;128,"Wahl "&amp;D253,INDEX(KdoCodeTab,MATCH(D253,KdoWertTab,0)))),"Status "&amp;C253)</f>
        <v>Space</v>
      </c>
      <c r="F253" t="str">
        <f t="shared" si="23"/>
        <v/>
      </c>
      <c r="G253" t="str">
        <f t="shared" si="24"/>
        <v>Space</v>
      </c>
      <c r="H253" t="str">
        <f t="shared" si="25"/>
        <v/>
      </c>
    </row>
    <row r="254" spans="1:8" x14ac:dyDescent="0.25">
      <c r="A254" t="s">
        <v>251</v>
      </c>
      <c r="B254" s="3">
        <f t="shared" si="20"/>
        <v>33</v>
      </c>
      <c r="C254" s="3" t="str">
        <f t="shared" si="21"/>
        <v/>
      </c>
      <c r="D254" s="3">
        <f t="shared" si="22"/>
        <v>150</v>
      </c>
      <c r="E254" s="5" t="str">
        <f>IF(C254="",IF(D254="","",IF(D254&lt;128,"Wahl "&amp;D254,INDEX(KdoCodeTab,MATCH(D254,KdoWertTab,0)))),"Status "&amp;C254)</f>
        <v>SpaceWdh</v>
      </c>
      <c r="F254" t="str">
        <f t="shared" si="23"/>
        <v/>
      </c>
      <c r="G254" t="str">
        <f t="shared" si="24"/>
        <v>SpaceWdh</v>
      </c>
      <c r="H254" t="str">
        <f t="shared" si="25"/>
        <v/>
      </c>
    </row>
    <row r="255" spans="1:8" x14ac:dyDescent="0.25">
      <c r="A255" t="s">
        <v>252</v>
      </c>
      <c r="B255" s="3">
        <f t="shared" si="20"/>
        <v>33</v>
      </c>
      <c r="C255" s="3" t="str">
        <f t="shared" si="21"/>
        <v/>
      </c>
      <c r="D255" s="3">
        <f t="shared" si="22"/>
        <v>156</v>
      </c>
      <c r="E255" s="5" t="str">
        <f>IF(C255="",IF(D255="","",IF(D255&lt;128,"Wahl "&amp;D255,INDEX(KdoCodeTab,MATCH(D255,KdoWertTab,0)))),"Status "&amp;C255)</f>
        <v>Mark</v>
      </c>
      <c r="F255" t="str">
        <f t="shared" si="23"/>
        <v/>
      </c>
      <c r="G255" t="str">
        <f t="shared" si="24"/>
        <v>Mark</v>
      </c>
      <c r="H255" t="str">
        <f t="shared" si="25"/>
        <v/>
      </c>
    </row>
    <row r="256" spans="1:8" x14ac:dyDescent="0.25">
      <c r="A256" t="s">
        <v>253</v>
      </c>
      <c r="B256" s="3">
        <f t="shared" si="20"/>
        <v>33</v>
      </c>
      <c r="C256" s="3" t="str">
        <f t="shared" si="21"/>
        <v/>
      </c>
      <c r="D256" s="3">
        <f t="shared" si="22"/>
        <v>154</v>
      </c>
      <c r="E256" s="5" t="str">
        <f>IF(C256="",IF(D256="","",IF(D256&lt;128,"Wahl "&amp;D256,INDEX(KdoCodeTab,MATCH(D256,KdoWertTab,0)))),"Status "&amp;C256)</f>
        <v>MarkWdh</v>
      </c>
      <c r="F256" t="str">
        <f t="shared" si="23"/>
        <v/>
      </c>
      <c r="G256" t="str">
        <f t="shared" si="24"/>
        <v>MarkWdh</v>
      </c>
      <c r="H256" t="str">
        <f t="shared" si="25"/>
        <v/>
      </c>
    </row>
    <row r="257" spans="1:8" x14ac:dyDescent="0.25">
      <c r="A257" t="s">
        <v>254</v>
      </c>
      <c r="B257" s="3">
        <f t="shared" si="20"/>
        <v>33</v>
      </c>
      <c r="C257" s="3" t="str">
        <f t="shared" si="21"/>
        <v/>
      </c>
      <c r="D257" s="3">
        <f t="shared" si="22"/>
        <v>147</v>
      </c>
      <c r="E257" s="5" t="str">
        <f>IF(C257="",IF(D257="","",IF(D257&lt;128,"Wahl "&amp;D257,INDEX(KdoCodeTab,MATCH(D257,KdoWertTab,0)))),"Status "&amp;C257)</f>
        <v>Space</v>
      </c>
      <c r="F257" t="str">
        <f t="shared" si="23"/>
        <v/>
      </c>
      <c r="G257" t="str">
        <f t="shared" si="24"/>
        <v>Space</v>
      </c>
      <c r="H257" t="str">
        <f t="shared" si="25"/>
        <v/>
      </c>
    </row>
    <row r="258" spans="1:8" x14ac:dyDescent="0.25">
      <c r="A258" t="s">
        <v>255</v>
      </c>
      <c r="B258" s="3">
        <f t="shared" si="20"/>
        <v>33</v>
      </c>
      <c r="C258" s="3" t="str">
        <f t="shared" si="21"/>
        <v/>
      </c>
      <c r="D258" s="3">
        <f t="shared" si="22"/>
        <v>150</v>
      </c>
      <c r="E258" s="5" t="str">
        <f>IF(C258="",IF(D258="","",IF(D258&lt;128,"Wahl "&amp;D258,INDEX(KdoCodeTab,MATCH(D258,KdoWertTab,0)))),"Status "&amp;C258)</f>
        <v>SpaceWdh</v>
      </c>
      <c r="F258" t="str">
        <f t="shared" si="23"/>
        <v/>
      </c>
      <c r="G258" t="str">
        <f t="shared" si="24"/>
        <v>SpaceWdh</v>
      </c>
      <c r="H258" t="str">
        <f t="shared" si="25"/>
        <v/>
      </c>
    </row>
    <row r="259" spans="1:8" x14ac:dyDescent="0.25">
      <c r="A259" t="s">
        <v>256</v>
      </c>
      <c r="B259" s="3">
        <f t="shared" si="20"/>
        <v>33</v>
      </c>
      <c r="C259" s="3" t="str">
        <f t="shared" si="21"/>
        <v/>
      </c>
      <c r="D259" s="3">
        <f t="shared" si="22"/>
        <v>156</v>
      </c>
      <c r="E259" s="5" t="str">
        <f>IF(C259="",IF(D259="","",IF(D259&lt;128,"Wahl "&amp;D259,INDEX(KdoCodeTab,MATCH(D259,KdoWertTab,0)))),"Status "&amp;C259)</f>
        <v>Mark</v>
      </c>
      <c r="F259" t="str">
        <f t="shared" si="23"/>
        <v/>
      </c>
      <c r="G259" t="str">
        <f t="shared" si="24"/>
        <v>Mark</v>
      </c>
      <c r="H259" t="str">
        <f t="shared" si="25"/>
        <v/>
      </c>
    </row>
    <row r="260" spans="1:8" x14ac:dyDescent="0.25">
      <c r="A260" t="s">
        <v>257</v>
      </c>
      <c r="B260" s="3">
        <f t="shared" si="20"/>
        <v>33</v>
      </c>
      <c r="C260" s="3" t="str">
        <f t="shared" si="21"/>
        <v/>
      </c>
      <c r="D260" s="3">
        <f t="shared" si="22"/>
        <v>154</v>
      </c>
      <c r="E260" s="5" t="str">
        <f>IF(C260="",IF(D260="","",IF(D260&lt;128,"Wahl "&amp;D260,INDEX(KdoCodeTab,MATCH(D260,KdoWertTab,0)))),"Status "&amp;C260)</f>
        <v>MarkWdh</v>
      </c>
      <c r="F260" t="str">
        <f t="shared" si="23"/>
        <v/>
      </c>
      <c r="G260" t="str">
        <f t="shared" si="24"/>
        <v>MarkWdh</v>
      </c>
      <c r="H260" t="str">
        <f t="shared" si="25"/>
        <v/>
      </c>
    </row>
    <row r="261" spans="1:8" x14ac:dyDescent="0.25">
      <c r="A261" t="s">
        <v>258</v>
      </c>
      <c r="B261" s="3">
        <f t="shared" ref="B261:B324" si="26">INT(HEX2DEC(MID(A261,8,2))/2)</f>
        <v>33</v>
      </c>
      <c r="C261" s="3" t="str">
        <f t="shared" ref="C261:C324" si="27">IF(MID(A261,10,1)="&lt;",MID(A261,12,2),"")</f>
        <v/>
      </c>
      <c r="D261" s="3">
        <f t="shared" ref="D261:D324" si="28">IF(MID(A261,10,1)="&gt;",HEX2DEC(MID(A261,12,2)),"")</f>
        <v>147</v>
      </c>
      <c r="E261" s="5" t="str">
        <f>IF(C261="",IF(D261="","",IF(D261&lt;128,"Wahl "&amp;D261,INDEX(KdoCodeTab,MATCH(D261,KdoWertTab,0)))),"Status "&amp;C261)</f>
        <v>Space</v>
      </c>
      <c r="F261" t="str">
        <f t="shared" ref="F261:F324" si="29">IF(B261=$F$2,E261,"")</f>
        <v/>
      </c>
      <c r="G261" t="str">
        <f t="shared" ref="G261:G324" si="30">IF(B261=$G$2,E261,"")</f>
        <v>Space</v>
      </c>
      <c r="H261" t="str">
        <f t="shared" ref="H261:H324" si="31">IF(F261&amp;G261="",E261,"")</f>
        <v/>
      </c>
    </row>
    <row r="262" spans="1:8" x14ac:dyDescent="0.25">
      <c r="A262" t="s">
        <v>259</v>
      </c>
      <c r="B262" s="3">
        <f t="shared" si="26"/>
        <v>33</v>
      </c>
      <c r="C262" s="3" t="str">
        <f t="shared" si="27"/>
        <v/>
      </c>
      <c r="D262" s="3">
        <f t="shared" si="28"/>
        <v>150</v>
      </c>
      <c r="E262" s="5" t="str">
        <f>IF(C262="",IF(D262="","",IF(D262&lt;128,"Wahl "&amp;D262,INDEX(KdoCodeTab,MATCH(D262,KdoWertTab,0)))),"Status "&amp;C262)</f>
        <v>SpaceWdh</v>
      </c>
      <c r="F262" t="str">
        <f t="shared" si="29"/>
        <v/>
      </c>
      <c r="G262" t="str">
        <f t="shared" si="30"/>
        <v>SpaceWdh</v>
      </c>
      <c r="H262" t="str">
        <f t="shared" si="31"/>
        <v/>
      </c>
    </row>
    <row r="263" spans="1:8" x14ac:dyDescent="0.25">
      <c r="A263" t="s">
        <v>260</v>
      </c>
      <c r="B263" s="3">
        <f t="shared" si="26"/>
        <v>33</v>
      </c>
      <c r="C263" s="3" t="str">
        <f t="shared" si="27"/>
        <v/>
      </c>
      <c r="D263" s="3">
        <f t="shared" si="28"/>
        <v>156</v>
      </c>
      <c r="E263" s="5" t="str">
        <f>IF(C263="",IF(D263="","",IF(D263&lt;128,"Wahl "&amp;D263,INDEX(KdoCodeTab,MATCH(D263,KdoWertTab,0)))),"Status "&amp;C263)</f>
        <v>Mark</v>
      </c>
      <c r="F263" t="str">
        <f t="shared" si="29"/>
        <v/>
      </c>
      <c r="G263" t="str">
        <f t="shared" si="30"/>
        <v>Mark</v>
      </c>
      <c r="H263" t="str">
        <f t="shared" si="31"/>
        <v/>
      </c>
    </row>
    <row r="264" spans="1:8" x14ac:dyDescent="0.25">
      <c r="A264" t="s">
        <v>261</v>
      </c>
      <c r="B264" s="3">
        <f t="shared" si="26"/>
        <v>33</v>
      </c>
      <c r="C264" s="3" t="str">
        <f t="shared" si="27"/>
        <v/>
      </c>
      <c r="D264" s="3">
        <f t="shared" si="28"/>
        <v>154</v>
      </c>
      <c r="E264" s="5" t="str">
        <f>IF(C264="",IF(D264="","",IF(D264&lt;128,"Wahl "&amp;D264,INDEX(KdoCodeTab,MATCH(D264,KdoWertTab,0)))),"Status "&amp;C264)</f>
        <v>MarkWdh</v>
      </c>
      <c r="F264" t="str">
        <f t="shared" si="29"/>
        <v/>
      </c>
      <c r="G264" t="str">
        <f t="shared" si="30"/>
        <v>MarkWdh</v>
      </c>
      <c r="H264" t="str">
        <f t="shared" si="31"/>
        <v/>
      </c>
    </row>
    <row r="265" spans="1:8" x14ac:dyDescent="0.25">
      <c r="A265" t="s">
        <v>262</v>
      </c>
      <c r="B265" s="3">
        <f t="shared" si="26"/>
        <v>33</v>
      </c>
      <c r="C265" s="3" t="str">
        <f t="shared" si="27"/>
        <v/>
      </c>
      <c r="D265" s="3">
        <f t="shared" si="28"/>
        <v>147</v>
      </c>
      <c r="E265" s="5" t="str">
        <f>IF(C265="",IF(D265="","",IF(D265&lt;128,"Wahl "&amp;D265,INDEX(KdoCodeTab,MATCH(D265,KdoWertTab,0)))),"Status "&amp;C265)</f>
        <v>Space</v>
      </c>
      <c r="F265" t="str">
        <f t="shared" si="29"/>
        <v/>
      </c>
      <c r="G265" t="str">
        <f t="shared" si="30"/>
        <v>Space</v>
      </c>
      <c r="H265" t="str">
        <f t="shared" si="31"/>
        <v/>
      </c>
    </row>
    <row r="266" spans="1:8" x14ac:dyDescent="0.25">
      <c r="A266" t="s">
        <v>263</v>
      </c>
      <c r="B266" s="3">
        <f t="shared" si="26"/>
        <v>33</v>
      </c>
      <c r="C266" s="3" t="str">
        <f t="shared" si="27"/>
        <v/>
      </c>
      <c r="D266" s="3">
        <f t="shared" si="28"/>
        <v>150</v>
      </c>
      <c r="E266" s="5" t="str">
        <f>IF(C266="",IF(D266="","",IF(D266&lt;128,"Wahl "&amp;D266,INDEX(KdoCodeTab,MATCH(D266,KdoWertTab,0)))),"Status "&amp;C266)</f>
        <v>SpaceWdh</v>
      </c>
      <c r="F266" t="str">
        <f t="shared" si="29"/>
        <v/>
      </c>
      <c r="G266" t="str">
        <f t="shared" si="30"/>
        <v>SpaceWdh</v>
      </c>
      <c r="H266" t="str">
        <f t="shared" si="31"/>
        <v/>
      </c>
    </row>
    <row r="267" spans="1:8" x14ac:dyDescent="0.25">
      <c r="A267" t="s">
        <v>264</v>
      </c>
      <c r="B267" s="3">
        <f t="shared" si="26"/>
        <v>33</v>
      </c>
      <c r="C267" s="3" t="str">
        <f t="shared" si="27"/>
        <v/>
      </c>
      <c r="D267" s="3">
        <f t="shared" si="28"/>
        <v>156</v>
      </c>
      <c r="E267" s="5" t="str">
        <f>IF(C267="",IF(D267="","",IF(D267&lt;128,"Wahl "&amp;D267,INDEX(KdoCodeTab,MATCH(D267,KdoWertTab,0)))),"Status "&amp;C267)</f>
        <v>Mark</v>
      </c>
      <c r="F267" t="str">
        <f t="shared" si="29"/>
        <v/>
      </c>
      <c r="G267" t="str">
        <f t="shared" si="30"/>
        <v>Mark</v>
      </c>
      <c r="H267" t="str">
        <f t="shared" si="31"/>
        <v/>
      </c>
    </row>
    <row r="268" spans="1:8" x14ac:dyDescent="0.25">
      <c r="A268" t="s">
        <v>265</v>
      </c>
      <c r="B268" s="3">
        <f t="shared" si="26"/>
        <v>33</v>
      </c>
      <c r="C268" s="3" t="str">
        <f t="shared" si="27"/>
        <v/>
      </c>
      <c r="D268" s="3">
        <f t="shared" si="28"/>
        <v>154</v>
      </c>
      <c r="E268" s="5" t="str">
        <f>IF(C268="",IF(D268="","",IF(D268&lt;128,"Wahl "&amp;D268,INDEX(KdoCodeTab,MATCH(D268,KdoWertTab,0)))),"Status "&amp;C268)</f>
        <v>MarkWdh</v>
      </c>
      <c r="F268" t="str">
        <f t="shared" si="29"/>
        <v/>
      </c>
      <c r="G268" t="str">
        <f t="shared" si="30"/>
        <v>MarkWdh</v>
      </c>
      <c r="H268" t="str">
        <f t="shared" si="31"/>
        <v/>
      </c>
    </row>
    <row r="269" spans="1:8" x14ac:dyDescent="0.25">
      <c r="A269" t="s">
        <v>266</v>
      </c>
      <c r="B269" s="3">
        <f t="shared" si="26"/>
        <v>33</v>
      </c>
      <c r="C269" s="3" t="str">
        <f t="shared" si="27"/>
        <v/>
      </c>
      <c r="D269" s="3">
        <f t="shared" si="28"/>
        <v>147</v>
      </c>
      <c r="E269" s="5" t="str">
        <f>IF(C269="",IF(D269="","",IF(D269&lt;128,"Wahl "&amp;D269,INDEX(KdoCodeTab,MATCH(D269,KdoWertTab,0)))),"Status "&amp;C269)</f>
        <v>Space</v>
      </c>
      <c r="F269" t="str">
        <f t="shared" si="29"/>
        <v/>
      </c>
      <c r="G269" t="str">
        <f t="shared" si="30"/>
        <v>Space</v>
      </c>
      <c r="H269" t="str">
        <f t="shared" si="31"/>
        <v/>
      </c>
    </row>
    <row r="270" spans="1:8" x14ac:dyDescent="0.25">
      <c r="A270" t="s">
        <v>267</v>
      </c>
      <c r="B270" s="3">
        <f t="shared" si="26"/>
        <v>33</v>
      </c>
      <c r="C270" s="3" t="str">
        <f t="shared" si="27"/>
        <v/>
      </c>
      <c r="D270" s="3">
        <f t="shared" si="28"/>
        <v>150</v>
      </c>
      <c r="E270" s="5" t="str">
        <f>IF(C270="",IF(D270="","",IF(D270&lt;128,"Wahl "&amp;D270,INDEX(KdoCodeTab,MATCH(D270,KdoWertTab,0)))),"Status "&amp;C270)</f>
        <v>SpaceWdh</v>
      </c>
      <c r="F270" t="str">
        <f t="shared" si="29"/>
        <v/>
      </c>
      <c r="G270" t="str">
        <f t="shared" si="30"/>
        <v>SpaceWdh</v>
      </c>
      <c r="H270" t="str">
        <f t="shared" si="31"/>
        <v/>
      </c>
    </row>
    <row r="271" spans="1:8" x14ac:dyDescent="0.25">
      <c r="A271" t="s">
        <v>268</v>
      </c>
      <c r="B271" s="3">
        <f t="shared" si="26"/>
        <v>33</v>
      </c>
      <c r="C271" s="3" t="str">
        <f t="shared" si="27"/>
        <v/>
      </c>
      <c r="D271" s="3">
        <f t="shared" si="28"/>
        <v>156</v>
      </c>
      <c r="E271" s="5" t="str">
        <f>IF(C271="",IF(D271="","",IF(D271&lt;128,"Wahl "&amp;D271,INDEX(KdoCodeTab,MATCH(D271,KdoWertTab,0)))),"Status "&amp;C271)</f>
        <v>Mark</v>
      </c>
      <c r="F271" t="str">
        <f t="shared" si="29"/>
        <v/>
      </c>
      <c r="G271" t="str">
        <f t="shared" si="30"/>
        <v>Mark</v>
      </c>
      <c r="H271" t="str">
        <f t="shared" si="31"/>
        <v/>
      </c>
    </row>
    <row r="272" spans="1:8" x14ac:dyDescent="0.25">
      <c r="A272" t="s">
        <v>269</v>
      </c>
      <c r="B272" s="3">
        <f t="shared" si="26"/>
        <v>33</v>
      </c>
      <c r="C272" s="3" t="str">
        <f t="shared" si="27"/>
        <v/>
      </c>
      <c r="D272" s="3">
        <f t="shared" si="28"/>
        <v>154</v>
      </c>
      <c r="E272" s="5" t="str">
        <f>IF(C272="",IF(D272="","",IF(D272&lt;128,"Wahl "&amp;D272,INDEX(KdoCodeTab,MATCH(D272,KdoWertTab,0)))),"Status "&amp;C272)</f>
        <v>MarkWdh</v>
      </c>
      <c r="F272" t="str">
        <f t="shared" si="29"/>
        <v/>
      </c>
      <c r="G272" t="str">
        <f t="shared" si="30"/>
        <v>MarkWdh</v>
      </c>
      <c r="H272" t="str">
        <f t="shared" si="31"/>
        <v/>
      </c>
    </row>
    <row r="273" spans="1:8" x14ac:dyDescent="0.25">
      <c r="A273" t="s">
        <v>270</v>
      </c>
      <c r="B273" s="3">
        <f t="shared" si="26"/>
        <v>33</v>
      </c>
      <c r="C273" s="3" t="str">
        <f t="shared" si="27"/>
        <v/>
      </c>
      <c r="D273" s="3">
        <f t="shared" si="28"/>
        <v>169</v>
      </c>
      <c r="E273" s="5" t="str">
        <f>IF(C273="",IF(D273="","",IF(D273&lt;128,"Wahl "&amp;D273,INDEX(KdoCodeTab,MATCH(D273,KdoWertTab,0)))),"Status "&amp;C273)</f>
        <v>BusLebenszeichen</v>
      </c>
      <c r="F273" t="str">
        <f t="shared" si="29"/>
        <v/>
      </c>
      <c r="G273" t="str">
        <f t="shared" si="30"/>
        <v>BusLebenszeichen</v>
      </c>
      <c r="H273" t="str">
        <f t="shared" si="31"/>
        <v/>
      </c>
    </row>
    <row r="274" spans="1:8" x14ac:dyDescent="0.25">
      <c r="A274" t="s">
        <v>271</v>
      </c>
      <c r="B274" s="3">
        <f t="shared" si="26"/>
        <v>31</v>
      </c>
      <c r="C274" s="3" t="str">
        <f t="shared" si="27"/>
        <v/>
      </c>
      <c r="D274" s="3">
        <f t="shared" si="28"/>
        <v>169</v>
      </c>
      <c r="E274" s="5" t="str">
        <f>IF(C274="",IF(D274="","",IF(D274&lt;128,"Wahl "&amp;D274,INDEX(KdoCodeTab,MATCH(D274,KdoWertTab,0)))),"Status "&amp;C274)</f>
        <v>BusLebenszeichen</v>
      </c>
      <c r="F274" t="str">
        <f t="shared" si="29"/>
        <v>BusLebenszeichen</v>
      </c>
      <c r="G274" t="str">
        <f t="shared" si="30"/>
        <v/>
      </c>
      <c r="H274" t="str">
        <f t="shared" si="31"/>
        <v/>
      </c>
    </row>
    <row r="275" spans="1:8" x14ac:dyDescent="0.25">
      <c r="A275" t="s">
        <v>272</v>
      </c>
      <c r="B275" s="3">
        <f t="shared" si="26"/>
        <v>33</v>
      </c>
      <c r="C275" s="3" t="str">
        <f t="shared" si="27"/>
        <v/>
      </c>
      <c r="D275" s="3">
        <f t="shared" si="28"/>
        <v>147</v>
      </c>
      <c r="E275" s="5" t="str">
        <f>IF(C275="",IF(D275="","",IF(D275&lt;128,"Wahl "&amp;D275,INDEX(KdoCodeTab,MATCH(D275,KdoWertTab,0)))),"Status "&amp;C275)</f>
        <v>Space</v>
      </c>
      <c r="F275" t="str">
        <f t="shared" si="29"/>
        <v/>
      </c>
      <c r="G275" t="str">
        <f t="shared" si="30"/>
        <v>Space</v>
      </c>
      <c r="H275" t="str">
        <f t="shared" si="31"/>
        <v/>
      </c>
    </row>
    <row r="276" spans="1:8" x14ac:dyDescent="0.25">
      <c r="A276" t="s">
        <v>273</v>
      </c>
      <c r="B276" s="3">
        <f t="shared" si="26"/>
        <v>33</v>
      </c>
      <c r="C276" s="3" t="str">
        <f t="shared" si="27"/>
        <v/>
      </c>
      <c r="D276" s="3">
        <f t="shared" si="28"/>
        <v>150</v>
      </c>
      <c r="E276" s="5" t="str">
        <f>IF(C276="",IF(D276="","",IF(D276&lt;128,"Wahl "&amp;D276,INDEX(KdoCodeTab,MATCH(D276,KdoWertTab,0)))),"Status "&amp;C276)</f>
        <v>SpaceWdh</v>
      </c>
      <c r="F276" t="str">
        <f t="shared" si="29"/>
        <v/>
      </c>
      <c r="G276" t="str">
        <f t="shared" si="30"/>
        <v>SpaceWdh</v>
      </c>
      <c r="H276" t="str">
        <f t="shared" si="31"/>
        <v/>
      </c>
    </row>
    <row r="277" spans="1:8" x14ac:dyDescent="0.25">
      <c r="A277" t="s">
        <v>274</v>
      </c>
      <c r="B277" s="3">
        <f t="shared" si="26"/>
        <v>33</v>
      </c>
      <c r="C277" s="3" t="str">
        <f t="shared" si="27"/>
        <v/>
      </c>
      <c r="D277" s="3">
        <f t="shared" si="28"/>
        <v>156</v>
      </c>
      <c r="E277" s="5" t="str">
        <f>IF(C277="",IF(D277="","",IF(D277&lt;128,"Wahl "&amp;D277,INDEX(KdoCodeTab,MATCH(D277,KdoWertTab,0)))),"Status "&amp;C277)</f>
        <v>Mark</v>
      </c>
      <c r="F277" t="str">
        <f t="shared" si="29"/>
        <v/>
      </c>
      <c r="G277" t="str">
        <f t="shared" si="30"/>
        <v>Mark</v>
      </c>
      <c r="H277" t="str">
        <f t="shared" si="31"/>
        <v/>
      </c>
    </row>
    <row r="278" spans="1:8" x14ac:dyDescent="0.25">
      <c r="A278" t="s">
        <v>275</v>
      </c>
      <c r="B278" s="3">
        <f t="shared" si="26"/>
        <v>33</v>
      </c>
      <c r="C278" s="3" t="str">
        <f t="shared" si="27"/>
        <v/>
      </c>
      <c r="D278" s="3">
        <f t="shared" si="28"/>
        <v>154</v>
      </c>
      <c r="E278" s="5" t="str">
        <f>IF(C278="",IF(D278="","",IF(D278&lt;128,"Wahl "&amp;D278,INDEX(KdoCodeTab,MATCH(D278,KdoWertTab,0)))),"Status "&amp;C278)</f>
        <v>MarkWdh</v>
      </c>
      <c r="F278" t="str">
        <f t="shared" si="29"/>
        <v/>
      </c>
      <c r="G278" t="str">
        <f t="shared" si="30"/>
        <v>MarkWdh</v>
      </c>
      <c r="H278" t="str">
        <f t="shared" si="31"/>
        <v/>
      </c>
    </row>
    <row r="279" spans="1:8" x14ac:dyDescent="0.25">
      <c r="A279" t="s">
        <v>276</v>
      </c>
      <c r="B279" s="3">
        <f t="shared" si="26"/>
        <v>33</v>
      </c>
      <c r="C279" s="3" t="str">
        <f t="shared" si="27"/>
        <v/>
      </c>
      <c r="D279" s="3">
        <f t="shared" si="28"/>
        <v>147</v>
      </c>
      <c r="E279" s="5" t="str">
        <f>IF(C279="",IF(D279="","",IF(D279&lt;128,"Wahl "&amp;D279,INDEX(KdoCodeTab,MATCH(D279,KdoWertTab,0)))),"Status "&amp;C279)</f>
        <v>Space</v>
      </c>
      <c r="F279" t="str">
        <f t="shared" si="29"/>
        <v/>
      </c>
      <c r="G279" t="str">
        <f t="shared" si="30"/>
        <v>Space</v>
      </c>
      <c r="H279" t="str">
        <f t="shared" si="31"/>
        <v/>
      </c>
    </row>
    <row r="280" spans="1:8" x14ac:dyDescent="0.25">
      <c r="A280" t="s">
        <v>277</v>
      </c>
      <c r="B280" s="3">
        <f t="shared" si="26"/>
        <v>33</v>
      </c>
      <c r="C280" s="3" t="str">
        <f t="shared" si="27"/>
        <v/>
      </c>
      <c r="D280" s="3">
        <f t="shared" si="28"/>
        <v>150</v>
      </c>
      <c r="E280" s="5" t="str">
        <f>IF(C280="",IF(D280="","",IF(D280&lt;128,"Wahl "&amp;D280,INDEX(KdoCodeTab,MATCH(D280,KdoWertTab,0)))),"Status "&amp;C280)</f>
        <v>SpaceWdh</v>
      </c>
      <c r="F280" t="str">
        <f t="shared" si="29"/>
        <v/>
      </c>
      <c r="G280" t="str">
        <f t="shared" si="30"/>
        <v>SpaceWdh</v>
      </c>
      <c r="H280" t="str">
        <f t="shared" si="31"/>
        <v/>
      </c>
    </row>
    <row r="281" spans="1:8" x14ac:dyDescent="0.25">
      <c r="A281" t="s">
        <v>278</v>
      </c>
      <c r="B281" s="3">
        <f t="shared" si="26"/>
        <v>33</v>
      </c>
      <c r="C281" s="3" t="str">
        <f t="shared" si="27"/>
        <v/>
      </c>
      <c r="D281" s="3">
        <f t="shared" si="28"/>
        <v>156</v>
      </c>
      <c r="E281" s="5" t="str">
        <f>IF(C281="",IF(D281="","",IF(D281&lt;128,"Wahl "&amp;D281,INDEX(KdoCodeTab,MATCH(D281,KdoWertTab,0)))),"Status "&amp;C281)</f>
        <v>Mark</v>
      </c>
      <c r="F281" t="str">
        <f t="shared" si="29"/>
        <v/>
      </c>
      <c r="G281" t="str">
        <f t="shared" si="30"/>
        <v>Mark</v>
      </c>
      <c r="H281" t="str">
        <f t="shared" si="31"/>
        <v/>
      </c>
    </row>
    <row r="282" spans="1:8" x14ac:dyDescent="0.25">
      <c r="A282" t="s">
        <v>279</v>
      </c>
      <c r="B282" s="3">
        <f t="shared" si="26"/>
        <v>33</v>
      </c>
      <c r="C282" s="3" t="str">
        <f t="shared" si="27"/>
        <v/>
      </c>
      <c r="D282" s="3">
        <f t="shared" si="28"/>
        <v>154</v>
      </c>
      <c r="E282" s="5" t="str">
        <f>IF(C282="",IF(D282="","",IF(D282&lt;128,"Wahl "&amp;D282,INDEX(KdoCodeTab,MATCH(D282,KdoWertTab,0)))),"Status "&amp;C282)</f>
        <v>MarkWdh</v>
      </c>
      <c r="F282" t="str">
        <f t="shared" si="29"/>
        <v/>
      </c>
      <c r="G282" t="str">
        <f t="shared" si="30"/>
        <v>MarkWdh</v>
      </c>
      <c r="H282" t="str">
        <f t="shared" si="31"/>
        <v/>
      </c>
    </row>
    <row r="283" spans="1:8" x14ac:dyDescent="0.25">
      <c r="A283" t="s">
        <v>280</v>
      </c>
      <c r="B283" s="3">
        <f t="shared" si="26"/>
        <v>33</v>
      </c>
      <c r="C283" s="3" t="str">
        <f t="shared" si="27"/>
        <v/>
      </c>
      <c r="D283" s="3">
        <f t="shared" si="28"/>
        <v>147</v>
      </c>
      <c r="E283" s="5" t="str">
        <f>IF(C283="",IF(D283="","",IF(D283&lt;128,"Wahl "&amp;D283,INDEX(KdoCodeTab,MATCH(D283,KdoWertTab,0)))),"Status "&amp;C283)</f>
        <v>Space</v>
      </c>
      <c r="F283" t="str">
        <f t="shared" si="29"/>
        <v/>
      </c>
      <c r="G283" t="str">
        <f t="shared" si="30"/>
        <v>Space</v>
      </c>
      <c r="H283" t="str">
        <f t="shared" si="31"/>
        <v/>
      </c>
    </row>
    <row r="284" spans="1:8" x14ac:dyDescent="0.25">
      <c r="A284" t="s">
        <v>281</v>
      </c>
      <c r="B284" s="3">
        <f t="shared" si="26"/>
        <v>33</v>
      </c>
      <c r="C284" s="3" t="str">
        <f t="shared" si="27"/>
        <v/>
      </c>
      <c r="D284" s="3">
        <f t="shared" si="28"/>
        <v>150</v>
      </c>
      <c r="E284" s="5" t="str">
        <f>IF(C284="",IF(D284="","",IF(D284&lt;128,"Wahl "&amp;D284,INDEX(KdoCodeTab,MATCH(D284,KdoWertTab,0)))),"Status "&amp;C284)</f>
        <v>SpaceWdh</v>
      </c>
      <c r="F284" t="str">
        <f t="shared" si="29"/>
        <v/>
      </c>
      <c r="G284" t="str">
        <f t="shared" si="30"/>
        <v>SpaceWdh</v>
      </c>
      <c r="H284" t="str">
        <f t="shared" si="31"/>
        <v/>
      </c>
    </row>
    <row r="285" spans="1:8" x14ac:dyDescent="0.25">
      <c r="A285" t="s">
        <v>282</v>
      </c>
      <c r="B285" s="3">
        <f t="shared" si="26"/>
        <v>33</v>
      </c>
      <c r="C285" s="3" t="str">
        <f t="shared" si="27"/>
        <v/>
      </c>
      <c r="D285" s="3">
        <f t="shared" si="28"/>
        <v>156</v>
      </c>
      <c r="E285" s="5" t="str">
        <f>IF(C285="",IF(D285="","",IF(D285&lt;128,"Wahl "&amp;D285,INDEX(KdoCodeTab,MATCH(D285,KdoWertTab,0)))),"Status "&amp;C285)</f>
        <v>Mark</v>
      </c>
      <c r="F285" t="str">
        <f t="shared" si="29"/>
        <v/>
      </c>
      <c r="G285" t="str">
        <f t="shared" si="30"/>
        <v>Mark</v>
      </c>
      <c r="H285" t="str">
        <f t="shared" si="31"/>
        <v/>
      </c>
    </row>
    <row r="286" spans="1:8" x14ac:dyDescent="0.25">
      <c r="A286" t="s">
        <v>283</v>
      </c>
      <c r="B286" s="3">
        <f t="shared" si="26"/>
        <v>33</v>
      </c>
      <c r="C286" s="3" t="str">
        <f t="shared" si="27"/>
        <v/>
      </c>
      <c r="D286" s="3">
        <f t="shared" si="28"/>
        <v>154</v>
      </c>
      <c r="E286" s="5" t="str">
        <f>IF(C286="",IF(D286="","",IF(D286&lt;128,"Wahl "&amp;D286,INDEX(KdoCodeTab,MATCH(D286,KdoWertTab,0)))),"Status "&amp;C286)</f>
        <v>MarkWdh</v>
      </c>
      <c r="F286" t="str">
        <f t="shared" si="29"/>
        <v/>
      </c>
      <c r="G286" t="str">
        <f t="shared" si="30"/>
        <v>MarkWdh</v>
      </c>
      <c r="H286" t="str">
        <f t="shared" si="31"/>
        <v/>
      </c>
    </row>
    <row r="287" spans="1:8" x14ac:dyDescent="0.25">
      <c r="A287" t="s">
        <v>284</v>
      </c>
      <c r="B287" s="3">
        <f t="shared" si="26"/>
        <v>33</v>
      </c>
      <c r="C287" s="3" t="str">
        <f t="shared" si="27"/>
        <v/>
      </c>
      <c r="D287" s="3">
        <f t="shared" si="28"/>
        <v>147</v>
      </c>
      <c r="E287" s="5" t="str">
        <f>IF(C287="",IF(D287="","",IF(D287&lt;128,"Wahl "&amp;D287,INDEX(KdoCodeTab,MATCH(D287,KdoWertTab,0)))),"Status "&amp;C287)</f>
        <v>Space</v>
      </c>
      <c r="F287" t="str">
        <f t="shared" si="29"/>
        <v/>
      </c>
      <c r="G287" t="str">
        <f t="shared" si="30"/>
        <v>Space</v>
      </c>
      <c r="H287" t="str">
        <f t="shared" si="31"/>
        <v/>
      </c>
    </row>
    <row r="288" spans="1:8" x14ac:dyDescent="0.25">
      <c r="A288" t="s">
        <v>285</v>
      </c>
      <c r="B288" s="3">
        <f t="shared" si="26"/>
        <v>33</v>
      </c>
      <c r="C288" s="3" t="str">
        <f t="shared" si="27"/>
        <v/>
      </c>
      <c r="D288" s="3">
        <f t="shared" si="28"/>
        <v>150</v>
      </c>
      <c r="E288" s="5" t="str">
        <f>IF(C288="",IF(D288="","",IF(D288&lt;128,"Wahl "&amp;D288,INDEX(KdoCodeTab,MATCH(D288,KdoWertTab,0)))),"Status "&amp;C288)</f>
        <v>SpaceWdh</v>
      </c>
      <c r="F288" t="str">
        <f t="shared" si="29"/>
        <v/>
      </c>
      <c r="G288" t="str">
        <f t="shared" si="30"/>
        <v>SpaceWdh</v>
      </c>
      <c r="H288" t="str">
        <f t="shared" si="31"/>
        <v/>
      </c>
    </row>
    <row r="289" spans="1:8" x14ac:dyDescent="0.25">
      <c r="A289" t="s">
        <v>286</v>
      </c>
      <c r="B289" s="3">
        <f t="shared" si="26"/>
        <v>33</v>
      </c>
      <c r="C289" s="3" t="str">
        <f t="shared" si="27"/>
        <v/>
      </c>
      <c r="D289" s="3">
        <f t="shared" si="28"/>
        <v>156</v>
      </c>
      <c r="E289" s="5" t="str">
        <f>IF(C289="",IF(D289="","",IF(D289&lt;128,"Wahl "&amp;D289,INDEX(KdoCodeTab,MATCH(D289,KdoWertTab,0)))),"Status "&amp;C289)</f>
        <v>Mark</v>
      </c>
      <c r="F289" t="str">
        <f t="shared" si="29"/>
        <v/>
      </c>
      <c r="G289" t="str">
        <f t="shared" si="30"/>
        <v>Mark</v>
      </c>
      <c r="H289" t="str">
        <f t="shared" si="31"/>
        <v/>
      </c>
    </row>
    <row r="290" spans="1:8" x14ac:dyDescent="0.25">
      <c r="A290" t="s">
        <v>287</v>
      </c>
      <c r="B290" s="3">
        <f t="shared" si="26"/>
        <v>33</v>
      </c>
      <c r="C290" s="3" t="str">
        <f t="shared" si="27"/>
        <v/>
      </c>
      <c r="D290" s="3">
        <f t="shared" si="28"/>
        <v>154</v>
      </c>
      <c r="E290" s="5" t="str">
        <f>IF(C290="",IF(D290="","",IF(D290&lt;128,"Wahl "&amp;D290,INDEX(KdoCodeTab,MATCH(D290,KdoWertTab,0)))),"Status "&amp;C290)</f>
        <v>MarkWdh</v>
      </c>
      <c r="F290" t="str">
        <f t="shared" si="29"/>
        <v/>
      </c>
      <c r="G290" t="str">
        <f t="shared" si="30"/>
        <v>MarkWdh</v>
      </c>
      <c r="H290" t="str">
        <f t="shared" si="31"/>
        <v/>
      </c>
    </row>
    <row r="291" spans="1:8" x14ac:dyDescent="0.25">
      <c r="A291" t="s">
        <v>288</v>
      </c>
      <c r="B291" s="3">
        <f t="shared" si="26"/>
        <v>33</v>
      </c>
      <c r="C291" s="3" t="str">
        <f t="shared" si="27"/>
        <v/>
      </c>
      <c r="D291" s="3">
        <f t="shared" si="28"/>
        <v>147</v>
      </c>
      <c r="E291" s="5" t="str">
        <f>IF(C291="",IF(D291="","",IF(D291&lt;128,"Wahl "&amp;D291,INDEX(KdoCodeTab,MATCH(D291,KdoWertTab,0)))),"Status "&amp;C291)</f>
        <v>Space</v>
      </c>
      <c r="F291" t="str">
        <f t="shared" si="29"/>
        <v/>
      </c>
      <c r="G291" t="str">
        <f t="shared" si="30"/>
        <v>Space</v>
      </c>
      <c r="H291" t="str">
        <f t="shared" si="31"/>
        <v/>
      </c>
    </row>
    <row r="292" spans="1:8" x14ac:dyDescent="0.25">
      <c r="A292" t="s">
        <v>289</v>
      </c>
      <c r="B292" s="3">
        <f t="shared" si="26"/>
        <v>33</v>
      </c>
      <c r="C292" s="3" t="str">
        <f t="shared" si="27"/>
        <v/>
      </c>
      <c r="D292" s="3">
        <f t="shared" si="28"/>
        <v>150</v>
      </c>
      <c r="E292" s="5" t="str">
        <f>IF(C292="",IF(D292="","",IF(D292&lt;128,"Wahl "&amp;D292,INDEX(KdoCodeTab,MATCH(D292,KdoWertTab,0)))),"Status "&amp;C292)</f>
        <v>SpaceWdh</v>
      </c>
      <c r="F292" t="str">
        <f t="shared" si="29"/>
        <v/>
      </c>
      <c r="G292" t="str">
        <f t="shared" si="30"/>
        <v>SpaceWdh</v>
      </c>
      <c r="H292" t="str">
        <f t="shared" si="31"/>
        <v/>
      </c>
    </row>
    <row r="293" spans="1:8" x14ac:dyDescent="0.25">
      <c r="A293" t="s">
        <v>290</v>
      </c>
      <c r="B293" s="3">
        <f t="shared" si="26"/>
        <v>33</v>
      </c>
      <c r="C293" s="3" t="str">
        <f t="shared" si="27"/>
        <v/>
      </c>
      <c r="D293" s="3">
        <f t="shared" si="28"/>
        <v>156</v>
      </c>
      <c r="E293" s="5" t="str">
        <f>IF(C293="",IF(D293="","",IF(D293&lt;128,"Wahl "&amp;D293,INDEX(KdoCodeTab,MATCH(D293,KdoWertTab,0)))),"Status "&amp;C293)</f>
        <v>Mark</v>
      </c>
      <c r="F293" t="str">
        <f t="shared" si="29"/>
        <v/>
      </c>
      <c r="G293" t="str">
        <f t="shared" si="30"/>
        <v>Mark</v>
      </c>
      <c r="H293" t="str">
        <f t="shared" si="31"/>
        <v/>
      </c>
    </row>
    <row r="294" spans="1:8" x14ac:dyDescent="0.25">
      <c r="A294" t="s">
        <v>291</v>
      </c>
      <c r="B294" s="3">
        <f t="shared" si="26"/>
        <v>33</v>
      </c>
      <c r="C294" s="3" t="str">
        <f t="shared" si="27"/>
        <v/>
      </c>
      <c r="D294" s="3">
        <f t="shared" si="28"/>
        <v>154</v>
      </c>
      <c r="E294" s="5" t="str">
        <f>IF(C294="",IF(D294="","",IF(D294&lt;128,"Wahl "&amp;D294,INDEX(KdoCodeTab,MATCH(D294,KdoWertTab,0)))),"Status "&amp;C294)</f>
        <v>MarkWdh</v>
      </c>
      <c r="F294" t="str">
        <f t="shared" si="29"/>
        <v/>
      </c>
      <c r="G294" t="str">
        <f t="shared" si="30"/>
        <v>MarkWdh</v>
      </c>
      <c r="H294" t="str">
        <f t="shared" si="31"/>
        <v/>
      </c>
    </row>
    <row r="295" spans="1:8" x14ac:dyDescent="0.25">
      <c r="A295" t="s">
        <v>292</v>
      </c>
      <c r="B295" s="3">
        <f t="shared" si="26"/>
        <v>33</v>
      </c>
      <c r="C295" s="3" t="str">
        <f t="shared" si="27"/>
        <v/>
      </c>
      <c r="D295" s="3">
        <f t="shared" si="28"/>
        <v>147</v>
      </c>
      <c r="E295" s="5" t="str">
        <f>IF(C295="",IF(D295="","",IF(D295&lt;128,"Wahl "&amp;D295,INDEX(KdoCodeTab,MATCH(D295,KdoWertTab,0)))),"Status "&amp;C295)</f>
        <v>Space</v>
      </c>
      <c r="F295" t="str">
        <f t="shared" si="29"/>
        <v/>
      </c>
      <c r="G295" t="str">
        <f t="shared" si="30"/>
        <v>Space</v>
      </c>
      <c r="H295" t="str">
        <f t="shared" si="31"/>
        <v/>
      </c>
    </row>
    <row r="296" spans="1:8" x14ac:dyDescent="0.25">
      <c r="A296" t="s">
        <v>293</v>
      </c>
      <c r="B296" s="3">
        <f t="shared" si="26"/>
        <v>33</v>
      </c>
      <c r="C296" s="3" t="str">
        <f t="shared" si="27"/>
        <v/>
      </c>
      <c r="D296" s="3">
        <f t="shared" si="28"/>
        <v>150</v>
      </c>
      <c r="E296" s="5" t="str">
        <f>IF(C296="",IF(D296="","",IF(D296&lt;128,"Wahl "&amp;D296,INDEX(KdoCodeTab,MATCH(D296,KdoWertTab,0)))),"Status "&amp;C296)</f>
        <v>SpaceWdh</v>
      </c>
      <c r="F296" t="str">
        <f t="shared" si="29"/>
        <v/>
      </c>
      <c r="G296" t="str">
        <f t="shared" si="30"/>
        <v>SpaceWdh</v>
      </c>
      <c r="H296" t="str">
        <f t="shared" si="31"/>
        <v/>
      </c>
    </row>
    <row r="297" spans="1:8" x14ac:dyDescent="0.25">
      <c r="A297" t="s">
        <v>294</v>
      </c>
      <c r="B297" s="3">
        <f t="shared" si="26"/>
        <v>33</v>
      </c>
      <c r="C297" s="3" t="str">
        <f t="shared" si="27"/>
        <v/>
      </c>
      <c r="D297" s="3">
        <f t="shared" si="28"/>
        <v>156</v>
      </c>
      <c r="E297" s="5" t="str">
        <f>IF(C297="",IF(D297="","",IF(D297&lt;128,"Wahl "&amp;D297,INDEX(KdoCodeTab,MATCH(D297,KdoWertTab,0)))),"Status "&amp;C297)</f>
        <v>Mark</v>
      </c>
      <c r="F297" t="str">
        <f t="shared" si="29"/>
        <v/>
      </c>
      <c r="G297" t="str">
        <f t="shared" si="30"/>
        <v>Mark</v>
      </c>
      <c r="H297" t="str">
        <f t="shared" si="31"/>
        <v/>
      </c>
    </row>
    <row r="298" spans="1:8" x14ac:dyDescent="0.25">
      <c r="A298" t="s">
        <v>295</v>
      </c>
      <c r="B298" s="3">
        <f t="shared" si="26"/>
        <v>33</v>
      </c>
      <c r="C298" s="3" t="str">
        <f t="shared" si="27"/>
        <v/>
      </c>
      <c r="D298" s="3">
        <f t="shared" si="28"/>
        <v>154</v>
      </c>
      <c r="E298" s="5" t="str">
        <f>IF(C298="",IF(D298="","",IF(D298&lt;128,"Wahl "&amp;D298,INDEX(KdoCodeTab,MATCH(D298,KdoWertTab,0)))),"Status "&amp;C298)</f>
        <v>MarkWdh</v>
      </c>
      <c r="F298" t="str">
        <f t="shared" si="29"/>
        <v/>
      </c>
      <c r="G298" t="str">
        <f t="shared" si="30"/>
        <v>MarkWdh</v>
      </c>
      <c r="H298" t="str">
        <f t="shared" si="31"/>
        <v/>
      </c>
    </row>
    <row r="299" spans="1:8" x14ac:dyDescent="0.25">
      <c r="A299" t="s">
        <v>296</v>
      </c>
      <c r="B299" s="3">
        <f t="shared" si="26"/>
        <v>33</v>
      </c>
      <c r="C299" s="3" t="str">
        <f t="shared" si="27"/>
        <v/>
      </c>
      <c r="D299" s="3">
        <f t="shared" si="28"/>
        <v>147</v>
      </c>
      <c r="E299" s="5" t="str">
        <f>IF(C299="",IF(D299="","",IF(D299&lt;128,"Wahl "&amp;D299,INDEX(KdoCodeTab,MATCH(D299,KdoWertTab,0)))),"Status "&amp;C299)</f>
        <v>Space</v>
      </c>
      <c r="F299" t="str">
        <f t="shared" si="29"/>
        <v/>
      </c>
      <c r="G299" t="str">
        <f t="shared" si="30"/>
        <v>Space</v>
      </c>
      <c r="H299" t="str">
        <f t="shared" si="31"/>
        <v/>
      </c>
    </row>
    <row r="300" spans="1:8" x14ac:dyDescent="0.25">
      <c r="A300" t="s">
        <v>297</v>
      </c>
      <c r="B300" s="3">
        <f t="shared" si="26"/>
        <v>33</v>
      </c>
      <c r="C300" s="3" t="str">
        <f t="shared" si="27"/>
        <v/>
      </c>
      <c r="D300" s="3">
        <f t="shared" si="28"/>
        <v>150</v>
      </c>
      <c r="E300" s="5" t="str">
        <f>IF(C300="",IF(D300="","",IF(D300&lt;128,"Wahl "&amp;D300,INDEX(KdoCodeTab,MATCH(D300,KdoWertTab,0)))),"Status "&amp;C300)</f>
        <v>SpaceWdh</v>
      </c>
      <c r="F300" t="str">
        <f t="shared" si="29"/>
        <v/>
      </c>
      <c r="G300" t="str">
        <f t="shared" si="30"/>
        <v>SpaceWdh</v>
      </c>
      <c r="H300" t="str">
        <f t="shared" si="31"/>
        <v/>
      </c>
    </row>
    <row r="301" spans="1:8" x14ac:dyDescent="0.25">
      <c r="A301" t="s">
        <v>298</v>
      </c>
      <c r="B301" s="3">
        <f t="shared" si="26"/>
        <v>33</v>
      </c>
      <c r="C301" s="3" t="str">
        <f t="shared" si="27"/>
        <v/>
      </c>
      <c r="D301" s="3">
        <f t="shared" si="28"/>
        <v>156</v>
      </c>
      <c r="E301" s="5" t="str">
        <f>IF(C301="",IF(D301="","",IF(D301&lt;128,"Wahl "&amp;D301,INDEX(KdoCodeTab,MATCH(D301,KdoWertTab,0)))),"Status "&amp;C301)</f>
        <v>Mark</v>
      </c>
      <c r="F301" t="str">
        <f t="shared" si="29"/>
        <v/>
      </c>
      <c r="G301" t="str">
        <f t="shared" si="30"/>
        <v>Mark</v>
      </c>
      <c r="H301" t="str">
        <f t="shared" si="31"/>
        <v/>
      </c>
    </row>
    <row r="302" spans="1:8" x14ac:dyDescent="0.25">
      <c r="A302" t="s">
        <v>299</v>
      </c>
      <c r="B302" s="3">
        <f t="shared" si="26"/>
        <v>33</v>
      </c>
      <c r="C302" s="3" t="str">
        <f t="shared" si="27"/>
        <v/>
      </c>
      <c r="D302" s="3">
        <f t="shared" si="28"/>
        <v>154</v>
      </c>
      <c r="E302" s="5" t="str">
        <f>IF(C302="",IF(D302="","",IF(D302&lt;128,"Wahl "&amp;D302,INDEX(KdoCodeTab,MATCH(D302,KdoWertTab,0)))),"Status "&amp;C302)</f>
        <v>MarkWdh</v>
      </c>
      <c r="F302" t="str">
        <f t="shared" si="29"/>
        <v/>
      </c>
      <c r="G302" t="str">
        <f t="shared" si="30"/>
        <v>MarkWdh</v>
      </c>
      <c r="H302" t="str">
        <f t="shared" si="31"/>
        <v/>
      </c>
    </row>
    <row r="303" spans="1:8" x14ac:dyDescent="0.25">
      <c r="A303" t="s">
        <v>300</v>
      </c>
      <c r="B303" s="3">
        <f t="shared" si="26"/>
        <v>33</v>
      </c>
      <c r="C303" s="3" t="str">
        <f t="shared" si="27"/>
        <v/>
      </c>
      <c r="D303" s="3">
        <f t="shared" si="28"/>
        <v>147</v>
      </c>
      <c r="E303" s="5" t="str">
        <f>IF(C303="",IF(D303="","",IF(D303&lt;128,"Wahl "&amp;D303,INDEX(KdoCodeTab,MATCH(D303,KdoWertTab,0)))),"Status "&amp;C303)</f>
        <v>Space</v>
      </c>
      <c r="F303" t="str">
        <f t="shared" si="29"/>
        <v/>
      </c>
      <c r="G303" t="str">
        <f t="shared" si="30"/>
        <v>Space</v>
      </c>
      <c r="H303" t="str">
        <f t="shared" si="31"/>
        <v/>
      </c>
    </row>
    <row r="304" spans="1:8" x14ac:dyDescent="0.25">
      <c r="A304" t="s">
        <v>301</v>
      </c>
      <c r="B304" s="3">
        <f t="shared" si="26"/>
        <v>33</v>
      </c>
      <c r="C304" s="3" t="str">
        <f t="shared" si="27"/>
        <v/>
      </c>
      <c r="D304" s="3">
        <f t="shared" si="28"/>
        <v>150</v>
      </c>
      <c r="E304" s="5" t="str">
        <f>IF(C304="",IF(D304="","",IF(D304&lt;128,"Wahl "&amp;D304,INDEX(KdoCodeTab,MATCH(D304,KdoWertTab,0)))),"Status "&amp;C304)</f>
        <v>SpaceWdh</v>
      </c>
      <c r="F304" t="str">
        <f t="shared" si="29"/>
        <v/>
      </c>
      <c r="G304" t="str">
        <f t="shared" si="30"/>
        <v>SpaceWdh</v>
      </c>
      <c r="H304" t="str">
        <f t="shared" si="31"/>
        <v/>
      </c>
    </row>
    <row r="305" spans="1:8" x14ac:dyDescent="0.25">
      <c r="A305" t="s">
        <v>302</v>
      </c>
      <c r="B305" s="3">
        <f t="shared" si="26"/>
        <v>33</v>
      </c>
      <c r="C305" s="3" t="str">
        <f t="shared" si="27"/>
        <v/>
      </c>
      <c r="D305" s="3">
        <f t="shared" si="28"/>
        <v>156</v>
      </c>
      <c r="E305" s="5" t="str">
        <f>IF(C305="",IF(D305="","",IF(D305&lt;128,"Wahl "&amp;D305,INDEX(KdoCodeTab,MATCH(D305,KdoWertTab,0)))),"Status "&amp;C305)</f>
        <v>Mark</v>
      </c>
      <c r="F305" t="str">
        <f t="shared" si="29"/>
        <v/>
      </c>
      <c r="G305" t="str">
        <f t="shared" si="30"/>
        <v>Mark</v>
      </c>
      <c r="H305" t="str">
        <f t="shared" si="31"/>
        <v/>
      </c>
    </row>
    <row r="306" spans="1:8" x14ac:dyDescent="0.25">
      <c r="A306" t="s">
        <v>303</v>
      </c>
      <c r="B306" s="3">
        <f t="shared" si="26"/>
        <v>33</v>
      </c>
      <c r="C306" s="3" t="str">
        <f t="shared" si="27"/>
        <v/>
      </c>
      <c r="D306" s="3">
        <f t="shared" si="28"/>
        <v>154</v>
      </c>
      <c r="E306" s="5" t="str">
        <f>IF(C306="",IF(D306="","",IF(D306&lt;128,"Wahl "&amp;D306,INDEX(KdoCodeTab,MATCH(D306,KdoWertTab,0)))),"Status "&amp;C306)</f>
        <v>MarkWdh</v>
      </c>
      <c r="F306" t="str">
        <f t="shared" si="29"/>
        <v/>
      </c>
      <c r="G306" t="str">
        <f t="shared" si="30"/>
        <v>MarkWdh</v>
      </c>
      <c r="H306" t="str">
        <f t="shared" si="31"/>
        <v/>
      </c>
    </row>
    <row r="307" spans="1:8" x14ac:dyDescent="0.25">
      <c r="A307" t="s">
        <v>304</v>
      </c>
      <c r="B307" s="3">
        <f t="shared" si="26"/>
        <v>33</v>
      </c>
      <c r="C307" s="3" t="str">
        <f t="shared" si="27"/>
        <v/>
      </c>
      <c r="D307" s="3">
        <f t="shared" si="28"/>
        <v>147</v>
      </c>
      <c r="E307" s="5" t="str">
        <f>IF(C307="",IF(D307="","",IF(D307&lt;128,"Wahl "&amp;D307,INDEX(KdoCodeTab,MATCH(D307,KdoWertTab,0)))),"Status "&amp;C307)</f>
        <v>Space</v>
      </c>
      <c r="F307" t="str">
        <f t="shared" si="29"/>
        <v/>
      </c>
      <c r="G307" t="str">
        <f t="shared" si="30"/>
        <v>Space</v>
      </c>
      <c r="H307" t="str">
        <f t="shared" si="31"/>
        <v/>
      </c>
    </row>
    <row r="308" spans="1:8" x14ac:dyDescent="0.25">
      <c r="A308" t="s">
        <v>305</v>
      </c>
      <c r="B308" s="3">
        <f t="shared" si="26"/>
        <v>33</v>
      </c>
      <c r="C308" s="3" t="str">
        <f t="shared" si="27"/>
        <v/>
      </c>
      <c r="D308" s="3">
        <f t="shared" si="28"/>
        <v>150</v>
      </c>
      <c r="E308" s="5" t="str">
        <f>IF(C308="",IF(D308="","",IF(D308&lt;128,"Wahl "&amp;D308,INDEX(KdoCodeTab,MATCH(D308,KdoWertTab,0)))),"Status "&amp;C308)</f>
        <v>SpaceWdh</v>
      </c>
      <c r="F308" t="str">
        <f t="shared" si="29"/>
        <v/>
      </c>
      <c r="G308" t="str">
        <f t="shared" si="30"/>
        <v>SpaceWdh</v>
      </c>
      <c r="H308" t="str">
        <f t="shared" si="31"/>
        <v/>
      </c>
    </row>
    <row r="309" spans="1:8" x14ac:dyDescent="0.25">
      <c r="A309" t="s">
        <v>306</v>
      </c>
      <c r="B309" s="3">
        <f t="shared" si="26"/>
        <v>33</v>
      </c>
      <c r="C309" s="3" t="str">
        <f t="shared" si="27"/>
        <v/>
      </c>
      <c r="D309" s="3">
        <f t="shared" si="28"/>
        <v>156</v>
      </c>
      <c r="E309" s="5" t="str">
        <f>IF(C309="",IF(D309="","",IF(D309&lt;128,"Wahl "&amp;D309,INDEX(KdoCodeTab,MATCH(D309,KdoWertTab,0)))),"Status "&amp;C309)</f>
        <v>Mark</v>
      </c>
      <c r="F309" t="str">
        <f t="shared" si="29"/>
        <v/>
      </c>
      <c r="G309" t="str">
        <f t="shared" si="30"/>
        <v>Mark</v>
      </c>
      <c r="H309" t="str">
        <f t="shared" si="31"/>
        <v/>
      </c>
    </row>
    <row r="310" spans="1:8" x14ac:dyDescent="0.25">
      <c r="A310" t="s">
        <v>307</v>
      </c>
      <c r="B310" s="3">
        <f t="shared" si="26"/>
        <v>33</v>
      </c>
      <c r="C310" s="3" t="str">
        <f t="shared" si="27"/>
        <v/>
      </c>
      <c r="D310" s="3">
        <f t="shared" si="28"/>
        <v>154</v>
      </c>
      <c r="E310" s="5" t="str">
        <f>IF(C310="",IF(D310="","",IF(D310&lt;128,"Wahl "&amp;D310,INDEX(KdoCodeTab,MATCH(D310,KdoWertTab,0)))),"Status "&amp;C310)</f>
        <v>MarkWdh</v>
      </c>
      <c r="F310" t="str">
        <f t="shared" si="29"/>
        <v/>
      </c>
      <c r="G310" t="str">
        <f t="shared" si="30"/>
        <v>MarkWdh</v>
      </c>
      <c r="H310" t="str">
        <f t="shared" si="31"/>
        <v/>
      </c>
    </row>
    <row r="311" spans="1:8" x14ac:dyDescent="0.25">
      <c r="A311" t="s">
        <v>308</v>
      </c>
      <c r="B311" s="3">
        <f t="shared" si="26"/>
        <v>33</v>
      </c>
      <c r="C311" s="3" t="str">
        <f t="shared" si="27"/>
        <v/>
      </c>
      <c r="D311" s="3">
        <f t="shared" si="28"/>
        <v>169</v>
      </c>
      <c r="E311" s="5" t="str">
        <f>IF(C311="",IF(D311="","",IF(D311&lt;128,"Wahl "&amp;D311,INDEX(KdoCodeTab,MATCH(D311,KdoWertTab,0)))),"Status "&amp;C311)</f>
        <v>BusLebenszeichen</v>
      </c>
      <c r="F311" t="str">
        <f t="shared" si="29"/>
        <v/>
      </c>
      <c r="G311" t="str">
        <f t="shared" si="30"/>
        <v>BusLebenszeichen</v>
      </c>
      <c r="H311" t="str">
        <f t="shared" si="31"/>
        <v/>
      </c>
    </row>
    <row r="312" spans="1:8" x14ac:dyDescent="0.25">
      <c r="A312" t="s">
        <v>309</v>
      </c>
      <c r="B312" s="3">
        <f t="shared" si="26"/>
        <v>31</v>
      </c>
      <c r="C312" s="3" t="str">
        <f t="shared" si="27"/>
        <v/>
      </c>
      <c r="D312" s="3">
        <f t="shared" si="28"/>
        <v>169</v>
      </c>
      <c r="E312" s="5" t="str">
        <f>IF(C312="",IF(D312="","",IF(D312&lt;128,"Wahl "&amp;D312,INDEX(KdoCodeTab,MATCH(D312,KdoWertTab,0)))),"Status "&amp;C312)</f>
        <v>BusLebenszeichen</v>
      </c>
      <c r="F312" t="str">
        <f t="shared" si="29"/>
        <v>BusLebenszeichen</v>
      </c>
      <c r="G312" t="str">
        <f t="shared" si="30"/>
        <v/>
      </c>
      <c r="H312" t="str">
        <f t="shared" si="31"/>
        <v/>
      </c>
    </row>
    <row r="313" spans="1:8" x14ac:dyDescent="0.25">
      <c r="A313" t="s">
        <v>310</v>
      </c>
      <c r="B313" s="3">
        <f t="shared" si="26"/>
        <v>33</v>
      </c>
      <c r="C313" s="3" t="str">
        <f t="shared" si="27"/>
        <v/>
      </c>
      <c r="D313" s="3">
        <f t="shared" si="28"/>
        <v>147</v>
      </c>
      <c r="E313" s="5" t="str">
        <f>IF(C313="",IF(D313="","",IF(D313&lt;128,"Wahl "&amp;D313,INDEX(KdoCodeTab,MATCH(D313,KdoWertTab,0)))),"Status "&amp;C313)</f>
        <v>Space</v>
      </c>
      <c r="F313" t="str">
        <f t="shared" si="29"/>
        <v/>
      </c>
      <c r="G313" t="str">
        <f t="shared" si="30"/>
        <v>Space</v>
      </c>
      <c r="H313" t="str">
        <f t="shared" si="31"/>
        <v/>
      </c>
    </row>
    <row r="314" spans="1:8" x14ac:dyDescent="0.25">
      <c r="A314" t="s">
        <v>311</v>
      </c>
      <c r="B314" s="3">
        <f t="shared" si="26"/>
        <v>33</v>
      </c>
      <c r="C314" s="3" t="str">
        <f t="shared" si="27"/>
        <v/>
      </c>
      <c r="D314" s="3">
        <f t="shared" si="28"/>
        <v>150</v>
      </c>
      <c r="E314" s="5" t="str">
        <f>IF(C314="",IF(D314="","",IF(D314&lt;128,"Wahl "&amp;D314,INDEX(KdoCodeTab,MATCH(D314,KdoWertTab,0)))),"Status "&amp;C314)</f>
        <v>SpaceWdh</v>
      </c>
      <c r="F314" t="str">
        <f t="shared" si="29"/>
        <v/>
      </c>
      <c r="G314" t="str">
        <f t="shared" si="30"/>
        <v>SpaceWdh</v>
      </c>
      <c r="H314" t="str">
        <f t="shared" si="31"/>
        <v/>
      </c>
    </row>
    <row r="315" spans="1:8" x14ac:dyDescent="0.25">
      <c r="A315" t="s">
        <v>312</v>
      </c>
      <c r="B315" s="3">
        <f t="shared" si="26"/>
        <v>33</v>
      </c>
      <c r="C315" s="3" t="str">
        <f t="shared" si="27"/>
        <v/>
      </c>
      <c r="D315" s="3">
        <f t="shared" si="28"/>
        <v>156</v>
      </c>
      <c r="E315" s="5" t="str">
        <f>IF(C315="",IF(D315="","",IF(D315&lt;128,"Wahl "&amp;D315,INDEX(KdoCodeTab,MATCH(D315,KdoWertTab,0)))),"Status "&amp;C315)</f>
        <v>Mark</v>
      </c>
      <c r="F315" t="str">
        <f t="shared" si="29"/>
        <v/>
      </c>
      <c r="G315" t="str">
        <f t="shared" si="30"/>
        <v>Mark</v>
      </c>
      <c r="H315" t="str">
        <f t="shared" si="31"/>
        <v/>
      </c>
    </row>
    <row r="316" spans="1:8" x14ac:dyDescent="0.25">
      <c r="A316" t="s">
        <v>313</v>
      </c>
      <c r="B316" s="3">
        <f t="shared" si="26"/>
        <v>33</v>
      </c>
      <c r="C316" s="3" t="str">
        <f t="shared" si="27"/>
        <v/>
      </c>
      <c r="D316" s="3">
        <f t="shared" si="28"/>
        <v>154</v>
      </c>
      <c r="E316" s="5" t="str">
        <f>IF(C316="",IF(D316="","",IF(D316&lt;128,"Wahl "&amp;D316,INDEX(KdoCodeTab,MATCH(D316,KdoWertTab,0)))),"Status "&amp;C316)</f>
        <v>MarkWdh</v>
      </c>
      <c r="F316" t="str">
        <f t="shared" si="29"/>
        <v/>
      </c>
      <c r="G316" t="str">
        <f t="shared" si="30"/>
        <v>MarkWdh</v>
      </c>
      <c r="H316" t="str">
        <f t="shared" si="31"/>
        <v/>
      </c>
    </row>
    <row r="317" spans="1:8" x14ac:dyDescent="0.25">
      <c r="A317" t="s">
        <v>314</v>
      </c>
      <c r="B317" s="3">
        <f t="shared" si="26"/>
        <v>33</v>
      </c>
      <c r="C317" s="3" t="str">
        <f t="shared" si="27"/>
        <v/>
      </c>
      <c r="D317" s="3">
        <f t="shared" si="28"/>
        <v>147</v>
      </c>
      <c r="E317" s="5" t="str">
        <f>IF(C317="",IF(D317="","",IF(D317&lt;128,"Wahl "&amp;D317,INDEX(KdoCodeTab,MATCH(D317,KdoWertTab,0)))),"Status "&amp;C317)</f>
        <v>Space</v>
      </c>
      <c r="F317" t="str">
        <f t="shared" si="29"/>
        <v/>
      </c>
      <c r="G317" t="str">
        <f t="shared" si="30"/>
        <v>Space</v>
      </c>
      <c r="H317" t="str">
        <f t="shared" si="31"/>
        <v/>
      </c>
    </row>
    <row r="318" spans="1:8" x14ac:dyDescent="0.25">
      <c r="A318" t="s">
        <v>315</v>
      </c>
      <c r="B318" s="3">
        <f t="shared" si="26"/>
        <v>33</v>
      </c>
      <c r="C318" s="3" t="str">
        <f t="shared" si="27"/>
        <v/>
      </c>
      <c r="D318" s="3">
        <f t="shared" si="28"/>
        <v>150</v>
      </c>
      <c r="E318" s="5" t="str">
        <f>IF(C318="",IF(D318="","",IF(D318&lt;128,"Wahl "&amp;D318,INDEX(KdoCodeTab,MATCH(D318,KdoWertTab,0)))),"Status "&amp;C318)</f>
        <v>SpaceWdh</v>
      </c>
      <c r="F318" t="str">
        <f t="shared" si="29"/>
        <v/>
      </c>
      <c r="G318" t="str">
        <f t="shared" si="30"/>
        <v>SpaceWdh</v>
      </c>
      <c r="H318" t="str">
        <f t="shared" si="31"/>
        <v/>
      </c>
    </row>
    <row r="319" spans="1:8" x14ac:dyDescent="0.25">
      <c r="A319" t="s">
        <v>316</v>
      </c>
      <c r="B319" s="3">
        <f t="shared" si="26"/>
        <v>33</v>
      </c>
      <c r="C319" s="3" t="str">
        <f t="shared" si="27"/>
        <v/>
      </c>
      <c r="D319" s="3">
        <f t="shared" si="28"/>
        <v>156</v>
      </c>
      <c r="E319" s="5" t="str">
        <f>IF(C319="",IF(D319="","",IF(D319&lt;128,"Wahl "&amp;D319,INDEX(KdoCodeTab,MATCH(D319,KdoWertTab,0)))),"Status "&amp;C319)</f>
        <v>Mark</v>
      </c>
      <c r="F319" t="str">
        <f t="shared" si="29"/>
        <v/>
      </c>
      <c r="G319" t="str">
        <f t="shared" si="30"/>
        <v>Mark</v>
      </c>
      <c r="H319" t="str">
        <f t="shared" si="31"/>
        <v/>
      </c>
    </row>
    <row r="320" spans="1:8" x14ac:dyDescent="0.25">
      <c r="A320" t="s">
        <v>317</v>
      </c>
      <c r="B320" s="3">
        <f t="shared" si="26"/>
        <v>33</v>
      </c>
      <c r="C320" s="3" t="str">
        <f t="shared" si="27"/>
        <v/>
      </c>
      <c r="D320" s="3">
        <f t="shared" si="28"/>
        <v>154</v>
      </c>
      <c r="E320" s="5" t="str">
        <f>IF(C320="",IF(D320="","",IF(D320&lt;128,"Wahl "&amp;D320,INDEX(KdoCodeTab,MATCH(D320,KdoWertTab,0)))),"Status "&amp;C320)</f>
        <v>MarkWdh</v>
      </c>
      <c r="F320" t="str">
        <f t="shared" si="29"/>
        <v/>
      </c>
      <c r="G320" t="str">
        <f t="shared" si="30"/>
        <v>MarkWdh</v>
      </c>
      <c r="H320" t="str">
        <f t="shared" si="31"/>
        <v/>
      </c>
    </row>
    <row r="321" spans="1:8" x14ac:dyDescent="0.25">
      <c r="A321" t="s">
        <v>318</v>
      </c>
      <c r="B321" s="3">
        <f t="shared" si="26"/>
        <v>33</v>
      </c>
      <c r="C321" s="3" t="str">
        <f t="shared" si="27"/>
        <v/>
      </c>
      <c r="D321" s="3">
        <f t="shared" si="28"/>
        <v>147</v>
      </c>
      <c r="E321" s="5" t="str">
        <f>IF(C321="",IF(D321="","",IF(D321&lt;128,"Wahl "&amp;D321,INDEX(KdoCodeTab,MATCH(D321,KdoWertTab,0)))),"Status "&amp;C321)</f>
        <v>Space</v>
      </c>
      <c r="F321" t="str">
        <f t="shared" si="29"/>
        <v/>
      </c>
      <c r="G321" t="str">
        <f t="shared" si="30"/>
        <v>Space</v>
      </c>
      <c r="H321" t="str">
        <f t="shared" si="31"/>
        <v/>
      </c>
    </row>
    <row r="322" spans="1:8" x14ac:dyDescent="0.25">
      <c r="A322" t="s">
        <v>319</v>
      </c>
      <c r="B322" s="3">
        <f t="shared" si="26"/>
        <v>33</v>
      </c>
      <c r="C322" s="3" t="str">
        <f t="shared" si="27"/>
        <v/>
      </c>
      <c r="D322" s="3">
        <f t="shared" si="28"/>
        <v>150</v>
      </c>
      <c r="E322" s="5" t="str">
        <f>IF(C322="",IF(D322="","",IF(D322&lt;128,"Wahl "&amp;D322,INDEX(KdoCodeTab,MATCH(D322,KdoWertTab,0)))),"Status "&amp;C322)</f>
        <v>SpaceWdh</v>
      </c>
      <c r="F322" t="str">
        <f t="shared" si="29"/>
        <v/>
      </c>
      <c r="G322" t="str">
        <f t="shared" si="30"/>
        <v>SpaceWdh</v>
      </c>
      <c r="H322" t="str">
        <f t="shared" si="31"/>
        <v/>
      </c>
    </row>
    <row r="323" spans="1:8" x14ac:dyDescent="0.25">
      <c r="A323" t="s">
        <v>320</v>
      </c>
      <c r="B323" s="3">
        <f t="shared" si="26"/>
        <v>33</v>
      </c>
      <c r="C323" s="3" t="str">
        <f t="shared" si="27"/>
        <v/>
      </c>
      <c r="D323" s="3">
        <f t="shared" si="28"/>
        <v>156</v>
      </c>
      <c r="E323" s="5" t="str">
        <f>IF(C323="",IF(D323="","",IF(D323&lt;128,"Wahl "&amp;D323,INDEX(KdoCodeTab,MATCH(D323,KdoWertTab,0)))),"Status "&amp;C323)</f>
        <v>Mark</v>
      </c>
      <c r="F323" t="str">
        <f t="shared" si="29"/>
        <v/>
      </c>
      <c r="G323" t="str">
        <f t="shared" si="30"/>
        <v>Mark</v>
      </c>
      <c r="H323" t="str">
        <f t="shared" si="31"/>
        <v/>
      </c>
    </row>
    <row r="324" spans="1:8" x14ac:dyDescent="0.25">
      <c r="A324" t="s">
        <v>321</v>
      </c>
      <c r="B324" s="3">
        <f t="shared" si="26"/>
        <v>33</v>
      </c>
      <c r="C324" s="3" t="str">
        <f t="shared" si="27"/>
        <v/>
      </c>
      <c r="D324" s="3">
        <f t="shared" si="28"/>
        <v>154</v>
      </c>
      <c r="E324" s="5" t="str">
        <f>IF(C324="",IF(D324="","",IF(D324&lt;128,"Wahl "&amp;D324,INDEX(KdoCodeTab,MATCH(D324,KdoWertTab,0)))),"Status "&amp;C324)</f>
        <v>MarkWdh</v>
      </c>
      <c r="F324" t="str">
        <f t="shared" si="29"/>
        <v/>
      </c>
      <c r="G324" t="str">
        <f t="shared" si="30"/>
        <v>MarkWdh</v>
      </c>
      <c r="H324" t="str">
        <f t="shared" si="31"/>
        <v/>
      </c>
    </row>
    <row r="325" spans="1:8" x14ac:dyDescent="0.25">
      <c r="A325" t="s">
        <v>322</v>
      </c>
      <c r="B325" s="3">
        <f t="shared" ref="B325:B388" si="32">INT(HEX2DEC(MID(A325,8,2))/2)</f>
        <v>33</v>
      </c>
      <c r="C325" s="3" t="str">
        <f t="shared" ref="C325:C388" si="33">IF(MID(A325,10,1)="&lt;",MID(A325,12,2),"")</f>
        <v/>
      </c>
      <c r="D325" s="3">
        <f t="shared" ref="D325:D388" si="34">IF(MID(A325,10,1)="&gt;",HEX2DEC(MID(A325,12,2)),"")</f>
        <v>147</v>
      </c>
      <c r="E325" s="5" t="str">
        <f>IF(C325="",IF(D325="","",IF(D325&lt;128,"Wahl "&amp;D325,INDEX(KdoCodeTab,MATCH(D325,KdoWertTab,0)))),"Status "&amp;C325)</f>
        <v>Space</v>
      </c>
      <c r="F325" t="str">
        <f t="shared" ref="F325:F388" si="35">IF(B325=$F$2,E325,"")</f>
        <v/>
      </c>
      <c r="G325" t="str">
        <f t="shared" ref="G325:G388" si="36">IF(B325=$G$2,E325,"")</f>
        <v>Space</v>
      </c>
      <c r="H325" t="str">
        <f t="shared" ref="H325:H388" si="37">IF(F325&amp;G325="",E325,"")</f>
        <v/>
      </c>
    </row>
    <row r="326" spans="1:8" x14ac:dyDescent="0.25">
      <c r="A326" t="s">
        <v>323</v>
      </c>
      <c r="B326" s="3">
        <f t="shared" si="32"/>
        <v>33</v>
      </c>
      <c r="C326" s="3" t="str">
        <f t="shared" si="33"/>
        <v/>
      </c>
      <c r="D326" s="3">
        <f t="shared" si="34"/>
        <v>150</v>
      </c>
      <c r="E326" s="5" t="str">
        <f>IF(C326="",IF(D326="","",IF(D326&lt;128,"Wahl "&amp;D326,INDEX(KdoCodeTab,MATCH(D326,KdoWertTab,0)))),"Status "&amp;C326)</f>
        <v>SpaceWdh</v>
      </c>
      <c r="F326" t="str">
        <f t="shared" si="35"/>
        <v/>
      </c>
      <c r="G326" t="str">
        <f t="shared" si="36"/>
        <v>SpaceWdh</v>
      </c>
      <c r="H326" t="str">
        <f t="shared" si="37"/>
        <v/>
      </c>
    </row>
    <row r="327" spans="1:8" x14ac:dyDescent="0.25">
      <c r="A327" t="s">
        <v>324</v>
      </c>
      <c r="B327" s="3">
        <f t="shared" si="32"/>
        <v>33</v>
      </c>
      <c r="C327" s="3" t="str">
        <f t="shared" si="33"/>
        <v/>
      </c>
      <c r="D327" s="3">
        <f t="shared" si="34"/>
        <v>156</v>
      </c>
      <c r="E327" s="5" t="str">
        <f>IF(C327="",IF(D327="","",IF(D327&lt;128,"Wahl "&amp;D327,INDEX(KdoCodeTab,MATCH(D327,KdoWertTab,0)))),"Status "&amp;C327)</f>
        <v>Mark</v>
      </c>
      <c r="F327" t="str">
        <f t="shared" si="35"/>
        <v/>
      </c>
      <c r="G327" t="str">
        <f t="shared" si="36"/>
        <v>Mark</v>
      </c>
      <c r="H327" t="str">
        <f t="shared" si="37"/>
        <v/>
      </c>
    </row>
    <row r="328" spans="1:8" x14ac:dyDescent="0.25">
      <c r="A328" t="s">
        <v>325</v>
      </c>
      <c r="B328" s="3">
        <f t="shared" si="32"/>
        <v>33</v>
      </c>
      <c r="C328" s="3" t="str">
        <f t="shared" si="33"/>
        <v/>
      </c>
      <c r="D328" s="3">
        <f t="shared" si="34"/>
        <v>154</v>
      </c>
      <c r="E328" s="5" t="str">
        <f>IF(C328="",IF(D328="","",IF(D328&lt;128,"Wahl "&amp;D328,INDEX(KdoCodeTab,MATCH(D328,KdoWertTab,0)))),"Status "&amp;C328)</f>
        <v>MarkWdh</v>
      </c>
      <c r="F328" t="str">
        <f t="shared" si="35"/>
        <v/>
      </c>
      <c r="G328" t="str">
        <f t="shared" si="36"/>
        <v>MarkWdh</v>
      </c>
      <c r="H328" t="str">
        <f t="shared" si="37"/>
        <v/>
      </c>
    </row>
    <row r="329" spans="1:8" x14ac:dyDescent="0.25">
      <c r="A329" t="s">
        <v>326</v>
      </c>
      <c r="B329" s="3">
        <f t="shared" si="32"/>
        <v>33</v>
      </c>
      <c r="C329" s="3" t="str">
        <f t="shared" si="33"/>
        <v/>
      </c>
      <c r="D329" s="3">
        <f t="shared" si="34"/>
        <v>147</v>
      </c>
      <c r="E329" s="5" t="str">
        <f>IF(C329="",IF(D329="","",IF(D329&lt;128,"Wahl "&amp;D329,INDEX(KdoCodeTab,MATCH(D329,KdoWertTab,0)))),"Status "&amp;C329)</f>
        <v>Space</v>
      </c>
      <c r="F329" t="str">
        <f t="shared" si="35"/>
        <v/>
      </c>
      <c r="G329" t="str">
        <f t="shared" si="36"/>
        <v>Space</v>
      </c>
      <c r="H329" t="str">
        <f t="shared" si="37"/>
        <v/>
      </c>
    </row>
    <row r="330" spans="1:8" x14ac:dyDescent="0.25">
      <c r="A330" t="s">
        <v>327</v>
      </c>
      <c r="B330" s="3">
        <f t="shared" si="32"/>
        <v>33</v>
      </c>
      <c r="C330" s="3" t="str">
        <f t="shared" si="33"/>
        <v/>
      </c>
      <c r="D330" s="3">
        <f t="shared" si="34"/>
        <v>150</v>
      </c>
      <c r="E330" s="5" t="str">
        <f>IF(C330="",IF(D330="","",IF(D330&lt;128,"Wahl "&amp;D330,INDEX(KdoCodeTab,MATCH(D330,KdoWertTab,0)))),"Status "&amp;C330)</f>
        <v>SpaceWdh</v>
      </c>
      <c r="F330" t="str">
        <f t="shared" si="35"/>
        <v/>
      </c>
      <c r="G330" t="str">
        <f t="shared" si="36"/>
        <v>SpaceWdh</v>
      </c>
      <c r="H330" t="str">
        <f t="shared" si="37"/>
        <v/>
      </c>
    </row>
    <row r="331" spans="1:8" x14ac:dyDescent="0.25">
      <c r="A331" t="s">
        <v>328</v>
      </c>
      <c r="B331" s="3">
        <f t="shared" si="32"/>
        <v>33</v>
      </c>
      <c r="C331" s="3" t="str">
        <f t="shared" si="33"/>
        <v/>
      </c>
      <c r="D331" s="3">
        <f t="shared" si="34"/>
        <v>156</v>
      </c>
      <c r="E331" s="5" t="str">
        <f>IF(C331="",IF(D331="","",IF(D331&lt;128,"Wahl "&amp;D331,INDEX(KdoCodeTab,MATCH(D331,KdoWertTab,0)))),"Status "&amp;C331)</f>
        <v>Mark</v>
      </c>
      <c r="F331" t="str">
        <f t="shared" si="35"/>
        <v/>
      </c>
      <c r="G331" t="str">
        <f t="shared" si="36"/>
        <v>Mark</v>
      </c>
      <c r="H331" t="str">
        <f t="shared" si="37"/>
        <v/>
      </c>
    </row>
    <row r="332" spans="1:8" x14ac:dyDescent="0.25">
      <c r="A332" t="s">
        <v>329</v>
      </c>
      <c r="B332" s="3">
        <f t="shared" si="32"/>
        <v>33</v>
      </c>
      <c r="C332" s="3" t="str">
        <f t="shared" si="33"/>
        <v/>
      </c>
      <c r="D332" s="3">
        <f t="shared" si="34"/>
        <v>154</v>
      </c>
      <c r="E332" s="5" t="str">
        <f>IF(C332="",IF(D332="","",IF(D332&lt;128,"Wahl "&amp;D332,INDEX(KdoCodeTab,MATCH(D332,KdoWertTab,0)))),"Status "&amp;C332)</f>
        <v>MarkWdh</v>
      </c>
      <c r="F332" t="str">
        <f t="shared" si="35"/>
        <v/>
      </c>
      <c r="G332" t="str">
        <f t="shared" si="36"/>
        <v>MarkWdh</v>
      </c>
      <c r="H332" t="str">
        <f t="shared" si="37"/>
        <v/>
      </c>
    </row>
    <row r="333" spans="1:8" x14ac:dyDescent="0.25">
      <c r="A333" t="s">
        <v>330</v>
      </c>
      <c r="B333" s="3">
        <f t="shared" si="32"/>
        <v>33</v>
      </c>
      <c r="C333" s="3" t="str">
        <f t="shared" si="33"/>
        <v/>
      </c>
      <c r="D333" s="3">
        <f t="shared" si="34"/>
        <v>147</v>
      </c>
      <c r="E333" s="5" t="str">
        <f>IF(C333="",IF(D333="","",IF(D333&lt;128,"Wahl "&amp;D333,INDEX(KdoCodeTab,MATCH(D333,KdoWertTab,0)))),"Status "&amp;C333)</f>
        <v>Space</v>
      </c>
      <c r="F333" t="str">
        <f t="shared" si="35"/>
        <v/>
      </c>
      <c r="G333" t="str">
        <f t="shared" si="36"/>
        <v>Space</v>
      </c>
      <c r="H333" t="str">
        <f t="shared" si="37"/>
        <v/>
      </c>
    </row>
    <row r="334" spans="1:8" x14ac:dyDescent="0.25">
      <c r="A334" t="s">
        <v>331</v>
      </c>
      <c r="B334" s="3">
        <f t="shared" si="32"/>
        <v>33</v>
      </c>
      <c r="C334" s="3" t="str">
        <f t="shared" si="33"/>
        <v/>
      </c>
      <c r="D334" s="3">
        <f t="shared" si="34"/>
        <v>150</v>
      </c>
      <c r="E334" s="5" t="str">
        <f>IF(C334="",IF(D334="","",IF(D334&lt;128,"Wahl "&amp;D334,INDEX(KdoCodeTab,MATCH(D334,KdoWertTab,0)))),"Status "&amp;C334)</f>
        <v>SpaceWdh</v>
      </c>
      <c r="F334" t="str">
        <f t="shared" si="35"/>
        <v/>
      </c>
      <c r="G334" t="str">
        <f t="shared" si="36"/>
        <v>SpaceWdh</v>
      </c>
      <c r="H334" t="str">
        <f t="shared" si="37"/>
        <v/>
      </c>
    </row>
    <row r="335" spans="1:8" x14ac:dyDescent="0.25">
      <c r="A335" t="s">
        <v>332</v>
      </c>
      <c r="B335" s="3">
        <f t="shared" si="32"/>
        <v>33</v>
      </c>
      <c r="C335" s="3" t="str">
        <f t="shared" si="33"/>
        <v/>
      </c>
      <c r="D335" s="3">
        <f t="shared" si="34"/>
        <v>156</v>
      </c>
      <c r="E335" s="5" t="str">
        <f>IF(C335="",IF(D335="","",IF(D335&lt;128,"Wahl "&amp;D335,INDEX(KdoCodeTab,MATCH(D335,KdoWertTab,0)))),"Status "&amp;C335)</f>
        <v>Mark</v>
      </c>
      <c r="F335" t="str">
        <f t="shared" si="35"/>
        <v/>
      </c>
      <c r="G335" t="str">
        <f t="shared" si="36"/>
        <v>Mark</v>
      </c>
      <c r="H335" t="str">
        <f t="shared" si="37"/>
        <v/>
      </c>
    </row>
    <row r="336" spans="1:8" x14ac:dyDescent="0.25">
      <c r="A336" t="s">
        <v>333</v>
      </c>
      <c r="B336" s="3">
        <f t="shared" si="32"/>
        <v>33</v>
      </c>
      <c r="C336" s="3" t="str">
        <f t="shared" si="33"/>
        <v/>
      </c>
      <c r="D336" s="3">
        <f t="shared" si="34"/>
        <v>154</v>
      </c>
      <c r="E336" s="5" t="str">
        <f>IF(C336="",IF(D336="","",IF(D336&lt;128,"Wahl "&amp;D336,INDEX(KdoCodeTab,MATCH(D336,KdoWertTab,0)))),"Status "&amp;C336)</f>
        <v>MarkWdh</v>
      </c>
      <c r="F336" t="str">
        <f t="shared" si="35"/>
        <v/>
      </c>
      <c r="G336" t="str">
        <f t="shared" si="36"/>
        <v>MarkWdh</v>
      </c>
      <c r="H336" t="str">
        <f t="shared" si="37"/>
        <v/>
      </c>
    </row>
    <row r="337" spans="1:8" x14ac:dyDescent="0.25">
      <c r="A337" t="s">
        <v>334</v>
      </c>
      <c r="B337" s="3">
        <f t="shared" si="32"/>
        <v>33</v>
      </c>
      <c r="C337" s="3" t="str">
        <f t="shared" si="33"/>
        <v/>
      </c>
      <c r="D337" s="3">
        <f t="shared" si="34"/>
        <v>147</v>
      </c>
      <c r="E337" s="5" t="str">
        <f>IF(C337="",IF(D337="","",IF(D337&lt;128,"Wahl "&amp;D337,INDEX(KdoCodeTab,MATCH(D337,KdoWertTab,0)))),"Status "&amp;C337)</f>
        <v>Space</v>
      </c>
      <c r="F337" t="str">
        <f t="shared" si="35"/>
        <v/>
      </c>
      <c r="G337" t="str">
        <f t="shared" si="36"/>
        <v>Space</v>
      </c>
      <c r="H337" t="str">
        <f t="shared" si="37"/>
        <v/>
      </c>
    </row>
    <row r="338" spans="1:8" x14ac:dyDescent="0.25">
      <c r="A338" t="s">
        <v>335</v>
      </c>
      <c r="B338" s="3">
        <f t="shared" si="32"/>
        <v>33</v>
      </c>
      <c r="C338" s="3" t="str">
        <f t="shared" si="33"/>
        <v/>
      </c>
      <c r="D338" s="3">
        <f t="shared" si="34"/>
        <v>150</v>
      </c>
      <c r="E338" s="5" t="str">
        <f>IF(C338="",IF(D338="","",IF(D338&lt;128,"Wahl "&amp;D338,INDEX(KdoCodeTab,MATCH(D338,KdoWertTab,0)))),"Status "&amp;C338)</f>
        <v>SpaceWdh</v>
      </c>
      <c r="F338" t="str">
        <f t="shared" si="35"/>
        <v/>
      </c>
      <c r="G338" t="str">
        <f t="shared" si="36"/>
        <v>SpaceWdh</v>
      </c>
      <c r="H338" t="str">
        <f t="shared" si="37"/>
        <v/>
      </c>
    </row>
    <row r="339" spans="1:8" x14ac:dyDescent="0.25">
      <c r="A339" t="s">
        <v>336</v>
      </c>
      <c r="B339" s="3">
        <f t="shared" si="32"/>
        <v>33</v>
      </c>
      <c r="C339" s="3" t="str">
        <f t="shared" si="33"/>
        <v/>
      </c>
      <c r="D339" s="3">
        <f t="shared" si="34"/>
        <v>156</v>
      </c>
      <c r="E339" s="5" t="str">
        <f>IF(C339="",IF(D339="","",IF(D339&lt;128,"Wahl "&amp;D339,INDEX(KdoCodeTab,MATCH(D339,KdoWertTab,0)))),"Status "&amp;C339)</f>
        <v>Mark</v>
      </c>
      <c r="F339" t="str">
        <f t="shared" si="35"/>
        <v/>
      </c>
      <c r="G339" t="str">
        <f t="shared" si="36"/>
        <v>Mark</v>
      </c>
      <c r="H339" t="str">
        <f t="shared" si="37"/>
        <v/>
      </c>
    </row>
    <row r="340" spans="1:8" x14ac:dyDescent="0.25">
      <c r="A340" t="s">
        <v>337</v>
      </c>
      <c r="B340" s="3">
        <f t="shared" si="32"/>
        <v>33</v>
      </c>
      <c r="C340" s="3" t="str">
        <f t="shared" si="33"/>
        <v/>
      </c>
      <c r="D340" s="3">
        <f t="shared" si="34"/>
        <v>154</v>
      </c>
      <c r="E340" s="5" t="str">
        <f>IF(C340="",IF(D340="","",IF(D340&lt;128,"Wahl "&amp;D340,INDEX(KdoCodeTab,MATCH(D340,KdoWertTab,0)))),"Status "&amp;C340)</f>
        <v>MarkWdh</v>
      </c>
      <c r="F340" t="str">
        <f t="shared" si="35"/>
        <v/>
      </c>
      <c r="G340" t="str">
        <f t="shared" si="36"/>
        <v>MarkWdh</v>
      </c>
      <c r="H340" t="str">
        <f t="shared" si="37"/>
        <v/>
      </c>
    </row>
    <row r="341" spans="1:8" x14ac:dyDescent="0.25">
      <c r="A341" t="s">
        <v>338</v>
      </c>
      <c r="B341" s="3">
        <f t="shared" si="32"/>
        <v>33</v>
      </c>
      <c r="C341" s="3" t="str">
        <f t="shared" si="33"/>
        <v/>
      </c>
      <c r="D341" s="3">
        <f t="shared" si="34"/>
        <v>147</v>
      </c>
      <c r="E341" s="5" t="str">
        <f>IF(C341="",IF(D341="","",IF(D341&lt;128,"Wahl "&amp;D341,INDEX(KdoCodeTab,MATCH(D341,KdoWertTab,0)))),"Status "&amp;C341)</f>
        <v>Space</v>
      </c>
      <c r="F341" t="str">
        <f t="shared" si="35"/>
        <v/>
      </c>
      <c r="G341" t="str">
        <f t="shared" si="36"/>
        <v>Space</v>
      </c>
      <c r="H341" t="str">
        <f t="shared" si="37"/>
        <v/>
      </c>
    </row>
    <row r="342" spans="1:8" x14ac:dyDescent="0.25">
      <c r="A342" t="s">
        <v>339</v>
      </c>
      <c r="B342" s="3">
        <f t="shared" si="32"/>
        <v>33</v>
      </c>
      <c r="C342" s="3" t="str">
        <f t="shared" si="33"/>
        <v/>
      </c>
      <c r="D342" s="3">
        <f t="shared" si="34"/>
        <v>150</v>
      </c>
      <c r="E342" s="5" t="str">
        <f>IF(C342="",IF(D342="","",IF(D342&lt;128,"Wahl "&amp;D342,INDEX(KdoCodeTab,MATCH(D342,KdoWertTab,0)))),"Status "&amp;C342)</f>
        <v>SpaceWdh</v>
      </c>
      <c r="F342" t="str">
        <f t="shared" si="35"/>
        <v/>
      </c>
      <c r="G342" t="str">
        <f t="shared" si="36"/>
        <v>SpaceWdh</v>
      </c>
      <c r="H342" t="str">
        <f t="shared" si="37"/>
        <v/>
      </c>
    </row>
    <row r="343" spans="1:8" x14ac:dyDescent="0.25">
      <c r="A343" t="s">
        <v>340</v>
      </c>
      <c r="B343" s="3">
        <f t="shared" si="32"/>
        <v>33</v>
      </c>
      <c r="C343" s="3" t="str">
        <f t="shared" si="33"/>
        <v/>
      </c>
      <c r="D343" s="3">
        <f t="shared" si="34"/>
        <v>156</v>
      </c>
      <c r="E343" s="5" t="str">
        <f>IF(C343="",IF(D343="","",IF(D343&lt;128,"Wahl "&amp;D343,INDEX(KdoCodeTab,MATCH(D343,KdoWertTab,0)))),"Status "&amp;C343)</f>
        <v>Mark</v>
      </c>
      <c r="F343" t="str">
        <f t="shared" si="35"/>
        <v/>
      </c>
      <c r="G343" t="str">
        <f t="shared" si="36"/>
        <v>Mark</v>
      </c>
      <c r="H343" t="str">
        <f t="shared" si="37"/>
        <v/>
      </c>
    </row>
    <row r="344" spans="1:8" x14ac:dyDescent="0.25">
      <c r="A344" t="s">
        <v>341</v>
      </c>
      <c r="B344" s="3">
        <f t="shared" si="32"/>
        <v>33</v>
      </c>
      <c r="C344" s="3" t="str">
        <f t="shared" si="33"/>
        <v/>
      </c>
      <c r="D344" s="3">
        <f t="shared" si="34"/>
        <v>154</v>
      </c>
      <c r="E344" s="5" t="str">
        <f>IF(C344="",IF(D344="","",IF(D344&lt;128,"Wahl "&amp;D344,INDEX(KdoCodeTab,MATCH(D344,KdoWertTab,0)))),"Status "&amp;C344)</f>
        <v>MarkWdh</v>
      </c>
      <c r="F344" t="str">
        <f t="shared" si="35"/>
        <v/>
      </c>
      <c r="G344" t="str">
        <f t="shared" si="36"/>
        <v>MarkWdh</v>
      </c>
      <c r="H344" t="str">
        <f t="shared" si="37"/>
        <v/>
      </c>
    </row>
    <row r="345" spans="1:8" x14ac:dyDescent="0.25">
      <c r="A345" t="s">
        <v>342</v>
      </c>
      <c r="B345" s="3">
        <f t="shared" si="32"/>
        <v>33</v>
      </c>
      <c r="C345" s="3" t="str">
        <f t="shared" si="33"/>
        <v/>
      </c>
      <c r="D345" s="3">
        <f t="shared" si="34"/>
        <v>147</v>
      </c>
      <c r="E345" s="5" t="str">
        <f>IF(C345="",IF(D345="","",IF(D345&lt;128,"Wahl "&amp;D345,INDEX(KdoCodeTab,MATCH(D345,KdoWertTab,0)))),"Status "&amp;C345)</f>
        <v>Space</v>
      </c>
      <c r="F345" t="str">
        <f t="shared" si="35"/>
        <v/>
      </c>
      <c r="G345" t="str">
        <f t="shared" si="36"/>
        <v>Space</v>
      </c>
      <c r="H345" t="str">
        <f t="shared" si="37"/>
        <v/>
      </c>
    </row>
    <row r="346" spans="1:8" x14ac:dyDescent="0.25">
      <c r="A346" t="s">
        <v>343</v>
      </c>
      <c r="B346" s="3">
        <f t="shared" si="32"/>
        <v>33</v>
      </c>
      <c r="C346" s="3" t="str">
        <f t="shared" si="33"/>
        <v/>
      </c>
      <c r="D346" s="3">
        <f t="shared" si="34"/>
        <v>150</v>
      </c>
      <c r="E346" s="5" t="str">
        <f>IF(C346="",IF(D346="","",IF(D346&lt;128,"Wahl "&amp;D346,INDEX(KdoCodeTab,MATCH(D346,KdoWertTab,0)))),"Status "&amp;C346)</f>
        <v>SpaceWdh</v>
      </c>
      <c r="F346" t="str">
        <f t="shared" si="35"/>
        <v/>
      </c>
      <c r="G346" t="str">
        <f t="shared" si="36"/>
        <v>SpaceWdh</v>
      </c>
      <c r="H346" t="str">
        <f t="shared" si="37"/>
        <v/>
      </c>
    </row>
    <row r="347" spans="1:8" x14ac:dyDescent="0.25">
      <c r="A347" t="s">
        <v>344</v>
      </c>
      <c r="B347" s="3">
        <f t="shared" si="32"/>
        <v>33</v>
      </c>
      <c r="C347" s="3" t="str">
        <f t="shared" si="33"/>
        <v/>
      </c>
      <c r="D347" s="3">
        <f t="shared" si="34"/>
        <v>156</v>
      </c>
      <c r="E347" s="5" t="str">
        <f>IF(C347="",IF(D347="","",IF(D347&lt;128,"Wahl "&amp;D347,INDEX(KdoCodeTab,MATCH(D347,KdoWertTab,0)))),"Status "&amp;C347)</f>
        <v>Mark</v>
      </c>
      <c r="F347" t="str">
        <f t="shared" si="35"/>
        <v/>
      </c>
      <c r="G347" t="str">
        <f t="shared" si="36"/>
        <v>Mark</v>
      </c>
      <c r="H347" t="str">
        <f t="shared" si="37"/>
        <v/>
      </c>
    </row>
    <row r="348" spans="1:8" x14ac:dyDescent="0.25">
      <c r="A348" t="s">
        <v>345</v>
      </c>
      <c r="B348" s="3">
        <f t="shared" si="32"/>
        <v>33</v>
      </c>
      <c r="C348" s="3" t="str">
        <f t="shared" si="33"/>
        <v/>
      </c>
      <c r="D348" s="3">
        <f t="shared" si="34"/>
        <v>154</v>
      </c>
      <c r="E348" s="5" t="str">
        <f>IF(C348="",IF(D348="","",IF(D348&lt;128,"Wahl "&amp;D348,INDEX(KdoCodeTab,MATCH(D348,KdoWertTab,0)))),"Status "&amp;C348)</f>
        <v>MarkWdh</v>
      </c>
      <c r="F348" t="str">
        <f t="shared" si="35"/>
        <v/>
      </c>
      <c r="G348" t="str">
        <f t="shared" si="36"/>
        <v>MarkWdh</v>
      </c>
      <c r="H348" t="str">
        <f t="shared" si="37"/>
        <v/>
      </c>
    </row>
    <row r="349" spans="1:8" x14ac:dyDescent="0.25">
      <c r="A349" t="s">
        <v>346</v>
      </c>
      <c r="B349" s="3">
        <f t="shared" si="32"/>
        <v>33</v>
      </c>
      <c r="C349" s="3" t="str">
        <f t="shared" si="33"/>
        <v/>
      </c>
      <c r="D349" s="3">
        <f t="shared" si="34"/>
        <v>147</v>
      </c>
      <c r="E349" s="5" t="str">
        <f>IF(C349="",IF(D349="","",IF(D349&lt;128,"Wahl "&amp;D349,INDEX(KdoCodeTab,MATCH(D349,KdoWertTab,0)))),"Status "&amp;C349)</f>
        <v>Space</v>
      </c>
      <c r="F349" t="str">
        <f t="shared" si="35"/>
        <v/>
      </c>
      <c r="G349" t="str">
        <f t="shared" si="36"/>
        <v>Space</v>
      </c>
      <c r="H349" t="str">
        <f t="shared" si="37"/>
        <v/>
      </c>
    </row>
    <row r="350" spans="1:8" x14ac:dyDescent="0.25">
      <c r="A350" t="s">
        <v>347</v>
      </c>
      <c r="B350" s="3">
        <f t="shared" si="32"/>
        <v>33</v>
      </c>
      <c r="C350" s="3" t="str">
        <f t="shared" si="33"/>
        <v/>
      </c>
      <c r="D350" s="3">
        <f t="shared" si="34"/>
        <v>150</v>
      </c>
      <c r="E350" s="5" t="str">
        <f>IF(C350="",IF(D350="","",IF(D350&lt;128,"Wahl "&amp;D350,INDEX(KdoCodeTab,MATCH(D350,KdoWertTab,0)))),"Status "&amp;C350)</f>
        <v>SpaceWdh</v>
      </c>
      <c r="F350" t="str">
        <f t="shared" si="35"/>
        <v/>
      </c>
      <c r="G350" t="str">
        <f t="shared" si="36"/>
        <v>SpaceWdh</v>
      </c>
      <c r="H350" t="str">
        <f t="shared" si="37"/>
        <v/>
      </c>
    </row>
    <row r="351" spans="1:8" x14ac:dyDescent="0.25">
      <c r="A351" t="s">
        <v>348</v>
      </c>
      <c r="B351" s="3">
        <f t="shared" si="32"/>
        <v>33</v>
      </c>
      <c r="C351" s="3" t="str">
        <f t="shared" si="33"/>
        <v/>
      </c>
      <c r="D351" s="3">
        <f t="shared" si="34"/>
        <v>156</v>
      </c>
      <c r="E351" s="5" t="str">
        <f>IF(C351="",IF(D351="","",IF(D351&lt;128,"Wahl "&amp;D351,INDEX(KdoCodeTab,MATCH(D351,KdoWertTab,0)))),"Status "&amp;C351)</f>
        <v>Mark</v>
      </c>
      <c r="F351" t="str">
        <f t="shared" si="35"/>
        <v/>
      </c>
      <c r="G351" t="str">
        <f t="shared" si="36"/>
        <v>Mark</v>
      </c>
      <c r="H351" t="str">
        <f t="shared" si="37"/>
        <v/>
      </c>
    </row>
    <row r="352" spans="1:8" x14ac:dyDescent="0.25">
      <c r="A352" t="s">
        <v>349</v>
      </c>
      <c r="B352" s="3">
        <f t="shared" si="32"/>
        <v>33</v>
      </c>
      <c r="C352" s="3" t="str">
        <f t="shared" si="33"/>
        <v/>
      </c>
      <c r="D352" s="3">
        <f t="shared" si="34"/>
        <v>154</v>
      </c>
      <c r="E352" s="5" t="str">
        <f>IF(C352="",IF(D352="","",IF(D352&lt;128,"Wahl "&amp;D352,INDEX(KdoCodeTab,MATCH(D352,KdoWertTab,0)))),"Status "&amp;C352)</f>
        <v>MarkWdh</v>
      </c>
      <c r="F352" t="str">
        <f t="shared" si="35"/>
        <v/>
      </c>
      <c r="G352" t="str">
        <f t="shared" si="36"/>
        <v>MarkWdh</v>
      </c>
      <c r="H352" t="str">
        <f t="shared" si="37"/>
        <v/>
      </c>
    </row>
    <row r="353" spans="1:8" x14ac:dyDescent="0.25">
      <c r="A353" t="s">
        <v>350</v>
      </c>
      <c r="B353" s="3">
        <f t="shared" si="32"/>
        <v>33</v>
      </c>
      <c r="C353" s="3" t="str">
        <f t="shared" si="33"/>
        <v/>
      </c>
      <c r="D353" s="3">
        <f t="shared" si="34"/>
        <v>169</v>
      </c>
      <c r="E353" s="5" t="str">
        <f>IF(C353="",IF(D353="","",IF(D353&lt;128,"Wahl "&amp;D353,INDEX(KdoCodeTab,MATCH(D353,KdoWertTab,0)))),"Status "&amp;C353)</f>
        <v>BusLebenszeichen</v>
      </c>
      <c r="F353" t="str">
        <f t="shared" si="35"/>
        <v/>
      </c>
      <c r="G353" t="str">
        <f t="shared" si="36"/>
        <v>BusLebenszeichen</v>
      </c>
      <c r="H353" t="str">
        <f t="shared" si="37"/>
        <v/>
      </c>
    </row>
    <row r="354" spans="1:8" x14ac:dyDescent="0.25">
      <c r="A354" t="s">
        <v>351</v>
      </c>
      <c r="B354" s="3">
        <f t="shared" si="32"/>
        <v>31</v>
      </c>
      <c r="C354" s="3" t="str">
        <f t="shared" si="33"/>
        <v/>
      </c>
      <c r="D354" s="3">
        <f t="shared" si="34"/>
        <v>169</v>
      </c>
      <c r="E354" s="5" t="str">
        <f>IF(C354="",IF(D354="","",IF(D354&lt;128,"Wahl "&amp;D354,INDEX(KdoCodeTab,MATCH(D354,KdoWertTab,0)))),"Status "&amp;C354)</f>
        <v>BusLebenszeichen</v>
      </c>
      <c r="F354" t="str">
        <f t="shared" si="35"/>
        <v>BusLebenszeichen</v>
      </c>
      <c r="G354" t="str">
        <f t="shared" si="36"/>
        <v/>
      </c>
      <c r="H354" t="str">
        <f t="shared" si="37"/>
        <v/>
      </c>
    </row>
    <row r="355" spans="1:8" x14ac:dyDescent="0.25">
      <c r="A355" t="s">
        <v>352</v>
      </c>
      <c r="B355" s="3">
        <f t="shared" si="32"/>
        <v>33</v>
      </c>
      <c r="C355" s="3" t="str">
        <f t="shared" si="33"/>
        <v/>
      </c>
      <c r="D355" s="3">
        <f t="shared" si="34"/>
        <v>147</v>
      </c>
      <c r="E355" s="5" t="str">
        <f>IF(C355="",IF(D355="","",IF(D355&lt;128,"Wahl "&amp;D355,INDEX(KdoCodeTab,MATCH(D355,KdoWertTab,0)))),"Status "&amp;C355)</f>
        <v>Space</v>
      </c>
      <c r="F355" t="str">
        <f t="shared" si="35"/>
        <v/>
      </c>
      <c r="G355" t="str">
        <f t="shared" si="36"/>
        <v>Space</v>
      </c>
      <c r="H355" t="str">
        <f t="shared" si="37"/>
        <v/>
      </c>
    </row>
    <row r="356" spans="1:8" x14ac:dyDescent="0.25">
      <c r="A356" t="s">
        <v>353</v>
      </c>
      <c r="B356" s="3">
        <f t="shared" si="32"/>
        <v>33</v>
      </c>
      <c r="C356" s="3" t="str">
        <f t="shared" si="33"/>
        <v/>
      </c>
      <c r="D356" s="3">
        <f t="shared" si="34"/>
        <v>150</v>
      </c>
      <c r="E356" s="5" t="str">
        <f>IF(C356="",IF(D356="","",IF(D356&lt;128,"Wahl "&amp;D356,INDEX(KdoCodeTab,MATCH(D356,KdoWertTab,0)))),"Status "&amp;C356)</f>
        <v>SpaceWdh</v>
      </c>
      <c r="F356" t="str">
        <f t="shared" si="35"/>
        <v/>
      </c>
      <c r="G356" t="str">
        <f t="shared" si="36"/>
        <v>SpaceWdh</v>
      </c>
      <c r="H356" t="str">
        <f t="shared" si="37"/>
        <v/>
      </c>
    </row>
    <row r="357" spans="1:8" x14ac:dyDescent="0.25">
      <c r="A357" t="s">
        <v>354</v>
      </c>
      <c r="B357" s="3">
        <f t="shared" si="32"/>
        <v>33</v>
      </c>
      <c r="C357" s="3" t="str">
        <f t="shared" si="33"/>
        <v/>
      </c>
      <c r="D357" s="3">
        <f t="shared" si="34"/>
        <v>156</v>
      </c>
      <c r="E357" s="5" t="str">
        <f>IF(C357="",IF(D357="","",IF(D357&lt;128,"Wahl "&amp;D357,INDEX(KdoCodeTab,MATCH(D357,KdoWertTab,0)))),"Status "&amp;C357)</f>
        <v>Mark</v>
      </c>
      <c r="F357" t="str">
        <f t="shared" si="35"/>
        <v/>
      </c>
      <c r="G357" t="str">
        <f t="shared" si="36"/>
        <v>Mark</v>
      </c>
      <c r="H357" t="str">
        <f t="shared" si="37"/>
        <v/>
      </c>
    </row>
    <row r="358" spans="1:8" x14ac:dyDescent="0.25">
      <c r="A358" t="s">
        <v>355</v>
      </c>
      <c r="B358" s="3">
        <f t="shared" si="32"/>
        <v>33</v>
      </c>
      <c r="C358" s="3" t="str">
        <f t="shared" si="33"/>
        <v/>
      </c>
      <c r="D358" s="3">
        <f t="shared" si="34"/>
        <v>154</v>
      </c>
      <c r="E358" s="5" t="str">
        <f>IF(C358="",IF(D358="","",IF(D358&lt;128,"Wahl "&amp;D358,INDEX(KdoCodeTab,MATCH(D358,KdoWertTab,0)))),"Status "&amp;C358)</f>
        <v>MarkWdh</v>
      </c>
      <c r="F358" t="str">
        <f t="shared" si="35"/>
        <v/>
      </c>
      <c r="G358" t="str">
        <f t="shared" si="36"/>
        <v>MarkWdh</v>
      </c>
      <c r="H358" t="str">
        <f t="shared" si="37"/>
        <v/>
      </c>
    </row>
    <row r="359" spans="1:8" x14ac:dyDescent="0.25">
      <c r="A359" t="s">
        <v>356</v>
      </c>
      <c r="B359" s="3">
        <f t="shared" si="32"/>
        <v>33</v>
      </c>
      <c r="C359" s="3" t="str">
        <f t="shared" si="33"/>
        <v/>
      </c>
      <c r="D359" s="3">
        <f t="shared" si="34"/>
        <v>169</v>
      </c>
      <c r="E359" s="5" t="str">
        <f>IF(C359="",IF(D359="","",IF(D359&lt;128,"Wahl "&amp;D359,INDEX(KdoCodeTab,MATCH(D359,KdoWertTab,0)))),"Status "&amp;C359)</f>
        <v>BusLebenszeichen</v>
      </c>
      <c r="F359" t="str">
        <f t="shared" si="35"/>
        <v/>
      </c>
      <c r="G359" t="str">
        <f t="shared" si="36"/>
        <v>BusLebenszeichen</v>
      </c>
      <c r="H359" t="str">
        <f t="shared" si="37"/>
        <v/>
      </c>
    </row>
    <row r="360" spans="1:8" x14ac:dyDescent="0.25">
      <c r="A360" t="s">
        <v>357</v>
      </c>
      <c r="B360" s="3">
        <f t="shared" si="32"/>
        <v>31</v>
      </c>
      <c r="C360" s="3" t="str">
        <f t="shared" si="33"/>
        <v/>
      </c>
      <c r="D360" s="3">
        <f t="shared" si="34"/>
        <v>169</v>
      </c>
      <c r="E360" s="5" t="str">
        <f>IF(C360="",IF(D360="","",IF(D360&lt;128,"Wahl "&amp;D360,INDEX(KdoCodeTab,MATCH(D360,KdoWertTab,0)))),"Status "&amp;C360)</f>
        <v>BusLebenszeichen</v>
      </c>
      <c r="F360" t="str">
        <f t="shared" si="35"/>
        <v>BusLebenszeichen</v>
      </c>
      <c r="G360" t="str">
        <f t="shared" si="36"/>
        <v/>
      </c>
      <c r="H360" t="str">
        <f t="shared" si="37"/>
        <v/>
      </c>
    </row>
    <row r="361" spans="1:8" x14ac:dyDescent="0.25">
      <c r="A361" t="s">
        <v>358</v>
      </c>
      <c r="B361" s="3">
        <f t="shared" si="32"/>
        <v>33</v>
      </c>
      <c r="C361" s="3" t="str">
        <f t="shared" si="33"/>
        <v/>
      </c>
      <c r="D361" s="3">
        <f t="shared" si="34"/>
        <v>169</v>
      </c>
      <c r="E361" s="5" t="str">
        <f>IF(C361="",IF(D361="","",IF(D361&lt;128,"Wahl "&amp;D361,INDEX(KdoCodeTab,MATCH(D361,KdoWertTab,0)))),"Status "&amp;C361)</f>
        <v>BusLebenszeichen</v>
      </c>
      <c r="F361" t="str">
        <f t="shared" si="35"/>
        <v/>
      </c>
      <c r="G361" t="str">
        <f t="shared" si="36"/>
        <v>BusLebenszeichen</v>
      </c>
      <c r="H361" t="str">
        <f t="shared" si="37"/>
        <v/>
      </c>
    </row>
    <row r="362" spans="1:8" x14ac:dyDescent="0.25">
      <c r="A362" t="s">
        <v>359</v>
      </c>
      <c r="B362" s="3">
        <f t="shared" si="32"/>
        <v>31</v>
      </c>
      <c r="C362" s="3" t="str">
        <f t="shared" si="33"/>
        <v/>
      </c>
      <c r="D362" s="3">
        <f t="shared" si="34"/>
        <v>169</v>
      </c>
      <c r="E362" s="5" t="str">
        <f>IF(C362="",IF(D362="","",IF(D362&lt;128,"Wahl "&amp;D362,INDEX(KdoCodeTab,MATCH(D362,KdoWertTab,0)))),"Status "&amp;C362)</f>
        <v>BusLebenszeichen</v>
      </c>
      <c r="F362" t="str">
        <f t="shared" si="35"/>
        <v>BusLebenszeichen</v>
      </c>
      <c r="G362" t="str">
        <f t="shared" si="36"/>
        <v/>
      </c>
      <c r="H362" t="str">
        <f t="shared" si="37"/>
        <v/>
      </c>
    </row>
    <row r="363" spans="1:8" x14ac:dyDescent="0.25">
      <c r="A363" t="s">
        <v>360</v>
      </c>
      <c r="B363" s="3">
        <f t="shared" si="32"/>
        <v>31</v>
      </c>
      <c r="C363" s="3" t="str">
        <f t="shared" si="33"/>
        <v/>
      </c>
      <c r="D363" s="3">
        <f t="shared" si="34"/>
        <v>147</v>
      </c>
      <c r="E363" s="5" t="str">
        <f>IF(C363="",IF(D363="","",IF(D363&lt;128,"Wahl "&amp;D363,INDEX(KdoCodeTab,MATCH(D363,KdoWertTab,0)))),"Status "&amp;C363)</f>
        <v>Space</v>
      </c>
      <c r="F363" t="str">
        <f t="shared" si="35"/>
        <v>Space</v>
      </c>
      <c r="G363" t="str">
        <f t="shared" si="36"/>
        <v/>
      </c>
      <c r="H363" t="str">
        <f t="shared" si="37"/>
        <v/>
      </c>
    </row>
    <row r="364" spans="1:8" x14ac:dyDescent="0.25">
      <c r="A364" t="s">
        <v>361</v>
      </c>
      <c r="B364" s="3">
        <f t="shared" si="32"/>
        <v>31</v>
      </c>
      <c r="C364" s="3" t="str">
        <f t="shared" si="33"/>
        <v/>
      </c>
      <c r="D364" s="3">
        <f t="shared" si="34"/>
        <v>150</v>
      </c>
      <c r="E364" s="5" t="str">
        <f>IF(C364="",IF(D364="","",IF(D364&lt;128,"Wahl "&amp;D364,INDEX(KdoCodeTab,MATCH(D364,KdoWertTab,0)))),"Status "&amp;C364)</f>
        <v>SpaceWdh</v>
      </c>
      <c r="F364" t="str">
        <f t="shared" si="35"/>
        <v>SpaceWdh</v>
      </c>
      <c r="G364" t="str">
        <f t="shared" si="36"/>
        <v/>
      </c>
      <c r="H364" t="str">
        <f t="shared" si="37"/>
        <v/>
      </c>
    </row>
    <row r="365" spans="1:8" x14ac:dyDescent="0.25">
      <c r="A365" t="s">
        <v>362</v>
      </c>
      <c r="B365" s="3">
        <f t="shared" si="32"/>
        <v>31</v>
      </c>
      <c r="C365" s="3" t="str">
        <f t="shared" si="33"/>
        <v/>
      </c>
      <c r="D365" s="3">
        <f t="shared" si="34"/>
        <v>156</v>
      </c>
      <c r="E365" s="5" t="str">
        <f>IF(C365="",IF(D365="","",IF(D365&lt;128,"Wahl "&amp;D365,INDEX(KdoCodeTab,MATCH(D365,KdoWertTab,0)))),"Status "&amp;C365)</f>
        <v>Mark</v>
      </c>
      <c r="F365" t="str">
        <f t="shared" si="35"/>
        <v>Mark</v>
      </c>
      <c r="G365" t="str">
        <f t="shared" si="36"/>
        <v/>
      </c>
      <c r="H365" t="str">
        <f t="shared" si="37"/>
        <v/>
      </c>
    </row>
    <row r="366" spans="1:8" x14ac:dyDescent="0.25">
      <c r="A366" t="s">
        <v>363</v>
      </c>
      <c r="B366" s="3">
        <f t="shared" si="32"/>
        <v>31</v>
      </c>
      <c r="C366" s="3" t="str">
        <f t="shared" si="33"/>
        <v/>
      </c>
      <c r="D366" s="3">
        <f t="shared" si="34"/>
        <v>154</v>
      </c>
      <c r="E366" s="5" t="str">
        <f>IF(C366="",IF(D366="","",IF(D366&lt;128,"Wahl "&amp;D366,INDEX(KdoCodeTab,MATCH(D366,KdoWertTab,0)))),"Status "&amp;C366)</f>
        <v>MarkWdh</v>
      </c>
      <c r="F366" t="str">
        <f t="shared" si="35"/>
        <v>MarkWdh</v>
      </c>
      <c r="G366" t="str">
        <f t="shared" si="36"/>
        <v/>
      </c>
      <c r="H366" t="str">
        <f t="shared" si="37"/>
        <v/>
      </c>
    </row>
    <row r="367" spans="1:8" x14ac:dyDescent="0.25">
      <c r="A367" t="s">
        <v>364</v>
      </c>
      <c r="B367" s="3">
        <f t="shared" si="32"/>
        <v>31</v>
      </c>
      <c r="C367" s="3" t="str">
        <f t="shared" si="33"/>
        <v/>
      </c>
      <c r="D367" s="3">
        <f t="shared" si="34"/>
        <v>147</v>
      </c>
      <c r="E367" s="5" t="str">
        <f>IF(C367="",IF(D367="","",IF(D367&lt;128,"Wahl "&amp;D367,INDEX(KdoCodeTab,MATCH(D367,KdoWertTab,0)))),"Status "&amp;C367)</f>
        <v>Space</v>
      </c>
      <c r="F367" t="str">
        <f t="shared" si="35"/>
        <v>Space</v>
      </c>
      <c r="G367" t="str">
        <f t="shared" si="36"/>
        <v/>
      </c>
      <c r="H367" t="str">
        <f t="shared" si="37"/>
        <v/>
      </c>
    </row>
    <row r="368" spans="1:8" x14ac:dyDescent="0.25">
      <c r="A368" t="s">
        <v>365</v>
      </c>
      <c r="B368" s="3">
        <f t="shared" si="32"/>
        <v>31</v>
      </c>
      <c r="C368" s="3" t="str">
        <f t="shared" si="33"/>
        <v/>
      </c>
      <c r="D368" s="3">
        <f t="shared" si="34"/>
        <v>150</v>
      </c>
      <c r="E368" s="5" t="str">
        <f>IF(C368="",IF(D368="","",IF(D368&lt;128,"Wahl "&amp;D368,INDEX(KdoCodeTab,MATCH(D368,KdoWertTab,0)))),"Status "&amp;C368)</f>
        <v>SpaceWdh</v>
      </c>
      <c r="F368" t="str">
        <f t="shared" si="35"/>
        <v>SpaceWdh</v>
      </c>
      <c r="G368" t="str">
        <f t="shared" si="36"/>
        <v/>
      </c>
      <c r="H368" t="str">
        <f t="shared" si="37"/>
        <v/>
      </c>
    </row>
    <row r="369" spans="1:8" x14ac:dyDescent="0.25">
      <c r="A369" t="s">
        <v>366</v>
      </c>
      <c r="B369" s="3">
        <f t="shared" si="32"/>
        <v>31</v>
      </c>
      <c r="C369" s="3" t="str">
        <f t="shared" si="33"/>
        <v/>
      </c>
      <c r="D369" s="3">
        <f t="shared" si="34"/>
        <v>156</v>
      </c>
      <c r="E369" s="5" t="str">
        <f>IF(C369="",IF(D369="","",IF(D369&lt;128,"Wahl "&amp;D369,INDEX(KdoCodeTab,MATCH(D369,KdoWertTab,0)))),"Status "&amp;C369)</f>
        <v>Mark</v>
      </c>
      <c r="F369" t="str">
        <f t="shared" si="35"/>
        <v>Mark</v>
      </c>
      <c r="G369" t="str">
        <f t="shared" si="36"/>
        <v/>
      </c>
      <c r="H369" t="str">
        <f t="shared" si="37"/>
        <v/>
      </c>
    </row>
    <row r="370" spans="1:8" x14ac:dyDescent="0.25">
      <c r="A370" t="s">
        <v>367</v>
      </c>
      <c r="B370" s="3">
        <f t="shared" si="32"/>
        <v>31</v>
      </c>
      <c r="C370" s="3" t="str">
        <f t="shared" si="33"/>
        <v/>
      </c>
      <c r="D370" s="3">
        <f t="shared" si="34"/>
        <v>154</v>
      </c>
      <c r="E370" s="5" t="str">
        <f>IF(C370="",IF(D370="","",IF(D370&lt;128,"Wahl "&amp;D370,INDEX(KdoCodeTab,MATCH(D370,KdoWertTab,0)))),"Status "&amp;C370)</f>
        <v>MarkWdh</v>
      </c>
      <c r="F370" t="str">
        <f t="shared" si="35"/>
        <v>MarkWdh</v>
      </c>
      <c r="G370" t="str">
        <f t="shared" si="36"/>
        <v/>
      </c>
      <c r="H370" t="str">
        <f t="shared" si="37"/>
        <v/>
      </c>
    </row>
    <row r="371" spans="1:8" x14ac:dyDescent="0.25">
      <c r="A371" t="s">
        <v>368</v>
      </c>
      <c r="B371" s="3">
        <f t="shared" si="32"/>
        <v>31</v>
      </c>
      <c r="C371" s="3" t="str">
        <f t="shared" si="33"/>
        <v/>
      </c>
      <c r="D371" s="3">
        <f t="shared" si="34"/>
        <v>147</v>
      </c>
      <c r="E371" s="5" t="str">
        <f>IF(C371="",IF(D371="","",IF(D371&lt;128,"Wahl "&amp;D371,INDEX(KdoCodeTab,MATCH(D371,KdoWertTab,0)))),"Status "&amp;C371)</f>
        <v>Space</v>
      </c>
      <c r="F371" t="str">
        <f t="shared" si="35"/>
        <v>Space</v>
      </c>
      <c r="G371" t="str">
        <f t="shared" si="36"/>
        <v/>
      </c>
      <c r="H371" t="str">
        <f t="shared" si="37"/>
        <v/>
      </c>
    </row>
    <row r="372" spans="1:8" x14ac:dyDescent="0.25">
      <c r="A372" t="s">
        <v>369</v>
      </c>
      <c r="B372" s="3">
        <f t="shared" si="32"/>
        <v>31</v>
      </c>
      <c r="C372" s="3" t="str">
        <f t="shared" si="33"/>
        <v/>
      </c>
      <c r="D372" s="3">
        <f t="shared" si="34"/>
        <v>150</v>
      </c>
      <c r="E372" s="5" t="str">
        <f>IF(C372="",IF(D372="","",IF(D372&lt;128,"Wahl "&amp;D372,INDEX(KdoCodeTab,MATCH(D372,KdoWertTab,0)))),"Status "&amp;C372)</f>
        <v>SpaceWdh</v>
      </c>
      <c r="F372" t="str">
        <f t="shared" si="35"/>
        <v>SpaceWdh</v>
      </c>
      <c r="G372" t="str">
        <f t="shared" si="36"/>
        <v/>
      </c>
      <c r="H372" t="str">
        <f t="shared" si="37"/>
        <v/>
      </c>
    </row>
    <row r="373" spans="1:8" x14ac:dyDescent="0.25">
      <c r="A373" t="s">
        <v>370</v>
      </c>
      <c r="B373" s="3">
        <f t="shared" si="32"/>
        <v>31</v>
      </c>
      <c r="C373" s="3" t="str">
        <f t="shared" si="33"/>
        <v/>
      </c>
      <c r="D373" s="3">
        <f t="shared" si="34"/>
        <v>156</v>
      </c>
      <c r="E373" s="5" t="str">
        <f>IF(C373="",IF(D373="","",IF(D373&lt;128,"Wahl "&amp;D373,INDEX(KdoCodeTab,MATCH(D373,KdoWertTab,0)))),"Status "&amp;C373)</f>
        <v>Mark</v>
      </c>
      <c r="F373" t="str">
        <f t="shared" si="35"/>
        <v>Mark</v>
      </c>
      <c r="G373" t="str">
        <f t="shared" si="36"/>
        <v/>
      </c>
      <c r="H373" t="str">
        <f t="shared" si="37"/>
        <v/>
      </c>
    </row>
    <row r="374" spans="1:8" x14ac:dyDescent="0.25">
      <c r="A374" t="s">
        <v>371</v>
      </c>
      <c r="B374" s="3">
        <f t="shared" si="32"/>
        <v>31</v>
      </c>
      <c r="C374" s="3" t="str">
        <f t="shared" si="33"/>
        <v/>
      </c>
      <c r="D374" s="3">
        <f t="shared" si="34"/>
        <v>154</v>
      </c>
      <c r="E374" s="5" t="str">
        <f>IF(C374="",IF(D374="","",IF(D374&lt;128,"Wahl "&amp;D374,INDEX(KdoCodeTab,MATCH(D374,KdoWertTab,0)))),"Status "&amp;C374)</f>
        <v>MarkWdh</v>
      </c>
      <c r="F374" t="str">
        <f t="shared" si="35"/>
        <v>MarkWdh</v>
      </c>
      <c r="G374" t="str">
        <f t="shared" si="36"/>
        <v/>
      </c>
      <c r="H374" t="str">
        <f t="shared" si="37"/>
        <v/>
      </c>
    </row>
    <row r="375" spans="1:8" x14ac:dyDescent="0.25">
      <c r="A375" t="s">
        <v>372</v>
      </c>
      <c r="B375" s="3">
        <f t="shared" si="32"/>
        <v>31</v>
      </c>
      <c r="C375" s="3" t="str">
        <f t="shared" si="33"/>
        <v/>
      </c>
      <c r="D375" s="3">
        <f t="shared" si="34"/>
        <v>147</v>
      </c>
      <c r="E375" s="5" t="str">
        <f>IF(C375="",IF(D375="","",IF(D375&lt;128,"Wahl "&amp;D375,INDEX(KdoCodeTab,MATCH(D375,KdoWertTab,0)))),"Status "&amp;C375)</f>
        <v>Space</v>
      </c>
      <c r="F375" t="str">
        <f t="shared" si="35"/>
        <v>Space</v>
      </c>
      <c r="G375" t="str">
        <f t="shared" si="36"/>
        <v/>
      </c>
      <c r="H375" t="str">
        <f t="shared" si="37"/>
        <v/>
      </c>
    </row>
    <row r="376" spans="1:8" x14ac:dyDescent="0.25">
      <c r="A376" t="s">
        <v>373</v>
      </c>
      <c r="B376" s="3">
        <f t="shared" si="32"/>
        <v>31</v>
      </c>
      <c r="C376" s="3" t="str">
        <f t="shared" si="33"/>
        <v/>
      </c>
      <c r="D376" s="3">
        <f t="shared" si="34"/>
        <v>150</v>
      </c>
      <c r="E376" s="5" t="str">
        <f>IF(C376="",IF(D376="","",IF(D376&lt;128,"Wahl "&amp;D376,INDEX(KdoCodeTab,MATCH(D376,KdoWertTab,0)))),"Status "&amp;C376)</f>
        <v>SpaceWdh</v>
      </c>
      <c r="F376" t="str">
        <f t="shared" si="35"/>
        <v>SpaceWdh</v>
      </c>
      <c r="G376" t="str">
        <f t="shared" si="36"/>
        <v/>
      </c>
      <c r="H376" t="str">
        <f t="shared" si="37"/>
        <v/>
      </c>
    </row>
    <row r="377" spans="1:8" x14ac:dyDescent="0.25">
      <c r="A377" t="s">
        <v>374</v>
      </c>
      <c r="B377" s="3">
        <f t="shared" si="32"/>
        <v>31</v>
      </c>
      <c r="C377" s="3" t="str">
        <f t="shared" si="33"/>
        <v/>
      </c>
      <c r="D377" s="3">
        <f t="shared" si="34"/>
        <v>156</v>
      </c>
      <c r="E377" s="5" t="str">
        <f>IF(C377="",IF(D377="","",IF(D377&lt;128,"Wahl "&amp;D377,INDEX(KdoCodeTab,MATCH(D377,KdoWertTab,0)))),"Status "&amp;C377)</f>
        <v>Mark</v>
      </c>
      <c r="F377" t="str">
        <f t="shared" si="35"/>
        <v>Mark</v>
      </c>
      <c r="G377" t="str">
        <f t="shared" si="36"/>
        <v/>
      </c>
      <c r="H377" t="str">
        <f t="shared" si="37"/>
        <v/>
      </c>
    </row>
    <row r="378" spans="1:8" x14ac:dyDescent="0.25">
      <c r="A378" t="s">
        <v>375</v>
      </c>
      <c r="B378" s="3">
        <f t="shared" si="32"/>
        <v>31</v>
      </c>
      <c r="C378" s="3" t="str">
        <f t="shared" si="33"/>
        <v/>
      </c>
      <c r="D378" s="3">
        <f t="shared" si="34"/>
        <v>154</v>
      </c>
      <c r="E378" s="5" t="str">
        <f>IF(C378="",IF(D378="","",IF(D378&lt;128,"Wahl "&amp;D378,INDEX(KdoCodeTab,MATCH(D378,KdoWertTab,0)))),"Status "&amp;C378)</f>
        <v>MarkWdh</v>
      </c>
      <c r="F378" t="str">
        <f t="shared" si="35"/>
        <v>MarkWdh</v>
      </c>
      <c r="G378" t="str">
        <f t="shared" si="36"/>
        <v/>
      </c>
      <c r="H378" t="str">
        <f t="shared" si="37"/>
        <v/>
      </c>
    </row>
    <row r="379" spans="1:8" x14ac:dyDescent="0.25">
      <c r="A379" t="s">
        <v>376</v>
      </c>
      <c r="B379" s="3">
        <f t="shared" si="32"/>
        <v>33</v>
      </c>
      <c r="C379" s="3" t="str">
        <f t="shared" si="33"/>
        <v/>
      </c>
      <c r="D379" s="3">
        <f t="shared" si="34"/>
        <v>169</v>
      </c>
      <c r="E379" s="5" t="str">
        <f>IF(C379="",IF(D379="","",IF(D379&lt;128,"Wahl "&amp;D379,INDEX(KdoCodeTab,MATCH(D379,KdoWertTab,0)))),"Status "&amp;C379)</f>
        <v>BusLebenszeichen</v>
      </c>
      <c r="F379" t="str">
        <f t="shared" si="35"/>
        <v/>
      </c>
      <c r="G379" t="str">
        <f t="shared" si="36"/>
        <v>BusLebenszeichen</v>
      </c>
      <c r="H379" t="str">
        <f t="shared" si="37"/>
        <v/>
      </c>
    </row>
    <row r="380" spans="1:8" x14ac:dyDescent="0.25">
      <c r="A380" t="s">
        <v>377</v>
      </c>
      <c r="B380" s="3">
        <f t="shared" si="32"/>
        <v>31</v>
      </c>
      <c r="C380" s="3" t="str">
        <f t="shared" si="33"/>
        <v/>
      </c>
      <c r="D380" s="3">
        <f t="shared" si="34"/>
        <v>169</v>
      </c>
      <c r="E380" s="5" t="str">
        <f>IF(C380="",IF(D380="","",IF(D380&lt;128,"Wahl "&amp;D380,INDEX(KdoCodeTab,MATCH(D380,KdoWertTab,0)))),"Status "&amp;C380)</f>
        <v>BusLebenszeichen</v>
      </c>
      <c r="F380" t="str">
        <f t="shared" si="35"/>
        <v>BusLebenszeichen</v>
      </c>
      <c r="G380" t="str">
        <f t="shared" si="36"/>
        <v/>
      </c>
      <c r="H380" t="str">
        <f t="shared" si="37"/>
        <v/>
      </c>
    </row>
    <row r="381" spans="1:8" x14ac:dyDescent="0.25">
      <c r="A381" t="s">
        <v>378</v>
      </c>
      <c r="B381" s="3">
        <f t="shared" si="32"/>
        <v>31</v>
      </c>
      <c r="C381" s="3" t="str">
        <f t="shared" si="33"/>
        <v/>
      </c>
      <c r="D381" s="3">
        <f t="shared" si="34"/>
        <v>147</v>
      </c>
      <c r="E381" s="5" t="str">
        <f>IF(C381="",IF(D381="","",IF(D381&lt;128,"Wahl "&amp;D381,INDEX(KdoCodeTab,MATCH(D381,KdoWertTab,0)))),"Status "&amp;C381)</f>
        <v>Space</v>
      </c>
      <c r="F381" t="str">
        <f t="shared" si="35"/>
        <v>Space</v>
      </c>
      <c r="G381" t="str">
        <f t="shared" si="36"/>
        <v/>
      </c>
      <c r="H381" t="str">
        <f t="shared" si="37"/>
        <v/>
      </c>
    </row>
    <row r="382" spans="1:8" x14ac:dyDescent="0.25">
      <c r="A382" t="s">
        <v>379</v>
      </c>
      <c r="B382" s="3">
        <f t="shared" si="32"/>
        <v>31</v>
      </c>
      <c r="C382" s="3" t="str">
        <f t="shared" si="33"/>
        <v/>
      </c>
      <c r="D382" s="3">
        <f t="shared" si="34"/>
        <v>150</v>
      </c>
      <c r="E382" s="5" t="str">
        <f>IF(C382="",IF(D382="","",IF(D382&lt;128,"Wahl "&amp;D382,INDEX(KdoCodeTab,MATCH(D382,KdoWertTab,0)))),"Status "&amp;C382)</f>
        <v>SpaceWdh</v>
      </c>
      <c r="F382" t="str">
        <f t="shared" si="35"/>
        <v>SpaceWdh</v>
      </c>
      <c r="G382" t="str">
        <f t="shared" si="36"/>
        <v/>
      </c>
      <c r="H382" t="str">
        <f t="shared" si="37"/>
        <v/>
      </c>
    </row>
    <row r="383" spans="1:8" x14ac:dyDescent="0.25">
      <c r="A383" t="s">
        <v>380</v>
      </c>
      <c r="B383" s="3">
        <f t="shared" si="32"/>
        <v>31</v>
      </c>
      <c r="C383" s="3" t="str">
        <f t="shared" si="33"/>
        <v/>
      </c>
      <c r="D383" s="3">
        <f t="shared" si="34"/>
        <v>156</v>
      </c>
      <c r="E383" s="5" t="str">
        <f>IF(C383="",IF(D383="","",IF(D383&lt;128,"Wahl "&amp;D383,INDEX(KdoCodeTab,MATCH(D383,KdoWertTab,0)))),"Status "&amp;C383)</f>
        <v>Mark</v>
      </c>
      <c r="F383" t="str">
        <f t="shared" si="35"/>
        <v>Mark</v>
      </c>
      <c r="G383" t="str">
        <f t="shared" si="36"/>
        <v/>
      </c>
      <c r="H383" t="str">
        <f t="shared" si="37"/>
        <v/>
      </c>
    </row>
    <row r="384" spans="1:8" x14ac:dyDescent="0.25">
      <c r="A384" t="s">
        <v>381</v>
      </c>
      <c r="B384" s="3">
        <f t="shared" si="32"/>
        <v>31</v>
      </c>
      <c r="C384" s="3" t="str">
        <f t="shared" si="33"/>
        <v/>
      </c>
      <c r="D384" s="3">
        <f t="shared" si="34"/>
        <v>154</v>
      </c>
      <c r="E384" s="5" t="str">
        <f>IF(C384="",IF(D384="","",IF(D384&lt;128,"Wahl "&amp;D384,INDEX(KdoCodeTab,MATCH(D384,KdoWertTab,0)))),"Status "&amp;C384)</f>
        <v>MarkWdh</v>
      </c>
      <c r="F384" t="str">
        <f t="shared" si="35"/>
        <v>MarkWdh</v>
      </c>
      <c r="G384" t="str">
        <f t="shared" si="36"/>
        <v/>
      </c>
      <c r="H384" t="str">
        <f t="shared" si="37"/>
        <v/>
      </c>
    </row>
    <row r="385" spans="1:8" x14ac:dyDescent="0.25">
      <c r="A385" t="s">
        <v>382</v>
      </c>
      <c r="B385" s="3">
        <f t="shared" si="32"/>
        <v>31</v>
      </c>
      <c r="C385" s="3" t="str">
        <f t="shared" si="33"/>
        <v/>
      </c>
      <c r="D385" s="3">
        <f t="shared" si="34"/>
        <v>147</v>
      </c>
      <c r="E385" s="5" t="str">
        <f>IF(C385="",IF(D385="","",IF(D385&lt;128,"Wahl "&amp;D385,INDEX(KdoCodeTab,MATCH(D385,KdoWertTab,0)))),"Status "&amp;C385)</f>
        <v>Space</v>
      </c>
      <c r="F385" t="str">
        <f t="shared" si="35"/>
        <v>Space</v>
      </c>
      <c r="G385" t="str">
        <f t="shared" si="36"/>
        <v/>
      </c>
      <c r="H385" t="str">
        <f t="shared" si="37"/>
        <v/>
      </c>
    </row>
    <row r="386" spans="1:8" x14ac:dyDescent="0.25">
      <c r="A386" t="s">
        <v>383</v>
      </c>
      <c r="B386" s="3">
        <f t="shared" si="32"/>
        <v>31</v>
      </c>
      <c r="C386" s="3" t="str">
        <f t="shared" si="33"/>
        <v/>
      </c>
      <c r="D386" s="3">
        <f t="shared" si="34"/>
        <v>150</v>
      </c>
      <c r="E386" s="5" t="str">
        <f>IF(C386="",IF(D386="","",IF(D386&lt;128,"Wahl "&amp;D386,INDEX(KdoCodeTab,MATCH(D386,KdoWertTab,0)))),"Status "&amp;C386)</f>
        <v>SpaceWdh</v>
      </c>
      <c r="F386" t="str">
        <f t="shared" si="35"/>
        <v>SpaceWdh</v>
      </c>
      <c r="G386" t="str">
        <f t="shared" si="36"/>
        <v/>
      </c>
      <c r="H386" t="str">
        <f t="shared" si="37"/>
        <v/>
      </c>
    </row>
    <row r="387" spans="1:8" x14ac:dyDescent="0.25">
      <c r="A387" t="s">
        <v>384</v>
      </c>
      <c r="B387" s="3">
        <f t="shared" si="32"/>
        <v>31</v>
      </c>
      <c r="C387" s="3" t="str">
        <f t="shared" si="33"/>
        <v/>
      </c>
      <c r="D387" s="3">
        <f t="shared" si="34"/>
        <v>156</v>
      </c>
      <c r="E387" s="5" t="str">
        <f>IF(C387="",IF(D387="","",IF(D387&lt;128,"Wahl "&amp;D387,INDEX(KdoCodeTab,MATCH(D387,KdoWertTab,0)))),"Status "&amp;C387)</f>
        <v>Mark</v>
      </c>
      <c r="F387" t="str">
        <f t="shared" si="35"/>
        <v>Mark</v>
      </c>
      <c r="G387" t="str">
        <f t="shared" si="36"/>
        <v/>
      </c>
      <c r="H387" t="str">
        <f t="shared" si="37"/>
        <v/>
      </c>
    </row>
    <row r="388" spans="1:8" x14ac:dyDescent="0.25">
      <c r="A388" t="s">
        <v>385</v>
      </c>
      <c r="B388" s="3">
        <f t="shared" si="32"/>
        <v>31</v>
      </c>
      <c r="C388" s="3" t="str">
        <f t="shared" si="33"/>
        <v/>
      </c>
      <c r="D388" s="3">
        <f t="shared" si="34"/>
        <v>154</v>
      </c>
      <c r="E388" s="5" t="str">
        <f>IF(C388="",IF(D388="","",IF(D388&lt;128,"Wahl "&amp;D388,INDEX(KdoCodeTab,MATCH(D388,KdoWertTab,0)))),"Status "&amp;C388)</f>
        <v>MarkWdh</v>
      </c>
      <c r="F388" t="str">
        <f t="shared" si="35"/>
        <v>MarkWdh</v>
      </c>
      <c r="G388" t="str">
        <f t="shared" si="36"/>
        <v/>
      </c>
      <c r="H388" t="str">
        <f t="shared" si="37"/>
        <v/>
      </c>
    </row>
    <row r="389" spans="1:8" x14ac:dyDescent="0.25">
      <c r="A389" t="s">
        <v>386</v>
      </c>
      <c r="B389" s="3">
        <f t="shared" ref="B389:B452" si="38">INT(HEX2DEC(MID(A389,8,2))/2)</f>
        <v>31</v>
      </c>
      <c r="C389" s="3" t="str">
        <f t="shared" ref="C389:C452" si="39">IF(MID(A389,10,1)="&lt;",MID(A389,12,2),"")</f>
        <v/>
      </c>
      <c r="D389" s="3">
        <f t="shared" ref="D389:D452" si="40">IF(MID(A389,10,1)="&gt;",HEX2DEC(MID(A389,12,2)),"")</f>
        <v>147</v>
      </c>
      <c r="E389" s="5" t="str">
        <f>IF(C389="",IF(D389="","",IF(D389&lt;128,"Wahl "&amp;D389,INDEX(KdoCodeTab,MATCH(D389,KdoWertTab,0)))),"Status "&amp;C389)</f>
        <v>Space</v>
      </c>
      <c r="F389" t="str">
        <f t="shared" ref="F389:F452" si="41">IF(B389=$F$2,E389,"")</f>
        <v>Space</v>
      </c>
      <c r="G389" t="str">
        <f t="shared" ref="G389:G452" si="42">IF(B389=$G$2,E389,"")</f>
        <v/>
      </c>
      <c r="H389" t="str">
        <f t="shared" ref="H389:H452" si="43">IF(F389&amp;G389="",E389,"")</f>
        <v/>
      </c>
    </row>
    <row r="390" spans="1:8" x14ac:dyDescent="0.25">
      <c r="A390" t="s">
        <v>387</v>
      </c>
      <c r="B390" s="3">
        <f t="shared" si="38"/>
        <v>31</v>
      </c>
      <c r="C390" s="3" t="str">
        <f t="shared" si="39"/>
        <v/>
      </c>
      <c r="D390" s="3">
        <f t="shared" si="40"/>
        <v>150</v>
      </c>
      <c r="E390" s="5" t="str">
        <f>IF(C390="",IF(D390="","",IF(D390&lt;128,"Wahl "&amp;D390,INDEX(KdoCodeTab,MATCH(D390,KdoWertTab,0)))),"Status "&amp;C390)</f>
        <v>SpaceWdh</v>
      </c>
      <c r="F390" t="str">
        <f t="shared" si="41"/>
        <v>SpaceWdh</v>
      </c>
      <c r="G390" t="str">
        <f t="shared" si="42"/>
        <v/>
      </c>
      <c r="H390" t="str">
        <f t="shared" si="43"/>
        <v/>
      </c>
    </row>
    <row r="391" spans="1:8" x14ac:dyDescent="0.25">
      <c r="A391" t="s">
        <v>388</v>
      </c>
      <c r="B391" s="3">
        <f t="shared" si="38"/>
        <v>31</v>
      </c>
      <c r="C391" s="3" t="str">
        <f t="shared" si="39"/>
        <v/>
      </c>
      <c r="D391" s="3">
        <f t="shared" si="40"/>
        <v>156</v>
      </c>
      <c r="E391" s="5" t="str">
        <f>IF(C391="",IF(D391="","",IF(D391&lt;128,"Wahl "&amp;D391,INDEX(KdoCodeTab,MATCH(D391,KdoWertTab,0)))),"Status "&amp;C391)</f>
        <v>Mark</v>
      </c>
      <c r="F391" t="str">
        <f t="shared" si="41"/>
        <v>Mark</v>
      </c>
      <c r="G391" t="str">
        <f t="shared" si="42"/>
        <v/>
      </c>
      <c r="H391" t="str">
        <f t="shared" si="43"/>
        <v/>
      </c>
    </row>
    <row r="392" spans="1:8" x14ac:dyDescent="0.25">
      <c r="A392" t="s">
        <v>389</v>
      </c>
      <c r="B392" s="3">
        <f t="shared" si="38"/>
        <v>31</v>
      </c>
      <c r="C392" s="3" t="str">
        <f t="shared" si="39"/>
        <v/>
      </c>
      <c r="D392" s="3">
        <f t="shared" si="40"/>
        <v>154</v>
      </c>
      <c r="E392" s="5" t="str">
        <f>IF(C392="",IF(D392="","",IF(D392&lt;128,"Wahl "&amp;D392,INDEX(KdoCodeTab,MATCH(D392,KdoWertTab,0)))),"Status "&amp;C392)</f>
        <v>MarkWdh</v>
      </c>
      <c r="F392" t="str">
        <f t="shared" si="41"/>
        <v>MarkWdh</v>
      </c>
      <c r="G392" t="str">
        <f t="shared" si="42"/>
        <v/>
      </c>
      <c r="H392" t="str">
        <f t="shared" si="43"/>
        <v/>
      </c>
    </row>
    <row r="393" spans="1:8" x14ac:dyDescent="0.25">
      <c r="A393" t="s">
        <v>390</v>
      </c>
      <c r="B393" s="3">
        <f t="shared" si="38"/>
        <v>31</v>
      </c>
      <c r="C393" s="3" t="str">
        <f t="shared" si="39"/>
        <v/>
      </c>
      <c r="D393" s="3">
        <f t="shared" si="40"/>
        <v>147</v>
      </c>
      <c r="E393" s="5" t="str">
        <f>IF(C393="",IF(D393="","",IF(D393&lt;128,"Wahl "&amp;D393,INDEX(KdoCodeTab,MATCH(D393,KdoWertTab,0)))),"Status "&amp;C393)</f>
        <v>Space</v>
      </c>
      <c r="F393" t="str">
        <f t="shared" si="41"/>
        <v>Space</v>
      </c>
      <c r="G393" t="str">
        <f t="shared" si="42"/>
        <v/>
      </c>
      <c r="H393" t="str">
        <f t="shared" si="43"/>
        <v/>
      </c>
    </row>
    <row r="394" spans="1:8" x14ac:dyDescent="0.25">
      <c r="A394" t="s">
        <v>391</v>
      </c>
      <c r="B394" s="3">
        <f t="shared" si="38"/>
        <v>31</v>
      </c>
      <c r="C394" s="3" t="str">
        <f t="shared" si="39"/>
        <v/>
      </c>
      <c r="D394" s="3">
        <f t="shared" si="40"/>
        <v>150</v>
      </c>
      <c r="E394" s="5" t="str">
        <f>IF(C394="",IF(D394="","",IF(D394&lt;128,"Wahl "&amp;D394,INDEX(KdoCodeTab,MATCH(D394,KdoWertTab,0)))),"Status "&amp;C394)</f>
        <v>SpaceWdh</v>
      </c>
      <c r="F394" t="str">
        <f t="shared" si="41"/>
        <v>SpaceWdh</v>
      </c>
      <c r="G394" t="str">
        <f t="shared" si="42"/>
        <v/>
      </c>
      <c r="H394" t="str">
        <f t="shared" si="43"/>
        <v/>
      </c>
    </row>
    <row r="395" spans="1:8" x14ac:dyDescent="0.25">
      <c r="A395" t="s">
        <v>392</v>
      </c>
      <c r="B395" s="3">
        <f t="shared" si="38"/>
        <v>31</v>
      </c>
      <c r="C395" s="3" t="str">
        <f t="shared" si="39"/>
        <v/>
      </c>
      <c r="D395" s="3">
        <f t="shared" si="40"/>
        <v>156</v>
      </c>
      <c r="E395" s="5" t="str">
        <f>IF(C395="",IF(D395="","",IF(D395&lt;128,"Wahl "&amp;D395,INDEX(KdoCodeTab,MATCH(D395,KdoWertTab,0)))),"Status "&amp;C395)</f>
        <v>Mark</v>
      </c>
      <c r="F395" t="str">
        <f t="shared" si="41"/>
        <v>Mark</v>
      </c>
      <c r="G395" t="str">
        <f t="shared" si="42"/>
        <v/>
      </c>
      <c r="H395" t="str">
        <f t="shared" si="43"/>
        <v/>
      </c>
    </row>
    <row r="396" spans="1:8" x14ac:dyDescent="0.25">
      <c r="A396" t="s">
        <v>393</v>
      </c>
      <c r="B396" s="3">
        <f t="shared" si="38"/>
        <v>31</v>
      </c>
      <c r="C396" s="3" t="str">
        <f t="shared" si="39"/>
        <v/>
      </c>
      <c r="D396" s="3">
        <f t="shared" si="40"/>
        <v>154</v>
      </c>
      <c r="E396" s="5" t="str">
        <f>IF(C396="",IF(D396="","",IF(D396&lt;128,"Wahl "&amp;D396,INDEX(KdoCodeTab,MATCH(D396,KdoWertTab,0)))),"Status "&amp;C396)</f>
        <v>MarkWdh</v>
      </c>
      <c r="F396" t="str">
        <f t="shared" si="41"/>
        <v>MarkWdh</v>
      </c>
      <c r="G396" t="str">
        <f t="shared" si="42"/>
        <v/>
      </c>
      <c r="H396" t="str">
        <f t="shared" si="43"/>
        <v/>
      </c>
    </row>
    <row r="397" spans="1:8" x14ac:dyDescent="0.25">
      <c r="A397" t="s">
        <v>394</v>
      </c>
      <c r="B397" s="3">
        <f t="shared" si="38"/>
        <v>31</v>
      </c>
      <c r="C397" s="3" t="str">
        <f t="shared" si="39"/>
        <v/>
      </c>
      <c r="D397" s="3">
        <f t="shared" si="40"/>
        <v>147</v>
      </c>
      <c r="E397" s="5" t="str">
        <f>IF(C397="",IF(D397="","",IF(D397&lt;128,"Wahl "&amp;D397,INDEX(KdoCodeTab,MATCH(D397,KdoWertTab,0)))),"Status "&amp;C397)</f>
        <v>Space</v>
      </c>
      <c r="F397" t="str">
        <f t="shared" si="41"/>
        <v>Space</v>
      </c>
      <c r="G397" t="str">
        <f t="shared" si="42"/>
        <v/>
      </c>
      <c r="H397" t="str">
        <f t="shared" si="43"/>
        <v/>
      </c>
    </row>
    <row r="398" spans="1:8" x14ac:dyDescent="0.25">
      <c r="A398" t="s">
        <v>395</v>
      </c>
      <c r="B398" s="3">
        <f t="shared" si="38"/>
        <v>31</v>
      </c>
      <c r="C398" s="3" t="str">
        <f t="shared" si="39"/>
        <v/>
      </c>
      <c r="D398" s="3">
        <f t="shared" si="40"/>
        <v>150</v>
      </c>
      <c r="E398" s="5" t="str">
        <f>IF(C398="",IF(D398="","",IF(D398&lt;128,"Wahl "&amp;D398,INDEX(KdoCodeTab,MATCH(D398,KdoWertTab,0)))),"Status "&amp;C398)</f>
        <v>SpaceWdh</v>
      </c>
      <c r="F398" t="str">
        <f t="shared" si="41"/>
        <v>SpaceWdh</v>
      </c>
      <c r="G398" t="str">
        <f t="shared" si="42"/>
        <v/>
      </c>
      <c r="H398" t="str">
        <f t="shared" si="43"/>
        <v/>
      </c>
    </row>
    <row r="399" spans="1:8" x14ac:dyDescent="0.25">
      <c r="A399" t="s">
        <v>396</v>
      </c>
      <c r="B399" s="3">
        <f t="shared" si="38"/>
        <v>33</v>
      </c>
      <c r="C399" s="3" t="str">
        <f t="shared" si="39"/>
        <v/>
      </c>
      <c r="D399" s="3">
        <f t="shared" si="40"/>
        <v>169</v>
      </c>
      <c r="E399" s="5" t="str">
        <f>IF(C399="",IF(D399="","",IF(D399&lt;128,"Wahl "&amp;D399,INDEX(KdoCodeTab,MATCH(D399,KdoWertTab,0)))),"Status "&amp;C399)</f>
        <v>BusLebenszeichen</v>
      </c>
      <c r="F399" t="str">
        <f t="shared" si="41"/>
        <v/>
      </c>
      <c r="G399" t="str">
        <f t="shared" si="42"/>
        <v>BusLebenszeichen</v>
      </c>
      <c r="H399" t="str">
        <f t="shared" si="43"/>
        <v/>
      </c>
    </row>
    <row r="400" spans="1:8" x14ac:dyDescent="0.25">
      <c r="A400" t="s">
        <v>397</v>
      </c>
      <c r="B400" s="3">
        <f t="shared" si="38"/>
        <v>31</v>
      </c>
      <c r="C400" s="3" t="str">
        <f t="shared" si="39"/>
        <v/>
      </c>
      <c r="D400" s="3">
        <f t="shared" si="40"/>
        <v>169</v>
      </c>
      <c r="E400" s="5" t="str">
        <f>IF(C400="",IF(D400="","",IF(D400&lt;128,"Wahl "&amp;D400,INDEX(KdoCodeTab,MATCH(D400,KdoWertTab,0)))),"Status "&amp;C400)</f>
        <v>BusLebenszeichen</v>
      </c>
      <c r="F400" t="str">
        <f t="shared" si="41"/>
        <v>BusLebenszeichen</v>
      </c>
      <c r="G400" t="str">
        <f t="shared" si="42"/>
        <v/>
      </c>
      <c r="H400" t="str">
        <f t="shared" si="43"/>
        <v/>
      </c>
    </row>
    <row r="401" spans="1:8" x14ac:dyDescent="0.25">
      <c r="A401" t="s">
        <v>398</v>
      </c>
      <c r="B401" s="3">
        <f t="shared" si="38"/>
        <v>31</v>
      </c>
      <c r="C401" s="3" t="str">
        <f t="shared" si="39"/>
        <v/>
      </c>
      <c r="D401" s="3">
        <f t="shared" si="40"/>
        <v>156</v>
      </c>
      <c r="E401" s="5" t="str">
        <f>IF(C401="",IF(D401="","",IF(D401&lt;128,"Wahl "&amp;D401,INDEX(KdoCodeTab,MATCH(D401,KdoWertTab,0)))),"Status "&amp;C401)</f>
        <v>Mark</v>
      </c>
      <c r="F401" t="str">
        <f t="shared" si="41"/>
        <v>Mark</v>
      </c>
      <c r="G401" t="str">
        <f t="shared" si="42"/>
        <v/>
      </c>
      <c r="H401" t="str">
        <f t="shared" si="43"/>
        <v/>
      </c>
    </row>
    <row r="402" spans="1:8" x14ac:dyDescent="0.25">
      <c r="A402" t="s">
        <v>399</v>
      </c>
      <c r="B402" s="3">
        <f t="shared" si="38"/>
        <v>31</v>
      </c>
      <c r="C402" s="3" t="str">
        <f t="shared" si="39"/>
        <v/>
      </c>
      <c r="D402" s="3">
        <f t="shared" si="40"/>
        <v>154</v>
      </c>
      <c r="E402" s="5" t="str">
        <f>IF(C402="",IF(D402="","",IF(D402&lt;128,"Wahl "&amp;D402,INDEX(KdoCodeTab,MATCH(D402,KdoWertTab,0)))),"Status "&amp;C402)</f>
        <v>MarkWdh</v>
      </c>
      <c r="F402" t="str">
        <f t="shared" si="41"/>
        <v>MarkWdh</v>
      </c>
      <c r="G402" t="str">
        <f t="shared" si="42"/>
        <v/>
      </c>
      <c r="H402" t="str">
        <f t="shared" si="43"/>
        <v/>
      </c>
    </row>
    <row r="403" spans="1:8" x14ac:dyDescent="0.25">
      <c r="A403" t="s">
        <v>400</v>
      </c>
      <c r="B403" s="3">
        <f t="shared" si="38"/>
        <v>31</v>
      </c>
      <c r="C403" s="3" t="str">
        <f t="shared" si="39"/>
        <v/>
      </c>
      <c r="D403" s="3">
        <f t="shared" si="40"/>
        <v>147</v>
      </c>
      <c r="E403" s="5" t="str">
        <f>IF(C403="",IF(D403="","",IF(D403&lt;128,"Wahl "&amp;D403,INDEX(KdoCodeTab,MATCH(D403,KdoWertTab,0)))),"Status "&amp;C403)</f>
        <v>Space</v>
      </c>
      <c r="F403" t="str">
        <f t="shared" si="41"/>
        <v>Space</v>
      </c>
      <c r="G403" t="str">
        <f t="shared" si="42"/>
        <v/>
      </c>
      <c r="H403" t="str">
        <f t="shared" si="43"/>
        <v/>
      </c>
    </row>
    <row r="404" spans="1:8" x14ac:dyDescent="0.25">
      <c r="A404" t="s">
        <v>401</v>
      </c>
      <c r="B404" s="3">
        <f t="shared" si="38"/>
        <v>31</v>
      </c>
      <c r="C404" s="3" t="str">
        <f t="shared" si="39"/>
        <v/>
      </c>
      <c r="D404" s="3">
        <f t="shared" si="40"/>
        <v>150</v>
      </c>
      <c r="E404" s="5" t="str">
        <f>IF(C404="",IF(D404="","",IF(D404&lt;128,"Wahl "&amp;D404,INDEX(KdoCodeTab,MATCH(D404,KdoWertTab,0)))),"Status "&amp;C404)</f>
        <v>SpaceWdh</v>
      </c>
      <c r="F404" t="str">
        <f t="shared" si="41"/>
        <v>SpaceWdh</v>
      </c>
      <c r="G404" t="str">
        <f t="shared" si="42"/>
        <v/>
      </c>
      <c r="H404" t="str">
        <f t="shared" si="43"/>
        <v/>
      </c>
    </row>
    <row r="405" spans="1:8" x14ac:dyDescent="0.25">
      <c r="A405" t="s">
        <v>402</v>
      </c>
      <c r="B405" s="3">
        <f t="shared" si="38"/>
        <v>31</v>
      </c>
      <c r="C405" s="3" t="str">
        <f t="shared" si="39"/>
        <v/>
      </c>
      <c r="D405" s="3">
        <f t="shared" si="40"/>
        <v>156</v>
      </c>
      <c r="E405" s="5" t="str">
        <f>IF(C405="",IF(D405="","",IF(D405&lt;128,"Wahl "&amp;D405,INDEX(KdoCodeTab,MATCH(D405,KdoWertTab,0)))),"Status "&amp;C405)</f>
        <v>Mark</v>
      </c>
      <c r="F405" t="str">
        <f t="shared" si="41"/>
        <v>Mark</v>
      </c>
      <c r="G405" t="str">
        <f t="shared" si="42"/>
        <v/>
      </c>
      <c r="H405" t="str">
        <f t="shared" si="43"/>
        <v/>
      </c>
    </row>
    <row r="406" spans="1:8" x14ac:dyDescent="0.25">
      <c r="A406" t="s">
        <v>403</v>
      </c>
      <c r="B406" s="3">
        <f t="shared" si="38"/>
        <v>31</v>
      </c>
      <c r="C406" s="3" t="str">
        <f t="shared" si="39"/>
        <v/>
      </c>
      <c r="D406" s="3">
        <f t="shared" si="40"/>
        <v>154</v>
      </c>
      <c r="E406" s="5" t="str">
        <f>IF(C406="",IF(D406="","",IF(D406&lt;128,"Wahl "&amp;D406,INDEX(KdoCodeTab,MATCH(D406,KdoWertTab,0)))),"Status "&amp;C406)</f>
        <v>MarkWdh</v>
      </c>
      <c r="F406" t="str">
        <f t="shared" si="41"/>
        <v>MarkWdh</v>
      </c>
      <c r="G406" t="str">
        <f t="shared" si="42"/>
        <v/>
      </c>
      <c r="H406" t="str">
        <f t="shared" si="43"/>
        <v/>
      </c>
    </row>
    <row r="407" spans="1:8" x14ac:dyDescent="0.25">
      <c r="A407" t="s">
        <v>404</v>
      </c>
      <c r="B407" s="3">
        <f t="shared" si="38"/>
        <v>31</v>
      </c>
      <c r="C407" s="3" t="str">
        <f t="shared" si="39"/>
        <v/>
      </c>
      <c r="D407" s="3">
        <f t="shared" si="40"/>
        <v>147</v>
      </c>
      <c r="E407" s="5" t="str">
        <f>IF(C407="",IF(D407="","",IF(D407&lt;128,"Wahl "&amp;D407,INDEX(KdoCodeTab,MATCH(D407,KdoWertTab,0)))),"Status "&amp;C407)</f>
        <v>Space</v>
      </c>
      <c r="F407" t="str">
        <f t="shared" si="41"/>
        <v>Space</v>
      </c>
      <c r="G407" t="str">
        <f t="shared" si="42"/>
        <v/>
      </c>
      <c r="H407" t="str">
        <f t="shared" si="43"/>
        <v/>
      </c>
    </row>
    <row r="408" spans="1:8" x14ac:dyDescent="0.25">
      <c r="A408" t="s">
        <v>405</v>
      </c>
      <c r="B408" s="3">
        <f t="shared" si="38"/>
        <v>31</v>
      </c>
      <c r="C408" s="3" t="str">
        <f t="shared" si="39"/>
        <v/>
      </c>
      <c r="D408" s="3">
        <f t="shared" si="40"/>
        <v>150</v>
      </c>
      <c r="E408" s="5" t="str">
        <f>IF(C408="",IF(D408="","",IF(D408&lt;128,"Wahl "&amp;D408,INDEX(KdoCodeTab,MATCH(D408,KdoWertTab,0)))),"Status "&amp;C408)</f>
        <v>SpaceWdh</v>
      </c>
      <c r="F408" t="str">
        <f t="shared" si="41"/>
        <v>SpaceWdh</v>
      </c>
      <c r="G408" t="str">
        <f t="shared" si="42"/>
        <v/>
      </c>
      <c r="H408" t="str">
        <f t="shared" si="43"/>
        <v/>
      </c>
    </row>
    <row r="409" spans="1:8" x14ac:dyDescent="0.25">
      <c r="A409" t="s">
        <v>406</v>
      </c>
      <c r="B409" s="3">
        <f t="shared" si="38"/>
        <v>31</v>
      </c>
      <c r="C409" s="3" t="str">
        <f t="shared" si="39"/>
        <v/>
      </c>
      <c r="D409" s="3">
        <f t="shared" si="40"/>
        <v>156</v>
      </c>
      <c r="E409" s="5" t="str">
        <f>IF(C409="",IF(D409="","",IF(D409&lt;128,"Wahl "&amp;D409,INDEX(KdoCodeTab,MATCH(D409,KdoWertTab,0)))),"Status "&amp;C409)</f>
        <v>Mark</v>
      </c>
      <c r="F409" t="str">
        <f t="shared" si="41"/>
        <v>Mark</v>
      </c>
      <c r="G409" t="str">
        <f t="shared" si="42"/>
        <v/>
      </c>
      <c r="H409" t="str">
        <f t="shared" si="43"/>
        <v/>
      </c>
    </row>
    <row r="410" spans="1:8" x14ac:dyDescent="0.25">
      <c r="A410" t="s">
        <v>407</v>
      </c>
      <c r="B410" s="3">
        <f t="shared" si="38"/>
        <v>31</v>
      </c>
      <c r="C410" s="3" t="str">
        <f t="shared" si="39"/>
        <v/>
      </c>
      <c r="D410" s="3">
        <f t="shared" si="40"/>
        <v>154</v>
      </c>
      <c r="E410" s="5" t="str">
        <f>IF(C410="",IF(D410="","",IF(D410&lt;128,"Wahl "&amp;D410,INDEX(KdoCodeTab,MATCH(D410,KdoWertTab,0)))),"Status "&amp;C410)</f>
        <v>MarkWdh</v>
      </c>
      <c r="F410" t="str">
        <f t="shared" si="41"/>
        <v>MarkWdh</v>
      </c>
      <c r="G410" t="str">
        <f t="shared" si="42"/>
        <v/>
      </c>
      <c r="H410" t="str">
        <f t="shared" si="43"/>
        <v/>
      </c>
    </row>
    <row r="411" spans="1:8" x14ac:dyDescent="0.25">
      <c r="A411" t="s">
        <v>408</v>
      </c>
      <c r="B411" s="3">
        <f t="shared" si="38"/>
        <v>31</v>
      </c>
      <c r="C411" s="3" t="str">
        <f t="shared" si="39"/>
        <v/>
      </c>
      <c r="D411" s="3">
        <f t="shared" si="40"/>
        <v>147</v>
      </c>
      <c r="E411" s="5" t="str">
        <f>IF(C411="",IF(D411="","",IF(D411&lt;128,"Wahl "&amp;D411,INDEX(KdoCodeTab,MATCH(D411,KdoWertTab,0)))),"Status "&amp;C411)</f>
        <v>Space</v>
      </c>
      <c r="F411" t="str">
        <f t="shared" si="41"/>
        <v>Space</v>
      </c>
      <c r="G411" t="str">
        <f t="shared" si="42"/>
        <v/>
      </c>
      <c r="H411" t="str">
        <f t="shared" si="43"/>
        <v/>
      </c>
    </row>
    <row r="412" spans="1:8" x14ac:dyDescent="0.25">
      <c r="A412" t="s">
        <v>409</v>
      </c>
      <c r="B412" s="3">
        <f t="shared" si="38"/>
        <v>31</v>
      </c>
      <c r="C412" s="3" t="str">
        <f t="shared" si="39"/>
        <v/>
      </c>
      <c r="D412" s="3">
        <f t="shared" si="40"/>
        <v>150</v>
      </c>
      <c r="E412" s="5" t="str">
        <f>IF(C412="",IF(D412="","",IF(D412&lt;128,"Wahl "&amp;D412,INDEX(KdoCodeTab,MATCH(D412,KdoWertTab,0)))),"Status "&amp;C412)</f>
        <v>SpaceWdh</v>
      </c>
      <c r="F412" t="str">
        <f t="shared" si="41"/>
        <v>SpaceWdh</v>
      </c>
      <c r="G412" t="str">
        <f t="shared" si="42"/>
        <v/>
      </c>
      <c r="H412" t="str">
        <f t="shared" si="43"/>
        <v/>
      </c>
    </row>
    <row r="413" spans="1:8" x14ac:dyDescent="0.25">
      <c r="A413" t="s">
        <v>410</v>
      </c>
      <c r="B413" s="3">
        <f t="shared" si="38"/>
        <v>33</v>
      </c>
      <c r="C413" s="3" t="str">
        <f t="shared" si="39"/>
        <v/>
      </c>
      <c r="D413" s="3">
        <f t="shared" si="40"/>
        <v>169</v>
      </c>
      <c r="E413" s="5" t="str">
        <f>IF(C413="",IF(D413="","",IF(D413&lt;128,"Wahl "&amp;D413,INDEX(KdoCodeTab,MATCH(D413,KdoWertTab,0)))),"Status "&amp;C413)</f>
        <v>BusLebenszeichen</v>
      </c>
      <c r="F413" t="str">
        <f t="shared" si="41"/>
        <v/>
      </c>
      <c r="G413" t="str">
        <f t="shared" si="42"/>
        <v>BusLebenszeichen</v>
      </c>
      <c r="H413" t="str">
        <f t="shared" si="43"/>
        <v/>
      </c>
    </row>
    <row r="414" spans="1:8" x14ac:dyDescent="0.25">
      <c r="A414" t="s">
        <v>411</v>
      </c>
      <c r="B414" s="3">
        <f t="shared" si="38"/>
        <v>31</v>
      </c>
      <c r="C414" s="3" t="str">
        <f t="shared" si="39"/>
        <v/>
      </c>
      <c r="D414" s="3">
        <f t="shared" si="40"/>
        <v>169</v>
      </c>
      <c r="E414" s="5" t="str">
        <f>IF(C414="",IF(D414="","",IF(D414&lt;128,"Wahl "&amp;D414,INDEX(KdoCodeTab,MATCH(D414,KdoWertTab,0)))),"Status "&amp;C414)</f>
        <v>BusLebenszeichen</v>
      </c>
      <c r="F414" t="str">
        <f t="shared" si="41"/>
        <v>BusLebenszeichen</v>
      </c>
      <c r="G414" t="str">
        <f t="shared" si="42"/>
        <v/>
      </c>
      <c r="H414" t="str">
        <f t="shared" si="43"/>
        <v/>
      </c>
    </row>
    <row r="415" spans="1:8" x14ac:dyDescent="0.25">
      <c r="A415" t="s">
        <v>412</v>
      </c>
      <c r="B415" s="3">
        <f t="shared" si="38"/>
        <v>31</v>
      </c>
      <c r="C415" s="3" t="str">
        <f t="shared" si="39"/>
        <v/>
      </c>
      <c r="D415" s="3">
        <f t="shared" si="40"/>
        <v>156</v>
      </c>
      <c r="E415" s="5" t="str">
        <f>IF(C415="",IF(D415="","",IF(D415&lt;128,"Wahl "&amp;D415,INDEX(KdoCodeTab,MATCH(D415,KdoWertTab,0)))),"Status "&amp;C415)</f>
        <v>Mark</v>
      </c>
      <c r="F415" t="str">
        <f t="shared" si="41"/>
        <v>Mark</v>
      </c>
      <c r="G415" t="str">
        <f t="shared" si="42"/>
        <v/>
      </c>
      <c r="H415" t="str">
        <f t="shared" si="43"/>
        <v/>
      </c>
    </row>
    <row r="416" spans="1:8" x14ac:dyDescent="0.25">
      <c r="A416" t="s">
        <v>413</v>
      </c>
      <c r="B416" s="3">
        <f t="shared" si="38"/>
        <v>31</v>
      </c>
      <c r="C416" s="3" t="str">
        <f t="shared" si="39"/>
        <v/>
      </c>
      <c r="D416" s="3">
        <f t="shared" si="40"/>
        <v>154</v>
      </c>
      <c r="E416" s="5" t="str">
        <f>IF(C416="",IF(D416="","",IF(D416&lt;128,"Wahl "&amp;D416,INDEX(KdoCodeTab,MATCH(D416,KdoWertTab,0)))),"Status "&amp;C416)</f>
        <v>MarkWdh</v>
      </c>
      <c r="F416" t="str">
        <f t="shared" si="41"/>
        <v>MarkWdh</v>
      </c>
      <c r="G416" t="str">
        <f t="shared" si="42"/>
        <v/>
      </c>
      <c r="H416" t="str">
        <f t="shared" si="43"/>
        <v/>
      </c>
    </row>
    <row r="417" spans="1:8" x14ac:dyDescent="0.25">
      <c r="A417" t="s">
        <v>414</v>
      </c>
      <c r="B417" s="3">
        <f t="shared" si="38"/>
        <v>33</v>
      </c>
      <c r="C417" s="3" t="str">
        <f t="shared" si="39"/>
        <v/>
      </c>
      <c r="D417" s="3">
        <f t="shared" si="40"/>
        <v>169</v>
      </c>
      <c r="E417" s="5" t="str">
        <f>IF(C417="",IF(D417="","",IF(D417&lt;128,"Wahl "&amp;D417,INDEX(KdoCodeTab,MATCH(D417,KdoWertTab,0)))),"Status "&amp;C417)</f>
        <v>BusLebenszeichen</v>
      </c>
      <c r="F417" t="str">
        <f t="shared" si="41"/>
        <v/>
      </c>
      <c r="G417" t="str">
        <f t="shared" si="42"/>
        <v>BusLebenszeichen</v>
      </c>
      <c r="H417" t="str">
        <f t="shared" si="43"/>
        <v/>
      </c>
    </row>
    <row r="418" spans="1:8" x14ac:dyDescent="0.25">
      <c r="A418" t="s">
        <v>415</v>
      </c>
      <c r="B418" s="3">
        <f t="shared" si="38"/>
        <v>31</v>
      </c>
      <c r="C418" s="3" t="str">
        <f t="shared" si="39"/>
        <v/>
      </c>
      <c r="D418" s="3">
        <f t="shared" si="40"/>
        <v>169</v>
      </c>
      <c r="E418" s="5" t="str">
        <f>IF(C418="",IF(D418="","",IF(D418&lt;128,"Wahl "&amp;D418,INDEX(KdoCodeTab,MATCH(D418,KdoWertTab,0)))),"Status "&amp;C418)</f>
        <v>BusLebenszeichen</v>
      </c>
      <c r="F418" t="str">
        <f t="shared" si="41"/>
        <v>BusLebenszeichen</v>
      </c>
      <c r="G418" t="str">
        <f t="shared" si="42"/>
        <v/>
      </c>
      <c r="H418" t="str">
        <f t="shared" si="43"/>
        <v/>
      </c>
    </row>
    <row r="419" spans="1:8" x14ac:dyDescent="0.25">
      <c r="A419" t="s">
        <v>416</v>
      </c>
      <c r="B419" s="3">
        <f t="shared" si="38"/>
        <v>33</v>
      </c>
      <c r="C419" s="3" t="str">
        <f t="shared" si="39"/>
        <v/>
      </c>
      <c r="D419" s="3">
        <f t="shared" si="40"/>
        <v>169</v>
      </c>
      <c r="E419" s="5" t="str">
        <f>IF(C419="",IF(D419="","",IF(D419&lt;128,"Wahl "&amp;D419,INDEX(KdoCodeTab,MATCH(D419,KdoWertTab,0)))),"Status "&amp;C419)</f>
        <v>BusLebenszeichen</v>
      </c>
      <c r="F419" t="str">
        <f t="shared" si="41"/>
        <v/>
      </c>
      <c r="G419" t="str">
        <f t="shared" si="42"/>
        <v>BusLebenszeichen</v>
      </c>
      <c r="H419" t="str">
        <f t="shared" si="43"/>
        <v/>
      </c>
    </row>
    <row r="420" spans="1:8" x14ac:dyDescent="0.25">
      <c r="A420" t="s">
        <v>417</v>
      </c>
      <c r="B420" s="3">
        <f t="shared" si="38"/>
        <v>31</v>
      </c>
      <c r="C420" s="3" t="str">
        <f t="shared" si="39"/>
        <v/>
      </c>
      <c r="D420" s="3">
        <f t="shared" si="40"/>
        <v>169</v>
      </c>
      <c r="E420" s="5" t="str">
        <f>IF(C420="",IF(D420="","",IF(D420&lt;128,"Wahl "&amp;D420,INDEX(KdoCodeTab,MATCH(D420,KdoWertTab,0)))),"Status "&amp;C420)</f>
        <v>BusLebenszeichen</v>
      </c>
      <c r="F420" t="str">
        <f t="shared" si="41"/>
        <v>BusLebenszeichen</v>
      </c>
      <c r="G420" t="str">
        <f t="shared" si="42"/>
        <v/>
      </c>
      <c r="H420" t="str">
        <f t="shared" si="43"/>
        <v/>
      </c>
    </row>
    <row r="421" spans="1:8" x14ac:dyDescent="0.25">
      <c r="A421" t="s">
        <v>418</v>
      </c>
      <c r="B421" s="3">
        <f t="shared" si="38"/>
        <v>33</v>
      </c>
      <c r="C421" s="3" t="str">
        <f t="shared" si="39"/>
        <v/>
      </c>
      <c r="D421" s="3">
        <f t="shared" si="40"/>
        <v>169</v>
      </c>
      <c r="E421" s="5" t="str">
        <f>IF(C421="",IF(D421="","",IF(D421&lt;128,"Wahl "&amp;D421,INDEX(KdoCodeTab,MATCH(D421,KdoWertTab,0)))),"Status "&amp;C421)</f>
        <v>BusLebenszeichen</v>
      </c>
      <c r="F421" t="str">
        <f t="shared" si="41"/>
        <v/>
      </c>
      <c r="G421" t="str">
        <f t="shared" si="42"/>
        <v>BusLebenszeichen</v>
      </c>
      <c r="H421" t="str">
        <f t="shared" si="43"/>
        <v/>
      </c>
    </row>
    <row r="422" spans="1:8" x14ac:dyDescent="0.25">
      <c r="A422" t="s">
        <v>419</v>
      </c>
      <c r="B422" s="3">
        <f t="shared" si="38"/>
        <v>31</v>
      </c>
      <c r="C422" s="3" t="str">
        <f t="shared" si="39"/>
        <v/>
      </c>
      <c r="D422" s="3">
        <f t="shared" si="40"/>
        <v>169</v>
      </c>
      <c r="E422" s="5" t="str">
        <f>IF(C422="",IF(D422="","",IF(D422&lt;128,"Wahl "&amp;D422,INDEX(KdoCodeTab,MATCH(D422,KdoWertTab,0)))),"Status "&amp;C422)</f>
        <v>BusLebenszeichen</v>
      </c>
      <c r="F422" t="str">
        <f t="shared" si="41"/>
        <v>BusLebenszeichen</v>
      </c>
      <c r="G422" t="str">
        <f t="shared" si="42"/>
        <v/>
      </c>
      <c r="H422" t="str">
        <f t="shared" si="43"/>
        <v/>
      </c>
    </row>
    <row r="423" spans="1:8" x14ac:dyDescent="0.25">
      <c r="A423" t="s">
        <v>420</v>
      </c>
      <c r="B423" s="3">
        <f t="shared" si="38"/>
        <v>33</v>
      </c>
      <c r="C423" s="3" t="str">
        <f t="shared" si="39"/>
        <v/>
      </c>
      <c r="D423" s="3">
        <f t="shared" si="40"/>
        <v>169</v>
      </c>
      <c r="E423" s="5" t="str">
        <f>IF(C423="",IF(D423="","",IF(D423&lt;128,"Wahl "&amp;D423,INDEX(KdoCodeTab,MATCH(D423,KdoWertTab,0)))),"Status "&amp;C423)</f>
        <v>BusLebenszeichen</v>
      </c>
      <c r="F423" t="str">
        <f t="shared" si="41"/>
        <v/>
      </c>
      <c r="G423" t="str">
        <f t="shared" si="42"/>
        <v>BusLebenszeichen</v>
      </c>
      <c r="H423" t="str">
        <f t="shared" si="43"/>
        <v/>
      </c>
    </row>
    <row r="424" spans="1:8" x14ac:dyDescent="0.25">
      <c r="A424" t="s">
        <v>421</v>
      </c>
      <c r="B424" s="3">
        <f t="shared" si="38"/>
        <v>31</v>
      </c>
      <c r="C424" s="3" t="str">
        <f t="shared" si="39"/>
        <v/>
      </c>
      <c r="D424" s="3">
        <f t="shared" si="40"/>
        <v>169</v>
      </c>
      <c r="E424" s="5" t="str">
        <f>IF(C424="",IF(D424="","",IF(D424&lt;128,"Wahl "&amp;D424,INDEX(KdoCodeTab,MATCH(D424,KdoWertTab,0)))),"Status "&amp;C424)</f>
        <v>BusLebenszeichen</v>
      </c>
      <c r="F424" t="str">
        <f t="shared" si="41"/>
        <v>BusLebenszeichen</v>
      </c>
      <c r="G424" t="str">
        <f t="shared" si="42"/>
        <v/>
      </c>
      <c r="H424" t="str">
        <f t="shared" si="43"/>
        <v/>
      </c>
    </row>
    <row r="425" spans="1:8" x14ac:dyDescent="0.25">
      <c r="A425" t="s">
        <v>422</v>
      </c>
      <c r="B425" s="3">
        <f t="shared" si="38"/>
        <v>33</v>
      </c>
      <c r="C425" s="3" t="str">
        <f t="shared" si="39"/>
        <v/>
      </c>
      <c r="D425" s="3">
        <f t="shared" si="40"/>
        <v>169</v>
      </c>
      <c r="E425" s="5" t="str">
        <f>IF(C425="",IF(D425="","",IF(D425&lt;128,"Wahl "&amp;D425,INDEX(KdoCodeTab,MATCH(D425,KdoWertTab,0)))),"Status "&amp;C425)</f>
        <v>BusLebenszeichen</v>
      </c>
      <c r="F425" t="str">
        <f t="shared" si="41"/>
        <v/>
      </c>
      <c r="G425" t="str">
        <f t="shared" si="42"/>
        <v>BusLebenszeichen</v>
      </c>
      <c r="H425" t="str">
        <f t="shared" si="43"/>
        <v/>
      </c>
    </row>
    <row r="426" spans="1:8" x14ac:dyDescent="0.25">
      <c r="A426" t="s">
        <v>423</v>
      </c>
      <c r="B426" s="3">
        <f t="shared" si="38"/>
        <v>31</v>
      </c>
      <c r="C426" s="3" t="str">
        <f t="shared" si="39"/>
        <v/>
      </c>
      <c r="D426" s="3">
        <f t="shared" si="40"/>
        <v>169</v>
      </c>
      <c r="E426" s="5" t="str">
        <f>IF(C426="",IF(D426="","",IF(D426&lt;128,"Wahl "&amp;D426,INDEX(KdoCodeTab,MATCH(D426,KdoWertTab,0)))),"Status "&amp;C426)</f>
        <v>BusLebenszeichen</v>
      </c>
      <c r="F426" t="str">
        <f t="shared" si="41"/>
        <v>BusLebenszeichen</v>
      </c>
      <c r="G426" t="str">
        <f t="shared" si="42"/>
        <v/>
      </c>
      <c r="H426" t="str">
        <f t="shared" si="43"/>
        <v/>
      </c>
    </row>
    <row r="427" spans="1:8" x14ac:dyDescent="0.25">
      <c r="A427" t="s">
        <v>424</v>
      </c>
      <c r="B427" s="3">
        <f t="shared" si="38"/>
        <v>33</v>
      </c>
      <c r="C427" s="3" t="str">
        <f t="shared" si="39"/>
        <v/>
      </c>
      <c r="D427" s="3">
        <f t="shared" si="40"/>
        <v>169</v>
      </c>
      <c r="E427" s="5" t="str">
        <f>IF(C427="",IF(D427="","",IF(D427&lt;128,"Wahl "&amp;D427,INDEX(KdoCodeTab,MATCH(D427,KdoWertTab,0)))),"Status "&amp;C427)</f>
        <v>BusLebenszeichen</v>
      </c>
      <c r="F427" t="str">
        <f t="shared" si="41"/>
        <v/>
      </c>
      <c r="G427" t="str">
        <f t="shared" si="42"/>
        <v>BusLebenszeichen</v>
      </c>
      <c r="H427" t="str">
        <f t="shared" si="43"/>
        <v/>
      </c>
    </row>
    <row r="428" spans="1:8" x14ac:dyDescent="0.25">
      <c r="A428" t="s">
        <v>425</v>
      </c>
      <c r="B428" s="3">
        <f t="shared" si="38"/>
        <v>31</v>
      </c>
      <c r="C428" s="3" t="str">
        <f t="shared" si="39"/>
        <v/>
      </c>
      <c r="D428" s="3">
        <f t="shared" si="40"/>
        <v>169</v>
      </c>
      <c r="E428" s="5" t="str">
        <f>IF(C428="",IF(D428="","",IF(D428&lt;128,"Wahl "&amp;D428,INDEX(KdoCodeTab,MATCH(D428,KdoWertTab,0)))),"Status "&amp;C428)</f>
        <v>BusLebenszeichen</v>
      </c>
      <c r="F428" t="str">
        <f t="shared" si="41"/>
        <v>BusLebenszeichen</v>
      </c>
      <c r="G428" t="str">
        <f t="shared" si="42"/>
        <v/>
      </c>
      <c r="H428" t="str">
        <f t="shared" si="43"/>
        <v/>
      </c>
    </row>
    <row r="429" spans="1:8" x14ac:dyDescent="0.25">
      <c r="A429" t="s">
        <v>426</v>
      </c>
      <c r="B429" s="3">
        <f t="shared" si="38"/>
        <v>33</v>
      </c>
      <c r="C429" s="3" t="str">
        <f t="shared" si="39"/>
        <v/>
      </c>
      <c r="D429" s="3">
        <f t="shared" si="40"/>
        <v>169</v>
      </c>
      <c r="E429" s="5" t="str">
        <f>IF(C429="",IF(D429="","",IF(D429&lt;128,"Wahl "&amp;D429,INDEX(KdoCodeTab,MATCH(D429,KdoWertTab,0)))),"Status "&amp;C429)</f>
        <v>BusLebenszeichen</v>
      </c>
      <c r="F429" t="str">
        <f t="shared" si="41"/>
        <v/>
      </c>
      <c r="G429" t="str">
        <f t="shared" si="42"/>
        <v>BusLebenszeichen</v>
      </c>
      <c r="H429" t="str">
        <f t="shared" si="43"/>
        <v/>
      </c>
    </row>
    <row r="430" spans="1:8" x14ac:dyDescent="0.25">
      <c r="A430" t="s">
        <v>427</v>
      </c>
      <c r="B430" s="3">
        <f t="shared" si="38"/>
        <v>31</v>
      </c>
      <c r="C430" s="3" t="str">
        <f t="shared" si="39"/>
        <v/>
      </c>
      <c r="D430" s="3">
        <f t="shared" si="40"/>
        <v>169</v>
      </c>
      <c r="E430" s="5" t="str">
        <f>IF(C430="",IF(D430="","",IF(D430&lt;128,"Wahl "&amp;D430,INDEX(KdoCodeTab,MATCH(D430,KdoWertTab,0)))),"Status "&amp;C430)</f>
        <v>BusLebenszeichen</v>
      </c>
      <c r="F430" t="str">
        <f t="shared" si="41"/>
        <v>BusLebenszeichen</v>
      </c>
      <c r="G430" t="str">
        <f t="shared" si="42"/>
        <v/>
      </c>
      <c r="H430" t="str">
        <f t="shared" si="43"/>
        <v/>
      </c>
    </row>
    <row r="431" spans="1:8" x14ac:dyDescent="0.25">
      <c r="A431" t="s">
        <v>428</v>
      </c>
      <c r="B431" s="3">
        <f t="shared" si="38"/>
        <v>33</v>
      </c>
      <c r="C431" s="3" t="str">
        <f t="shared" si="39"/>
        <v/>
      </c>
      <c r="D431" s="3">
        <f t="shared" si="40"/>
        <v>147</v>
      </c>
      <c r="E431" s="5" t="str">
        <f>IF(C431="",IF(D431="","",IF(D431&lt;128,"Wahl "&amp;D431,INDEX(KdoCodeTab,MATCH(D431,KdoWertTab,0)))),"Status "&amp;C431)</f>
        <v>Space</v>
      </c>
      <c r="F431" t="str">
        <f t="shared" si="41"/>
        <v/>
      </c>
      <c r="G431" t="str">
        <f t="shared" si="42"/>
        <v>Space</v>
      </c>
      <c r="H431" t="str">
        <f t="shared" si="43"/>
        <v/>
      </c>
    </row>
    <row r="432" spans="1:8" x14ac:dyDescent="0.25">
      <c r="A432" t="s">
        <v>429</v>
      </c>
      <c r="B432" s="3">
        <f t="shared" si="38"/>
        <v>33</v>
      </c>
      <c r="C432" s="3" t="str">
        <f t="shared" si="39"/>
        <v/>
      </c>
      <c r="D432" s="3">
        <f t="shared" si="40"/>
        <v>150</v>
      </c>
      <c r="E432" s="5" t="str">
        <f>IF(C432="",IF(D432="","",IF(D432&lt;128,"Wahl "&amp;D432,INDEX(KdoCodeTab,MATCH(D432,KdoWertTab,0)))),"Status "&amp;C432)</f>
        <v>SpaceWdh</v>
      </c>
      <c r="F432" t="str">
        <f t="shared" si="41"/>
        <v/>
      </c>
      <c r="G432" t="str">
        <f t="shared" si="42"/>
        <v>SpaceWdh</v>
      </c>
      <c r="H432" t="str">
        <f t="shared" si="43"/>
        <v/>
      </c>
    </row>
    <row r="433" spans="1:8" x14ac:dyDescent="0.25">
      <c r="A433" t="s">
        <v>430</v>
      </c>
      <c r="B433" s="3">
        <f t="shared" si="38"/>
        <v>33</v>
      </c>
      <c r="C433" s="3" t="str">
        <f t="shared" si="39"/>
        <v/>
      </c>
      <c r="D433" s="3">
        <f t="shared" si="40"/>
        <v>169</v>
      </c>
      <c r="E433" s="5" t="str">
        <f>IF(C433="",IF(D433="","",IF(D433&lt;128,"Wahl "&amp;D433,INDEX(KdoCodeTab,MATCH(D433,KdoWertTab,0)))),"Status "&amp;C433)</f>
        <v>BusLebenszeichen</v>
      </c>
      <c r="F433" t="str">
        <f t="shared" si="41"/>
        <v/>
      </c>
      <c r="G433" t="str">
        <f t="shared" si="42"/>
        <v>BusLebenszeichen</v>
      </c>
      <c r="H433" t="str">
        <f t="shared" si="43"/>
        <v/>
      </c>
    </row>
    <row r="434" spans="1:8" x14ac:dyDescent="0.25">
      <c r="A434" t="s">
        <v>431</v>
      </c>
      <c r="B434" s="3">
        <f t="shared" si="38"/>
        <v>31</v>
      </c>
      <c r="C434" s="3" t="str">
        <f t="shared" si="39"/>
        <v/>
      </c>
      <c r="D434" s="3">
        <f t="shared" si="40"/>
        <v>169</v>
      </c>
      <c r="E434" s="5" t="str">
        <f>IF(C434="",IF(D434="","",IF(D434&lt;128,"Wahl "&amp;D434,INDEX(KdoCodeTab,MATCH(D434,KdoWertTab,0)))),"Status "&amp;C434)</f>
        <v>BusLebenszeichen</v>
      </c>
      <c r="F434" t="str">
        <f t="shared" si="41"/>
        <v>BusLebenszeichen</v>
      </c>
      <c r="G434" t="str">
        <f t="shared" si="42"/>
        <v/>
      </c>
      <c r="H434" t="str">
        <f t="shared" si="43"/>
        <v/>
      </c>
    </row>
    <row r="435" spans="1:8" x14ac:dyDescent="0.25">
      <c r="A435" t="s">
        <v>432</v>
      </c>
      <c r="B435" s="3">
        <f t="shared" si="38"/>
        <v>33</v>
      </c>
      <c r="C435" s="3" t="str">
        <f t="shared" si="39"/>
        <v/>
      </c>
      <c r="D435" s="3">
        <f t="shared" si="40"/>
        <v>169</v>
      </c>
      <c r="E435" s="5" t="str">
        <f>IF(C435="",IF(D435="","",IF(D435&lt;128,"Wahl "&amp;D435,INDEX(KdoCodeTab,MATCH(D435,KdoWertTab,0)))),"Status "&amp;C435)</f>
        <v>BusLebenszeichen</v>
      </c>
      <c r="F435" t="str">
        <f t="shared" si="41"/>
        <v/>
      </c>
      <c r="G435" t="str">
        <f t="shared" si="42"/>
        <v>BusLebenszeichen</v>
      </c>
      <c r="H435" t="str">
        <f t="shared" si="43"/>
        <v/>
      </c>
    </row>
    <row r="436" spans="1:8" x14ac:dyDescent="0.25">
      <c r="A436" t="s">
        <v>433</v>
      </c>
      <c r="B436" s="3">
        <f t="shared" si="38"/>
        <v>31</v>
      </c>
      <c r="C436" s="3" t="str">
        <f t="shared" si="39"/>
        <v/>
      </c>
      <c r="D436" s="3">
        <f t="shared" si="40"/>
        <v>169</v>
      </c>
      <c r="E436" s="5" t="str">
        <f>IF(C436="",IF(D436="","",IF(D436&lt;128,"Wahl "&amp;D436,INDEX(KdoCodeTab,MATCH(D436,KdoWertTab,0)))),"Status "&amp;C436)</f>
        <v>BusLebenszeichen</v>
      </c>
      <c r="F436" t="str">
        <f t="shared" si="41"/>
        <v>BusLebenszeichen</v>
      </c>
      <c r="G436" t="str">
        <f t="shared" si="42"/>
        <v/>
      </c>
      <c r="H436" t="str">
        <f t="shared" si="43"/>
        <v/>
      </c>
    </row>
    <row r="437" spans="1:8" x14ac:dyDescent="0.25">
      <c r="A437" t="s">
        <v>434</v>
      </c>
      <c r="B437" s="3">
        <f t="shared" si="38"/>
        <v>33</v>
      </c>
      <c r="C437" s="3" t="str">
        <f t="shared" si="39"/>
        <v/>
      </c>
      <c r="D437" s="3">
        <f t="shared" si="40"/>
        <v>170</v>
      </c>
      <c r="E437" s="5" t="str">
        <f>IF(C437="",IF(D437="","",IF(D437&lt;128,"Wahl "&amp;D437,INDEX(KdoCodeTab,MATCH(D437,KdoWertTab,0)))),"Status "&amp;C437)</f>
        <v>Schluss</v>
      </c>
      <c r="F437" t="str">
        <f t="shared" si="41"/>
        <v/>
      </c>
      <c r="G437" t="str">
        <f t="shared" si="42"/>
        <v>Schluss</v>
      </c>
      <c r="H437" t="str">
        <f t="shared" si="43"/>
        <v/>
      </c>
    </row>
    <row r="438" spans="1:8" x14ac:dyDescent="0.25">
      <c r="A438" t="s">
        <v>435</v>
      </c>
      <c r="B438" s="3">
        <f t="shared" si="38"/>
        <v>31</v>
      </c>
      <c r="C438" s="3" t="str">
        <f t="shared" si="39"/>
        <v/>
      </c>
      <c r="D438" s="3">
        <f t="shared" si="40"/>
        <v>169</v>
      </c>
      <c r="E438" s="5" t="str">
        <f>IF(C438="",IF(D438="","",IF(D438&lt;128,"Wahl "&amp;D438,INDEX(KdoCodeTab,MATCH(D438,KdoWertTab,0)))),"Status "&amp;C438)</f>
        <v>BusLebenszeichen</v>
      </c>
      <c r="F438" t="str">
        <f t="shared" si="41"/>
        <v>BusLebenszeichen</v>
      </c>
      <c r="G438" t="str">
        <f t="shared" si="42"/>
        <v/>
      </c>
      <c r="H438" t="str">
        <f t="shared" si="43"/>
        <v/>
      </c>
    </row>
    <row r="439" spans="1:8" x14ac:dyDescent="0.25">
      <c r="A439" t="s">
        <v>436</v>
      </c>
      <c r="B439" s="3">
        <f t="shared" si="38"/>
        <v>31</v>
      </c>
      <c r="C439" s="3" t="str">
        <f t="shared" si="39"/>
        <v/>
      </c>
      <c r="D439" s="3">
        <f t="shared" si="40"/>
        <v>169</v>
      </c>
      <c r="E439" s="5" t="str">
        <f>IF(C439="",IF(D439="","",IF(D439&lt;128,"Wahl "&amp;D439,INDEX(KdoCodeTab,MATCH(D439,KdoWertTab,0)))),"Status "&amp;C439)</f>
        <v>BusLebenszeichen</v>
      </c>
      <c r="F439" t="str">
        <f t="shared" si="41"/>
        <v>BusLebenszeichen</v>
      </c>
      <c r="G439" t="str">
        <f t="shared" si="42"/>
        <v/>
      </c>
      <c r="H439" t="str">
        <f t="shared" si="43"/>
        <v/>
      </c>
    </row>
    <row r="440" spans="1:8" x14ac:dyDescent="0.25">
      <c r="A440" t="s">
        <v>437</v>
      </c>
      <c r="B440" s="3">
        <f t="shared" si="38"/>
        <v>31</v>
      </c>
      <c r="C440" s="3" t="str">
        <f t="shared" si="39"/>
        <v/>
      </c>
      <c r="D440" s="3">
        <f t="shared" si="40"/>
        <v>169</v>
      </c>
      <c r="E440" s="5" t="str">
        <f>IF(C440="",IF(D440="","",IF(D440&lt;128,"Wahl "&amp;D440,INDEX(KdoCodeTab,MATCH(D440,KdoWertTab,0)))),"Status "&amp;C440)</f>
        <v>BusLebenszeichen</v>
      </c>
      <c r="F440" t="str">
        <f t="shared" si="41"/>
        <v>BusLebenszeichen</v>
      </c>
      <c r="G440" t="str">
        <f t="shared" si="42"/>
        <v/>
      </c>
      <c r="H440" t="str">
        <f t="shared" si="43"/>
        <v/>
      </c>
    </row>
    <row r="441" spans="1:8" x14ac:dyDescent="0.25">
      <c r="A441" t="s">
        <v>438</v>
      </c>
      <c r="B441" s="3">
        <f t="shared" si="38"/>
        <v>31</v>
      </c>
      <c r="C441" s="3" t="str">
        <f t="shared" si="39"/>
        <v/>
      </c>
      <c r="D441" s="3">
        <f t="shared" si="40"/>
        <v>169</v>
      </c>
      <c r="E441" s="5" t="str">
        <f>IF(C441="",IF(D441="","",IF(D441&lt;128,"Wahl "&amp;D441,INDEX(KdoCodeTab,MATCH(D441,KdoWertTab,0)))),"Status "&amp;C441)</f>
        <v>BusLebenszeichen</v>
      </c>
      <c r="F441" t="str">
        <f t="shared" si="41"/>
        <v>BusLebenszeichen</v>
      </c>
      <c r="G441" t="str">
        <f t="shared" si="42"/>
        <v/>
      </c>
      <c r="H441" t="str">
        <f t="shared" si="43"/>
        <v/>
      </c>
    </row>
    <row r="442" spans="1:8" x14ac:dyDescent="0.25">
      <c r="A442" t="s">
        <v>439</v>
      </c>
      <c r="B442" s="3">
        <f t="shared" si="38"/>
        <v>31</v>
      </c>
      <c r="C442" s="3" t="str">
        <f t="shared" si="39"/>
        <v/>
      </c>
      <c r="D442" s="3">
        <f t="shared" si="40"/>
        <v>172</v>
      </c>
      <c r="E442" s="5" t="str">
        <f>IF(C442="",IF(D442="","",IF(D442&lt;128,"Wahl "&amp;D442,INDEX(KdoCodeTab,MATCH(D442,KdoWertTab,0)))),"Status "&amp;C442)</f>
        <v>QuittSchluss</v>
      </c>
      <c r="F442" t="str">
        <f t="shared" si="41"/>
        <v>QuittSchluss</v>
      </c>
      <c r="G442" t="str">
        <f t="shared" si="42"/>
        <v/>
      </c>
      <c r="H442" t="str">
        <f t="shared" si="43"/>
        <v/>
      </c>
    </row>
    <row r="443" spans="1:8" x14ac:dyDescent="0.25">
      <c r="B443" s="3">
        <f t="shared" si="38"/>
        <v>0</v>
      </c>
      <c r="C443" s="3" t="str">
        <f t="shared" ref="C443:C506" si="44">IF(MID(A443,10,1)="&lt;",MID(A443,12,2),"")</f>
        <v/>
      </c>
      <c r="D443" s="3" t="str">
        <f t="shared" ref="D443:D506" si="45">IF(MID(A443,10,1)="&gt;",HEX2DEC(MID(A443,12,2)),"")</f>
        <v/>
      </c>
      <c r="E443" s="5" t="str">
        <f>IF(C443="",IF(D443="","",IF(D443&lt;128,"Wahl "&amp;D443,INDEX(KdoCodeTab,MATCH(D443,KdoWertTab,0)))),"Status "&amp;C443)</f>
        <v/>
      </c>
      <c r="F443" t="str">
        <f t="shared" ref="F443:F506" si="46">IF(B443=$F$2,E443,"")</f>
        <v/>
      </c>
      <c r="G443" t="str">
        <f t="shared" ref="G443:G506" si="47">IF(B443=$G$2,E443,"")</f>
        <v/>
      </c>
      <c r="H443" t="str">
        <f t="shared" ref="H443:H506" si="48">IF(F443&amp;G443="",E443,"")</f>
        <v/>
      </c>
    </row>
    <row r="444" spans="1:8" x14ac:dyDescent="0.25">
      <c r="A444" t="s">
        <v>2</v>
      </c>
      <c r="B444" s="3" t="e">
        <f t="shared" si="38"/>
        <v>#NUM!</v>
      </c>
      <c r="C444" s="3" t="str">
        <f t="shared" si="44"/>
        <v/>
      </c>
      <c r="D444" s="3" t="str">
        <f t="shared" si="45"/>
        <v/>
      </c>
      <c r="E444" s="5" t="str">
        <f>IF(C444="",IF(D444="","",IF(D444&lt;128,"Wahl "&amp;D444,INDEX(KdoCodeTab,MATCH(D444,KdoWertTab,0)))),"Status "&amp;C444)</f>
        <v/>
      </c>
      <c r="F444" t="e">
        <f t="shared" si="46"/>
        <v>#NUM!</v>
      </c>
      <c r="G444" t="e">
        <f t="shared" si="47"/>
        <v>#NUM!</v>
      </c>
      <c r="H444" t="e">
        <f t="shared" si="48"/>
        <v>#NUM!</v>
      </c>
    </row>
    <row r="445" spans="1:8" x14ac:dyDescent="0.25">
      <c r="A445" t="s">
        <v>1</v>
      </c>
      <c r="B445" s="3" t="e">
        <f t="shared" si="38"/>
        <v>#NUM!</v>
      </c>
      <c r="C445" s="3" t="str">
        <f t="shared" si="44"/>
        <v/>
      </c>
      <c r="D445" s="3" t="str">
        <f t="shared" si="45"/>
        <v/>
      </c>
      <c r="E445" s="5" t="str">
        <f>IF(C445="",IF(D445="","",IF(D445&lt;128,"Wahl "&amp;D445,INDEX(KdoCodeTab,MATCH(D445,KdoWertTab,0)))),"Status "&amp;C445)</f>
        <v/>
      </c>
      <c r="F445" t="e">
        <f t="shared" si="46"/>
        <v>#NUM!</v>
      </c>
      <c r="G445" t="e">
        <f t="shared" si="47"/>
        <v>#NUM!</v>
      </c>
      <c r="H445" t="e">
        <f t="shared" si="48"/>
        <v>#NUM!</v>
      </c>
    </row>
    <row r="446" spans="1:8" x14ac:dyDescent="0.25">
      <c r="A446" t="s">
        <v>440</v>
      </c>
      <c r="B446" s="3" t="e">
        <f t="shared" si="38"/>
        <v>#NUM!</v>
      </c>
      <c r="C446" s="3" t="str">
        <f t="shared" si="44"/>
        <v/>
      </c>
      <c r="D446" s="3" t="str">
        <f t="shared" si="45"/>
        <v/>
      </c>
      <c r="E446" s="5" t="str">
        <f>IF(C446="",IF(D446="","",IF(D446&lt;128,"Wahl "&amp;D446,INDEX(KdoCodeTab,MATCH(D446,KdoWertTab,0)))),"Status "&amp;C446)</f>
        <v/>
      </c>
      <c r="F446" t="e">
        <f t="shared" si="46"/>
        <v>#NUM!</v>
      </c>
      <c r="G446" t="e">
        <f t="shared" si="47"/>
        <v>#NUM!</v>
      </c>
      <c r="H446" t="e">
        <f t="shared" si="48"/>
        <v>#NUM!</v>
      </c>
    </row>
    <row r="447" spans="1:8" x14ac:dyDescent="0.25">
      <c r="A447" t="s">
        <v>478</v>
      </c>
      <c r="B447" s="3">
        <f t="shared" si="38"/>
        <v>101</v>
      </c>
      <c r="C447" s="3" t="str">
        <f t="shared" si="44"/>
        <v/>
      </c>
      <c r="D447" s="3">
        <f t="shared" si="45"/>
        <v>147</v>
      </c>
      <c r="E447" s="5" t="str">
        <f>IF(C447="",IF(D447="","",IF(D447&lt;128,"Wahl "&amp;D447,INDEX(KdoCodeTab,MATCH(D447,KdoWertTab,0)))),"Status "&amp;C447)</f>
        <v>Space</v>
      </c>
      <c r="F447" t="str">
        <f t="shared" si="46"/>
        <v/>
      </c>
      <c r="G447" t="str">
        <f t="shared" si="47"/>
        <v/>
      </c>
      <c r="H447" t="str">
        <f t="shared" si="48"/>
        <v>Space</v>
      </c>
    </row>
    <row r="448" spans="1:8" x14ac:dyDescent="0.25">
      <c r="A448" t="s">
        <v>479</v>
      </c>
      <c r="B448" s="3">
        <f t="shared" si="38"/>
        <v>101</v>
      </c>
      <c r="C448" s="3" t="str">
        <f t="shared" si="44"/>
        <v/>
      </c>
      <c r="D448" s="3">
        <f t="shared" si="45"/>
        <v>150</v>
      </c>
      <c r="E448" s="5" t="str">
        <f>IF(C448="",IF(D448="","",IF(D448&lt;128,"Wahl "&amp;D448,INDEX(KdoCodeTab,MATCH(D448,KdoWertTab,0)))),"Status "&amp;C448)</f>
        <v>SpaceWdh</v>
      </c>
      <c r="F448" t="str">
        <f t="shared" si="46"/>
        <v/>
      </c>
      <c r="G448" t="str">
        <f t="shared" si="47"/>
        <v/>
      </c>
      <c r="H448" t="str">
        <f t="shared" si="48"/>
        <v>SpaceWdh</v>
      </c>
    </row>
    <row r="449" spans="1:8" x14ac:dyDescent="0.25">
      <c r="A449" t="s">
        <v>480</v>
      </c>
      <c r="B449" s="3">
        <f t="shared" si="38"/>
        <v>101</v>
      </c>
      <c r="C449" s="3" t="str">
        <f t="shared" si="44"/>
        <v/>
      </c>
      <c r="D449" s="3">
        <f t="shared" si="45"/>
        <v>156</v>
      </c>
      <c r="E449" s="5" t="str">
        <f>IF(C449="",IF(D449="","",IF(D449&lt;128,"Wahl "&amp;D449,INDEX(KdoCodeTab,MATCH(D449,KdoWertTab,0)))),"Status "&amp;C449)</f>
        <v>Mark</v>
      </c>
      <c r="F449" t="str">
        <f t="shared" si="46"/>
        <v/>
      </c>
      <c r="G449" t="str">
        <f t="shared" si="47"/>
        <v/>
      </c>
      <c r="H449" t="str">
        <f t="shared" si="48"/>
        <v>Mark</v>
      </c>
    </row>
    <row r="450" spans="1:8" x14ac:dyDescent="0.25">
      <c r="A450" t="s">
        <v>481</v>
      </c>
      <c r="B450" s="3">
        <f t="shared" si="38"/>
        <v>101</v>
      </c>
      <c r="C450" s="3" t="str">
        <f t="shared" si="44"/>
        <v/>
      </c>
      <c r="D450" s="3">
        <f t="shared" si="45"/>
        <v>154</v>
      </c>
      <c r="E450" s="5" t="str">
        <f>IF(C450="",IF(D450="","",IF(D450&lt;128,"Wahl "&amp;D450,INDEX(KdoCodeTab,MATCH(D450,KdoWertTab,0)))),"Status "&amp;C450)</f>
        <v>MarkWdh</v>
      </c>
      <c r="F450" t="str">
        <f t="shared" si="46"/>
        <v/>
      </c>
      <c r="G450" t="str">
        <f t="shared" si="47"/>
        <v/>
      </c>
      <c r="H450" t="str">
        <f t="shared" si="48"/>
        <v>MarkWdh</v>
      </c>
    </row>
    <row r="451" spans="1:8" x14ac:dyDescent="0.25">
      <c r="A451" t="s">
        <v>482</v>
      </c>
      <c r="B451" s="3">
        <f t="shared" si="38"/>
        <v>101</v>
      </c>
      <c r="C451" s="3" t="str">
        <f t="shared" si="44"/>
        <v/>
      </c>
      <c r="D451" s="3">
        <f t="shared" si="45"/>
        <v>147</v>
      </c>
      <c r="E451" s="5" t="str">
        <f>IF(C451="",IF(D451="","",IF(D451&lt;128,"Wahl "&amp;D451,INDEX(KdoCodeTab,MATCH(D451,KdoWertTab,0)))),"Status "&amp;C451)</f>
        <v>Space</v>
      </c>
      <c r="F451" t="str">
        <f t="shared" si="46"/>
        <v/>
      </c>
      <c r="G451" t="str">
        <f t="shared" si="47"/>
        <v/>
      </c>
      <c r="H451" t="str">
        <f t="shared" si="48"/>
        <v>Space</v>
      </c>
    </row>
    <row r="452" spans="1:8" x14ac:dyDescent="0.25">
      <c r="A452" t="s">
        <v>483</v>
      </c>
      <c r="B452" s="3">
        <f t="shared" si="38"/>
        <v>101</v>
      </c>
      <c r="C452" s="3" t="str">
        <f t="shared" si="44"/>
        <v/>
      </c>
      <c r="D452" s="3">
        <f t="shared" si="45"/>
        <v>150</v>
      </c>
      <c r="E452" s="5" t="str">
        <f>IF(C452="",IF(D452="","",IF(D452&lt;128,"Wahl "&amp;D452,INDEX(KdoCodeTab,MATCH(D452,KdoWertTab,0)))),"Status "&amp;C452)</f>
        <v>SpaceWdh</v>
      </c>
      <c r="F452" t="str">
        <f t="shared" si="46"/>
        <v/>
      </c>
      <c r="G452" t="str">
        <f t="shared" si="47"/>
        <v/>
      </c>
      <c r="H452" t="str">
        <f t="shared" si="48"/>
        <v>SpaceWdh</v>
      </c>
    </row>
    <row r="453" spans="1:8" x14ac:dyDescent="0.25">
      <c r="A453" t="s">
        <v>484</v>
      </c>
      <c r="B453" s="3">
        <f t="shared" ref="B453:B516" si="49">INT(HEX2DEC(MID(A453,8,2))/2)</f>
        <v>31</v>
      </c>
      <c r="C453" s="3" t="str">
        <f t="shared" si="44"/>
        <v/>
      </c>
      <c r="D453" s="3">
        <f t="shared" si="45"/>
        <v>154</v>
      </c>
      <c r="E453" s="5" t="str">
        <f>IF(C453="",IF(D453="","",IF(D453&lt;128,"Wahl "&amp;D453,INDEX(KdoCodeTab,MATCH(D453,KdoWertTab,0)))),"Status "&amp;C453)</f>
        <v>MarkWdh</v>
      </c>
      <c r="F453" t="str">
        <f t="shared" si="46"/>
        <v>MarkWdh</v>
      </c>
      <c r="G453" t="str">
        <f t="shared" si="47"/>
        <v/>
      </c>
      <c r="H453" t="str">
        <f t="shared" si="48"/>
        <v/>
      </c>
    </row>
    <row r="454" spans="1:8" x14ac:dyDescent="0.25">
      <c r="A454" t="s">
        <v>485</v>
      </c>
      <c r="B454" s="3">
        <f t="shared" si="49"/>
        <v>101</v>
      </c>
      <c r="C454" s="3" t="str">
        <f t="shared" si="44"/>
        <v/>
      </c>
      <c r="D454" s="3">
        <f t="shared" si="45"/>
        <v>156</v>
      </c>
      <c r="E454" s="5" t="str">
        <f>IF(C454="",IF(D454="","",IF(D454&lt;128,"Wahl "&amp;D454,INDEX(KdoCodeTab,MATCH(D454,KdoWertTab,0)))),"Status "&amp;C454)</f>
        <v>Mark</v>
      </c>
      <c r="F454" t="str">
        <f t="shared" si="46"/>
        <v/>
      </c>
      <c r="G454" t="str">
        <f t="shared" si="47"/>
        <v/>
      </c>
      <c r="H454" t="str">
        <f t="shared" si="48"/>
        <v>Mark</v>
      </c>
    </row>
    <row r="455" spans="1:8" x14ac:dyDescent="0.25">
      <c r="A455" t="s">
        <v>486</v>
      </c>
      <c r="B455" s="3">
        <f t="shared" si="49"/>
        <v>101</v>
      </c>
      <c r="C455" s="3" t="str">
        <f t="shared" si="44"/>
        <v/>
      </c>
      <c r="D455" s="3">
        <f t="shared" si="45"/>
        <v>154</v>
      </c>
      <c r="E455" s="5" t="str">
        <f>IF(C455="",IF(D455="","",IF(D455&lt;128,"Wahl "&amp;D455,INDEX(KdoCodeTab,MATCH(D455,KdoWertTab,0)))),"Status "&amp;C455)</f>
        <v>MarkWdh</v>
      </c>
      <c r="F455" t="str">
        <f t="shared" si="46"/>
        <v/>
      </c>
      <c r="G455" t="str">
        <f t="shared" si="47"/>
        <v/>
      </c>
      <c r="H455" t="str">
        <f t="shared" si="48"/>
        <v>MarkWdh</v>
      </c>
    </row>
    <row r="456" spans="1:8" x14ac:dyDescent="0.25">
      <c r="A456" t="s">
        <v>487</v>
      </c>
      <c r="B456" s="3">
        <f t="shared" si="49"/>
        <v>101</v>
      </c>
      <c r="C456" s="3" t="str">
        <f t="shared" si="44"/>
        <v/>
      </c>
      <c r="D456" s="3">
        <f t="shared" si="45"/>
        <v>147</v>
      </c>
      <c r="E456" s="5" t="str">
        <f>IF(C456="",IF(D456="","",IF(D456&lt;128,"Wahl "&amp;D456,INDEX(KdoCodeTab,MATCH(D456,KdoWertTab,0)))),"Status "&amp;C456)</f>
        <v>Space</v>
      </c>
      <c r="F456" t="str">
        <f t="shared" si="46"/>
        <v/>
      </c>
      <c r="G456" t="str">
        <f t="shared" si="47"/>
        <v/>
      </c>
      <c r="H456" t="str">
        <f t="shared" si="48"/>
        <v>Space</v>
      </c>
    </row>
    <row r="457" spans="1:8" x14ac:dyDescent="0.25">
      <c r="A457" t="s">
        <v>488</v>
      </c>
      <c r="B457" s="3">
        <f t="shared" si="49"/>
        <v>101</v>
      </c>
      <c r="C457" s="3" t="str">
        <f t="shared" si="44"/>
        <v/>
      </c>
      <c r="D457" s="3">
        <f t="shared" si="45"/>
        <v>150</v>
      </c>
      <c r="E457" s="5" t="str">
        <f>IF(C457="",IF(D457="","",IF(D457&lt;128,"Wahl "&amp;D457,INDEX(KdoCodeTab,MATCH(D457,KdoWertTab,0)))),"Status "&amp;C457)</f>
        <v>SpaceWdh</v>
      </c>
      <c r="F457" t="str">
        <f t="shared" si="46"/>
        <v/>
      </c>
      <c r="G457" t="str">
        <f t="shared" si="47"/>
        <v/>
      </c>
      <c r="H457" t="str">
        <f t="shared" si="48"/>
        <v>SpaceWdh</v>
      </c>
    </row>
    <row r="458" spans="1:8" x14ac:dyDescent="0.25">
      <c r="A458" t="s">
        <v>489</v>
      </c>
      <c r="B458" s="3">
        <f t="shared" si="49"/>
        <v>101</v>
      </c>
      <c r="C458" s="3" t="str">
        <f t="shared" si="44"/>
        <v/>
      </c>
      <c r="D458" s="3">
        <f t="shared" si="45"/>
        <v>156</v>
      </c>
      <c r="E458" s="5" t="str">
        <f>IF(C458="",IF(D458="","",IF(D458&lt;128,"Wahl "&amp;D458,INDEX(KdoCodeTab,MATCH(D458,KdoWertTab,0)))),"Status "&amp;C458)</f>
        <v>Mark</v>
      </c>
      <c r="F458" t="str">
        <f t="shared" si="46"/>
        <v/>
      </c>
      <c r="G458" t="str">
        <f t="shared" si="47"/>
        <v/>
      </c>
      <c r="H458" t="str">
        <f t="shared" si="48"/>
        <v>Mark</v>
      </c>
    </row>
    <row r="459" spans="1:8" x14ac:dyDescent="0.25">
      <c r="A459" t="s">
        <v>490</v>
      </c>
      <c r="B459" s="3">
        <f t="shared" si="49"/>
        <v>101</v>
      </c>
      <c r="C459" s="3" t="str">
        <f t="shared" si="44"/>
        <v/>
      </c>
      <c r="D459" s="3">
        <f t="shared" si="45"/>
        <v>154</v>
      </c>
      <c r="E459" s="5" t="str">
        <f>IF(C459="",IF(D459="","",IF(D459&lt;128,"Wahl "&amp;D459,INDEX(KdoCodeTab,MATCH(D459,KdoWertTab,0)))),"Status "&amp;C459)</f>
        <v>MarkWdh</v>
      </c>
      <c r="F459" t="str">
        <f t="shared" si="46"/>
        <v/>
      </c>
      <c r="G459" t="str">
        <f t="shared" si="47"/>
        <v/>
      </c>
      <c r="H459" t="str">
        <f t="shared" si="48"/>
        <v>MarkWdh</v>
      </c>
    </row>
    <row r="460" spans="1:8" x14ac:dyDescent="0.25">
      <c r="A460" t="s">
        <v>491</v>
      </c>
      <c r="B460" s="3">
        <f t="shared" si="49"/>
        <v>101</v>
      </c>
      <c r="C460" s="3" t="str">
        <f t="shared" si="44"/>
        <v/>
      </c>
      <c r="D460" s="3">
        <f t="shared" si="45"/>
        <v>147</v>
      </c>
      <c r="E460" s="5" t="str">
        <f>IF(C460="",IF(D460="","",IF(D460&lt;128,"Wahl "&amp;D460,INDEX(KdoCodeTab,MATCH(D460,KdoWertTab,0)))),"Status "&amp;C460)</f>
        <v>Space</v>
      </c>
      <c r="F460" t="str">
        <f t="shared" si="46"/>
        <v/>
      </c>
      <c r="G460" t="str">
        <f t="shared" si="47"/>
        <v/>
      </c>
      <c r="H460" t="str">
        <f t="shared" si="48"/>
        <v>Space</v>
      </c>
    </row>
    <row r="461" spans="1:8" x14ac:dyDescent="0.25">
      <c r="A461" t="s">
        <v>492</v>
      </c>
      <c r="B461" s="3">
        <f t="shared" si="49"/>
        <v>101</v>
      </c>
      <c r="C461" s="3" t="str">
        <f t="shared" si="44"/>
        <v/>
      </c>
      <c r="D461" s="3">
        <f t="shared" si="45"/>
        <v>150</v>
      </c>
      <c r="E461" s="5" t="str">
        <f>IF(C461="",IF(D461="","",IF(D461&lt;128,"Wahl "&amp;D461,INDEX(KdoCodeTab,MATCH(D461,KdoWertTab,0)))),"Status "&amp;C461)</f>
        <v>SpaceWdh</v>
      </c>
      <c r="F461" t="str">
        <f t="shared" si="46"/>
        <v/>
      </c>
      <c r="G461" t="str">
        <f t="shared" si="47"/>
        <v/>
      </c>
      <c r="H461" t="str">
        <f t="shared" si="48"/>
        <v>SpaceWdh</v>
      </c>
    </row>
    <row r="462" spans="1:8" x14ac:dyDescent="0.25">
      <c r="A462" t="s">
        <v>493</v>
      </c>
      <c r="B462" s="3">
        <f t="shared" si="49"/>
        <v>101</v>
      </c>
      <c r="C462" s="3" t="str">
        <f t="shared" si="44"/>
        <v/>
      </c>
      <c r="D462" s="3">
        <f t="shared" si="45"/>
        <v>156</v>
      </c>
      <c r="E462" s="5" t="str">
        <f>IF(C462="",IF(D462="","",IF(D462&lt;128,"Wahl "&amp;D462,INDEX(KdoCodeTab,MATCH(D462,KdoWertTab,0)))),"Status "&amp;C462)</f>
        <v>Mark</v>
      </c>
      <c r="F462" t="str">
        <f t="shared" si="46"/>
        <v/>
      </c>
      <c r="G462" t="str">
        <f t="shared" si="47"/>
        <v/>
      </c>
      <c r="H462" t="str">
        <f t="shared" si="48"/>
        <v>Mark</v>
      </c>
    </row>
    <row r="463" spans="1:8" x14ac:dyDescent="0.25">
      <c r="A463" t="s">
        <v>494</v>
      </c>
      <c r="B463" s="3">
        <f t="shared" si="49"/>
        <v>101</v>
      </c>
      <c r="C463" s="3" t="str">
        <f t="shared" si="44"/>
        <v/>
      </c>
      <c r="D463" s="3">
        <f t="shared" si="45"/>
        <v>154</v>
      </c>
      <c r="E463" s="5" t="str">
        <f>IF(C463="",IF(D463="","",IF(D463&lt;128,"Wahl "&amp;D463,INDEX(KdoCodeTab,MATCH(D463,KdoWertTab,0)))),"Status "&amp;C463)</f>
        <v>MarkWdh</v>
      </c>
      <c r="F463" t="str">
        <f t="shared" si="46"/>
        <v/>
      </c>
      <c r="G463" t="str">
        <f t="shared" si="47"/>
        <v/>
      </c>
      <c r="H463" t="str">
        <f t="shared" si="48"/>
        <v>MarkWdh</v>
      </c>
    </row>
    <row r="464" spans="1:8" x14ac:dyDescent="0.25">
      <c r="A464" t="s">
        <v>495</v>
      </c>
      <c r="B464" s="3">
        <f t="shared" si="49"/>
        <v>101</v>
      </c>
      <c r="C464" s="3" t="str">
        <f t="shared" si="44"/>
        <v/>
      </c>
      <c r="D464" s="3">
        <f t="shared" si="45"/>
        <v>147</v>
      </c>
      <c r="E464" s="5" t="str">
        <f>IF(C464="",IF(D464="","",IF(D464&lt;128,"Wahl "&amp;D464,INDEX(KdoCodeTab,MATCH(D464,KdoWertTab,0)))),"Status "&amp;C464)</f>
        <v>Space</v>
      </c>
      <c r="F464" t="str">
        <f t="shared" si="46"/>
        <v/>
      </c>
      <c r="G464" t="str">
        <f t="shared" si="47"/>
        <v/>
      </c>
      <c r="H464" t="str">
        <f t="shared" si="48"/>
        <v>Space</v>
      </c>
    </row>
    <row r="465" spans="1:8" x14ac:dyDescent="0.25">
      <c r="A465" t="s">
        <v>496</v>
      </c>
      <c r="B465" s="3">
        <f t="shared" si="49"/>
        <v>101</v>
      </c>
      <c r="C465" s="3" t="str">
        <f t="shared" si="44"/>
        <v/>
      </c>
      <c r="D465" s="3">
        <f t="shared" si="45"/>
        <v>150</v>
      </c>
      <c r="E465" s="5" t="str">
        <f>IF(C465="",IF(D465="","",IF(D465&lt;128,"Wahl "&amp;D465,INDEX(KdoCodeTab,MATCH(D465,KdoWertTab,0)))),"Status "&amp;C465)</f>
        <v>SpaceWdh</v>
      </c>
      <c r="F465" t="str">
        <f t="shared" si="46"/>
        <v/>
      </c>
      <c r="G465" t="str">
        <f t="shared" si="47"/>
        <v/>
      </c>
      <c r="H465" t="str">
        <f t="shared" si="48"/>
        <v>SpaceWdh</v>
      </c>
    </row>
    <row r="466" spans="1:8" x14ac:dyDescent="0.25">
      <c r="A466" t="s">
        <v>497</v>
      </c>
      <c r="B466" s="3">
        <f t="shared" si="49"/>
        <v>101</v>
      </c>
      <c r="C466" s="3" t="str">
        <f t="shared" si="44"/>
        <v/>
      </c>
      <c r="D466" s="3">
        <f t="shared" si="45"/>
        <v>156</v>
      </c>
      <c r="E466" s="5" t="str">
        <f>IF(C466="",IF(D466="","",IF(D466&lt;128,"Wahl "&amp;D466,INDEX(KdoCodeTab,MATCH(D466,KdoWertTab,0)))),"Status "&amp;C466)</f>
        <v>Mark</v>
      </c>
      <c r="F466" t="str">
        <f t="shared" si="46"/>
        <v/>
      </c>
      <c r="G466" t="str">
        <f t="shared" si="47"/>
        <v/>
      </c>
      <c r="H466" t="str">
        <f t="shared" si="48"/>
        <v>Mark</v>
      </c>
    </row>
    <row r="467" spans="1:8" x14ac:dyDescent="0.25">
      <c r="A467" t="s">
        <v>498</v>
      </c>
      <c r="B467" s="3">
        <f t="shared" si="49"/>
        <v>101</v>
      </c>
      <c r="C467" s="3" t="str">
        <f t="shared" si="44"/>
        <v/>
      </c>
      <c r="D467" s="3">
        <f t="shared" si="45"/>
        <v>154</v>
      </c>
      <c r="E467" s="5" t="str">
        <f>IF(C467="",IF(D467="","",IF(D467&lt;128,"Wahl "&amp;D467,INDEX(KdoCodeTab,MATCH(D467,KdoWertTab,0)))),"Status "&amp;C467)</f>
        <v>MarkWdh</v>
      </c>
      <c r="F467" t="str">
        <f t="shared" si="46"/>
        <v/>
      </c>
      <c r="G467" t="str">
        <f t="shared" si="47"/>
        <v/>
      </c>
      <c r="H467" t="str">
        <f t="shared" si="48"/>
        <v>MarkWdh</v>
      </c>
    </row>
    <row r="468" spans="1:8" x14ac:dyDescent="0.25">
      <c r="A468" t="s">
        <v>499</v>
      </c>
      <c r="B468" s="3">
        <f t="shared" si="49"/>
        <v>101</v>
      </c>
      <c r="C468" s="3" t="str">
        <f t="shared" si="44"/>
        <v/>
      </c>
      <c r="D468" s="3">
        <f t="shared" si="45"/>
        <v>147</v>
      </c>
      <c r="E468" s="5" t="str">
        <f>IF(C468="",IF(D468="","",IF(D468&lt;128,"Wahl "&amp;D468,INDEX(KdoCodeTab,MATCH(D468,KdoWertTab,0)))),"Status "&amp;C468)</f>
        <v>Space</v>
      </c>
      <c r="F468" t="str">
        <f t="shared" si="46"/>
        <v/>
      </c>
      <c r="G468" t="str">
        <f t="shared" si="47"/>
        <v/>
      </c>
      <c r="H468" t="str">
        <f t="shared" si="48"/>
        <v>Space</v>
      </c>
    </row>
    <row r="469" spans="1:8" x14ac:dyDescent="0.25">
      <c r="A469" t="s">
        <v>500</v>
      </c>
      <c r="B469" s="3">
        <f t="shared" si="49"/>
        <v>101</v>
      </c>
      <c r="C469" s="3" t="str">
        <f t="shared" si="44"/>
        <v/>
      </c>
      <c r="D469" s="3">
        <f t="shared" si="45"/>
        <v>150</v>
      </c>
      <c r="E469" s="5" t="str">
        <f>IF(C469="",IF(D469="","",IF(D469&lt;128,"Wahl "&amp;D469,INDEX(KdoCodeTab,MATCH(D469,KdoWertTab,0)))),"Status "&amp;C469)</f>
        <v>SpaceWdh</v>
      </c>
      <c r="F469" t="str">
        <f t="shared" si="46"/>
        <v/>
      </c>
      <c r="G469" t="str">
        <f t="shared" si="47"/>
        <v/>
      </c>
      <c r="H469" t="str">
        <f t="shared" si="48"/>
        <v>SpaceWdh</v>
      </c>
    </row>
    <row r="470" spans="1:8" x14ac:dyDescent="0.25">
      <c r="A470" t="s">
        <v>501</v>
      </c>
      <c r="B470" s="3">
        <f t="shared" si="49"/>
        <v>101</v>
      </c>
      <c r="C470" s="3" t="str">
        <f t="shared" si="44"/>
        <v/>
      </c>
      <c r="D470" s="3">
        <f t="shared" si="45"/>
        <v>169</v>
      </c>
      <c r="E470" s="5" t="str">
        <f>IF(C470="",IF(D470="","",IF(D470&lt;128,"Wahl "&amp;D470,INDEX(KdoCodeTab,MATCH(D470,KdoWertTab,0)))),"Status "&amp;C470)</f>
        <v>BusLebenszeichen</v>
      </c>
      <c r="F470" t="str">
        <f t="shared" si="46"/>
        <v/>
      </c>
      <c r="G470" t="str">
        <f t="shared" si="47"/>
        <v/>
      </c>
      <c r="H470" t="str">
        <f t="shared" si="48"/>
        <v>BusLebenszeichen</v>
      </c>
    </row>
    <row r="471" spans="1:8" x14ac:dyDescent="0.25">
      <c r="A471" t="s">
        <v>502</v>
      </c>
      <c r="B471" s="3">
        <f t="shared" si="49"/>
        <v>101</v>
      </c>
      <c r="C471" s="3" t="str">
        <f t="shared" si="44"/>
        <v/>
      </c>
      <c r="D471" s="3">
        <f t="shared" si="45"/>
        <v>156</v>
      </c>
      <c r="E471" s="5" t="str">
        <f>IF(C471="",IF(D471="","",IF(D471&lt;128,"Wahl "&amp;D471,INDEX(KdoCodeTab,MATCH(D471,KdoWertTab,0)))),"Status "&amp;C471)</f>
        <v>Mark</v>
      </c>
      <c r="F471" t="str">
        <f t="shared" si="46"/>
        <v/>
      </c>
      <c r="G471" t="str">
        <f t="shared" si="47"/>
        <v/>
      </c>
      <c r="H471" t="str">
        <f t="shared" si="48"/>
        <v>Mark</v>
      </c>
    </row>
    <row r="472" spans="1:8" x14ac:dyDescent="0.25">
      <c r="A472" t="s">
        <v>503</v>
      </c>
      <c r="B472" s="3">
        <f t="shared" si="49"/>
        <v>101</v>
      </c>
      <c r="C472" s="3" t="str">
        <f t="shared" si="44"/>
        <v/>
      </c>
      <c r="D472" s="3">
        <f t="shared" si="45"/>
        <v>154</v>
      </c>
      <c r="E472" s="5" t="str">
        <f>IF(C472="",IF(D472="","",IF(D472&lt;128,"Wahl "&amp;D472,INDEX(KdoCodeTab,MATCH(D472,KdoWertTab,0)))),"Status "&amp;C472)</f>
        <v>MarkWdh</v>
      </c>
      <c r="F472" t="str">
        <f t="shared" si="46"/>
        <v/>
      </c>
      <c r="G472" t="str">
        <f t="shared" si="47"/>
        <v/>
      </c>
      <c r="H472" t="str">
        <f t="shared" si="48"/>
        <v>MarkWdh</v>
      </c>
    </row>
    <row r="473" spans="1:8" x14ac:dyDescent="0.25">
      <c r="A473" t="s">
        <v>504</v>
      </c>
      <c r="B473" s="3">
        <f t="shared" si="49"/>
        <v>101</v>
      </c>
      <c r="C473" s="3" t="str">
        <f t="shared" si="44"/>
        <v/>
      </c>
      <c r="D473" s="3">
        <f t="shared" si="45"/>
        <v>147</v>
      </c>
      <c r="E473" s="5" t="str">
        <f>IF(C473="",IF(D473="","",IF(D473&lt;128,"Wahl "&amp;D473,INDEX(KdoCodeTab,MATCH(D473,KdoWertTab,0)))),"Status "&amp;C473)</f>
        <v>Space</v>
      </c>
      <c r="F473" t="str">
        <f t="shared" si="46"/>
        <v/>
      </c>
      <c r="G473" t="str">
        <f t="shared" si="47"/>
        <v/>
      </c>
      <c r="H473" t="str">
        <f t="shared" si="48"/>
        <v>Space</v>
      </c>
    </row>
    <row r="474" spans="1:8" x14ac:dyDescent="0.25">
      <c r="A474" t="s">
        <v>505</v>
      </c>
      <c r="B474" s="3">
        <f t="shared" si="49"/>
        <v>101</v>
      </c>
      <c r="C474" s="3" t="str">
        <f t="shared" si="44"/>
        <v/>
      </c>
      <c r="D474" s="3">
        <f t="shared" si="45"/>
        <v>150</v>
      </c>
      <c r="E474" s="5" t="str">
        <f>IF(C474="",IF(D474="","",IF(D474&lt;128,"Wahl "&amp;D474,INDEX(KdoCodeTab,MATCH(D474,KdoWertTab,0)))),"Status "&amp;C474)</f>
        <v>SpaceWdh</v>
      </c>
      <c r="F474" t="str">
        <f t="shared" si="46"/>
        <v/>
      </c>
      <c r="G474" t="str">
        <f t="shared" si="47"/>
        <v/>
      </c>
      <c r="H474" t="str">
        <f t="shared" si="48"/>
        <v>SpaceWdh</v>
      </c>
    </row>
    <row r="475" spans="1:8" x14ac:dyDescent="0.25">
      <c r="A475" t="s">
        <v>506</v>
      </c>
      <c r="B475" s="3">
        <f t="shared" si="49"/>
        <v>101</v>
      </c>
      <c r="C475" s="3" t="str">
        <f t="shared" si="44"/>
        <v/>
      </c>
      <c r="D475" s="3">
        <f t="shared" si="45"/>
        <v>156</v>
      </c>
      <c r="E475" s="5" t="str">
        <f>IF(C475="",IF(D475="","",IF(D475&lt;128,"Wahl "&amp;D475,INDEX(KdoCodeTab,MATCH(D475,KdoWertTab,0)))),"Status "&amp;C475)</f>
        <v>Mark</v>
      </c>
      <c r="F475" t="str">
        <f t="shared" si="46"/>
        <v/>
      </c>
      <c r="G475" t="str">
        <f t="shared" si="47"/>
        <v/>
      </c>
      <c r="H475" t="str">
        <f t="shared" si="48"/>
        <v>Mark</v>
      </c>
    </row>
    <row r="476" spans="1:8" x14ac:dyDescent="0.25">
      <c r="A476" t="s">
        <v>507</v>
      </c>
      <c r="B476" s="3">
        <f t="shared" si="49"/>
        <v>101</v>
      </c>
      <c r="C476" s="3" t="str">
        <f t="shared" si="44"/>
        <v/>
      </c>
      <c r="D476" s="3">
        <f t="shared" si="45"/>
        <v>154</v>
      </c>
      <c r="E476" s="5" t="str">
        <f>IF(C476="",IF(D476="","",IF(D476&lt;128,"Wahl "&amp;D476,INDEX(KdoCodeTab,MATCH(D476,KdoWertTab,0)))),"Status "&amp;C476)</f>
        <v>MarkWdh</v>
      </c>
      <c r="F476" t="str">
        <f t="shared" si="46"/>
        <v/>
      </c>
      <c r="G476" t="str">
        <f t="shared" si="47"/>
        <v/>
      </c>
      <c r="H476" t="str">
        <f t="shared" si="48"/>
        <v>MarkWdh</v>
      </c>
    </row>
    <row r="477" spans="1:8" x14ac:dyDescent="0.25">
      <c r="A477" t="s">
        <v>508</v>
      </c>
      <c r="B477" s="3">
        <f t="shared" si="49"/>
        <v>31</v>
      </c>
      <c r="C477" s="3" t="str">
        <f t="shared" si="44"/>
        <v/>
      </c>
      <c r="D477" s="3">
        <f t="shared" si="45"/>
        <v>154</v>
      </c>
      <c r="E477" s="5" t="str">
        <f>IF(C477="",IF(D477="","",IF(D477&lt;128,"Wahl "&amp;D477,INDEX(KdoCodeTab,MATCH(D477,KdoWertTab,0)))),"Status "&amp;C477)</f>
        <v>MarkWdh</v>
      </c>
      <c r="F477" t="str">
        <f t="shared" si="46"/>
        <v>MarkWdh</v>
      </c>
      <c r="G477" t="str">
        <f t="shared" si="47"/>
        <v/>
      </c>
      <c r="H477" t="str">
        <f t="shared" si="48"/>
        <v/>
      </c>
    </row>
    <row r="478" spans="1:8" x14ac:dyDescent="0.25">
      <c r="A478" t="s">
        <v>509</v>
      </c>
      <c r="B478" s="3">
        <f t="shared" si="49"/>
        <v>101</v>
      </c>
      <c r="C478" s="3" t="str">
        <f t="shared" si="44"/>
        <v/>
      </c>
      <c r="D478" s="3">
        <f t="shared" si="45"/>
        <v>147</v>
      </c>
      <c r="E478" s="5" t="str">
        <f>IF(C478="",IF(D478="","",IF(D478&lt;128,"Wahl "&amp;D478,INDEX(KdoCodeTab,MATCH(D478,KdoWertTab,0)))),"Status "&amp;C478)</f>
        <v>Space</v>
      </c>
      <c r="F478" t="str">
        <f t="shared" si="46"/>
        <v/>
      </c>
      <c r="G478" t="str">
        <f t="shared" si="47"/>
        <v/>
      </c>
      <c r="H478" t="str">
        <f t="shared" si="48"/>
        <v>Space</v>
      </c>
    </row>
    <row r="479" spans="1:8" x14ac:dyDescent="0.25">
      <c r="A479" t="s">
        <v>510</v>
      </c>
      <c r="B479" s="3">
        <f t="shared" si="49"/>
        <v>101</v>
      </c>
      <c r="C479" s="3" t="str">
        <f t="shared" si="44"/>
        <v/>
      </c>
      <c r="D479" s="3">
        <f t="shared" si="45"/>
        <v>150</v>
      </c>
      <c r="E479" s="5" t="str">
        <f>IF(C479="",IF(D479="","",IF(D479&lt;128,"Wahl "&amp;D479,INDEX(KdoCodeTab,MATCH(D479,KdoWertTab,0)))),"Status "&amp;C479)</f>
        <v>SpaceWdh</v>
      </c>
      <c r="F479" t="str">
        <f t="shared" si="46"/>
        <v/>
      </c>
      <c r="G479" t="str">
        <f t="shared" si="47"/>
        <v/>
      </c>
      <c r="H479" t="str">
        <f t="shared" si="48"/>
        <v>SpaceWdh</v>
      </c>
    </row>
    <row r="480" spans="1:8" x14ac:dyDescent="0.25">
      <c r="A480" t="s">
        <v>511</v>
      </c>
      <c r="B480" s="3">
        <f t="shared" si="49"/>
        <v>101</v>
      </c>
      <c r="C480" s="3" t="str">
        <f t="shared" si="44"/>
        <v/>
      </c>
      <c r="D480" s="3">
        <f t="shared" si="45"/>
        <v>156</v>
      </c>
      <c r="E480" s="5" t="str">
        <f>IF(C480="",IF(D480="","",IF(D480&lt;128,"Wahl "&amp;D480,INDEX(KdoCodeTab,MATCH(D480,KdoWertTab,0)))),"Status "&amp;C480)</f>
        <v>Mark</v>
      </c>
      <c r="F480" t="str">
        <f t="shared" si="46"/>
        <v/>
      </c>
      <c r="G480" t="str">
        <f t="shared" si="47"/>
        <v/>
      </c>
      <c r="H480" t="str">
        <f t="shared" si="48"/>
        <v>Mark</v>
      </c>
    </row>
    <row r="481" spans="1:8" x14ac:dyDescent="0.25">
      <c r="A481" t="s">
        <v>512</v>
      </c>
      <c r="B481" s="3">
        <f t="shared" si="49"/>
        <v>101</v>
      </c>
      <c r="C481" s="3" t="str">
        <f t="shared" si="44"/>
        <v/>
      </c>
      <c r="D481" s="3">
        <f t="shared" si="45"/>
        <v>154</v>
      </c>
      <c r="E481" s="5" t="str">
        <f>IF(C481="",IF(D481="","",IF(D481&lt;128,"Wahl "&amp;D481,INDEX(KdoCodeTab,MATCH(D481,KdoWertTab,0)))),"Status "&amp;C481)</f>
        <v>MarkWdh</v>
      </c>
      <c r="F481" t="str">
        <f t="shared" si="46"/>
        <v/>
      </c>
      <c r="G481" t="str">
        <f t="shared" si="47"/>
        <v/>
      </c>
      <c r="H481" t="str">
        <f t="shared" si="48"/>
        <v>MarkWdh</v>
      </c>
    </row>
    <row r="482" spans="1:8" x14ac:dyDescent="0.25">
      <c r="A482" t="s">
        <v>513</v>
      </c>
      <c r="B482" s="3">
        <f t="shared" si="49"/>
        <v>101</v>
      </c>
      <c r="C482" s="3" t="str">
        <f t="shared" si="44"/>
        <v/>
      </c>
      <c r="D482" s="3">
        <f t="shared" si="45"/>
        <v>147</v>
      </c>
      <c r="E482" s="5" t="str">
        <f>IF(C482="",IF(D482="","",IF(D482&lt;128,"Wahl "&amp;D482,INDEX(KdoCodeTab,MATCH(D482,KdoWertTab,0)))),"Status "&amp;C482)</f>
        <v>Space</v>
      </c>
      <c r="F482" t="str">
        <f t="shared" si="46"/>
        <v/>
      </c>
      <c r="G482" t="str">
        <f t="shared" si="47"/>
        <v/>
      </c>
      <c r="H482" t="str">
        <f t="shared" si="48"/>
        <v>Space</v>
      </c>
    </row>
    <row r="483" spans="1:8" x14ac:dyDescent="0.25">
      <c r="A483" t="s">
        <v>514</v>
      </c>
      <c r="B483" s="3">
        <f t="shared" si="49"/>
        <v>101</v>
      </c>
      <c r="C483" s="3" t="str">
        <f t="shared" si="44"/>
        <v/>
      </c>
      <c r="D483" s="3">
        <f t="shared" si="45"/>
        <v>150</v>
      </c>
      <c r="E483" s="5" t="str">
        <f>IF(C483="",IF(D483="","",IF(D483&lt;128,"Wahl "&amp;D483,INDEX(KdoCodeTab,MATCH(D483,KdoWertTab,0)))),"Status "&amp;C483)</f>
        <v>SpaceWdh</v>
      </c>
      <c r="F483" t="str">
        <f t="shared" si="46"/>
        <v/>
      </c>
      <c r="G483" t="str">
        <f t="shared" si="47"/>
        <v/>
      </c>
      <c r="H483" t="str">
        <f t="shared" si="48"/>
        <v>SpaceWdh</v>
      </c>
    </row>
    <row r="484" spans="1:8" x14ac:dyDescent="0.25">
      <c r="A484" t="s">
        <v>515</v>
      </c>
      <c r="B484" s="3">
        <f t="shared" si="49"/>
        <v>101</v>
      </c>
      <c r="C484" s="3" t="str">
        <f t="shared" si="44"/>
        <v/>
      </c>
      <c r="D484" s="3">
        <f t="shared" si="45"/>
        <v>156</v>
      </c>
      <c r="E484" s="5" t="str">
        <f>IF(C484="",IF(D484="","",IF(D484&lt;128,"Wahl "&amp;D484,INDEX(KdoCodeTab,MATCH(D484,KdoWertTab,0)))),"Status "&amp;C484)</f>
        <v>Mark</v>
      </c>
      <c r="F484" t="str">
        <f t="shared" si="46"/>
        <v/>
      </c>
      <c r="G484" t="str">
        <f t="shared" si="47"/>
        <v/>
      </c>
      <c r="H484" t="str">
        <f t="shared" si="48"/>
        <v>Mark</v>
      </c>
    </row>
    <row r="485" spans="1:8" x14ac:dyDescent="0.25">
      <c r="A485" t="s">
        <v>516</v>
      </c>
      <c r="B485" s="3">
        <f t="shared" si="49"/>
        <v>101</v>
      </c>
      <c r="C485" s="3" t="str">
        <f t="shared" si="44"/>
        <v/>
      </c>
      <c r="D485" s="3">
        <f t="shared" si="45"/>
        <v>154</v>
      </c>
      <c r="E485" s="5" t="str">
        <f>IF(C485="",IF(D485="","",IF(D485&lt;128,"Wahl "&amp;D485,INDEX(KdoCodeTab,MATCH(D485,KdoWertTab,0)))),"Status "&amp;C485)</f>
        <v>MarkWdh</v>
      </c>
      <c r="F485" t="str">
        <f t="shared" si="46"/>
        <v/>
      </c>
      <c r="G485" t="str">
        <f t="shared" si="47"/>
        <v/>
      </c>
      <c r="H485" t="str">
        <f t="shared" si="48"/>
        <v>MarkWdh</v>
      </c>
    </row>
    <row r="486" spans="1:8" x14ac:dyDescent="0.25">
      <c r="A486" t="s">
        <v>517</v>
      </c>
      <c r="B486" s="3">
        <f t="shared" si="49"/>
        <v>101</v>
      </c>
      <c r="C486" s="3" t="str">
        <f t="shared" si="44"/>
        <v/>
      </c>
      <c r="D486" s="3">
        <f t="shared" si="45"/>
        <v>147</v>
      </c>
      <c r="E486" s="5" t="str">
        <f>IF(C486="",IF(D486="","",IF(D486&lt;128,"Wahl "&amp;D486,INDEX(KdoCodeTab,MATCH(D486,KdoWertTab,0)))),"Status "&amp;C486)</f>
        <v>Space</v>
      </c>
      <c r="F486" t="str">
        <f t="shared" si="46"/>
        <v/>
      </c>
      <c r="G486" t="str">
        <f t="shared" si="47"/>
        <v/>
      </c>
      <c r="H486" t="str">
        <f t="shared" si="48"/>
        <v>Space</v>
      </c>
    </row>
    <row r="487" spans="1:8" x14ac:dyDescent="0.25">
      <c r="A487" t="s">
        <v>518</v>
      </c>
      <c r="B487" s="3">
        <f t="shared" si="49"/>
        <v>101</v>
      </c>
      <c r="C487" s="3" t="str">
        <f t="shared" si="44"/>
        <v/>
      </c>
      <c r="D487" s="3">
        <f t="shared" si="45"/>
        <v>150</v>
      </c>
      <c r="E487" s="5" t="str">
        <f>IF(C487="",IF(D487="","",IF(D487&lt;128,"Wahl "&amp;D487,INDEX(KdoCodeTab,MATCH(D487,KdoWertTab,0)))),"Status "&amp;C487)</f>
        <v>SpaceWdh</v>
      </c>
      <c r="F487" t="str">
        <f t="shared" si="46"/>
        <v/>
      </c>
      <c r="G487" t="str">
        <f t="shared" si="47"/>
        <v/>
      </c>
      <c r="H487" t="str">
        <f t="shared" si="48"/>
        <v>SpaceWdh</v>
      </c>
    </row>
    <row r="488" spans="1:8" x14ac:dyDescent="0.25">
      <c r="A488" t="s">
        <v>519</v>
      </c>
      <c r="B488" s="3">
        <f t="shared" si="49"/>
        <v>101</v>
      </c>
      <c r="C488" s="3" t="str">
        <f t="shared" si="44"/>
        <v/>
      </c>
      <c r="D488" s="3">
        <f t="shared" si="45"/>
        <v>156</v>
      </c>
      <c r="E488" s="5" t="str">
        <f>IF(C488="",IF(D488="","",IF(D488&lt;128,"Wahl "&amp;D488,INDEX(KdoCodeTab,MATCH(D488,KdoWertTab,0)))),"Status "&amp;C488)</f>
        <v>Mark</v>
      </c>
      <c r="F488" t="str">
        <f t="shared" si="46"/>
        <v/>
      </c>
      <c r="G488" t="str">
        <f t="shared" si="47"/>
        <v/>
      </c>
      <c r="H488" t="str">
        <f t="shared" si="48"/>
        <v>Mark</v>
      </c>
    </row>
    <row r="489" spans="1:8" x14ac:dyDescent="0.25">
      <c r="A489" t="s">
        <v>520</v>
      </c>
      <c r="B489" s="3">
        <f t="shared" si="49"/>
        <v>101</v>
      </c>
      <c r="C489" s="3" t="str">
        <f t="shared" si="44"/>
        <v/>
      </c>
      <c r="D489" s="3">
        <f t="shared" si="45"/>
        <v>154</v>
      </c>
      <c r="E489" s="5" t="str">
        <f>IF(C489="",IF(D489="","",IF(D489&lt;128,"Wahl "&amp;D489,INDEX(KdoCodeTab,MATCH(D489,KdoWertTab,0)))),"Status "&amp;C489)</f>
        <v>MarkWdh</v>
      </c>
      <c r="F489" t="str">
        <f t="shared" si="46"/>
        <v/>
      </c>
      <c r="G489" t="str">
        <f t="shared" si="47"/>
        <v/>
      </c>
      <c r="H489" t="str">
        <f t="shared" si="48"/>
        <v>MarkWdh</v>
      </c>
    </row>
    <row r="490" spans="1:8" x14ac:dyDescent="0.25">
      <c r="A490" t="s">
        <v>521</v>
      </c>
      <c r="B490" s="3">
        <f t="shared" si="49"/>
        <v>101</v>
      </c>
      <c r="C490" s="3" t="str">
        <f t="shared" si="44"/>
        <v/>
      </c>
      <c r="D490" s="3">
        <f t="shared" si="45"/>
        <v>147</v>
      </c>
      <c r="E490" s="5" t="str">
        <f>IF(C490="",IF(D490="","",IF(D490&lt;128,"Wahl "&amp;D490,INDEX(KdoCodeTab,MATCH(D490,KdoWertTab,0)))),"Status "&amp;C490)</f>
        <v>Space</v>
      </c>
      <c r="F490" t="str">
        <f t="shared" si="46"/>
        <v/>
      </c>
      <c r="G490" t="str">
        <f t="shared" si="47"/>
        <v/>
      </c>
      <c r="H490" t="str">
        <f t="shared" si="48"/>
        <v>Space</v>
      </c>
    </row>
    <row r="491" spans="1:8" x14ac:dyDescent="0.25">
      <c r="A491" t="s">
        <v>522</v>
      </c>
      <c r="B491" s="3">
        <f t="shared" si="49"/>
        <v>101</v>
      </c>
      <c r="C491" s="3" t="str">
        <f t="shared" si="44"/>
        <v/>
      </c>
      <c r="D491" s="3">
        <f t="shared" si="45"/>
        <v>150</v>
      </c>
      <c r="E491" s="5" t="str">
        <f>IF(C491="",IF(D491="","",IF(D491&lt;128,"Wahl "&amp;D491,INDEX(KdoCodeTab,MATCH(D491,KdoWertTab,0)))),"Status "&amp;C491)</f>
        <v>SpaceWdh</v>
      </c>
      <c r="F491" t="str">
        <f t="shared" si="46"/>
        <v/>
      </c>
      <c r="G491" t="str">
        <f t="shared" si="47"/>
        <v/>
      </c>
      <c r="H491" t="str">
        <f t="shared" si="48"/>
        <v>SpaceWdh</v>
      </c>
    </row>
    <row r="492" spans="1:8" x14ac:dyDescent="0.25">
      <c r="A492" t="s">
        <v>523</v>
      </c>
      <c r="B492" s="3">
        <f t="shared" si="49"/>
        <v>101</v>
      </c>
      <c r="C492" s="3" t="str">
        <f t="shared" si="44"/>
        <v/>
      </c>
      <c r="D492" s="3">
        <f t="shared" si="45"/>
        <v>156</v>
      </c>
      <c r="E492" s="5" t="str">
        <f>IF(C492="",IF(D492="","",IF(D492&lt;128,"Wahl "&amp;D492,INDEX(KdoCodeTab,MATCH(D492,KdoWertTab,0)))),"Status "&amp;C492)</f>
        <v>Mark</v>
      </c>
      <c r="F492" t="str">
        <f t="shared" si="46"/>
        <v/>
      </c>
      <c r="G492" t="str">
        <f t="shared" si="47"/>
        <v/>
      </c>
      <c r="H492" t="str">
        <f t="shared" si="48"/>
        <v>Mark</v>
      </c>
    </row>
    <row r="493" spans="1:8" x14ac:dyDescent="0.25">
      <c r="A493" t="s">
        <v>524</v>
      </c>
      <c r="B493" s="3">
        <f t="shared" si="49"/>
        <v>101</v>
      </c>
      <c r="C493" s="3" t="str">
        <f t="shared" si="44"/>
        <v/>
      </c>
      <c r="D493" s="3">
        <f t="shared" si="45"/>
        <v>154</v>
      </c>
      <c r="E493" s="5" t="str">
        <f>IF(C493="",IF(D493="","",IF(D493&lt;128,"Wahl "&amp;D493,INDEX(KdoCodeTab,MATCH(D493,KdoWertTab,0)))),"Status "&amp;C493)</f>
        <v>MarkWdh</v>
      </c>
      <c r="F493" t="str">
        <f t="shared" si="46"/>
        <v/>
      </c>
      <c r="G493" t="str">
        <f t="shared" si="47"/>
        <v/>
      </c>
      <c r="H493" t="str">
        <f t="shared" si="48"/>
        <v>MarkWdh</v>
      </c>
    </row>
    <row r="494" spans="1:8" x14ac:dyDescent="0.25">
      <c r="A494" t="s">
        <v>525</v>
      </c>
      <c r="B494" s="3">
        <f t="shared" si="49"/>
        <v>101</v>
      </c>
      <c r="C494" s="3" t="str">
        <f t="shared" si="44"/>
        <v/>
      </c>
      <c r="D494" s="3">
        <f t="shared" si="45"/>
        <v>147</v>
      </c>
      <c r="E494" s="5" t="str">
        <f>IF(C494="",IF(D494="","",IF(D494&lt;128,"Wahl "&amp;D494,INDEX(KdoCodeTab,MATCH(D494,KdoWertTab,0)))),"Status "&amp;C494)</f>
        <v>Space</v>
      </c>
      <c r="F494" t="str">
        <f t="shared" si="46"/>
        <v/>
      </c>
      <c r="G494" t="str">
        <f t="shared" si="47"/>
        <v/>
      </c>
      <c r="H494" t="str">
        <f t="shared" si="48"/>
        <v>Space</v>
      </c>
    </row>
    <row r="495" spans="1:8" x14ac:dyDescent="0.25">
      <c r="A495" t="s">
        <v>526</v>
      </c>
      <c r="B495" s="3">
        <f t="shared" si="49"/>
        <v>101</v>
      </c>
      <c r="C495" s="3" t="str">
        <f t="shared" si="44"/>
        <v/>
      </c>
      <c r="D495" s="3">
        <f t="shared" si="45"/>
        <v>150</v>
      </c>
      <c r="E495" s="5" t="str">
        <f>IF(C495="",IF(D495="","",IF(D495&lt;128,"Wahl "&amp;D495,INDEX(KdoCodeTab,MATCH(D495,KdoWertTab,0)))),"Status "&amp;C495)</f>
        <v>SpaceWdh</v>
      </c>
      <c r="F495" t="str">
        <f t="shared" si="46"/>
        <v/>
      </c>
      <c r="G495" t="str">
        <f t="shared" si="47"/>
        <v/>
      </c>
      <c r="H495" t="str">
        <f t="shared" si="48"/>
        <v>SpaceWdh</v>
      </c>
    </row>
    <row r="496" spans="1:8" x14ac:dyDescent="0.25">
      <c r="A496" t="s">
        <v>527</v>
      </c>
      <c r="B496" s="3">
        <f t="shared" si="49"/>
        <v>101</v>
      </c>
      <c r="C496" s="3" t="str">
        <f t="shared" si="44"/>
        <v/>
      </c>
      <c r="D496" s="3">
        <f t="shared" si="45"/>
        <v>156</v>
      </c>
      <c r="E496" s="5" t="str">
        <f>IF(C496="",IF(D496="","",IF(D496&lt;128,"Wahl "&amp;D496,INDEX(KdoCodeTab,MATCH(D496,KdoWertTab,0)))),"Status "&amp;C496)</f>
        <v>Mark</v>
      </c>
      <c r="F496" t="str">
        <f t="shared" si="46"/>
        <v/>
      </c>
      <c r="G496" t="str">
        <f t="shared" si="47"/>
        <v/>
      </c>
      <c r="H496" t="str">
        <f t="shared" si="48"/>
        <v>Mark</v>
      </c>
    </row>
    <row r="497" spans="1:8" x14ac:dyDescent="0.25">
      <c r="A497" t="s">
        <v>528</v>
      </c>
      <c r="B497" s="3">
        <f t="shared" si="49"/>
        <v>101</v>
      </c>
      <c r="C497" s="3" t="str">
        <f t="shared" si="44"/>
        <v/>
      </c>
      <c r="D497" s="3">
        <f t="shared" si="45"/>
        <v>154</v>
      </c>
      <c r="E497" s="5" t="str">
        <f>IF(C497="",IF(D497="","",IF(D497&lt;128,"Wahl "&amp;D497,INDEX(KdoCodeTab,MATCH(D497,KdoWertTab,0)))),"Status "&amp;C497)</f>
        <v>MarkWdh</v>
      </c>
      <c r="F497" t="str">
        <f t="shared" si="46"/>
        <v/>
      </c>
      <c r="G497" t="str">
        <f t="shared" si="47"/>
        <v/>
      </c>
      <c r="H497" t="str">
        <f t="shared" si="48"/>
        <v>MarkWdh</v>
      </c>
    </row>
    <row r="498" spans="1:8" x14ac:dyDescent="0.25">
      <c r="A498" t="s">
        <v>529</v>
      </c>
      <c r="B498" s="3">
        <f t="shared" si="49"/>
        <v>31</v>
      </c>
      <c r="C498" s="3" t="str">
        <f t="shared" si="44"/>
        <v/>
      </c>
      <c r="D498" s="3">
        <f t="shared" si="45"/>
        <v>154</v>
      </c>
      <c r="E498" s="5" t="str">
        <f>IF(C498="",IF(D498="","",IF(D498&lt;128,"Wahl "&amp;D498,INDEX(KdoCodeTab,MATCH(D498,KdoWertTab,0)))),"Status "&amp;C498)</f>
        <v>MarkWdh</v>
      </c>
      <c r="F498" t="str">
        <f t="shared" si="46"/>
        <v>MarkWdh</v>
      </c>
      <c r="G498" t="str">
        <f t="shared" si="47"/>
        <v/>
      </c>
      <c r="H498" t="str">
        <f t="shared" si="48"/>
        <v/>
      </c>
    </row>
    <row r="499" spans="1:8" x14ac:dyDescent="0.25">
      <c r="A499" t="s">
        <v>530</v>
      </c>
      <c r="B499" s="3">
        <f t="shared" si="49"/>
        <v>101</v>
      </c>
      <c r="C499" s="3" t="str">
        <f t="shared" si="44"/>
        <v/>
      </c>
      <c r="D499" s="3">
        <f t="shared" si="45"/>
        <v>147</v>
      </c>
      <c r="E499" s="5" t="str">
        <f>IF(C499="",IF(D499="","",IF(D499&lt;128,"Wahl "&amp;D499,INDEX(KdoCodeTab,MATCH(D499,KdoWertTab,0)))),"Status "&amp;C499)</f>
        <v>Space</v>
      </c>
      <c r="F499" t="str">
        <f t="shared" si="46"/>
        <v/>
      </c>
      <c r="G499" t="str">
        <f t="shared" si="47"/>
        <v/>
      </c>
      <c r="H499" t="str">
        <f t="shared" si="48"/>
        <v>Space</v>
      </c>
    </row>
    <row r="500" spans="1:8" x14ac:dyDescent="0.25">
      <c r="A500" t="s">
        <v>531</v>
      </c>
      <c r="B500" s="3">
        <f t="shared" si="49"/>
        <v>101</v>
      </c>
      <c r="C500" s="3" t="str">
        <f t="shared" si="44"/>
        <v/>
      </c>
      <c r="D500" s="3">
        <f t="shared" si="45"/>
        <v>150</v>
      </c>
      <c r="E500" s="5" t="str">
        <f>IF(C500="",IF(D500="","",IF(D500&lt;128,"Wahl "&amp;D500,INDEX(KdoCodeTab,MATCH(D500,KdoWertTab,0)))),"Status "&amp;C500)</f>
        <v>SpaceWdh</v>
      </c>
      <c r="F500" t="str">
        <f t="shared" si="46"/>
        <v/>
      </c>
      <c r="G500" t="str">
        <f t="shared" si="47"/>
        <v/>
      </c>
      <c r="H500" t="str">
        <f t="shared" si="48"/>
        <v>SpaceWdh</v>
      </c>
    </row>
    <row r="501" spans="1:8" x14ac:dyDescent="0.25">
      <c r="A501" t="s">
        <v>532</v>
      </c>
      <c r="B501" s="3">
        <f t="shared" si="49"/>
        <v>101</v>
      </c>
      <c r="C501" s="3" t="str">
        <f t="shared" si="44"/>
        <v/>
      </c>
      <c r="D501" s="3">
        <f t="shared" si="45"/>
        <v>169</v>
      </c>
      <c r="E501" s="5" t="str">
        <f>IF(C501="",IF(D501="","",IF(D501&lt;128,"Wahl "&amp;D501,INDEX(KdoCodeTab,MATCH(D501,KdoWertTab,0)))),"Status "&amp;C501)</f>
        <v>BusLebenszeichen</v>
      </c>
      <c r="F501" t="str">
        <f t="shared" si="46"/>
        <v/>
      </c>
      <c r="G501" t="str">
        <f t="shared" si="47"/>
        <v/>
      </c>
      <c r="H501" t="str">
        <f t="shared" si="48"/>
        <v>BusLebenszeichen</v>
      </c>
    </row>
    <row r="502" spans="1:8" x14ac:dyDescent="0.25">
      <c r="A502" t="s">
        <v>533</v>
      </c>
      <c r="B502" s="3">
        <f t="shared" si="49"/>
        <v>101</v>
      </c>
      <c r="C502" s="3" t="str">
        <f t="shared" si="44"/>
        <v/>
      </c>
      <c r="D502" s="3">
        <f t="shared" si="45"/>
        <v>156</v>
      </c>
      <c r="E502" s="5" t="str">
        <f>IF(C502="",IF(D502="","",IF(D502&lt;128,"Wahl "&amp;D502,INDEX(KdoCodeTab,MATCH(D502,KdoWertTab,0)))),"Status "&amp;C502)</f>
        <v>Mark</v>
      </c>
      <c r="F502" t="str">
        <f t="shared" si="46"/>
        <v/>
      </c>
      <c r="G502" t="str">
        <f t="shared" si="47"/>
        <v/>
      </c>
      <c r="H502" t="str">
        <f t="shared" si="48"/>
        <v>Mark</v>
      </c>
    </row>
    <row r="503" spans="1:8" x14ac:dyDescent="0.25">
      <c r="A503" t="s">
        <v>534</v>
      </c>
      <c r="B503" s="3">
        <f t="shared" si="49"/>
        <v>101</v>
      </c>
      <c r="C503" s="3" t="str">
        <f t="shared" si="44"/>
        <v/>
      </c>
      <c r="D503" s="3">
        <f t="shared" si="45"/>
        <v>154</v>
      </c>
      <c r="E503" s="5" t="str">
        <f>IF(C503="",IF(D503="","",IF(D503&lt;128,"Wahl "&amp;D503,INDEX(KdoCodeTab,MATCH(D503,KdoWertTab,0)))),"Status "&amp;C503)</f>
        <v>MarkWdh</v>
      </c>
      <c r="F503" t="str">
        <f t="shared" si="46"/>
        <v/>
      </c>
      <c r="G503" t="str">
        <f t="shared" si="47"/>
        <v/>
      </c>
      <c r="H503" t="str">
        <f t="shared" si="48"/>
        <v>MarkWdh</v>
      </c>
    </row>
    <row r="504" spans="1:8" x14ac:dyDescent="0.25">
      <c r="A504" t="s">
        <v>535</v>
      </c>
      <c r="B504" s="3">
        <f t="shared" si="49"/>
        <v>101</v>
      </c>
      <c r="C504" s="3" t="str">
        <f t="shared" si="44"/>
        <v/>
      </c>
      <c r="D504" s="3">
        <f t="shared" si="45"/>
        <v>147</v>
      </c>
      <c r="E504" s="5" t="str">
        <f>IF(C504="",IF(D504="","",IF(D504&lt;128,"Wahl "&amp;D504,INDEX(KdoCodeTab,MATCH(D504,KdoWertTab,0)))),"Status "&amp;C504)</f>
        <v>Space</v>
      </c>
      <c r="F504" t="str">
        <f t="shared" si="46"/>
        <v/>
      </c>
      <c r="G504" t="str">
        <f t="shared" si="47"/>
        <v/>
      </c>
      <c r="H504" t="str">
        <f t="shared" si="48"/>
        <v>Space</v>
      </c>
    </row>
    <row r="505" spans="1:8" x14ac:dyDescent="0.25">
      <c r="A505" t="s">
        <v>536</v>
      </c>
      <c r="B505" s="3">
        <f t="shared" si="49"/>
        <v>101</v>
      </c>
      <c r="C505" s="3" t="str">
        <f t="shared" si="44"/>
        <v/>
      </c>
      <c r="D505" s="3">
        <f t="shared" si="45"/>
        <v>150</v>
      </c>
      <c r="E505" s="5" t="str">
        <f>IF(C505="",IF(D505="","",IF(D505&lt;128,"Wahl "&amp;D505,INDEX(KdoCodeTab,MATCH(D505,KdoWertTab,0)))),"Status "&amp;C505)</f>
        <v>SpaceWdh</v>
      </c>
      <c r="F505" t="str">
        <f t="shared" si="46"/>
        <v/>
      </c>
      <c r="G505" t="str">
        <f t="shared" si="47"/>
        <v/>
      </c>
      <c r="H505" t="str">
        <f t="shared" si="48"/>
        <v>SpaceWdh</v>
      </c>
    </row>
    <row r="506" spans="1:8" x14ac:dyDescent="0.25">
      <c r="A506" t="s">
        <v>537</v>
      </c>
      <c r="B506" s="3">
        <f t="shared" si="49"/>
        <v>101</v>
      </c>
      <c r="C506" s="3" t="str">
        <f t="shared" si="44"/>
        <v/>
      </c>
      <c r="D506" s="3">
        <f t="shared" si="45"/>
        <v>156</v>
      </c>
      <c r="E506" s="5" t="str">
        <f>IF(C506="",IF(D506="","",IF(D506&lt;128,"Wahl "&amp;D506,INDEX(KdoCodeTab,MATCH(D506,KdoWertTab,0)))),"Status "&amp;C506)</f>
        <v>Mark</v>
      </c>
      <c r="F506" t="str">
        <f t="shared" si="46"/>
        <v/>
      </c>
      <c r="G506" t="str">
        <f t="shared" si="47"/>
        <v/>
      </c>
      <c r="H506" t="str">
        <f t="shared" si="48"/>
        <v>Mark</v>
      </c>
    </row>
    <row r="507" spans="1:8" x14ac:dyDescent="0.25">
      <c r="A507" t="s">
        <v>538</v>
      </c>
      <c r="B507" s="3">
        <f t="shared" si="49"/>
        <v>101</v>
      </c>
      <c r="C507" s="3" t="str">
        <f t="shared" ref="C507:C570" si="50">IF(MID(A507,10,1)="&lt;",MID(A507,12,2),"")</f>
        <v/>
      </c>
      <c r="D507" s="3">
        <f t="shared" ref="D507:D570" si="51">IF(MID(A507,10,1)="&gt;",HEX2DEC(MID(A507,12,2)),"")</f>
        <v>154</v>
      </c>
      <c r="E507" s="5" t="str">
        <f>IF(C507="",IF(D507="","",IF(D507&lt;128,"Wahl "&amp;D507,INDEX(KdoCodeTab,MATCH(D507,KdoWertTab,0)))),"Status "&amp;C507)</f>
        <v>MarkWdh</v>
      </c>
      <c r="F507" t="str">
        <f t="shared" ref="F507:F570" si="52">IF(B507=$F$2,E507,"")</f>
        <v/>
      </c>
      <c r="G507" t="str">
        <f t="shared" ref="G507:G570" si="53">IF(B507=$G$2,E507,"")</f>
        <v/>
      </c>
      <c r="H507" t="str">
        <f t="shared" ref="H507:H570" si="54">IF(F507&amp;G507="",E507,"")</f>
        <v>MarkWdh</v>
      </c>
    </row>
    <row r="508" spans="1:8" x14ac:dyDescent="0.25">
      <c r="A508" t="s">
        <v>539</v>
      </c>
      <c r="B508" s="3">
        <f t="shared" si="49"/>
        <v>101</v>
      </c>
      <c r="C508" s="3" t="str">
        <f t="shared" si="50"/>
        <v/>
      </c>
      <c r="D508" s="3">
        <f t="shared" si="51"/>
        <v>147</v>
      </c>
      <c r="E508" s="5" t="str">
        <f>IF(C508="",IF(D508="","",IF(D508&lt;128,"Wahl "&amp;D508,INDEX(KdoCodeTab,MATCH(D508,KdoWertTab,0)))),"Status "&amp;C508)</f>
        <v>Space</v>
      </c>
      <c r="F508" t="str">
        <f t="shared" si="52"/>
        <v/>
      </c>
      <c r="G508" t="str">
        <f t="shared" si="53"/>
        <v/>
      </c>
      <c r="H508" t="str">
        <f t="shared" si="54"/>
        <v>Space</v>
      </c>
    </row>
    <row r="509" spans="1:8" x14ac:dyDescent="0.25">
      <c r="A509" t="s">
        <v>540</v>
      </c>
      <c r="B509" s="3">
        <f t="shared" si="49"/>
        <v>101</v>
      </c>
      <c r="C509" s="3" t="str">
        <f t="shared" si="50"/>
        <v/>
      </c>
      <c r="D509" s="3">
        <f t="shared" si="51"/>
        <v>150</v>
      </c>
      <c r="E509" s="5" t="str">
        <f>IF(C509="",IF(D509="","",IF(D509&lt;128,"Wahl "&amp;D509,INDEX(KdoCodeTab,MATCH(D509,KdoWertTab,0)))),"Status "&amp;C509)</f>
        <v>SpaceWdh</v>
      </c>
      <c r="F509" t="str">
        <f t="shared" si="52"/>
        <v/>
      </c>
      <c r="G509" t="str">
        <f t="shared" si="53"/>
        <v/>
      </c>
      <c r="H509" t="str">
        <f t="shared" si="54"/>
        <v>SpaceWdh</v>
      </c>
    </row>
    <row r="510" spans="1:8" x14ac:dyDescent="0.25">
      <c r="A510" t="s">
        <v>541</v>
      </c>
      <c r="B510" s="3">
        <f t="shared" si="49"/>
        <v>101</v>
      </c>
      <c r="C510" s="3" t="str">
        <f t="shared" si="50"/>
        <v/>
      </c>
      <c r="D510" s="3">
        <f t="shared" si="51"/>
        <v>156</v>
      </c>
      <c r="E510" s="5" t="str">
        <f>IF(C510="",IF(D510="","",IF(D510&lt;128,"Wahl "&amp;D510,INDEX(KdoCodeTab,MATCH(D510,KdoWertTab,0)))),"Status "&amp;C510)</f>
        <v>Mark</v>
      </c>
      <c r="F510" t="str">
        <f t="shared" si="52"/>
        <v/>
      </c>
      <c r="G510" t="str">
        <f t="shared" si="53"/>
        <v/>
      </c>
      <c r="H510" t="str">
        <f t="shared" si="54"/>
        <v>Mark</v>
      </c>
    </row>
    <row r="511" spans="1:8" x14ac:dyDescent="0.25">
      <c r="A511" t="s">
        <v>542</v>
      </c>
      <c r="B511" s="3">
        <f t="shared" si="49"/>
        <v>101</v>
      </c>
      <c r="C511" s="3" t="str">
        <f t="shared" si="50"/>
        <v/>
      </c>
      <c r="D511" s="3">
        <f t="shared" si="51"/>
        <v>154</v>
      </c>
      <c r="E511" s="5" t="str">
        <f>IF(C511="",IF(D511="","",IF(D511&lt;128,"Wahl "&amp;D511,INDEX(KdoCodeTab,MATCH(D511,KdoWertTab,0)))),"Status "&amp;C511)</f>
        <v>MarkWdh</v>
      </c>
      <c r="F511" t="str">
        <f t="shared" si="52"/>
        <v/>
      </c>
      <c r="G511" t="str">
        <f t="shared" si="53"/>
        <v/>
      </c>
      <c r="H511" t="str">
        <f t="shared" si="54"/>
        <v>MarkWdh</v>
      </c>
    </row>
    <row r="512" spans="1:8" x14ac:dyDescent="0.25">
      <c r="A512" t="s">
        <v>543</v>
      </c>
      <c r="B512" s="3">
        <f t="shared" si="49"/>
        <v>101</v>
      </c>
      <c r="C512" s="3" t="str">
        <f t="shared" si="50"/>
        <v/>
      </c>
      <c r="D512" s="3">
        <f t="shared" si="51"/>
        <v>147</v>
      </c>
      <c r="E512" s="5" t="str">
        <f>IF(C512="",IF(D512="","",IF(D512&lt;128,"Wahl "&amp;D512,INDEX(KdoCodeTab,MATCH(D512,KdoWertTab,0)))),"Status "&amp;C512)</f>
        <v>Space</v>
      </c>
      <c r="F512" t="str">
        <f t="shared" si="52"/>
        <v/>
      </c>
      <c r="G512" t="str">
        <f t="shared" si="53"/>
        <v/>
      </c>
      <c r="H512" t="str">
        <f t="shared" si="54"/>
        <v>Space</v>
      </c>
    </row>
    <row r="513" spans="1:8" x14ac:dyDescent="0.25">
      <c r="A513" t="s">
        <v>544</v>
      </c>
      <c r="B513" s="3">
        <f t="shared" si="49"/>
        <v>101</v>
      </c>
      <c r="C513" s="3" t="str">
        <f t="shared" si="50"/>
        <v/>
      </c>
      <c r="D513" s="3">
        <f t="shared" si="51"/>
        <v>150</v>
      </c>
      <c r="E513" s="5" t="str">
        <f>IF(C513="",IF(D513="","",IF(D513&lt;128,"Wahl "&amp;D513,INDEX(KdoCodeTab,MATCH(D513,KdoWertTab,0)))),"Status "&amp;C513)</f>
        <v>SpaceWdh</v>
      </c>
      <c r="F513" t="str">
        <f t="shared" si="52"/>
        <v/>
      </c>
      <c r="G513" t="str">
        <f t="shared" si="53"/>
        <v/>
      </c>
      <c r="H513" t="str">
        <f t="shared" si="54"/>
        <v>SpaceWdh</v>
      </c>
    </row>
    <row r="514" spans="1:8" x14ac:dyDescent="0.25">
      <c r="A514" t="s">
        <v>545</v>
      </c>
      <c r="B514" s="3">
        <f t="shared" si="49"/>
        <v>101</v>
      </c>
      <c r="C514" s="3" t="str">
        <f t="shared" si="50"/>
        <v/>
      </c>
      <c r="D514" s="3">
        <f t="shared" si="51"/>
        <v>156</v>
      </c>
      <c r="E514" s="5" t="str">
        <f>IF(C514="",IF(D514="","",IF(D514&lt;128,"Wahl "&amp;D514,INDEX(KdoCodeTab,MATCH(D514,KdoWertTab,0)))),"Status "&amp;C514)</f>
        <v>Mark</v>
      </c>
      <c r="F514" t="str">
        <f t="shared" si="52"/>
        <v/>
      </c>
      <c r="G514" t="str">
        <f t="shared" si="53"/>
        <v/>
      </c>
      <c r="H514" t="str">
        <f t="shared" si="54"/>
        <v>Mark</v>
      </c>
    </row>
    <row r="515" spans="1:8" x14ac:dyDescent="0.25">
      <c r="A515" t="s">
        <v>546</v>
      </c>
      <c r="B515" s="3">
        <f t="shared" si="49"/>
        <v>101</v>
      </c>
      <c r="C515" s="3" t="str">
        <f t="shared" si="50"/>
        <v/>
      </c>
      <c r="D515" s="3">
        <f t="shared" si="51"/>
        <v>154</v>
      </c>
      <c r="E515" s="5" t="str">
        <f>IF(C515="",IF(D515="","",IF(D515&lt;128,"Wahl "&amp;D515,INDEX(KdoCodeTab,MATCH(D515,KdoWertTab,0)))),"Status "&amp;C515)</f>
        <v>MarkWdh</v>
      </c>
      <c r="F515" t="str">
        <f t="shared" si="52"/>
        <v/>
      </c>
      <c r="G515" t="str">
        <f t="shared" si="53"/>
        <v/>
      </c>
      <c r="H515" t="str">
        <f t="shared" si="54"/>
        <v>MarkWdh</v>
      </c>
    </row>
    <row r="516" spans="1:8" x14ac:dyDescent="0.25">
      <c r="A516" t="s">
        <v>547</v>
      </c>
      <c r="B516" s="3">
        <f t="shared" si="49"/>
        <v>101</v>
      </c>
      <c r="C516" s="3" t="str">
        <f t="shared" si="50"/>
        <v/>
      </c>
      <c r="D516" s="3">
        <f t="shared" si="51"/>
        <v>147</v>
      </c>
      <c r="E516" s="5" t="str">
        <f>IF(C516="",IF(D516="","",IF(D516&lt;128,"Wahl "&amp;D516,INDEX(KdoCodeTab,MATCH(D516,KdoWertTab,0)))),"Status "&amp;C516)</f>
        <v>Space</v>
      </c>
      <c r="F516" t="str">
        <f t="shared" si="52"/>
        <v/>
      </c>
      <c r="G516" t="str">
        <f t="shared" si="53"/>
        <v/>
      </c>
      <c r="H516" t="str">
        <f t="shared" si="54"/>
        <v>Space</v>
      </c>
    </row>
    <row r="517" spans="1:8" x14ac:dyDescent="0.25">
      <c r="A517" t="s">
        <v>548</v>
      </c>
      <c r="B517" s="3">
        <f t="shared" ref="B517:B580" si="55">INT(HEX2DEC(MID(A517,8,2))/2)</f>
        <v>101</v>
      </c>
      <c r="C517" s="3" t="str">
        <f t="shared" si="50"/>
        <v/>
      </c>
      <c r="D517" s="3">
        <f t="shared" si="51"/>
        <v>150</v>
      </c>
      <c r="E517" s="5" t="str">
        <f>IF(C517="",IF(D517="","",IF(D517&lt;128,"Wahl "&amp;D517,INDEX(KdoCodeTab,MATCH(D517,KdoWertTab,0)))),"Status "&amp;C517)</f>
        <v>SpaceWdh</v>
      </c>
      <c r="F517" t="str">
        <f t="shared" si="52"/>
        <v/>
      </c>
      <c r="G517" t="str">
        <f t="shared" si="53"/>
        <v/>
      </c>
      <c r="H517" t="str">
        <f t="shared" si="54"/>
        <v>SpaceWdh</v>
      </c>
    </row>
    <row r="518" spans="1:8" x14ac:dyDescent="0.25">
      <c r="A518" t="s">
        <v>549</v>
      </c>
      <c r="B518" s="3">
        <f t="shared" si="55"/>
        <v>101</v>
      </c>
      <c r="C518" s="3" t="str">
        <f t="shared" si="50"/>
        <v/>
      </c>
      <c r="D518" s="3">
        <f t="shared" si="51"/>
        <v>156</v>
      </c>
      <c r="E518" s="5" t="str">
        <f>IF(C518="",IF(D518="","",IF(D518&lt;128,"Wahl "&amp;D518,INDEX(KdoCodeTab,MATCH(D518,KdoWertTab,0)))),"Status "&amp;C518)</f>
        <v>Mark</v>
      </c>
      <c r="F518" t="str">
        <f t="shared" si="52"/>
        <v/>
      </c>
      <c r="G518" t="str">
        <f t="shared" si="53"/>
        <v/>
      </c>
      <c r="H518" t="str">
        <f t="shared" si="54"/>
        <v>Mark</v>
      </c>
    </row>
    <row r="519" spans="1:8" x14ac:dyDescent="0.25">
      <c r="A519" t="s">
        <v>550</v>
      </c>
      <c r="B519" s="3">
        <f t="shared" si="55"/>
        <v>101</v>
      </c>
      <c r="C519" s="3" t="str">
        <f t="shared" si="50"/>
        <v/>
      </c>
      <c r="D519" s="3">
        <f t="shared" si="51"/>
        <v>154</v>
      </c>
      <c r="E519" s="5" t="str">
        <f>IF(C519="",IF(D519="","",IF(D519&lt;128,"Wahl "&amp;D519,INDEX(KdoCodeTab,MATCH(D519,KdoWertTab,0)))),"Status "&amp;C519)</f>
        <v>MarkWdh</v>
      </c>
      <c r="F519" t="str">
        <f t="shared" si="52"/>
        <v/>
      </c>
      <c r="G519" t="str">
        <f t="shared" si="53"/>
        <v/>
      </c>
      <c r="H519" t="str">
        <f t="shared" si="54"/>
        <v>MarkWdh</v>
      </c>
    </row>
    <row r="520" spans="1:8" x14ac:dyDescent="0.25">
      <c r="A520" t="s">
        <v>551</v>
      </c>
      <c r="B520" s="3">
        <f t="shared" si="55"/>
        <v>101</v>
      </c>
      <c r="C520" s="3" t="str">
        <f t="shared" si="50"/>
        <v/>
      </c>
      <c r="D520" s="3">
        <f t="shared" si="51"/>
        <v>147</v>
      </c>
      <c r="E520" s="5" t="str">
        <f>IF(C520="",IF(D520="","",IF(D520&lt;128,"Wahl "&amp;D520,INDEX(KdoCodeTab,MATCH(D520,KdoWertTab,0)))),"Status "&amp;C520)</f>
        <v>Space</v>
      </c>
      <c r="F520" t="str">
        <f t="shared" si="52"/>
        <v/>
      </c>
      <c r="G520" t="str">
        <f t="shared" si="53"/>
        <v/>
      </c>
      <c r="H520" t="str">
        <f t="shared" si="54"/>
        <v>Space</v>
      </c>
    </row>
    <row r="521" spans="1:8" x14ac:dyDescent="0.25">
      <c r="A521" t="s">
        <v>552</v>
      </c>
      <c r="B521" s="3">
        <f t="shared" si="55"/>
        <v>101</v>
      </c>
      <c r="C521" s="3" t="str">
        <f t="shared" si="50"/>
        <v/>
      </c>
      <c r="D521" s="3">
        <f t="shared" si="51"/>
        <v>150</v>
      </c>
      <c r="E521" s="5" t="str">
        <f>IF(C521="",IF(D521="","",IF(D521&lt;128,"Wahl "&amp;D521,INDEX(KdoCodeTab,MATCH(D521,KdoWertTab,0)))),"Status "&amp;C521)</f>
        <v>SpaceWdh</v>
      </c>
      <c r="F521" t="str">
        <f t="shared" si="52"/>
        <v/>
      </c>
      <c r="G521" t="str">
        <f t="shared" si="53"/>
        <v/>
      </c>
      <c r="H521" t="str">
        <f t="shared" si="54"/>
        <v>SpaceWdh</v>
      </c>
    </row>
    <row r="522" spans="1:8" x14ac:dyDescent="0.25">
      <c r="A522" t="s">
        <v>553</v>
      </c>
      <c r="B522" s="3">
        <f t="shared" si="55"/>
        <v>101</v>
      </c>
      <c r="C522" s="3" t="str">
        <f t="shared" si="50"/>
        <v/>
      </c>
      <c r="D522" s="3">
        <f t="shared" si="51"/>
        <v>156</v>
      </c>
      <c r="E522" s="5" t="str">
        <f>IF(C522="",IF(D522="","",IF(D522&lt;128,"Wahl "&amp;D522,INDEX(KdoCodeTab,MATCH(D522,KdoWertTab,0)))),"Status "&amp;C522)</f>
        <v>Mark</v>
      </c>
      <c r="F522" t="str">
        <f t="shared" si="52"/>
        <v/>
      </c>
      <c r="G522" t="str">
        <f t="shared" si="53"/>
        <v/>
      </c>
      <c r="H522" t="str">
        <f t="shared" si="54"/>
        <v>Mark</v>
      </c>
    </row>
    <row r="523" spans="1:8" x14ac:dyDescent="0.25">
      <c r="A523" t="s">
        <v>554</v>
      </c>
      <c r="B523" s="3">
        <f t="shared" si="55"/>
        <v>101</v>
      </c>
      <c r="C523" s="3" t="str">
        <f t="shared" si="50"/>
        <v/>
      </c>
      <c r="D523" s="3">
        <f t="shared" si="51"/>
        <v>154</v>
      </c>
      <c r="E523" s="5" t="str">
        <f>IF(C523="",IF(D523="","",IF(D523&lt;128,"Wahl "&amp;D523,INDEX(KdoCodeTab,MATCH(D523,KdoWertTab,0)))),"Status "&amp;C523)</f>
        <v>MarkWdh</v>
      </c>
      <c r="F523" t="str">
        <f t="shared" si="52"/>
        <v/>
      </c>
      <c r="G523" t="str">
        <f t="shared" si="53"/>
        <v/>
      </c>
      <c r="H523" t="str">
        <f t="shared" si="54"/>
        <v>MarkWdh</v>
      </c>
    </row>
    <row r="524" spans="1:8" x14ac:dyDescent="0.25">
      <c r="A524" t="s">
        <v>555</v>
      </c>
      <c r="B524" s="3">
        <f t="shared" si="55"/>
        <v>101</v>
      </c>
      <c r="C524" s="3" t="str">
        <f t="shared" si="50"/>
        <v/>
      </c>
      <c r="D524" s="3">
        <f t="shared" si="51"/>
        <v>147</v>
      </c>
      <c r="E524" s="5" t="str">
        <f>IF(C524="",IF(D524="","",IF(D524&lt;128,"Wahl "&amp;D524,INDEX(KdoCodeTab,MATCH(D524,KdoWertTab,0)))),"Status "&amp;C524)</f>
        <v>Space</v>
      </c>
      <c r="F524" t="str">
        <f t="shared" si="52"/>
        <v/>
      </c>
      <c r="G524" t="str">
        <f t="shared" si="53"/>
        <v/>
      </c>
      <c r="H524" t="str">
        <f t="shared" si="54"/>
        <v>Space</v>
      </c>
    </row>
    <row r="525" spans="1:8" x14ac:dyDescent="0.25">
      <c r="A525" t="s">
        <v>556</v>
      </c>
      <c r="B525" s="3">
        <f t="shared" si="55"/>
        <v>101</v>
      </c>
      <c r="C525" s="3" t="str">
        <f t="shared" si="50"/>
        <v/>
      </c>
      <c r="D525" s="3">
        <f t="shared" si="51"/>
        <v>150</v>
      </c>
      <c r="E525" s="5" t="str">
        <f>IF(C525="",IF(D525="","",IF(D525&lt;128,"Wahl "&amp;D525,INDEX(KdoCodeTab,MATCH(D525,KdoWertTab,0)))),"Status "&amp;C525)</f>
        <v>SpaceWdh</v>
      </c>
      <c r="F525" t="str">
        <f t="shared" si="52"/>
        <v/>
      </c>
      <c r="G525" t="str">
        <f t="shared" si="53"/>
        <v/>
      </c>
      <c r="H525" t="str">
        <f t="shared" si="54"/>
        <v>SpaceWdh</v>
      </c>
    </row>
    <row r="526" spans="1:8" x14ac:dyDescent="0.25">
      <c r="A526" t="s">
        <v>557</v>
      </c>
      <c r="B526" s="3">
        <f t="shared" si="55"/>
        <v>19</v>
      </c>
      <c r="C526" s="3" t="str">
        <f t="shared" si="50"/>
        <v/>
      </c>
      <c r="D526" s="3">
        <f t="shared" si="51"/>
        <v>0</v>
      </c>
      <c r="E526" s="5" t="str">
        <f>IF(C526="",IF(D526="","",IF(D526&lt;128,"Wahl "&amp;D526,INDEX(KdoCodeTab,MATCH(D526,KdoWertTab,0)))),"Status "&amp;C526)</f>
        <v>Wahl 0</v>
      </c>
      <c r="F526" t="str">
        <f t="shared" si="52"/>
        <v/>
      </c>
      <c r="G526" t="str">
        <f t="shared" si="53"/>
        <v/>
      </c>
      <c r="H526" t="str">
        <f t="shared" si="54"/>
        <v>Wahl 0</v>
      </c>
    </row>
    <row r="527" spans="1:8" x14ac:dyDescent="0.25">
      <c r="A527" t="s">
        <v>558</v>
      </c>
      <c r="B527" s="3">
        <f t="shared" si="55"/>
        <v>101</v>
      </c>
      <c r="C527" s="3" t="str">
        <f t="shared" si="50"/>
        <v/>
      </c>
      <c r="D527" s="3">
        <f t="shared" si="51"/>
        <v>156</v>
      </c>
      <c r="E527" s="5" t="str">
        <f>IF(C527="",IF(D527="","",IF(D527&lt;128,"Wahl "&amp;D527,INDEX(KdoCodeTab,MATCH(D527,KdoWertTab,0)))),"Status "&amp;C527)</f>
        <v>Mark</v>
      </c>
      <c r="F527" t="str">
        <f t="shared" si="52"/>
        <v/>
      </c>
      <c r="G527" t="str">
        <f t="shared" si="53"/>
        <v/>
      </c>
      <c r="H527" t="str">
        <f t="shared" si="54"/>
        <v>Mark</v>
      </c>
    </row>
    <row r="528" spans="1:8" x14ac:dyDescent="0.25">
      <c r="A528" t="s">
        <v>559</v>
      </c>
      <c r="B528" s="3">
        <f t="shared" si="55"/>
        <v>101</v>
      </c>
      <c r="C528" s="3" t="str">
        <f t="shared" si="50"/>
        <v/>
      </c>
      <c r="D528" s="3">
        <f t="shared" si="51"/>
        <v>154</v>
      </c>
      <c r="E528" s="5" t="str">
        <f>IF(C528="",IF(D528="","",IF(D528&lt;128,"Wahl "&amp;D528,INDEX(KdoCodeTab,MATCH(D528,KdoWertTab,0)))),"Status "&amp;C528)</f>
        <v>MarkWdh</v>
      </c>
      <c r="F528" t="str">
        <f t="shared" si="52"/>
        <v/>
      </c>
      <c r="G528" t="str">
        <f t="shared" si="53"/>
        <v/>
      </c>
      <c r="H528" t="str">
        <f t="shared" si="54"/>
        <v>MarkWdh</v>
      </c>
    </row>
    <row r="529" spans="1:8" x14ac:dyDescent="0.25">
      <c r="A529" t="s">
        <v>560</v>
      </c>
      <c r="B529" s="3">
        <f t="shared" si="55"/>
        <v>101</v>
      </c>
      <c r="C529" s="3" t="str">
        <f t="shared" si="50"/>
        <v/>
      </c>
      <c r="D529" s="3">
        <f t="shared" si="51"/>
        <v>147</v>
      </c>
      <c r="E529" s="5" t="str">
        <f>IF(C529="",IF(D529="","",IF(D529&lt;128,"Wahl "&amp;D529,INDEX(KdoCodeTab,MATCH(D529,KdoWertTab,0)))),"Status "&amp;C529)</f>
        <v>Space</v>
      </c>
      <c r="F529" t="str">
        <f t="shared" si="52"/>
        <v/>
      </c>
      <c r="G529" t="str">
        <f t="shared" si="53"/>
        <v/>
      </c>
      <c r="H529" t="str">
        <f t="shared" si="54"/>
        <v>Space</v>
      </c>
    </row>
    <row r="530" spans="1:8" x14ac:dyDescent="0.25">
      <c r="A530" t="s">
        <v>561</v>
      </c>
      <c r="B530" s="3">
        <f t="shared" si="55"/>
        <v>101</v>
      </c>
      <c r="C530" s="3" t="str">
        <f t="shared" si="50"/>
        <v/>
      </c>
      <c r="D530" s="3">
        <f t="shared" si="51"/>
        <v>150</v>
      </c>
      <c r="E530" s="5" t="str">
        <f>IF(C530="",IF(D530="","",IF(D530&lt;128,"Wahl "&amp;D530,INDEX(KdoCodeTab,MATCH(D530,KdoWertTab,0)))),"Status "&amp;C530)</f>
        <v>SpaceWdh</v>
      </c>
      <c r="F530" t="str">
        <f t="shared" si="52"/>
        <v/>
      </c>
      <c r="G530" t="str">
        <f t="shared" si="53"/>
        <v/>
      </c>
      <c r="H530" t="str">
        <f t="shared" si="54"/>
        <v>SpaceWdh</v>
      </c>
    </row>
    <row r="531" spans="1:8" x14ac:dyDescent="0.25">
      <c r="A531" t="s">
        <v>562</v>
      </c>
      <c r="B531" s="3">
        <f t="shared" si="55"/>
        <v>101</v>
      </c>
      <c r="C531" s="3" t="str">
        <f t="shared" si="50"/>
        <v/>
      </c>
      <c r="D531" s="3">
        <f t="shared" si="51"/>
        <v>156</v>
      </c>
      <c r="E531" s="5" t="str">
        <f>IF(C531="",IF(D531="","",IF(D531&lt;128,"Wahl "&amp;D531,INDEX(KdoCodeTab,MATCH(D531,KdoWertTab,0)))),"Status "&amp;C531)</f>
        <v>Mark</v>
      </c>
      <c r="F531" t="str">
        <f t="shared" si="52"/>
        <v/>
      </c>
      <c r="G531" t="str">
        <f t="shared" si="53"/>
        <v/>
      </c>
      <c r="H531" t="str">
        <f t="shared" si="54"/>
        <v>Mark</v>
      </c>
    </row>
    <row r="532" spans="1:8" x14ac:dyDescent="0.25">
      <c r="A532" t="s">
        <v>563</v>
      </c>
      <c r="B532" s="3">
        <f t="shared" si="55"/>
        <v>101</v>
      </c>
      <c r="C532" s="3" t="str">
        <f t="shared" si="50"/>
        <v/>
      </c>
      <c r="D532" s="3">
        <f t="shared" si="51"/>
        <v>154</v>
      </c>
      <c r="E532" s="5" t="str">
        <f>IF(C532="",IF(D532="","",IF(D532&lt;128,"Wahl "&amp;D532,INDEX(KdoCodeTab,MATCH(D532,KdoWertTab,0)))),"Status "&amp;C532)</f>
        <v>MarkWdh</v>
      </c>
      <c r="F532" t="str">
        <f t="shared" si="52"/>
        <v/>
      </c>
      <c r="G532" t="str">
        <f t="shared" si="53"/>
        <v/>
      </c>
      <c r="H532" t="str">
        <f t="shared" si="54"/>
        <v>MarkWdh</v>
      </c>
    </row>
    <row r="533" spans="1:8" x14ac:dyDescent="0.25">
      <c r="A533" t="s">
        <v>564</v>
      </c>
      <c r="B533" s="3">
        <f t="shared" si="55"/>
        <v>101</v>
      </c>
      <c r="C533" s="3" t="str">
        <f t="shared" si="50"/>
        <v/>
      </c>
      <c r="D533" s="3">
        <f t="shared" si="51"/>
        <v>147</v>
      </c>
      <c r="E533" s="5" t="str">
        <f>IF(C533="",IF(D533="","",IF(D533&lt;128,"Wahl "&amp;D533,INDEX(KdoCodeTab,MATCH(D533,KdoWertTab,0)))),"Status "&amp;C533)</f>
        <v>Space</v>
      </c>
      <c r="F533" t="str">
        <f t="shared" si="52"/>
        <v/>
      </c>
      <c r="G533" t="str">
        <f t="shared" si="53"/>
        <v/>
      </c>
      <c r="H533" t="str">
        <f t="shared" si="54"/>
        <v>Space</v>
      </c>
    </row>
    <row r="534" spans="1:8" x14ac:dyDescent="0.25">
      <c r="A534" t="s">
        <v>565</v>
      </c>
      <c r="B534" s="3">
        <f t="shared" si="55"/>
        <v>101</v>
      </c>
      <c r="C534" s="3" t="str">
        <f t="shared" si="50"/>
        <v/>
      </c>
      <c r="D534" s="3">
        <f t="shared" si="51"/>
        <v>150</v>
      </c>
      <c r="E534" s="5" t="str">
        <f>IF(C534="",IF(D534="","",IF(D534&lt;128,"Wahl "&amp;D534,INDEX(KdoCodeTab,MATCH(D534,KdoWertTab,0)))),"Status "&amp;C534)</f>
        <v>SpaceWdh</v>
      </c>
      <c r="F534" t="str">
        <f t="shared" si="52"/>
        <v/>
      </c>
      <c r="G534" t="str">
        <f t="shared" si="53"/>
        <v/>
      </c>
      <c r="H534" t="str">
        <f t="shared" si="54"/>
        <v>SpaceWdh</v>
      </c>
    </row>
    <row r="535" spans="1:8" x14ac:dyDescent="0.25">
      <c r="A535" t="s">
        <v>566</v>
      </c>
      <c r="B535" s="3">
        <f t="shared" si="55"/>
        <v>101</v>
      </c>
      <c r="C535" s="3" t="str">
        <f t="shared" si="50"/>
        <v/>
      </c>
      <c r="D535" s="3">
        <f t="shared" si="51"/>
        <v>156</v>
      </c>
      <c r="E535" s="5" t="str">
        <f>IF(C535="",IF(D535="","",IF(D535&lt;128,"Wahl "&amp;D535,INDEX(KdoCodeTab,MATCH(D535,KdoWertTab,0)))),"Status "&amp;C535)</f>
        <v>Mark</v>
      </c>
      <c r="F535" t="str">
        <f t="shared" si="52"/>
        <v/>
      </c>
      <c r="G535" t="str">
        <f t="shared" si="53"/>
        <v/>
      </c>
      <c r="H535" t="str">
        <f t="shared" si="54"/>
        <v>Mark</v>
      </c>
    </row>
    <row r="536" spans="1:8" x14ac:dyDescent="0.25">
      <c r="A536" t="s">
        <v>567</v>
      </c>
      <c r="B536" s="3">
        <f t="shared" si="55"/>
        <v>101</v>
      </c>
      <c r="C536" s="3" t="str">
        <f t="shared" si="50"/>
        <v/>
      </c>
      <c r="D536" s="3">
        <f t="shared" si="51"/>
        <v>154</v>
      </c>
      <c r="E536" s="5" t="str">
        <f>IF(C536="",IF(D536="","",IF(D536&lt;128,"Wahl "&amp;D536,INDEX(KdoCodeTab,MATCH(D536,KdoWertTab,0)))),"Status "&amp;C536)</f>
        <v>MarkWdh</v>
      </c>
      <c r="F536" t="str">
        <f t="shared" si="52"/>
        <v/>
      </c>
      <c r="G536" t="str">
        <f t="shared" si="53"/>
        <v/>
      </c>
      <c r="H536" t="str">
        <f t="shared" si="54"/>
        <v>MarkWdh</v>
      </c>
    </row>
    <row r="537" spans="1:8" x14ac:dyDescent="0.25">
      <c r="A537" t="s">
        <v>568</v>
      </c>
      <c r="B537" s="3">
        <f t="shared" si="55"/>
        <v>101</v>
      </c>
      <c r="C537" s="3" t="str">
        <f t="shared" si="50"/>
        <v/>
      </c>
      <c r="D537" s="3">
        <f t="shared" si="51"/>
        <v>147</v>
      </c>
      <c r="E537" s="5" t="str">
        <f>IF(C537="",IF(D537="","",IF(D537&lt;128,"Wahl "&amp;D537,INDEX(KdoCodeTab,MATCH(D537,KdoWertTab,0)))),"Status "&amp;C537)</f>
        <v>Space</v>
      </c>
      <c r="F537" t="str">
        <f t="shared" si="52"/>
        <v/>
      </c>
      <c r="G537" t="str">
        <f t="shared" si="53"/>
        <v/>
      </c>
      <c r="H537" t="str">
        <f t="shared" si="54"/>
        <v>Space</v>
      </c>
    </row>
    <row r="538" spans="1:8" x14ac:dyDescent="0.25">
      <c r="A538" t="s">
        <v>569</v>
      </c>
      <c r="B538" s="3">
        <f t="shared" si="55"/>
        <v>101</v>
      </c>
      <c r="C538" s="3" t="str">
        <f t="shared" si="50"/>
        <v/>
      </c>
      <c r="D538" s="3">
        <f t="shared" si="51"/>
        <v>150</v>
      </c>
      <c r="E538" s="5" t="str">
        <f>IF(C538="",IF(D538="","",IF(D538&lt;128,"Wahl "&amp;D538,INDEX(KdoCodeTab,MATCH(D538,KdoWertTab,0)))),"Status "&amp;C538)</f>
        <v>SpaceWdh</v>
      </c>
      <c r="F538" t="str">
        <f t="shared" si="52"/>
        <v/>
      </c>
      <c r="G538" t="str">
        <f t="shared" si="53"/>
        <v/>
      </c>
      <c r="H538" t="str">
        <f t="shared" si="54"/>
        <v>SpaceWdh</v>
      </c>
    </row>
    <row r="539" spans="1:8" x14ac:dyDescent="0.25">
      <c r="A539" t="s">
        <v>570</v>
      </c>
      <c r="B539" s="3">
        <f t="shared" si="55"/>
        <v>101</v>
      </c>
      <c r="C539" s="3" t="str">
        <f t="shared" si="50"/>
        <v/>
      </c>
      <c r="D539" s="3">
        <f t="shared" si="51"/>
        <v>169</v>
      </c>
      <c r="E539" s="5" t="str">
        <f>IF(C539="",IF(D539="","",IF(D539&lt;128,"Wahl "&amp;D539,INDEX(KdoCodeTab,MATCH(D539,KdoWertTab,0)))),"Status "&amp;C539)</f>
        <v>BusLebenszeichen</v>
      </c>
      <c r="F539" t="str">
        <f t="shared" si="52"/>
        <v/>
      </c>
      <c r="G539" t="str">
        <f t="shared" si="53"/>
        <v/>
      </c>
      <c r="H539" t="str">
        <f t="shared" si="54"/>
        <v>BusLebenszeichen</v>
      </c>
    </row>
    <row r="540" spans="1:8" x14ac:dyDescent="0.25">
      <c r="A540" t="s">
        <v>571</v>
      </c>
      <c r="B540" s="3">
        <f t="shared" si="55"/>
        <v>101</v>
      </c>
      <c r="C540" s="3" t="str">
        <f t="shared" si="50"/>
        <v/>
      </c>
      <c r="D540" s="3">
        <f t="shared" si="51"/>
        <v>156</v>
      </c>
      <c r="E540" s="5" t="str">
        <f>IF(C540="",IF(D540="","",IF(D540&lt;128,"Wahl "&amp;D540,INDEX(KdoCodeTab,MATCH(D540,KdoWertTab,0)))),"Status "&amp;C540)</f>
        <v>Mark</v>
      </c>
      <c r="F540" t="str">
        <f t="shared" si="52"/>
        <v/>
      </c>
      <c r="G540" t="str">
        <f t="shared" si="53"/>
        <v/>
      </c>
      <c r="H540" t="str">
        <f t="shared" si="54"/>
        <v>Mark</v>
      </c>
    </row>
    <row r="541" spans="1:8" x14ac:dyDescent="0.25">
      <c r="A541" t="s">
        <v>572</v>
      </c>
      <c r="B541" s="3">
        <f t="shared" si="55"/>
        <v>101</v>
      </c>
      <c r="C541" s="3" t="str">
        <f t="shared" si="50"/>
        <v/>
      </c>
      <c r="D541" s="3">
        <f t="shared" si="51"/>
        <v>154</v>
      </c>
      <c r="E541" s="5" t="str">
        <f>IF(C541="",IF(D541="","",IF(D541&lt;128,"Wahl "&amp;D541,INDEX(KdoCodeTab,MATCH(D541,KdoWertTab,0)))),"Status "&amp;C541)</f>
        <v>MarkWdh</v>
      </c>
      <c r="F541" t="str">
        <f t="shared" si="52"/>
        <v/>
      </c>
      <c r="G541" t="str">
        <f t="shared" si="53"/>
        <v/>
      </c>
      <c r="H541" t="str">
        <f t="shared" si="54"/>
        <v>MarkWdh</v>
      </c>
    </row>
    <row r="542" spans="1:8" x14ac:dyDescent="0.25">
      <c r="A542" t="s">
        <v>573</v>
      </c>
      <c r="B542" s="3">
        <f t="shared" si="55"/>
        <v>101</v>
      </c>
      <c r="C542" s="3" t="str">
        <f t="shared" si="50"/>
        <v/>
      </c>
      <c r="D542" s="3">
        <f t="shared" si="51"/>
        <v>147</v>
      </c>
      <c r="E542" s="5" t="str">
        <f>IF(C542="",IF(D542="","",IF(D542&lt;128,"Wahl "&amp;D542,INDEX(KdoCodeTab,MATCH(D542,KdoWertTab,0)))),"Status "&amp;C542)</f>
        <v>Space</v>
      </c>
      <c r="F542" t="str">
        <f t="shared" si="52"/>
        <v/>
      </c>
      <c r="G542" t="str">
        <f t="shared" si="53"/>
        <v/>
      </c>
      <c r="H542" t="str">
        <f t="shared" si="54"/>
        <v>Space</v>
      </c>
    </row>
    <row r="543" spans="1:8" x14ac:dyDescent="0.25">
      <c r="A543" t="s">
        <v>574</v>
      </c>
      <c r="B543" s="3">
        <f t="shared" si="55"/>
        <v>101</v>
      </c>
      <c r="C543" s="3" t="str">
        <f t="shared" si="50"/>
        <v/>
      </c>
      <c r="D543" s="3">
        <f t="shared" si="51"/>
        <v>150</v>
      </c>
      <c r="E543" s="5" t="str">
        <f>IF(C543="",IF(D543="","",IF(D543&lt;128,"Wahl "&amp;D543,INDEX(KdoCodeTab,MATCH(D543,KdoWertTab,0)))),"Status "&amp;C543)</f>
        <v>SpaceWdh</v>
      </c>
      <c r="F543" t="str">
        <f t="shared" si="52"/>
        <v/>
      </c>
      <c r="G543" t="str">
        <f t="shared" si="53"/>
        <v/>
      </c>
      <c r="H543" t="str">
        <f t="shared" si="54"/>
        <v>SpaceWdh</v>
      </c>
    </row>
    <row r="544" spans="1:8" x14ac:dyDescent="0.25">
      <c r="A544" t="s">
        <v>575</v>
      </c>
      <c r="B544" s="3">
        <f t="shared" si="55"/>
        <v>101</v>
      </c>
      <c r="C544" s="3" t="str">
        <f t="shared" si="50"/>
        <v/>
      </c>
      <c r="D544" s="3">
        <f t="shared" si="51"/>
        <v>156</v>
      </c>
      <c r="E544" s="5" t="str">
        <f>IF(C544="",IF(D544="","",IF(D544&lt;128,"Wahl "&amp;D544,INDEX(KdoCodeTab,MATCH(D544,KdoWertTab,0)))),"Status "&amp;C544)</f>
        <v>Mark</v>
      </c>
      <c r="F544" t="str">
        <f t="shared" si="52"/>
        <v/>
      </c>
      <c r="G544" t="str">
        <f t="shared" si="53"/>
        <v/>
      </c>
      <c r="H544" t="str">
        <f t="shared" si="54"/>
        <v>Mark</v>
      </c>
    </row>
    <row r="545" spans="1:8" x14ac:dyDescent="0.25">
      <c r="A545" t="s">
        <v>576</v>
      </c>
      <c r="B545" s="3">
        <f t="shared" si="55"/>
        <v>101</v>
      </c>
      <c r="C545" s="3" t="str">
        <f t="shared" si="50"/>
        <v/>
      </c>
      <c r="D545" s="3">
        <f t="shared" si="51"/>
        <v>154</v>
      </c>
      <c r="E545" s="5" t="str">
        <f>IF(C545="",IF(D545="","",IF(D545&lt;128,"Wahl "&amp;D545,INDEX(KdoCodeTab,MATCH(D545,KdoWertTab,0)))),"Status "&amp;C545)</f>
        <v>MarkWdh</v>
      </c>
      <c r="F545" t="str">
        <f t="shared" si="52"/>
        <v/>
      </c>
      <c r="G545" t="str">
        <f t="shared" si="53"/>
        <v/>
      </c>
      <c r="H545" t="str">
        <f t="shared" si="54"/>
        <v>MarkWdh</v>
      </c>
    </row>
    <row r="546" spans="1:8" x14ac:dyDescent="0.25">
      <c r="A546" t="s">
        <v>577</v>
      </c>
      <c r="B546" s="3">
        <f t="shared" si="55"/>
        <v>101</v>
      </c>
      <c r="C546" s="3" t="str">
        <f t="shared" si="50"/>
        <v/>
      </c>
      <c r="D546" s="3">
        <f t="shared" si="51"/>
        <v>147</v>
      </c>
      <c r="E546" s="5" t="str">
        <f>IF(C546="",IF(D546="","",IF(D546&lt;128,"Wahl "&amp;D546,INDEX(KdoCodeTab,MATCH(D546,KdoWertTab,0)))),"Status "&amp;C546)</f>
        <v>Space</v>
      </c>
      <c r="F546" t="str">
        <f t="shared" si="52"/>
        <v/>
      </c>
      <c r="G546" t="str">
        <f t="shared" si="53"/>
        <v/>
      </c>
      <c r="H546" t="str">
        <f t="shared" si="54"/>
        <v>Space</v>
      </c>
    </row>
    <row r="547" spans="1:8" x14ac:dyDescent="0.25">
      <c r="A547" t="s">
        <v>578</v>
      </c>
      <c r="B547" s="3">
        <f t="shared" si="55"/>
        <v>101</v>
      </c>
      <c r="C547" s="3" t="str">
        <f t="shared" si="50"/>
        <v/>
      </c>
      <c r="D547" s="3">
        <f t="shared" si="51"/>
        <v>150</v>
      </c>
      <c r="E547" s="5" t="str">
        <f>IF(C547="",IF(D547="","",IF(D547&lt;128,"Wahl "&amp;D547,INDEX(KdoCodeTab,MATCH(D547,KdoWertTab,0)))),"Status "&amp;C547)</f>
        <v>SpaceWdh</v>
      </c>
      <c r="F547" t="str">
        <f t="shared" si="52"/>
        <v/>
      </c>
      <c r="G547" t="str">
        <f t="shared" si="53"/>
        <v/>
      </c>
      <c r="H547" t="str">
        <f t="shared" si="54"/>
        <v>SpaceWdh</v>
      </c>
    </row>
    <row r="548" spans="1:8" x14ac:dyDescent="0.25">
      <c r="A548" t="s">
        <v>579</v>
      </c>
      <c r="B548" s="3">
        <f t="shared" si="55"/>
        <v>101</v>
      </c>
      <c r="C548" s="3" t="str">
        <f t="shared" si="50"/>
        <v/>
      </c>
      <c r="D548" s="3">
        <f t="shared" si="51"/>
        <v>156</v>
      </c>
      <c r="E548" s="5" t="str">
        <f>IF(C548="",IF(D548="","",IF(D548&lt;128,"Wahl "&amp;D548,INDEX(KdoCodeTab,MATCH(D548,KdoWertTab,0)))),"Status "&amp;C548)</f>
        <v>Mark</v>
      </c>
      <c r="F548" t="str">
        <f t="shared" si="52"/>
        <v/>
      </c>
      <c r="G548" t="str">
        <f t="shared" si="53"/>
        <v/>
      </c>
      <c r="H548" t="str">
        <f t="shared" si="54"/>
        <v>Mark</v>
      </c>
    </row>
    <row r="549" spans="1:8" x14ac:dyDescent="0.25">
      <c r="A549" t="s">
        <v>580</v>
      </c>
      <c r="B549" s="3">
        <f t="shared" si="55"/>
        <v>101</v>
      </c>
      <c r="C549" s="3" t="str">
        <f t="shared" si="50"/>
        <v/>
      </c>
      <c r="D549" s="3">
        <f t="shared" si="51"/>
        <v>154</v>
      </c>
      <c r="E549" s="5" t="str">
        <f>IF(C549="",IF(D549="","",IF(D549&lt;128,"Wahl "&amp;D549,INDEX(KdoCodeTab,MATCH(D549,KdoWertTab,0)))),"Status "&amp;C549)</f>
        <v>MarkWdh</v>
      </c>
      <c r="F549" t="str">
        <f t="shared" si="52"/>
        <v/>
      </c>
      <c r="G549" t="str">
        <f t="shared" si="53"/>
        <v/>
      </c>
      <c r="H549" t="str">
        <f t="shared" si="54"/>
        <v>MarkWdh</v>
      </c>
    </row>
    <row r="550" spans="1:8" x14ac:dyDescent="0.25">
      <c r="A550" t="s">
        <v>581</v>
      </c>
      <c r="B550" s="3">
        <f t="shared" si="55"/>
        <v>101</v>
      </c>
      <c r="C550" s="3" t="str">
        <f t="shared" si="50"/>
        <v/>
      </c>
      <c r="D550" s="3">
        <f t="shared" si="51"/>
        <v>147</v>
      </c>
      <c r="E550" s="5" t="str">
        <f>IF(C550="",IF(D550="","",IF(D550&lt;128,"Wahl "&amp;D550,INDEX(KdoCodeTab,MATCH(D550,KdoWertTab,0)))),"Status "&amp;C550)</f>
        <v>Space</v>
      </c>
      <c r="F550" t="str">
        <f t="shared" si="52"/>
        <v/>
      </c>
      <c r="G550" t="str">
        <f t="shared" si="53"/>
        <v/>
      </c>
      <c r="H550" t="str">
        <f t="shared" si="54"/>
        <v>Space</v>
      </c>
    </row>
    <row r="551" spans="1:8" x14ac:dyDescent="0.25">
      <c r="A551" t="s">
        <v>582</v>
      </c>
      <c r="B551" s="3">
        <f t="shared" si="55"/>
        <v>101</v>
      </c>
      <c r="C551" s="3" t="str">
        <f t="shared" si="50"/>
        <v/>
      </c>
      <c r="D551" s="3">
        <f t="shared" si="51"/>
        <v>150</v>
      </c>
      <c r="E551" s="5" t="str">
        <f>IF(C551="",IF(D551="","",IF(D551&lt;128,"Wahl "&amp;D551,INDEX(KdoCodeTab,MATCH(D551,KdoWertTab,0)))),"Status "&amp;C551)</f>
        <v>SpaceWdh</v>
      </c>
      <c r="F551" t="str">
        <f t="shared" si="52"/>
        <v/>
      </c>
      <c r="G551" t="str">
        <f t="shared" si="53"/>
        <v/>
      </c>
      <c r="H551" t="str">
        <f t="shared" si="54"/>
        <v>SpaceWdh</v>
      </c>
    </row>
    <row r="552" spans="1:8" x14ac:dyDescent="0.25">
      <c r="A552" t="s">
        <v>583</v>
      </c>
      <c r="B552" s="3">
        <f t="shared" si="55"/>
        <v>101</v>
      </c>
      <c r="C552" s="3" t="str">
        <f t="shared" si="50"/>
        <v/>
      </c>
      <c r="D552" s="3">
        <f t="shared" si="51"/>
        <v>156</v>
      </c>
      <c r="E552" s="5" t="str">
        <f>IF(C552="",IF(D552="","",IF(D552&lt;128,"Wahl "&amp;D552,INDEX(KdoCodeTab,MATCH(D552,KdoWertTab,0)))),"Status "&amp;C552)</f>
        <v>Mark</v>
      </c>
      <c r="F552" t="str">
        <f t="shared" si="52"/>
        <v/>
      </c>
      <c r="G552" t="str">
        <f t="shared" si="53"/>
        <v/>
      </c>
      <c r="H552" t="str">
        <f t="shared" si="54"/>
        <v>Mark</v>
      </c>
    </row>
    <row r="553" spans="1:8" x14ac:dyDescent="0.25">
      <c r="A553" t="s">
        <v>584</v>
      </c>
      <c r="B553" s="3">
        <f t="shared" si="55"/>
        <v>101</v>
      </c>
      <c r="C553" s="3" t="str">
        <f t="shared" si="50"/>
        <v/>
      </c>
      <c r="D553" s="3">
        <f t="shared" si="51"/>
        <v>154</v>
      </c>
      <c r="E553" s="5" t="str">
        <f>IF(C553="",IF(D553="","",IF(D553&lt;128,"Wahl "&amp;D553,INDEX(KdoCodeTab,MATCH(D553,KdoWertTab,0)))),"Status "&amp;C553)</f>
        <v>MarkWdh</v>
      </c>
      <c r="F553" t="str">
        <f t="shared" si="52"/>
        <v/>
      </c>
      <c r="G553" t="str">
        <f t="shared" si="53"/>
        <v/>
      </c>
      <c r="H553" t="str">
        <f t="shared" si="54"/>
        <v>MarkWdh</v>
      </c>
    </row>
    <row r="554" spans="1:8" x14ac:dyDescent="0.25">
      <c r="A554" t="s">
        <v>585</v>
      </c>
      <c r="B554" s="3">
        <f t="shared" si="55"/>
        <v>101</v>
      </c>
      <c r="C554" s="3" t="str">
        <f t="shared" si="50"/>
        <v/>
      </c>
      <c r="D554" s="3">
        <f t="shared" si="51"/>
        <v>147</v>
      </c>
      <c r="E554" s="5" t="str">
        <f>IF(C554="",IF(D554="","",IF(D554&lt;128,"Wahl "&amp;D554,INDEX(KdoCodeTab,MATCH(D554,KdoWertTab,0)))),"Status "&amp;C554)</f>
        <v>Space</v>
      </c>
      <c r="F554" t="str">
        <f t="shared" si="52"/>
        <v/>
      </c>
      <c r="G554" t="str">
        <f t="shared" si="53"/>
        <v/>
      </c>
      <c r="H554" t="str">
        <f t="shared" si="54"/>
        <v>Space</v>
      </c>
    </row>
    <row r="555" spans="1:8" x14ac:dyDescent="0.25">
      <c r="A555" t="s">
        <v>586</v>
      </c>
      <c r="B555" s="3">
        <f t="shared" si="55"/>
        <v>101</v>
      </c>
      <c r="C555" s="3" t="str">
        <f t="shared" si="50"/>
        <v/>
      </c>
      <c r="D555" s="3">
        <f t="shared" si="51"/>
        <v>150</v>
      </c>
      <c r="E555" s="5" t="str">
        <f>IF(C555="",IF(D555="","",IF(D555&lt;128,"Wahl "&amp;D555,INDEX(KdoCodeTab,MATCH(D555,KdoWertTab,0)))),"Status "&amp;C555)</f>
        <v>SpaceWdh</v>
      </c>
      <c r="F555" t="str">
        <f t="shared" si="52"/>
        <v/>
      </c>
      <c r="G555" t="str">
        <f t="shared" si="53"/>
        <v/>
      </c>
      <c r="H555" t="str">
        <f t="shared" si="54"/>
        <v>SpaceWdh</v>
      </c>
    </row>
    <row r="556" spans="1:8" x14ac:dyDescent="0.25">
      <c r="A556" t="s">
        <v>587</v>
      </c>
      <c r="B556" s="3">
        <f t="shared" si="55"/>
        <v>31</v>
      </c>
      <c r="C556" s="3" t="str">
        <f t="shared" si="50"/>
        <v/>
      </c>
      <c r="D556" s="3">
        <f t="shared" si="51"/>
        <v>154</v>
      </c>
      <c r="E556" s="5" t="str">
        <f>IF(C556="",IF(D556="","",IF(D556&lt;128,"Wahl "&amp;D556,INDEX(KdoCodeTab,MATCH(D556,KdoWertTab,0)))),"Status "&amp;C556)</f>
        <v>MarkWdh</v>
      </c>
      <c r="F556" t="str">
        <f t="shared" si="52"/>
        <v>MarkWdh</v>
      </c>
      <c r="G556" t="str">
        <f t="shared" si="53"/>
        <v/>
      </c>
      <c r="H556" t="str">
        <f t="shared" si="54"/>
        <v/>
      </c>
    </row>
    <row r="557" spans="1:8" x14ac:dyDescent="0.25">
      <c r="A557" t="s">
        <v>588</v>
      </c>
      <c r="B557" s="3">
        <f t="shared" si="55"/>
        <v>101</v>
      </c>
      <c r="C557" s="3" t="str">
        <f t="shared" si="50"/>
        <v/>
      </c>
      <c r="D557" s="3">
        <f t="shared" si="51"/>
        <v>156</v>
      </c>
      <c r="E557" s="5" t="str">
        <f>IF(C557="",IF(D557="","",IF(D557&lt;128,"Wahl "&amp;D557,INDEX(KdoCodeTab,MATCH(D557,KdoWertTab,0)))),"Status "&amp;C557)</f>
        <v>Mark</v>
      </c>
      <c r="F557" t="str">
        <f t="shared" si="52"/>
        <v/>
      </c>
      <c r="G557" t="str">
        <f t="shared" si="53"/>
        <v/>
      </c>
      <c r="H557" t="str">
        <f t="shared" si="54"/>
        <v>Mark</v>
      </c>
    </row>
    <row r="558" spans="1:8" x14ac:dyDescent="0.25">
      <c r="A558" t="s">
        <v>589</v>
      </c>
      <c r="B558" s="3">
        <f t="shared" si="55"/>
        <v>101</v>
      </c>
      <c r="C558" s="3" t="str">
        <f t="shared" si="50"/>
        <v/>
      </c>
      <c r="D558" s="3">
        <f t="shared" si="51"/>
        <v>154</v>
      </c>
      <c r="E558" s="5" t="str">
        <f>IF(C558="",IF(D558="","",IF(D558&lt;128,"Wahl "&amp;D558,INDEX(KdoCodeTab,MATCH(D558,KdoWertTab,0)))),"Status "&amp;C558)</f>
        <v>MarkWdh</v>
      </c>
      <c r="F558" t="str">
        <f t="shared" si="52"/>
        <v/>
      </c>
      <c r="G558" t="str">
        <f t="shared" si="53"/>
        <v/>
      </c>
      <c r="H558" t="str">
        <f t="shared" si="54"/>
        <v>MarkWdh</v>
      </c>
    </row>
    <row r="559" spans="1:8" x14ac:dyDescent="0.25">
      <c r="A559" t="s">
        <v>590</v>
      </c>
      <c r="B559" s="3">
        <f t="shared" si="55"/>
        <v>101</v>
      </c>
      <c r="C559" s="3" t="str">
        <f t="shared" si="50"/>
        <v/>
      </c>
      <c r="D559" s="3">
        <f t="shared" si="51"/>
        <v>147</v>
      </c>
      <c r="E559" s="5" t="str">
        <f>IF(C559="",IF(D559="","",IF(D559&lt;128,"Wahl "&amp;D559,INDEX(KdoCodeTab,MATCH(D559,KdoWertTab,0)))),"Status "&amp;C559)</f>
        <v>Space</v>
      </c>
      <c r="F559" t="str">
        <f t="shared" si="52"/>
        <v/>
      </c>
      <c r="G559" t="str">
        <f t="shared" si="53"/>
        <v/>
      </c>
      <c r="H559" t="str">
        <f t="shared" si="54"/>
        <v>Space</v>
      </c>
    </row>
    <row r="560" spans="1:8" x14ac:dyDescent="0.25">
      <c r="A560" t="s">
        <v>591</v>
      </c>
      <c r="B560" s="3">
        <f t="shared" si="55"/>
        <v>101</v>
      </c>
      <c r="C560" s="3" t="str">
        <f t="shared" si="50"/>
        <v/>
      </c>
      <c r="D560" s="3">
        <f t="shared" si="51"/>
        <v>150</v>
      </c>
      <c r="E560" s="5" t="str">
        <f>IF(C560="",IF(D560="","",IF(D560&lt;128,"Wahl "&amp;D560,INDEX(KdoCodeTab,MATCH(D560,KdoWertTab,0)))),"Status "&amp;C560)</f>
        <v>SpaceWdh</v>
      </c>
      <c r="F560" t="str">
        <f t="shared" si="52"/>
        <v/>
      </c>
      <c r="G560" t="str">
        <f t="shared" si="53"/>
        <v/>
      </c>
      <c r="H560" t="str">
        <f t="shared" si="54"/>
        <v>SpaceWdh</v>
      </c>
    </row>
    <row r="561" spans="1:8" x14ac:dyDescent="0.25">
      <c r="A561" t="s">
        <v>592</v>
      </c>
      <c r="B561" s="3">
        <f t="shared" si="55"/>
        <v>101</v>
      </c>
      <c r="C561" s="3" t="str">
        <f t="shared" si="50"/>
        <v/>
      </c>
      <c r="D561" s="3">
        <f t="shared" si="51"/>
        <v>156</v>
      </c>
      <c r="E561" s="5" t="str">
        <f>IF(C561="",IF(D561="","",IF(D561&lt;128,"Wahl "&amp;D561,INDEX(KdoCodeTab,MATCH(D561,KdoWertTab,0)))),"Status "&amp;C561)</f>
        <v>Mark</v>
      </c>
      <c r="F561" t="str">
        <f t="shared" si="52"/>
        <v/>
      </c>
      <c r="G561" t="str">
        <f t="shared" si="53"/>
        <v/>
      </c>
      <c r="H561" t="str">
        <f t="shared" si="54"/>
        <v>Mark</v>
      </c>
    </row>
    <row r="562" spans="1:8" x14ac:dyDescent="0.25">
      <c r="A562" t="s">
        <v>593</v>
      </c>
      <c r="B562" s="3">
        <f t="shared" si="55"/>
        <v>101</v>
      </c>
      <c r="C562" s="3" t="str">
        <f t="shared" si="50"/>
        <v/>
      </c>
      <c r="D562" s="3">
        <f t="shared" si="51"/>
        <v>154</v>
      </c>
      <c r="E562" s="5" t="str">
        <f>IF(C562="",IF(D562="","",IF(D562&lt;128,"Wahl "&amp;D562,INDEX(KdoCodeTab,MATCH(D562,KdoWertTab,0)))),"Status "&amp;C562)</f>
        <v>MarkWdh</v>
      </c>
      <c r="F562" t="str">
        <f t="shared" si="52"/>
        <v/>
      </c>
      <c r="G562" t="str">
        <f t="shared" si="53"/>
        <v/>
      </c>
      <c r="H562" t="str">
        <f t="shared" si="54"/>
        <v>MarkWdh</v>
      </c>
    </row>
    <row r="563" spans="1:8" x14ac:dyDescent="0.25">
      <c r="A563" t="s">
        <v>594</v>
      </c>
      <c r="B563" s="3">
        <f t="shared" si="55"/>
        <v>101</v>
      </c>
      <c r="C563" s="3" t="str">
        <f t="shared" si="50"/>
        <v/>
      </c>
      <c r="D563" s="3">
        <f t="shared" si="51"/>
        <v>147</v>
      </c>
      <c r="E563" s="5" t="str">
        <f>IF(C563="",IF(D563="","",IF(D563&lt;128,"Wahl "&amp;D563,INDEX(KdoCodeTab,MATCH(D563,KdoWertTab,0)))),"Status "&amp;C563)</f>
        <v>Space</v>
      </c>
      <c r="F563" t="str">
        <f t="shared" si="52"/>
        <v/>
      </c>
      <c r="G563" t="str">
        <f t="shared" si="53"/>
        <v/>
      </c>
      <c r="H563" t="str">
        <f t="shared" si="54"/>
        <v>Space</v>
      </c>
    </row>
    <row r="564" spans="1:8" x14ac:dyDescent="0.25">
      <c r="A564" t="s">
        <v>595</v>
      </c>
      <c r="B564" s="3">
        <f t="shared" si="55"/>
        <v>101</v>
      </c>
      <c r="C564" s="3" t="str">
        <f t="shared" si="50"/>
        <v/>
      </c>
      <c r="D564" s="3">
        <f t="shared" si="51"/>
        <v>150</v>
      </c>
      <c r="E564" s="5" t="str">
        <f>IF(C564="",IF(D564="","",IF(D564&lt;128,"Wahl "&amp;D564,INDEX(KdoCodeTab,MATCH(D564,KdoWertTab,0)))),"Status "&amp;C564)</f>
        <v>SpaceWdh</v>
      </c>
      <c r="F564" t="str">
        <f t="shared" si="52"/>
        <v/>
      </c>
      <c r="G564" t="str">
        <f t="shared" si="53"/>
        <v/>
      </c>
      <c r="H564" t="str">
        <f t="shared" si="54"/>
        <v>SpaceWdh</v>
      </c>
    </row>
    <row r="565" spans="1:8" x14ac:dyDescent="0.25">
      <c r="A565" t="s">
        <v>596</v>
      </c>
      <c r="B565" s="3">
        <f t="shared" si="55"/>
        <v>101</v>
      </c>
      <c r="C565" s="3" t="str">
        <f t="shared" si="50"/>
        <v/>
      </c>
      <c r="D565" s="3">
        <f t="shared" si="51"/>
        <v>156</v>
      </c>
      <c r="E565" s="5" t="str">
        <f>IF(C565="",IF(D565="","",IF(D565&lt;128,"Wahl "&amp;D565,INDEX(KdoCodeTab,MATCH(D565,KdoWertTab,0)))),"Status "&amp;C565)</f>
        <v>Mark</v>
      </c>
      <c r="F565" t="str">
        <f t="shared" si="52"/>
        <v/>
      </c>
      <c r="G565" t="str">
        <f t="shared" si="53"/>
        <v/>
      </c>
      <c r="H565" t="str">
        <f t="shared" si="54"/>
        <v>Mark</v>
      </c>
    </row>
    <row r="566" spans="1:8" x14ac:dyDescent="0.25">
      <c r="A566" t="s">
        <v>597</v>
      </c>
      <c r="B566" s="3">
        <f t="shared" si="55"/>
        <v>101</v>
      </c>
      <c r="C566" s="3" t="str">
        <f t="shared" si="50"/>
        <v/>
      </c>
      <c r="D566" s="3">
        <f t="shared" si="51"/>
        <v>154</v>
      </c>
      <c r="E566" s="5" t="str">
        <f>IF(C566="",IF(D566="","",IF(D566&lt;128,"Wahl "&amp;D566,INDEX(KdoCodeTab,MATCH(D566,KdoWertTab,0)))),"Status "&amp;C566)</f>
        <v>MarkWdh</v>
      </c>
      <c r="F566" t="str">
        <f t="shared" si="52"/>
        <v/>
      </c>
      <c r="G566" t="str">
        <f t="shared" si="53"/>
        <v/>
      </c>
      <c r="H566" t="str">
        <f t="shared" si="54"/>
        <v>MarkWdh</v>
      </c>
    </row>
    <row r="567" spans="1:8" x14ac:dyDescent="0.25">
      <c r="A567" t="s">
        <v>598</v>
      </c>
      <c r="B567" s="3">
        <f t="shared" si="55"/>
        <v>101</v>
      </c>
      <c r="C567" s="3" t="str">
        <f t="shared" si="50"/>
        <v/>
      </c>
      <c r="D567" s="3">
        <f t="shared" si="51"/>
        <v>147</v>
      </c>
      <c r="E567" s="5" t="str">
        <f>IF(C567="",IF(D567="","",IF(D567&lt;128,"Wahl "&amp;D567,INDEX(KdoCodeTab,MATCH(D567,KdoWertTab,0)))),"Status "&amp;C567)</f>
        <v>Space</v>
      </c>
      <c r="F567" t="str">
        <f t="shared" si="52"/>
        <v/>
      </c>
      <c r="G567" t="str">
        <f t="shared" si="53"/>
        <v/>
      </c>
      <c r="H567" t="str">
        <f t="shared" si="54"/>
        <v>Space</v>
      </c>
    </row>
    <row r="568" spans="1:8" x14ac:dyDescent="0.25">
      <c r="A568" t="s">
        <v>599</v>
      </c>
      <c r="B568" s="3">
        <f t="shared" si="55"/>
        <v>101</v>
      </c>
      <c r="C568" s="3" t="str">
        <f t="shared" si="50"/>
        <v/>
      </c>
      <c r="D568" s="3">
        <f t="shared" si="51"/>
        <v>150</v>
      </c>
      <c r="E568" s="5" t="str">
        <f>IF(C568="",IF(D568="","",IF(D568&lt;128,"Wahl "&amp;D568,INDEX(KdoCodeTab,MATCH(D568,KdoWertTab,0)))),"Status "&amp;C568)</f>
        <v>SpaceWdh</v>
      </c>
      <c r="F568" t="str">
        <f t="shared" si="52"/>
        <v/>
      </c>
      <c r="G568" t="str">
        <f t="shared" si="53"/>
        <v/>
      </c>
      <c r="H568" t="str">
        <f t="shared" si="54"/>
        <v>SpaceWdh</v>
      </c>
    </row>
    <row r="569" spans="1:8" x14ac:dyDescent="0.25">
      <c r="A569" t="s">
        <v>600</v>
      </c>
      <c r="B569" s="3">
        <f t="shared" si="55"/>
        <v>101</v>
      </c>
      <c r="C569" s="3" t="str">
        <f t="shared" si="50"/>
        <v/>
      </c>
      <c r="D569" s="3">
        <f t="shared" si="51"/>
        <v>156</v>
      </c>
      <c r="E569" s="5" t="str">
        <f>IF(C569="",IF(D569="","",IF(D569&lt;128,"Wahl "&amp;D569,INDEX(KdoCodeTab,MATCH(D569,KdoWertTab,0)))),"Status "&amp;C569)</f>
        <v>Mark</v>
      </c>
      <c r="F569" t="str">
        <f t="shared" si="52"/>
        <v/>
      </c>
      <c r="G569" t="str">
        <f t="shared" si="53"/>
        <v/>
      </c>
      <c r="H569" t="str">
        <f t="shared" si="54"/>
        <v>Mark</v>
      </c>
    </row>
    <row r="570" spans="1:8" x14ac:dyDescent="0.25">
      <c r="A570" t="s">
        <v>601</v>
      </c>
      <c r="B570" s="3">
        <f t="shared" si="55"/>
        <v>101</v>
      </c>
      <c r="C570" s="3" t="str">
        <f t="shared" si="50"/>
        <v/>
      </c>
      <c r="D570" s="3">
        <f t="shared" si="51"/>
        <v>154</v>
      </c>
      <c r="E570" s="5" t="str">
        <f>IF(C570="",IF(D570="","",IF(D570&lt;128,"Wahl "&amp;D570,INDEX(KdoCodeTab,MATCH(D570,KdoWertTab,0)))),"Status "&amp;C570)</f>
        <v>MarkWdh</v>
      </c>
      <c r="F570" t="str">
        <f t="shared" si="52"/>
        <v/>
      </c>
      <c r="G570" t="str">
        <f t="shared" si="53"/>
        <v/>
      </c>
      <c r="H570" t="str">
        <f t="shared" si="54"/>
        <v>MarkWdh</v>
      </c>
    </row>
    <row r="571" spans="1:8" x14ac:dyDescent="0.25">
      <c r="A571" t="s">
        <v>602</v>
      </c>
      <c r="B571" s="3">
        <f t="shared" si="55"/>
        <v>101</v>
      </c>
      <c r="C571" s="3" t="str">
        <f t="shared" ref="C571:C634" si="56">IF(MID(A571,10,1)="&lt;",MID(A571,12,2),"")</f>
        <v/>
      </c>
      <c r="D571" s="3">
        <f t="shared" ref="D571:D634" si="57">IF(MID(A571,10,1)="&gt;",HEX2DEC(MID(A571,12,2)),"")</f>
        <v>147</v>
      </c>
      <c r="E571" s="5" t="str">
        <f>IF(C571="",IF(D571="","",IF(D571&lt;128,"Wahl "&amp;D571,INDEX(KdoCodeTab,MATCH(D571,KdoWertTab,0)))),"Status "&amp;C571)</f>
        <v>Space</v>
      </c>
      <c r="F571" t="str">
        <f t="shared" ref="F571:F634" si="58">IF(B571=$F$2,E571,"")</f>
        <v/>
      </c>
      <c r="G571" t="str">
        <f t="shared" ref="G571:G634" si="59">IF(B571=$G$2,E571,"")</f>
        <v/>
      </c>
      <c r="H571" t="str">
        <f t="shared" ref="H571:H634" si="60">IF(F571&amp;G571="",E571,"")</f>
        <v>Space</v>
      </c>
    </row>
    <row r="572" spans="1:8" x14ac:dyDescent="0.25">
      <c r="A572" t="s">
        <v>603</v>
      </c>
      <c r="B572" s="3">
        <f t="shared" si="55"/>
        <v>101</v>
      </c>
      <c r="C572" s="3" t="str">
        <f t="shared" si="56"/>
        <v/>
      </c>
      <c r="D572" s="3">
        <f t="shared" si="57"/>
        <v>150</v>
      </c>
      <c r="E572" s="5" t="str">
        <f>IF(C572="",IF(D572="","",IF(D572&lt;128,"Wahl "&amp;D572,INDEX(KdoCodeTab,MATCH(D572,KdoWertTab,0)))),"Status "&amp;C572)</f>
        <v>SpaceWdh</v>
      </c>
      <c r="F572" t="str">
        <f t="shared" si="58"/>
        <v/>
      </c>
      <c r="G572" t="str">
        <f t="shared" si="59"/>
        <v/>
      </c>
      <c r="H572" t="str">
        <f t="shared" si="60"/>
        <v>SpaceWdh</v>
      </c>
    </row>
    <row r="573" spans="1:8" x14ac:dyDescent="0.25">
      <c r="A573" t="s">
        <v>604</v>
      </c>
      <c r="B573" s="3">
        <f t="shared" si="55"/>
        <v>101</v>
      </c>
      <c r="C573" s="3" t="str">
        <f t="shared" si="56"/>
        <v/>
      </c>
      <c r="D573" s="3">
        <f t="shared" si="57"/>
        <v>156</v>
      </c>
      <c r="E573" s="5" t="str">
        <f>IF(C573="",IF(D573="","",IF(D573&lt;128,"Wahl "&amp;D573,INDEX(KdoCodeTab,MATCH(D573,KdoWertTab,0)))),"Status "&amp;C573)</f>
        <v>Mark</v>
      </c>
      <c r="F573" t="str">
        <f t="shared" si="58"/>
        <v/>
      </c>
      <c r="G573" t="str">
        <f t="shared" si="59"/>
        <v/>
      </c>
      <c r="H573" t="str">
        <f t="shared" si="60"/>
        <v>Mark</v>
      </c>
    </row>
    <row r="574" spans="1:8" x14ac:dyDescent="0.25">
      <c r="A574" t="s">
        <v>605</v>
      </c>
      <c r="B574" s="3">
        <f t="shared" si="55"/>
        <v>101</v>
      </c>
      <c r="C574" s="3" t="str">
        <f t="shared" si="56"/>
        <v/>
      </c>
      <c r="D574" s="3">
        <f t="shared" si="57"/>
        <v>154</v>
      </c>
      <c r="E574" s="5" t="str">
        <f>IF(C574="",IF(D574="","",IF(D574&lt;128,"Wahl "&amp;D574,INDEX(KdoCodeTab,MATCH(D574,KdoWertTab,0)))),"Status "&amp;C574)</f>
        <v>MarkWdh</v>
      </c>
      <c r="F574" t="str">
        <f t="shared" si="58"/>
        <v/>
      </c>
      <c r="G574" t="str">
        <f t="shared" si="59"/>
        <v/>
      </c>
      <c r="H574" t="str">
        <f t="shared" si="60"/>
        <v>MarkWdh</v>
      </c>
    </row>
    <row r="575" spans="1:8" x14ac:dyDescent="0.25">
      <c r="A575" t="s">
        <v>606</v>
      </c>
      <c r="B575" s="3">
        <f t="shared" si="55"/>
        <v>101</v>
      </c>
      <c r="C575" s="3" t="str">
        <f t="shared" si="56"/>
        <v/>
      </c>
      <c r="D575" s="3">
        <f t="shared" si="57"/>
        <v>147</v>
      </c>
      <c r="E575" s="5" t="str">
        <f>IF(C575="",IF(D575="","",IF(D575&lt;128,"Wahl "&amp;D575,INDEX(KdoCodeTab,MATCH(D575,KdoWertTab,0)))),"Status "&amp;C575)</f>
        <v>Space</v>
      </c>
      <c r="F575" t="str">
        <f t="shared" si="58"/>
        <v/>
      </c>
      <c r="G575" t="str">
        <f t="shared" si="59"/>
        <v/>
      </c>
      <c r="H575" t="str">
        <f t="shared" si="60"/>
        <v>Space</v>
      </c>
    </row>
    <row r="576" spans="1:8" x14ac:dyDescent="0.25">
      <c r="A576" t="s">
        <v>607</v>
      </c>
      <c r="B576" s="3">
        <f t="shared" si="55"/>
        <v>101</v>
      </c>
      <c r="C576" s="3" t="str">
        <f t="shared" si="56"/>
        <v/>
      </c>
      <c r="D576" s="3">
        <f t="shared" si="57"/>
        <v>150</v>
      </c>
      <c r="E576" s="5" t="str">
        <f>IF(C576="",IF(D576="","",IF(D576&lt;128,"Wahl "&amp;D576,INDEX(KdoCodeTab,MATCH(D576,KdoWertTab,0)))),"Status "&amp;C576)</f>
        <v>SpaceWdh</v>
      </c>
      <c r="F576" t="str">
        <f t="shared" si="58"/>
        <v/>
      </c>
      <c r="G576" t="str">
        <f t="shared" si="59"/>
        <v/>
      </c>
      <c r="H576" t="str">
        <f t="shared" si="60"/>
        <v>SpaceWdh</v>
      </c>
    </row>
    <row r="577" spans="1:8" x14ac:dyDescent="0.25">
      <c r="A577" t="s">
        <v>608</v>
      </c>
      <c r="B577" s="3">
        <f t="shared" si="55"/>
        <v>101</v>
      </c>
      <c r="C577" s="3" t="str">
        <f t="shared" si="56"/>
        <v/>
      </c>
      <c r="D577" s="3">
        <f t="shared" si="57"/>
        <v>156</v>
      </c>
      <c r="E577" s="5" t="str">
        <f>IF(C577="",IF(D577="","",IF(D577&lt;128,"Wahl "&amp;D577,INDEX(KdoCodeTab,MATCH(D577,KdoWertTab,0)))),"Status "&amp;C577)</f>
        <v>Mark</v>
      </c>
      <c r="F577" t="str">
        <f t="shared" si="58"/>
        <v/>
      </c>
      <c r="G577" t="str">
        <f t="shared" si="59"/>
        <v/>
      </c>
      <c r="H577" t="str">
        <f t="shared" si="60"/>
        <v>Mark</v>
      </c>
    </row>
    <row r="578" spans="1:8" x14ac:dyDescent="0.25">
      <c r="A578" t="s">
        <v>609</v>
      </c>
      <c r="B578" s="3">
        <f t="shared" si="55"/>
        <v>101</v>
      </c>
      <c r="C578" s="3" t="str">
        <f t="shared" si="56"/>
        <v/>
      </c>
      <c r="D578" s="3">
        <f t="shared" si="57"/>
        <v>154</v>
      </c>
      <c r="E578" s="5" t="str">
        <f>IF(C578="",IF(D578="","",IF(D578&lt;128,"Wahl "&amp;D578,INDEX(KdoCodeTab,MATCH(D578,KdoWertTab,0)))),"Status "&amp;C578)</f>
        <v>MarkWdh</v>
      </c>
      <c r="F578" t="str">
        <f t="shared" si="58"/>
        <v/>
      </c>
      <c r="G578" t="str">
        <f t="shared" si="59"/>
        <v/>
      </c>
      <c r="H578" t="str">
        <f t="shared" si="60"/>
        <v>MarkWdh</v>
      </c>
    </row>
    <row r="579" spans="1:8" x14ac:dyDescent="0.25">
      <c r="A579" t="s">
        <v>610</v>
      </c>
      <c r="B579" s="3">
        <f t="shared" si="55"/>
        <v>101</v>
      </c>
      <c r="C579" s="3" t="str">
        <f t="shared" si="56"/>
        <v/>
      </c>
      <c r="D579" s="3">
        <f t="shared" si="57"/>
        <v>147</v>
      </c>
      <c r="E579" s="5" t="str">
        <f>IF(C579="",IF(D579="","",IF(D579&lt;128,"Wahl "&amp;D579,INDEX(KdoCodeTab,MATCH(D579,KdoWertTab,0)))),"Status "&amp;C579)</f>
        <v>Space</v>
      </c>
      <c r="F579" t="str">
        <f t="shared" si="58"/>
        <v/>
      </c>
      <c r="G579" t="str">
        <f t="shared" si="59"/>
        <v/>
      </c>
      <c r="H579" t="str">
        <f t="shared" si="60"/>
        <v>Space</v>
      </c>
    </row>
    <row r="580" spans="1:8" x14ac:dyDescent="0.25">
      <c r="A580" t="s">
        <v>611</v>
      </c>
      <c r="B580" s="3">
        <f t="shared" si="55"/>
        <v>101</v>
      </c>
      <c r="C580" s="3" t="str">
        <f t="shared" si="56"/>
        <v/>
      </c>
      <c r="D580" s="3">
        <f t="shared" si="57"/>
        <v>150</v>
      </c>
      <c r="E580" s="5" t="str">
        <f>IF(C580="",IF(D580="","",IF(D580&lt;128,"Wahl "&amp;D580,INDEX(KdoCodeTab,MATCH(D580,KdoWertTab,0)))),"Status "&amp;C580)</f>
        <v>SpaceWdh</v>
      </c>
      <c r="F580" t="str">
        <f t="shared" si="58"/>
        <v/>
      </c>
      <c r="G580" t="str">
        <f t="shared" si="59"/>
        <v/>
      </c>
      <c r="H580" t="str">
        <f t="shared" si="60"/>
        <v>SpaceWdh</v>
      </c>
    </row>
    <row r="581" spans="1:8" x14ac:dyDescent="0.25">
      <c r="A581" t="s">
        <v>612</v>
      </c>
      <c r="B581" s="3">
        <f t="shared" ref="B581:B644" si="61">INT(HEX2DEC(MID(A581,8,2))/2)</f>
        <v>101</v>
      </c>
      <c r="C581" s="3" t="str">
        <f t="shared" si="56"/>
        <v/>
      </c>
      <c r="D581" s="3">
        <f t="shared" si="57"/>
        <v>169</v>
      </c>
      <c r="E581" s="5" t="str">
        <f>IF(C581="",IF(D581="","",IF(D581&lt;128,"Wahl "&amp;D581,INDEX(KdoCodeTab,MATCH(D581,KdoWertTab,0)))),"Status "&amp;C581)</f>
        <v>BusLebenszeichen</v>
      </c>
      <c r="F581" t="str">
        <f t="shared" si="58"/>
        <v/>
      </c>
      <c r="G581" t="str">
        <f t="shared" si="59"/>
        <v/>
      </c>
      <c r="H581" t="str">
        <f t="shared" si="60"/>
        <v>BusLebenszeichen</v>
      </c>
    </row>
    <row r="582" spans="1:8" x14ac:dyDescent="0.25">
      <c r="A582" t="s">
        <v>613</v>
      </c>
      <c r="B582" s="3">
        <f t="shared" si="61"/>
        <v>101</v>
      </c>
      <c r="C582" s="3" t="str">
        <f t="shared" si="56"/>
        <v/>
      </c>
      <c r="D582" s="3">
        <f t="shared" si="57"/>
        <v>156</v>
      </c>
      <c r="E582" s="5" t="str">
        <f>IF(C582="",IF(D582="","",IF(D582&lt;128,"Wahl "&amp;D582,INDEX(KdoCodeTab,MATCH(D582,KdoWertTab,0)))),"Status "&amp;C582)</f>
        <v>Mark</v>
      </c>
      <c r="F582" t="str">
        <f t="shared" si="58"/>
        <v/>
      </c>
      <c r="G582" t="str">
        <f t="shared" si="59"/>
        <v/>
      </c>
      <c r="H582" t="str">
        <f t="shared" si="60"/>
        <v>Mark</v>
      </c>
    </row>
    <row r="583" spans="1:8" x14ac:dyDescent="0.25">
      <c r="A583" t="s">
        <v>614</v>
      </c>
      <c r="B583" s="3">
        <f t="shared" si="61"/>
        <v>101</v>
      </c>
      <c r="C583" s="3" t="str">
        <f t="shared" si="56"/>
        <v/>
      </c>
      <c r="D583" s="3">
        <f t="shared" si="57"/>
        <v>154</v>
      </c>
      <c r="E583" s="5" t="str">
        <f>IF(C583="",IF(D583="","",IF(D583&lt;128,"Wahl "&amp;D583,INDEX(KdoCodeTab,MATCH(D583,KdoWertTab,0)))),"Status "&amp;C583)</f>
        <v>MarkWdh</v>
      </c>
      <c r="F583" t="str">
        <f t="shared" si="58"/>
        <v/>
      </c>
      <c r="G583" t="str">
        <f t="shared" si="59"/>
        <v/>
      </c>
      <c r="H583" t="str">
        <f t="shared" si="60"/>
        <v>MarkWdh</v>
      </c>
    </row>
    <row r="584" spans="1:8" x14ac:dyDescent="0.25">
      <c r="A584" t="s">
        <v>615</v>
      </c>
      <c r="B584" s="3">
        <f t="shared" si="61"/>
        <v>31</v>
      </c>
      <c r="C584" s="3" t="str">
        <f t="shared" si="56"/>
        <v/>
      </c>
      <c r="D584" s="3">
        <f t="shared" si="57"/>
        <v>154</v>
      </c>
      <c r="E584" s="5" t="str">
        <f>IF(C584="",IF(D584="","",IF(D584&lt;128,"Wahl "&amp;D584,INDEX(KdoCodeTab,MATCH(D584,KdoWertTab,0)))),"Status "&amp;C584)</f>
        <v>MarkWdh</v>
      </c>
      <c r="F584" t="str">
        <f t="shared" si="58"/>
        <v>MarkWdh</v>
      </c>
      <c r="G584" t="str">
        <f t="shared" si="59"/>
        <v/>
      </c>
      <c r="H584" t="str">
        <f t="shared" si="60"/>
        <v/>
      </c>
    </row>
    <row r="585" spans="1:8" x14ac:dyDescent="0.25">
      <c r="A585" t="s">
        <v>616</v>
      </c>
      <c r="B585" s="3">
        <f t="shared" si="61"/>
        <v>31</v>
      </c>
      <c r="C585" s="3" t="str">
        <f t="shared" si="56"/>
        <v/>
      </c>
      <c r="D585" s="3">
        <f t="shared" si="57"/>
        <v>154</v>
      </c>
      <c r="E585" s="5" t="str">
        <f>IF(C585="",IF(D585="","",IF(D585&lt;128,"Wahl "&amp;D585,INDEX(KdoCodeTab,MATCH(D585,KdoWertTab,0)))),"Status "&amp;C585)</f>
        <v>MarkWdh</v>
      </c>
      <c r="F585" t="str">
        <f t="shared" si="58"/>
        <v>MarkWdh</v>
      </c>
      <c r="G585" t="str">
        <f t="shared" si="59"/>
        <v/>
      </c>
      <c r="H585" t="str">
        <f t="shared" si="60"/>
        <v/>
      </c>
    </row>
    <row r="586" spans="1:8" x14ac:dyDescent="0.25">
      <c r="A586" t="s">
        <v>617</v>
      </c>
      <c r="B586" s="3">
        <f t="shared" si="61"/>
        <v>101</v>
      </c>
      <c r="C586" s="3" t="str">
        <f t="shared" si="56"/>
        <v/>
      </c>
      <c r="D586" s="3">
        <f t="shared" si="57"/>
        <v>169</v>
      </c>
      <c r="E586" s="5" t="str">
        <f>IF(C586="",IF(D586="","",IF(D586&lt;128,"Wahl "&amp;D586,INDEX(KdoCodeTab,MATCH(D586,KdoWertTab,0)))),"Status "&amp;C586)</f>
        <v>BusLebenszeichen</v>
      </c>
      <c r="F586" t="str">
        <f t="shared" si="58"/>
        <v/>
      </c>
      <c r="G586" t="str">
        <f t="shared" si="59"/>
        <v/>
      </c>
      <c r="H586" t="str">
        <f t="shared" si="60"/>
        <v>BusLebenszeichen</v>
      </c>
    </row>
    <row r="587" spans="1:8" x14ac:dyDescent="0.25">
      <c r="A587" t="s">
        <v>618</v>
      </c>
      <c r="B587" s="3">
        <f t="shared" si="61"/>
        <v>101</v>
      </c>
      <c r="C587" s="3" t="str">
        <f t="shared" si="56"/>
        <v/>
      </c>
      <c r="D587" s="3">
        <f t="shared" si="57"/>
        <v>147</v>
      </c>
      <c r="E587" s="5" t="str">
        <f>IF(C587="",IF(D587="","",IF(D587&lt;128,"Wahl "&amp;D587,INDEX(KdoCodeTab,MATCH(D587,KdoWertTab,0)))),"Status "&amp;C587)</f>
        <v>Space</v>
      </c>
      <c r="F587" t="str">
        <f t="shared" si="58"/>
        <v/>
      </c>
      <c r="G587" t="str">
        <f t="shared" si="59"/>
        <v/>
      </c>
      <c r="H587" t="str">
        <f t="shared" si="60"/>
        <v>Space</v>
      </c>
    </row>
    <row r="588" spans="1:8" x14ac:dyDescent="0.25">
      <c r="A588" t="s">
        <v>619</v>
      </c>
      <c r="B588" s="3">
        <f t="shared" si="61"/>
        <v>101</v>
      </c>
      <c r="C588" s="3" t="str">
        <f t="shared" si="56"/>
        <v/>
      </c>
      <c r="D588" s="3">
        <f t="shared" si="57"/>
        <v>150</v>
      </c>
      <c r="E588" s="5" t="str">
        <f>IF(C588="",IF(D588="","",IF(D588&lt;128,"Wahl "&amp;D588,INDEX(KdoCodeTab,MATCH(D588,KdoWertTab,0)))),"Status "&amp;C588)</f>
        <v>SpaceWdh</v>
      </c>
      <c r="F588" t="str">
        <f t="shared" si="58"/>
        <v/>
      </c>
      <c r="G588" t="str">
        <f t="shared" si="59"/>
        <v/>
      </c>
      <c r="H588" t="str">
        <f t="shared" si="60"/>
        <v>SpaceWdh</v>
      </c>
    </row>
    <row r="589" spans="1:8" x14ac:dyDescent="0.25">
      <c r="A589" t="s">
        <v>620</v>
      </c>
      <c r="B589" s="3">
        <f t="shared" si="61"/>
        <v>101</v>
      </c>
      <c r="C589" s="3" t="str">
        <f t="shared" si="56"/>
        <v/>
      </c>
      <c r="D589" s="3">
        <f t="shared" si="57"/>
        <v>156</v>
      </c>
      <c r="E589" s="5" t="str">
        <f>IF(C589="",IF(D589="","",IF(D589&lt;128,"Wahl "&amp;D589,INDEX(KdoCodeTab,MATCH(D589,KdoWertTab,0)))),"Status "&amp;C589)</f>
        <v>Mark</v>
      </c>
      <c r="F589" t="str">
        <f t="shared" si="58"/>
        <v/>
      </c>
      <c r="G589" t="str">
        <f t="shared" si="59"/>
        <v/>
      </c>
      <c r="H589" t="str">
        <f t="shared" si="60"/>
        <v>Mark</v>
      </c>
    </row>
    <row r="590" spans="1:8" x14ac:dyDescent="0.25">
      <c r="A590" t="s">
        <v>621</v>
      </c>
      <c r="B590" s="3">
        <f t="shared" si="61"/>
        <v>101</v>
      </c>
      <c r="C590" s="3" t="str">
        <f t="shared" si="56"/>
        <v/>
      </c>
      <c r="D590" s="3">
        <f t="shared" si="57"/>
        <v>154</v>
      </c>
      <c r="E590" s="5" t="str">
        <f>IF(C590="",IF(D590="","",IF(D590&lt;128,"Wahl "&amp;D590,INDEX(KdoCodeTab,MATCH(D590,KdoWertTab,0)))),"Status "&amp;C590)</f>
        <v>MarkWdh</v>
      </c>
      <c r="F590" t="str">
        <f t="shared" si="58"/>
        <v/>
      </c>
      <c r="G590" t="str">
        <f t="shared" si="59"/>
        <v/>
      </c>
      <c r="H590" t="str">
        <f t="shared" si="60"/>
        <v>MarkWdh</v>
      </c>
    </row>
    <row r="591" spans="1:8" x14ac:dyDescent="0.25">
      <c r="A591" t="s">
        <v>622</v>
      </c>
      <c r="B591" s="3">
        <f t="shared" si="61"/>
        <v>101</v>
      </c>
      <c r="C591" s="3" t="str">
        <f t="shared" si="56"/>
        <v/>
      </c>
      <c r="D591" s="3">
        <f t="shared" si="57"/>
        <v>147</v>
      </c>
      <c r="E591" s="5" t="str">
        <f>IF(C591="",IF(D591="","",IF(D591&lt;128,"Wahl "&amp;D591,INDEX(KdoCodeTab,MATCH(D591,KdoWertTab,0)))),"Status "&amp;C591)</f>
        <v>Space</v>
      </c>
      <c r="F591" t="str">
        <f t="shared" si="58"/>
        <v/>
      </c>
      <c r="G591" t="str">
        <f t="shared" si="59"/>
        <v/>
      </c>
      <c r="H591" t="str">
        <f t="shared" si="60"/>
        <v>Space</v>
      </c>
    </row>
    <row r="592" spans="1:8" x14ac:dyDescent="0.25">
      <c r="A592" t="s">
        <v>623</v>
      </c>
      <c r="B592" s="3">
        <f t="shared" si="61"/>
        <v>101</v>
      </c>
      <c r="C592" s="3" t="str">
        <f t="shared" si="56"/>
        <v/>
      </c>
      <c r="D592" s="3">
        <f t="shared" si="57"/>
        <v>150</v>
      </c>
      <c r="E592" s="5" t="str">
        <f>IF(C592="",IF(D592="","",IF(D592&lt;128,"Wahl "&amp;D592,INDEX(KdoCodeTab,MATCH(D592,KdoWertTab,0)))),"Status "&amp;C592)</f>
        <v>SpaceWdh</v>
      </c>
      <c r="F592" t="str">
        <f t="shared" si="58"/>
        <v/>
      </c>
      <c r="G592" t="str">
        <f t="shared" si="59"/>
        <v/>
      </c>
      <c r="H592" t="str">
        <f t="shared" si="60"/>
        <v>SpaceWdh</v>
      </c>
    </row>
    <row r="593" spans="1:8" x14ac:dyDescent="0.25">
      <c r="A593" t="s">
        <v>624</v>
      </c>
      <c r="B593" s="3">
        <f t="shared" si="61"/>
        <v>101</v>
      </c>
      <c r="C593" s="3" t="str">
        <f t="shared" si="56"/>
        <v/>
      </c>
      <c r="D593" s="3">
        <f t="shared" si="57"/>
        <v>156</v>
      </c>
      <c r="E593" s="5" t="str">
        <f>IF(C593="",IF(D593="","",IF(D593&lt;128,"Wahl "&amp;D593,INDEX(KdoCodeTab,MATCH(D593,KdoWertTab,0)))),"Status "&amp;C593)</f>
        <v>Mark</v>
      </c>
      <c r="F593" t="str">
        <f t="shared" si="58"/>
        <v/>
      </c>
      <c r="G593" t="str">
        <f t="shared" si="59"/>
        <v/>
      </c>
      <c r="H593" t="str">
        <f t="shared" si="60"/>
        <v>Mark</v>
      </c>
    </row>
    <row r="594" spans="1:8" x14ac:dyDescent="0.25">
      <c r="A594" t="s">
        <v>625</v>
      </c>
      <c r="B594" s="3">
        <f t="shared" si="61"/>
        <v>101</v>
      </c>
      <c r="C594" s="3" t="str">
        <f t="shared" si="56"/>
        <v/>
      </c>
      <c r="D594" s="3">
        <f t="shared" si="57"/>
        <v>154</v>
      </c>
      <c r="E594" s="5" t="str">
        <f>IF(C594="",IF(D594="","",IF(D594&lt;128,"Wahl "&amp;D594,INDEX(KdoCodeTab,MATCH(D594,KdoWertTab,0)))),"Status "&amp;C594)</f>
        <v>MarkWdh</v>
      </c>
      <c r="F594" t="str">
        <f t="shared" si="58"/>
        <v/>
      </c>
      <c r="G594" t="str">
        <f t="shared" si="59"/>
        <v/>
      </c>
      <c r="H594" t="str">
        <f t="shared" si="60"/>
        <v>MarkWdh</v>
      </c>
    </row>
    <row r="595" spans="1:8" x14ac:dyDescent="0.25">
      <c r="A595" t="s">
        <v>626</v>
      </c>
      <c r="B595" s="3">
        <f t="shared" si="61"/>
        <v>101</v>
      </c>
      <c r="C595" s="3" t="str">
        <f t="shared" si="56"/>
        <v/>
      </c>
      <c r="D595" s="3">
        <f t="shared" si="57"/>
        <v>147</v>
      </c>
      <c r="E595" s="5" t="str">
        <f>IF(C595="",IF(D595="","",IF(D595&lt;128,"Wahl "&amp;D595,INDEX(KdoCodeTab,MATCH(D595,KdoWertTab,0)))),"Status "&amp;C595)</f>
        <v>Space</v>
      </c>
      <c r="F595" t="str">
        <f t="shared" si="58"/>
        <v/>
      </c>
      <c r="G595" t="str">
        <f t="shared" si="59"/>
        <v/>
      </c>
      <c r="H595" t="str">
        <f t="shared" si="60"/>
        <v>Space</v>
      </c>
    </row>
    <row r="596" spans="1:8" x14ac:dyDescent="0.25">
      <c r="A596" t="s">
        <v>627</v>
      </c>
      <c r="B596" s="3">
        <f t="shared" si="61"/>
        <v>101</v>
      </c>
      <c r="C596" s="3" t="str">
        <f t="shared" si="56"/>
        <v/>
      </c>
      <c r="D596" s="3">
        <f t="shared" si="57"/>
        <v>150</v>
      </c>
      <c r="E596" s="5" t="str">
        <f>IF(C596="",IF(D596="","",IF(D596&lt;128,"Wahl "&amp;D596,INDEX(KdoCodeTab,MATCH(D596,KdoWertTab,0)))),"Status "&amp;C596)</f>
        <v>SpaceWdh</v>
      </c>
      <c r="F596" t="str">
        <f t="shared" si="58"/>
        <v/>
      </c>
      <c r="G596" t="str">
        <f t="shared" si="59"/>
        <v/>
      </c>
      <c r="H596" t="str">
        <f t="shared" si="60"/>
        <v>SpaceWdh</v>
      </c>
    </row>
    <row r="597" spans="1:8" x14ac:dyDescent="0.25">
      <c r="A597" t="s">
        <v>628</v>
      </c>
      <c r="B597" s="3">
        <f t="shared" si="61"/>
        <v>101</v>
      </c>
      <c r="C597" s="3" t="str">
        <f t="shared" si="56"/>
        <v/>
      </c>
      <c r="D597" s="3">
        <f t="shared" si="57"/>
        <v>156</v>
      </c>
      <c r="E597" s="5" t="str">
        <f>IF(C597="",IF(D597="","",IF(D597&lt;128,"Wahl "&amp;D597,INDEX(KdoCodeTab,MATCH(D597,KdoWertTab,0)))),"Status "&amp;C597)</f>
        <v>Mark</v>
      </c>
      <c r="F597" t="str">
        <f t="shared" si="58"/>
        <v/>
      </c>
      <c r="G597" t="str">
        <f t="shared" si="59"/>
        <v/>
      </c>
      <c r="H597" t="str">
        <f t="shared" si="60"/>
        <v>Mark</v>
      </c>
    </row>
    <row r="598" spans="1:8" x14ac:dyDescent="0.25">
      <c r="A598" t="s">
        <v>629</v>
      </c>
      <c r="B598" s="3">
        <f t="shared" si="61"/>
        <v>101</v>
      </c>
      <c r="C598" s="3" t="str">
        <f t="shared" si="56"/>
        <v/>
      </c>
      <c r="D598" s="3">
        <f t="shared" si="57"/>
        <v>154</v>
      </c>
      <c r="E598" s="5" t="str">
        <f>IF(C598="",IF(D598="","",IF(D598&lt;128,"Wahl "&amp;D598,INDEX(KdoCodeTab,MATCH(D598,KdoWertTab,0)))),"Status "&amp;C598)</f>
        <v>MarkWdh</v>
      </c>
      <c r="F598" t="str">
        <f t="shared" si="58"/>
        <v/>
      </c>
      <c r="G598" t="str">
        <f t="shared" si="59"/>
        <v/>
      </c>
      <c r="H598" t="str">
        <f t="shared" si="60"/>
        <v>MarkWdh</v>
      </c>
    </row>
    <row r="599" spans="1:8" x14ac:dyDescent="0.25">
      <c r="A599" t="s">
        <v>630</v>
      </c>
      <c r="B599" s="3">
        <f t="shared" si="61"/>
        <v>101</v>
      </c>
      <c r="C599" s="3" t="str">
        <f t="shared" si="56"/>
        <v/>
      </c>
      <c r="D599" s="3">
        <f t="shared" si="57"/>
        <v>147</v>
      </c>
      <c r="E599" s="5" t="str">
        <f>IF(C599="",IF(D599="","",IF(D599&lt;128,"Wahl "&amp;D599,INDEX(KdoCodeTab,MATCH(D599,KdoWertTab,0)))),"Status "&amp;C599)</f>
        <v>Space</v>
      </c>
      <c r="F599" t="str">
        <f t="shared" si="58"/>
        <v/>
      </c>
      <c r="G599" t="str">
        <f t="shared" si="59"/>
        <v/>
      </c>
      <c r="H599" t="str">
        <f t="shared" si="60"/>
        <v>Space</v>
      </c>
    </row>
    <row r="600" spans="1:8" x14ac:dyDescent="0.25">
      <c r="A600" t="s">
        <v>631</v>
      </c>
      <c r="B600" s="3">
        <f t="shared" si="61"/>
        <v>101</v>
      </c>
      <c r="C600" s="3" t="str">
        <f t="shared" si="56"/>
        <v/>
      </c>
      <c r="D600" s="3">
        <f t="shared" si="57"/>
        <v>150</v>
      </c>
      <c r="E600" s="5" t="str">
        <f>IF(C600="",IF(D600="","",IF(D600&lt;128,"Wahl "&amp;D600,INDEX(KdoCodeTab,MATCH(D600,KdoWertTab,0)))),"Status "&amp;C600)</f>
        <v>SpaceWdh</v>
      </c>
      <c r="F600" t="str">
        <f t="shared" si="58"/>
        <v/>
      </c>
      <c r="G600" t="str">
        <f t="shared" si="59"/>
        <v/>
      </c>
      <c r="H600" t="str">
        <f t="shared" si="60"/>
        <v>SpaceWdh</v>
      </c>
    </row>
    <row r="601" spans="1:8" x14ac:dyDescent="0.25">
      <c r="A601" t="s">
        <v>632</v>
      </c>
      <c r="B601" s="3">
        <f t="shared" si="61"/>
        <v>101</v>
      </c>
      <c r="C601" s="3" t="str">
        <f t="shared" si="56"/>
        <v/>
      </c>
      <c r="D601" s="3">
        <f t="shared" si="57"/>
        <v>156</v>
      </c>
      <c r="E601" s="5" t="str">
        <f>IF(C601="",IF(D601="","",IF(D601&lt;128,"Wahl "&amp;D601,INDEX(KdoCodeTab,MATCH(D601,KdoWertTab,0)))),"Status "&amp;C601)</f>
        <v>Mark</v>
      </c>
      <c r="F601" t="str">
        <f t="shared" si="58"/>
        <v/>
      </c>
      <c r="G601" t="str">
        <f t="shared" si="59"/>
        <v/>
      </c>
      <c r="H601" t="str">
        <f t="shared" si="60"/>
        <v>Mark</v>
      </c>
    </row>
    <row r="602" spans="1:8" x14ac:dyDescent="0.25">
      <c r="A602" t="s">
        <v>633</v>
      </c>
      <c r="B602" s="3">
        <f t="shared" si="61"/>
        <v>101</v>
      </c>
      <c r="C602" s="3" t="str">
        <f t="shared" si="56"/>
        <v/>
      </c>
      <c r="D602" s="3">
        <f t="shared" si="57"/>
        <v>154</v>
      </c>
      <c r="E602" s="5" t="str">
        <f>IF(C602="",IF(D602="","",IF(D602&lt;128,"Wahl "&amp;D602,INDEX(KdoCodeTab,MATCH(D602,KdoWertTab,0)))),"Status "&amp;C602)</f>
        <v>MarkWdh</v>
      </c>
      <c r="F602" t="str">
        <f t="shared" si="58"/>
        <v/>
      </c>
      <c r="G602" t="str">
        <f t="shared" si="59"/>
        <v/>
      </c>
      <c r="H602" t="str">
        <f t="shared" si="60"/>
        <v>MarkWdh</v>
      </c>
    </row>
    <row r="603" spans="1:8" x14ac:dyDescent="0.25">
      <c r="A603" t="s">
        <v>634</v>
      </c>
      <c r="B603" s="3">
        <f t="shared" si="61"/>
        <v>31</v>
      </c>
      <c r="C603" s="3" t="str">
        <f t="shared" si="56"/>
        <v/>
      </c>
      <c r="D603" s="3">
        <f t="shared" si="57"/>
        <v>154</v>
      </c>
      <c r="E603" s="5" t="str">
        <f>IF(C603="",IF(D603="","",IF(D603&lt;128,"Wahl "&amp;D603,INDEX(KdoCodeTab,MATCH(D603,KdoWertTab,0)))),"Status "&amp;C603)</f>
        <v>MarkWdh</v>
      </c>
      <c r="F603" t="str">
        <f t="shared" si="58"/>
        <v>MarkWdh</v>
      </c>
      <c r="G603" t="str">
        <f t="shared" si="59"/>
        <v/>
      </c>
      <c r="H603" t="str">
        <f t="shared" si="60"/>
        <v/>
      </c>
    </row>
    <row r="604" spans="1:8" x14ac:dyDescent="0.25">
      <c r="A604" t="s">
        <v>635</v>
      </c>
      <c r="B604" s="3">
        <f t="shared" si="61"/>
        <v>101</v>
      </c>
      <c r="C604" s="3" t="str">
        <f t="shared" si="56"/>
        <v/>
      </c>
      <c r="D604" s="3">
        <f t="shared" si="57"/>
        <v>147</v>
      </c>
      <c r="E604" s="5" t="str">
        <f>IF(C604="",IF(D604="","",IF(D604&lt;128,"Wahl "&amp;D604,INDEX(KdoCodeTab,MATCH(D604,KdoWertTab,0)))),"Status "&amp;C604)</f>
        <v>Space</v>
      </c>
      <c r="F604" t="str">
        <f t="shared" si="58"/>
        <v/>
      </c>
      <c r="G604" t="str">
        <f t="shared" si="59"/>
        <v/>
      </c>
      <c r="H604" t="str">
        <f t="shared" si="60"/>
        <v>Space</v>
      </c>
    </row>
    <row r="605" spans="1:8" x14ac:dyDescent="0.25">
      <c r="A605" t="s">
        <v>636</v>
      </c>
      <c r="B605" s="3">
        <f t="shared" si="61"/>
        <v>101</v>
      </c>
      <c r="C605" s="3" t="str">
        <f t="shared" si="56"/>
        <v/>
      </c>
      <c r="D605" s="3">
        <f t="shared" si="57"/>
        <v>150</v>
      </c>
      <c r="E605" s="5" t="str">
        <f>IF(C605="",IF(D605="","",IF(D605&lt;128,"Wahl "&amp;D605,INDEX(KdoCodeTab,MATCH(D605,KdoWertTab,0)))),"Status "&amp;C605)</f>
        <v>SpaceWdh</v>
      </c>
      <c r="F605" t="str">
        <f t="shared" si="58"/>
        <v/>
      </c>
      <c r="G605" t="str">
        <f t="shared" si="59"/>
        <v/>
      </c>
      <c r="H605" t="str">
        <f t="shared" si="60"/>
        <v>SpaceWdh</v>
      </c>
    </row>
    <row r="606" spans="1:8" x14ac:dyDescent="0.25">
      <c r="A606" t="s">
        <v>637</v>
      </c>
      <c r="B606" s="3">
        <f t="shared" si="61"/>
        <v>101</v>
      </c>
      <c r="C606" s="3" t="str">
        <f t="shared" si="56"/>
        <v/>
      </c>
      <c r="D606" s="3">
        <f t="shared" si="57"/>
        <v>156</v>
      </c>
      <c r="E606" s="5" t="str">
        <f>IF(C606="",IF(D606="","",IF(D606&lt;128,"Wahl "&amp;D606,INDEX(KdoCodeTab,MATCH(D606,KdoWertTab,0)))),"Status "&amp;C606)</f>
        <v>Mark</v>
      </c>
      <c r="F606" t="str">
        <f t="shared" si="58"/>
        <v/>
      </c>
      <c r="G606" t="str">
        <f t="shared" si="59"/>
        <v/>
      </c>
      <c r="H606" t="str">
        <f t="shared" si="60"/>
        <v>Mark</v>
      </c>
    </row>
    <row r="607" spans="1:8" x14ac:dyDescent="0.25">
      <c r="A607" t="s">
        <v>638</v>
      </c>
      <c r="B607" s="3">
        <f t="shared" si="61"/>
        <v>101</v>
      </c>
      <c r="C607" s="3" t="str">
        <f t="shared" si="56"/>
        <v/>
      </c>
      <c r="D607" s="3">
        <f t="shared" si="57"/>
        <v>154</v>
      </c>
      <c r="E607" s="5" t="str">
        <f>IF(C607="",IF(D607="","",IF(D607&lt;128,"Wahl "&amp;D607,INDEX(KdoCodeTab,MATCH(D607,KdoWertTab,0)))),"Status "&amp;C607)</f>
        <v>MarkWdh</v>
      </c>
      <c r="F607" t="str">
        <f t="shared" si="58"/>
        <v/>
      </c>
      <c r="G607" t="str">
        <f t="shared" si="59"/>
        <v/>
      </c>
      <c r="H607" t="str">
        <f t="shared" si="60"/>
        <v>MarkWdh</v>
      </c>
    </row>
    <row r="608" spans="1:8" x14ac:dyDescent="0.25">
      <c r="A608" t="s">
        <v>639</v>
      </c>
      <c r="B608" s="3">
        <f t="shared" si="61"/>
        <v>101</v>
      </c>
      <c r="C608" s="3" t="str">
        <f t="shared" si="56"/>
        <v/>
      </c>
      <c r="D608" s="3">
        <f t="shared" si="57"/>
        <v>147</v>
      </c>
      <c r="E608" s="5" t="str">
        <f>IF(C608="",IF(D608="","",IF(D608&lt;128,"Wahl "&amp;D608,INDEX(KdoCodeTab,MATCH(D608,KdoWertTab,0)))),"Status "&amp;C608)</f>
        <v>Space</v>
      </c>
      <c r="F608" t="str">
        <f t="shared" si="58"/>
        <v/>
      </c>
      <c r="G608" t="str">
        <f t="shared" si="59"/>
        <v/>
      </c>
      <c r="H608" t="str">
        <f t="shared" si="60"/>
        <v>Space</v>
      </c>
    </row>
    <row r="609" spans="1:8" x14ac:dyDescent="0.25">
      <c r="A609" t="s">
        <v>640</v>
      </c>
      <c r="B609" s="3">
        <f t="shared" si="61"/>
        <v>101</v>
      </c>
      <c r="C609" s="3" t="str">
        <f t="shared" si="56"/>
        <v/>
      </c>
      <c r="D609" s="3">
        <f t="shared" si="57"/>
        <v>150</v>
      </c>
      <c r="E609" s="5" t="str">
        <f>IF(C609="",IF(D609="","",IF(D609&lt;128,"Wahl "&amp;D609,INDEX(KdoCodeTab,MATCH(D609,KdoWertTab,0)))),"Status "&amp;C609)</f>
        <v>SpaceWdh</v>
      </c>
      <c r="F609" t="str">
        <f t="shared" si="58"/>
        <v/>
      </c>
      <c r="G609" t="str">
        <f t="shared" si="59"/>
        <v/>
      </c>
      <c r="H609" t="str">
        <f t="shared" si="60"/>
        <v>SpaceWdh</v>
      </c>
    </row>
    <row r="610" spans="1:8" x14ac:dyDescent="0.25">
      <c r="A610" t="s">
        <v>641</v>
      </c>
      <c r="B610" s="3">
        <f t="shared" si="61"/>
        <v>101</v>
      </c>
      <c r="C610" s="3" t="str">
        <f t="shared" si="56"/>
        <v/>
      </c>
      <c r="D610" s="3">
        <f t="shared" si="57"/>
        <v>156</v>
      </c>
      <c r="E610" s="5" t="str">
        <f>IF(C610="",IF(D610="","",IF(D610&lt;128,"Wahl "&amp;D610,INDEX(KdoCodeTab,MATCH(D610,KdoWertTab,0)))),"Status "&amp;C610)</f>
        <v>Mark</v>
      </c>
      <c r="F610" t="str">
        <f t="shared" si="58"/>
        <v/>
      </c>
      <c r="G610" t="str">
        <f t="shared" si="59"/>
        <v/>
      </c>
      <c r="H610" t="str">
        <f t="shared" si="60"/>
        <v>Mark</v>
      </c>
    </row>
    <row r="611" spans="1:8" x14ac:dyDescent="0.25">
      <c r="A611" t="s">
        <v>642</v>
      </c>
      <c r="B611" s="3">
        <f t="shared" si="61"/>
        <v>101</v>
      </c>
      <c r="C611" s="3" t="str">
        <f t="shared" si="56"/>
        <v/>
      </c>
      <c r="D611" s="3">
        <f t="shared" si="57"/>
        <v>154</v>
      </c>
      <c r="E611" s="5" t="str">
        <f>IF(C611="",IF(D611="","",IF(D611&lt;128,"Wahl "&amp;D611,INDEX(KdoCodeTab,MATCH(D611,KdoWertTab,0)))),"Status "&amp;C611)</f>
        <v>MarkWdh</v>
      </c>
      <c r="F611" t="str">
        <f t="shared" si="58"/>
        <v/>
      </c>
      <c r="G611" t="str">
        <f t="shared" si="59"/>
        <v/>
      </c>
      <c r="H611" t="str">
        <f t="shared" si="60"/>
        <v>MarkWdh</v>
      </c>
    </row>
    <row r="612" spans="1:8" x14ac:dyDescent="0.25">
      <c r="A612" t="s">
        <v>643</v>
      </c>
      <c r="B612" s="3">
        <f t="shared" si="61"/>
        <v>101</v>
      </c>
      <c r="C612" s="3" t="str">
        <f t="shared" si="56"/>
        <v/>
      </c>
      <c r="D612" s="3">
        <f t="shared" si="57"/>
        <v>169</v>
      </c>
      <c r="E612" s="5" t="str">
        <f>IF(C612="",IF(D612="","",IF(D612&lt;128,"Wahl "&amp;D612,INDEX(KdoCodeTab,MATCH(D612,KdoWertTab,0)))),"Status "&amp;C612)</f>
        <v>BusLebenszeichen</v>
      </c>
      <c r="F612" t="str">
        <f t="shared" si="58"/>
        <v/>
      </c>
      <c r="G612" t="str">
        <f t="shared" si="59"/>
        <v/>
      </c>
      <c r="H612" t="str">
        <f t="shared" si="60"/>
        <v>BusLebenszeichen</v>
      </c>
    </row>
    <row r="613" spans="1:8" x14ac:dyDescent="0.25">
      <c r="A613" t="s">
        <v>644</v>
      </c>
      <c r="B613" s="3">
        <f t="shared" si="61"/>
        <v>101</v>
      </c>
      <c r="C613" s="3" t="str">
        <f t="shared" si="56"/>
        <v/>
      </c>
      <c r="D613" s="3">
        <f t="shared" si="57"/>
        <v>147</v>
      </c>
      <c r="E613" s="5" t="str">
        <f>IF(C613="",IF(D613="","",IF(D613&lt;128,"Wahl "&amp;D613,INDEX(KdoCodeTab,MATCH(D613,KdoWertTab,0)))),"Status "&amp;C613)</f>
        <v>Space</v>
      </c>
      <c r="F613" t="str">
        <f t="shared" si="58"/>
        <v/>
      </c>
      <c r="G613" t="str">
        <f t="shared" si="59"/>
        <v/>
      </c>
      <c r="H613" t="str">
        <f t="shared" si="60"/>
        <v>Space</v>
      </c>
    </row>
    <row r="614" spans="1:8" x14ac:dyDescent="0.25">
      <c r="A614" t="s">
        <v>645</v>
      </c>
      <c r="B614" s="3">
        <f t="shared" si="61"/>
        <v>101</v>
      </c>
      <c r="C614" s="3" t="str">
        <f t="shared" si="56"/>
        <v/>
      </c>
      <c r="D614" s="3">
        <f t="shared" si="57"/>
        <v>150</v>
      </c>
      <c r="E614" s="5" t="str">
        <f>IF(C614="",IF(D614="","",IF(D614&lt;128,"Wahl "&amp;D614,INDEX(KdoCodeTab,MATCH(D614,KdoWertTab,0)))),"Status "&amp;C614)</f>
        <v>SpaceWdh</v>
      </c>
      <c r="F614" t="str">
        <f t="shared" si="58"/>
        <v/>
      </c>
      <c r="G614" t="str">
        <f t="shared" si="59"/>
        <v/>
      </c>
      <c r="H614" t="str">
        <f t="shared" si="60"/>
        <v>SpaceWdh</v>
      </c>
    </row>
    <row r="615" spans="1:8" x14ac:dyDescent="0.25">
      <c r="A615" t="s">
        <v>646</v>
      </c>
      <c r="B615" s="3">
        <f t="shared" si="61"/>
        <v>31</v>
      </c>
      <c r="C615" s="3" t="str">
        <f t="shared" si="56"/>
        <v/>
      </c>
      <c r="D615" s="3">
        <f t="shared" si="57"/>
        <v>154</v>
      </c>
      <c r="E615" s="5" t="str">
        <f>IF(C615="",IF(D615="","",IF(D615&lt;128,"Wahl "&amp;D615,INDEX(KdoCodeTab,MATCH(D615,KdoWertTab,0)))),"Status "&amp;C615)</f>
        <v>MarkWdh</v>
      </c>
      <c r="F615" t="str">
        <f t="shared" si="58"/>
        <v>MarkWdh</v>
      </c>
      <c r="G615" t="str">
        <f t="shared" si="59"/>
        <v/>
      </c>
      <c r="H615" t="str">
        <f t="shared" si="60"/>
        <v/>
      </c>
    </row>
    <row r="616" spans="1:8" x14ac:dyDescent="0.25">
      <c r="A616" t="s">
        <v>647</v>
      </c>
      <c r="B616" s="3">
        <f t="shared" si="61"/>
        <v>101</v>
      </c>
      <c r="C616" s="3" t="str">
        <f t="shared" si="56"/>
        <v/>
      </c>
      <c r="D616" s="3">
        <f t="shared" si="57"/>
        <v>156</v>
      </c>
      <c r="E616" s="5" t="str">
        <f>IF(C616="",IF(D616="","",IF(D616&lt;128,"Wahl "&amp;D616,INDEX(KdoCodeTab,MATCH(D616,KdoWertTab,0)))),"Status "&amp;C616)</f>
        <v>Mark</v>
      </c>
      <c r="F616" t="str">
        <f t="shared" si="58"/>
        <v/>
      </c>
      <c r="G616" t="str">
        <f t="shared" si="59"/>
        <v/>
      </c>
      <c r="H616" t="str">
        <f t="shared" si="60"/>
        <v>Mark</v>
      </c>
    </row>
    <row r="617" spans="1:8" x14ac:dyDescent="0.25">
      <c r="A617" t="s">
        <v>648</v>
      </c>
      <c r="B617" s="3">
        <f t="shared" si="61"/>
        <v>101</v>
      </c>
      <c r="C617" s="3" t="str">
        <f t="shared" si="56"/>
        <v/>
      </c>
      <c r="D617" s="3">
        <f t="shared" si="57"/>
        <v>154</v>
      </c>
      <c r="E617" s="5" t="str">
        <f>IF(C617="",IF(D617="","",IF(D617&lt;128,"Wahl "&amp;D617,INDEX(KdoCodeTab,MATCH(D617,KdoWertTab,0)))),"Status "&amp;C617)</f>
        <v>MarkWdh</v>
      </c>
      <c r="F617" t="str">
        <f t="shared" si="58"/>
        <v/>
      </c>
      <c r="G617" t="str">
        <f t="shared" si="59"/>
        <v/>
      </c>
      <c r="H617" t="str">
        <f t="shared" si="60"/>
        <v>MarkWdh</v>
      </c>
    </row>
    <row r="618" spans="1:8" x14ac:dyDescent="0.25">
      <c r="A618" t="s">
        <v>649</v>
      </c>
      <c r="B618" s="3">
        <f t="shared" si="61"/>
        <v>101</v>
      </c>
      <c r="C618" s="3" t="str">
        <f t="shared" si="56"/>
        <v/>
      </c>
      <c r="D618" s="3">
        <f t="shared" si="57"/>
        <v>147</v>
      </c>
      <c r="E618" s="5" t="str">
        <f>IF(C618="",IF(D618="","",IF(D618&lt;128,"Wahl "&amp;D618,INDEX(KdoCodeTab,MATCH(D618,KdoWertTab,0)))),"Status "&amp;C618)</f>
        <v>Space</v>
      </c>
      <c r="F618" t="str">
        <f t="shared" si="58"/>
        <v/>
      </c>
      <c r="G618" t="str">
        <f t="shared" si="59"/>
        <v/>
      </c>
      <c r="H618" t="str">
        <f t="shared" si="60"/>
        <v>Space</v>
      </c>
    </row>
    <row r="619" spans="1:8" x14ac:dyDescent="0.25">
      <c r="A619" t="s">
        <v>650</v>
      </c>
      <c r="B619" s="3">
        <f t="shared" si="61"/>
        <v>101</v>
      </c>
      <c r="C619" s="3" t="str">
        <f t="shared" si="56"/>
        <v/>
      </c>
      <c r="D619" s="3">
        <f t="shared" si="57"/>
        <v>150</v>
      </c>
      <c r="E619" s="5" t="str">
        <f>IF(C619="",IF(D619="","",IF(D619&lt;128,"Wahl "&amp;D619,INDEX(KdoCodeTab,MATCH(D619,KdoWertTab,0)))),"Status "&amp;C619)</f>
        <v>SpaceWdh</v>
      </c>
      <c r="F619" t="str">
        <f t="shared" si="58"/>
        <v/>
      </c>
      <c r="G619" t="str">
        <f t="shared" si="59"/>
        <v/>
      </c>
      <c r="H619" t="str">
        <f t="shared" si="60"/>
        <v>SpaceWdh</v>
      </c>
    </row>
    <row r="620" spans="1:8" x14ac:dyDescent="0.25">
      <c r="A620" t="s">
        <v>651</v>
      </c>
      <c r="B620" s="3">
        <f t="shared" si="61"/>
        <v>101</v>
      </c>
      <c r="C620" s="3" t="str">
        <f t="shared" si="56"/>
        <v/>
      </c>
      <c r="D620" s="3">
        <f t="shared" si="57"/>
        <v>156</v>
      </c>
      <c r="E620" s="5" t="str">
        <f>IF(C620="",IF(D620="","",IF(D620&lt;128,"Wahl "&amp;D620,INDEX(KdoCodeTab,MATCH(D620,KdoWertTab,0)))),"Status "&amp;C620)</f>
        <v>Mark</v>
      </c>
      <c r="F620" t="str">
        <f t="shared" si="58"/>
        <v/>
      </c>
      <c r="G620" t="str">
        <f t="shared" si="59"/>
        <v/>
      </c>
      <c r="H620" t="str">
        <f t="shared" si="60"/>
        <v>Mark</v>
      </c>
    </row>
    <row r="621" spans="1:8" x14ac:dyDescent="0.25">
      <c r="A621" t="s">
        <v>652</v>
      </c>
      <c r="B621" s="3">
        <f t="shared" si="61"/>
        <v>101</v>
      </c>
      <c r="C621" s="3" t="str">
        <f t="shared" si="56"/>
        <v/>
      </c>
      <c r="D621" s="3">
        <f t="shared" si="57"/>
        <v>154</v>
      </c>
      <c r="E621" s="5" t="str">
        <f>IF(C621="",IF(D621="","",IF(D621&lt;128,"Wahl "&amp;D621,INDEX(KdoCodeTab,MATCH(D621,KdoWertTab,0)))),"Status "&amp;C621)</f>
        <v>MarkWdh</v>
      </c>
      <c r="F621" t="str">
        <f t="shared" si="58"/>
        <v/>
      </c>
      <c r="G621" t="str">
        <f t="shared" si="59"/>
        <v/>
      </c>
      <c r="H621" t="str">
        <f t="shared" si="60"/>
        <v>MarkWdh</v>
      </c>
    </row>
    <row r="622" spans="1:8" x14ac:dyDescent="0.25">
      <c r="A622" t="s">
        <v>653</v>
      </c>
      <c r="B622" s="3">
        <f t="shared" si="61"/>
        <v>101</v>
      </c>
      <c r="C622" s="3" t="str">
        <f t="shared" si="56"/>
        <v/>
      </c>
      <c r="D622" s="3">
        <f t="shared" si="57"/>
        <v>147</v>
      </c>
      <c r="E622" s="5" t="str">
        <f>IF(C622="",IF(D622="","",IF(D622&lt;128,"Wahl "&amp;D622,INDEX(KdoCodeTab,MATCH(D622,KdoWertTab,0)))),"Status "&amp;C622)</f>
        <v>Space</v>
      </c>
      <c r="F622" t="str">
        <f t="shared" si="58"/>
        <v/>
      </c>
      <c r="G622" t="str">
        <f t="shared" si="59"/>
        <v/>
      </c>
      <c r="H622" t="str">
        <f t="shared" si="60"/>
        <v>Space</v>
      </c>
    </row>
    <row r="623" spans="1:8" x14ac:dyDescent="0.25">
      <c r="A623" t="s">
        <v>654</v>
      </c>
      <c r="B623" s="3">
        <f t="shared" si="61"/>
        <v>101</v>
      </c>
      <c r="C623" s="3" t="str">
        <f t="shared" si="56"/>
        <v/>
      </c>
      <c r="D623" s="3">
        <f t="shared" si="57"/>
        <v>150</v>
      </c>
      <c r="E623" s="5" t="str">
        <f>IF(C623="",IF(D623="","",IF(D623&lt;128,"Wahl "&amp;D623,INDEX(KdoCodeTab,MATCH(D623,KdoWertTab,0)))),"Status "&amp;C623)</f>
        <v>SpaceWdh</v>
      </c>
      <c r="F623" t="str">
        <f t="shared" si="58"/>
        <v/>
      </c>
      <c r="G623" t="str">
        <f t="shared" si="59"/>
        <v/>
      </c>
      <c r="H623" t="str">
        <f t="shared" si="60"/>
        <v>SpaceWdh</v>
      </c>
    </row>
    <row r="624" spans="1:8" x14ac:dyDescent="0.25">
      <c r="A624" t="s">
        <v>655</v>
      </c>
      <c r="B624" s="3">
        <f t="shared" si="61"/>
        <v>101</v>
      </c>
      <c r="C624" s="3" t="str">
        <f t="shared" si="56"/>
        <v/>
      </c>
      <c r="D624" s="3">
        <f t="shared" si="57"/>
        <v>156</v>
      </c>
      <c r="E624" s="5" t="str">
        <f>IF(C624="",IF(D624="","",IF(D624&lt;128,"Wahl "&amp;D624,INDEX(KdoCodeTab,MATCH(D624,KdoWertTab,0)))),"Status "&amp;C624)</f>
        <v>Mark</v>
      </c>
      <c r="F624" t="str">
        <f t="shared" si="58"/>
        <v/>
      </c>
      <c r="G624" t="str">
        <f t="shared" si="59"/>
        <v/>
      </c>
      <c r="H624" t="str">
        <f t="shared" si="60"/>
        <v>Mark</v>
      </c>
    </row>
    <row r="625" spans="1:8" x14ac:dyDescent="0.25">
      <c r="A625" t="s">
        <v>656</v>
      </c>
      <c r="B625" s="3">
        <f t="shared" si="61"/>
        <v>101</v>
      </c>
      <c r="C625" s="3" t="str">
        <f t="shared" si="56"/>
        <v/>
      </c>
      <c r="D625" s="3">
        <f t="shared" si="57"/>
        <v>154</v>
      </c>
      <c r="E625" s="5" t="str">
        <f>IF(C625="",IF(D625="","",IF(D625&lt;128,"Wahl "&amp;D625,INDEX(KdoCodeTab,MATCH(D625,KdoWertTab,0)))),"Status "&amp;C625)</f>
        <v>MarkWdh</v>
      </c>
      <c r="F625" t="str">
        <f t="shared" si="58"/>
        <v/>
      </c>
      <c r="G625" t="str">
        <f t="shared" si="59"/>
        <v/>
      </c>
      <c r="H625" t="str">
        <f t="shared" si="60"/>
        <v>MarkWdh</v>
      </c>
    </row>
    <row r="626" spans="1:8" x14ac:dyDescent="0.25">
      <c r="A626" t="s">
        <v>657</v>
      </c>
      <c r="B626" s="3">
        <f t="shared" si="61"/>
        <v>101</v>
      </c>
      <c r="C626" s="3" t="str">
        <f t="shared" si="56"/>
        <v/>
      </c>
      <c r="D626" s="3">
        <f t="shared" si="57"/>
        <v>147</v>
      </c>
      <c r="E626" s="5" t="str">
        <f>IF(C626="",IF(D626="","",IF(D626&lt;128,"Wahl "&amp;D626,INDEX(KdoCodeTab,MATCH(D626,KdoWertTab,0)))),"Status "&amp;C626)</f>
        <v>Space</v>
      </c>
      <c r="F626" t="str">
        <f t="shared" si="58"/>
        <v/>
      </c>
      <c r="G626" t="str">
        <f t="shared" si="59"/>
        <v/>
      </c>
      <c r="H626" t="str">
        <f t="shared" si="60"/>
        <v>Space</v>
      </c>
    </row>
    <row r="627" spans="1:8" x14ac:dyDescent="0.25">
      <c r="A627" t="s">
        <v>658</v>
      </c>
      <c r="B627" s="3">
        <f t="shared" si="61"/>
        <v>101</v>
      </c>
      <c r="C627" s="3" t="str">
        <f t="shared" si="56"/>
        <v/>
      </c>
      <c r="D627" s="3">
        <f t="shared" si="57"/>
        <v>150</v>
      </c>
      <c r="E627" s="5" t="str">
        <f>IF(C627="",IF(D627="","",IF(D627&lt;128,"Wahl "&amp;D627,INDEX(KdoCodeTab,MATCH(D627,KdoWertTab,0)))),"Status "&amp;C627)</f>
        <v>SpaceWdh</v>
      </c>
      <c r="F627" t="str">
        <f t="shared" si="58"/>
        <v/>
      </c>
      <c r="G627" t="str">
        <f t="shared" si="59"/>
        <v/>
      </c>
      <c r="H627" t="str">
        <f t="shared" si="60"/>
        <v>SpaceWdh</v>
      </c>
    </row>
    <row r="628" spans="1:8" x14ac:dyDescent="0.25">
      <c r="A628" t="s">
        <v>659</v>
      </c>
      <c r="B628" s="3">
        <f t="shared" si="61"/>
        <v>101</v>
      </c>
      <c r="C628" s="3" t="str">
        <f t="shared" si="56"/>
        <v/>
      </c>
      <c r="D628" s="3">
        <f t="shared" si="57"/>
        <v>156</v>
      </c>
      <c r="E628" s="5" t="str">
        <f>IF(C628="",IF(D628="","",IF(D628&lt;128,"Wahl "&amp;D628,INDEX(KdoCodeTab,MATCH(D628,KdoWertTab,0)))),"Status "&amp;C628)</f>
        <v>Mark</v>
      </c>
      <c r="F628" t="str">
        <f t="shared" si="58"/>
        <v/>
      </c>
      <c r="G628" t="str">
        <f t="shared" si="59"/>
        <v/>
      </c>
      <c r="H628" t="str">
        <f t="shared" si="60"/>
        <v>Mark</v>
      </c>
    </row>
    <row r="629" spans="1:8" x14ac:dyDescent="0.25">
      <c r="A629" t="s">
        <v>660</v>
      </c>
      <c r="B629" s="3">
        <f t="shared" si="61"/>
        <v>101</v>
      </c>
      <c r="C629" s="3" t="str">
        <f t="shared" si="56"/>
        <v/>
      </c>
      <c r="D629" s="3">
        <f t="shared" si="57"/>
        <v>154</v>
      </c>
      <c r="E629" s="5" t="str">
        <f>IF(C629="",IF(D629="","",IF(D629&lt;128,"Wahl "&amp;D629,INDEX(KdoCodeTab,MATCH(D629,KdoWertTab,0)))),"Status "&amp;C629)</f>
        <v>MarkWdh</v>
      </c>
      <c r="F629" t="str">
        <f t="shared" si="58"/>
        <v/>
      </c>
      <c r="G629" t="str">
        <f t="shared" si="59"/>
        <v/>
      </c>
      <c r="H629" t="str">
        <f t="shared" si="60"/>
        <v>MarkWdh</v>
      </c>
    </row>
    <row r="630" spans="1:8" x14ac:dyDescent="0.25">
      <c r="A630" t="s">
        <v>661</v>
      </c>
      <c r="B630" s="3">
        <f t="shared" si="61"/>
        <v>101</v>
      </c>
      <c r="C630" s="3" t="str">
        <f t="shared" si="56"/>
        <v/>
      </c>
      <c r="D630" s="3">
        <f t="shared" si="57"/>
        <v>147</v>
      </c>
      <c r="E630" s="5" t="str">
        <f>IF(C630="",IF(D630="","",IF(D630&lt;128,"Wahl "&amp;D630,INDEX(KdoCodeTab,MATCH(D630,KdoWertTab,0)))),"Status "&amp;C630)</f>
        <v>Space</v>
      </c>
      <c r="F630" t="str">
        <f t="shared" si="58"/>
        <v/>
      </c>
      <c r="G630" t="str">
        <f t="shared" si="59"/>
        <v/>
      </c>
      <c r="H630" t="str">
        <f t="shared" si="60"/>
        <v>Space</v>
      </c>
    </row>
    <row r="631" spans="1:8" x14ac:dyDescent="0.25">
      <c r="A631" t="s">
        <v>662</v>
      </c>
      <c r="B631" s="3">
        <f t="shared" si="61"/>
        <v>101</v>
      </c>
      <c r="C631" s="3" t="str">
        <f t="shared" si="56"/>
        <v/>
      </c>
      <c r="D631" s="3">
        <f t="shared" si="57"/>
        <v>150</v>
      </c>
      <c r="E631" s="5" t="str">
        <f>IF(C631="",IF(D631="","",IF(D631&lt;128,"Wahl "&amp;D631,INDEX(KdoCodeTab,MATCH(D631,KdoWertTab,0)))),"Status "&amp;C631)</f>
        <v>SpaceWdh</v>
      </c>
      <c r="F631" t="str">
        <f t="shared" si="58"/>
        <v/>
      </c>
      <c r="G631" t="str">
        <f t="shared" si="59"/>
        <v/>
      </c>
      <c r="H631" t="str">
        <f t="shared" si="60"/>
        <v>SpaceWdh</v>
      </c>
    </row>
    <row r="632" spans="1:8" x14ac:dyDescent="0.25">
      <c r="A632" t="s">
        <v>663</v>
      </c>
      <c r="B632" s="3">
        <f t="shared" si="61"/>
        <v>101</v>
      </c>
      <c r="C632" s="3" t="str">
        <f t="shared" si="56"/>
        <v/>
      </c>
      <c r="D632" s="3">
        <f t="shared" si="57"/>
        <v>169</v>
      </c>
      <c r="E632" s="5" t="str">
        <f>IF(C632="",IF(D632="","",IF(D632&lt;128,"Wahl "&amp;D632,INDEX(KdoCodeTab,MATCH(D632,KdoWertTab,0)))),"Status "&amp;C632)</f>
        <v>BusLebenszeichen</v>
      </c>
      <c r="F632" t="str">
        <f t="shared" si="58"/>
        <v/>
      </c>
      <c r="G632" t="str">
        <f t="shared" si="59"/>
        <v/>
      </c>
      <c r="H632" t="str">
        <f t="shared" si="60"/>
        <v>BusLebenszeichen</v>
      </c>
    </row>
    <row r="633" spans="1:8" x14ac:dyDescent="0.25">
      <c r="A633" t="s">
        <v>664</v>
      </c>
      <c r="B633" s="3">
        <f t="shared" si="61"/>
        <v>101</v>
      </c>
      <c r="C633" s="3" t="str">
        <f t="shared" si="56"/>
        <v/>
      </c>
      <c r="D633" s="3">
        <f t="shared" si="57"/>
        <v>156</v>
      </c>
      <c r="E633" s="5" t="str">
        <f>IF(C633="",IF(D633="","",IF(D633&lt;128,"Wahl "&amp;D633,INDEX(KdoCodeTab,MATCH(D633,KdoWertTab,0)))),"Status "&amp;C633)</f>
        <v>Mark</v>
      </c>
      <c r="F633" t="str">
        <f t="shared" si="58"/>
        <v/>
      </c>
      <c r="G633" t="str">
        <f t="shared" si="59"/>
        <v/>
      </c>
      <c r="H633" t="str">
        <f t="shared" si="60"/>
        <v>Mark</v>
      </c>
    </row>
    <row r="634" spans="1:8" x14ac:dyDescent="0.25">
      <c r="A634" t="s">
        <v>665</v>
      </c>
      <c r="B634" s="3">
        <f t="shared" si="61"/>
        <v>101</v>
      </c>
      <c r="C634" s="3" t="str">
        <f t="shared" si="56"/>
        <v/>
      </c>
      <c r="D634" s="3">
        <f t="shared" si="57"/>
        <v>154</v>
      </c>
      <c r="E634" s="5" t="str">
        <f>IF(C634="",IF(D634="","",IF(D634&lt;128,"Wahl "&amp;D634,INDEX(KdoCodeTab,MATCH(D634,KdoWertTab,0)))),"Status "&amp;C634)</f>
        <v>MarkWdh</v>
      </c>
      <c r="F634" t="str">
        <f t="shared" si="58"/>
        <v/>
      </c>
      <c r="G634" t="str">
        <f t="shared" si="59"/>
        <v/>
      </c>
      <c r="H634" t="str">
        <f t="shared" si="60"/>
        <v>MarkWdh</v>
      </c>
    </row>
    <row r="635" spans="1:8" x14ac:dyDescent="0.25">
      <c r="A635" t="s">
        <v>666</v>
      </c>
      <c r="B635" s="3">
        <f t="shared" si="61"/>
        <v>101</v>
      </c>
      <c r="C635" s="3" t="str">
        <f t="shared" ref="C635:C698" si="62">IF(MID(A635,10,1)="&lt;",MID(A635,12,2),"")</f>
        <v/>
      </c>
      <c r="D635" s="3">
        <f t="shared" ref="D635:D698" si="63">IF(MID(A635,10,1)="&gt;",HEX2DEC(MID(A635,12,2)),"")</f>
        <v>147</v>
      </c>
      <c r="E635" s="5" t="str">
        <f>IF(C635="",IF(D635="","",IF(D635&lt;128,"Wahl "&amp;D635,INDEX(KdoCodeTab,MATCH(D635,KdoWertTab,0)))),"Status "&amp;C635)</f>
        <v>Space</v>
      </c>
      <c r="F635" t="str">
        <f t="shared" ref="F635:F698" si="64">IF(B635=$F$2,E635,"")</f>
        <v/>
      </c>
      <c r="G635" t="str">
        <f t="shared" ref="G635:G698" si="65">IF(B635=$G$2,E635,"")</f>
        <v/>
      </c>
      <c r="H635" t="str">
        <f t="shared" ref="H635:H698" si="66">IF(F635&amp;G635="",E635,"")</f>
        <v>Space</v>
      </c>
    </row>
    <row r="636" spans="1:8" x14ac:dyDescent="0.25">
      <c r="A636" t="s">
        <v>667</v>
      </c>
      <c r="B636" s="3">
        <f t="shared" si="61"/>
        <v>101</v>
      </c>
      <c r="C636" s="3" t="str">
        <f t="shared" si="62"/>
        <v/>
      </c>
      <c r="D636" s="3">
        <f t="shared" si="63"/>
        <v>150</v>
      </c>
      <c r="E636" s="5" t="str">
        <f>IF(C636="",IF(D636="","",IF(D636&lt;128,"Wahl "&amp;D636,INDEX(KdoCodeTab,MATCH(D636,KdoWertTab,0)))),"Status "&amp;C636)</f>
        <v>SpaceWdh</v>
      </c>
      <c r="F636" t="str">
        <f t="shared" si="64"/>
        <v/>
      </c>
      <c r="G636" t="str">
        <f t="shared" si="65"/>
        <v/>
      </c>
      <c r="H636" t="str">
        <f t="shared" si="66"/>
        <v>SpaceWdh</v>
      </c>
    </row>
    <row r="637" spans="1:8" x14ac:dyDescent="0.25">
      <c r="A637" t="s">
        <v>668</v>
      </c>
      <c r="B637" s="3">
        <f t="shared" si="61"/>
        <v>101</v>
      </c>
      <c r="C637" s="3" t="str">
        <f t="shared" si="62"/>
        <v/>
      </c>
      <c r="D637" s="3">
        <f t="shared" si="63"/>
        <v>156</v>
      </c>
      <c r="E637" s="5" t="str">
        <f>IF(C637="",IF(D637="","",IF(D637&lt;128,"Wahl "&amp;D637,INDEX(KdoCodeTab,MATCH(D637,KdoWertTab,0)))),"Status "&amp;C637)</f>
        <v>Mark</v>
      </c>
      <c r="F637" t="str">
        <f t="shared" si="64"/>
        <v/>
      </c>
      <c r="G637" t="str">
        <f t="shared" si="65"/>
        <v/>
      </c>
      <c r="H637" t="str">
        <f t="shared" si="66"/>
        <v>Mark</v>
      </c>
    </row>
    <row r="638" spans="1:8" x14ac:dyDescent="0.25">
      <c r="A638" t="s">
        <v>669</v>
      </c>
      <c r="B638" s="3">
        <f t="shared" si="61"/>
        <v>101</v>
      </c>
      <c r="C638" s="3" t="str">
        <f t="shared" si="62"/>
        <v/>
      </c>
      <c r="D638" s="3">
        <f t="shared" si="63"/>
        <v>154</v>
      </c>
      <c r="E638" s="5" t="str">
        <f>IF(C638="",IF(D638="","",IF(D638&lt;128,"Wahl "&amp;D638,INDEX(KdoCodeTab,MATCH(D638,KdoWertTab,0)))),"Status "&amp;C638)</f>
        <v>MarkWdh</v>
      </c>
      <c r="F638" t="str">
        <f t="shared" si="64"/>
        <v/>
      </c>
      <c r="G638" t="str">
        <f t="shared" si="65"/>
        <v/>
      </c>
      <c r="H638" t="str">
        <f t="shared" si="66"/>
        <v>MarkWdh</v>
      </c>
    </row>
    <row r="639" spans="1:8" x14ac:dyDescent="0.25">
      <c r="A639" t="s">
        <v>670</v>
      </c>
      <c r="B639" s="3">
        <f t="shared" si="61"/>
        <v>31</v>
      </c>
      <c r="C639" s="3" t="str">
        <f t="shared" si="62"/>
        <v/>
      </c>
      <c r="D639" s="3">
        <f t="shared" si="63"/>
        <v>154</v>
      </c>
      <c r="E639" s="5" t="str">
        <f>IF(C639="",IF(D639="","",IF(D639&lt;128,"Wahl "&amp;D639,INDEX(KdoCodeTab,MATCH(D639,KdoWertTab,0)))),"Status "&amp;C639)</f>
        <v>MarkWdh</v>
      </c>
      <c r="F639" t="str">
        <f t="shared" si="64"/>
        <v>MarkWdh</v>
      </c>
      <c r="G639" t="str">
        <f t="shared" si="65"/>
        <v/>
      </c>
      <c r="H639" t="str">
        <f t="shared" si="66"/>
        <v/>
      </c>
    </row>
    <row r="640" spans="1:8" x14ac:dyDescent="0.25">
      <c r="A640" t="s">
        <v>671</v>
      </c>
      <c r="B640" s="3">
        <f t="shared" si="61"/>
        <v>101</v>
      </c>
      <c r="C640" s="3" t="str">
        <f t="shared" si="62"/>
        <v/>
      </c>
      <c r="D640" s="3">
        <f t="shared" si="63"/>
        <v>147</v>
      </c>
      <c r="E640" s="5" t="str">
        <f>IF(C640="",IF(D640="","",IF(D640&lt;128,"Wahl "&amp;D640,INDEX(KdoCodeTab,MATCH(D640,KdoWertTab,0)))),"Status "&amp;C640)</f>
        <v>Space</v>
      </c>
      <c r="F640" t="str">
        <f t="shared" si="64"/>
        <v/>
      </c>
      <c r="G640" t="str">
        <f t="shared" si="65"/>
        <v/>
      </c>
      <c r="H640" t="str">
        <f t="shared" si="66"/>
        <v>Space</v>
      </c>
    </row>
    <row r="641" spans="1:8" x14ac:dyDescent="0.25">
      <c r="A641" t="s">
        <v>672</v>
      </c>
      <c r="B641" s="3">
        <f t="shared" si="61"/>
        <v>101</v>
      </c>
      <c r="C641" s="3" t="str">
        <f t="shared" si="62"/>
        <v/>
      </c>
      <c r="D641" s="3">
        <f t="shared" si="63"/>
        <v>150</v>
      </c>
      <c r="E641" s="5" t="str">
        <f>IF(C641="",IF(D641="","",IF(D641&lt;128,"Wahl "&amp;D641,INDEX(KdoCodeTab,MATCH(D641,KdoWertTab,0)))),"Status "&amp;C641)</f>
        <v>SpaceWdh</v>
      </c>
      <c r="F641" t="str">
        <f t="shared" si="64"/>
        <v/>
      </c>
      <c r="G641" t="str">
        <f t="shared" si="65"/>
        <v/>
      </c>
      <c r="H641" t="str">
        <f t="shared" si="66"/>
        <v>SpaceWdh</v>
      </c>
    </row>
    <row r="642" spans="1:8" x14ac:dyDescent="0.25">
      <c r="A642" t="s">
        <v>673</v>
      </c>
      <c r="B642" s="3">
        <f t="shared" si="61"/>
        <v>101</v>
      </c>
      <c r="C642" s="3" t="str">
        <f t="shared" si="62"/>
        <v/>
      </c>
      <c r="D642" s="3">
        <f t="shared" si="63"/>
        <v>156</v>
      </c>
      <c r="E642" s="5" t="str">
        <f>IF(C642="",IF(D642="","",IF(D642&lt;128,"Wahl "&amp;D642,INDEX(KdoCodeTab,MATCH(D642,KdoWertTab,0)))),"Status "&amp;C642)</f>
        <v>Mark</v>
      </c>
      <c r="F642" t="str">
        <f t="shared" si="64"/>
        <v/>
      </c>
      <c r="G642" t="str">
        <f t="shared" si="65"/>
        <v/>
      </c>
      <c r="H642" t="str">
        <f t="shared" si="66"/>
        <v>Mark</v>
      </c>
    </row>
    <row r="643" spans="1:8" x14ac:dyDescent="0.25">
      <c r="A643" t="s">
        <v>674</v>
      </c>
      <c r="B643" s="3">
        <f t="shared" si="61"/>
        <v>101</v>
      </c>
      <c r="C643" s="3" t="str">
        <f t="shared" si="62"/>
        <v/>
      </c>
      <c r="D643" s="3">
        <f t="shared" si="63"/>
        <v>154</v>
      </c>
      <c r="E643" s="5" t="str">
        <f>IF(C643="",IF(D643="","",IF(D643&lt;128,"Wahl "&amp;D643,INDEX(KdoCodeTab,MATCH(D643,KdoWertTab,0)))),"Status "&amp;C643)</f>
        <v>MarkWdh</v>
      </c>
      <c r="F643" t="str">
        <f t="shared" si="64"/>
        <v/>
      </c>
      <c r="G643" t="str">
        <f t="shared" si="65"/>
        <v/>
      </c>
      <c r="H643" t="str">
        <f t="shared" si="66"/>
        <v>MarkWdh</v>
      </c>
    </row>
    <row r="644" spans="1:8" x14ac:dyDescent="0.25">
      <c r="A644" t="s">
        <v>675</v>
      </c>
      <c r="B644" s="3">
        <f t="shared" si="61"/>
        <v>101</v>
      </c>
      <c r="C644" s="3" t="str">
        <f t="shared" si="62"/>
        <v/>
      </c>
      <c r="D644" s="3">
        <f t="shared" si="63"/>
        <v>147</v>
      </c>
      <c r="E644" s="5" t="str">
        <f>IF(C644="",IF(D644="","",IF(D644&lt;128,"Wahl "&amp;D644,INDEX(KdoCodeTab,MATCH(D644,KdoWertTab,0)))),"Status "&amp;C644)</f>
        <v>Space</v>
      </c>
      <c r="F644" t="str">
        <f t="shared" si="64"/>
        <v/>
      </c>
      <c r="G644" t="str">
        <f t="shared" si="65"/>
        <v/>
      </c>
      <c r="H644" t="str">
        <f t="shared" si="66"/>
        <v>Space</v>
      </c>
    </row>
    <row r="645" spans="1:8" x14ac:dyDescent="0.25">
      <c r="A645" t="s">
        <v>676</v>
      </c>
      <c r="B645" s="3">
        <f t="shared" ref="B645:B708" si="67">INT(HEX2DEC(MID(A645,8,2))/2)</f>
        <v>101</v>
      </c>
      <c r="C645" s="3" t="str">
        <f t="shared" si="62"/>
        <v/>
      </c>
      <c r="D645" s="3">
        <f t="shared" si="63"/>
        <v>150</v>
      </c>
      <c r="E645" s="5" t="str">
        <f>IF(C645="",IF(D645="","",IF(D645&lt;128,"Wahl "&amp;D645,INDEX(KdoCodeTab,MATCH(D645,KdoWertTab,0)))),"Status "&amp;C645)</f>
        <v>SpaceWdh</v>
      </c>
      <c r="F645" t="str">
        <f t="shared" si="64"/>
        <v/>
      </c>
      <c r="G645" t="str">
        <f t="shared" si="65"/>
        <v/>
      </c>
      <c r="H645" t="str">
        <f t="shared" si="66"/>
        <v>SpaceWdh</v>
      </c>
    </row>
    <row r="646" spans="1:8" x14ac:dyDescent="0.25">
      <c r="A646" t="s">
        <v>677</v>
      </c>
      <c r="B646" s="3">
        <f t="shared" si="67"/>
        <v>101</v>
      </c>
      <c r="C646" s="3" t="str">
        <f t="shared" si="62"/>
        <v/>
      </c>
      <c r="D646" s="3">
        <f t="shared" si="63"/>
        <v>156</v>
      </c>
      <c r="E646" s="5" t="str">
        <f>IF(C646="",IF(D646="","",IF(D646&lt;128,"Wahl "&amp;D646,INDEX(KdoCodeTab,MATCH(D646,KdoWertTab,0)))),"Status "&amp;C646)</f>
        <v>Mark</v>
      </c>
      <c r="F646" t="str">
        <f t="shared" si="64"/>
        <v/>
      </c>
      <c r="G646" t="str">
        <f t="shared" si="65"/>
        <v/>
      </c>
      <c r="H646" t="str">
        <f t="shared" si="66"/>
        <v>Mark</v>
      </c>
    </row>
    <row r="647" spans="1:8" x14ac:dyDescent="0.25">
      <c r="A647" t="s">
        <v>678</v>
      </c>
      <c r="B647" s="3">
        <f t="shared" si="67"/>
        <v>101</v>
      </c>
      <c r="C647" s="3" t="str">
        <f t="shared" si="62"/>
        <v/>
      </c>
      <c r="D647" s="3">
        <f t="shared" si="63"/>
        <v>154</v>
      </c>
      <c r="E647" s="5" t="str">
        <f>IF(C647="",IF(D647="","",IF(D647&lt;128,"Wahl "&amp;D647,INDEX(KdoCodeTab,MATCH(D647,KdoWertTab,0)))),"Status "&amp;C647)</f>
        <v>MarkWdh</v>
      </c>
      <c r="F647" t="str">
        <f t="shared" si="64"/>
        <v/>
      </c>
      <c r="G647" t="str">
        <f t="shared" si="65"/>
        <v/>
      </c>
      <c r="H647" t="str">
        <f t="shared" si="66"/>
        <v>MarkWdh</v>
      </c>
    </row>
    <row r="648" spans="1:8" x14ac:dyDescent="0.25">
      <c r="A648" t="s">
        <v>679</v>
      </c>
      <c r="B648" s="3">
        <f t="shared" si="67"/>
        <v>101</v>
      </c>
      <c r="C648" s="3" t="str">
        <f t="shared" si="62"/>
        <v/>
      </c>
      <c r="D648" s="3">
        <f t="shared" si="63"/>
        <v>147</v>
      </c>
      <c r="E648" s="5" t="str">
        <f>IF(C648="",IF(D648="","",IF(D648&lt;128,"Wahl "&amp;D648,INDEX(KdoCodeTab,MATCH(D648,KdoWertTab,0)))),"Status "&amp;C648)</f>
        <v>Space</v>
      </c>
      <c r="F648" t="str">
        <f t="shared" si="64"/>
        <v/>
      </c>
      <c r="G648" t="str">
        <f t="shared" si="65"/>
        <v/>
      </c>
      <c r="H648" t="str">
        <f t="shared" si="66"/>
        <v>Space</v>
      </c>
    </row>
    <row r="649" spans="1:8" x14ac:dyDescent="0.25">
      <c r="A649" t="s">
        <v>680</v>
      </c>
      <c r="B649" s="3">
        <f t="shared" si="67"/>
        <v>101</v>
      </c>
      <c r="C649" s="3" t="str">
        <f t="shared" si="62"/>
        <v/>
      </c>
      <c r="D649" s="3">
        <f t="shared" si="63"/>
        <v>150</v>
      </c>
      <c r="E649" s="5" t="str">
        <f>IF(C649="",IF(D649="","",IF(D649&lt;128,"Wahl "&amp;D649,INDEX(KdoCodeTab,MATCH(D649,KdoWertTab,0)))),"Status "&amp;C649)</f>
        <v>SpaceWdh</v>
      </c>
      <c r="F649" t="str">
        <f t="shared" si="64"/>
        <v/>
      </c>
      <c r="G649" t="str">
        <f t="shared" si="65"/>
        <v/>
      </c>
      <c r="H649" t="str">
        <f t="shared" si="66"/>
        <v>SpaceWdh</v>
      </c>
    </row>
    <row r="650" spans="1:8" x14ac:dyDescent="0.25">
      <c r="A650" t="s">
        <v>681</v>
      </c>
      <c r="B650" s="3">
        <f t="shared" si="67"/>
        <v>101</v>
      </c>
      <c r="C650" s="3" t="str">
        <f t="shared" si="62"/>
        <v/>
      </c>
      <c r="D650" s="3">
        <f t="shared" si="63"/>
        <v>156</v>
      </c>
      <c r="E650" s="5" t="str">
        <f>IF(C650="",IF(D650="","",IF(D650&lt;128,"Wahl "&amp;D650,INDEX(KdoCodeTab,MATCH(D650,KdoWertTab,0)))),"Status "&amp;C650)</f>
        <v>Mark</v>
      </c>
      <c r="F650" t="str">
        <f t="shared" si="64"/>
        <v/>
      </c>
      <c r="G650" t="str">
        <f t="shared" si="65"/>
        <v/>
      </c>
      <c r="H650" t="str">
        <f t="shared" si="66"/>
        <v>Mark</v>
      </c>
    </row>
    <row r="651" spans="1:8" x14ac:dyDescent="0.25">
      <c r="A651" t="s">
        <v>682</v>
      </c>
      <c r="B651" s="3">
        <f t="shared" si="67"/>
        <v>101</v>
      </c>
      <c r="C651" s="3" t="str">
        <f t="shared" si="62"/>
        <v/>
      </c>
      <c r="D651" s="3">
        <f t="shared" si="63"/>
        <v>154</v>
      </c>
      <c r="E651" s="5" t="str">
        <f>IF(C651="",IF(D651="","",IF(D651&lt;128,"Wahl "&amp;D651,INDEX(KdoCodeTab,MATCH(D651,KdoWertTab,0)))),"Status "&amp;C651)</f>
        <v>MarkWdh</v>
      </c>
      <c r="F651" t="str">
        <f t="shared" si="64"/>
        <v/>
      </c>
      <c r="G651" t="str">
        <f t="shared" si="65"/>
        <v/>
      </c>
      <c r="H651" t="str">
        <f t="shared" si="66"/>
        <v>MarkWdh</v>
      </c>
    </row>
    <row r="652" spans="1:8" x14ac:dyDescent="0.25">
      <c r="A652" t="s">
        <v>683</v>
      </c>
      <c r="B652" s="3">
        <f t="shared" si="67"/>
        <v>31</v>
      </c>
      <c r="C652" s="3" t="str">
        <f t="shared" si="62"/>
        <v/>
      </c>
      <c r="D652" s="3">
        <f t="shared" si="63"/>
        <v>154</v>
      </c>
      <c r="E652" s="5" t="str">
        <f>IF(C652="",IF(D652="","",IF(D652&lt;128,"Wahl "&amp;D652,INDEX(KdoCodeTab,MATCH(D652,KdoWertTab,0)))),"Status "&amp;C652)</f>
        <v>MarkWdh</v>
      </c>
      <c r="F652" t="str">
        <f t="shared" si="64"/>
        <v>MarkWdh</v>
      </c>
      <c r="G652" t="str">
        <f t="shared" si="65"/>
        <v/>
      </c>
      <c r="H652" t="str">
        <f t="shared" si="66"/>
        <v/>
      </c>
    </row>
    <row r="653" spans="1:8" x14ac:dyDescent="0.25">
      <c r="A653" t="s">
        <v>684</v>
      </c>
      <c r="B653" s="3">
        <f t="shared" si="67"/>
        <v>101</v>
      </c>
      <c r="C653" s="3" t="str">
        <f t="shared" si="62"/>
        <v/>
      </c>
      <c r="D653" s="3">
        <f t="shared" si="63"/>
        <v>169</v>
      </c>
      <c r="E653" s="5" t="str">
        <f>IF(C653="",IF(D653="","",IF(D653&lt;128,"Wahl "&amp;D653,INDEX(KdoCodeTab,MATCH(D653,KdoWertTab,0)))),"Status "&amp;C653)</f>
        <v>BusLebenszeichen</v>
      </c>
      <c r="F653" t="str">
        <f t="shared" si="64"/>
        <v/>
      </c>
      <c r="G653" t="str">
        <f t="shared" si="65"/>
        <v/>
      </c>
      <c r="H653" t="str">
        <f t="shared" si="66"/>
        <v>BusLebenszeichen</v>
      </c>
    </row>
    <row r="654" spans="1:8" x14ac:dyDescent="0.25">
      <c r="A654" t="s">
        <v>685</v>
      </c>
      <c r="B654" s="3">
        <f t="shared" si="67"/>
        <v>101</v>
      </c>
      <c r="C654" s="3" t="str">
        <f t="shared" si="62"/>
        <v/>
      </c>
      <c r="D654" s="3">
        <f t="shared" si="63"/>
        <v>147</v>
      </c>
      <c r="E654" s="5" t="str">
        <f>IF(C654="",IF(D654="","",IF(D654&lt;128,"Wahl "&amp;D654,INDEX(KdoCodeTab,MATCH(D654,KdoWertTab,0)))),"Status "&amp;C654)</f>
        <v>Space</v>
      </c>
      <c r="F654" t="str">
        <f t="shared" si="64"/>
        <v/>
      </c>
      <c r="G654" t="str">
        <f t="shared" si="65"/>
        <v/>
      </c>
      <c r="H654" t="str">
        <f t="shared" si="66"/>
        <v>Space</v>
      </c>
    </row>
    <row r="655" spans="1:8" x14ac:dyDescent="0.25">
      <c r="A655" t="s">
        <v>686</v>
      </c>
      <c r="B655" s="3">
        <f t="shared" si="67"/>
        <v>101</v>
      </c>
      <c r="C655" s="3" t="str">
        <f t="shared" si="62"/>
        <v/>
      </c>
      <c r="D655" s="3">
        <f t="shared" si="63"/>
        <v>150</v>
      </c>
      <c r="E655" s="5" t="str">
        <f>IF(C655="",IF(D655="","",IF(D655&lt;128,"Wahl "&amp;D655,INDEX(KdoCodeTab,MATCH(D655,KdoWertTab,0)))),"Status "&amp;C655)</f>
        <v>SpaceWdh</v>
      </c>
      <c r="F655" t="str">
        <f t="shared" si="64"/>
        <v/>
      </c>
      <c r="G655" t="str">
        <f t="shared" si="65"/>
        <v/>
      </c>
      <c r="H655" t="str">
        <f t="shared" si="66"/>
        <v>SpaceWdh</v>
      </c>
    </row>
    <row r="656" spans="1:8" x14ac:dyDescent="0.25">
      <c r="A656" t="s">
        <v>687</v>
      </c>
      <c r="B656" s="3">
        <f t="shared" si="67"/>
        <v>101</v>
      </c>
      <c r="C656" s="3" t="str">
        <f t="shared" si="62"/>
        <v/>
      </c>
      <c r="D656" s="3">
        <f t="shared" si="63"/>
        <v>156</v>
      </c>
      <c r="E656" s="5" t="str">
        <f>IF(C656="",IF(D656="","",IF(D656&lt;128,"Wahl "&amp;D656,INDEX(KdoCodeTab,MATCH(D656,KdoWertTab,0)))),"Status "&amp;C656)</f>
        <v>Mark</v>
      </c>
      <c r="F656" t="str">
        <f t="shared" si="64"/>
        <v/>
      </c>
      <c r="G656" t="str">
        <f t="shared" si="65"/>
        <v/>
      </c>
      <c r="H656" t="str">
        <f t="shared" si="66"/>
        <v>Mark</v>
      </c>
    </row>
    <row r="657" spans="1:8" x14ac:dyDescent="0.25">
      <c r="A657" t="s">
        <v>688</v>
      </c>
      <c r="B657" s="3">
        <f t="shared" si="67"/>
        <v>101</v>
      </c>
      <c r="C657" s="3" t="str">
        <f t="shared" si="62"/>
        <v/>
      </c>
      <c r="D657" s="3">
        <f t="shared" si="63"/>
        <v>154</v>
      </c>
      <c r="E657" s="5" t="str">
        <f>IF(C657="",IF(D657="","",IF(D657&lt;128,"Wahl "&amp;D657,INDEX(KdoCodeTab,MATCH(D657,KdoWertTab,0)))),"Status "&amp;C657)</f>
        <v>MarkWdh</v>
      </c>
      <c r="F657" t="str">
        <f t="shared" si="64"/>
        <v/>
      </c>
      <c r="G657" t="str">
        <f t="shared" si="65"/>
        <v/>
      </c>
      <c r="H657" t="str">
        <f t="shared" si="66"/>
        <v>MarkWdh</v>
      </c>
    </row>
    <row r="658" spans="1:8" x14ac:dyDescent="0.25">
      <c r="A658" t="s">
        <v>689</v>
      </c>
      <c r="B658" s="3">
        <f t="shared" si="67"/>
        <v>101</v>
      </c>
      <c r="C658" s="3" t="str">
        <f t="shared" si="62"/>
        <v/>
      </c>
      <c r="D658" s="3">
        <f t="shared" si="63"/>
        <v>147</v>
      </c>
      <c r="E658" s="5" t="str">
        <f>IF(C658="",IF(D658="","",IF(D658&lt;128,"Wahl "&amp;D658,INDEX(KdoCodeTab,MATCH(D658,KdoWertTab,0)))),"Status "&amp;C658)</f>
        <v>Space</v>
      </c>
      <c r="F658" t="str">
        <f t="shared" si="64"/>
        <v/>
      </c>
      <c r="G658" t="str">
        <f t="shared" si="65"/>
        <v/>
      </c>
      <c r="H658" t="str">
        <f t="shared" si="66"/>
        <v>Space</v>
      </c>
    </row>
    <row r="659" spans="1:8" x14ac:dyDescent="0.25">
      <c r="A659" t="s">
        <v>690</v>
      </c>
      <c r="B659" s="3">
        <f t="shared" si="67"/>
        <v>101</v>
      </c>
      <c r="C659" s="3" t="str">
        <f t="shared" si="62"/>
        <v/>
      </c>
      <c r="D659" s="3">
        <f t="shared" si="63"/>
        <v>150</v>
      </c>
      <c r="E659" s="5" t="str">
        <f>IF(C659="",IF(D659="","",IF(D659&lt;128,"Wahl "&amp;D659,INDEX(KdoCodeTab,MATCH(D659,KdoWertTab,0)))),"Status "&amp;C659)</f>
        <v>SpaceWdh</v>
      </c>
      <c r="F659" t="str">
        <f t="shared" si="64"/>
        <v/>
      </c>
      <c r="G659" t="str">
        <f t="shared" si="65"/>
        <v/>
      </c>
      <c r="H659" t="str">
        <f t="shared" si="66"/>
        <v>SpaceWdh</v>
      </c>
    </row>
    <row r="660" spans="1:8" x14ac:dyDescent="0.25">
      <c r="A660" t="s">
        <v>691</v>
      </c>
      <c r="B660" s="3">
        <f t="shared" si="67"/>
        <v>101</v>
      </c>
      <c r="C660" s="3" t="str">
        <f t="shared" si="62"/>
        <v/>
      </c>
      <c r="D660" s="3">
        <f t="shared" si="63"/>
        <v>156</v>
      </c>
      <c r="E660" s="5" t="str">
        <f>IF(C660="",IF(D660="","",IF(D660&lt;128,"Wahl "&amp;D660,INDEX(KdoCodeTab,MATCH(D660,KdoWertTab,0)))),"Status "&amp;C660)</f>
        <v>Mark</v>
      </c>
      <c r="F660" t="str">
        <f t="shared" si="64"/>
        <v/>
      </c>
      <c r="G660" t="str">
        <f t="shared" si="65"/>
        <v/>
      </c>
      <c r="H660" t="str">
        <f t="shared" si="66"/>
        <v>Mark</v>
      </c>
    </row>
    <row r="661" spans="1:8" x14ac:dyDescent="0.25">
      <c r="A661" t="s">
        <v>692</v>
      </c>
      <c r="B661" s="3">
        <f t="shared" si="67"/>
        <v>101</v>
      </c>
      <c r="C661" s="3" t="str">
        <f t="shared" si="62"/>
        <v/>
      </c>
      <c r="D661" s="3">
        <f t="shared" si="63"/>
        <v>154</v>
      </c>
      <c r="E661" s="5" t="str">
        <f>IF(C661="",IF(D661="","",IF(D661&lt;128,"Wahl "&amp;D661,INDEX(KdoCodeTab,MATCH(D661,KdoWertTab,0)))),"Status "&amp;C661)</f>
        <v>MarkWdh</v>
      </c>
      <c r="F661" t="str">
        <f t="shared" si="64"/>
        <v/>
      </c>
      <c r="G661" t="str">
        <f t="shared" si="65"/>
        <v/>
      </c>
      <c r="H661" t="str">
        <f t="shared" si="66"/>
        <v>MarkWdh</v>
      </c>
    </row>
    <row r="662" spans="1:8" x14ac:dyDescent="0.25">
      <c r="A662" t="s">
        <v>693</v>
      </c>
      <c r="B662" s="3">
        <f t="shared" si="67"/>
        <v>101</v>
      </c>
      <c r="C662" s="3" t="str">
        <f t="shared" si="62"/>
        <v/>
      </c>
      <c r="D662" s="3">
        <f t="shared" si="63"/>
        <v>147</v>
      </c>
      <c r="E662" s="5" t="str">
        <f>IF(C662="",IF(D662="","",IF(D662&lt;128,"Wahl "&amp;D662,INDEX(KdoCodeTab,MATCH(D662,KdoWertTab,0)))),"Status "&amp;C662)</f>
        <v>Space</v>
      </c>
      <c r="F662" t="str">
        <f t="shared" si="64"/>
        <v/>
      </c>
      <c r="G662" t="str">
        <f t="shared" si="65"/>
        <v/>
      </c>
      <c r="H662" t="str">
        <f t="shared" si="66"/>
        <v>Space</v>
      </c>
    </row>
    <row r="663" spans="1:8" x14ac:dyDescent="0.25">
      <c r="A663" t="s">
        <v>694</v>
      </c>
      <c r="B663" s="3">
        <f t="shared" si="67"/>
        <v>101</v>
      </c>
      <c r="C663" s="3" t="str">
        <f t="shared" si="62"/>
        <v/>
      </c>
      <c r="D663" s="3">
        <f t="shared" si="63"/>
        <v>150</v>
      </c>
      <c r="E663" s="5" t="str">
        <f>IF(C663="",IF(D663="","",IF(D663&lt;128,"Wahl "&amp;D663,INDEX(KdoCodeTab,MATCH(D663,KdoWertTab,0)))),"Status "&amp;C663)</f>
        <v>SpaceWdh</v>
      </c>
      <c r="F663" t="str">
        <f t="shared" si="64"/>
        <v/>
      </c>
      <c r="G663" t="str">
        <f t="shared" si="65"/>
        <v/>
      </c>
      <c r="H663" t="str">
        <f t="shared" si="66"/>
        <v>SpaceWdh</v>
      </c>
    </row>
    <row r="664" spans="1:8" x14ac:dyDescent="0.25">
      <c r="A664" t="s">
        <v>695</v>
      </c>
      <c r="B664" s="3">
        <f t="shared" si="67"/>
        <v>101</v>
      </c>
      <c r="C664" s="3" t="str">
        <f t="shared" si="62"/>
        <v/>
      </c>
      <c r="D664" s="3">
        <f t="shared" si="63"/>
        <v>156</v>
      </c>
      <c r="E664" s="5" t="str">
        <f>IF(C664="",IF(D664="","",IF(D664&lt;128,"Wahl "&amp;D664,INDEX(KdoCodeTab,MATCH(D664,KdoWertTab,0)))),"Status "&amp;C664)</f>
        <v>Mark</v>
      </c>
      <c r="F664" t="str">
        <f t="shared" si="64"/>
        <v/>
      </c>
      <c r="G664" t="str">
        <f t="shared" si="65"/>
        <v/>
      </c>
      <c r="H664" t="str">
        <f t="shared" si="66"/>
        <v>Mark</v>
      </c>
    </row>
    <row r="665" spans="1:8" x14ac:dyDescent="0.25">
      <c r="A665" t="s">
        <v>696</v>
      </c>
      <c r="B665" s="3">
        <f t="shared" si="67"/>
        <v>101</v>
      </c>
      <c r="C665" s="3" t="str">
        <f t="shared" si="62"/>
        <v/>
      </c>
      <c r="D665" s="3">
        <f t="shared" si="63"/>
        <v>154</v>
      </c>
      <c r="E665" s="5" t="str">
        <f>IF(C665="",IF(D665="","",IF(D665&lt;128,"Wahl "&amp;D665,INDEX(KdoCodeTab,MATCH(D665,KdoWertTab,0)))),"Status "&amp;C665)</f>
        <v>MarkWdh</v>
      </c>
      <c r="F665" t="str">
        <f t="shared" si="64"/>
        <v/>
      </c>
      <c r="G665" t="str">
        <f t="shared" si="65"/>
        <v/>
      </c>
      <c r="H665" t="str">
        <f t="shared" si="66"/>
        <v>MarkWdh</v>
      </c>
    </row>
    <row r="666" spans="1:8" x14ac:dyDescent="0.25">
      <c r="A666" t="s">
        <v>697</v>
      </c>
      <c r="B666" s="3">
        <f t="shared" si="67"/>
        <v>101</v>
      </c>
      <c r="C666" s="3" t="str">
        <f t="shared" si="62"/>
        <v/>
      </c>
      <c r="D666" s="3">
        <f t="shared" si="63"/>
        <v>147</v>
      </c>
      <c r="E666" s="5" t="str">
        <f>IF(C666="",IF(D666="","",IF(D666&lt;128,"Wahl "&amp;D666,INDEX(KdoCodeTab,MATCH(D666,KdoWertTab,0)))),"Status "&amp;C666)</f>
        <v>Space</v>
      </c>
      <c r="F666" t="str">
        <f t="shared" si="64"/>
        <v/>
      </c>
      <c r="G666" t="str">
        <f t="shared" si="65"/>
        <v/>
      </c>
      <c r="H666" t="str">
        <f t="shared" si="66"/>
        <v>Space</v>
      </c>
    </row>
    <row r="667" spans="1:8" x14ac:dyDescent="0.25">
      <c r="A667" t="s">
        <v>698</v>
      </c>
      <c r="B667" s="3">
        <f t="shared" si="67"/>
        <v>101</v>
      </c>
      <c r="C667" s="3" t="str">
        <f t="shared" si="62"/>
        <v/>
      </c>
      <c r="D667" s="3">
        <f t="shared" si="63"/>
        <v>150</v>
      </c>
      <c r="E667" s="5" t="str">
        <f>IF(C667="",IF(D667="","",IF(D667&lt;128,"Wahl "&amp;D667,INDEX(KdoCodeTab,MATCH(D667,KdoWertTab,0)))),"Status "&amp;C667)</f>
        <v>SpaceWdh</v>
      </c>
      <c r="F667" t="str">
        <f t="shared" si="64"/>
        <v/>
      </c>
      <c r="G667" t="str">
        <f t="shared" si="65"/>
        <v/>
      </c>
      <c r="H667" t="str">
        <f t="shared" si="66"/>
        <v>SpaceWdh</v>
      </c>
    </row>
    <row r="668" spans="1:8" x14ac:dyDescent="0.25">
      <c r="A668" t="s">
        <v>699</v>
      </c>
      <c r="B668" s="3">
        <f t="shared" si="67"/>
        <v>101</v>
      </c>
      <c r="C668" s="3" t="str">
        <f t="shared" si="62"/>
        <v/>
      </c>
      <c r="D668" s="3">
        <f t="shared" si="63"/>
        <v>156</v>
      </c>
      <c r="E668" s="5" t="str">
        <f>IF(C668="",IF(D668="","",IF(D668&lt;128,"Wahl "&amp;D668,INDEX(KdoCodeTab,MATCH(D668,KdoWertTab,0)))),"Status "&amp;C668)</f>
        <v>Mark</v>
      </c>
      <c r="F668" t="str">
        <f t="shared" si="64"/>
        <v/>
      </c>
      <c r="G668" t="str">
        <f t="shared" si="65"/>
        <v/>
      </c>
      <c r="H668" t="str">
        <f t="shared" si="66"/>
        <v>Mark</v>
      </c>
    </row>
    <row r="669" spans="1:8" x14ac:dyDescent="0.25">
      <c r="A669" t="s">
        <v>700</v>
      </c>
      <c r="B669" s="3">
        <f t="shared" si="67"/>
        <v>101</v>
      </c>
      <c r="C669" s="3" t="str">
        <f t="shared" si="62"/>
        <v/>
      </c>
      <c r="D669" s="3">
        <f t="shared" si="63"/>
        <v>154</v>
      </c>
      <c r="E669" s="5" t="str">
        <f>IF(C669="",IF(D669="","",IF(D669&lt;128,"Wahl "&amp;D669,INDEX(KdoCodeTab,MATCH(D669,KdoWertTab,0)))),"Status "&amp;C669)</f>
        <v>MarkWdh</v>
      </c>
      <c r="F669" t="str">
        <f t="shared" si="64"/>
        <v/>
      </c>
      <c r="G669" t="str">
        <f t="shared" si="65"/>
        <v/>
      </c>
      <c r="H669" t="str">
        <f t="shared" si="66"/>
        <v>MarkWdh</v>
      </c>
    </row>
    <row r="670" spans="1:8" x14ac:dyDescent="0.25">
      <c r="A670" t="s">
        <v>701</v>
      </c>
      <c r="B670" s="3">
        <f t="shared" si="67"/>
        <v>31</v>
      </c>
      <c r="C670" s="3" t="str">
        <f t="shared" si="62"/>
        <v/>
      </c>
      <c r="D670" s="3">
        <f t="shared" si="63"/>
        <v>154</v>
      </c>
      <c r="E670" s="5" t="str">
        <f>IF(C670="",IF(D670="","",IF(D670&lt;128,"Wahl "&amp;D670,INDEX(KdoCodeTab,MATCH(D670,KdoWertTab,0)))),"Status "&amp;C670)</f>
        <v>MarkWdh</v>
      </c>
      <c r="F670" t="str">
        <f t="shared" si="64"/>
        <v>MarkWdh</v>
      </c>
      <c r="G670" t="str">
        <f t="shared" si="65"/>
        <v/>
      </c>
      <c r="H670" t="str">
        <f t="shared" si="66"/>
        <v/>
      </c>
    </row>
    <row r="671" spans="1:8" x14ac:dyDescent="0.25">
      <c r="A671" t="s">
        <v>702</v>
      </c>
      <c r="B671" s="3">
        <f t="shared" si="67"/>
        <v>101</v>
      </c>
      <c r="C671" s="3" t="str">
        <f t="shared" si="62"/>
        <v/>
      </c>
      <c r="D671" s="3">
        <f t="shared" si="63"/>
        <v>147</v>
      </c>
      <c r="E671" s="5" t="str">
        <f>IF(C671="",IF(D671="","",IF(D671&lt;128,"Wahl "&amp;D671,INDEX(KdoCodeTab,MATCH(D671,KdoWertTab,0)))),"Status "&amp;C671)</f>
        <v>Space</v>
      </c>
      <c r="F671" t="str">
        <f t="shared" si="64"/>
        <v/>
      </c>
      <c r="G671" t="str">
        <f t="shared" si="65"/>
        <v/>
      </c>
      <c r="H671" t="str">
        <f t="shared" si="66"/>
        <v>Space</v>
      </c>
    </row>
    <row r="672" spans="1:8" x14ac:dyDescent="0.25">
      <c r="A672" t="s">
        <v>703</v>
      </c>
      <c r="B672" s="3">
        <f t="shared" si="67"/>
        <v>101</v>
      </c>
      <c r="C672" s="3" t="str">
        <f t="shared" si="62"/>
        <v/>
      </c>
      <c r="D672" s="3">
        <f t="shared" si="63"/>
        <v>150</v>
      </c>
      <c r="E672" s="5" t="str">
        <f>IF(C672="",IF(D672="","",IF(D672&lt;128,"Wahl "&amp;D672,INDEX(KdoCodeTab,MATCH(D672,KdoWertTab,0)))),"Status "&amp;C672)</f>
        <v>SpaceWdh</v>
      </c>
      <c r="F672" t="str">
        <f t="shared" si="64"/>
        <v/>
      </c>
      <c r="G672" t="str">
        <f t="shared" si="65"/>
        <v/>
      </c>
      <c r="H672" t="str">
        <f t="shared" si="66"/>
        <v>SpaceWdh</v>
      </c>
    </row>
    <row r="673" spans="1:8" x14ac:dyDescent="0.25">
      <c r="A673" t="s">
        <v>704</v>
      </c>
      <c r="B673" s="3">
        <f t="shared" si="67"/>
        <v>101</v>
      </c>
      <c r="C673" s="3" t="str">
        <f t="shared" si="62"/>
        <v/>
      </c>
      <c r="D673" s="3">
        <f t="shared" si="63"/>
        <v>156</v>
      </c>
      <c r="E673" s="5" t="str">
        <f>IF(C673="",IF(D673="","",IF(D673&lt;128,"Wahl "&amp;D673,INDEX(KdoCodeTab,MATCH(D673,KdoWertTab,0)))),"Status "&amp;C673)</f>
        <v>Mark</v>
      </c>
      <c r="F673" t="str">
        <f t="shared" si="64"/>
        <v/>
      </c>
      <c r="G673" t="str">
        <f t="shared" si="65"/>
        <v/>
      </c>
      <c r="H673" t="str">
        <f t="shared" si="66"/>
        <v>Mark</v>
      </c>
    </row>
    <row r="674" spans="1:8" x14ac:dyDescent="0.25">
      <c r="A674" t="s">
        <v>705</v>
      </c>
      <c r="B674" s="3">
        <f t="shared" si="67"/>
        <v>101</v>
      </c>
      <c r="C674" s="3" t="str">
        <f t="shared" si="62"/>
        <v/>
      </c>
      <c r="D674" s="3">
        <f t="shared" si="63"/>
        <v>154</v>
      </c>
      <c r="E674" s="5" t="str">
        <f>IF(C674="",IF(D674="","",IF(D674&lt;128,"Wahl "&amp;D674,INDEX(KdoCodeTab,MATCH(D674,KdoWertTab,0)))),"Status "&amp;C674)</f>
        <v>MarkWdh</v>
      </c>
      <c r="F674" t="str">
        <f t="shared" si="64"/>
        <v/>
      </c>
      <c r="G674" t="str">
        <f t="shared" si="65"/>
        <v/>
      </c>
      <c r="H674" t="str">
        <f t="shared" si="66"/>
        <v>MarkWdh</v>
      </c>
    </row>
    <row r="675" spans="1:8" x14ac:dyDescent="0.25">
      <c r="A675" t="s">
        <v>706</v>
      </c>
      <c r="B675" s="3">
        <f t="shared" si="67"/>
        <v>101</v>
      </c>
      <c r="C675" s="3" t="str">
        <f t="shared" si="62"/>
        <v/>
      </c>
      <c r="D675" s="3">
        <f t="shared" si="63"/>
        <v>147</v>
      </c>
      <c r="E675" s="5" t="str">
        <f>IF(C675="",IF(D675="","",IF(D675&lt;128,"Wahl "&amp;D675,INDEX(KdoCodeTab,MATCH(D675,KdoWertTab,0)))),"Status "&amp;C675)</f>
        <v>Space</v>
      </c>
      <c r="F675" t="str">
        <f t="shared" si="64"/>
        <v/>
      </c>
      <c r="G675" t="str">
        <f t="shared" si="65"/>
        <v/>
      </c>
      <c r="H675" t="str">
        <f t="shared" si="66"/>
        <v>Space</v>
      </c>
    </row>
    <row r="676" spans="1:8" x14ac:dyDescent="0.25">
      <c r="A676" t="s">
        <v>707</v>
      </c>
      <c r="B676" s="3">
        <f t="shared" si="67"/>
        <v>101</v>
      </c>
      <c r="C676" s="3" t="str">
        <f t="shared" si="62"/>
        <v/>
      </c>
      <c r="D676" s="3">
        <f t="shared" si="63"/>
        <v>150</v>
      </c>
      <c r="E676" s="5" t="str">
        <f>IF(C676="",IF(D676="","",IF(D676&lt;128,"Wahl "&amp;D676,INDEX(KdoCodeTab,MATCH(D676,KdoWertTab,0)))),"Status "&amp;C676)</f>
        <v>SpaceWdh</v>
      </c>
      <c r="F676" t="str">
        <f t="shared" si="64"/>
        <v/>
      </c>
      <c r="G676" t="str">
        <f t="shared" si="65"/>
        <v/>
      </c>
      <c r="H676" t="str">
        <f t="shared" si="66"/>
        <v>SpaceWdh</v>
      </c>
    </row>
    <row r="677" spans="1:8" x14ac:dyDescent="0.25">
      <c r="A677" t="s">
        <v>708</v>
      </c>
      <c r="B677" s="3">
        <f t="shared" si="67"/>
        <v>101</v>
      </c>
      <c r="C677" s="3" t="str">
        <f t="shared" si="62"/>
        <v/>
      </c>
      <c r="D677" s="3">
        <f t="shared" si="63"/>
        <v>156</v>
      </c>
      <c r="E677" s="5" t="str">
        <f>IF(C677="",IF(D677="","",IF(D677&lt;128,"Wahl "&amp;D677,INDEX(KdoCodeTab,MATCH(D677,KdoWertTab,0)))),"Status "&amp;C677)</f>
        <v>Mark</v>
      </c>
      <c r="F677" t="str">
        <f t="shared" si="64"/>
        <v/>
      </c>
      <c r="G677" t="str">
        <f t="shared" si="65"/>
        <v/>
      </c>
      <c r="H677" t="str">
        <f t="shared" si="66"/>
        <v>Mark</v>
      </c>
    </row>
    <row r="678" spans="1:8" x14ac:dyDescent="0.25">
      <c r="A678" t="s">
        <v>709</v>
      </c>
      <c r="B678" s="3">
        <f t="shared" si="67"/>
        <v>101</v>
      </c>
      <c r="C678" s="3" t="str">
        <f t="shared" si="62"/>
        <v/>
      </c>
      <c r="D678" s="3">
        <f t="shared" si="63"/>
        <v>154</v>
      </c>
      <c r="E678" s="5" t="str">
        <f>IF(C678="",IF(D678="","",IF(D678&lt;128,"Wahl "&amp;D678,INDEX(KdoCodeTab,MATCH(D678,KdoWertTab,0)))),"Status "&amp;C678)</f>
        <v>MarkWdh</v>
      </c>
      <c r="F678" t="str">
        <f t="shared" si="64"/>
        <v/>
      </c>
      <c r="G678" t="str">
        <f t="shared" si="65"/>
        <v/>
      </c>
      <c r="H678" t="str">
        <f t="shared" si="66"/>
        <v>MarkWdh</v>
      </c>
    </row>
    <row r="679" spans="1:8" x14ac:dyDescent="0.25">
      <c r="A679" t="s">
        <v>710</v>
      </c>
      <c r="B679" s="3">
        <f t="shared" si="67"/>
        <v>101</v>
      </c>
      <c r="C679" s="3" t="str">
        <f t="shared" si="62"/>
        <v/>
      </c>
      <c r="D679" s="3">
        <f t="shared" si="63"/>
        <v>147</v>
      </c>
      <c r="E679" s="5" t="str">
        <f>IF(C679="",IF(D679="","",IF(D679&lt;128,"Wahl "&amp;D679,INDEX(KdoCodeTab,MATCH(D679,KdoWertTab,0)))),"Status "&amp;C679)</f>
        <v>Space</v>
      </c>
      <c r="F679" t="str">
        <f t="shared" si="64"/>
        <v/>
      </c>
      <c r="G679" t="str">
        <f t="shared" si="65"/>
        <v/>
      </c>
      <c r="H679" t="str">
        <f t="shared" si="66"/>
        <v>Space</v>
      </c>
    </row>
    <row r="680" spans="1:8" x14ac:dyDescent="0.25">
      <c r="A680" t="s">
        <v>711</v>
      </c>
      <c r="B680" s="3">
        <f t="shared" si="67"/>
        <v>101</v>
      </c>
      <c r="C680" s="3" t="str">
        <f t="shared" si="62"/>
        <v/>
      </c>
      <c r="D680" s="3">
        <f t="shared" si="63"/>
        <v>150</v>
      </c>
      <c r="E680" s="5" t="str">
        <f>IF(C680="",IF(D680="","",IF(D680&lt;128,"Wahl "&amp;D680,INDEX(KdoCodeTab,MATCH(D680,KdoWertTab,0)))),"Status "&amp;C680)</f>
        <v>SpaceWdh</v>
      </c>
      <c r="F680" t="str">
        <f t="shared" si="64"/>
        <v/>
      </c>
      <c r="G680" t="str">
        <f t="shared" si="65"/>
        <v/>
      </c>
      <c r="H680" t="str">
        <f t="shared" si="66"/>
        <v>SpaceWdh</v>
      </c>
    </row>
    <row r="681" spans="1:8" x14ac:dyDescent="0.25">
      <c r="A681" t="s">
        <v>712</v>
      </c>
      <c r="B681" s="3">
        <f t="shared" si="67"/>
        <v>101</v>
      </c>
      <c r="C681" s="3" t="str">
        <f t="shared" si="62"/>
        <v/>
      </c>
      <c r="D681" s="3">
        <f t="shared" si="63"/>
        <v>169</v>
      </c>
      <c r="E681" s="5" t="str">
        <f>IF(C681="",IF(D681="","",IF(D681&lt;128,"Wahl "&amp;D681,INDEX(KdoCodeTab,MATCH(D681,KdoWertTab,0)))),"Status "&amp;C681)</f>
        <v>BusLebenszeichen</v>
      </c>
      <c r="F681" t="str">
        <f t="shared" si="64"/>
        <v/>
      </c>
      <c r="G681" t="str">
        <f t="shared" si="65"/>
        <v/>
      </c>
      <c r="H681" t="str">
        <f t="shared" si="66"/>
        <v>BusLebenszeichen</v>
      </c>
    </row>
    <row r="682" spans="1:8" x14ac:dyDescent="0.25">
      <c r="A682" t="s">
        <v>713</v>
      </c>
      <c r="B682" s="3">
        <f t="shared" si="67"/>
        <v>101</v>
      </c>
      <c r="C682" s="3" t="str">
        <f t="shared" si="62"/>
        <v/>
      </c>
      <c r="D682" s="3">
        <f t="shared" si="63"/>
        <v>156</v>
      </c>
      <c r="E682" s="5" t="str">
        <f>IF(C682="",IF(D682="","",IF(D682&lt;128,"Wahl "&amp;D682,INDEX(KdoCodeTab,MATCH(D682,KdoWertTab,0)))),"Status "&amp;C682)</f>
        <v>Mark</v>
      </c>
      <c r="F682" t="str">
        <f t="shared" si="64"/>
        <v/>
      </c>
      <c r="G682" t="str">
        <f t="shared" si="65"/>
        <v/>
      </c>
      <c r="H682" t="str">
        <f t="shared" si="66"/>
        <v>Mark</v>
      </c>
    </row>
    <row r="683" spans="1:8" x14ac:dyDescent="0.25">
      <c r="A683" t="s">
        <v>714</v>
      </c>
      <c r="B683" s="3">
        <f t="shared" si="67"/>
        <v>101</v>
      </c>
      <c r="C683" s="3" t="str">
        <f t="shared" si="62"/>
        <v/>
      </c>
      <c r="D683" s="3">
        <f t="shared" si="63"/>
        <v>154</v>
      </c>
      <c r="E683" s="5" t="str">
        <f>IF(C683="",IF(D683="","",IF(D683&lt;128,"Wahl "&amp;D683,INDEX(KdoCodeTab,MATCH(D683,KdoWertTab,0)))),"Status "&amp;C683)</f>
        <v>MarkWdh</v>
      </c>
      <c r="F683" t="str">
        <f t="shared" si="64"/>
        <v/>
      </c>
      <c r="G683" t="str">
        <f t="shared" si="65"/>
        <v/>
      </c>
      <c r="H683" t="str">
        <f t="shared" si="66"/>
        <v>MarkWdh</v>
      </c>
    </row>
    <row r="684" spans="1:8" x14ac:dyDescent="0.25">
      <c r="A684" t="s">
        <v>715</v>
      </c>
      <c r="B684" s="3">
        <f t="shared" si="67"/>
        <v>101</v>
      </c>
      <c r="C684" s="3" t="str">
        <f t="shared" si="62"/>
        <v/>
      </c>
      <c r="D684" s="3">
        <f t="shared" si="63"/>
        <v>147</v>
      </c>
      <c r="E684" s="5" t="str">
        <f>IF(C684="",IF(D684="","",IF(D684&lt;128,"Wahl "&amp;D684,INDEX(KdoCodeTab,MATCH(D684,KdoWertTab,0)))),"Status "&amp;C684)</f>
        <v>Space</v>
      </c>
      <c r="F684" t="str">
        <f t="shared" si="64"/>
        <v/>
      </c>
      <c r="G684" t="str">
        <f t="shared" si="65"/>
        <v/>
      </c>
      <c r="H684" t="str">
        <f t="shared" si="66"/>
        <v>Space</v>
      </c>
    </row>
    <row r="685" spans="1:8" x14ac:dyDescent="0.25">
      <c r="A685" t="s">
        <v>716</v>
      </c>
      <c r="B685" s="3">
        <f t="shared" si="67"/>
        <v>101</v>
      </c>
      <c r="C685" s="3" t="str">
        <f t="shared" si="62"/>
        <v/>
      </c>
      <c r="D685" s="3">
        <f t="shared" si="63"/>
        <v>150</v>
      </c>
      <c r="E685" s="5" t="str">
        <f>IF(C685="",IF(D685="","",IF(D685&lt;128,"Wahl "&amp;D685,INDEX(KdoCodeTab,MATCH(D685,KdoWertTab,0)))),"Status "&amp;C685)</f>
        <v>SpaceWdh</v>
      </c>
      <c r="F685" t="str">
        <f t="shared" si="64"/>
        <v/>
      </c>
      <c r="G685" t="str">
        <f t="shared" si="65"/>
        <v/>
      </c>
      <c r="H685" t="str">
        <f t="shared" si="66"/>
        <v>SpaceWdh</v>
      </c>
    </row>
    <row r="686" spans="1:8" x14ac:dyDescent="0.25">
      <c r="A686" t="s">
        <v>717</v>
      </c>
      <c r="B686" s="3">
        <f t="shared" si="67"/>
        <v>101</v>
      </c>
      <c r="C686" s="3" t="str">
        <f t="shared" si="62"/>
        <v/>
      </c>
      <c r="D686" s="3">
        <f t="shared" si="63"/>
        <v>156</v>
      </c>
      <c r="E686" s="5" t="str">
        <f>IF(C686="",IF(D686="","",IF(D686&lt;128,"Wahl "&amp;D686,INDEX(KdoCodeTab,MATCH(D686,KdoWertTab,0)))),"Status "&amp;C686)</f>
        <v>Mark</v>
      </c>
      <c r="F686" t="str">
        <f t="shared" si="64"/>
        <v/>
      </c>
      <c r="G686" t="str">
        <f t="shared" si="65"/>
        <v/>
      </c>
      <c r="H686" t="str">
        <f t="shared" si="66"/>
        <v>Mark</v>
      </c>
    </row>
    <row r="687" spans="1:8" x14ac:dyDescent="0.25">
      <c r="A687" t="s">
        <v>718</v>
      </c>
      <c r="B687" s="3">
        <f t="shared" si="67"/>
        <v>101</v>
      </c>
      <c r="C687" s="3" t="str">
        <f t="shared" si="62"/>
        <v/>
      </c>
      <c r="D687" s="3">
        <f t="shared" si="63"/>
        <v>154</v>
      </c>
      <c r="E687" s="5" t="str">
        <f>IF(C687="",IF(D687="","",IF(D687&lt;128,"Wahl "&amp;D687,INDEX(KdoCodeTab,MATCH(D687,KdoWertTab,0)))),"Status "&amp;C687)</f>
        <v>MarkWdh</v>
      </c>
      <c r="F687" t="str">
        <f t="shared" si="64"/>
        <v/>
      </c>
      <c r="G687" t="str">
        <f t="shared" si="65"/>
        <v/>
      </c>
      <c r="H687" t="str">
        <f t="shared" si="66"/>
        <v>MarkWdh</v>
      </c>
    </row>
    <row r="688" spans="1:8" x14ac:dyDescent="0.25">
      <c r="A688" t="s">
        <v>719</v>
      </c>
      <c r="B688" s="3">
        <f t="shared" si="67"/>
        <v>101</v>
      </c>
      <c r="C688" s="3" t="str">
        <f t="shared" si="62"/>
        <v/>
      </c>
      <c r="D688" s="3">
        <f t="shared" si="63"/>
        <v>147</v>
      </c>
      <c r="E688" s="5" t="str">
        <f>IF(C688="",IF(D688="","",IF(D688&lt;128,"Wahl "&amp;D688,INDEX(KdoCodeTab,MATCH(D688,KdoWertTab,0)))),"Status "&amp;C688)</f>
        <v>Space</v>
      </c>
      <c r="F688" t="str">
        <f t="shared" si="64"/>
        <v/>
      </c>
      <c r="G688" t="str">
        <f t="shared" si="65"/>
        <v/>
      </c>
      <c r="H688" t="str">
        <f t="shared" si="66"/>
        <v>Space</v>
      </c>
    </row>
    <row r="689" spans="1:8" x14ac:dyDescent="0.25">
      <c r="A689" t="s">
        <v>720</v>
      </c>
      <c r="B689" s="3">
        <f t="shared" si="67"/>
        <v>101</v>
      </c>
      <c r="C689" s="3" t="str">
        <f t="shared" si="62"/>
        <v/>
      </c>
      <c r="D689" s="3">
        <f t="shared" si="63"/>
        <v>150</v>
      </c>
      <c r="E689" s="5" t="str">
        <f>IF(C689="",IF(D689="","",IF(D689&lt;128,"Wahl "&amp;D689,INDEX(KdoCodeTab,MATCH(D689,KdoWertTab,0)))),"Status "&amp;C689)</f>
        <v>SpaceWdh</v>
      </c>
      <c r="F689" t="str">
        <f t="shared" si="64"/>
        <v/>
      </c>
      <c r="G689" t="str">
        <f t="shared" si="65"/>
        <v/>
      </c>
      <c r="H689" t="str">
        <f t="shared" si="66"/>
        <v>SpaceWdh</v>
      </c>
    </row>
    <row r="690" spans="1:8" x14ac:dyDescent="0.25">
      <c r="A690" t="s">
        <v>721</v>
      </c>
      <c r="B690" s="3">
        <f t="shared" si="67"/>
        <v>101</v>
      </c>
      <c r="C690" s="3" t="str">
        <f t="shared" si="62"/>
        <v/>
      </c>
      <c r="D690" s="3">
        <f t="shared" si="63"/>
        <v>156</v>
      </c>
      <c r="E690" s="5" t="str">
        <f>IF(C690="",IF(D690="","",IF(D690&lt;128,"Wahl "&amp;D690,INDEX(KdoCodeTab,MATCH(D690,KdoWertTab,0)))),"Status "&amp;C690)</f>
        <v>Mark</v>
      </c>
      <c r="F690" t="str">
        <f t="shared" si="64"/>
        <v/>
      </c>
      <c r="G690" t="str">
        <f t="shared" si="65"/>
        <v/>
      </c>
      <c r="H690" t="str">
        <f t="shared" si="66"/>
        <v>Mark</v>
      </c>
    </row>
    <row r="691" spans="1:8" x14ac:dyDescent="0.25">
      <c r="A691" t="s">
        <v>722</v>
      </c>
      <c r="B691" s="3">
        <f t="shared" si="67"/>
        <v>101</v>
      </c>
      <c r="C691" s="3" t="str">
        <f t="shared" si="62"/>
        <v/>
      </c>
      <c r="D691" s="3">
        <f t="shared" si="63"/>
        <v>154</v>
      </c>
      <c r="E691" s="5" t="str">
        <f>IF(C691="",IF(D691="","",IF(D691&lt;128,"Wahl "&amp;D691,INDEX(KdoCodeTab,MATCH(D691,KdoWertTab,0)))),"Status "&amp;C691)</f>
        <v>MarkWdh</v>
      </c>
      <c r="F691" t="str">
        <f t="shared" si="64"/>
        <v/>
      </c>
      <c r="G691" t="str">
        <f t="shared" si="65"/>
        <v/>
      </c>
      <c r="H691" t="str">
        <f t="shared" si="66"/>
        <v>MarkWdh</v>
      </c>
    </row>
    <row r="692" spans="1:8" x14ac:dyDescent="0.25">
      <c r="A692" t="s">
        <v>723</v>
      </c>
      <c r="B692" s="3">
        <f t="shared" si="67"/>
        <v>101</v>
      </c>
      <c r="C692" s="3" t="str">
        <f t="shared" si="62"/>
        <v/>
      </c>
      <c r="D692" s="3">
        <f t="shared" si="63"/>
        <v>147</v>
      </c>
      <c r="E692" s="5" t="str">
        <f>IF(C692="",IF(D692="","",IF(D692&lt;128,"Wahl "&amp;D692,INDEX(KdoCodeTab,MATCH(D692,KdoWertTab,0)))),"Status "&amp;C692)</f>
        <v>Space</v>
      </c>
      <c r="F692" t="str">
        <f t="shared" si="64"/>
        <v/>
      </c>
      <c r="G692" t="str">
        <f t="shared" si="65"/>
        <v/>
      </c>
      <c r="H692" t="str">
        <f t="shared" si="66"/>
        <v>Space</v>
      </c>
    </row>
    <row r="693" spans="1:8" x14ac:dyDescent="0.25">
      <c r="A693" t="s">
        <v>724</v>
      </c>
      <c r="B693" s="3">
        <f t="shared" si="67"/>
        <v>101</v>
      </c>
      <c r="C693" s="3" t="str">
        <f t="shared" si="62"/>
        <v/>
      </c>
      <c r="D693" s="3">
        <f t="shared" si="63"/>
        <v>150</v>
      </c>
      <c r="E693" s="5" t="str">
        <f>IF(C693="",IF(D693="","",IF(D693&lt;128,"Wahl "&amp;D693,INDEX(KdoCodeTab,MATCH(D693,KdoWertTab,0)))),"Status "&amp;C693)</f>
        <v>SpaceWdh</v>
      </c>
      <c r="F693" t="str">
        <f t="shared" si="64"/>
        <v/>
      </c>
      <c r="G693" t="str">
        <f t="shared" si="65"/>
        <v/>
      </c>
      <c r="H693" t="str">
        <f t="shared" si="66"/>
        <v>SpaceWdh</v>
      </c>
    </row>
    <row r="694" spans="1:8" x14ac:dyDescent="0.25">
      <c r="A694" t="s">
        <v>725</v>
      </c>
      <c r="B694" s="3">
        <f t="shared" si="67"/>
        <v>101</v>
      </c>
      <c r="C694" s="3" t="str">
        <f t="shared" si="62"/>
        <v/>
      </c>
      <c r="D694" s="3">
        <f t="shared" si="63"/>
        <v>156</v>
      </c>
      <c r="E694" s="5" t="str">
        <f>IF(C694="",IF(D694="","",IF(D694&lt;128,"Wahl "&amp;D694,INDEX(KdoCodeTab,MATCH(D694,KdoWertTab,0)))),"Status "&amp;C694)</f>
        <v>Mark</v>
      </c>
      <c r="F694" t="str">
        <f t="shared" si="64"/>
        <v/>
      </c>
      <c r="G694" t="str">
        <f t="shared" si="65"/>
        <v/>
      </c>
      <c r="H694" t="str">
        <f t="shared" si="66"/>
        <v>Mark</v>
      </c>
    </row>
    <row r="695" spans="1:8" x14ac:dyDescent="0.25">
      <c r="A695" t="s">
        <v>726</v>
      </c>
      <c r="B695" s="3">
        <f t="shared" si="67"/>
        <v>101</v>
      </c>
      <c r="C695" s="3" t="str">
        <f t="shared" si="62"/>
        <v/>
      </c>
      <c r="D695" s="3">
        <f t="shared" si="63"/>
        <v>154</v>
      </c>
      <c r="E695" s="5" t="str">
        <f>IF(C695="",IF(D695="","",IF(D695&lt;128,"Wahl "&amp;D695,INDEX(KdoCodeTab,MATCH(D695,KdoWertTab,0)))),"Status "&amp;C695)</f>
        <v>MarkWdh</v>
      </c>
      <c r="F695" t="str">
        <f t="shared" si="64"/>
        <v/>
      </c>
      <c r="G695" t="str">
        <f t="shared" si="65"/>
        <v/>
      </c>
      <c r="H695" t="str">
        <f t="shared" si="66"/>
        <v>MarkWdh</v>
      </c>
    </row>
    <row r="696" spans="1:8" x14ac:dyDescent="0.25">
      <c r="A696" t="s">
        <v>727</v>
      </c>
      <c r="B696" s="3">
        <f t="shared" si="67"/>
        <v>31</v>
      </c>
      <c r="C696" s="3" t="str">
        <f t="shared" si="62"/>
        <v/>
      </c>
      <c r="D696" s="3">
        <f t="shared" si="63"/>
        <v>154</v>
      </c>
      <c r="E696" s="5" t="str">
        <f>IF(C696="",IF(D696="","",IF(D696&lt;128,"Wahl "&amp;D696,INDEX(KdoCodeTab,MATCH(D696,KdoWertTab,0)))),"Status "&amp;C696)</f>
        <v>MarkWdh</v>
      </c>
      <c r="F696" t="str">
        <f t="shared" si="64"/>
        <v>MarkWdh</v>
      </c>
      <c r="G696" t="str">
        <f t="shared" si="65"/>
        <v/>
      </c>
      <c r="H696" t="str">
        <f t="shared" si="66"/>
        <v/>
      </c>
    </row>
    <row r="697" spans="1:8" x14ac:dyDescent="0.25">
      <c r="A697" t="s">
        <v>728</v>
      </c>
      <c r="B697" s="3">
        <f t="shared" si="67"/>
        <v>101</v>
      </c>
      <c r="C697" s="3" t="str">
        <f t="shared" si="62"/>
        <v/>
      </c>
      <c r="D697" s="3">
        <f t="shared" si="63"/>
        <v>147</v>
      </c>
      <c r="E697" s="5" t="str">
        <f>IF(C697="",IF(D697="","",IF(D697&lt;128,"Wahl "&amp;D697,INDEX(KdoCodeTab,MATCH(D697,KdoWertTab,0)))),"Status "&amp;C697)</f>
        <v>Space</v>
      </c>
      <c r="F697" t="str">
        <f t="shared" si="64"/>
        <v/>
      </c>
      <c r="G697" t="str">
        <f t="shared" si="65"/>
        <v/>
      </c>
      <c r="H697" t="str">
        <f t="shared" si="66"/>
        <v>Space</v>
      </c>
    </row>
    <row r="698" spans="1:8" x14ac:dyDescent="0.25">
      <c r="A698" t="s">
        <v>729</v>
      </c>
      <c r="B698" s="3">
        <f t="shared" si="67"/>
        <v>101</v>
      </c>
      <c r="C698" s="3" t="str">
        <f t="shared" si="62"/>
        <v/>
      </c>
      <c r="D698" s="3">
        <f t="shared" si="63"/>
        <v>150</v>
      </c>
      <c r="E698" s="5" t="str">
        <f>IF(C698="",IF(D698="","",IF(D698&lt;128,"Wahl "&amp;D698,INDEX(KdoCodeTab,MATCH(D698,KdoWertTab,0)))),"Status "&amp;C698)</f>
        <v>SpaceWdh</v>
      </c>
      <c r="F698" t="str">
        <f t="shared" si="64"/>
        <v/>
      </c>
      <c r="G698" t="str">
        <f t="shared" si="65"/>
        <v/>
      </c>
      <c r="H698" t="str">
        <f t="shared" si="66"/>
        <v>SpaceWdh</v>
      </c>
    </row>
    <row r="699" spans="1:8" x14ac:dyDescent="0.25">
      <c r="A699" t="s">
        <v>730</v>
      </c>
      <c r="B699" s="3">
        <f t="shared" si="67"/>
        <v>101</v>
      </c>
      <c r="C699" s="3" t="str">
        <f t="shared" ref="C699:C762" si="68">IF(MID(A699,10,1)="&lt;",MID(A699,12,2),"")</f>
        <v/>
      </c>
      <c r="D699" s="3">
        <f t="shared" ref="D699:D762" si="69">IF(MID(A699,10,1)="&gt;",HEX2DEC(MID(A699,12,2)),"")</f>
        <v>156</v>
      </c>
      <c r="E699" s="5" t="str">
        <f>IF(C699="",IF(D699="","",IF(D699&lt;128,"Wahl "&amp;D699,INDEX(KdoCodeTab,MATCH(D699,KdoWertTab,0)))),"Status "&amp;C699)</f>
        <v>Mark</v>
      </c>
      <c r="F699" t="str">
        <f t="shared" ref="F699:F762" si="70">IF(B699=$F$2,E699,"")</f>
        <v/>
      </c>
      <c r="G699" t="str">
        <f t="shared" ref="G699:G762" si="71">IF(B699=$G$2,E699,"")</f>
        <v/>
      </c>
      <c r="H699" t="str">
        <f t="shared" ref="H699:H762" si="72">IF(F699&amp;G699="",E699,"")</f>
        <v>Mark</v>
      </c>
    </row>
    <row r="700" spans="1:8" x14ac:dyDescent="0.25">
      <c r="A700" t="s">
        <v>731</v>
      </c>
      <c r="B700" s="3">
        <f t="shared" si="67"/>
        <v>101</v>
      </c>
      <c r="C700" s="3" t="str">
        <f t="shared" si="68"/>
        <v/>
      </c>
      <c r="D700" s="3">
        <f t="shared" si="69"/>
        <v>154</v>
      </c>
      <c r="E700" s="5" t="str">
        <f>IF(C700="",IF(D700="","",IF(D700&lt;128,"Wahl "&amp;D700,INDEX(KdoCodeTab,MATCH(D700,KdoWertTab,0)))),"Status "&amp;C700)</f>
        <v>MarkWdh</v>
      </c>
      <c r="F700" t="str">
        <f t="shared" si="70"/>
        <v/>
      </c>
      <c r="G700" t="str">
        <f t="shared" si="71"/>
        <v/>
      </c>
      <c r="H700" t="str">
        <f t="shared" si="72"/>
        <v>MarkWdh</v>
      </c>
    </row>
    <row r="701" spans="1:8" x14ac:dyDescent="0.25">
      <c r="A701" t="s">
        <v>732</v>
      </c>
      <c r="B701" s="3">
        <f t="shared" si="67"/>
        <v>101</v>
      </c>
      <c r="C701" s="3" t="str">
        <f t="shared" si="68"/>
        <v/>
      </c>
      <c r="D701" s="3">
        <f t="shared" si="69"/>
        <v>147</v>
      </c>
      <c r="E701" s="5" t="str">
        <f>IF(C701="",IF(D701="","",IF(D701&lt;128,"Wahl "&amp;D701,INDEX(KdoCodeTab,MATCH(D701,KdoWertTab,0)))),"Status "&amp;C701)</f>
        <v>Space</v>
      </c>
      <c r="F701" t="str">
        <f t="shared" si="70"/>
        <v/>
      </c>
      <c r="G701" t="str">
        <f t="shared" si="71"/>
        <v/>
      </c>
      <c r="H701" t="str">
        <f t="shared" si="72"/>
        <v>Space</v>
      </c>
    </row>
    <row r="702" spans="1:8" x14ac:dyDescent="0.25">
      <c r="A702" t="s">
        <v>733</v>
      </c>
      <c r="B702" s="3">
        <f t="shared" si="67"/>
        <v>101</v>
      </c>
      <c r="C702" s="3" t="str">
        <f t="shared" si="68"/>
        <v/>
      </c>
      <c r="D702" s="3">
        <f t="shared" si="69"/>
        <v>150</v>
      </c>
      <c r="E702" s="5" t="str">
        <f>IF(C702="",IF(D702="","",IF(D702&lt;128,"Wahl "&amp;D702,INDEX(KdoCodeTab,MATCH(D702,KdoWertTab,0)))),"Status "&amp;C702)</f>
        <v>SpaceWdh</v>
      </c>
      <c r="F702" t="str">
        <f t="shared" si="70"/>
        <v/>
      </c>
      <c r="G702" t="str">
        <f t="shared" si="71"/>
        <v/>
      </c>
      <c r="H702" t="str">
        <f t="shared" si="72"/>
        <v>SpaceWdh</v>
      </c>
    </row>
    <row r="703" spans="1:8" x14ac:dyDescent="0.25">
      <c r="A703" t="s">
        <v>734</v>
      </c>
      <c r="B703" s="3">
        <f t="shared" si="67"/>
        <v>101</v>
      </c>
      <c r="C703" s="3" t="str">
        <f t="shared" si="68"/>
        <v/>
      </c>
      <c r="D703" s="3">
        <f t="shared" si="69"/>
        <v>156</v>
      </c>
      <c r="E703" s="5" t="str">
        <f>IF(C703="",IF(D703="","",IF(D703&lt;128,"Wahl "&amp;D703,INDEX(KdoCodeTab,MATCH(D703,KdoWertTab,0)))),"Status "&amp;C703)</f>
        <v>Mark</v>
      </c>
      <c r="F703" t="str">
        <f t="shared" si="70"/>
        <v/>
      </c>
      <c r="G703" t="str">
        <f t="shared" si="71"/>
        <v/>
      </c>
      <c r="H703" t="str">
        <f t="shared" si="72"/>
        <v>Mark</v>
      </c>
    </row>
    <row r="704" spans="1:8" x14ac:dyDescent="0.25">
      <c r="A704" t="s">
        <v>735</v>
      </c>
      <c r="B704" s="3">
        <f t="shared" si="67"/>
        <v>101</v>
      </c>
      <c r="C704" s="3" t="str">
        <f t="shared" si="68"/>
        <v/>
      </c>
      <c r="D704" s="3">
        <f t="shared" si="69"/>
        <v>154</v>
      </c>
      <c r="E704" s="5" t="str">
        <f>IF(C704="",IF(D704="","",IF(D704&lt;128,"Wahl "&amp;D704,INDEX(KdoCodeTab,MATCH(D704,KdoWertTab,0)))),"Status "&amp;C704)</f>
        <v>MarkWdh</v>
      </c>
      <c r="F704" t="str">
        <f t="shared" si="70"/>
        <v/>
      </c>
      <c r="G704" t="str">
        <f t="shared" si="71"/>
        <v/>
      </c>
      <c r="H704" t="str">
        <f t="shared" si="72"/>
        <v>MarkWdh</v>
      </c>
    </row>
    <row r="705" spans="1:8" x14ac:dyDescent="0.25">
      <c r="A705" t="s">
        <v>736</v>
      </c>
      <c r="B705" s="3">
        <f t="shared" si="67"/>
        <v>101</v>
      </c>
      <c r="C705" s="3" t="str">
        <f t="shared" si="68"/>
        <v/>
      </c>
      <c r="D705" s="3">
        <f t="shared" si="69"/>
        <v>147</v>
      </c>
      <c r="E705" s="5" t="str">
        <f>IF(C705="",IF(D705="","",IF(D705&lt;128,"Wahl "&amp;D705,INDEX(KdoCodeTab,MATCH(D705,KdoWertTab,0)))),"Status "&amp;C705)</f>
        <v>Space</v>
      </c>
      <c r="F705" t="str">
        <f t="shared" si="70"/>
        <v/>
      </c>
      <c r="G705" t="str">
        <f t="shared" si="71"/>
        <v/>
      </c>
      <c r="H705" t="str">
        <f t="shared" si="72"/>
        <v>Space</v>
      </c>
    </row>
    <row r="706" spans="1:8" x14ac:dyDescent="0.25">
      <c r="A706" t="s">
        <v>737</v>
      </c>
      <c r="B706" s="3">
        <f t="shared" si="67"/>
        <v>101</v>
      </c>
      <c r="C706" s="3" t="str">
        <f t="shared" si="68"/>
        <v/>
      </c>
      <c r="D706" s="3">
        <f t="shared" si="69"/>
        <v>150</v>
      </c>
      <c r="E706" s="5" t="str">
        <f>IF(C706="",IF(D706="","",IF(D706&lt;128,"Wahl "&amp;D706,INDEX(KdoCodeTab,MATCH(D706,KdoWertTab,0)))),"Status "&amp;C706)</f>
        <v>SpaceWdh</v>
      </c>
      <c r="F706" t="str">
        <f t="shared" si="70"/>
        <v/>
      </c>
      <c r="G706" t="str">
        <f t="shared" si="71"/>
        <v/>
      </c>
      <c r="H706" t="str">
        <f t="shared" si="72"/>
        <v>SpaceWdh</v>
      </c>
    </row>
    <row r="707" spans="1:8" x14ac:dyDescent="0.25">
      <c r="A707" t="s">
        <v>738</v>
      </c>
      <c r="B707" s="3">
        <f t="shared" si="67"/>
        <v>101</v>
      </c>
      <c r="C707" s="3" t="str">
        <f t="shared" si="68"/>
        <v/>
      </c>
      <c r="D707" s="3">
        <f t="shared" si="69"/>
        <v>156</v>
      </c>
      <c r="E707" s="5" t="str">
        <f>IF(C707="",IF(D707="","",IF(D707&lt;128,"Wahl "&amp;D707,INDEX(KdoCodeTab,MATCH(D707,KdoWertTab,0)))),"Status "&amp;C707)</f>
        <v>Mark</v>
      </c>
      <c r="F707" t="str">
        <f t="shared" si="70"/>
        <v/>
      </c>
      <c r="G707" t="str">
        <f t="shared" si="71"/>
        <v/>
      </c>
      <c r="H707" t="str">
        <f t="shared" si="72"/>
        <v>Mark</v>
      </c>
    </row>
    <row r="708" spans="1:8" x14ac:dyDescent="0.25">
      <c r="A708" t="s">
        <v>739</v>
      </c>
      <c r="B708" s="3">
        <f t="shared" si="67"/>
        <v>101</v>
      </c>
      <c r="C708" s="3" t="str">
        <f t="shared" si="68"/>
        <v/>
      </c>
      <c r="D708" s="3">
        <f t="shared" si="69"/>
        <v>154</v>
      </c>
      <c r="E708" s="5" t="str">
        <f>IF(C708="",IF(D708="","",IF(D708&lt;128,"Wahl "&amp;D708,INDEX(KdoCodeTab,MATCH(D708,KdoWertTab,0)))),"Status "&amp;C708)</f>
        <v>MarkWdh</v>
      </c>
      <c r="F708" t="str">
        <f t="shared" si="70"/>
        <v/>
      </c>
      <c r="G708" t="str">
        <f t="shared" si="71"/>
        <v/>
      </c>
      <c r="H708" t="str">
        <f t="shared" si="72"/>
        <v>MarkWdh</v>
      </c>
    </row>
    <row r="709" spans="1:8" x14ac:dyDescent="0.25">
      <c r="A709" t="s">
        <v>740</v>
      </c>
      <c r="B709" s="3">
        <f t="shared" ref="B709:B772" si="73">INT(HEX2DEC(MID(A709,8,2))/2)</f>
        <v>101</v>
      </c>
      <c r="C709" s="3" t="str">
        <f t="shared" si="68"/>
        <v/>
      </c>
      <c r="D709" s="3">
        <f t="shared" si="69"/>
        <v>147</v>
      </c>
      <c r="E709" s="5" t="str">
        <f>IF(C709="",IF(D709="","",IF(D709&lt;128,"Wahl "&amp;D709,INDEX(KdoCodeTab,MATCH(D709,KdoWertTab,0)))),"Status "&amp;C709)</f>
        <v>Space</v>
      </c>
      <c r="F709" t="str">
        <f t="shared" si="70"/>
        <v/>
      </c>
      <c r="G709" t="str">
        <f t="shared" si="71"/>
        <v/>
      </c>
      <c r="H709" t="str">
        <f t="shared" si="72"/>
        <v>Space</v>
      </c>
    </row>
    <row r="710" spans="1:8" x14ac:dyDescent="0.25">
      <c r="A710" t="s">
        <v>741</v>
      </c>
      <c r="B710" s="3">
        <f t="shared" si="73"/>
        <v>101</v>
      </c>
      <c r="C710" s="3" t="str">
        <f t="shared" si="68"/>
        <v/>
      </c>
      <c r="D710" s="3">
        <f t="shared" si="69"/>
        <v>150</v>
      </c>
      <c r="E710" s="5" t="str">
        <f>IF(C710="",IF(D710="","",IF(D710&lt;128,"Wahl "&amp;D710,INDEX(KdoCodeTab,MATCH(D710,KdoWertTab,0)))),"Status "&amp;C710)</f>
        <v>SpaceWdh</v>
      </c>
      <c r="F710" t="str">
        <f t="shared" si="70"/>
        <v/>
      </c>
      <c r="G710" t="str">
        <f t="shared" si="71"/>
        <v/>
      </c>
      <c r="H710" t="str">
        <f t="shared" si="72"/>
        <v>SpaceWdh</v>
      </c>
    </row>
    <row r="711" spans="1:8" x14ac:dyDescent="0.25">
      <c r="A711" t="s">
        <v>742</v>
      </c>
      <c r="B711" s="3">
        <f t="shared" si="73"/>
        <v>101</v>
      </c>
      <c r="C711" s="3" t="str">
        <f t="shared" si="68"/>
        <v/>
      </c>
      <c r="D711" s="3">
        <f t="shared" si="69"/>
        <v>156</v>
      </c>
      <c r="E711" s="5" t="str">
        <f>IF(C711="",IF(D711="","",IF(D711&lt;128,"Wahl "&amp;D711,INDEX(KdoCodeTab,MATCH(D711,KdoWertTab,0)))),"Status "&amp;C711)</f>
        <v>Mark</v>
      </c>
      <c r="F711" t="str">
        <f t="shared" si="70"/>
        <v/>
      </c>
      <c r="G711" t="str">
        <f t="shared" si="71"/>
        <v/>
      </c>
      <c r="H711" t="str">
        <f t="shared" si="72"/>
        <v>Mark</v>
      </c>
    </row>
    <row r="712" spans="1:8" x14ac:dyDescent="0.25">
      <c r="A712" t="s">
        <v>743</v>
      </c>
      <c r="B712" s="3">
        <f t="shared" si="73"/>
        <v>101</v>
      </c>
      <c r="C712" s="3" t="str">
        <f t="shared" si="68"/>
        <v/>
      </c>
      <c r="D712" s="3">
        <f t="shared" si="69"/>
        <v>154</v>
      </c>
      <c r="E712" s="5" t="str">
        <f>IF(C712="",IF(D712="","",IF(D712&lt;128,"Wahl "&amp;D712,INDEX(KdoCodeTab,MATCH(D712,KdoWertTab,0)))),"Status "&amp;C712)</f>
        <v>MarkWdh</v>
      </c>
      <c r="F712" t="str">
        <f t="shared" si="70"/>
        <v/>
      </c>
      <c r="G712" t="str">
        <f t="shared" si="71"/>
        <v/>
      </c>
      <c r="H712" t="str">
        <f t="shared" si="72"/>
        <v>MarkWdh</v>
      </c>
    </row>
    <row r="713" spans="1:8" x14ac:dyDescent="0.25">
      <c r="A713" t="s">
        <v>744</v>
      </c>
      <c r="B713" s="3">
        <f t="shared" si="73"/>
        <v>101</v>
      </c>
      <c r="C713" s="3" t="str">
        <f t="shared" si="68"/>
        <v/>
      </c>
      <c r="D713" s="3">
        <f t="shared" si="69"/>
        <v>169</v>
      </c>
      <c r="E713" s="5" t="str">
        <f>IF(C713="",IF(D713="","",IF(D713&lt;128,"Wahl "&amp;D713,INDEX(KdoCodeTab,MATCH(D713,KdoWertTab,0)))),"Status "&amp;C713)</f>
        <v>BusLebenszeichen</v>
      </c>
      <c r="F713" t="str">
        <f t="shared" si="70"/>
        <v/>
      </c>
      <c r="G713" t="str">
        <f t="shared" si="71"/>
        <v/>
      </c>
      <c r="H713" t="str">
        <f t="shared" si="72"/>
        <v>BusLebenszeichen</v>
      </c>
    </row>
    <row r="714" spans="1:8" x14ac:dyDescent="0.25">
      <c r="A714" t="s">
        <v>745</v>
      </c>
      <c r="B714" s="3">
        <f t="shared" si="73"/>
        <v>31</v>
      </c>
      <c r="C714" s="3" t="str">
        <f t="shared" si="68"/>
        <v/>
      </c>
      <c r="D714" s="3">
        <f t="shared" si="69"/>
        <v>154</v>
      </c>
      <c r="E714" s="5" t="str">
        <f>IF(C714="",IF(D714="","",IF(D714&lt;128,"Wahl "&amp;D714,INDEX(KdoCodeTab,MATCH(D714,KdoWertTab,0)))),"Status "&amp;C714)</f>
        <v>MarkWdh</v>
      </c>
      <c r="F714" t="str">
        <f t="shared" si="70"/>
        <v>MarkWdh</v>
      </c>
      <c r="G714" t="str">
        <f t="shared" si="71"/>
        <v/>
      </c>
      <c r="H714" t="str">
        <f t="shared" si="72"/>
        <v/>
      </c>
    </row>
    <row r="715" spans="1:8" x14ac:dyDescent="0.25">
      <c r="A715" t="s">
        <v>746</v>
      </c>
      <c r="B715" s="3">
        <f t="shared" si="73"/>
        <v>101</v>
      </c>
      <c r="C715" s="3" t="str">
        <f t="shared" si="68"/>
        <v/>
      </c>
      <c r="D715" s="3">
        <f t="shared" si="69"/>
        <v>147</v>
      </c>
      <c r="E715" s="5" t="str">
        <f>IF(C715="",IF(D715="","",IF(D715&lt;128,"Wahl "&amp;D715,INDEX(KdoCodeTab,MATCH(D715,KdoWertTab,0)))),"Status "&amp;C715)</f>
        <v>Space</v>
      </c>
      <c r="F715" t="str">
        <f t="shared" si="70"/>
        <v/>
      </c>
      <c r="G715" t="str">
        <f t="shared" si="71"/>
        <v/>
      </c>
      <c r="H715" t="str">
        <f t="shared" si="72"/>
        <v>Space</v>
      </c>
    </row>
    <row r="716" spans="1:8" x14ac:dyDescent="0.25">
      <c r="A716" t="s">
        <v>747</v>
      </c>
      <c r="B716" s="3">
        <f t="shared" si="73"/>
        <v>101</v>
      </c>
      <c r="C716" s="3" t="str">
        <f t="shared" si="68"/>
        <v/>
      </c>
      <c r="D716" s="3">
        <f t="shared" si="69"/>
        <v>150</v>
      </c>
      <c r="E716" s="5" t="str">
        <f>IF(C716="",IF(D716="","",IF(D716&lt;128,"Wahl "&amp;D716,INDEX(KdoCodeTab,MATCH(D716,KdoWertTab,0)))),"Status "&amp;C716)</f>
        <v>SpaceWdh</v>
      </c>
      <c r="F716" t="str">
        <f t="shared" si="70"/>
        <v/>
      </c>
      <c r="G716" t="str">
        <f t="shared" si="71"/>
        <v/>
      </c>
      <c r="H716" t="str">
        <f t="shared" si="72"/>
        <v>SpaceWdh</v>
      </c>
    </row>
    <row r="717" spans="1:8" x14ac:dyDescent="0.25">
      <c r="A717" t="s">
        <v>748</v>
      </c>
      <c r="B717" s="3">
        <f t="shared" si="73"/>
        <v>101</v>
      </c>
      <c r="C717" s="3" t="str">
        <f t="shared" si="68"/>
        <v/>
      </c>
      <c r="D717" s="3">
        <f t="shared" si="69"/>
        <v>156</v>
      </c>
      <c r="E717" s="5" t="str">
        <f>IF(C717="",IF(D717="","",IF(D717&lt;128,"Wahl "&amp;D717,INDEX(KdoCodeTab,MATCH(D717,KdoWertTab,0)))),"Status "&amp;C717)</f>
        <v>Mark</v>
      </c>
      <c r="F717" t="str">
        <f t="shared" si="70"/>
        <v/>
      </c>
      <c r="G717" t="str">
        <f t="shared" si="71"/>
        <v/>
      </c>
      <c r="H717" t="str">
        <f t="shared" si="72"/>
        <v>Mark</v>
      </c>
    </row>
    <row r="718" spans="1:8" x14ac:dyDescent="0.25">
      <c r="A718" t="s">
        <v>749</v>
      </c>
      <c r="B718" s="3">
        <f t="shared" si="73"/>
        <v>101</v>
      </c>
      <c r="C718" s="3" t="str">
        <f t="shared" si="68"/>
        <v/>
      </c>
      <c r="D718" s="3">
        <f t="shared" si="69"/>
        <v>154</v>
      </c>
      <c r="E718" s="5" t="str">
        <f>IF(C718="",IF(D718="","",IF(D718&lt;128,"Wahl "&amp;D718,INDEX(KdoCodeTab,MATCH(D718,KdoWertTab,0)))),"Status "&amp;C718)</f>
        <v>MarkWdh</v>
      </c>
      <c r="F718" t="str">
        <f t="shared" si="70"/>
        <v/>
      </c>
      <c r="G718" t="str">
        <f t="shared" si="71"/>
        <v/>
      </c>
      <c r="H718" t="str">
        <f t="shared" si="72"/>
        <v>MarkWdh</v>
      </c>
    </row>
    <row r="719" spans="1:8" x14ac:dyDescent="0.25">
      <c r="A719" t="s">
        <v>750</v>
      </c>
      <c r="B719" s="3">
        <f t="shared" si="73"/>
        <v>101</v>
      </c>
      <c r="C719" s="3" t="str">
        <f t="shared" si="68"/>
        <v/>
      </c>
      <c r="D719" s="3">
        <f t="shared" si="69"/>
        <v>147</v>
      </c>
      <c r="E719" s="5" t="str">
        <f>IF(C719="",IF(D719="","",IF(D719&lt;128,"Wahl "&amp;D719,INDEX(KdoCodeTab,MATCH(D719,KdoWertTab,0)))),"Status "&amp;C719)</f>
        <v>Space</v>
      </c>
      <c r="F719" t="str">
        <f t="shared" si="70"/>
        <v/>
      </c>
      <c r="G719" t="str">
        <f t="shared" si="71"/>
        <v/>
      </c>
      <c r="H719" t="str">
        <f t="shared" si="72"/>
        <v>Space</v>
      </c>
    </row>
    <row r="720" spans="1:8" x14ac:dyDescent="0.25">
      <c r="A720" t="s">
        <v>751</v>
      </c>
      <c r="B720" s="3">
        <f t="shared" si="73"/>
        <v>101</v>
      </c>
      <c r="C720" s="3" t="str">
        <f t="shared" si="68"/>
        <v/>
      </c>
      <c r="D720" s="3">
        <f t="shared" si="69"/>
        <v>150</v>
      </c>
      <c r="E720" s="5" t="str">
        <f>IF(C720="",IF(D720="","",IF(D720&lt;128,"Wahl "&amp;D720,INDEX(KdoCodeTab,MATCH(D720,KdoWertTab,0)))),"Status "&amp;C720)</f>
        <v>SpaceWdh</v>
      </c>
      <c r="F720" t="str">
        <f t="shared" si="70"/>
        <v/>
      </c>
      <c r="G720" t="str">
        <f t="shared" si="71"/>
        <v/>
      </c>
      <c r="H720" t="str">
        <f t="shared" si="72"/>
        <v>SpaceWdh</v>
      </c>
    </row>
    <row r="721" spans="1:8" x14ac:dyDescent="0.25">
      <c r="A721" t="s">
        <v>752</v>
      </c>
      <c r="B721" s="3">
        <f t="shared" si="73"/>
        <v>101</v>
      </c>
      <c r="C721" s="3" t="str">
        <f t="shared" si="68"/>
        <v/>
      </c>
      <c r="D721" s="3">
        <f t="shared" si="69"/>
        <v>156</v>
      </c>
      <c r="E721" s="5" t="str">
        <f>IF(C721="",IF(D721="","",IF(D721&lt;128,"Wahl "&amp;D721,INDEX(KdoCodeTab,MATCH(D721,KdoWertTab,0)))),"Status "&amp;C721)</f>
        <v>Mark</v>
      </c>
      <c r="F721" t="str">
        <f t="shared" si="70"/>
        <v/>
      </c>
      <c r="G721" t="str">
        <f t="shared" si="71"/>
        <v/>
      </c>
      <c r="H721" t="str">
        <f t="shared" si="72"/>
        <v>Mark</v>
      </c>
    </row>
    <row r="722" spans="1:8" x14ac:dyDescent="0.25">
      <c r="A722" t="s">
        <v>753</v>
      </c>
      <c r="B722" s="3">
        <f t="shared" si="73"/>
        <v>101</v>
      </c>
      <c r="C722" s="3" t="str">
        <f t="shared" si="68"/>
        <v/>
      </c>
      <c r="D722" s="3">
        <f t="shared" si="69"/>
        <v>154</v>
      </c>
      <c r="E722" s="5" t="str">
        <f>IF(C722="",IF(D722="","",IF(D722&lt;128,"Wahl "&amp;D722,INDEX(KdoCodeTab,MATCH(D722,KdoWertTab,0)))),"Status "&amp;C722)</f>
        <v>MarkWdh</v>
      </c>
      <c r="F722" t="str">
        <f t="shared" si="70"/>
        <v/>
      </c>
      <c r="G722" t="str">
        <f t="shared" si="71"/>
        <v/>
      </c>
      <c r="H722" t="str">
        <f t="shared" si="72"/>
        <v>MarkWdh</v>
      </c>
    </row>
    <row r="723" spans="1:8" x14ac:dyDescent="0.25">
      <c r="A723" t="s">
        <v>754</v>
      </c>
      <c r="B723" s="3">
        <f t="shared" si="73"/>
        <v>101</v>
      </c>
      <c r="C723" s="3" t="str">
        <f t="shared" si="68"/>
        <v/>
      </c>
      <c r="D723" s="3">
        <f t="shared" si="69"/>
        <v>147</v>
      </c>
      <c r="E723" s="5" t="str">
        <f>IF(C723="",IF(D723="","",IF(D723&lt;128,"Wahl "&amp;D723,INDEX(KdoCodeTab,MATCH(D723,KdoWertTab,0)))),"Status "&amp;C723)</f>
        <v>Space</v>
      </c>
      <c r="F723" t="str">
        <f t="shared" si="70"/>
        <v/>
      </c>
      <c r="G723" t="str">
        <f t="shared" si="71"/>
        <v/>
      </c>
      <c r="H723" t="str">
        <f t="shared" si="72"/>
        <v>Space</v>
      </c>
    </row>
    <row r="724" spans="1:8" x14ac:dyDescent="0.25">
      <c r="A724" t="s">
        <v>755</v>
      </c>
      <c r="B724" s="3">
        <f t="shared" si="73"/>
        <v>101</v>
      </c>
      <c r="C724" s="3" t="str">
        <f t="shared" si="68"/>
        <v/>
      </c>
      <c r="D724" s="3">
        <f t="shared" si="69"/>
        <v>150</v>
      </c>
      <c r="E724" s="5" t="str">
        <f>IF(C724="",IF(D724="","",IF(D724&lt;128,"Wahl "&amp;D724,INDEX(KdoCodeTab,MATCH(D724,KdoWertTab,0)))),"Status "&amp;C724)</f>
        <v>SpaceWdh</v>
      </c>
      <c r="F724" t="str">
        <f t="shared" si="70"/>
        <v/>
      </c>
      <c r="G724" t="str">
        <f t="shared" si="71"/>
        <v/>
      </c>
      <c r="H724" t="str">
        <f t="shared" si="72"/>
        <v>SpaceWdh</v>
      </c>
    </row>
    <row r="725" spans="1:8" x14ac:dyDescent="0.25">
      <c r="A725" t="s">
        <v>756</v>
      </c>
      <c r="B725" s="3">
        <f t="shared" si="73"/>
        <v>101</v>
      </c>
      <c r="C725" s="3" t="str">
        <f t="shared" si="68"/>
        <v/>
      </c>
      <c r="D725" s="3">
        <f t="shared" si="69"/>
        <v>156</v>
      </c>
      <c r="E725" s="5" t="str">
        <f>IF(C725="",IF(D725="","",IF(D725&lt;128,"Wahl "&amp;D725,INDEX(KdoCodeTab,MATCH(D725,KdoWertTab,0)))),"Status "&amp;C725)</f>
        <v>Mark</v>
      </c>
      <c r="F725" t="str">
        <f t="shared" si="70"/>
        <v/>
      </c>
      <c r="G725" t="str">
        <f t="shared" si="71"/>
        <v/>
      </c>
      <c r="H725" t="str">
        <f t="shared" si="72"/>
        <v>Mark</v>
      </c>
    </row>
    <row r="726" spans="1:8" x14ac:dyDescent="0.25">
      <c r="A726" t="s">
        <v>757</v>
      </c>
      <c r="B726" s="3">
        <f t="shared" si="73"/>
        <v>101</v>
      </c>
      <c r="C726" s="3" t="str">
        <f t="shared" si="68"/>
        <v/>
      </c>
      <c r="D726" s="3">
        <f t="shared" si="69"/>
        <v>154</v>
      </c>
      <c r="E726" s="5" t="str">
        <f>IF(C726="",IF(D726="","",IF(D726&lt;128,"Wahl "&amp;D726,INDEX(KdoCodeTab,MATCH(D726,KdoWertTab,0)))),"Status "&amp;C726)</f>
        <v>MarkWdh</v>
      </c>
      <c r="F726" t="str">
        <f t="shared" si="70"/>
        <v/>
      </c>
      <c r="G726" t="str">
        <f t="shared" si="71"/>
        <v/>
      </c>
      <c r="H726" t="str">
        <f t="shared" si="72"/>
        <v>MarkWdh</v>
      </c>
    </row>
    <row r="727" spans="1:8" x14ac:dyDescent="0.25">
      <c r="A727" t="s">
        <v>758</v>
      </c>
      <c r="B727" s="3">
        <f t="shared" si="73"/>
        <v>101</v>
      </c>
      <c r="C727" s="3" t="str">
        <f t="shared" si="68"/>
        <v/>
      </c>
      <c r="D727" s="3">
        <f t="shared" si="69"/>
        <v>147</v>
      </c>
      <c r="E727" s="5" t="str">
        <f>IF(C727="",IF(D727="","",IF(D727&lt;128,"Wahl "&amp;D727,INDEX(KdoCodeTab,MATCH(D727,KdoWertTab,0)))),"Status "&amp;C727)</f>
        <v>Space</v>
      </c>
      <c r="F727" t="str">
        <f t="shared" si="70"/>
        <v/>
      </c>
      <c r="G727" t="str">
        <f t="shared" si="71"/>
        <v/>
      </c>
      <c r="H727" t="str">
        <f t="shared" si="72"/>
        <v>Space</v>
      </c>
    </row>
    <row r="728" spans="1:8" x14ac:dyDescent="0.25">
      <c r="A728" t="s">
        <v>759</v>
      </c>
      <c r="B728" s="3">
        <f t="shared" si="73"/>
        <v>101</v>
      </c>
      <c r="C728" s="3" t="str">
        <f t="shared" si="68"/>
        <v/>
      </c>
      <c r="D728" s="3">
        <f t="shared" si="69"/>
        <v>150</v>
      </c>
      <c r="E728" s="5" t="str">
        <f>IF(C728="",IF(D728="","",IF(D728&lt;128,"Wahl "&amp;D728,INDEX(KdoCodeTab,MATCH(D728,KdoWertTab,0)))),"Status "&amp;C728)</f>
        <v>SpaceWdh</v>
      </c>
      <c r="F728" t="str">
        <f t="shared" si="70"/>
        <v/>
      </c>
      <c r="G728" t="str">
        <f t="shared" si="71"/>
        <v/>
      </c>
      <c r="H728" t="str">
        <f t="shared" si="72"/>
        <v>SpaceWdh</v>
      </c>
    </row>
    <row r="729" spans="1:8" x14ac:dyDescent="0.25">
      <c r="A729" t="s">
        <v>760</v>
      </c>
      <c r="B729" s="3">
        <f t="shared" si="73"/>
        <v>101</v>
      </c>
      <c r="C729" s="3" t="str">
        <f t="shared" si="68"/>
        <v/>
      </c>
      <c r="D729" s="3">
        <f t="shared" si="69"/>
        <v>156</v>
      </c>
      <c r="E729" s="5" t="str">
        <f>IF(C729="",IF(D729="","",IF(D729&lt;128,"Wahl "&amp;D729,INDEX(KdoCodeTab,MATCH(D729,KdoWertTab,0)))),"Status "&amp;C729)</f>
        <v>Mark</v>
      </c>
      <c r="F729" t="str">
        <f t="shared" si="70"/>
        <v/>
      </c>
      <c r="G729" t="str">
        <f t="shared" si="71"/>
        <v/>
      </c>
      <c r="H729" t="str">
        <f t="shared" si="72"/>
        <v>Mark</v>
      </c>
    </row>
    <row r="730" spans="1:8" x14ac:dyDescent="0.25">
      <c r="A730" t="s">
        <v>761</v>
      </c>
      <c r="B730" s="3">
        <f t="shared" si="73"/>
        <v>101</v>
      </c>
      <c r="C730" s="3" t="str">
        <f t="shared" si="68"/>
        <v/>
      </c>
      <c r="D730" s="3">
        <f t="shared" si="69"/>
        <v>154</v>
      </c>
      <c r="E730" s="5" t="str">
        <f>IF(C730="",IF(D730="","",IF(D730&lt;128,"Wahl "&amp;D730,INDEX(KdoCodeTab,MATCH(D730,KdoWertTab,0)))),"Status "&amp;C730)</f>
        <v>MarkWdh</v>
      </c>
      <c r="F730" t="str">
        <f t="shared" si="70"/>
        <v/>
      </c>
      <c r="G730" t="str">
        <f t="shared" si="71"/>
        <v/>
      </c>
      <c r="H730" t="str">
        <f t="shared" si="72"/>
        <v>MarkWdh</v>
      </c>
    </row>
    <row r="731" spans="1:8" x14ac:dyDescent="0.25">
      <c r="A731" t="s">
        <v>762</v>
      </c>
      <c r="B731" s="3">
        <f t="shared" si="73"/>
        <v>101</v>
      </c>
      <c r="C731" s="3" t="str">
        <f t="shared" si="68"/>
        <v/>
      </c>
      <c r="D731" s="3">
        <f t="shared" si="69"/>
        <v>147</v>
      </c>
      <c r="E731" s="5" t="str">
        <f>IF(C731="",IF(D731="","",IF(D731&lt;128,"Wahl "&amp;D731,INDEX(KdoCodeTab,MATCH(D731,KdoWertTab,0)))),"Status "&amp;C731)</f>
        <v>Space</v>
      </c>
      <c r="F731" t="str">
        <f t="shared" si="70"/>
        <v/>
      </c>
      <c r="G731" t="str">
        <f t="shared" si="71"/>
        <v/>
      </c>
      <c r="H731" t="str">
        <f t="shared" si="72"/>
        <v>Space</v>
      </c>
    </row>
    <row r="732" spans="1:8" x14ac:dyDescent="0.25">
      <c r="A732" t="s">
        <v>763</v>
      </c>
      <c r="B732" s="3">
        <f t="shared" si="73"/>
        <v>101</v>
      </c>
      <c r="C732" s="3" t="str">
        <f t="shared" si="68"/>
        <v/>
      </c>
      <c r="D732" s="3">
        <f t="shared" si="69"/>
        <v>150</v>
      </c>
      <c r="E732" s="5" t="str">
        <f>IF(C732="",IF(D732="","",IF(D732&lt;128,"Wahl "&amp;D732,INDEX(KdoCodeTab,MATCH(D732,KdoWertTab,0)))),"Status "&amp;C732)</f>
        <v>SpaceWdh</v>
      </c>
      <c r="F732" t="str">
        <f t="shared" si="70"/>
        <v/>
      </c>
      <c r="G732" t="str">
        <f t="shared" si="71"/>
        <v/>
      </c>
      <c r="H732" t="str">
        <f t="shared" si="72"/>
        <v>SpaceWdh</v>
      </c>
    </row>
    <row r="733" spans="1:8" x14ac:dyDescent="0.25">
      <c r="A733" t="s">
        <v>764</v>
      </c>
      <c r="B733" s="3">
        <f t="shared" si="73"/>
        <v>31</v>
      </c>
      <c r="C733" s="3" t="str">
        <f t="shared" si="68"/>
        <v/>
      </c>
      <c r="D733" s="3">
        <f t="shared" si="69"/>
        <v>154</v>
      </c>
      <c r="E733" s="5" t="str">
        <f>IF(C733="",IF(D733="","",IF(D733&lt;128,"Wahl "&amp;D733,INDEX(KdoCodeTab,MATCH(D733,KdoWertTab,0)))),"Status "&amp;C733)</f>
        <v>MarkWdh</v>
      </c>
      <c r="F733" t="str">
        <f t="shared" si="70"/>
        <v>MarkWdh</v>
      </c>
      <c r="G733" t="str">
        <f t="shared" si="71"/>
        <v/>
      </c>
      <c r="H733" t="str">
        <f t="shared" si="72"/>
        <v/>
      </c>
    </row>
    <row r="734" spans="1:8" x14ac:dyDescent="0.25">
      <c r="A734" t="s">
        <v>765</v>
      </c>
      <c r="B734" s="3">
        <f t="shared" si="73"/>
        <v>101</v>
      </c>
      <c r="C734" s="3" t="str">
        <f t="shared" si="68"/>
        <v/>
      </c>
      <c r="D734" s="3">
        <f t="shared" si="69"/>
        <v>156</v>
      </c>
      <c r="E734" s="5" t="str">
        <f>IF(C734="",IF(D734="","",IF(D734&lt;128,"Wahl "&amp;D734,INDEX(KdoCodeTab,MATCH(D734,KdoWertTab,0)))),"Status "&amp;C734)</f>
        <v>Mark</v>
      </c>
      <c r="F734" t="str">
        <f t="shared" si="70"/>
        <v/>
      </c>
      <c r="G734" t="str">
        <f t="shared" si="71"/>
        <v/>
      </c>
      <c r="H734" t="str">
        <f t="shared" si="72"/>
        <v>Mark</v>
      </c>
    </row>
    <row r="735" spans="1:8" x14ac:dyDescent="0.25">
      <c r="A735" t="s">
        <v>766</v>
      </c>
      <c r="B735" s="3">
        <f t="shared" si="73"/>
        <v>101</v>
      </c>
      <c r="C735" s="3" t="str">
        <f t="shared" si="68"/>
        <v/>
      </c>
      <c r="D735" s="3">
        <f t="shared" si="69"/>
        <v>154</v>
      </c>
      <c r="E735" s="5" t="str">
        <f>IF(C735="",IF(D735="","",IF(D735&lt;128,"Wahl "&amp;D735,INDEX(KdoCodeTab,MATCH(D735,KdoWertTab,0)))),"Status "&amp;C735)</f>
        <v>MarkWdh</v>
      </c>
      <c r="F735" t="str">
        <f t="shared" si="70"/>
        <v/>
      </c>
      <c r="G735" t="str">
        <f t="shared" si="71"/>
        <v/>
      </c>
      <c r="H735" t="str">
        <f t="shared" si="72"/>
        <v>MarkWdh</v>
      </c>
    </row>
    <row r="736" spans="1:8" x14ac:dyDescent="0.25">
      <c r="A736" t="s">
        <v>767</v>
      </c>
      <c r="B736" s="3">
        <f t="shared" si="73"/>
        <v>101</v>
      </c>
      <c r="C736" s="3" t="str">
        <f t="shared" si="68"/>
        <v/>
      </c>
      <c r="D736" s="3">
        <f t="shared" si="69"/>
        <v>147</v>
      </c>
      <c r="E736" s="5" t="str">
        <f>IF(C736="",IF(D736="","",IF(D736&lt;128,"Wahl "&amp;D736,INDEX(KdoCodeTab,MATCH(D736,KdoWertTab,0)))),"Status "&amp;C736)</f>
        <v>Space</v>
      </c>
      <c r="F736" t="str">
        <f t="shared" si="70"/>
        <v/>
      </c>
      <c r="G736" t="str">
        <f t="shared" si="71"/>
        <v/>
      </c>
      <c r="H736" t="str">
        <f t="shared" si="72"/>
        <v>Space</v>
      </c>
    </row>
    <row r="737" spans="1:8" x14ac:dyDescent="0.25">
      <c r="A737" t="s">
        <v>768</v>
      </c>
      <c r="B737" s="3">
        <f t="shared" si="73"/>
        <v>101</v>
      </c>
      <c r="C737" s="3" t="str">
        <f t="shared" si="68"/>
        <v/>
      </c>
      <c r="D737" s="3">
        <f t="shared" si="69"/>
        <v>150</v>
      </c>
      <c r="E737" s="5" t="str">
        <f>IF(C737="",IF(D737="","",IF(D737&lt;128,"Wahl "&amp;D737,INDEX(KdoCodeTab,MATCH(D737,KdoWertTab,0)))),"Status "&amp;C737)</f>
        <v>SpaceWdh</v>
      </c>
      <c r="F737" t="str">
        <f t="shared" si="70"/>
        <v/>
      </c>
      <c r="G737" t="str">
        <f t="shared" si="71"/>
        <v/>
      </c>
      <c r="H737" t="str">
        <f t="shared" si="72"/>
        <v>SpaceWdh</v>
      </c>
    </row>
    <row r="738" spans="1:8" x14ac:dyDescent="0.25">
      <c r="A738" t="s">
        <v>769</v>
      </c>
      <c r="B738" s="3">
        <f t="shared" si="73"/>
        <v>101</v>
      </c>
      <c r="C738" s="3" t="str">
        <f t="shared" si="68"/>
        <v/>
      </c>
      <c r="D738" s="3">
        <f t="shared" si="69"/>
        <v>156</v>
      </c>
      <c r="E738" s="5" t="str">
        <f>IF(C738="",IF(D738="","",IF(D738&lt;128,"Wahl "&amp;D738,INDEX(KdoCodeTab,MATCH(D738,KdoWertTab,0)))),"Status "&amp;C738)</f>
        <v>Mark</v>
      </c>
      <c r="F738" t="str">
        <f t="shared" si="70"/>
        <v/>
      </c>
      <c r="G738" t="str">
        <f t="shared" si="71"/>
        <v/>
      </c>
      <c r="H738" t="str">
        <f t="shared" si="72"/>
        <v>Mark</v>
      </c>
    </row>
    <row r="739" spans="1:8" x14ac:dyDescent="0.25">
      <c r="A739" t="s">
        <v>770</v>
      </c>
      <c r="B739" s="3">
        <f t="shared" si="73"/>
        <v>101</v>
      </c>
      <c r="C739" s="3" t="str">
        <f t="shared" si="68"/>
        <v/>
      </c>
      <c r="D739" s="3">
        <f t="shared" si="69"/>
        <v>154</v>
      </c>
      <c r="E739" s="5" t="str">
        <f>IF(C739="",IF(D739="","",IF(D739&lt;128,"Wahl "&amp;D739,INDEX(KdoCodeTab,MATCH(D739,KdoWertTab,0)))),"Status "&amp;C739)</f>
        <v>MarkWdh</v>
      </c>
      <c r="F739" t="str">
        <f t="shared" si="70"/>
        <v/>
      </c>
      <c r="G739" t="str">
        <f t="shared" si="71"/>
        <v/>
      </c>
      <c r="H739" t="str">
        <f t="shared" si="72"/>
        <v>MarkWdh</v>
      </c>
    </row>
    <row r="740" spans="1:8" x14ac:dyDescent="0.25">
      <c r="A740" t="s">
        <v>771</v>
      </c>
      <c r="B740" s="3">
        <f t="shared" si="73"/>
        <v>101</v>
      </c>
      <c r="C740" s="3" t="str">
        <f t="shared" si="68"/>
        <v/>
      </c>
      <c r="D740" s="3">
        <f t="shared" si="69"/>
        <v>169</v>
      </c>
      <c r="E740" s="5" t="str">
        <f>IF(C740="",IF(D740="","",IF(D740&lt;128,"Wahl "&amp;D740,INDEX(KdoCodeTab,MATCH(D740,KdoWertTab,0)))),"Status "&amp;C740)</f>
        <v>BusLebenszeichen</v>
      </c>
      <c r="F740" t="str">
        <f t="shared" si="70"/>
        <v/>
      </c>
      <c r="G740" t="str">
        <f t="shared" si="71"/>
        <v/>
      </c>
      <c r="H740" t="str">
        <f t="shared" si="72"/>
        <v>BusLebenszeichen</v>
      </c>
    </row>
    <row r="741" spans="1:8" x14ac:dyDescent="0.25">
      <c r="A741" t="s">
        <v>772</v>
      </c>
      <c r="B741" s="3">
        <f t="shared" si="73"/>
        <v>101</v>
      </c>
      <c r="C741" s="3" t="str">
        <f t="shared" si="68"/>
        <v/>
      </c>
      <c r="D741" s="3">
        <f t="shared" si="69"/>
        <v>147</v>
      </c>
      <c r="E741" s="5" t="str">
        <f>IF(C741="",IF(D741="","",IF(D741&lt;128,"Wahl "&amp;D741,INDEX(KdoCodeTab,MATCH(D741,KdoWertTab,0)))),"Status "&amp;C741)</f>
        <v>Space</v>
      </c>
      <c r="F741" t="str">
        <f t="shared" si="70"/>
        <v/>
      </c>
      <c r="G741" t="str">
        <f t="shared" si="71"/>
        <v/>
      </c>
      <c r="H741" t="str">
        <f t="shared" si="72"/>
        <v>Space</v>
      </c>
    </row>
    <row r="742" spans="1:8" x14ac:dyDescent="0.25">
      <c r="A742" t="s">
        <v>773</v>
      </c>
      <c r="B742" s="3">
        <f t="shared" si="73"/>
        <v>101</v>
      </c>
      <c r="C742" s="3" t="str">
        <f t="shared" si="68"/>
        <v/>
      </c>
      <c r="D742" s="3">
        <f t="shared" si="69"/>
        <v>150</v>
      </c>
      <c r="E742" s="5" t="str">
        <f>IF(C742="",IF(D742="","",IF(D742&lt;128,"Wahl "&amp;D742,INDEX(KdoCodeTab,MATCH(D742,KdoWertTab,0)))),"Status "&amp;C742)</f>
        <v>SpaceWdh</v>
      </c>
      <c r="F742" t="str">
        <f t="shared" si="70"/>
        <v/>
      </c>
      <c r="G742" t="str">
        <f t="shared" si="71"/>
        <v/>
      </c>
      <c r="H742" t="str">
        <f t="shared" si="72"/>
        <v>SpaceWdh</v>
      </c>
    </row>
    <row r="743" spans="1:8" x14ac:dyDescent="0.25">
      <c r="A743" t="s">
        <v>774</v>
      </c>
      <c r="B743" s="3">
        <f t="shared" si="73"/>
        <v>101</v>
      </c>
      <c r="C743" s="3" t="str">
        <f t="shared" si="68"/>
        <v/>
      </c>
      <c r="D743" s="3">
        <f t="shared" si="69"/>
        <v>156</v>
      </c>
      <c r="E743" s="5" t="str">
        <f>IF(C743="",IF(D743="","",IF(D743&lt;128,"Wahl "&amp;D743,INDEX(KdoCodeTab,MATCH(D743,KdoWertTab,0)))),"Status "&amp;C743)</f>
        <v>Mark</v>
      </c>
      <c r="F743" t="str">
        <f t="shared" si="70"/>
        <v/>
      </c>
      <c r="G743" t="str">
        <f t="shared" si="71"/>
        <v/>
      </c>
      <c r="H743" t="str">
        <f t="shared" si="72"/>
        <v>Mark</v>
      </c>
    </row>
    <row r="744" spans="1:8" x14ac:dyDescent="0.25">
      <c r="A744" t="s">
        <v>775</v>
      </c>
      <c r="B744" s="3">
        <f t="shared" si="73"/>
        <v>101</v>
      </c>
      <c r="C744" s="3" t="str">
        <f t="shared" si="68"/>
        <v/>
      </c>
      <c r="D744" s="3">
        <f t="shared" si="69"/>
        <v>154</v>
      </c>
      <c r="E744" s="5" t="str">
        <f>IF(C744="",IF(D744="","",IF(D744&lt;128,"Wahl "&amp;D744,INDEX(KdoCodeTab,MATCH(D744,KdoWertTab,0)))),"Status "&amp;C744)</f>
        <v>MarkWdh</v>
      </c>
      <c r="F744" t="str">
        <f t="shared" si="70"/>
        <v/>
      </c>
      <c r="G744" t="str">
        <f t="shared" si="71"/>
        <v/>
      </c>
      <c r="H744" t="str">
        <f t="shared" si="72"/>
        <v>MarkWdh</v>
      </c>
    </row>
    <row r="745" spans="1:8" x14ac:dyDescent="0.25">
      <c r="A745" t="s">
        <v>776</v>
      </c>
      <c r="B745" s="3">
        <f t="shared" si="73"/>
        <v>101</v>
      </c>
      <c r="C745" s="3" t="str">
        <f t="shared" si="68"/>
        <v/>
      </c>
      <c r="D745" s="3">
        <f t="shared" si="69"/>
        <v>147</v>
      </c>
      <c r="E745" s="5" t="str">
        <f>IF(C745="",IF(D745="","",IF(D745&lt;128,"Wahl "&amp;D745,INDEX(KdoCodeTab,MATCH(D745,KdoWertTab,0)))),"Status "&amp;C745)</f>
        <v>Space</v>
      </c>
      <c r="F745" t="str">
        <f t="shared" si="70"/>
        <v/>
      </c>
      <c r="G745" t="str">
        <f t="shared" si="71"/>
        <v/>
      </c>
      <c r="H745" t="str">
        <f t="shared" si="72"/>
        <v>Space</v>
      </c>
    </row>
    <row r="746" spans="1:8" x14ac:dyDescent="0.25">
      <c r="A746" t="s">
        <v>777</v>
      </c>
      <c r="B746" s="3">
        <f t="shared" si="73"/>
        <v>101</v>
      </c>
      <c r="C746" s="3" t="str">
        <f t="shared" si="68"/>
        <v/>
      </c>
      <c r="D746" s="3">
        <f t="shared" si="69"/>
        <v>150</v>
      </c>
      <c r="E746" s="5" t="str">
        <f>IF(C746="",IF(D746="","",IF(D746&lt;128,"Wahl "&amp;D746,INDEX(KdoCodeTab,MATCH(D746,KdoWertTab,0)))),"Status "&amp;C746)</f>
        <v>SpaceWdh</v>
      </c>
      <c r="F746" t="str">
        <f t="shared" si="70"/>
        <v/>
      </c>
      <c r="G746" t="str">
        <f t="shared" si="71"/>
        <v/>
      </c>
      <c r="H746" t="str">
        <f t="shared" si="72"/>
        <v>SpaceWdh</v>
      </c>
    </row>
    <row r="747" spans="1:8" x14ac:dyDescent="0.25">
      <c r="A747" t="s">
        <v>778</v>
      </c>
      <c r="B747" s="3">
        <f t="shared" si="73"/>
        <v>101</v>
      </c>
      <c r="C747" s="3" t="str">
        <f t="shared" si="68"/>
        <v/>
      </c>
      <c r="D747" s="3">
        <f t="shared" si="69"/>
        <v>156</v>
      </c>
      <c r="E747" s="5" t="str">
        <f>IF(C747="",IF(D747="","",IF(D747&lt;128,"Wahl "&amp;D747,INDEX(KdoCodeTab,MATCH(D747,KdoWertTab,0)))),"Status "&amp;C747)</f>
        <v>Mark</v>
      </c>
      <c r="F747" t="str">
        <f t="shared" si="70"/>
        <v/>
      </c>
      <c r="G747" t="str">
        <f t="shared" si="71"/>
        <v/>
      </c>
      <c r="H747" t="str">
        <f t="shared" si="72"/>
        <v>Mark</v>
      </c>
    </row>
    <row r="748" spans="1:8" x14ac:dyDescent="0.25">
      <c r="A748" t="s">
        <v>779</v>
      </c>
      <c r="B748" s="3">
        <f t="shared" si="73"/>
        <v>101</v>
      </c>
      <c r="C748" s="3" t="str">
        <f t="shared" si="68"/>
        <v/>
      </c>
      <c r="D748" s="3">
        <f t="shared" si="69"/>
        <v>154</v>
      </c>
      <c r="E748" s="5" t="str">
        <f>IF(C748="",IF(D748="","",IF(D748&lt;128,"Wahl "&amp;D748,INDEX(KdoCodeTab,MATCH(D748,KdoWertTab,0)))),"Status "&amp;C748)</f>
        <v>MarkWdh</v>
      </c>
      <c r="F748" t="str">
        <f t="shared" si="70"/>
        <v/>
      </c>
      <c r="G748" t="str">
        <f t="shared" si="71"/>
        <v/>
      </c>
      <c r="H748" t="str">
        <f t="shared" si="72"/>
        <v>MarkWdh</v>
      </c>
    </row>
    <row r="749" spans="1:8" x14ac:dyDescent="0.25">
      <c r="A749" t="s">
        <v>780</v>
      </c>
      <c r="B749" s="3">
        <f t="shared" si="73"/>
        <v>101</v>
      </c>
      <c r="C749" s="3" t="str">
        <f t="shared" si="68"/>
        <v/>
      </c>
      <c r="D749" s="3">
        <f t="shared" si="69"/>
        <v>147</v>
      </c>
      <c r="E749" s="5" t="str">
        <f>IF(C749="",IF(D749="","",IF(D749&lt;128,"Wahl "&amp;D749,INDEX(KdoCodeTab,MATCH(D749,KdoWertTab,0)))),"Status "&amp;C749)</f>
        <v>Space</v>
      </c>
      <c r="F749" t="str">
        <f t="shared" si="70"/>
        <v/>
      </c>
      <c r="G749" t="str">
        <f t="shared" si="71"/>
        <v/>
      </c>
      <c r="H749" t="str">
        <f t="shared" si="72"/>
        <v>Space</v>
      </c>
    </row>
    <row r="750" spans="1:8" x14ac:dyDescent="0.25">
      <c r="A750" t="s">
        <v>781</v>
      </c>
      <c r="B750" s="3">
        <f t="shared" si="73"/>
        <v>101</v>
      </c>
      <c r="C750" s="3" t="str">
        <f t="shared" si="68"/>
        <v/>
      </c>
      <c r="D750" s="3">
        <f t="shared" si="69"/>
        <v>150</v>
      </c>
      <c r="E750" s="5" t="str">
        <f>IF(C750="",IF(D750="","",IF(D750&lt;128,"Wahl "&amp;D750,INDEX(KdoCodeTab,MATCH(D750,KdoWertTab,0)))),"Status "&amp;C750)</f>
        <v>SpaceWdh</v>
      </c>
      <c r="F750" t="str">
        <f t="shared" si="70"/>
        <v/>
      </c>
      <c r="G750" t="str">
        <f t="shared" si="71"/>
        <v/>
      </c>
      <c r="H750" t="str">
        <f t="shared" si="72"/>
        <v>SpaceWdh</v>
      </c>
    </row>
    <row r="751" spans="1:8" x14ac:dyDescent="0.25">
      <c r="A751" t="s">
        <v>782</v>
      </c>
      <c r="B751" s="3">
        <f t="shared" si="73"/>
        <v>101</v>
      </c>
      <c r="C751" s="3" t="str">
        <f t="shared" si="68"/>
        <v/>
      </c>
      <c r="D751" s="3">
        <f t="shared" si="69"/>
        <v>156</v>
      </c>
      <c r="E751" s="5" t="str">
        <f>IF(C751="",IF(D751="","",IF(D751&lt;128,"Wahl "&amp;D751,INDEX(KdoCodeTab,MATCH(D751,KdoWertTab,0)))),"Status "&amp;C751)</f>
        <v>Mark</v>
      </c>
      <c r="F751" t="str">
        <f t="shared" si="70"/>
        <v/>
      </c>
      <c r="G751" t="str">
        <f t="shared" si="71"/>
        <v/>
      </c>
      <c r="H751" t="str">
        <f t="shared" si="72"/>
        <v>Mark</v>
      </c>
    </row>
    <row r="752" spans="1:8" x14ac:dyDescent="0.25">
      <c r="A752" t="s">
        <v>783</v>
      </c>
      <c r="B752" s="3">
        <f t="shared" si="73"/>
        <v>101</v>
      </c>
      <c r="C752" s="3" t="str">
        <f t="shared" si="68"/>
        <v/>
      </c>
      <c r="D752" s="3">
        <f t="shared" si="69"/>
        <v>154</v>
      </c>
      <c r="E752" s="5" t="str">
        <f>IF(C752="",IF(D752="","",IF(D752&lt;128,"Wahl "&amp;D752,INDEX(KdoCodeTab,MATCH(D752,KdoWertTab,0)))),"Status "&amp;C752)</f>
        <v>MarkWdh</v>
      </c>
      <c r="F752" t="str">
        <f t="shared" si="70"/>
        <v/>
      </c>
      <c r="G752" t="str">
        <f t="shared" si="71"/>
        <v/>
      </c>
      <c r="H752" t="str">
        <f t="shared" si="72"/>
        <v>MarkWdh</v>
      </c>
    </row>
    <row r="753" spans="1:8" x14ac:dyDescent="0.25">
      <c r="A753" t="s">
        <v>784</v>
      </c>
      <c r="B753" s="3">
        <f t="shared" si="73"/>
        <v>101</v>
      </c>
      <c r="C753" s="3" t="str">
        <f t="shared" si="68"/>
        <v/>
      </c>
      <c r="D753" s="3">
        <f t="shared" si="69"/>
        <v>147</v>
      </c>
      <c r="E753" s="5" t="str">
        <f>IF(C753="",IF(D753="","",IF(D753&lt;128,"Wahl "&amp;D753,INDEX(KdoCodeTab,MATCH(D753,KdoWertTab,0)))),"Status "&amp;C753)</f>
        <v>Space</v>
      </c>
      <c r="F753" t="str">
        <f t="shared" si="70"/>
        <v/>
      </c>
      <c r="G753" t="str">
        <f t="shared" si="71"/>
        <v/>
      </c>
      <c r="H753" t="str">
        <f t="shared" si="72"/>
        <v>Space</v>
      </c>
    </row>
    <row r="754" spans="1:8" x14ac:dyDescent="0.25">
      <c r="A754" t="s">
        <v>785</v>
      </c>
      <c r="B754" s="3">
        <f t="shared" si="73"/>
        <v>101</v>
      </c>
      <c r="C754" s="3" t="str">
        <f t="shared" si="68"/>
        <v/>
      </c>
      <c r="D754" s="3">
        <f t="shared" si="69"/>
        <v>150</v>
      </c>
      <c r="E754" s="5" t="str">
        <f>IF(C754="",IF(D754="","",IF(D754&lt;128,"Wahl "&amp;D754,INDEX(KdoCodeTab,MATCH(D754,KdoWertTab,0)))),"Status "&amp;C754)</f>
        <v>SpaceWdh</v>
      </c>
      <c r="F754" t="str">
        <f t="shared" si="70"/>
        <v/>
      </c>
      <c r="G754" t="str">
        <f t="shared" si="71"/>
        <v/>
      </c>
      <c r="H754" t="str">
        <f t="shared" si="72"/>
        <v>SpaceWdh</v>
      </c>
    </row>
    <row r="755" spans="1:8" x14ac:dyDescent="0.25">
      <c r="A755" t="s">
        <v>786</v>
      </c>
      <c r="B755" s="3">
        <f t="shared" si="73"/>
        <v>31</v>
      </c>
      <c r="C755" s="3" t="str">
        <f t="shared" si="68"/>
        <v/>
      </c>
      <c r="D755" s="3">
        <f t="shared" si="69"/>
        <v>154</v>
      </c>
      <c r="E755" s="5" t="str">
        <f>IF(C755="",IF(D755="","",IF(D755&lt;128,"Wahl "&amp;D755,INDEX(KdoCodeTab,MATCH(D755,KdoWertTab,0)))),"Status "&amp;C755)</f>
        <v>MarkWdh</v>
      </c>
      <c r="F755" t="str">
        <f t="shared" si="70"/>
        <v>MarkWdh</v>
      </c>
      <c r="G755" t="str">
        <f t="shared" si="71"/>
        <v/>
      </c>
      <c r="H755" t="str">
        <f t="shared" si="72"/>
        <v/>
      </c>
    </row>
    <row r="756" spans="1:8" x14ac:dyDescent="0.25">
      <c r="A756" t="s">
        <v>787</v>
      </c>
      <c r="B756" s="3">
        <f t="shared" si="73"/>
        <v>101</v>
      </c>
      <c r="C756" s="3" t="str">
        <f t="shared" si="68"/>
        <v/>
      </c>
      <c r="D756" s="3">
        <f t="shared" si="69"/>
        <v>156</v>
      </c>
      <c r="E756" s="5" t="str">
        <f>IF(C756="",IF(D756="","",IF(D756&lt;128,"Wahl "&amp;D756,INDEX(KdoCodeTab,MATCH(D756,KdoWertTab,0)))),"Status "&amp;C756)</f>
        <v>Mark</v>
      </c>
      <c r="F756" t="str">
        <f t="shared" si="70"/>
        <v/>
      </c>
      <c r="G756" t="str">
        <f t="shared" si="71"/>
        <v/>
      </c>
      <c r="H756" t="str">
        <f t="shared" si="72"/>
        <v>Mark</v>
      </c>
    </row>
    <row r="757" spans="1:8" x14ac:dyDescent="0.25">
      <c r="A757" t="s">
        <v>788</v>
      </c>
      <c r="B757" s="3">
        <f t="shared" si="73"/>
        <v>101</v>
      </c>
      <c r="C757" s="3" t="str">
        <f t="shared" si="68"/>
        <v/>
      </c>
      <c r="D757" s="3">
        <f t="shared" si="69"/>
        <v>154</v>
      </c>
      <c r="E757" s="5" t="str">
        <f>IF(C757="",IF(D757="","",IF(D757&lt;128,"Wahl "&amp;D757,INDEX(KdoCodeTab,MATCH(D757,KdoWertTab,0)))),"Status "&amp;C757)</f>
        <v>MarkWdh</v>
      </c>
      <c r="F757" t="str">
        <f t="shared" si="70"/>
        <v/>
      </c>
      <c r="G757" t="str">
        <f t="shared" si="71"/>
        <v/>
      </c>
      <c r="H757" t="str">
        <f t="shared" si="72"/>
        <v>MarkWdh</v>
      </c>
    </row>
    <row r="758" spans="1:8" x14ac:dyDescent="0.25">
      <c r="A758" t="s">
        <v>789</v>
      </c>
      <c r="B758" s="3">
        <f t="shared" si="73"/>
        <v>101</v>
      </c>
      <c r="C758" s="3" t="str">
        <f t="shared" si="68"/>
        <v/>
      </c>
      <c r="D758" s="3">
        <f t="shared" si="69"/>
        <v>147</v>
      </c>
      <c r="E758" s="5" t="str">
        <f>IF(C758="",IF(D758="","",IF(D758&lt;128,"Wahl "&amp;D758,INDEX(KdoCodeTab,MATCH(D758,KdoWertTab,0)))),"Status "&amp;C758)</f>
        <v>Space</v>
      </c>
      <c r="F758" t="str">
        <f t="shared" si="70"/>
        <v/>
      </c>
      <c r="G758" t="str">
        <f t="shared" si="71"/>
        <v/>
      </c>
      <c r="H758" t="str">
        <f t="shared" si="72"/>
        <v>Space</v>
      </c>
    </row>
    <row r="759" spans="1:8" x14ac:dyDescent="0.25">
      <c r="A759" t="s">
        <v>790</v>
      </c>
      <c r="B759" s="3">
        <f t="shared" si="73"/>
        <v>101</v>
      </c>
      <c r="C759" s="3" t="str">
        <f t="shared" si="68"/>
        <v/>
      </c>
      <c r="D759" s="3">
        <f t="shared" si="69"/>
        <v>150</v>
      </c>
      <c r="E759" s="5" t="str">
        <f>IF(C759="",IF(D759="","",IF(D759&lt;128,"Wahl "&amp;D759,INDEX(KdoCodeTab,MATCH(D759,KdoWertTab,0)))),"Status "&amp;C759)</f>
        <v>SpaceWdh</v>
      </c>
      <c r="F759" t="str">
        <f t="shared" si="70"/>
        <v/>
      </c>
      <c r="G759" t="str">
        <f t="shared" si="71"/>
        <v/>
      </c>
      <c r="H759" t="str">
        <f t="shared" si="72"/>
        <v>SpaceWdh</v>
      </c>
    </row>
    <row r="760" spans="1:8" x14ac:dyDescent="0.25">
      <c r="A760" t="s">
        <v>791</v>
      </c>
      <c r="B760" s="3">
        <f t="shared" si="73"/>
        <v>101</v>
      </c>
      <c r="C760" s="3" t="str">
        <f t="shared" si="68"/>
        <v/>
      </c>
      <c r="D760" s="3">
        <f t="shared" si="69"/>
        <v>156</v>
      </c>
      <c r="E760" s="5" t="str">
        <f>IF(C760="",IF(D760="","",IF(D760&lt;128,"Wahl "&amp;D760,INDEX(KdoCodeTab,MATCH(D760,KdoWertTab,0)))),"Status "&amp;C760)</f>
        <v>Mark</v>
      </c>
      <c r="F760" t="str">
        <f t="shared" si="70"/>
        <v/>
      </c>
      <c r="G760" t="str">
        <f t="shared" si="71"/>
        <v/>
      </c>
      <c r="H760" t="str">
        <f t="shared" si="72"/>
        <v>Mark</v>
      </c>
    </row>
    <row r="761" spans="1:8" x14ac:dyDescent="0.25">
      <c r="A761" t="s">
        <v>792</v>
      </c>
      <c r="B761" s="3">
        <f t="shared" si="73"/>
        <v>101</v>
      </c>
      <c r="C761" s="3" t="str">
        <f t="shared" si="68"/>
        <v/>
      </c>
      <c r="D761" s="3">
        <f t="shared" si="69"/>
        <v>154</v>
      </c>
      <c r="E761" s="5" t="str">
        <f>IF(C761="",IF(D761="","",IF(D761&lt;128,"Wahl "&amp;D761,INDEX(KdoCodeTab,MATCH(D761,KdoWertTab,0)))),"Status "&amp;C761)</f>
        <v>MarkWdh</v>
      </c>
      <c r="F761" t="str">
        <f t="shared" si="70"/>
        <v/>
      </c>
      <c r="G761" t="str">
        <f t="shared" si="71"/>
        <v/>
      </c>
      <c r="H761" t="str">
        <f t="shared" si="72"/>
        <v>MarkWdh</v>
      </c>
    </row>
    <row r="762" spans="1:8" x14ac:dyDescent="0.25">
      <c r="A762" t="s">
        <v>793</v>
      </c>
      <c r="B762" s="3">
        <f t="shared" si="73"/>
        <v>101</v>
      </c>
      <c r="C762" s="3" t="str">
        <f t="shared" si="68"/>
        <v/>
      </c>
      <c r="D762" s="3">
        <f t="shared" si="69"/>
        <v>147</v>
      </c>
      <c r="E762" s="5" t="str">
        <f>IF(C762="",IF(D762="","",IF(D762&lt;128,"Wahl "&amp;D762,INDEX(KdoCodeTab,MATCH(D762,KdoWertTab,0)))),"Status "&amp;C762)</f>
        <v>Space</v>
      </c>
      <c r="F762" t="str">
        <f t="shared" si="70"/>
        <v/>
      </c>
      <c r="G762" t="str">
        <f t="shared" si="71"/>
        <v/>
      </c>
      <c r="H762" t="str">
        <f t="shared" si="72"/>
        <v>Space</v>
      </c>
    </row>
    <row r="763" spans="1:8" x14ac:dyDescent="0.25">
      <c r="A763" t="s">
        <v>794</v>
      </c>
      <c r="B763" s="3">
        <f t="shared" si="73"/>
        <v>101</v>
      </c>
      <c r="C763" s="3" t="str">
        <f t="shared" ref="C763:C826" si="74">IF(MID(A763,10,1)="&lt;",MID(A763,12,2),"")</f>
        <v/>
      </c>
      <c r="D763" s="3">
        <f t="shared" ref="D763:D826" si="75">IF(MID(A763,10,1)="&gt;",HEX2DEC(MID(A763,12,2)),"")</f>
        <v>150</v>
      </c>
      <c r="E763" s="5" t="str">
        <f>IF(C763="",IF(D763="","",IF(D763&lt;128,"Wahl "&amp;D763,INDEX(KdoCodeTab,MATCH(D763,KdoWertTab,0)))),"Status "&amp;C763)</f>
        <v>SpaceWdh</v>
      </c>
      <c r="F763" t="str">
        <f t="shared" ref="F763:F826" si="76">IF(B763=$F$2,E763,"")</f>
        <v/>
      </c>
      <c r="G763" t="str">
        <f t="shared" ref="G763:G826" si="77">IF(B763=$G$2,E763,"")</f>
        <v/>
      </c>
      <c r="H763" t="str">
        <f t="shared" ref="H763:H826" si="78">IF(F763&amp;G763="",E763,"")</f>
        <v>SpaceWdh</v>
      </c>
    </row>
    <row r="764" spans="1:8" x14ac:dyDescent="0.25">
      <c r="A764" t="s">
        <v>795</v>
      </c>
      <c r="B764" s="3">
        <f t="shared" si="73"/>
        <v>101</v>
      </c>
      <c r="C764" s="3" t="str">
        <f t="shared" si="74"/>
        <v/>
      </c>
      <c r="D764" s="3">
        <f t="shared" si="75"/>
        <v>156</v>
      </c>
      <c r="E764" s="5" t="str">
        <f>IF(C764="",IF(D764="","",IF(D764&lt;128,"Wahl "&amp;D764,INDEX(KdoCodeTab,MATCH(D764,KdoWertTab,0)))),"Status "&amp;C764)</f>
        <v>Mark</v>
      </c>
      <c r="F764" t="str">
        <f t="shared" si="76"/>
        <v/>
      </c>
      <c r="G764" t="str">
        <f t="shared" si="77"/>
        <v/>
      </c>
      <c r="H764" t="str">
        <f t="shared" si="78"/>
        <v>Mark</v>
      </c>
    </row>
    <row r="765" spans="1:8" x14ac:dyDescent="0.25">
      <c r="A765" t="s">
        <v>796</v>
      </c>
      <c r="B765" s="3">
        <f t="shared" si="73"/>
        <v>101</v>
      </c>
      <c r="C765" s="3" t="str">
        <f t="shared" si="74"/>
        <v/>
      </c>
      <c r="D765" s="3">
        <f t="shared" si="75"/>
        <v>154</v>
      </c>
      <c r="E765" s="5" t="str">
        <f>IF(C765="",IF(D765="","",IF(D765&lt;128,"Wahl "&amp;D765,INDEX(KdoCodeTab,MATCH(D765,KdoWertTab,0)))),"Status "&amp;C765)</f>
        <v>MarkWdh</v>
      </c>
      <c r="F765" t="str">
        <f t="shared" si="76"/>
        <v/>
      </c>
      <c r="G765" t="str">
        <f t="shared" si="77"/>
        <v/>
      </c>
      <c r="H765" t="str">
        <f t="shared" si="78"/>
        <v>MarkWdh</v>
      </c>
    </row>
    <row r="766" spans="1:8" x14ac:dyDescent="0.25">
      <c r="A766" t="s">
        <v>797</v>
      </c>
      <c r="B766" s="3">
        <f t="shared" si="73"/>
        <v>101</v>
      </c>
      <c r="C766" s="3" t="str">
        <f t="shared" si="74"/>
        <v/>
      </c>
      <c r="D766" s="3">
        <f t="shared" si="75"/>
        <v>147</v>
      </c>
      <c r="E766" s="5" t="str">
        <f>IF(C766="",IF(D766="","",IF(D766&lt;128,"Wahl "&amp;D766,INDEX(KdoCodeTab,MATCH(D766,KdoWertTab,0)))),"Status "&amp;C766)</f>
        <v>Space</v>
      </c>
      <c r="F766" t="str">
        <f t="shared" si="76"/>
        <v/>
      </c>
      <c r="G766" t="str">
        <f t="shared" si="77"/>
        <v/>
      </c>
      <c r="H766" t="str">
        <f t="shared" si="78"/>
        <v>Space</v>
      </c>
    </row>
    <row r="767" spans="1:8" x14ac:dyDescent="0.25">
      <c r="A767" t="s">
        <v>798</v>
      </c>
      <c r="B767" s="3">
        <f t="shared" si="73"/>
        <v>101</v>
      </c>
      <c r="C767" s="3" t="str">
        <f t="shared" si="74"/>
        <v/>
      </c>
      <c r="D767" s="3">
        <f t="shared" si="75"/>
        <v>150</v>
      </c>
      <c r="E767" s="5" t="str">
        <f>IF(C767="",IF(D767="","",IF(D767&lt;128,"Wahl "&amp;D767,INDEX(KdoCodeTab,MATCH(D767,KdoWertTab,0)))),"Status "&amp;C767)</f>
        <v>SpaceWdh</v>
      </c>
      <c r="F767" t="str">
        <f t="shared" si="76"/>
        <v/>
      </c>
      <c r="G767" t="str">
        <f t="shared" si="77"/>
        <v/>
      </c>
      <c r="H767" t="str">
        <f t="shared" si="78"/>
        <v>SpaceWdh</v>
      </c>
    </row>
    <row r="768" spans="1:8" x14ac:dyDescent="0.25">
      <c r="A768" t="s">
        <v>799</v>
      </c>
      <c r="B768" s="3">
        <f t="shared" si="73"/>
        <v>101</v>
      </c>
      <c r="C768" s="3" t="str">
        <f t="shared" si="74"/>
        <v/>
      </c>
      <c r="D768" s="3">
        <f t="shared" si="75"/>
        <v>156</v>
      </c>
      <c r="E768" s="5" t="str">
        <f>IF(C768="",IF(D768="","",IF(D768&lt;128,"Wahl "&amp;D768,INDEX(KdoCodeTab,MATCH(D768,KdoWertTab,0)))),"Status "&amp;C768)</f>
        <v>Mark</v>
      </c>
      <c r="F768" t="str">
        <f t="shared" si="76"/>
        <v/>
      </c>
      <c r="G768" t="str">
        <f t="shared" si="77"/>
        <v/>
      </c>
      <c r="H768" t="str">
        <f t="shared" si="78"/>
        <v>Mark</v>
      </c>
    </row>
    <row r="769" spans="1:8" x14ac:dyDescent="0.25">
      <c r="A769" t="s">
        <v>800</v>
      </c>
      <c r="B769" s="3">
        <f t="shared" si="73"/>
        <v>101</v>
      </c>
      <c r="C769" s="3" t="str">
        <f t="shared" si="74"/>
        <v/>
      </c>
      <c r="D769" s="3">
        <f t="shared" si="75"/>
        <v>154</v>
      </c>
      <c r="E769" s="5" t="str">
        <f>IF(C769="",IF(D769="","",IF(D769&lt;128,"Wahl "&amp;D769,INDEX(KdoCodeTab,MATCH(D769,KdoWertTab,0)))),"Status "&amp;C769)</f>
        <v>MarkWdh</v>
      </c>
      <c r="F769" t="str">
        <f t="shared" si="76"/>
        <v/>
      </c>
      <c r="G769" t="str">
        <f t="shared" si="77"/>
        <v/>
      </c>
      <c r="H769" t="str">
        <f t="shared" si="78"/>
        <v>MarkWdh</v>
      </c>
    </row>
    <row r="770" spans="1:8" x14ac:dyDescent="0.25">
      <c r="A770" t="s">
        <v>801</v>
      </c>
      <c r="B770" s="3">
        <f t="shared" si="73"/>
        <v>101</v>
      </c>
      <c r="C770" s="3" t="str">
        <f t="shared" si="74"/>
        <v/>
      </c>
      <c r="D770" s="3">
        <f t="shared" si="75"/>
        <v>147</v>
      </c>
      <c r="E770" s="5" t="str">
        <f>IF(C770="",IF(D770="","",IF(D770&lt;128,"Wahl "&amp;D770,INDEX(KdoCodeTab,MATCH(D770,KdoWertTab,0)))),"Status "&amp;C770)</f>
        <v>Space</v>
      </c>
      <c r="F770" t="str">
        <f t="shared" si="76"/>
        <v/>
      </c>
      <c r="G770" t="str">
        <f t="shared" si="77"/>
        <v/>
      </c>
      <c r="H770" t="str">
        <f t="shared" si="78"/>
        <v>Space</v>
      </c>
    </row>
    <row r="771" spans="1:8" x14ac:dyDescent="0.25">
      <c r="A771" t="s">
        <v>802</v>
      </c>
      <c r="B771" s="3">
        <f t="shared" si="73"/>
        <v>101</v>
      </c>
      <c r="C771" s="3" t="str">
        <f t="shared" si="74"/>
        <v/>
      </c>
      <c r="D771" s="3">
        <f t="shared" si="75"/>
        <v>150</v>
      </c>
      <c r="E771" s="5" t="str">
        <f>IF(C771="",IF(D771="","",IF(D771&lt;128,"Wahl "&amp;D771,INDEX(KdoCodeTab,MATCH(D771,KdoWertTab,0)))),"Status "&amp;C771)</f>
        <v>SpaceWdh</v>
      </c>
      <c r="F771" t="str">
        <f t="shared" si="76"/>
        <v/>
      </c>
      <c r="G771" t="str">
        <f t="shared" si="77"/>
        <v/>
      </c>
      <c r="H771" t="str">
        <f t="shared" si="78"/>
        <v>SpaceWdh</v>
      </c>
    </row>
    <row r="772" spans="1:8" x14ac:dyDescent="0.25">
      <c r="A772" t="s">
        <v>803</v>
      </c>
      <c r="B772" s="3">
        <f t="shared" si="73"/>
        <v>101</v>
      </c>
      <c r="C772" s="3" t="str">
        <f t="shared" si="74"/>
        <v/>
      </c>
      <c r="D772" s="3">
        <f t="shared" si="75"/>
        <v>156</v>
      </c>
      <c r="E772" s="5" t="str">
        <f>IF(C772="",IF(D772="","",IF(D772&lt;128,"Wahl "&amp;D772,INDEX(KdoCodeTab,MATCH(D772,KdoWertTab,0)))),"Status "&amp;C772)</f>
        <v>Mark</v>
      </c>
      <c r="F772" t="str">
        <f t="shared" si="76"/>
        <v/>
      </c>
      <c r="G772" t="str">
        <f t="shared" si="77"/>
        <v/>
      </c>
      <c r="H772" t="str">
        <f t="shared" si="78"/>
        <v>Mark</v>
      </c>
    </row>
    <row r="773" spans="1:8" x14ac:dyDescent="0.25">
      <c r="A773" t="s">
        <v>804</v>
      </c>
      <c r="B773" s="3">
        <f t="shared" ref="B773:B836" si="79">INT(HEX2DEC(MID(A773,8,2))/2)</f>
        <v>101</v>
      </c>
      <c r="C773" s="3" t="str">
        <f t="shared" si="74"/>
        <v/>
      </c>
      <c r="D773" s="3">
        <f t="shared" si="75"/>
        <v>154</v>
      </c>
      <c r="E773" s="5" t="str">
        <f>IF(C773="",IF(D773="","",IF(D773&lt;128,"Wahl "&amp;D773,INDEX(KdoCodeTab,MATCH(D773,KdoWertTab,0)))),"Status "&amp;C773)</f>
        <v>MarkWdh</v>
      </c>
      <c r="F773" t="str">
        <f t="shared" si="76"/>
        <v/>
      </c>
      <c r="G773" t="str">
        <f t="shared" si="77"/>
        <v/>
      </c>
      <c r="H773" t="str">
        <f t="shared" si="78"/>
        <v>MarkWdh</v>
      </c>
    </row>
    <row r="774" spans="1:8" x14ac:dyDescent="0.25">
      <c r="A774" t="s">
        <v>805</v>
      </c>
      <c r="B774" s="3">
        <f t="shared" si="79"/>
        <v>101</v>
      </c>
      <c r="C774" s="3" t="str">
        <f t="shared" si="74"/>
        <v/>
      </c>
      <c r="D774" s="3">
        <f t="shared" si="75"/>
        <v>147</v>
      </c>
      <c r="E774" s="5" t="str">
        <f>IF(C774="",IF(D774="","",IF(D774&lt;128,"Wahl "&amp;D774,INDEX(KdoCodeTab,MATCH(D774,KdoWertTab,0)))),"Status "&amp;C774)</f>
        <v>Space</v>
      </c>
      <c r="F774" t="str">
        <f t="shared" si="76"/>
        <v/>
      </c>
      <c r="G774" t="str">
        <f t="shared" si="77"/>
        <v/>
      </c>
      <c r="H774" t="str">
        <f t="shared" si="78"/>
        <v>Space</v>
      </c>
    </row>
    <row r="775" spans="1:8" x14ac:dyDescent="0.25">
      <c r="A775" t="s">
        <v>806</v>
      </c>
      <c r="B775" s="3">
        <f t="shared" si="79"/>
        <v>101</v>
      </c>
      <c r="C775" s="3" t="str">
        <f t="shared" si="74"/>
        <v/>
      </c>
      <c r="D775" s="3">
        <f t="shared" si="75"/>
        <v>150</v>
      </c>
      <c r="E775" s="5" t="str">
        <f>IF(C775="",IF(D775="","",IF(D775&lt;128,"Wahl "&amp;D775,INDEX(KdoCodeTab,MATCH(D775,KdoWertTab,0)))),"Status "&amp;C775)</f>
        <v>SpaceWdh</v>
      </c>
      <c r="F775" t="str">
        <f t="shared" si="76"/>
        <v/>
      </c>
      <c r="G775" t="str">
        <f t="shared" si="77"/>
        <v/>
      </c>
      <c r="H775" t="str">
        <f t="shared" si="78"/>
        <v>SpaceWdh</v>
      </c>
    </row>
    <row r="776" spans="1:8" x14ac:dyDescent="0.25">
      <c r="A776" t="s">
        <v>807</v>
      </c>
      <c r="B776" s="3">
        <f t="shared" si="79"/>
        <v>101</v>
      </c>
      <c r="C776" s="3" t="str">
        <f t="shared" si="74"/>
        <v/>
      </c>
      <c r="D776" s="3">
        <f t="shared" si="75"/>
        <v>156</v>
      </c>
      <c r="E776" s="5" t="str">
        <f>IF(C776="",IF(D776="","",IF(D776&lt;128,"Wahl "&amp;D776,INDEX(KdoCodeTab,MATCH(D776,KdoWertTab,0)))),"Status "&amp;C776)</f>
        <v>Mark</v>
      </c>
      <c r="F776" t="str">
        <f t="shared" si="76"/>
        <v/>
      </c>
      <c r="G776" t="str">
        <f t="shared" si="77"/>
        <v/>
      </c>
      <c r="H776" t="str">
        <f t="shared" si="78"/>
        <v>Mark</v>
      </c>
    </row>
    <row r="777" spans="1:8" x14ac:dyDescent="0.25">
      <c r="A777" t="s">
        <v>808</v>
      </c>
      <c r="B777" s="3">
        <f t="shared" si="79"/>
        <v>101</v>
      </c>
      <c r="C777" s="3" t="str">
        <f t="shared" si="74"/>
        <v/>
      </c>
      <c r="D777" s="3">
        <f t="shared" si="75"/>
        <v>154</v>
      </c>
      <c r="E777" s="5" t="str">
        <f>IF(C777="",IF(D777="","",IF(D777&lt;128,"Wahl "&amp;D777,INDEX(KdoCodeTab,MATCH(D777,KdoWertTab,0)))),"Status "&amp;C777)</f>
        <v>MarkWdh</v>
      </c>
      <c r="F777" t="str">
        <f t="shared" si="76"/>
        <v/>
      </c>
      <c r="G777" t="str">
        <f t="shared" si="77"/>
        <v/>
      </c>
      <c r="H777" t="str">
        <f t="shared" si="78"/>
        <v>MarkWdh</v>
      </c>
    </row>
    <row r="778" spans="1:8" x14ac:dyDescent="0.25">
      <c r="A778" t="s">
        <v>809</v>
      </c>
      <c r="B778" s="3">
        <f t="shared" si="79"/>
        <v>101</v>
      </c>
      <c r="C778" s="3" t="str">
        <f t="shared" si="74"/>
        <v/>
      </c>
      <c r="D778" s="3">
        <f t="shared" si="75"/>
        <v>169</v>
      </c>
      <c r="E778" s="5" t="str">
        <f>IF(C778="",IF(D778="","",IF(D778&lt;128,"Wahl "&amp;D778,INDEX(KdoCodeTab,MATCH(D778,KdoWertTab,0)))),"Status "&amp;C778)</f>
        <v>BusLebenszeichen</v>
      </c>
      <c r="F778" t="str">
        <f t="shared" si="76"/>
        <v/>
      </c>
      <c r="G778" t="str">
        <f t="shared" si="77"/>
        <v/>
      </c>
      <c r="H778" t="str">
        <f t="shared" si="78"/>
        <v>BusLebenszeichen</v>
      </c>
    </row>
    <row r="779" spans="1:8" x14ac:dyDescent="0.25">
      <c r="A779" t="s">
        <v>810</v>
      </c>
      <c r="B779" s="3">
        <f t="shared" si="79"/>
        <v>101</v>
      </c>
      <c r="C779" s="3" t="str">
        <f t="shared" si="74"/>
        <v/>
      </c>
      <c r="D779" s="3">
        <f t="shared" si="75"/>
        <v>147</v>
      </c>
      <c r="E779" s="5" t="str">
        <f>IF(C779="",IF(D779="","",IF(D779&lt;128,"Wahl "&amp;D779,INDEX(KdoCodeTab,MATCH(D779,KdoWertTab,0)))),"Status "&amp;C779)</f>
        <v>Space</v>
      </c>
      <c r="F779" t="str">
        <f t="shared" si="76"/>
        <v/>
      </c>
      <c r="G779" t="str">
        <f t="shared" si="77"/>
        <v/>
      </c>
      <c r="H779" t="str">
        <f t="shared" si="78"/>
        <v>Space</v>
      </c>
    </row>
    <row r="780" spans="1:8" x14ac:dyDescent="0.25">
      <c r="A780" t="s">
        <v>811</v>
      </c>
      <c r="B780" s="3">
        <f t="shared" si="79"/>
        <v>101</v>
      </c>
      <c r="C780" s="3" t="str">
        <f t="shared" si="74"/>
        <v/>
      </c>
      <c r="D780" s="3">
        <f t="shared" si="75"/>
        <v>150</v>
      </c>
      <c r="E780" s="5" t="str">
        <f>IF(C780="",IF(D780="","",IF(D780&lt;128,"Wahl "&amp;D780,INDEX(KdoCodeTab,MATCH(D780,KdoWertTab,0)))),"Status "&amp;C780)</f>
        <v>SpaceWdh</v>
      </c>
      <c r="F780" t="str">
        <f t="shared" si="76"/>
        <v/>
      </c>
      <c r="G780" t="str">
        <f t="shared" si="77"/>
        <v/>
      </c>
      <c r="H780" t="str">
        <f t="shared" si="78"/>
        <v>SpaceWdh</v>
      </c>
    </row>
    <row r="781" spans="1:8" x14ac:dyDescent="0.25">
      <c r="A781" t="s">
        <v>812</v>
      </c>
      <c r="B781" s="3">
        <f t="shared" si="79"/>
        <v>101</v>
      </c>
      <c r="C781" s="3" t="str">
        <f t="shared" si="74"/>
        <v/>
      </c>
      <c r="D781" s="3">
        <f t="shared" si="75"/>
        <v>156</v>
      </c>
      <c r="E781" s="5" t="str">
        <f>IF(C781="",IF(D781="","",IF(D781&lt;128,"Wahl "&amp;D781,INDEX(KdoCodeTab,MATCH(D781,KdoWertTab,0)))),"Status "&amp;C781)</f>
        <v>Mark</v>
      </c>
      <c r="F781" t="str">
        <f t="shared" si="76"/>
        <v/>
      </c>
      <c r="G781" t="str">
        <f t="shared" si="77"/>
        <v/>
      </c>
      <c r="H781" t="str">
        <f t="shared" si="78"/>
        <v>Mark</v>
      </c>
    </row>
    <row r="782" spans="1:8" x14ac:dyDescent="0.25">
      <c r="A782" t="s">
        <v>813</v>
      </c>
      <c r="B782" s="3">
        <f t="shared" si="79"/>
        <v>101</v>
      </c>
      <c r="C782" s="3" t="str">
        <f t="shared" si="74"/>
        <v/>
      </c>
      <c r="D782" s="3">
        <f t="shared" si="75"/>
        <v>154</v>
      </c>
      <c r="E782" s="5" t="str">
        <f>IF(C782="",IF(D782="","",IF(D782&lt;128,"Wahl "&amp;D782,INDEX(KdoCodeTab,MATCH(D782,KdoWertTab,0)))),"Status "&amp;C782)</f>
        <v>MarkWdh</v>
      </c>
      <c r="F782" t="str">
        <f t="shared" si="76"/>
        <v/>
      </c>
      <c r="G782" t="str">
        <f t="shared" si="77"/>
        <v/>
      </c>
      <c r="H782" t="str">
        <f t="shared" si="78"/>
        <v>MarkWdh</v>
      </c>
    </row>
    <row r="783" spans="1:8" x14ac:dyDescent="0.25">
      <c r="A783" t="s">
        <v>814</v>
      </c>
      <c r="B783" s="3">
        <f t="shared" si="79"/>
        <v>101</v>
      </c>
      <c r="C783" s="3" t="str">
        <f t="shared" si="74"/>
        <v/>
      </c>
      <c r="D783" s="3">
        <f t="shared" si="75"/>
        <v>147</v>
      </c>
      <c r="E783" s="5" t="str">
        <f>IF(C783="",IF(D783="","",IF(D783&lt;128,"Wahl "&amp;D783,INDEX(KdoCodeTab,MATCH(D783,KdoWertTab,0)))),"Status "&amp;C783)</f>
        <v>Space</v>
      </c>
      <c r="F783" t="str">
        <f t="shared" si="76"/>
        <v/>
      </c>
      <c r="G783" t="str">
        <f t="shared" si="77"/>
        <v/>
      </c>
      <c r="H783" t="str">
        <f t="shared" si="78"/>
        <v>Space</v>
      </c>
    </row>
    <row r="784" spans="1:8" x14ac:dyDescent="0.25">
      <c r="A784" t="s">
        <v>815</v>
      </c>
      <c r="B784" s="3">
        <f t="shared" si="79"/>
        <v>101</v>
      </c>
      <c r="C784" s="3" t="str">
        <f t="shared" si="74"/>
        <v/>
      </c>
      <c r="D784" s="3">
        <f t="shared" si="75"/>
        <v>150</v>
      </c>
      <c r="E784" s="5" t="str">
        <f>IF(C784="",IF(D784="","",IF(D784&lt;128,"Wahl "&amp;D784,INDEX(KdoCodeTab,MATCH(D784,KdoWertTab,0)))),"Status "&amp;C784)</f>
        <v>SpaceWdh</v>
      </c>
      <c r="F784" t="str">
        <f t="shared" si="76"/>
        <v/>
      </c>
      <c r="G784" t="str">
        <f t="shared" si="77"/>
        <v/>
      </c>
      <c r="H784" t="str">
        <f t="shared" si="78"/>
        <v>SpaceWdh</v>
      </c>
    </row>
    <row r="785" spans="1:8" x14ac:dyDescent="0.25">
      <c r="A785" t="s">
        <v>816</v>
      </c>
      <c r="B785" s="3">
        <f t="shared" si="79"/>
        <v>101</v>
      </c>
      <c r="C785" s="3" t="str">
        <f t="shared" si="74"/>
        <v/>
      </c>
      <c r="D785" s="3">
        <f t="shared" si="75"/>
        <v>156</v>
      </c>
      <c r="E785" s="5" t="str">
        <f>IF(C785="",IF(D785="","",IF(D785&lt;128,"Wahl "&amp;D785,INDEX(KdoCodeTab,MATCH(D785,KdoWertTab,0)))),"Status "&amp;C785)</f>
        <v>Mark</v>
      </c>
      <c r="F785" t="str">
        <f t="shared" si="76"/>
        <v/>
      </c>
      <c r="G785" t="str">
        <f t="shared" si="77"/>
        <v/>
      </c>
      <c r="H785" t="str">
        <f t="shared" si="78"/>
        <v>Mark</v>
      </c>
    </row>
    <row r="786" spans="1:8" x14ac:dyDescent="0.25">
      <c r="A786" t="s">
        <v>817</v>
      </c>
      <c r="B786" s="3">
        <f t="shared" si="79"/>
        <v>101</v>
      </c>
      <c r="C786" s="3" t="str">
        <f t="shared" si="74"/>
        <v/>
      </c>
      <c r="D786" s="3">
        <f t="shared" si="75"/>
        <v>154</v>
      </c>
      <c r="E786" s="5" t="str">
        <f>IF(C786="",IF(D786="","",IF(D786&lt;128,"Wahl "&amp;D786,INDEX(KdoCodeTab,MATCH(D786,KdoWertTab,0)))),"Status "&amp;C786)</f>
        <v>MarkWdh</v>
      </c>
      <c r="F786" t="str">
        <f t="shared" si="76"/>
        <v/>
      </c>
      <c r="G786" t="str">
        <f t="shared" si="77"/>
        <v/>
      </c>
      <c r="H786" t="str">
        <f t="shared" si="78"/>
        <v>MarkWdh</v>
      </c>
    </row>
    <row r="787" spans="1:8" x14ac:dyDescent="0.25">
      <c r="A787" t="s">
        <v>818</v>
      </c>
      <c r="B787" s="3">
        <f t="shared" si="79"/>
        <v>101</v>
      </c>
      <c r="C787" s="3" t="str">
        <f t="shared" si="74"/>
        <v/>
      </c>
      <c r="D787" s="3">
        <f t="shared" si="75"/>
        <v>147</v>
      </c>
      <c r="E787" s="5" t="str">
        <f>IF(C787="",IF(D787="","",IF(D787&lt;128,"Wahl "&amp;D787,INDEX(KdoCodeTab,MATCH(D787,KdoWertTab,0)))),"Status "&amp;C787)</f>
        <v>Space</v>
      </c>
      <c r="F787" t="str">
        <f t="shared" si="76"/>
        <v/>
      </c>
      <c r="G787" t="str">
        <f t="shared" si="77"/>
        <v/>
      </c>
      <c r="H787" t="str">
        <f t="shared" si="78"/>
        <v>Space</v>
      </c>
    </row>
    <row r="788" spans="1:8" x14ac:dyDescent="0.25">
      <c r="A788" t="s">
        <v>819</v>
      </c>
      <c r="B788" s="3">
        <f t="shared" si="79"/>
        <v>101</v>
      </c>
      <c r="C788" s="3" t="str">
        <f t="shared" si="74"/>
        <v/>
      </c>
      <c r="D788" s="3">
        <f t="shared" si="75"/>
        <v>150</v>
      </c>
      <c r="E788" s="5" t="str">
        <f>IF(C788="",IF(D788="","",IF(D788&lt;128,"Wahl "&amp;D788,INDEX(KdoCodeTab,MATCH(D788,KdoWertTab,0)))),"Status "&amp;C788)</f>
        <v>SpaceWdh</v>
      </c>
      <c r="F788" t="str">
        <f t="shared" si="76"/>
        <v/>
      </c>
      <c r="G788" t="str">
        <f t="shared" si="77"/>
        <v/>
      </c>
      <c r="H788" t="str">
        <f t="shared" si="78"/>
        <v>SpaceWdh</v>
      </c>
    </row>
    <row r="789" spans="1:8" x14ac:dyDescent="0.25">
      <c r="A789" t="s">
        <v>820</v>
      </c>
      <c r="B789" s="3">
        <f t="shared" si="79"/>
        <v>101</v>
      </c>
      <c r="C789" s="3" t="str">
        <f t="shared" si="74"/>
        <v/>
      </c>
      <c r="D789" s="3">
        <f t="shared" si="75"/>
        <v>156</v>
      </c>
      <c r="E789" s="5" t="str">
        <f>IF(C789="",IF(D789="","",IF(D789&lt;128,"Wahl "&amp;D789,INDEX(KdoCodeTab,MATCH(D789,KdoWertTab,0)))),"Status "&amp;C789)</f>
        <v>Mark</v>
      </c>
      <c r="F789" t="str">
        <f t="shared" si="76"/>
        <v/>
      </c>
      <c r="G789" t="str">
        <f t="shared" si="77"/>
        <v/>
      </c>
      <c r="H789" t="str">
        <f t="shared" si="78"/>
        <v>Mark</v>
      </c>
    </row>
    <row r="790" spans="1:8" x14ac:dyDescent="0.25">
      <c r="A790" t="s">
        <v>821</v>
      </c>
      <c r="B790" s="3">
        <f t="shared" si="79"/>
        <v>101</v>
      </c>
      <c r="C790" s="3" t="str">
        <f t="shared" si="74"/>
        <v/>
      </c>
      <c r="D790" s="3">
        <f t="shared" si="75"/>
        <v>154</v>
      </c>
      <c r="E790" s="5" t="str">
        <f>IF(C790="",IF(D790="","",IF(D790&lt;128,"Wahl "&amp;D790,INDEX(KdoCodeTab,MATCH(D790,KdoWertTab,0)))),"Status "&amp;C790)</f>
        <v>MarkWdh</v>
      </c>
      <c r="F790" t="str">
        <f t="shared" si="76"/>
        <v/>
      </c>
      <c r="G790" t="str">
        <f t="shared" si="77"/>
        <v/>
      </c>
      <c r="H790" t="str">
        <f t="shared" si="78"/>
        <v>MarkWdh</v>
      </c>
    </row>
    <row r="791" spans="1:8" x14ac:dyDescent="0.25">
      <c r="A791" t="s">
        <v>822</v>
      </c>
      <c r="B791" s="3">
        <f t="shared" si="79"/>
        <v>101</v>
      </c>
      <c r="C791" s="3" t="str">
        <f t="shared" si="74"/>
        <v/>
      </c>
      <c r="D791" s="3">
        <f t="shared" si="75"/>
        <v>147</v>
      </c>
      <c r="E791" s="5" t="str">
        <f>IF(C791="",IF(D791="","",IF(D791&lt;128,"Wahl "&amp;D791,INDEX(KdoCodeTab,MATCH(D791,KdoWertTab,0)))),"Status "&amp;C791)</f>
        <v>Space</v>
      </c>
      <c r="F791" t="str">
        <f t="shared" si="76"/>
        <v/>
      </c>
      <c r="G791" t="str">
        <f t="shared" si="77"/>
        <v/>
      </c>
      <c r="H791" t="str">
        <f t="shared" si="78"/>
        <v>Space</v>
      </c>
    </row>
    <row r="792" spans="1:8" x14ac:dyDescent="0.25">
      <c r="A792" t="s">
        <v>823</v>
      </c>
      <c r="B792" s="3">
        <f t="shared" si="79"/>
        <v>101</v>
      </c>
      <c r="C792" s="3" t="str">
        <f t="shared" si="74"/>
        <v/>
      </c>
      <c r="D792" s="3">
        <f t="shared" si="75"/>
        <v>150</v>
      </c>
      <c r="E792" s="5" t="str">
        <f>IF(C792="",IF(D792="","",IF(D792&lt;128,"Wahl "&amp;D792,INDEX(KdoCodeTab,MATCH(D792,KdoWertTab,0)))),"Status "&amp;C792)</f>
        <v>SpaceWdh</v>
      </c>
      <c r="F792" t="str">
        <f t="shared" si="76"/>
        <v/>
      </c>
      <c r="G792" t="str">
        <f t="shared" si="77"/>
        <v/>
      </c>
      <c r="H792" t="str">
        <f t="shared" si="78"/>
        <v>SpaceWdh</v>
      </c>
    </row>
    <row r="793" spans="1:8" x14ac:dyDescent="0.25">
      <c r="A793" t="s">
        <v>824</v>
      </c>
      <c r="B793" s="3">
        <f t="shared" si="79"/>
        <v>31</v>
      </c>
      <c r="C793" s="3" t="str">
        <f t="shared" si="74"/>
        <v/>
      </c>
      <c r="D793" s="3">
        <f t="shared" si="75"/>
        <v>154</v>
      </c>
      <c r="E793" s="5" t="str">
        <f>IF(C793="",IF(D793="","",IF(D793&lt;128,"Wahl "&amp;D793,INDEX(KdoCodeTab,MATCH(D793,KdoWertTab,0)))),"Status "&amp;C793)</f>
        <v>MarkWdh</v>
      </c>
      <c r="F793" t="str">
        <f t="shared" si="76"/>
        <v>MarkWdh</v>
      </c>
      <c r="G793" t="str">
        <f t="shared" si="77"/>
        <v/>
      </c>
      <c r="H793" t="str">
        <f t="shared" si="78"/>
        <v/>
      </c>
    </row>
    <row r="794" spans="1:8" x14ac:dyDescent="0.25">
      <c r="A794" t="s">
        <v>825</v>
      </c>
      <c r="B794" s="3">
        <f t="shared" si="79"/>
        <v>101</v>
      </c>
      <c r="C794" s="3" t="str">
        <f t="shared" si="74"/>
        <v/>
      </c>
      <c r="D794" s="3">
        <f t="shared" si="75"/>
        <v>156</v>
      </c>
      <c r="E794" s="5" t="str">
        <f>IF(C794="",IF(D794="","",IF(D794&lt;128,"Wahl "&amp;D794,INDEX(KdoCodeTab,MATCH(D794,KdoWertTab,0)))),"Status "&amp;C794)</f>
        <v>Mark</v>
      </c>
      <c r="F794" t="str">
        <f t="shared" si="76"/>
        <v/>
      </c>
      <c r="G794" t="str">
        <f t="shared" si="77"/>
        <v/>
      </c>
      <c r="H794" t="str">
        <f t="shared" si="78"/>
        <v>Mark</v>
      </c>
    </row>
    <row r="795" spans="1:8" x14ac:dyDescent="0.25">
      <c r="A795" t="s">
        <v>826</v>
      </c>
      <c r="B795" s="3">
        <f t="shared" si="79"/>
        <v>101</v>
      </c>
      <c r="C795" s="3" t="str">
        <f t="shared" si="74"/>
        <v/>
      </c>
      <c r="D795" s="3">
        <f t="shared" si="75"/>
        <v>154</v>
      </c>
      <c r="E795" s="5" t="str">
        <f>IF(C795="",IF(D795="","",IF(D795&lt;128,"Wahl "&amp;D795,INDEX(KdoCodeTab,MATCH(D795,KdoWertTab,0)))),"Status "&amp;C795)</f>
        <v>MarkWdh</v>
      </c>
      <c r="F795" t="str">
        <f t="shared" si="76"/>
        <v/>
      </c>
      <c r="G795" t="str">
        <f t="shared" si="77"/>
        <v/>
      </c>
      <c r="H795" t="str">
        <f t="shared" si="78"/>
        <v>MarkWdh</v>
      </c>
    </row>
    <row r="796" spans="1:8" x14ac:dyDescent="0.25">
      <c r="A796" t="s">
        <v>827</v>
      </c>
      <c r="B796" s="3">
        <f t="shared" si="79"/>
        <v>101</v>
      </c>
      <c r="C796" s="3" t="str">
        <f t="shared" si="74"/>
        <v/>
      </c>
      <c r="D796" s="3">
        <f t="shared" si="75"/>
        <v>147</v>
      </c>
      <c r="E796" s="5" t="str">
        <f>IF(C796="",IF(D796="","",IF(D796&lt;128,"Wahl "&amp;D796,INDEX(KdoCodeTab,MATCH(D796,KdoWertTab,0)))),"Status "&amp;C796)</f>
        <v>Space</v>
      </c>
      <c r="F796" t="str">
        <f t="shared" si="76"/>
        <v/>
      </c>
      <c r="G796" t="str">
        <f t="shared" si="77"/>
        <v/>
      </c>
      <c r="H796" t="str">
        <f t="shared" si="78"/>
        <v>Space</v>
      </c>
    </row>
    <row r="797" spans="1:8" x14ac:dyDescent="0.25">
      <c r="A797" t="s">
        <v>828</v>
      </c>
      <c r="B797" s="3">
        <f t="shared" si="79"/>
        <v>101</v>
      </c>
      <c r="C797" s="3" t="str">
        <f t="shared" si="74"/>
        <v/>
      </c>
      <c r="D797" s="3">
        <f t="shared" si="75"/>
        <v>150</v>
      </c>
      <c r="E797" s="5" t="str">
        <f>IF(C797="",IF(D797="","",IF(D797&lt;128,"Wahl "&amp;D797,INDEX(KdoCodeTab,MATCH(D797,KdoWertTab,0)))),"Status "&amp;C797)</f>
        <v>SpaceWdh</v>
      </c>
      <c r="F797" t="str">
        <f t="shared" si="76"/>
        <v/>
      </c>
      <c r="G797" t="str">
        <f t="shared" si="77"/>
        <v/>
      </c>
      <c r="H797" t="str">
        <f t="shared" si="78"/>
        <v>SpaceWdh</v>
      </c>
    </row>
    <row r="798" spans="1:8" x14ac:dyDescent="0.25">
      <c r="A798" t="s">
        <v>829</v>
      </c>
      <c r="B798" s="3">
        <f t="shared" si="79"/>
        <v>101</v>
      </c>
      <c r="C798" s="3" t="str">
        <f t="shared" si="74"/>
        <v/>
      </c>
      <c r="D798" s="3">
        <f t="shared" si="75"/>
        <v>156</v>
      </c>
      <c r="E798" s="5" t="str">
        <f>IF(C798="",IF(D798="","",IF(D798&lt;128,"Wahl "&amp;D798,INDEX(KdoCodeTab,MATCH(D798,KdoWertTab,0)))),"Status "&amp;C798)</f>
        <v>Mark</v>
      </c>
      <c r="F798" t="str">
        <f t="shared" si="76"/>
        <v/>
      </c>
      <c r="G798" t="str">
        <f t="shared" si="77"/>
        <v/>
      </c>
      <c r="H798" t="str">
        <f t="shared" si="78"/>
        <v>Mark</v>
      </c>
    </row>
    <row r="799" spans="1:8" x14ac:dyDescent="0.25">
      <c r="A799" t="s">
        <v>830</v>
      </c>
      <c r="B799" s="3">
        <f t="shared" si="79"/>
        <v>101</v>
      </c>
      <c r="C799" s="3" t="str">
        <f t="shared" si="74"/>
        <v/>
      </c>
      <c r="D799" s="3">
        <f t="shared" si="75"/>
        <v>154</v>
      </c>
      <c r="E799" s="5" t="str">
        <f>IF(C799="",IF(D799="","",IF(D799&lt;128,"Wahl "&amp;D799,INDEX(KdoCodeTab,MATCH(D799,KdoWertTab,0)))),"Status "&amp;C799)</f>
        <v>MarkWdh</v>
      </c>
      <c r="F799" t="str">
        <f t="shared" si="76"/>
        <v/>
      </c>
      <c r="G799" t="str">
        <f t="shared" si="77"/>
        <v/>
      </c>
      <c r="H799" t="str">
        <f t="shared" si="78"/>
        <v>MarkWdh</v>
      </c>
    </row>
    <row r="800" spans="1:8" x14ac:dyDescent="0.25">
      <c r="A800" t="s">
        <v>831</v>
      </c>
      <c r="B800" s="3">
        <f t="shared" si="79"/>
        <v>101</v>
      </c>
      <c r="C800" s="3" t="str">
        <f t="shared" si="74"/>
        <v/>
      </c>
      <c r="D800" s="3">
        <f t="shared" si="75"/>
        <v>147</v>
      </c>
      <c r="E800" s="5" t="str">
        <f>IF(C800="",IF(D800="","",IF(D800&lt;128,"Wahl "&amp;D800,INDEX(KdoCodeTab,MATCH(D800,KdoWertTab,0)))),"Status "&amp;C800)</f>
        <v>Space</v>
      </c>
      <c r="F800" t="str">
        <f t="shared" si="76"/>
        <v/>
      </c>
      <c r="G800" t="str">
        <f t="shared" si="77"/>
        <v/>
      </c>
      <c r="H800" t="str">
        <f t="shared" si="78"/>
        <v>Space</v>
      </c>
    </row>
    <row r="801" spans="1:8" x14ac:dyDescent="0.25">
      <c r="A801" t="s">
        <v>832</v>
      </c>
      <c r="B801" s="3">
        <f t="shared" si="79"/>
        <v>101</v>
      </c>
      <c r="C801" s="3" t="str">
        <f t="shared" si="74"/>
        <v/>
      </c>
      <c r="D801" s="3">
        <f t="shared" si="75"/>
        <v>150</v>
      </c>
      <c r="E801" s="5" t="str">
        <f>IF(C801="",IF(D801="","",IF(D801&lt;128,"Wahl "&amp;D801,INDEX(KdoCodeTab,MATCH(D801,KdoWertTab,0)))),"Status "&amp;C801)</f>
        <v>SpaceWdh</v>
      </c>
      <c r="F801" t="str">
        <f t="shared" si="76"/>
        <v/>
      </c>
      <c r="G801" t="str">
        <f t="shared" si="77"/>
        <v/>
      </c>
      <c r="H801" t="str">
        <f t="shared" si="78"/>
        <v>SpaceWdh</v>
      </c>
    </row>
    <row r="802" spans="1:8" x14ac:dyDescent="0.25">
      <c r="A802" t="s">
        <v>833</v>
      </c>
      <c r="B802" s="3">
        <f t="shared" si="79"/>
        <v>101</v>
      </c>
      <c r="C802" s="3" t="str">
        <f t="shared" si="74"/>
        <v/>
      </c>
      <c r="D802" s="3">
        <f t="shared" si="75"/>
        <v>156</v>
      </c>
      <c r="E802" s="5" t="str">
        <f>IF(C802="",IF(D802="","",IF(D802&lt;128,"Wahl "&amp;D802,INDEX(KdoCodeTab,MATCH(D802,KdoWertTab,0)))),"Status "&amp;C802)</f>
        <v>Mark</v>
      </c>
      <c r="F802" t="str">
        <f t="shared" si="76"/>
        <v/>
      </c>
      <c r="G802" t="str">
        <f t="shared" si="77"/>
        <v/>
      </c>
      <c r="H802" t="str">
        <f t="shared" si="78"/>
        <v>Mark</v>
      </c>
    </row>
    <row r="803" spans="1:8" x14ac:dyDescent="0.25">
      <c r="A803" t="s">
        <v>834</v>
      </c>
      <c r="B803" s="3">
        <f t="shared" si="79"/>
        <v>101</v>
      </c>
      <c r="C803" s="3" t="str">
        <f t="shared" si="74"/>
        <v/>
      </c>
      <c r="D803" s="3">
        <f t="shared" si="75"/>
        <v>154</v>
      </c>
      <c r="E803" s="5" t="str">
        <f>IF(C803="",IF(D803="","",IF(D803&lt;128,"Wahl "&amp;D803,INDEX(KdoCodeTab,MATCH(D803,KdoWertTab,0)))),"Status "&amp;C803)</f>
        <v>MarkWdh</v>
      </c>
      <c r="F803" t="str">
        <f t="shared" si="76"/>
        <v/>
      </c>
      <c r="G803" t="str">
        <f t="shared" si="77"/>
        <v/>
      </c>
      <c r="H803" t="str">
        <f t="shared" si="78"/>
        <v>MarkWdh</v>
      </c>
    </row>
    <row r="804" spans="1:8" x14ac:dyDescent="0.25">
      <c r="A804" t="s">
        <v>835</v>
      </c>
      <c r="B804" s="3">
        <f t="shared" si="79"/>
        <v>101</v>
      </c>
      <c r="C804" s="3" t="str">
        <f t="shared" si="74"/>
        <v/>
      </c>
      <c r="D804" s="3">
        <f t="shared" si="75"/>
        <v>147</v>
      </c>
      <c r="E804" s="5" t="str">
        <f>IF(C804="",IF(D804="","",IF(D804&lt;128,"Wahl "&amp;D804,INDEX(KdoCodeTab,MATCH(D804,KdoWertTab,0)))),"Status "&amp;C804)</f>
        <v>Space</v>
      </c>
      <c r="F804" t="str">
        <f t="shared" si="76"/>
        <v/>
      </c>
      <c r="G804" t="str">
        <f t="shared" si="77"/>
        <v/>
      </c>
      <c r="H804" t="str">
        <f t="shared" si="78"/>
        <v>Space</v>
      </c>
    </row>
    <row r="805" spans="1:8" x14ac:dyDescent="0.25">
      <c r="A805" t="s">
        <v>836</v>
      </c>
      <c r="B805" s="3">
        <f t="shared" si="79"/>
        <v>101</v>
      </c>
      <c r="C805" s="3" t="str">
        <f t="shared" si="74"/>
        <v/>
      </c>
      <c r="D805" s="3">
        <f t="shared" si="75"/>
        <v>150</v>
      </c>
      <c r="E805" s="5" t="str">
        <f>IF(C805="",IF(D805="","",IF(D805&lt;128,"Wahl "&amp;D805,INDEX(KdoCodeTab,MATCH(D805,KdoWertTab,0)))),"Status "&amp;C805)</f>
        <v>SpaceWdh</v>
      </c>
      <c r="F805" t="str">
        <f t="shared" si="76"/>
        <v/>
      </c>
      <c r="G805" t="str">
        <f t="shared" si="77"/>
        <v/>
      </c>
      <c r="H805" t="str">
        <f t="shared" si="78"/>
        <v>SpaceWdh</v>
      </c>
    </row>
    <row r="806" spans="1:8" x14ac:dyDescent="0.25">
      <c r="A806" t="s">
        <v>837</v>
      </c>
      <c r="B806" s="3">
        <f t="shared" si="79"/>
        <v>101</v>
      </c>
      <c r="C806" s="3" t="str">
        <f t="shared" si="74"/>
        <v/>
      </c>
      <c r="D806" s="3">
        <f t="shared" si="75"/>
        <v>156</v>
      </c>
      <c r="E806" s="5" t="str">
        <f>IF(C806="",IF(D806="","",IF(D806&lt;128,"Wahl "&amp;D806,INDEX(KdoCodeTab,MATCH(D806,KdoWertTab,0)))),"Status "&amp;C806)</f>
        <v>Mark</v>
      </c>
      <c r="F806" t="str">
        <f t="shared" si="76"/>
        <v/>
      </c>
      <c r="G806" t="str">
        <f t="shared" si="77"/>
        <v/>
      </c>
      <c r="H806" t="str">
        <f t="shared" si="78"/>
        <v>Mark</v>
      </c>
    </row>
    <row r="807" spans="1:8" x14ac:dyDescent="0.25">
      <c r="A807" t="s">
        <v>838</v>
      </c>
      <c r="B807" s="3">
        <f t="shared" si="79"/>
        <v>101</v>
      </c>
      <c r="C807" s="3" t="str">
        <f t="shared" si="74"/>
        <v/>
      </c>
      <c r="D807" s="3">
        <f t="shared" si="75"/>
        <v>154</v>
      </c>
      <c r="E807" s="5" t="str">
        <f>IF(C807="",IF(D807="","",IF(D807&lt;128,"Wahl "&amp;D807,INDEX(KdoCodeTab,MATCH(D807,KdoWertTab,0)))),"Status "&amp;C807)</f>
        <v>MarkWdh</v>
      </c>
      <c r="F807" t="str">
        <f t="shared" si="76"/>
        <v/>
      </c>
      <c r="G807" t="str">
        <f t="shared" si="77"/>
        <v/>
      </c>
      <c r="H807" t="str">
        <f t="shared" si="78"/>
        <v>MarkWdh</v>
      </c>
    </row>
    <row r="808" spans="1:8" x14ac:dyDescent="0.25">
      <c r="A808" t="s">
        <v>839</v>
      </c>
      <c r="B808" s="3">
        <f t="shared" si="79"/>
        <v>101</v>
      </c>
      <c r="C808" s="3" t="str">
        <f t="shared" si="74"/>
        <v/>
      </c>
      <c r="D808" s="3">
        <f t="shared" si="75"/>
        <v>169</v>
      </c>
      <c r="E808" s="5" t="str">
        <f>IF(C808="",IF(D808="","",IF(D808&lt;128,"Wahl "&amp;D808,INDEX(KdoCodeTab,MATCH(D808,KdoWertTab,0)))),"Status "&amp;C808)</f>
        <v>BusLebenszeichen</v>
      </c>
      <c r="F808" t="str">
        <f t="shared" si="76"/>
        <v/>
      </c>
      <c r="G808" t="str">
        <f t="shared" si="77"/>
        <v/>
      </c>
      <c r="H808" t="str">
        <f t="shared" si="78"/>
        <v>BusLebenszeichen</v>
      </c>
    </row>
    <row r="809" spans="1:8" x14ac:dyDescent="0.25">
      <c r="A809" t="s">
        <v>840</v>
      </c>
      <c r="B809" s="3">
        <f t="shared" si="79"/>
        <v>31</v>
      </c>
      <c r="C809" s="3" t="str">
        <f t="shared" si="74"/>
        <v/>
      </c>
      <c r="D809" s="3">
        <f t="shared" si="75"/>
        <v>154</v>
      </c>
      <c r="E809" s="5" t="str">
        <f>IF(C809="",IF(D809="","",IF(D809&lt;128,"Wahl "&amp;D809,INDEX(KdoCodeTab,MATCH(D809,KdoWertTab,0)))),"Status "&amp;C809)</f>
        <v>MarkWdh</v>
      </c>
      <c r="F809" t="str">
        <f t="shared" si="76"/>
        <v>MarkWdh</v>
      </c>
      <c r="G809" t="str">
        <f t="shared" si="77"/>
        <v/>
      </c>
      <c r="H809" t="str">
        <f t="shared" si="78"/>
        <v/>
      </c>
    </row>
    <row r="810" spans="1:8" x14ac:dyDescent="0.25">
      <c r="A810" t="s">
        <v>841</v>
      </c>
      <c r="B810" s="3">
        <f t="shared" si="79"/>
        <v>101</v>
      </c>
      <c r="C810" s="3" t="str">
        <f t="shared" si="74"/>
        <v/>
      </c>
      <c r="D810" s="3">
        <f t="shared" si="75"/>
        <v>147</v>
      </c>
      <c r="E810" s="5" t="str">
        <f>IF(C810="",IF(D810="","",IF(D810&lt;128,"Wahl "&amp;D810,INDEX(KdoCodeTab,MATCH(D810,KdoWertTab,0)))),"Status "&amp;C810)</f>
        <v>Space</v>
      </c>
      <c r="F810" t="str">
        <f t="shared" si="76"/>
        <v/>
      </c>
      <c r="G810" t="str">
        <f t="shared" si="77"/>
        <v/>
      </c>
      <c r="H810" t="str">
        <f t="shared" si="78"/>
        <v>Space</v>
      </c>
    </row>
    <row r="811" spans="1:8" x14ac:dyDescent="0.25">
      <c r="A811" t="s">
        <v>842</v>
      </c>
      <c r="B811" s="3">
        <f t="shared" si="79"/>
        <v>101</v>
      </c>
      <c r="C811" s="3" t="str">
        <f t="shared" si="74"/>
        <v/>
      </c>
      <c r="D811" s="3">
        <f t="shared" si="75"/>
        <v>150</v>
      </c>
      <c r="E811" s="5" t="str">
        <f>IF(C811="",IF(D811="","",IF(D811&lt;128,"Wahl "&amp;D811,INDEX(KdoCodeTab,MATCH(D811,KdoWertTab,0)))),"Status "&amp;C811)</f>
        <v>SpaceWdh</v>
      </c>
      <c r="F811" t="str">
        <f t="shared" si="76"/>
        <v/>
      </c>
      <c r="G811" t="str">
        <f t="shared" si="77"/>
        <v/>
      </c>
      <c r="H811" t="str">
        <f t="shared" si="78"/>
        <v>SpaceWdh</v>
      </c>
    </row>
    <row r="812" spans="1:8" x14ac:dyDescent="0.25">
      <c r="A812" t="s">
        <v>843</v>
      </c>
      <c r="B812" s="3">
        <f t="shared" si="79"/>
        <v>101</v>
      </c>
      <c r="C812" s="3" t="str">
        <f t="shared" si="74"/>
        <v/>
      </c>
      <c r="D812" s="3">
        <f t="shared" si="75"/>
        <v>156</v>
      </c>
      <c r="E812" s="5" t="str">
        <f>IF(C812="",IF(D812="","",IF(D812&lt;128,"Wahl "&amp;D812,INDEX(KdoCodeTab,MATCH(D812,KdoWertTab,0)))),"Status "&amp;C812)</f>
        <v>Mark</v>
      </c>
      <c r="F812" t="str">
        <f t="shared" si="76"/>
        <v/>
      </c>
      <c r="G812" t="str">
        <f t="shared" si="77"/>
        <v/>
      </c>
      <c r="H812" t="str">
        <f t="shared" si="78"/>
        <v>Mark</v>
      </c>
    </row>
    <row r="813" spans="1:8" x14ac:dyDescent="0.25">
      <c r="A813" t="s">
        <v>844</v>
      </c>
      <c r="B813" s="3">
        <f t="shared" si="79"/>
        <v>101</v>
      </c>
      <c r="C813" s="3" t="str">
        <f t="shared" si="74"/>
        <v/>
      </c>
      <c r="D813" s="3">
        <f t="shared" si="75"/>
        <v>154</v>
      </c>
      <c r="E813" s="5" t="str">
        <f>IF(C813="",IF(D813="","",IF(D813&lt;128,"Wahl "&amp;D813,INDEX(KdoCodeTab,MATCH(D813,KdoWertTab,0)))),"Status "&amp;C813)</f>
        <v>MarkWdh</v>
      </c>
      <c r="F813" t="str">
        <f t="shared" si="76"/>
        <v/>
      </c>
      <c r="G813" t="str">
        <f t="shared" si="77"/>
        <v/>
      </c>
      <c r="H813" t="str">
        <f t="shared" si="78"/>
        <v>MarkWdh</v>
      </c>
    </row>
    <row r="814" spans="1:8" x14ac:dyDescent="0.25">
      <c r="A814" t="s">
        <v>845</v>
      </c>
      <c r="B814" s="3">
        <f t="shared" si="79"/>
        <v>101</v>
      </c>
      <c r="C814" s="3" t="str">
        <f t="shared" si="74"/>
        <v/>
      </c>
      <c r="D814" s="3">
        <f t="shared" si="75"/>
        <v>147</v>
      </c>
      <c r="E814" s="5" t="str">
        <f>IF(C814="",IF(D814="","",IF(D814&lt;128,"Wahl "&amp;D814,INDEX(KdoCodeTab,MATCH(D814,KdoWertTab,0)))),"Status "&amp;C814)</f>
        <v>Space</v>
      </c>
      <c r="F814" t="str">
        <f t="shared" si="76"/>
        <v/>
      </c>
      <c r="G814" t="str">
        <f t="shared" si="77"/>
        <v/>
      </c>
      <c r="H814" t="str">
        <f t="shared" si="78"/>
        <v>Space</v>
      </c>
    </row>
    <row r="815" spans="1:8" x14ac:dyDescent="0.25">
      <c r="A815" t="s">
        <v>846</v>
      </c>
      <c r="B815" s="3">
        <f t="shared" si="79"/>
        <v>101</v>
      </c>
      <c r="C815" s="3" t="str">
        <f t="shared" si="74"/>
        <v/>
      </c>
      <c r="D815" s="3">
        <f t="shared" si="75"/>
        <v>150</v>
      </c>
      <c r="E815" s="5" t="str">
        <f>IF(C815="",IF(D815="","",IF(D815&lt;128,"Wahl "&amp;D815,INDEX(KdoCodeTab,MATCH(D815,KdoWertTab,0)))),"Status "&amp;C815)</f>
        <v>SpaceWdh</v>
      </c>
      <c r="F815" t="str">
        <f t="shared" si="76"/>
        <v/>
      </c>
      <c r="G815" t="str">
        <f t="shared" si="77"/>
        <v/>
      </c>
      <c r="H815" t="str">
        <f t="shared" si="78"/>
        <v>SpaceWdh</v>
      </c>
    </row>
    <row r="816" spans="1:8" x14ac:dyDescent="0.25">
      <c r="A816" t="s">
        <v>847</v>
      </c>
      <c r="B816" s="3">
        <f t="shared" si="79"/>
        <v>101</v>
      </c>
      <c r="C816" s="3" t="str">
        <f t="shared" si="74"/>
        <v/>
      </c>
      <c r="D816" s="3">
        <f t="shared" si="75"/>
        <v>156</v>
      </c>
      <c r="E816" s="5" t="str">
        <f>IF(C816="",IF(D816="","",IF(D816&lt;128,"Wahl "&amp;D816,INDEX(KdoCodeTab,MATCH(D816,KdoWertTab,0)))),"Status "&amp;C816)</f>
        <v>Mark</v>
      </c>
      <c r="F816" t="str">
        <f t="shared" si="76"/>
        <v/>
      </c>
      <c r="G816" t="str">
        <f t="shared" si="77"/>
        <v/>
      </c>
      <c r="H816" t="str">
        <f t="shared" si="78"/>
        <v>Mark</v>
      </c>
    </row>
    <row r="817" spans="1:8" x14ac:dyDescent="0.25">
      <c r="A817" t="s">
        <v>848</v>
      </c>
      <c r="B817" s="3">
        <f t="shared" si="79"/>
        <v>101</v>
      </c>
      <c r="C817" s="3" t="str">
        <f t="shared" si="74"/>
        <v/>
      </c>
      <c r="D817" s="3">
        <f t="shared" si="75"/>
        <v>154</v>
      </c>
      <c r="E817" s="5" t="str">
        <f>IF(C817="",IF(D817="","",IF(D817&lt;128,"Wahl "&amp;D817,INDEX(KdoCodeTab,MATCH(D817,KdoWertTab,0)))),"Status "&amp;C817)</f>
        <v>MarkWdh</v>
      </c>
      <c r="F817" t="str">
        <f t="shared" si="76"/>
        <v/>
      </c>
      <c r="G817" t="str">
        <f t="shared" si="77"/>
        <v/>
      </c>
      <c r="H817" t="str">
        <f t="shared" si="78"/>
        <v>MarkWdh</v>
      </c>
    </row>
    <row r="818" spans="1:8" x14ac:dyDescent="0.25">
      <c r="A818" t="s">
        <v>849</v>
      </c>
      <c r="B818" s="3">
        <f t="shared" si="79"/>
        <v>31</v>
      </c>
      <c r="C818" s="3" t="str">
        <f t="shared" si="74"/>
        <v/>
      </c>
      <c r="D818" s="3">
        <f t="shared" si="75"/>
        <v>154</v>
      </c>
      <c r="E818" s="5" t="str">
        <f>IF(C818="",IF(D818="","",IF(D818&lt;128,"Wahl "&amp;D818,INDEX(KdoCodeTab,MATCH(D818,KdoWertTab,0)))),"Status "&amp;C818)</f>
        <v>MarkWdh</v>
      </c>
      <c r="F818" t="str">
        <f t="shared" si="76"/>
        <v>MarkWdh</v>
      </c>
      <c r="G818" t="str">
        <f t="shared" si="77"/>
        <v/>
      </c>
      <c r="H818" t="str">
        <f t="shared" si="78"/>
        <v/>
      </c>
    </row>
    <row r="819" spans="1:8" x14ac:dyDescent="0.25">
      <c r="A819" t="s">
        <v>850</v>
      </c>
      <c r="B819" s="3">
        <f t="shared" si="79"/>
        <v>101</v>
      </c>
      <c r="C819" s="3" t="str">
        <f t="shared" si="74"/>
        <v/>
      </c>
      <c r="D819" s="3">
        <f t="shared" si="75"/>
        <v>147</v>
      </c>
      <c r="E819" s="5" t="str">
        <f>IF(C819="",IF(D819="","",IF(D819&lt;128,"Wahl "&amp;D819,INDEX(KdoCodeTab,MATCH(D819,KdoWertTab,0)))),"Status "&amp;C819)</f>
        <v>Space</v>
      </c>
      <c r="F819" t="str">
        <f t="shared" si="76"/>
        <v/>
      </c>
      <c r="G819" t="str">
        <f t="shared" si="77"/>
        <v/>
      </c>
      <c r="H819" t="str">
        <f t="shared" si="78"/>
        <v>Space</v>
      </c>
    </row>
    <row r="820" spans="1:8" x14ac:dyDescent="0.25">
      <c r="A820" t="s">
        <v>851</v>
      </c>
      <c r="B820" s="3">
        <f t="shared" si="79"/>
        <v>101</v>
      </c>
      <c r="C820" s="3" t="str">
        <f t="shared" si="74"/>
        <v/>
      </c>
      <c r="D820" s="3">
        <f t="shared" si="75"/>
        <v>150</v>
      </c>
      <c r="E820" s="5" t="str">
        <f>IF(C820="",IF(D820="","",IF(D820&lt;128,"Wahl "&amp;D820,INDEX(KdoCodeTab,MATCH(D820,KdoWertTab,0)))),"Status "&amp;C820)</f>
        <v>SpaceWdh</v>
      </c>
      <c r="F820" t="str">
        <f t="shared" si="76"/>
        <v/>
      </c>
      <c r="G820" t="str">
        <f t="shared" si="77"/>
        <v/>
      </c>
      <c r="H820" t="str">
        <f t="shared" si="78"/>
        <v>SpaceWdh</v>
      </c>
    </row>
    <row r="821" spans="1:8" x14ac:dyDescent="0.25">
      <c r="A821" t="s">
        <v>852</v>
      </c>
      <c r="B821" s="3">
        <f t="shared" si="79"/>
        <v>101</v>
      </c>
      <c r="C821" s="3" t="str">
        <f t="shared" si="74"/>
        <v/>
      </c>
      <c r="D821" s="3">
        <f t="shared" si="75"/>
        <v>169</v>
      </c>
      <c r="E821" s="5" t="str">
        <f>IF(C821="",IF(D821="","",IF(D821&lt;128,"Wahl "&amp;D821,INDEX(KdoCodeTab,MATCH(D821,KdoWertTab,0)))),"Status "&amp;C821)</f>
        <v>BusLebenszeichen</v>
      </c>
      <c r="F821" t="str">
        <f t="shared" si="76"/>
        <v/>
      </c>
      <c r="G821" t="str">
        <f t="shared" si="77"/>
        <v/>
      </c>
      <c r="H821" t="str">
        <f t="shared" si="78"/>
        <v>BusLebenszeichen</v>
      </c>
    </row>
    <row r="822" spans="1:8" x14ac:dyDescent="0.25">
      <c r="A822" t="s">
        <v>853</v>
      </c>
      <c r="B822" s="3">
        <f t="shared" si="79"/>
        <v>101</v>
      </c>
      <c r="C822" s="3" t="str">
        <f t="shared" si="74"/>
        <v/>
      </c>
      <c r="D822" s="3">
        <f t="shared" si="75"/>
        <v>156</v>
      </c>
      <c r="E822" s="5" t="str">
        <f>IF(C822="",IF(D822="","",IF(D822&lt;128,"Wahl "&amp;D822,INDEX(KdoCodeTab,MATCH(D822,KdoWertTab,0)))),"Status "&amp;C822)</f>
        <v>Mark</v>
      </c>
      <c r="F822" t="str">
        <f t="shared" si="76"/>
        <v/>
      </c>
      <c r="G822" t="str">
        <f t="shared" si="77"/>
        <v/>
      </c>
      <c r="H822" t="str">
        <f t="shared" si="78"/>
        <v>Mark</v>
      </c>
    </row>
    <row r="823" spans="1:8" x14ac:dyDescent="0.25">
      <c r="A823" t="s">
        <v>854</v>
      </c>
      <c r="B823" s="3">
        <f t="shared" si="79"/>
        <v>101</v>
      </c>
      <c r="C823" s="3" t="str">
        <f t="shared" si="74"/>
        <v/>
      </c>
      <c r="D823" s="3">
        <f t="shared" si="75"/>
        <v>154</v>
      </c>
      <c r="E823" s="5" t="str">
        <f>IF(C823="",IF(D823="","",IF(D823&lt;128,"Wahl "&amp;D823,INDEX(KdoCodeTab,MATCH(D823,KdoWertTab,0)))),"Status "&amp;C823)</f>
        <v>MarkWdh</v>
      </c>
      <c r="F823" t="str">
        <f t="shared" si="76"/>
        <v/>
      </c>
      <c r="G823" t="str">
        <f t="shared" si="77"/>
        <v/>
      </c>
      <c r="H823" t="str">
        <f t="shared" si="78"/>
        <v>MarkWdh</v>
      </c>
    </row>
    <row r="824" spans="1:8" x14ac:dyDescent="0.25">
      <c r="A824" t="s">
        <v>855</v>
      </c>
      <c r="B824" s="3">
        <f t="shared" si="79"/>
        <v>101</v>
      </c>
      <c r="C824" s="3" t="str">
        <f t="shared" si="74"/>
        <v/>
      </c>
      <c r="D824" s="3">
        <f t="shared" si="75"/>
        <v>147</v>
      </c>
      <c r="E824" s="5" t="str">
        <f>IF(C824="",IF(D824="","",IF(D824&lt;128,"Wahl "&amp;D824,INDEX(KdoCodeTab,MATCH(D824,KdoWertTab,0)))),"Status "&amp;C824)</f>
        <v>Space</v>
      </c>
      <c r="F824" t="str">
        <f t="shared" si="76"/>
        <v/>
      </c>
      <c r="G824" t="str">
        <f t="shared" si="77"/>
        <v/>
      </c>
      <c r="H824" t="str">
        <f t="shared" si="78"/>
        <v>Space</v>
      </c>
    </row>
    <row r="825" spans="1:8" x14ac:dyDescent="0.25">
      <c r="A825" t="s">
        <v>856</v>
      </c>
      <c r="B825" s="3">
        <f t="shared" si="79"/>
        <v>101</v>
      </c>
      <c r="C825" s="3" t="str">
        <f t="shared" si="74"/>
        <v/>
      </c>
      <c r="D825" s="3">
        <f t="shared" si="75"/>
        <v>150</v>
      </c>
      <c r="E825" s="5" t="str">
        <f>IF(C825="",IF(D825="","",IF(D825&lt;128,"Wahl "&amp;D825,INDEX(KdoCodeTab,MATCH(D825,KdoWertTab,0)))),"Status "&amp;C825)</f>
        <v>SpaceWdh</v>
      </c>
      <c r="F825" t="str">
        <f t="shared" si="76"/>
        <v/>
      </c>
      <c r="G825" t="str">
        <f t="shared" si="77"/>
        <v/>
      </c>
      <c r="H825" t="str">
        <f t="shared" si="78"/>
        <v>SpaceWdh</v>
      </c>
    </row>
    <row r="826" spans="1:8" x14ac:dyDescent="0.25">
      <c r="A826" t="s">
        <v>857</v>
      </c>
      <c r="B826" s="3">
        <f t="shared" si="79"/>
        <v>101</v>
      </c>
      <c r="C826" s="3" t="str">
        <f t="shared" si="74"/>
        <v/>
      </c>
      <c r="D826" s="3">
        <f t="shared" si="75"/>
        <v>156</v>
      </c>
      <c r="E826" s="5" t="str">
        <f>IF(C826="",IF(D826="","",IF(D826&lt;128,"Wahl "&amp;D826,INDEX(KdoCodeTab,MATCH(D826,KdoWertTab,0)))),"Status "&amp;C826)</f>
        <v>Mark</v>
      </c>
      <c r="F826" t="str">
        <f t="shared" si="76"/>
        <v/>
      </c>
      <c r="G826" t="str">
        <f t="shared" si="77"/>
        <v/>
      </c>
      <c r="H826" t="str">
        <f t="shared" si="78"/>
        <v>Mark</v>
      </c>
    </row>
    <row r="827" spans="1:8" x14ac:dyDescent="0.25">
      <c r="A827" t="s">
        <v>858</v>
      </c>
      <c r="B827" s="3">
        <f t="shared" si="79"/>
        <v>101</v>
      </c>
      <c r="C827" s="3" t="str">
        <f t="shared" ref="C827:C890" si="80">IF(MID(A827,10,1)="&lt;",MID(A827,12,2),"")</f>
        <v/>
      </c>
      <c r="D827" s="3">
        <f t="shared" ref="D827:D890" si="81">IF(MID(A827,10,1)="&gt;",HEX2DEC(MID(A827,12,2)),"")</f>
        <v>154</v>
      </c>
      <c r="E827" s="5" t="str">
        <f>IF(C827="",IF(D827="","",IF(D827&lt;128,"Wahl "&amp;D827,INDEX(KdoCodeTab,MATCH(D827,KdoWertTab,0)))),"Status "&amp;C827)</f>
        <v>MarkWdh</v>
      </c>
      <c r="F827" t="str">
        <f t="shared" ref="F827:F890" si="82">IF(B827=$F$2,E827,"")</f>
        <v/>
      </c>
      <c r="G827" t="str">
        <f t="shared" ref="G827:G890" si="83">IF(B827=$G$2,E827,"")</f>
        <v/>
      </c>
      <c r="H827" t="str">
        <f t="shared" ref="H827:H890" si="84">IF(F827&amp;G827="",E827,"")</f>
        <v>MarkWdh</v>
      </c>
    </row>
    <row r="828" spans="1:8" x14ac:dyDescent="0.25">
      <c r="A828" t="s">
        <v>859</v>
      </c>
      <c r="B828" s="3">
        <f t="shared" si="79"/>
        <v>101</v>
      </c>
      <c r="C828" s="3" t="str">
        <f t="shared" si="80"/>
        <v/>
      </c>
      <c r="D828" s="3">
        <f t="shared" si="81"/>
        <v>147</v>
      </c>
      <c r="E828" s="5" t="str">
        <f>IF(C828="",IF(D828="","",IF(D828&lt;128,"Wahl "&amp;D828,INDEX(KdoCodeTab,MATCH(D828,KdoWertTab,0)))),"Status "&amp;C828)</f>
        <v>Space</v>
      </c>
      <c r="F828" t="str">
        <f t="shared" si="82"/>
        <v/>
      </c>
      <c r="G828" t="str">
        <f t="shared" si="83"/>
        <v/>
      </c>
      <c r="H828" t="str">
        <f t="shared" si="84"/>
        <v>Space</v>
      </c>
    </row>
    <row r="829" spans="1:8" x14ac:dyDescent="0.25">
      <c r="A829" t="s">
        <v>860</v>
      </c>
      <c r="B829" s="3">
        <f t="shared" si="79"/>
        <v>101</v>
      </c>
      <c r="C829" s="3" t="str">
        <f t="shared" si="80"/>
        <v/>
      </c>
      <c r="D829" s="3">
        <f t="shared" si="81"/>
        <v>150</v>
      </c>
      <c r="E829" s="5" t="str">
        <f>IF(C829="",IF(D829="","",IF(D829&lt;128,"Wahl "&amp;D829,INDEX(KdoCodeTab,MATCH(D829,KdoWertTab,0)))),"Status "&amp;C829)</f>
        <v>SpaceWdh</v>
      </c>
      <c r="F829" t="str">
        <f t="shared" si="82"/>
        <v/>
      </c>
      <c r="G829" t="str">
        <f t="shared" si="83"/>
        <v/>
      </c>
      <c r="H829" t="str">
        <f t="shared" si="84"/>
        <v>SpaceWdh</v>
      </c>
    </row>
    <row r="830" spans="1:8" x14ac:dyDescent="0.25">
      <c r="A830" t="s">
        <v>861</v>
      </c>
      <c r="B830" s="3">
        <f t="shared" si="79"/>
        <v>101</v>
      </c>
      <c r="C830" s="3" t="str">
        <f t="shared" si="80"/>
        <v/>
      </c>
      <c r="D830" s="3">
        <f t="shared" si="81"/>
        <v>156</v>
      </c>
      <c r="E830" s="5" t="str">
        <f>IF(C830="",IF(D830="","",IF(D830&lt;128,"Wahl "&amp;D830,INDEX(KdoCodeTab,MATCH(D830,KdoWertTab,0)))),"Status "&amp;C830)</f>
        <v>Mark</v>
      </c>
      <c r="F830" t="str">
        <f t="shared" si="82"/>
        <v/>
      </c>
      <c r="G830" t="str">
        <f t="shared" si="83"/>
        <v/>
      </c>
      <c r="H830" t="str">
        <f t="shared" si="84"/>
        <v>Mark</v>
      </c>
    </row>
    <row r="831" spans="1:8" x14ac:dyDescent="0.25">
      <c r="A831" t="s">
        <v>862</v>
      </c>
      <c r="B831" s="3">
        <f t="shared" si="79"/>
        <v>101</v>
      </c>
      <c r="C831" s="3" t="str">
        <f t="shared" si="80"/>
        <v/>
      </c>
      <c r="D831" s="3">
        <f t="shared" si="81"/>
        <v>154</v>
      </c>
      <c r="E831" s="5" t="str">
        <f>IF(C831="",IF(D831="","",IF(D831&lt;128,"Wahl "&amp;D831,INDEX(KdoCodeTab,MATCH(D831,KdoWertTab,0)))),"Status "&amp;C831)</f>
        <v>MarkWdh</v>
      </c>
      <c r="F831" t="str">
        <f t="shared" si="82"/>
        <v/>
      </c>
      <c r="G831" t="str">
        <f t="shared" si="83"/>
        <v/>
      </c>
      <c r="H831" t="str">
        <f t="shared" si="84"/>
        <v>MarkWdh</v>
      </c>
    </row>
    <row r="832" spans="1:8" x14ac:dyDescent="0.25">
      <c r="A832" t="s">
        <v>863</v>
      </c>
      <c r="B832" s="3">
        <f t="shared" si="79"/>
        <v>101</v>
      </c>
      <c r="C832" s="3" t="str">
        <f t="shared" si="80"/>
        <v/>
      </c>
      <c r="D832" s="3">
        <f t="shared" si="81"/>
        <v>147</v>
      </c>
      <c r="E832" s="5" t="str">
        <f>IF(C832="",IF(D832="","",IF(D832&lt;128,"Wahl "&amp;D832,INDEX(KdoCodeTab,MATCH(D832,KdoWertTab,0)))),"Status "&amp;C832)</f>
        <v>Space</v>
      </c>
      <c r="F832" t="str">
        <f t="shared" si="82"/>
        <v/>
      </c>
      <c r="G832" t="str">
        <f t="shared" si="83"/>
        <v/>
      </c>
      <c r="H832" t="str">
        <f t="shared" si="84"/>
        <v>Space</v>
      </c>
    </row>
    <row r="833" spans="1:8" x14ac:dyDescent="0.25">
      <c r="A833" t="s">
        <v>864</v>
      </c>
      <c r="B833" s="3">
        <f t="shared" si="79"/>
        <v>101</v>
      </c>
      <c r="C833" s="3" t="str">
        <f t="shared" si="80"/>
        <v/>
      </c>
      <c r="D833" s="3">
        <f t="shared" si="81"/>
        <v>150</v>
      </c>
      <c r="E833" s="5" t="str">
        <f>IF(C833="",IF(D833="","",IF(D833&lt;128,"Wahl "&amp;D833,INDEX(KdoCodeTab,MATCH(D833,KdoWertTab,0)))),"Status "&amp;C833)</f>
        <v>SpaceWdh</v>
      </c>
      <c r="F833" t="str">
        <f t="shared" si="82"/>
        <v/>
      </c>
      <c r="G833" t="str">
        <f t="shared" si="83"/>
        <v/>
      </c>
      <c r="H833" t="str">
        <f t="shared" si="84"/>
        <v>SpaceWdh</v>
      </c>
    </row>
    <row r="834" spans="1:8" x14ac:dyDescent="0.25">
      <c r="A834" t="s">
        <v>865</v>
      </c>
      <c r="B834" s="3">
        <f t="shared" si="79"/>
        <v>101</v>
      </c>
      <c r="C834" s="3" t="str">
        <f t="shared" si="80"/>
        <v/>
      </c>
      <c r="D834" s="3">
        <f t="shared" si="81"/>
        <v>156</v>
      </c>
      <c r="E834" s="5" t="str">
        <f>IF(C834="",IF(D834="","",IF(D834&lt;128,"Wahl "&amp;D834,INDEX(KdoCodeTab,MATCH(D834,KdoWertTab,0)))),"Status "&amp;C834)</f>
        <v>Mark</v>
      </c>
      <c r="F834" t="str">
        <f t="shared" si="82"/>
        <v/>
      </c>
      <c r="G834" t="str">
        <f t="shared" si="83"/>
        <v/>
      </c>
      <c r="H834" t="str">
        <f t="shared" si="84"/>
        <v>Mark</v>
      </c>
    </row>
    <row r="835" spans="1:8" x14ac:dyDescent="0.25">
      <c r="A835" t="s">
        <v>866</v>
      </c>
      <c r="B835" s="3">
        <f t="shared" si="79"/>
        <v>101</v>
      </c>
      <c r="C835" s="3" t="str">
        <f t="shared" si="80"/>
        <v/>
      </c>
      <c r="D835" s="3">
        <f t="shared" si="81"/>
        <v>154</v>
      </c>
      <c r="E835" s="5" t="str">
        <f>IF(C835="",IF(D835="","",IF(D835&lt;128,"Wahl "&amp;D835,INDEX(KdoCodeTab,MATCH(D835,KdoWertTab,0)))),"Status "&amp;C835)</f>
        <v>MarkWdh</v>
      </c>
      <c r="F835" t="str">
        <f t="shared" si="82"/>
        <v/>
      </c>
      <c r="G835" t="str">
        <f t="shared" si="83"/>
        <v/>
      </c>
      <c r="H835" t="str">
        <f t="shared" si="84"/>
        <v>MarkWdh</v>
      </c>
    </row>
    <row r="836" spans="1:8" x14ac:dyDescent="0.25">
      <c r="A836" t="s">
        <v>867</v>
      </c>
      <c r="B836" s="3">
        <f t="shared" si="79"/>
        <v>101</v>
      </c>
      <c r="C836" s="3" t="str">
        <f t="shared" si="80"/>
        <v/>
      </c>
      <c r="D836" s="3">
        <f t="shared" si="81"/>
        <v>147</v>
      </c>
      <c r="E836" s="5" t="str">
        <f>IF(C836="",IF(D836="","",IF(D836&lt;128,"Wahl "&amp;D836,INDEX(KdoCodeTab,MATCH(D836,KdoWertTab,0)))),"Status "&amp;C836)</f>
        <v>Space</v>
      </c>
      <c r="F836" t="str">
        <f t="shared" si="82"/>
        <v/>
      </c>
      <c r="G836" t="str">
        <f t="shared" si="83"/>
        <v/>
      </c>
      <c r="H836" t="str">
        <f t="shared" si="84"/>
        <v>Space</v>
      </c>
    </row>
    <row r="837" spans="1:8" x14ac:dyDescent="0.25">
      <c r="A837" t="s">
        <v>868</v>
      </c>
      <c r="B837" s="3">
        <f t="shared" ref="B837:B900" si="85">INT(HEX2DEC(MID(A837,8,2))/2)</f>
        <v>101</v>
      </c>
      <c r="C837" s="3" t="str">
        <f t="shared" si="80"/>
        <v/>
      </c>
      <c r="D837" s="3">
        <f t="shared" si="81"/>
        <v>150</v>
      </c>
      <c r="E837" s="5" t="str">
        <f>IF(C837="",IF(D837="","",IF(D837&lt;128,"Wahl "&amp;D837,INDEX(KdoCodeTab,MATCH(D837,KdoWertTab,0)))),"Status "&amp;C837)</f>
        <v>SpaceWdh</v>
      </c>
      <c r="F837" t="str">
        <f t="shared" si="82"/>
        <v/>
      </c>
      <c r="G837" t="str">
        <f t="shared" si="83"/>
        <v/>
      </c>
      <c r="H837" t="str">
        <f t="shared" si="84"/>
        <v>SpaceWdh</v>
      </c>
    </row>
    <row r="838" spans="1:8" x14ac:dyDescent="0.25">
      <c r="A838" t="s">
        <v>869</v>
      </c>
      <c r="B838" s="3">
        <f t="shared" si="85"/>
        <v>101</v>
      </c>
      <c r="C838" s="3" t="str">
        <f t="shared" si="80"/>
        <v/>
      </c>
      <c r="D838" s="3">
        <f t="shared" si="81"/>
        <v>156</v>
      </c>
      <c r="E838" s="5" t="str">
        <f>IF(C838="",IF(D838="","",IF(D838&lt;128,"Wahl "&amp;D838,INDEX(KdoCodeTab,MATCH(D838,KdoWertTab,0)))),"Status "&amp;C838)</f>
        <v>Mark</v>
      </c>
      <c r="F838" t="str">
        <f t="shared" si="82"/>
        <v/>
      </c>
      <c r="G838" t="str">
        <f t="shared" si="83"/>
        <v/>
      </c>
      <c r="H838" t="str">
        <f t="shared" si="84"/>
        <v>Mark</v>
      </c>
    </row>
    <row r="839" spans="1:8" x14ac:dyDescent="0.25">
      <c r="A839" t="s">
        <v>870</v>
      </c>
      <c r="B839" s="3">
        <f t="shared" si="85"/>
        <v>101</v>
      </c>
      <c r="C839" s="3" t="str">
        <f t="shared" si="80"/>
        <v/>
      </c>
      <c r="D839" s="3">
        <f t="shared" si="81"/>
        <v>154</v>
      </c>
      <c r="E839" s="5" t="str">
        <f>IF(C839="",IF(D839="","",IF(D839&lt;128,"Wahl "&amp;D839,INDEX(KdoCodeTab,MATCH(D839,KdoWertTab,0)))),"Status "&amp;C839)</f>
        <v>MarkWdh</v>
      </c>
      <c r="F839" t="str">
        <f t="shared" si="82"/>
        <v/>
      </c>
      <c r="G839" t="str">
        <f t="shared" si="83"/>
        <v/>
      </c>
      <c r="H839" t="str">
        <f t="shared" si="84"/>
        <v>MarkWdh</v>
      </c>
    </row>
    <row r="840" spans="1:8" x14ac:dyDescent="0.25">
      <c r="A840" t="s">
        <v>381</v>
      </c>
      <c r="B840" s="3">
        <f t="shared" si="85"/>
        <v>31</v>
      </c>
      <c r="C840" s="3" t="str">
        <f t="shared" si="80"/>
        <v/>
      </c>
      <c r="D840" s="3">
        <f t="shared" si="81"/>
        <v>154</v>
      </c>
      <c r="E840" s="5" t="str">
        <f>IF(C840="",IF(D840="","",IF(D840&lt;128,"Wahl "&amp;D840,INDEX(KdoCodeTab,MATCH(D840,KdoWertTab,0)))),"Status "&amp;C840)</f>
        <v>MarkWdh</v>
      </c>
      <c r="F840" t="str">
        <f t="shared" si="82"/>
        <v>MarkWdh</v>
      </c>
      <c r="G840" t="str">
        <f t="shared" si="83"/>
        <v/>
      </c>
      <c r="H840" t="str">
        <f t="shared" si="84"/>
        <v/>
      </c>
    </row>
    <row r="841" spans="1:8" x14ac:dyDescent="0.25">
      <c r="A841" t="s">
        <v>871</v>
      </c>
      <c r="B841" s="3">
        <f t="shared" si="85"/>
        <v>101</v>
      </c>
      <c r="C841" s="3" t="str">
        <f t="shared" si="80"/>
        <v/>
      </c>
      <c r="D841" s="3">
        <f t="shared" si="81"/>
        <v>147</v>
      </c>
      <c r="E841" s="5" t="str">
        <f>IF(C841="",IF(D841="","",IF(D841&lt;128,"Wahl "&amp;D841,INDEX(KdoCodeTab,MATCH(D841,KdoWertTab,0)))),"Status "&amp;C841)</f>
        <v>Space</v>
      </c>
      <c r="F841" t="str">
        <f t="shared" si="82"/>
        <v/>
      </c>
      <c r="G841" t="str">
        <f t="shared" si="83"/>
        <v/>
      </c>
      <c r="H841" t="str">
        <f t="shared" si="84"/>
        <v>Space</v>
      </c>
    </row>
    <row r="842" spans="1:8" x14ac:dyDescent="0.25">
      <c r="A842" t="s">
        <v>872</v>
      </c>
      <c r="B842" s="3">
        <f t="shared" si="85"/>
        <v>101</v>
      </c>
      <c r="C842" s="3" t="str">
        <f t="shared" si="80"/>
        <v/>
      </c>
      <c r="D842" s="3">
        <f t="shared" si="81"/>
        <v>150</v>
      </c>
      <c r="E842" s="5" t="str">
        <f>IF(C842="",IF(D842="","",IF(D842&lt;128,"Wahl "&amp;D842,INDEX(KdoCodeTab,MATCH(D842,KdoWertTab,0)))),"Status "&amp;C842)</f>
        <v>SpaceWdh</v>
      </c>
      <c r="F842" t="str">
        <f t="shared" si="82"/>
        <v/>
      </c>
      <c r="G842" t="str">
        <f t="shared" si="83"/>
        <v/>
      </c>
      <c r="H842" t="str">
        <f t="shared" si="84"/>
        <v>SpaceWdh</v>
      </c>
    </row>
    <row r="843" spans="1:8" x14ac:dyDescent="0.25">
      <c r="A843" t="s">
        <v>873</v>
      </c>
      <c r="B843" s="3">
        <f t="shared" si="85"/>
        <v>101</v>
      </c>
      <c r="C843" s="3" t="str">
        <f t="shared" si="80"/>
        <v/>
      </c>
      <c r="D843" s="3">
        <f t="shared" si="81"/>
        <v>156</v>
      </c>
      <c r="E843" s="5" t="str">
        <f>IF(C843="",IF(D843="","",IF(D843&lt;128,"Wahl "&amp;D843,INDEX(KdoCodeTab,MATCH(D843,KdoWertTab,0)))),"Status "&amp;C843)</f>
        <v>Mark</v>
      </c>
      <c r="F843" t="str">
        <f t="shared" si="82"/>
        <v/>
      </c>
      <c r="G843" t="str">
        <f t="shared" si="83"/>
        <v/>
      </c>
      <c r="H843" t="str">
        <f t="shared" si="84"/>
        <v>Mark</v>
      </c>
    </row>
    <row r="844" spans="1:8" x14ac:dyDescent="0.25">
      <c r="A844" t="s">
        <v>874</v>
      </c>
      <c r="B844" s="3">
        <f t="shared" si="85"/>
        <v>101</v>
      </c>
      <c r="C844" s="3" t="str">
        <f t="shared" si="80"/>
        <v/>
      </c>
      <c r="D844" s="3">
        <f t="shared" si="81"/>
        <v>154</v>
      </c>
      <c r="E844" s="5" t="str">
        <f>IF(C844="",IF(D844="","",IF(D844&lt;128,"Wahl "&amp;D844,INDEX(KdoCodeTab,MATCH(D844,KdoWertTab,0)))),"Status "&amp;C844)</f>
        <v>MarkWdh</v>
      </c>
      <c r="F844" t="str">
        <f t="shared" si="82"/>
        <v/>
      </c>
      <c r="G844" t="str">
        <f t="shared" si="83"/>
        <v/>
      </c>
      <c r="H844" t="str">
        <f t="shared" si="84"/>
        <v>MarkWdh</v>
      </c>
    </row>
    <row r="845" spans="1:8" x14ac:dyDescent="0.25">
      <c r="A845" t="s">
        <v>875</v>
      </c>
      <c r="B845" s="3">
        <f t="shared" si="85"/>
        <v>101</v>
      </c>
      <c r="C845" s="3" t="str">
        <f t="shared" si="80"/>
        <v/>
      </c>
      <c r="D845" s="3">
        <f t="shared" si="81"/>
        <v>147</v>
      </c>
      <c r="E845" s="5" t="str">
        <f>IF(C845="",IF(D845="","",IF(D845&lt;128,"Wahl "&amp;D845,INDEX(KdoCodeTab,MATCH(D845,KdoWertTab,0)))),"Status "&amp;C845)</f>
        <v>Space</v>
      </c>
      <c r="F845" t="str">
        <f t="shared" si="82"/>
        <v/>
      </c>
      <c r="G845" t="str">
        <f t="shared" si="83"/>
        <v/>
      </c>
      <c r="H845" t="str">
        <f t="shared" si="84"/>
        <v>Space</v>
      </c>
    </row>
    <row r="846" spans="1:8" x14ac:dyDescent="0.25">
      <c r="A846" t="s">
        <v>876</v>
      </c>
      <c r="B846" s="3">
        <f t="shared" si="85"/>
        <v>101</v>
      </c>
      <c r="C846" s="3" t="str">
        <f t="shared" si="80"/>
        <v/>
      </c>
      <c r="D846" s="3">
        <f t="shared" si="81"/>
        <v>150</v>
      </c>
      <c r="E846" s="5" t="str">
        <f>IF(C846="",IF(D846="","",IF(D846&lt;128,"Wahl "&amp;D846,INDEX(KdoCodeTab,MATCH(D846,KdoWertTab,0)))),"Status "&amp;C846)</f>
        <v>SpaceWdh</v>
      </c>
      <c r="F846" t="str">
        <f t="shared" si="82"/>
        <v/>
      </c>
      <c r="G846" t="str">
        <f t="shared" si="83"/>
        <v/>
      </c>
      <c r="H846" t="str">
        <f t="shared" si="84"/>
        <v>SpaceWdh</v>
      </c>
    </row>
    <row r="847" spans="1:8" x14ac:dyDescent="0.25">
      <c r="A847" t="s">
        <v>877</v>
      </c>
      <c r="B847" s="3">
        <f t="shared" si="85"/>
        <v>101</v>
      </c>
      <c r="C847" s="3" t="str">
        <f t="shared" si="80"/>
        <v/>
      </c>
      <c r="D847" s="3">
        <f t="shared" si="81"/>
        <v>156</v>
      </c>
      <c r="E847" s="5" t="str">
        <f>IF(C847="",IF(D847="","",IF(D847&lt;128,"Wahl "&amp;D847,INDEX(KdoCodeTab,MATCH(D847,KdoWertTab,0)))),"Status "&amp;C847)</f>
        <v>Mark</v>
      </c>
      <c r="F847" t="str">
        <f t="shared" si="82"/>
        <v/>
      </c>
      <c r="G847" t="str">
        <f t="shared" si="83"/>
        <v/>
      </c>
      <c r="H847" t="str">
        <f t="shared" si="84"/>
        <v>Mark</v>
      </c>
    </row>
    <row r="848" spans="1:8" x14ac:dyDescent="0.25">
      <c r="A848" t="s">
        <v>878</v>
      </c>
      <c r="B848" s="3">
        <f t="shared" si="85"/>
        <v>101</v>
      </c>
      <c r="C848" s="3" t="str">
        <f t="shared" si="80"/>
        <v/>
      </c>
      <c r="D848" s="3">
        <f t="shared" si="81"/>
        <v>154</v>
      </c>
      <c r="E848" s="5" t="str">
        <f>IF(C848="",IF(D848="","",IF(D848&lt;128,"Wahl "&amp;D848,INDEX(KdoCodeTab,MATCH(D848,KdoWertTab,0)))),"Status "&amp;C848)</f>
        <v>MarkWdh</v>
      </c>
      <c r="F848" t="str">
        <f t="shared" si="82"/>
        <v/>
      </c>
      <c r="G848" t="str">
        <f t="shared" si="83"/>
        <v/>
      </c>
      <c r="H848" t="str">
        <f t="shared" si="84"/>
        <v>MarkWdh</v>
      </c>
    </row>
    <row r="849" spans="1:8" x14ac:dyDescent="0.25">
      <c r="A849" t="s">
        <v>879</v>
      </c>
      <c r="B849" s="3">
        <f t="shared" si="85"/>
        <v>101</v>
      </c>
      <c r="C849" s="3" t="str">
        <f t="shared" si="80"/>
        <v/>
      </c>
      <c r="D849" s="3">
        <f t="shared" si="81"/>
        <v>147</v>
      </c>
      <c r="E849" s="5" t="str">
        <f>IF(C849="",IF(D849="","",IF(D849&lt;128,"Wahl "&amp;D849,INDEX(KdoCodeTab,MATCH(D849,KdoWertTab,0)))),"Status "&amp;C849)</f>
        <v>Space</v>
      </c>
      <c r="F849" t="str">
        <f t="shared" si="82"/>
        <v/>
      </c>
      <c r="G849" t="str">
        <f t="shared" si="83"/>
        <v/>
      </c>
      <c r="H849" t="str">
        <f t="shared" si="84"/>
        <v>Space</v>
      </c>
    </row>
    <row r="850" spans="1:8" x14ac:dyDescent="0.25">
      <c r="A850" t="s">
        <v>880</v>
      </c>
      <c r="B850" s="3">
        <f t="shared" si="85"/>
        <v>101</v>
      </c>
      <c r="C850" s="3" t="str">
        <f t="shared" si="80"/>
        <v/>
      </c>
      <c r="D850" s="3">
        <f t="shared" si="81"/>
        <v>150</v>
      </c>
      <c r="E850" s="5" t="str">
        <f>IF(C850="",IF(D850="","",IF(D850&lt;128,"Wahl "&amp;D850,INDEX(KdoCodeTab,MATCH(D850,KdoWertTab,0)))),"Status "&amp;C850)</f>
        <v>SpaceWdh</v>
      </c>
      <c r="F850" t="str">
        <f t="shared" si="82"/>
        <v/>
      </c>
      <c r="G850" t="str">
        <f t="shared" si="83"/>
        <v/>
      </c>
      <c r="H850" t="str">
        <f t="shared" si="84"/>
        <v>SpaceWdh</v>
      </c>
    </row>
    <row r="851" spans="1:8" x14ac:dyDescent="0.25">
      <c r="A851" t="s">
        <v>881</v>
      </c>
      <c r="B851" s="3">
        <f t="shared" si="85"/>
        <v>101</v>
      </c>
      <c r="C851" s="3" t="str">
        <f t="shared" si="80"/>
        <v/>
      </c>
      <c r="D851" s="3">
        <f t="shared" si="81"/>
        <v>156</v>
      </c>
      <c r="E851" s="5" t="str">
        <f>IF(C851="",IF(D851="","",IF(D851&lt;128,"Wahl "&amp;D851,INDEX(KdoCodeTab,MATCH(D851,KdoWertTab,0)))),"Status "&amp;C851)</f>
        <v>Mark</v>
      </c>
      <c r="F851" t="str">
        <f t="shared" si="82"/>
        <v/>
      </c>
      <c r="G851" t="str">
        <f t="shared" si="83"/>
        <v/>
      </c>
      <c r="H851" t="str">
        <f t="shared" si="84"/>
        <v>Mark</v>
      </c>
    </row>
    <row r="852" spans="1:8" x14ac:dyDescent="0.25">
      <c r="A852" t="s">
        <v>882</v>
      </c>
      <c r="B852" s="3">
        <f t="shared" si="85"/>
        <v>101</v>
      </c>
      <c r="C852" s="3" t="str">
        <f t="shared" si="80"/>
        <v/>
      </c>
      <c r="D852" s="3">
        <f t="shared" si="81"/>
        <v>154</v>
      </c>
      <c r="E852" s="5" t="str">
        <f>IF(C852="",IF(D852="","",IF(D852&lt;128,"Wahl "&amp;D852,INDEX(KdoCodeTab,MATCH(D852,KdoWertTab,0)))),"Status "&amp;C852)</f>
        <v>MarkWdh</v>
      </c>
      <c r="F852" t="str">
        <f t="shared" si="82"/>
        <v/>
      </c>
      <c r="G852" t="str">
        <f t="shared" si="83"/>
        <v/>
      </c>
      <c r="H852" t="str">
        <f t="shared" si="84"/>
        <v>MarkWdh</v>
      </c>
    </row>
    <row r="853" spans="1:8" x14ac:dyDescent="0.25">
      <c r="A853" t="s">
        <v>883</v>
      </c>
      <c r="B853" s="3">
        <f t="shared" si="85"/>
        <v>101</v>
      </c>
      <c r="C853" s="3" t="str">
        <f t="shared" si="80"/>
        <v/>
      </c>
      <c r="D853" s="3">
        <f t="shared" si="81"/>
        <v>147</v>
      </c>
      <c r="E853" s="5" t="str">
        <f>IF(C853="",IF(D853="","",IF(D853&lt;128,"Wahl "&amp;D853,INDEX(KdoCodeTab,MATCH(D853,KdoWertTab,0)))),"Status "&amp;C853)</f>
        <v>Space</v>
      </c>
      <c r="F853" t="str">
        <f t="shared" si="82"/>
        <v/>
      </c>
      <c r="G853" t="str">
        <f t="shared" si="83"/>
        <v/>
      </c>
      <c r="H853" t="str">
        <f t="shared" si="84"/>
        <v>Space</v>
      </c>
    </row>
    <row r="854" spans="1:8" x14ac:dyDescent="0.25">
      <c r="A854" t="s">
        <v>884</v>
      </c>
      <c r="B854" s="3">
        <f t="shared" si="85"/>
        <v>101</v>
      </c>
      <c r="C854" s="3" t="str">
        <f t="shared" si="80"/>
        <v/>
      </c>
      <c r="D854" s="3">
        <f t="shared" si="81"/>
        <v>150</v>
      </c>
      <c r="E854" s="5" t="str">
        <f>IF(C854="",IF(D854="","",IF(D854&lt;128,"Wahl "&amp;D854,INDEX(KdoCodeTab,MATCH(D854,KdoWertTab,0)))),"Status "&amp;C854)</f>
        <v>SpaceWdh</v>
      </c>
      <c r="F854" t="str">
        <f t="shared" si="82"/>
        <v/>
      </c>
      <c r="G854" t="str">
        <f t="shared" si="83"/>
        <v/>
      </c>
      <c r="H854" t="str">
        <f t="shared" si="84"/>
        <v>SpaceWdh</v>
      </c>
    </row>
    <row r="855" spans="1:8" x14ac:dyDescent="0.25">
      <c r="A855" t="s">
        <v>885</v>
      </c>
      <c r="B855" s="3">
        <f t="shared" si="85"/>
        <v>101</v>
      </c>
      <c r="C855" s="3" t="str">
        <f t="shared" si="80"/>
        <v/>
      </c>
      <c r="D855" s="3">
        <f t="shared" si="81"/>
        <v>156</v>
      </c>
      <c r="E855" s="5" t="str">
        <f>IF(C855="",IF(D855="","",IF(D855&lt;128,"Wahl "&amp;D855,INDEX(KdoCodeTab,MATCH(D855,KdoWertTab,0)))),"Status "&amp;C855)</f>
        <v>Mark</v>
      </c>
      <c r="F855" t="str">
        <f t="shared" si="82"/>
        <v/>
      </c>
      <c r="G855" t="str">
        <f t="shared" si="83"/>
        <v/>
      </c>
      <c r="H855" t="str">
        <f t="shared" si="84"/>
        <v>Mark</v>
      </c>
    </row>
    <row r="856" spans="1:8" x14ac:dyDescent="0.25">
      <c r="A856" t="s">
        <v>886</v>
      </c>
      <c r="B856" s="3">
        <f t="shared" si="85"/>
        <v>101</v>
      </c>
      <c r="C856" s="3" t="str">
        <f t="shared" si="80"/>
        <v/>
      </c>
      <c r="D856" s="3">
        <f t="shared" si="81"/>
        <v>154</v>
      </c>
      <c r="E856" s="5" t="str">
        <f>IF(C856="",IF(D856="","",IF(D856&lt;128,"Wahl "&amp;D856,INDEX(KdoCodeTab,MATCH(D856,KdoWertTab,0)))),"Status "&amp;C856)</f>
        <v>MarkWdh</v>
      </c>
      <c r="F856" t="str">
        <f t="shared" si="82"/>
        <v/>
      </c>
      <c r="G856" t="str">
        <f t="shared" si="83"/>
        <v/>
      </c>
      <c r="H856" t="str">
        <f t="shared" si="84"/>
        <v>MarkWdh</v>
      </c>
    </row>
    <row r="857" spans="1:8" x14ac:dyDescent="0.25">
      <c r="A857" t="s">
        <v>887</v>
      </c>
      <c r="B857" s="3">
        <f t="shared" si="85"/>
        <v>101</v>
      </c>
      <c r="C857" s="3" t="str">
        <f t="shared" si="80"/>
        <v/>
      </c>
      <c r="D857" s="3">
        <f t="shared" si="81"/>
        <v>169</v>
      </c>
      <c r="E857" s="5" t="str">
        <f>IF(C857="",IF(D857="","",IF(D857&lt;128,"Wahl "&amp;D857,INDEX(KdoCodeTab,MATCH(D857,KdoWertTab,0)))),"Status "&amp;C857)</f>
        <v>BusLebenszeichen</v>
      </c>
      <c r="F857" t="str">
        <f t="shared" si="82"/>
        <v/>
      </c>
      <c r="G857" t="str">
        <f t="shared" si="83"/>
        <v/>
      </c>
      <c r="H857" t="str">
        <f t="shared" si="84"/>
        <v>BusLebenszeichen</v>
      </c>
    </row>
    <row r="858" spans="1:8" x14ac:dyDescent="0.25">
      <c r="A858" t="s">
        <v>888</v>
      </c>
      <c r="B858" s="3">
        <f t="shared" si="85"/>
        <v>101</v>
      </c>
      <c r="C858" s="3" t="str">
        <f t="shared" si="80"/>
        <v/>
      </c>
      <c r="D858" s="3">
        <f t="shared" si="81"/>
        <v>147</v>
      </c>
      <c r="E858" s="5" t="str">
        <f>IF(C858="",IF(D858="","",IF(D858&lt;128,"Wahl "&amp;D858,INDEX(KdoCodeTab,MATCH(D858,KdoWertTab,0)))),"Status "&amp;C858)</f>
        <v>Space</v>
      </c>
      <c r="F858" t="str">
        <f t="shared" si="82"/>
        <v/>
      </c>
      <c r="G858" t="str">
        <f t="shared" si="83"/>
        <v/>
      </c>
      <c r="H858" t="str">
        <f t="shared" si="84"/>
        <v>Space</v>
      </c>
    </row>
    <row r="859" spans="1:8" x14ac:dyDescent="0.25">
      <c r="A859" t="s">
        <v>889</v>
      </c>
      <c r="B859" s="3">
        <f t="shared" si="85"/>
        <v>101</v>
      </c>
      <c r="C859" s="3" t="str">
        <f t="shared" si="80"/>
        <v/>
      </c>
      <c r="D859" s="3">
        <f t="shared" si="81"/>
        <v>150</v>
      </c>
      <c r="E859" s="5" t="str">
        <f>IF(C859="",IF(D859="","",IF(D859&lt;128,"Wahl "&amp;D859,INDEX(KdoCodeTab,MATCH(D859,KdoWertTab,0)))),"Status "&amp;C859)</f>
        <v>SpaceWdh</v>
      </c>
      <c r="F859" t="str">
        <f t="shared" si="82"/>
        <v/>
      </c>
      <c r="G859" t="str">
        <f t="shared" si="83"/>
        <v/>
      </c>
      <c r="H859" t="str">
        <f t="shared" si="84"/>
        <v>SpaceWdh</v>
      </c>
    </row>
    <row r="860" spans="1:8" x14ac:dyDescent="0.25">
      <c r="A860" t="s">
        <v>890</v>
      </c>
      <c r="B860" s="3">
        <f t="shared" si="85"/>
        <v>101</v>
      </c>
      <c r="C860" s="3" t="str">
        <f t="shared" si="80"/>
        <v/>
      </c>
      <c r="D860" s="3">
        <f t="shared" si="81"/>
        <v>156</v>
      </c>
      <c r="E860" s="5" t="str">
        <f>IF(C860="",IF(D860="","",IF(D860&lt;128,"Wahl "&amp;D860,INDEX(KdoCodeTab,MATCH(D860,KdoWertTab,0)))),"Status "&amp;C860)</f>
        <v>Mark</v>
      </c>
      <c r="F860" t="str">
        <f t="shared" si="82"/>
        <v/>
      </c>
      <c r="G860" t="str">
        <f t="shared" si="83"/>
        <v/>
      </c>
      <c r="H860" t="str">
        <f t="shared" si="84"/>
        <v>Mark</v>
      </c>
    </row>
    <row r="861" spans="1:8" x14ac:dyDescent="0.25">
      <c r="A861" t="s">
        <v>891</v>
      </c>
      <c r="B861" s="3">
        <f t="shared" si="85"/>
        <v>101</v>
      </c>
      <c r="C861" s="3" t="str">
        <f t="shared" si="80"/>
        <v/>
      </c>
      <c r="D861" s="3">
        <f t="shared" si="81"/>
        <v>154</v>
      </c>
      <c r="E861" s="5" t="str">
        <f>IF(C861="",IF(D861="","",IF(D861&lt;128,"Wahl "&amp;D861,INDEX(KdoCodeTab,MATCH(D861,KdoWertTab,0)))),"Status "&amp;C861)</f>
        <v>MarkWdh</v>
      </c>
      <c r="F861" t="str">
        <f t="shared" si="82"/>
        <v/>
      </c>
      <c r="G861" t="str">
        <f t="shared" si="83"/>
        <v/>
      </c>
      <c r="H861" t="str">
        <f t="shared" si="84"/>
        <v>MarkWdh</v>
      </c>
    </row>
    <row r="862" spans="1:8" x14ac:dyDescent="0.25">
      <c r="A862" t="s">
        <v>892</v>
      </c>
      <c r="B862" s="3">
        <f t="shared" si="85"/>
        <v>31</v>
      </c>
      <c r="C862" s="3" t="str">
        <f t="shared" si="80"/>
        <v/>
      </c>
      <c r="D862" s="3">
        <f t="shared" si="81"/>
        <v>154</v>
      </c>
      <c r="E862" s="5" t="str">
        <f>IF(C862="",IF(D862="","",IF(D862&lt;128,"Wahl "&amp;D862,INDEX(KdoCodeTab,MATCH(D862,KdoWertTab,0)))),"Status "&amp;C862)</f>
        <v>MarkWdh</v>
      </c>
      <c r="F862" t="str">
        <f t="shared" si="82"/>
        <v>MarkWdh</v>
      </c>
      <c r="G862" t="str">
        <f t="shared" si="83"/>
        <v/>
      </c>
      <c r="H862" t="str">
        <f t="shared" si="84"/>
        <v/>
      </c>
    </row>
    <row r="863" spans="1:8" x14ac:dyDescent="0.25">
      <c r="A863" t="s">
        <v>893</v>
      </c>
      <c r="B863" s="3">
        <f t="shared" si="85"/>
        <v>101</v>
      </c>
      <c r="C863" s="3" t="str">
        <f t="shared" si="80"/>
        <v/>
      </c>
      <c r="D863" s="3">
        <f t="shared" si="81"/>
        <v>147</v>
      </c>
      <c r="E863" s="5" t="str">
        <f>IF(C863="",IF(D863="","",IF(D863&lt;128,"Wahl "&amp;D863,INDEX(KdoCodeTab,MATCH(D863,KdoWertTab,0)))),"Status "&amp;C863)</f>
        <v>Space</v>
      </c>
      <c r="F863" t="str">
        <f t="shared" si="82"/>
        <v/>
      </c>
      <c r="G863" t="str">
        <f t="shared" si="83"/>
        <v/>
      </c>
      <c r="H863" t="str">
        <f t="shared" si="84"/>
        <v>Space</v>
      </c>
    </row>
    <row r="864" spans="1:8" x14ac:dyDescent="0.25">
      <c r="A864" t="s">
        <v>894</v>
      </c>
      <c r="B864" s="3">
        <f t="shared" si="85"/>
        <v>101</v>
      </c>
      <c r="C864" s="3" t="str">
        <f t="shared" si="80"/>
        <v/>
      </c>
      <c r="D864" s="3">
        <f t="shared" si="81"/>
        <v>150</v>
      </c>
      <c r="E864" s="5" t="str">
        <f>IF(C864="",IF(D864="","",IF(D864&lt;128,"Wahl "&amp;D864,INDEX(KdoCodeTab,MATCH(D864,KdoWertTab,0)))),"Status "&amp;C864)</f>
        <v>SpaceWdh</v>
      </c>
      <c r="F864" t="str">
        <f t="shared" si="82"/>
        <v/>
      </c>
      <c r="G864" t="str">
        <f t="shared" si="83"/>
        <v/>
      </c>
      <c r="H864" t="str">
        <f t="shared" si="84"/>
        <v>SpaceWdh</v>
      </c>
    </row>
    <row r="865" spans="1:8" x14ac:dyDescent="0.25">
      <c r="A865" t="s">
        <v>895</v>
      </c>
      <c r="B865" s="3">
        <f t="shared" si="85"/>
        <v>101</v>
      </c>
      <c r="C865" s="3" t="str">
        <f t="shared" si="80"/>
        <v/>
      </c>
      <c r="D865" s="3">
        <f t="shared" si="81"/>
        <v>156</v>
      </c>
      <c r="E865" s="5" t="str">
        <f>IF(C865="",IF(D865="","",IF(D865&lt;128,"Wahl "&amp;D865,INDEX(KdoCodeTab,MATCH(D865,KdoWertTab,0)))),"Status "&amp;C865)</f>
        <v>Mark</v>
      </c>
      <c r="F865" t="str">
        <f t="shared" si="82"/>
        <v/>
      </c>
      <c r="G865" t="str">
        <f t="shared" si="83"/>
        <v/>
      </c>
      <c r="H865" t="str">
        <f t="shared" si="84"/>
        <v>Mark</v>
      </c>
    </row>
    <row r="866" spans="1:8" x14ac:dyDescent="0.25">
      <c r="A866" t="s">
        <v>896</v>
      </c>
      <c r="B866" s="3">
        <f t="shared" si="85"/>
        <v>101</v>
      </c>
      <c r="C866" s="3" t="str">
        <f t="shared" si="80"/>
        <v/>
      </c>
      <c r="D866" s="3">
        <f t="shared" si="81"/>
        <v>154</v>
      </c>
      <c r="E866" s="5" t="str">
        <f>IF(C866="",IF(D866="","",IF(D866&lt;128,"Wahl "&amp;D866,INDEX(KdoCodeTab,MATCH(D866,KdoWertTab,0)))),"Status "&amp;C866)</f>
        <v>MarkWdh</v>
      </c>
      <c r="F866" t="str">
        <f t="shared" si="82"/>
        <v/>
      </c>
      <c r="G866" t="str">
        <f t="shared" si="83"/>
        <v/>
      </c>
      <c r="H866" t="str">
        <f t="shared" si="84"/>
        <v>MarkWdh</v>
      </c>
    </row>
    <row r="867" spans="1:8" x14ac:dyDescent="0.25">
      <c r="A867" t="s">
        <v>897</v>
      </c>
      <c r="B867" s="3">
        <f t="shared" si="85"/>
        <v>101</v>
      </c>
      <c r="C867" s="3" t="str">
        <f t="shared" si="80"/>
        <v/>
      </c>
      <c r="D867" s="3">
        <f t="shared" si="81"/>
        <v>147</v>
      </c>
      <c r="E867" s="5" t="str">
        <f>IF(C867="",IF(D867="","",IF(D867&lt;128,"Wahl "&amp;D867,INDEX(KdoCodeTab,MATCH(D867,KdoWertTab,0)))),"Status "&amp;C867)</f>
        <v>Space</v>
      </c>
      <c r="F867" t="str">
        <f t="shared" si="82"/>
        <v/>
      </c>
      <c r="G867" t="str">
        <f t="shared" si="83"/>
        <v/>
      </c>
      <c r="H867" t="str">
        <f t="shared" si="84"/>
        <v>Space</v>
      </c>
    </row>
    <row r="868" spans="1:8" x14ac:dyDescent="0.25">
      <c r="A868" t="s">
        <v>898</v>
      </c>
      <c r="B868" s="3">
        <f t="shared" si="85"/>
        <v>101</v>
      </c>
      <c r="C868" s="3" t="str">
        <f t="shared" si="80"/>
        <v/>
      </c>
      <c r="D868" s="3">
        <f t="shared" si="81"/>
        <v>150</v>
      </c>
      <c r="E868" s="5" t="str">
        <f>IF(C868="",IF(D868="","",IF(D868&lt;128,"Wahl "&amp;D868,INDEX(KdoCodeTab,MATCH(D868,KdoWertTab,0)))),"Status "&amp;C868)</f>
        <v>SpaceWdh</v>
      </c>
      <c r="F868" t="str">
        <f t="shared" si="82"/>
        <v/>
      </c>
      <c r="G868" t="str">
        <f t="shared" si="83"/>
        <v/>
      </c>
      <c r="H868" t="str">
        <f t="shared" si="84"/>
        <v>SpaceWdh</v>
      </c>
    </row>
    <row r="869" spans="1:8" x14ac:dyDescent="0.25">
      <c r="A869" t="s">
        <v>899</v>
      </c>
      <c r="B869" s="3">
        <f t="shared" si="85"/>
        <v>101</v>
      </c>
      <c r="C869" s="3" t="str">
        <f t="shared" si="80"/>
        <v/>
      </c>
      <c r="D869" s="3">
        <f t="shared" si="81"/>
        <v>156</v>
      </c>
      <c r="E869" s="5" t="str">
        <f>IF(C869="",IF(D869="","",IF(D869&lt;128,"Wahl "&amp;D869,INDEX(KdoCodeTab,MATCH(D869,KdoWertTab,0)))),"Status "&amp;C869)</f>
        <v>Mark</v>
      </c>
      <c r="F869" t="str">
        <f t="shared" si="82"/>
        <v/>
      </c>
      <c r="G869" t="str">
        <f t="shared" si="83"/>
        <v/>
      </c>
      <c r="H869" t="str">
        <f t="shared" si="84"/>
        <v>Mark</v>
      </c>
    </row>
    <row r="870" spans="1:8" x14ac:dyDescent="0.25">
      <c r="A870" t="s">
        <v>900</v>
      </c>
      <c r="B870" s="3">
        <f t="shared" si="85"/>
        <v>101</v>
      </c>
      <c r="C870" s="3" t="str">
        <f t="shared" si="80"/>
        <v/>
      </c>
      <c r="D870" s="3">
        <f t="shared" si="81"/>
        <v>154</v>
      </c>
      <c r="E870" s="5" t="str">
        <f>IF(C870="",IF(D870="","",IF(D870&lt;128,"Wahl "&amp;D870,INDEX(KdoCodeTab,MATCH(D870,KdoWertTab,0)))),"Status "&amp;C870)</f>
        <v>MarkWdh</v>
      </c>
      <c r="F870" t="str">
        <f t="shared" si="82"/>
        <v/>
      </c>
      <c r="G870" t="str">
        <f t="shared" si="83"/>
        <v/>
      </c>
      <c r="H870" t="str">
        <f t="shared" si="84"/>
        <v>MarkWdh</v>
      </c>
    </row>
    <row r="871" spans="1:8" x14ac:dyDescent="0.25">
      <c r="A871" t="s">
        <v>901</v>
      </c>
      <c r="B871" s="3">
        <f t="shared" si="85"/>
        <v>101</v>
      </c>
      <c r="C871" s="3" t="str">
        <f t="shared" si="80"/>
        <v/>
      </c>
      <c r="D871" s="3">
        <f t="shared" si="81"/>
        <v>147</v>
      </c>
      <c r="E871" s="5" t="str">
        <f>IF(C871="",IF(D871="","",IF(D871&lt;128,"Wahl "&amp;D871,INDEX(KdoCodeTab,MATCH(D871,KdoWertTab,0)))),"Status "&amp;C871)</f>
        <v>Space</v>
      </c>
      <c r="F871" t="str">
        <f t="shared" si="82"/>
        <v/>
      </c>
      <c r="G871" t="str">
        <f t="shared" si="83"/>
        <v/>
      </c>
      <c r="H871" t="str">
        <f t="shared" si="84"/>
        <v>Space</v>
      </c>
    </row>
    <row r="872" spans="1:8" x14ac:dyDescent="0.25">
      <c r="A872" t="s">
        <v>902</v>
      </c>
      <c r="B872" s="3">
        <f t="shared" si="85"/>
        <v>101</v>
      </c>
      <c r="C872" s="3" t="str">
        <f t="shared" si="80"/>
        <v/>
      </c>
      <c r="D872" s="3">
        <f t="shared" si="81"/>
        <v>150</v>
      </c>
      <c r="E872" s="5" t="str">
        <f>IF(C872="",IF(D872="","",IF(D872&lt;128,"Wahl "&amp;D872,INDEX(KdoCodeTab,MATCH(D872,KdoWertTab,0)))),"Status "&amp;C872)</f>
        <v>SpaceWdh</v>
      </c>
      <c r="F872" t="str">
        <f t="shared" si="82"/>
        <v/>
      </c>
      <c r="G872" t="str">
        <f t="shared" si="83"/>
        <v/>
      </c>
      <c r="H872" t="str">
        <f t="shared" si="84"/>
        <v>SpaceWdh</v>
      </c>
    </row>
    <row r="873" spans="1:8" x14ac:dyDescent="0.25">
      <c r="A873" t="s">
        <v>903</v>
      </c>
      <c r="B873" s="3">
        <f t="shared" si="85"/>
        <v>101</v>
      </c>
      <c r="C873" s="3" t="str">
        <f t="shared" si="80"/>
        <v/>
      </c>
      <c r="D873" s="3">
        <f t="shared" si="81"/>
        <v>156</v>
      </c>
      <c r="E873" s="5" t="str">
        <f>IF(C873="",IF(D873="","",IF(D873&lt;128,"Wahl "&amp;D873,INDEX(KdoCodeTab,MATCH(D873,KdoWertTab,0)))),"Status "&amp;C873)</f>
        <v>Mark</v>
      </c>
      <c r="F873" t="str">
        <f t="shared" si="82"/>
        <v/>
      </c>
      <c r="G873" t="str">
        <f t="shared" si="83"/>
        <v/>
      </c>
      <c r="H873" t="str">
        <f t="shared" si="84"/>
        <v>Mark</v>
      </c>
    </row>
    <row r="874" spans="1:8" x14ac:dyDescent="0.25">
      <c r="A874" t="s">
        <v>904</v>
      </c>
      <c r="B874" s="3">
        <f t="shared" si="85"/>
        <v>101</v>
      </c>
      <c r="C874" s="3" t="str">
        <f t="shared" si="80"/>
        <v/>
      </c>
      <c r="D874" s="3">
        <f t="shared" si="81"/>
        <v>154</v>
      </c>
      <c r="E874" s="5" t="str">
        <f>IF(C874="",IF(D874="","",IF(D874&lt;128,"Wahl "&amp;D874,INDEX(KdoCodeTab,MATCH(D874,KdoWertTab,0)))),"Status "&amp;C874)</f>
        <v>MarkWdh</v>
      </c>
      <c r="F874" t="str">
        <f t="shared" si="82"/>
        <v/>
      </c>
      <c r="G874" t="str">
        <f t="shared" si="83"/>
        <v/>
      </c>
      <c r="H874" t="str">
        <f t="shared" si="84"/>
        <v>MarkWdh</v>
      </c>
    </row>
    <row r="875" spans="1:8" x14ac:dyDescent="0.25">
      <c r="A875" t="s">
        <v>905</v>
      </c>
      <c r="B875" s="3">
        <f t="shared" si="85"/>
        <v>101</v>
      </c>
      <c r="C875" s="3" t="str">
        <f t="shared" si="80"/>
        <v/>
      </c>
      <c r="D875" s="3">
        <f t="shared" si="81"/>
        <v>147</v>
      </c>
      <c r="E875" s="5" t="str">
        <f>IF(C875="",IF(D875="","",IF(D875&lt;128,"Wahl "&amp;D875,INDEX(KdoCodeTab,MATCH(D875,KdoWertTab,0)))),"Status "&amp;C875)</f>
        <v>Space</v>
      </c>
      <c r="F875" t="str">
        <f t="shared" si="82"/>
        <v/>
      </c>
      <c r="G875" t="str">
        <f t="shared" si="83"/>
        <v/>
      </c>
      <c r="H875" t="str">
        <f t="shared" si="84"/>
        <v>Space</v>
      </c>
    </row>
    <row r="876" spans="1:8" x14ac:dyDescent="0.25">
      <c r="A876" t="s">
        <v>906</v>
      </c>
      <c r="B876" s="3">
        <f t="shared" si="85"/>
        <v>101</v>
      </c>
      <c r="C876" s="3" t="str">
        <f t="shared" si="80"/>
        <v/>
      </c>
      <c r="D876" s="3">
        <f t="shared" si="81"/>
        <v>150</v>
      </c>
      <c r="E876" s="5" t="str">
        <f>IF(C876="",IF(D876="","",IF(D876&lt;128,"Wahl "&amp;D876,INDEX(KdoCodeTab,MATCH(D876,KdoWertTab,0)))),"Status "&amp;C876)</f>
        <v>SpaceWdh</v>
      </c>
      <c r="F876" t="str">
        <f t="shared" si="82"/>
        <v/>
      </c>
      <c r="G876" t="str">
        <f t="shared" si="83"/>
        <v/>
      </c>
      <c r="H876" t="str">
        <f t="shared" si="84"/>
        <v>SpaceWdh</v>
      </c>
    </row>
    <row r="877" spans="1:8" x14ac:dyDescent="0.25">
      <c r="A877" t="s">
        <v>907</v>
      </c>
      <c r="B877" s="3">
        <f t="shared" si="85"/>
        <v>101</v>
      </c>
      <c r="C877" s="3" t="str">
        <f t="shared" si="80"/>
        <v/>
      </c>
      <c r="D877" s="3">
        <f t="shared" si="81"/>
        <v>169</v>
      </c>
      <c r="E877" s="5" t="str">
        <f>IF(C877="",IF(D877="","",IF(D877&lt;128,"Wahl "&amp;D877,INDEX(KdoCodeTab,MATCH(D877,KdoWertTab,0)))),"Status "&amp;C877)</f>
        <v>BusLebenszeichen</v>
      </c>
      <c r="F877" t="str">
        <f t="shared" si="82"/>
        <v/>
      </c>
      <c r="G877" t="str">
        <f t="shared" si="83"/>
        <v/>
      </c>
      <c r="H877" t="str">
        <f t="shared" si="84"/>
        <v>BusLebenszeichen</v>
      </c>
    </row>
    <row r="878" spans="1:8" x14ac:dyDescent="0.25">
      <c r="A878" t="s">
        <v>908</v>
      </c>
      <c r="B878" s="3">
        <f t="shared" si="85"/>
        <v>101</v>
      </c>
      <c r="C878" s="3" t="str">
        <f t="shared" si="80"/>
        <v/>
      </c>
      <c r="D878" s="3">
        <f t="shared" si="81"/>
        <v>156</v>
      </c>
      <c r="E878" s="5" t="str">
        <f>IF(C878="",IF(D878="","",IF(D878&lt;128,"Wahl "&amp;D878,INDEX(KdoCodeTab,MATCH(D878,KdoWertTab,0)))),"Status "&amp;C878)</f>
        <v>Mark</v>
      </c>
      <c r="F878" t="str">
        <f t="shared" si="82"/>
        <v/>
      </c>
      <c r="G878" t="str">
        <f t="shared" si="83"/>
        <v/>
      </c>
      <c r="H878" t="str">
        <f t="shared" si="84"/>
        <v>Mark</v>
      </c>
    </row>
    <row r="879" spans="1:8" x14ac:dyDescent="0.25">
      <c r="A879" t="s">
        <v>909</v>
      </c>
      <c r="B879" s="3">
        <f t="shared" si="85"/>
        <v>101</v>
      </c>
      <c r="C879" s="3" t="str">
        <f t="shared" si="80"/>
        <v/>
      </c>
      <c r="D879" s="3">
        <f t="shared" si="81"/>
        <v>154</v>
      </c>
      <c r="E879" s="5" t="str">
        <f>IF(C879="",IF(D879="","",IF(D879&lt;128,"Wahl "&amp;D879,INDEX(KdoCodeTab,MATCH(D879,KdoWertTab,0)))),"Status "&amp;C879)</f>
        <v>MarkWdh</v>
      </c>
      <c r="F879" t="str">
        <f t="shared" si="82"/>
        <v/>
      </c>
      <c r="G879" t="str">
        <f t="shared" si="83"/>
        <v/>
      </c>
      <c r="H879" t="str">
        <f t="shared" si="84"/>
        <v>MarkWdh</v>
      </c>
    </row>
    <row r="880" spans="1:8" x14ac:dyDescent="0.25">
      <c r="A880" t="s">
        <v>910</v>
      </c>
      <c r="B880" s="3">
        <f t="shared" si="85"/>
        <v>101</v>
      </c>
      <c r="C880" s="3" t="str">
        <f t="shared" si="80"/>
        <v/>
      </c>
      <c r="D880" s="3">
        <f t="shared" si="81"/>
        <v>147</v>
      </c>
      <c r="E880" s="5" t="str">
        <f>IF(C880="",IF(D880="","",IF(D880&lt;128,"Wahl "&amp;D880,INDEX(KdoCodeTab,MATCH(D880,KdoWertTab,0)))),"Status "&amp;C880)</f>
        <v>Space</v>
      </c>
      <c r="F880" t="str">
        <f t="shared" si="82"/>
        <v/>
      </c>
      <c r="G880" t="str">
        <f t="shared" si="83"/>
        <v/>
      </c>
      <c r="H880" t="str">
        <f t="shared" si="84"/>
        <v>Space</v>
      </c>
    </row>
    <row r="881" spans="1:8" x14ac:dyDescent="0.25">
      <c r="A881" t="s">
        <v>911</v>
      </c>
      <c r="B881" s="3">
        <f t="shared" si="85"/>
        <v>101</v>
      </c>
      <c r="C881" s="3" t="str">
        <f t="shared" si="80"/>
        <v/>
      </c>
      <c r="D881" s="3">
        <f t="shared" si="81"/>
        <v>150</v>
      </c>
      <c r="E881" s="5" t="str">
        <f>IF(C881="",IF(D881="","",IF(D881&lt;128,"Wahl "&amp;D881,INDEX(KdoCodeTab,MATCH(D881,KdoWertTab,0)))),"Status "&amp;C881)</f>
        <v>SpaceWdh</v>
      </c>
      <c r="F881" t="str">
        <f t="shared" si="82"/>
        <v/>
      </c>
      <c r="G881" t="str">
        <f t="shared" si="83"/>
        <v/>
      </c>
      <c r="H881" t="str">
        <f t="shared" si="84"/>
        <v>SpaceWdh</v>
      </c>
    </row>
    <row r="882" spans="1:8" x14ac:dyDescent="0.25">
      <c r="A882" t="s">
        <v>912</v>
      </c>
      <c r="B882" s="3">
        <f t="shared" si="85"/>
        <v>31</v>
      </c>
      <c r="C882" s="3" t="str">
        <f t="shared" si="80"/>
        <v/>
      </c>
      <c r="D882" s="3">
        <f t="shared" si="81"/>
        <v>154</v>
      </c>
      <c r="E882" s="5" t="str">
        <f>IF(C882="",IF(D882="","",IF(D882&lt;128,"Wahl "&amp;D882,INDEX(KdoCodeTab,MATCH(D882,KdoWertTab,0)))),"Status "&amp;C882)</f>
        <v>MarkWdh</v>
      </c>
      <c r="F882" t="str">
        <f t="shared" si="82"/>
        <v>MarkWdh</v>
      </c>
      <c r="G882" t="str">
        <f t="shared" si="83"/>
        <v/>
      </c>
      <c r="H882" t="str">
        <f t="shared" si="84"/>
        <v/>
      </c>
    </row>
    <row r="883" spans="1:8" x14ac:dyDescent="0.25">
      <c r="A883" t="s">
        <v>913</v>
      </c>
      <c r="B883" s="3">
        <f t="shared" si="85"/>
        <v>101</v>
      </c>
      <c r="C883" s="3" t="str">
        <f t="shared" si="80"/>
        <v/>
      </c>
      <c r="D883" s="3">
        <f t="shared" si="81"/>
        <v>156</v>
      </c>
      <c r="E883" s="5" t="str">
        <f>IF(C883="",IF(D883="","",IF(D883&lt;128,"Wahl "&amp;D883,INDEX(KdoCodeTab,MATCH(D883,KdoWertTab,0)))),"Status "&amp;C883)</f>
        <v>Mark</v>
      </c>
      <c r="F883" t="str">
        <f t="shared" si="82"/>
        <v/>
      </c>
      <c r="G883" t="str">
        <f t="shared" si="83"/>
        <v/>
      </c>
      <c r="H883" t="str">
        <f t="shared" si="84"/>
        <v>Mark</v>
      </c>
    </row>
    <row r="884" spans="1:8" x14ac:dyDescent="0.25">
      <c r="A884" t="s">
        <v>914</v>
      </c>
      <c r="B884" s="3">
        <f t="shared" si="85"/>
        <v>101</v>
      </c>
      <c r="C884" s="3" t="str">
        <f t="shared" si="80"/>
        <v/>
      </c>
      <c r="D884" s="3">
        <f t="shared" si="81"/>
        <v>154</v>
      </c>
      <c r="E884" s="5" t="str">
        <f>IF(C884="",IF(D884="","",IF(D884&lt;128,"Wahl "&amp;D884,INDEX(KdoCodeTab,MATCH(D884,KdoWertTab,0)))),"Status "&amp;C884)</f>
        <v>MarkWdh</v>
      </c>
      <c r="F884" t="str">
        <f t="shared" si="82"/>
        <v/>
      </c>
      <c r="G884" t="str">
        <f t="shared" si="83"/>
        <v/>
      </c>
      <c r="H884" t="str">
        <f t="shared" si="84"/>
        <v>MarkWdh</v>
      </c>
    </row>
    <row r="885" spans="1:8" x14ac:dyDescent="0.25">
      <c r="A885" t="s">
        <v>915</v>
      </c>
      <c r="B885" s="3">
        <f t="shared" si="85"/>
        <v>101</v>
      </c>
      <c r="C885" s="3" t="str">
        <f t="shared" si="80"/>
        <v/>
      </c>
      <c r="D885" s="3">
        <f t="shared" si="81"/>
        <v>147</v>
      </c>
      <c r="E885" s="5" t="str">
        <f>IF(C885="",IF(D885="","",IF(D885&lt;128,"Wahl "&amp;D885,INDEX(KdoCodeTab,MATCH(D885,KdoWertTab,0)))),"Status "&amp;C885)</f>
        <v>Space</v>
      </c>
      <c r="F885" t="str">
        <f t="shared" si="82"/>
        <v/>
      </c>
      <c r="G885" t="str">
        <f t="shared" si="83"/>
        <v/>
      </c>
      <c r="H885" t="str">
        <f t="shared" si="84"/>
        <v>Space</v>
      </c>
    </row>
    <row r="886" spans="1:8" x14ac:dyDescent="0.25">
      <c r="A886" t="s">
        <v>916</v>
      </c>
      <c r="B886" s="3">
        <f t="shared" si="85"/>
        <v>101</v>
      </c>
      <c r="C886" s="3" t="str">
        <f t="shared" si="80"/>
        <v/>
      </c>
      <c r="D886" s="3">
        <f t="shared" si="81"/>
        <v>150</v>
      </c>
      <c r="E886" s="5" t="str">
        <f>IF(C886="",IF(D886="","",IF(D886&lt;128,"Wahl "&amp;D886,INDEX(KdoCodeTab,MATCH(D886,KdoWertTab,0)))),"Status "&amp;C886)</f>
        <v>SpaceWdh</v>
      </c>
      <c r="F886" t="str">
        <f t="shared" si="82"/>
        <v/>
      </c>
      <c r="G886" t="str">
        <f t="shared" si="83"/>
        <v/>
      </c>
      <c r="H886" t="str">
        <f t="shared" si="84"/>
        <v>SpaceWdh</v>
      </c>
    </row>
    <row r="887" spans="1:8" x14ac:dyDescent="0.25">
      <c r="A887" t="s">
        <v>917</v>
      </c>
      <c r="B887" s="3">
        <f t="shared" si="85"/>
        <v>101</v>
      </c>
      <c r="C887" s="3" t="str">
        <f t="shared" si="80"/>
        <v/>
      </c>
      <c r="D887" s="3">
        <f t="shared" si="81"/>
        <v>156</v>
      </c>
      <c r="E887" s="5" t="str">
        <f>IF(C887="",IF(D887="","",IF(D887&lt;128,"Wahl "&amp;D887,INDEX(KdoCodeTab,MATCH(D887,KdoWertTab,0)))),"Status "&amp;C887)</f>
        <v>Mark</v>
      </c>
      <c r="F887" t="str">
        <f t="shared" si="82"/>
        <v/>
      </c>
      <c r="G887" t="str">
        <f t="shared" si="83"/>
        <v/>
      </c>
      <c r="H887" t="str">
        <f t="shared" si="84"/>
        <v>Mark</v>
      </c>
    </row>
    <row r="888" spans="1:8" x14ac:dyDescent="0.25">
      <c r="A888" t="s">
        <v>918</v>
      </c>
      <c r="B888" s="3">
        <f t="shared" si="85"/>
        <v>101</v>
      </c>
      <c r="C888" s="3" t="str">
        <f t="shared" si="80"/>
        <v/>
      </c>
      <c r="D888" s="3">
        <f t="shared" si="81"/>
        <v>154</v>
      </c>
      <c r="E888" s="5" t="str">
        <f>IF(C888="",IF(D888="","",IF(D888&lt;128,"Wahl "&amp;D888,INDEX(KdoCodeTab,MATCH(D888,KdoWertTab,0)))),"Status "&amp;C888)</f>
        <v>MarkWdh</v>
      </c>
      <c r="F888" t="str">
        <f t="shared" si="82"/>
        <v/>
      </c>
      <c r="G888" t="str">
        <f t="shared" si="83"/>
        <v/>
      </c>
      <c r="H888" t="str">
        <f t="shared" si="84"/>
        <v>MarkWdh</v>
      </c>
    </row>
    <row r="889" spans="1:8" x14ac:dyDescent="0.25">
      <c r="A889" t="s">
        <v>919</v>
      </c>
      <c r="B889" s="3">
        <f t="shared" si="85"/>
        <v>101</v>
      </c>
      <c r="C889" s="3" t="str">
        <f t="shared" si="80"/>
        <v/>
      </c>
      <c r="D889" s="3">
        <f t="shared" si="81"/>
        <v>147</v>
      </c>
      <c r="E889" s="5" t="str">
        <f>IF(C889="",IF(D889="","",IF(D889&lt;128,"Wahl "&amp;D889,INDEX(KdoCodeTab,MATCH(D889,KdoWertTab,0)))),"Status "&amp;C889)</f>
        <v>Space</v>
      </c>
      <c r="F889" t="str">
        <f t="shared" si="82"/>
        <v/>
      </c>
      <c r="G889" t="str">
        <f t="shared" si="83"/>
        <v/>
      </c>
      <c r="H889" t="str">
        <f t="shared" si="84"/>
        <v>Space</v>
      </c>
    </row>
    <row r="890" spans="1:8" x14ac:dyDescent="0.25">
      <c r="A890" t="s">
        <v>920</v>
      </c>
      <c r="B890" s="3">
        <f t="shared" si="85"/>
        <v>101</v>
      </c>
      <c r="C890" s="3" t="str">
        <f t="shared" si="80"/>
        <v/>
      </c>
      <c r="D890" s="3">
        <f t="shared" si="81"/>
        <v>150</v>
      </c>
      <c r="E890" s="5" t="str">
        <f>IF(C890="",IF(D890="","",IF(D890&lt;128,"Wahl "&amp;D890,INDEX(KdoCodeTab,MATCH(D890,KdoWertTab,0)))),"Status "&amp;C890)</f>
        <v>SpaceWdh</v>
      </c>
      <c r="F890" t="str">
        <f t="shared" si="82"/>
        <v/>
      </c>
      <c r="G890" t="str">
        <f t="shared" si="83"/>
        <v/>
      </c>
      <c r="H890" t="str">
        <f t="shared" si="84"/>
        <v>SpaceWdh</v>
      </c>
    </row>
    <row r="891" spans="1:8" x14ac:dyDescent="0.25">
      <c r="A891" t="s">
        <v>921</v>
      </c>
      <c r="B891" s="3">
        <f t="shared" si="85"/>
        <v>101</v>
      </c>
      <c r="C891" s="3" t="str">
        <f t="shared" ref="C891:C954" si="86">IF(MID(A891,10,1)="&lt;",MID(A891,12,2),"")</f>
        <v/>
      </c>
      <c r="D891" s="3">
        <f t="shared" ref="D891:D954" si="87">IF(MID(A891,10,1)="&gt;",HEX2DEC(MID(A891,12,2)),"")</f>
        <v>156</v>
      </c>
      <c r="E891" s="5" t="str">
        <f>IF(C891="",IF(D891="","",IF(D891&lt;128,"Wahl "&amp;D891,INDEX(KdoCodeTab,MATCH(D891,KdoWertTab,0)))),"Status "&amp;C891)</f>
        <v>Mark</v>
      </c>
      <c r="F891" t="str">
        <f t="shared" ref="F891:F954" si="88">IF(B891=$F$2,E891,"")</f>
        <v/>
      </c>
      <c r="G891" t="str">
        <f t="shared" ref="G891:G954" si="89">IF(B891=$G$2,E891,"")</f>
        <v/>
      </c>
      <c r="H891" t="str">
        <f t="shared" ref="H891:H954" si="90">IF(F891&amp;G891="",E891,"")</f>
        <v>Mark</v>
      </c>
    </row>
    <row r="892" spans="1:8" x14ac:dyDescent="0.25">
      <c r="A892" t="s">
        <v>922</v>
      </c>
      <c r="B892" s="3">
        <f t="shared" si="85"/>
        <v>101</v>
      </c>
      <c r="C892" s="3" t="str">
        <f t="shared" si="86"/>
        <v/>
      </c>
      <c r="D892" s="3">
        <f t="shared" si="87"/>
        <v>154</v>
      </c>
      <c r="E892" s="5" t="str">
        <f>IF(C892="",IF(D892="","",IF(D892&lt;128,"Wahl "&amp;D892,INDEX(KdoCodeTab,MATCH(D892,KdoWertTab,0)))),"Status "&amp;C892)</f>
        <v>MarkWdh</v>
      </c>
      <c r="F892" t="str">
        <f t="shared" si="88"/>
        <v/>
      </c>
      <c r="G892" t="str">
        <f t="shared" si="89"/>
        <v/>
      </c>
      <c r="H892" t="str">
        <f t="shared" si="90"/>
        <v>MarkWdh</v>
      </c>
    </row>
    <row r="893" spans="1:8" x14ac:dyDescent="0.25">
      <c r="A893" t="s">
        <v>923</v>
      </c>
      <c r="B893" s="3">
        <f t="shared" si="85"/>
        <v>101</v>
      </c>
      <c r="C893" s="3" t="str">
        <f t="shared" si="86"/>
        <v/>
      </c>
      <c r="D893" s="3">
        <f t="shared" si="87"/>
        <v>147</v>
      </c>
      <c r="E893" s="5" t="str">
        <f>IF(C893="",IF(D893="","",IF(D893&lt;128,"Wahl "&amp;D893,INDEX(KdoCodeTab,MATCH(D893,KdoWertTab,0)))),"Status "&amp;C893)</f>
        <v>Space</v>
      </c>
      <c r="F893" t="str">
        <f t="shared" si="88"/>
        <v/>
      </c>
      <c r="G893" t="str">
        <f t="shared" si="89"/>
        <v/>
      </c>
      <c r="H893" t="str">
        <f t="shared" si="90"/>
        <v>Space</v>
      </c>
    </row>
    <row r="894" spans="1:8" x14ac:dyDescent="0.25">
      <c r="A894" t="s">
        <v>924</v>
      </c>
      <c r="B894" s="3">
        <f t="shared" si="85"/>
        <v>101</v>
      </c>
      <c r="C894" s="3" t="str">
        <f t="shared" si="86"/>
        <v/>
      </c>
      <c r="D894" s="3">
        <f t="shared" si="87"/>
        <v>150</v>
      </c>
      <c r="E894" s="5" t="str">
        <f>IF(C894="",IF(D894="","",IF(D894&lt;128,"Wahl "&amp;D894,INDEX(KdoCodeTab,MATCH(D894,KdoWertTab,0)))),"Status "&amp;C894)</f>
        <v>SpaceWdh</v>
      </c>
      <c r="F894" t="str">
        <f t="shared" si="88"/>
        <v/>
      </c>
      <c r="G894" t="str">
        <f t="shared" si="89"/>
        <v/>
      </c>
      <c r="H894" t="str">
        <f t="shared" si="90"/>
        <v>SpaceWdh</v>
      </c>
    </row>
    <row r="895" spans="1:8" x14ac:dyDescent="0.25">
      <c r="A895" t="s">
        <v>925</v>
      </c>
      <c r="B895" s="3">
        <f t="shared" si="85"/>
        <v>101</v>
      </c>
      <c r="C895" s="3" t="str">
        <f t="shared" si="86"/>
        <v/>
      </c>
      <c r="D895" s="3">
        <f t="shared" si="87"/>
        <v>156</v>
      </c>
      <c r="E895" s="5" t="str">
        <f>IF(C895="",IF(D895="","",IF(D895&lt;128,"Wahl "&amp;D895,INDEX(KdoCodeTab,MATCH(D895,KdoWertTab,0)))),"Status "&amp;C895)</f>
        <v>Mark</v>
      </c>
      <c r="F895" t="str">
        <f t="shared" si="88"/>
        <v/>
      </c>
      <c r="G895" t="str">
        <f t="shared" si="89"/>
        <v/>
      </c>
      <c r="H895" t="str">
        <f t="shared" si="90"/>
        <v>Mark</v>
      </c>
    </row>
    <row r="896" spans="1:8" x14ac:dyDescent="0.25">
      <c r="A896" t="s">
        <v>926</v>
      </c>
      <c r="B896" s="3">
        <f t="shared" si="85"/>
        <v>101</v>
      </c>
      <c r="C896" s="3" t="str">
        <f t="shared" si="86"/>
        <v/>
      </c>
      <c r="D896" s="3">
        <f t="shared" si="87"/>
        <v>154</v>
      </c>
      <c r="E896" s="5" t="str">
        <f>IF(C896="",IF(D896="","",IF(D896&lt;128,"Wahl "&amp;D896,INDEX(KdoCodeTab,MATCH(D896,KdoWertTab,0)))),"Status "&amp;C896)</f>
        <v>MarkWdh</v>
      </c>
      <c r="F896" t="str">
        <f t="shared" si="88"/>
        <v/>
      </c>
      <c r="G896" t="str">
        <f t="shared" si="89"/>
        <v/>
      </c>
      <c r="H896" t="str">
        <f t="shared" si="90"/>
        <v>MarkWdh</v>
      </c>
    </row>
    <row r="897" spans="1:8" x14ac:dyDescent="0.25">
      <c r="A897" t="s">
        <v>927</v>
      </c>
      <c r="B897" s="3">
        <f t="shared" si="85"/>
        <v>101</v>
      </c>
      <c r="C897" s="3" t="str">
        <f t="shared" si="86"/>
        <v/>
      </c>
      <c r="D897" s="3">
        <f t="shared" si="87"/>
        <v>147</v>
      </c>
      <c r="E897" s="5" t="str">
        <f>IF(C897="",IF(D897="","",IF(D897&lt;128,"Wahl "&amp;D897,INDEX(KdoCodeTab,MATCH(D897,KdoWertTab,0)))),"Status "&amp;C897)</f>
        <v>Space</v>
      </c>
      <c r="F897" t="str">
        <f t="shared" si="88"/>
        <v/>
      </c>
      <c r="G897" t="str">
        <f t="shared" si="89"/>
        <v/>
      </c>
      <c r="H897" t="str">
        <f t="shared" si="90"/>
        <v>Space</v>
      </c>
    </row>
    <row r="898" spans="1:8" x14ac:dyDescent="0.25">
      <c r="A898" t="s">
        <v>928</v>
      </c>
      <c r="B898" s="3">
        <f t="shared" si="85"/>
        <v>101</v>
      </c>
      <c r="C898" s="3" t="str">
        <f t="shared" si="86"/>
        <v/>
      </c>
      <c r="D898" s="3">
        <f t="shared" si="87"/>
        <v>150</v>
      </c>
      <c r="E898" s="5" t="str">
        <f>IF(C898="",IF(D898="","",IF(D898&lt;128,"Wahl "&amp;D898,INDEX(KdoCodeTab,MATCH(D898,KdoWertTab,0)))),"Status "&amp;C898)</f>
        <v>SpaceWdh</v>
      </c>
      <c r="F898" t="str">
        <f t="shared" si="88"/>
        <v/>
      </c>
      <c r="G898" t="str">
        <f t="shared" si="89"/>
        <v/>
      </c>
      <c r="H898" t="str">
        <f t="shared" si="90"/>
        <v>SpaceWdh</v>
      </c>
    </row>
    <row r="899" spans="1:8" x14ac:dyDescent="0.25">
      <c r="A899" t="s">
        <v>929</v>
      </c>
      <c r="B899" s="3">
        <f t="shared" si="85"/>
        <v>101</v>
      </c>
      <c r="C899" s="3" t="str">
        <f t="shared" si="86"/>
        <v/>
      </c>
      <c r="D899" s="3">
        <f t="shared" si="87"/>
        <v>156</v>
      </c>
      <c r="E899" s="5" t="str">
        <f>IF(C899="",IF(D899="","",IF(D899&lt;128,"Wahl "&amp;D899,INDEX(KdoCodeTab,MATCH(D899,KdoWertTab,0)))),"Status "&amp;C899)</f>
        <v>Mark</v>
      </c>
      <c r="F899" t="str">
        <f t="shared" si="88"/>
        <v/>
      </c>
      <c r="G899" t="str">
        <f t="shared" si="89"/>
        <v/>
      </c>
      <c r="H899" t="str">
        <f t="shared" si="90"/>
        <v>Mark</v>
      </c>
    </row>
    <row r="900" spans="1:8" x14ac:dyDescent="0.25">
      <c r="A900" t="s">
        <v>930</v>
      </c>
      <c r="B900" s="3">
        <f t="shared" si="85"/>
        <v>101</v>
      </c>
      <c r="C900" s="3" t="str">
        <f t="shared" si="86"/>
        <v/>
      </c>
      <c r="D900" s="3">
        <f t="shared" si="87"/>
        <v>154</v>
      </c>
      <c r="E900" s="5" t="str">
        <f>IF(C900="",IF(D900="","",IF(D900&lt;128,"Wahl "&amp;D900,INDEX(KdoCodeTab,MATCH(D900,KdoWertTab,0)))),"Status "&amp;C900)</f>
        <v>MarkWdh</v>
      </c>
      <c r="F900" t="str">
        <f t="shared" si="88"/>
        <v/>
      </c>
      <c r="G900" t="str">
        <f t="shared" si="89"/>
        <v/>
      </c>
      <c r="H900" t="str">
        <f t="shared" si="90"/>
        <v>MarkWdh</v>
      </c>
    </row>
    <row r="901" spans="1:8" x14ac:dyDescent="0.25">
      <c r="A901" t="s">
        <v>931</v>
      </c>
      <c r="B901" s="3">
        <f t="shared" ref="B901:B964" si="91">INT(HEX2DEC(MID(A901,8,2))/2)</f>
        <v>31</v>
      </c>
      <c r="C901" s="3" t="str">
        <f t="shared" si="86"/>
        <v/>
      </c>
      <c r="D901" s="3">
        <f t="shared" si="87"/>
        <v>154</v>
      </c>
      <c r="E901" s="5" t="str">
        <f>IF(C901="",IF(D901="","",IF(D901&lt;128,"Wahl "&amp;D901,INDEX(KdoCodeTab,MATCH(D901,KdoWertTab,0)))),"Status "&amp;C901)</f>
        <v>MarkWdh</v>
      </c>
      <c r="F901" t="str">
        <f t="shared" si="88"/>
        <v>MarkWdh</v>
      </c>
      <c r="G901" t="str">
        <f t="shared" si="89"/>
        <v/>
      </c>
      <c r="H901" t="str">
        <f t="shared" si="90"/>
        <v/>
      </c>
    </row>
    <row r="902" spans="1:8" x14ac:dyDescent="0.25">
      <c r="A902" t="s">
        <v>932</v>
      </c>
      <c r="B902" s="3">
        <f t="shared" si="91"/>
        <v>101</v>
      </c>
      <c r="C902" s="3" t="str">
        <f t="shared" si="86"/>
        <v/>
      </c>
      <c r="D902" s="3">
        <f t="shared" si="87"/>
        <v>147</v>
      </c>
      <c r="E902" s="5" t="str">
        <f>IF(C902="",IF(D902="","",IF(D902&lt;128,"Wahl "&amp;D902,INDEX(KdoCodeTab,MATCH(D902,KdoWertTab,0)))),"Status "&amp;C902)</f>
        <v>Space</v>
      </c>
      <c r="F902" t="str">
        <f t="shared" si="88"/>
        <v/>
      </c>
      <c r="G902" t="str">
        <f t="shared" si="89"/>
        <v/>
      </c>
      <c r="H902" t="str">
        <f t="shared" si="90"/>
        <v>Space</v>
      </c>
    </row>
    <row r="903" spans="1:8" x14ac:dyDescent="0.25">
      <c r="A903" t="s">
        <v>933</v>
      </c>
      <c r="B903" s="3">
        <f t="shared" si="91"/>
        <v>101</v>
      </c>
      <c r="C903" s="3" t="str">
        <f t="shared" si="86"/>
        <v/>
      </c>
      <c r="D903" s="3">
        <f t="shared" si="87"/>
        <v>150</v>
      </c>
      <c r="E903" s="5" t="str">
        <f>IF(C903="",IF(D903="","",IF(D903&lt;128,"Wahl "&amp;D903,INDEX(KdoCodeTab,MATCH(D903,KdoWertTab,0)))),"Status "&amp;C903)</f>
        <v>SpaceWdh</v>
      </c>
      <c r="F903" t="str">
        <f t="shared" si="88"/>
        <v/>
      </c>
      <c r="G903" t="str">
        <f t="shared" si="89"/>
        <v/>
      </c>
      <c r="H903" t="str">
        <f t="shared" si="90"/>
        <v>SpaceWdh</v>
      </c>
    </row>
    <row r="904" spans="1:8" x14ac:dyDescent="0.25">
      <c r="A904" t="s">
        <v>934</v>
      </c>
      <c r="B904" s="3">
        <f t="shared" si="91"/>
        <v>101</v>
      </c>
      <c r="C904" s="3" t="str">
        <f t="shared" si="86"/>
        <v/>
      </c>
      <c r="D904" s="3">
        <f t="shared" si="87"/>
        <v>156</v>
      </c>
      <c r="E904" s="5" t="str">
        <f>IF(C904="",IF(D904="","",IF(D904&lt;128,"Wahl "&amp;D904,INDEX(KdoCodeTab,MATCH(D904,KdoWertTab,0)))),"Status "&amp;C904)</f>
        <v>Mark</v>
      </c>
      <c r="F904" t="str">
        <f t="shared" si="88"/>
        <v/>
      </c>
      <c r="G904" t="str">
        <f t="shared" si="89"/>
        <v/>
      </c>
      <c r="H904" t="str">
        <f t="shared" si="90"/>
        <v>Mark</v>
      </c>
    </row>
    <row r="905" spans="1:8" x14ac:dyDescent="0.25">
      <c r="A905" t="s">
        <v>935</v>
      </c>
      <c r="B905" s="3">
        <f t="shared" si="91"/>
        <v>101</v>
      </c>
      <c r="C905" s="3" t="str">
        <f t="shared" si="86"/>
        <v/>
      </c>
      <c r="D905" s="3">
        <f t="shared" si="87"/>
        <v>154</v>
      </c>
      <c r="E905" s="5" t="str">
        <f>IF(C905="",IF(D905="","",IF(D905&lt;128,"Wahl "&amp;D905,INDEX(KdoCodeTab,MATCH(D905,KdoWertTab,0)))),"Status "&amp;C905)</f>
        <v>MarkWdh</v>
      </c>
      <c r="F905" t="str">
        <f t="shared" si="88"/>
        <v/>
      </c>
      <c r="G905" t="str">
        <f t="shared" si="89"/>
        <v/>
      </c>
      <c r="H905" t="str">
        <f t="shared" si="90"/>
        <v>MarkWdh</v>
      </c>
    </row>
    <row r="906" spans="1:8" x14ac:dyDescent="0.25">
      <c r="A906" t="s">
        <v>936</v>
      </c>
      <c r="B906" s="3">
        <f t="shared" si="91"/>
        <v>101</v>
      </c>
      <c r="C906" s="3" t="str">
        <f t="shared" si="86"/>
        <v/>
      </c>
      <c r="D906" s="3">
        <f t="shared" si="87"/>
        <v>169</v>
      </c>
      <c r="E906" s="5" t="str">
        <f>IF(C906="",IF(D906="","",IF(D906&lt;128,"Wahl "&amp;D906,INDEX(KdoCodeTab,MATCH(D906,KdoWertTab,0)))),"Status "&amp;C906)</f>
        <v>BusLebenszeichen</v>
      </c>
      <c r="F906" t="str">
        <f t="shared" si="88"/>
        <v/>
      </c>
      <c r="G906" t="str">
        <f t="shared" si="89"/>
        <v/>
      </c>
      <c r="H906" t="str">
        <f t="shared" si="90"/>
        <v>BusLebenszeichen</v>
      </c>
    </row>
    <row r="907" spans="1:8" x14ac:dyDescent="0.25">
      <c r="A907" t="s">
        <v>937</v>
      </c>
      <c r="B907" s="3">
        <f t="shared" si="91"/>
        <v>101</v>
      </c>
      <c r="C907" s="3" t="str">
        <f t="shared" si="86"/>
        <v/>
      </c>
      <c r="D907" s="3">
        <f t="shared" si="87"/>
        <v>147</v>
      </c>
      <c r="E907" s="5" t="str">
        <f>IF(C907="",IF(D907="","",IF(D907&lt;128,"Wahl "&amp;D907,INDEX(KdoCodeTab,MATCH(D907,KdoWertTab,0)))),"Status "&amp;C907)</f>
        <v>Space</v>
      </c>
      <c r="F907" t="str">
        <f t="shared" si="88"/>
        <v/>
      </c>
      <c r="G907" t="str">
        <f t="shared" si="89"/>
        <v/>
      </c>
      <c r="H907" t="str">
        <f t="shared" si="90"/>
        <v>Space</v>
      </c>
    </row>
    <row r="908" spans="1:8" x14ac:dyDescent="0.25">
      <c r="A908" t="s">
        <v>938</v>
      </c>
      <c r="B908" s="3">
        <f t="shared" si="91"/>
        <v>101</v>
      </c>
      <c r="C908" s="3" t="str">
        <f t="shared" si="86"/>
        <v/>
      </c>
      <c r="D908" s="3">
        <f t="shared" si="87"/>
        <v>150</v>
      </c>
      <c r="E908" s="5" t="str">
        <f>IF(C908="",IF(D908="","",IF(D908&lt;128,"Wahl "&amp;D908,INDEX(KdoCodeTab,MATCH(D908,KdoWertTab,0)))),"Status "&amp;C908)</f>
        <v>SpaceWdh</v>
      </c>
      <c r="F908" t="str">
        <f t="shared" si="88"/>
        <v/>
      </c>
      <c r="G908" t="str">
        <f t="shared" si="89"/>
        <v/>
      </c>
      <c r="H908" t="str">
        <f t="shared" si="90"/>
        <v>SpaceWdh</v>
      </c>
    </row>
    <row r="909" spans="1:8" x14ac:dyDescent="0.25">
      <c r="A909" t="s">
        <v>939</v>
      </c>
      <c r="B909" s="3">
        <f t="shared" si="91"/>
        <v>101</v>
      </c>
      <c r="C909" s="3" t="str">
        <f t="shared" si="86"/>
        <v/>
      </c>
      <c r="D909" s="3">
        <f t="shared" si="87"/>
        <v>156</v>
      </c>
      <c r="E909" s="5" t="str">
        <f>IF(C909="",IF(D909="","",IF(D909&lt;128,"Wahl "&amp;D909,INDEX(KdoCodeTab,MATCH(D909,KdoWertTab,0)))),"Status "&amp;C909)</f>
        <v>Mark</v>
      </c>
      <c r="F909" t="str">
        <f t="shared" si="88"/>
        <v/>
      </c>
      <c r="G909" t="str">
        <f t="shared" si="89"/>
        <v/>
      </c>
      <c r="H909" t="str">
        <f t="shared" si="90"/>
        <v>Mark</v>
      </c>
    </row>
    <row r="910" spans="1:8" x14ac:dyDescent="0.25">
      <c r="A910" t="s">
        <v>940</v>
      </c>
      <c r="B910" s="3">
        <f t="shared" si="91"/>
        <v>101</v>
      </c>
      <c r="C910" s="3" t="str">
        <f t="shared" si="86"/>
        <v/>
      </c>
      <c r="D910" s="3">
        <f t="shared" si="87"/>
        <v>154</v>
      </c>
      <c r="E910" s="5" t="str">
        <f>IF(C910="",IF(D910="","",IF(D910&lt;128,"Wahl "&amp;D910,INDEX(KdoCodeTab,MATCH(D910,KdoWertTab,0)))),"Status "&amp;C910)</f>
        <v>MarkWdh</v>
      </c>
      <c r="F910" t="str">
        <f t="shared" si="88"/>
        <v/>
      </c>
      <c r="G910" t="str">
        <f t="shared" si="89"/>
        <v/>
      </c>
      <c r="H910" t="str">
        <f t="shared" si="90"/>
        <v>MarkWdh</v>
      </c>
    </row>
    <row r="911" spans="1:8" x14ac:dyDescent="0.25">
      <c r="A911" t="s">
        <v>941</v>
      </c>
      <c r="B911" s="3">
        <f t="shared" si="91"/>
        <v>101</v>
      </c>
      <c r="C911" s="3" t="str">
        <f t="shared" si="86"/>
        <v/>
      </c>
      <c r="D911" s="3">
        <f t="shared" si="87"/>
        <v>147</v>
      </c>
      <c r="E911" s="5" t="str">
        <f>IF(C911="",IF(D911="","",IF(D911&lt;128,"Wahl "&amp;D911,INDEX(KdoCodeTab,MATCH(D911,KdoWertTab,0)))),"Status "&amp;C911)</f>
        <v>Space</v>
      </c>
      <c r="F911" t="str">
        <f t="shared" si="88"/>
        <v/>
      </c>
      <c r="G911" t="str">
        <f t="shared" si="89"/>
        <v/>
      </c>
      <c r="H911" t="str">
        <f t="shared" si="90"/>
        <v>Space</v>
      </c>
    </row>
    <row r="912" spans="1:8" x14ac:dyDescent="0.25">
      <c r="A912" t="s">
        <v>942</v>
      </c>
      <c r="B912" s="3">
        <f t="shared" si="91"/>
        <v>101</v>
      </c>
      <c r="C912" s="3" t="str">
        <f t="shared" si="86"/>
        <v/>
      </c>
      <c r="D912" s="3">
        <f t="shared" si="87"/>
        <v>150</v>
      </c>
      <c r="E912" s="5" t="str">
        <f>IF(C912="",IF(D912="","",IF(D912&lt;128,"Wahl "&amp;D912,INDEX(KdoCodeTab,MATCH(D912,KdoWertTab,0)))),"Status "&amp;C912)</f>
        <v>SpaceWdh</v>
      </c>
      <c r="F912" t="str">
        <f t="shared" si="88"/>
        <v/>
      </c>
      <c r="G912" t="str">
        <f t="shared" si="89"/>
        <v/>
      </c>
      <c r="H912" t="str">
        <f t="shared" si="90"/>
        <v>SpaceWdh</v>
      </c>
    </row>
    <row r="913" spans="1:8" x14ac:dyDescent="0.25">
      <c r="A913" t="s">
        <v>943</v>
      </c>
      <c r="B913" s="3">
        <f t="shared" si="91"/>
        <v>101</v>
      </c>
      <c r="C913" s="3" t="str">
        <f t="shared" si="86"/>
        <v/>
      </c>
      <c r="D913" s="3">
        <f t="shared" si="87"/>
        <v>156</v>
      </c>
      <c r="E913" s="5" t="str">
        <f>IF(C913="",IF(D913="","",IF(D913&lt;128,"Wahl "&amp;D913,INDEX(KdoCodeTab,MATCH(D913,KdoWertTab,0)))),"Status "&amp;C913)</f>
        <v>Mark</v>
      </c>
      <c r="F913" t="str">
        <f t="shared" si="88"/>
        <v/>
      </c>
      <c r="G913" t="str">
        <f t="shared" si="89"/>
        <v/>
      </c>
      <c r="H913" t="str">
        <f t="shared" si="90"/>
        <v>Mark</v>
      </c>
    </row>
    <row r="914" spans="1:8" x14ac:dyDescent="0.25">
      <c r="A914" t="s">
        <v>944</v>
      </c>
      <c r="B914" s="3">
        <f t="shared" si="91"/>
        <v>101</v>
      </c>
      <c r="C914" s="3" t="str">
        <f t="shared" si="86"/>
        <v/>
      </c>
      <c r="D914" s="3">
        <f t="shared" si="87"/>
        <v>154</v>
      </c>
      <c r="E914" s="5" t="str">
        <f>IF(C914="",IF(D914="","",IF(D914&lt;128,"Wahl "&amp;D914,INDEX(KdoCodeTab,MATCH(D914,KdoWertTab,0)))),"Status "&amp;C914)</f>
        <v>MarkWdh</v>
      </c>
      <c r="F914" t="str">
        <f t="shared" si="88"/>
        <v/>
      </c>
      <c r="G914" t="str">
        <f t="shared" si="89"/>
        <v/>
      </c>
      <c r="H914" t="str">
        <f t="shared" si="90"/>
        <v>MarkWdh</v>
      </c>
    </row>
    <row r="915" spans="1:8" x14ac:dyDescent="0.25">
      <c r="A915" t="s">
        <v>945</v>
      </c>
      <c r="B915" s="3">
        <f t="shared" si="91"/>
        <v>101</v>
      </c>
      <c r="C915" s="3" t="str">
        <f t="shared" si="86"/>
        <v/>
      </c>
      <c r="D915" s="3">
        <f t="shared" si="87"/>
        <v>147</v>
      </c>
      <c r="E915" s="5" t="str">
        <f>IF(C915="",IF(D915="","",IF(D915&lt;128,"Wahl "&amp;D915,INDEX(KdoCodeTab,MATCH(D915,KdoWertTab,0)))),"Status "&amp;C915)</f>
        <v>Space</v>
      </c>
      <c r="F915" t="str">
        <f t="shared" si="88"/>
        <v/>
      </c>
      <c r="G915" t="str">
        <f t="shared" si="89"/>
        <v/>
      </c>
      <c r="H915" t="str">
        <f t="shared" si="90"/>
        <v>Space</v>
      </c>
    </row>
    <row r="916" spans="1:8" x14ac:dyDescent="0.25">
      <c r="A916" t="s">
        <v>946</v>
      </c>
      <c r="B916" s="3">
        <f t="shared" si="91"/>
        <v>101</v>
      </c>
      <c r="C916" s="3" t="str">
        <f t="shared" si="86"/>
        <v/>
      </c>
      <c r="D916" s="3">
        <f t="shared" si="87"/>
        <v>150</v>
      </c>
      <c r="E916" s="5" t="str">
        <f>IF(C916="",IF(D916="","",IF(D916&lt;128,"Wahl "&amp;D916,INDEX(KdoCodeTab,MATCH(D916,KdoWertTab,0)))),"Status "&amp;C916)</f>
        <v>SpaceWdh</v>
      </c>
      <c r="F916" t="str">
        <f t="shared" si="88"/>
        <v/>
      </c>
      <c r="G916" t="str">
        <f t="shared" si="89"/>
        <v/>
      </c>
      <c r="H916" t="str">
        <f t="shared" si="90"/>
        <v>SpaceWdh</v>
      </c>
    </row>
    <row r="917" spans="1:8" x14ac:dyDescent="0.25">
      <c r="A917" t="s">
        <v>947</v>
      </c>
      <c r="B917" s="3">
        <f t="shared" si="91"/>
        <v>101</v>
      </c>
      <c r="C917" s="3" t="str">
        <f t="shared" si="86"/>
        <v/>
      </c>
      <c r="D917" s="3">
        <f t="shared" si="87"/>
        <v>156</v>
      </c>
      <c r="E917" s="5" t="str">
        <f>IF(C917="",IF(D917="","",IF(D917&lt;128,"Wahl "&amp;D917,INDEX(KdoCodeTab,MATCH(D917,KdoWertTab,0)))),"Status "&amp;C917)</f>
        <v>Mark</v>
      </c>
      <c r="F917" t="str">
        <f t="shared" si="88"/>
        <v/>
      </c>
      <c r="G917" t="str">
        <f t="shared" si="89"/>
        <v/>
      </c>
      <c r="H917" t="str">
        <f t="shared" si="90"/>
        <v>Mark</v>
      </c>
    </row>
    <row r="918" spans="1:8" x14ac:dyDescent="0.25">
      <c r="A918" t="s">
        <v>948</v>
      </c>
      <c r="B918" s="3">
        <f t="shared" si="91"/>
        <v>101</v>
      </c>
      <c r="C918" s="3" t="str">
        <f t="shared" si="86"/>
        <v/>
      </c>
      <c r="D918" s="3">
        <f t="shared" si="87"/>
        <v>154</v>
      </c>
      <c r="E918" s="5" t="str">
        <f>IF(C918="",IF(D918="","",IF(D918&lt;128,"Wahl "&amp;D918,INDEX(KdoCodeTab,MATCH(D918,KdoWertTab,0)))),"Status "&amp;C918)</f>
        <v>MarkWdh</v>
      </c>
      <c r="F918" t="str">
        <f t="shared" si="88"/>
        <v/>
      </c>
      <c r="G918" t="str">
        <f t="shared" si="89"/>
        <v/>
      </c>
      <c r="H918" t="str">
        <f t="shared" si="90"/>
        <v>MarkWdh</v>
      </c>
    </row>
    <row r="919" spans="1:8" x14ac:dyDescent="0.25">
      <c r="A919" t="s">
        <v>949</v>
      </c>
      <c r="B919" s="3">
        <f t="shared" si="91"/>
        <v>101</v>
      </c>
      <c r="C919" s="3" t="str">
        <f t="shared" si="86"/>
        <v/>
      </c>
      <c r="D919" s="3">
        <f t="shared" si="87"/>
        <v>147</v>
      </c>
      <c r="E919" s="5" t="str">
        <f>IF(C919="",IF(D919="","",IF(D919&lt;128,"Wahl "&amp;D919,INDEX(KdoCodeTab,MATCH(D919,KdoWertTab,0)))),"Status "&amp;C919)</f>
        <v>Space</v>
      </c>
      <c r="F919" t="str">
        <f t="shared" si="88"/>
        <v/>
      </c>
      <c r="G919" t="str">
        <f t="shared" si="89"/>
        <v/>
      </c>
      <c r="H919" t="str">
        <f t="shared" si="90"/>
        <v>Space</v>
      </c>
    </row>
    <row r="920" spans="1:8" x14ac:dyDescent="0.25">
      <c r="A920" t="s">
        <v>950</v>
      </c>
      <c r="B920" s="3">
        <f t="shared" si="91"/>
        <v>101</v>
      </c>
      <c r="C920" s="3" t="str">
        <f t="shared" si="86"/>
        <v/>
      </c>
      <c r="D920" s="3">
        <f t="shared" si="87"/>
        <v>150</v>
      </c>
      <c r="E920" s="5" t="str">
        <f>IF(C920="",IF(D920="","",IF(D920&lt;128,"Wahl "&amp;D920,INDEX(KdoCodeTab,MATCH(D920,KdoWertTab,0)))),"Status "&amp;C920)</f>
        <v>SpaceWdh</v>
      </c>
      <c r="F920" t="str">
        <f t="shared" si="88"/>
        <v/>
      </c>
      <c r="G920" t="str">
        <f t="shared" si="89"/>
        <v/>
      </c>
      <c r="H920" t="str">
        <f t="shared" si="90"/>
        <v>SpaceWdh</v>
      </c>
    </row>
    <row r="921" spans="1:8" x14ac:dyDescent="0.25">
      <c r="A921" t="s">
        <v>951</v>
      </c>
      <c r="B921" s="3">
        <f t="shared" si="91"/>
        <v>101</v>
      </c>
      <c r="C921" s="3" t="str">
        <f t="shared" si="86"/>
        <v/>
      </c>
      <c r="D921" s="3">
        <f t="shared" si="87"/>
        <v>156</v>
      </c>
      <c r="E921" s="5" t="str">
        <f>IF(C921="",IF(D921="","",IF(D921&lt;128,"Wahl "&amp;D921,INDEX(KdoCodeTab,MATCH(D921,KdoWertTab,0)))),"Status "&amp;C921)</f>
        <v>Mark</v>
      </c>
      <c r="F921" t="str">
        <f t="shared" si="88"/>
        <v/>
      </c>
      <c r="G921" t="str">
        <f t="shared" si="89"/>
        <v/>
      </c>
      <c r="H921" t="str">
        <f t="shared" si="90"/>
        <v>Mark</v>
      </c>
    </row>
    <row r="922" spans="1:8" x14ac:dyDescent="0.25">
      <c r="A922" t="s">
        <v>952</v>
      </c>
      <c r="B922" s="3">
        <f t="shared" si="91"/>
        <v>101</v>
      </c>
      <c r="C922" s="3" t="str">
        <f t="shared" si="86"/>
        <v/>
      </c>
      <c r="D922" s="3">
        <f t="shared" si="87"/>
        <v>154</v>
      </c>
      <c r="E922" s="5" t="str">
        <f>IF(C922="",IF(D922="","",IF(D922&lt;128,"Wahl "&amp;D922,INDEX(KdoCodeTab,MATCH(D922,KdoWertTab,0)))),"Status "&amp;C922)</f>
        <v>MarkWdh</v>
      </c>
      <c r="F922" t="str">
        <f t="shared" si="88"/>
        <v/>
      </c>
      <c r="G922" t="str">
        <f t="shared" si="89"/>
        <v/>
      </c>
      <c r="H922" t="str">
        <f t="shared" si="90"/>
        <v>MarkWdh</v>
      </c>
    </row>
    <row r="923" spans="1:8" x14ac:dyDescent="0.25">
      <c r="A923" t="s">
        <v>953</v>
      </c>
      <c r="B923" s="3">
        <f t="shared" si="91"/>
        <v>31</v>
      </c>
      <c r="C923" s="3" t="str">
        <f t="shared" si="86"/>
        <v/>
      </c>
      <c r="D923" s="3">
        <f t="shared" si="87"/>
        <v>154</v>
      </c>
      <c r="E923" s="5" t="str">
        <f>IF(C923="",IF(D923="","",IF(D923&lt;128,"Wahl "&amp;D923,INDEX(KdoCodeTab,MATCH(D923,KdoWertTab,0)))),"Status "&amp;C923)</f>
        <v>MarkWdh</v>
      </c>
      <c r="F923" t="str">
        <f t="shared" si="88"/>
        <v>MarkWdh</v>
      </c>
      <c r="G923" t="str">
        <f t="shared" si="89"/>
        <v/>
      </c>
      <c r="H923" t="str">
        <f t="shared" si="90"/>
        <v/>
      </c>
    </row>
    <row r="924" spans="1:8" x14ac:dyDescent="0.25">
      <c r="A924" t="s">
        <v>954</v>
      </c>
      <c r="B924" s="3">
        <f t="shared" si="91"/>
        <v>101</v>
      </c>
      <c r="C924" s="3" t="str">
        <f t="shared" si="86"/>
        <v/>
      </c>
      <c r="D924" s="3">
        <f t="shared" si="87"/>
        <v>147</v>
      </c>
      <c r="E924" s="5" t="str">
        <f>IF(C924="",IF(D924="","",IF(D924&lt;128,"Wahl "&amp;D924,INDEX(KdoCodeTab,MATCH(D924,KdoWertTab,0)))),"Status "&amp;C924)</f>
        <v>Space</v>
      </c>
      <c r="F924" t="str">
        <f t="shared" si="88"/>
        <v/>
      </c>
      <c r="G924" t="str">
        <f t="shared" si="89"/>
        <v/>
      </c>
      <c r="H924" t="str">
        <f t="shared" si="90"/>
        <v>Space</v>
      </c>
    </row>
    <row r="925" spans="1:8" x14ac:dyDescent="0.25">
      <c r="A925" t="s">
        <v>955</v>
      </c>
      <c r="B925" s="3">
        <f t="shared" si="91"/>
        <v>101</v>
      </c>
      <c r="C925" s="3" t="str">
        <f t="shared" si="86"/>
        <v/>
      </c>
      <c r="D925" s="3">
        <f t="shared" si="87"/>
        <v>150</v>
      </c>
      <c r="E925" s="5" t="str">
        <f>IF(C925="",IF(D925="","",IF(D925&lt;128,"Wahl "&amp;D925,INDEX(KdoCodeTab,MATCH(D925,KdoWertTab,0)))),"Status "&amp;C925)</f>
        <v>SpaceWdh</v>
      </c>
      <c r="F925" t="str">
        <f t="shared" si="88"/>
        <v/>
      </c>
      <c r="G925" t="str">
        <f t="shared" si="89"/>
        <v/>
      </c>
      <c r="H925" t="str">
        <f t="shared" si="90"/>
        <v>SpaceWdh</v>
      </c>
    </row>
    <row r="926" spans="1:8" x14ac:dyDescent="0.25">
      <c r="A926" t="s">
        <v>956</v>
      </c>
      <c r="B926" s="3">
        <f t="shared" si="91"/>
        <v>101</v>
      </c>
      <c r="C926" s="3" t="str">
        <f t="shared" si="86"/>
        <v/>
      </c>
      <c r="D926" s="3">
        <f t="shared" si="87"/>
        <v>156</v>
      </c>
      <c r="E926" s="5" t="str">
        <f>IF(C926="",IF(D926="","",IF(D926&lt;128,"Wahl "&amp;D926,INDEX(KdoCodeTab,MATCH(D926,KdoWertTab,0)))),"Status "&amp;C926)</f>
        <v>Mark</v>
      </c>
      <c r="F926" t="str">
        <f t="shared" si="88"/>
        <v/>
      </c>
      <c r="G926" t="str">
        <f t="shared" si="89"/>
        <v/>
      </c>
      <c r="H926" t="str">
        <f t="shared" si="90"/>
        <v>Mark</v>
      </c>
    </row>
    <row r="927" spans="1:8" x14ac:dyDescent="0.25">
      <c r="A927" t="s">
        <v>957</v>
      </c>
      <c r="B927" s="3">
        <f t="shared" si="91"/>
        <v>101</v>
      </c>
      <c r="C927" s="3" t="str">
        <f t="shared" si="86"/>
        <v/>
      </c>
      <c r="D927" s="3">
        <f t="shared" si="87"/>
        <v>154</v>
      </c>
      <c r="E927" s="5" t="str">
        <f>IF(C927="",IF(D927="","",IF(D927&lt;128,"Wahl "&amp;D927,INDEX(KdoCodeTab,MATCH(D927,KdoWertTab,0)))),"Status "&amp;C927)</f>
        <v>MarkWdh</v>
      </c>
      <c r="F927" t="str">
        <f t="shared" si="88"/>
        <v/>
      </c>
      <c r="G927" t="str">
        <f t="shared" si="89"/>
        <v/>
      </c>
      <c r="H927" t="str">
        <f t="shared" si="90"/>
        <v>MarkWdh</v>
      </c>
    </row>
    <row r="928" spans="1:8" x14ac:dyDescent="0.25">
      <c r="A928" t="s">
        <v>958</v>
      </c>
      <c r="B928" s="3">
        <f t="shared" si="91"/>
        <v>101</v>
      </c>
      <c r="C928" s="3" t="str">
        <f t="shared" si="86"/>
        <v/>
      </c>
      <c r="D928" s="3">
        <f t="shared" si="87"/>
        <v>147</v>
      </c>
      <c r="E928" s="5" t="str">
        <f>IF(C928="",IF(D928="","",IF(D928&lt;128,"Wahl "&amp;D928,INDEX(KdoCodeTab,MATCH(D928,KdoWertTab,0)))),"Status "&amp;C928)</f>
        <v>Space</v>
      </c>
      <c r="F928" t="str">
        <f t="shared" si="88"/>
        <v/>
      </c>
      <c r="G928" t="str">
        <f t="shared" si="89"/>
        <v/>
      </c>
      <c r="H928" t="str">
        <f t="shared" si="90"/>
        <v>Space</v>
      </c>
    </row>
    <row r="929" spans="1:8" x14ac:dyDescent="0.25">
      <c r="A929" t="s">
        <v>959</v>
      </c>
      <c r="B929" s="3">
        <f t="shared" si="91"/>
        <v>101</v>
      </c>
      <c r="C929" s="3" t="str">
        <f t="shared" si="86"/>
        <v/>
      </c>
      <c r="D929" s="3">
        <f t="shared" si="87"/>
        <v>150</v>
      </c>
      <c r="E929" s="5" t="str">
        <f>IF(C929="",IF(D929="","",IF(D929&lt;128,"Wahl "&amp;D929,INDEX(KdoCodeTab,MATCH(D929,KdoWertTab,0)))),"Status "&amp;C929)</f>
        <v>SpaceWdh</v>
      </c>
      <c r="F929" t="str">
        <f t="shared" si="88"/>
        <v/>
      </c>
      <c r="G929" t="str">
        <f t="shared" si="89"/>
        <v/>
      </c>
      <c r="H929" t="str">
        <f t="shared" si="90"/>
        <v>SpaceWdh</v>
      </c>
    </row>
    <row r="930" spans="1:8" x14ac:dyDescent="0.25">
      <c r="A930" t="s">
        <v>960</v>
      </c>
      <c r="B930" s="3">
        <f t="shared" si="91"/>
        <v>101</v>
      </c>
      <c r="C930" s="3" t="str">
        <f t="shared" si="86"/>
        <v/>
      </c>
      <c r="D930" s="3">
        <f t="shared" si="87"/>
        <v>156</v>
      </c>
      <c r="E930" s="5" t="str">
        <f>IF(C930="",IF(D930="","",IF(D930&lt;128,"Wahl "&amp;D930,INDEX(KdoCodeTab,MATCH(D930,KdoWertTab,0)))),"Status "&amp;C930)</f>
        <v>Mark</v>
      </c>
      <c r="F930" t="str">
        <f t="shared" si="88"/>
        <v/>
      </c>
      <c r="G930" t="str">
        <f t="shared" si="89"/>
        <v/>
      </c>
      <c r="H930" t="str">
        <f t="shared" si="90"/>
        <v>Mark</v>
      </c>
    </row>
    <row r="931" spans="1:8" x14ac:dyDescent="0.25">
      <c r="A931" t="s">
        <v>961</v>
      </c>
      <c r="B931" s="3">
        <f t="shared" si="91"/>
        <v>101</v>
      </c>
      <c r="C931" s="3" t="str">
        <f t="shared" si="86"/>
        <v/>
      </c>
      <c r="D931" s="3">
        <f t="shared" si="87"/>
        <v>154</v>
      </c>
      <c r="E931" s="5" t="str">
        <f>IF(C931="",IF(D931="","",IF(D931&lt;128,"Wahl "&amp;D931,INDEX(KdoCodeTab,MATCH(D931,KdoWertTab,0)))),"Status "&amp;C931)</f>
        <v>MarkWdh</v>
      </c>
      <c r="F931" t="str">
        <f t="shared" si="88"/>
        <v/>
      </c>
      <c r="G931" t="str">
        <f t="shared" si="89"/>
        <v/>
      </c>
      <c r="H931" t="str">
        <f t="shared" si="90"/>
        <v>MarkWdh</v>
      </c>
    </row>
    <row r="932" spans="1:8" x14ac:dyDescent="0.25">
      <c r="A932" t="s">
        <v>962</v>
      </c>
      <c r="B932" s="3">
        <f t="shared" si="91"/>
        <v>101</v>
      </c>
      <c r="C932" s="3" t="str">
        <f t="shared" si="86"/>
        <v/>
      </c>
      <c r="D932" s="3">
        <f t="shared" si="87"/>
        <v>169</v>
      </c>
      <c r="E932" s="5" t="str">
        <f>IF(C932="",IF(D932="","",IF(D932&lt;128,"Wahl "&amp;D932,INDEX(KdoCodeTab,MATCH(D932,KdoWertTab,0)))),"Status "&amp;C932)</f>
        <v>BusLebenszeichen</v>
      </c>
      <c r="F932" t="str">
        <f t="shared" si="88"/>
        <v/>
      </c>
      <c r="G932" t="str">
        <f t="shared" si="89"/>
        <v/>
      </c>
      <c r="H932" t="str">
        <f t="shared" si="90"/>
        <v>BusLebenszeichen</v>
      </c>
    </row>
    <row r="933" spans="1:8" x14ac:dyDescent="0.25">
      <c r="A933" t="s">
        <v>963</v>
      </c>
      <c r="B933" s="3">
        <f t="shared" si="91"/>
        <v>101</v>
      </c>
      <c r="C933" s="3" t="str">
        <f t="shared" si="86"/>
        <v/>
      </c>
      <c r="D933" s="3">
        <f t="shared" si="87"/>
        <v>147</v>
      </c>
      <c r="E933" s="5" t="str">
        <f>IF(C933="",IF(D933="","",IF(D933&lt;128,"Wahl "&amp;D933,INDEX(KdoCodeTab,MATCH(D933,KdoWertTab,0)))),"Status "&amp;C933)</f>
        <v>Space</v>
      </c>
      <c r="F933" t="str">
        <f t="shared" si="88"/>
        <v/>
      </c>
      <c r="G933" t="str">
        <f t="shared" si="89"/>
        <v/>
      </c>
      <c r="H933" t="str">
        <f t="shared" si="90"/>
        <v>Space</v>
      </c>
    </row>
    <row r="934" spans="1:8" x14ac:dyDescent="0.25">
      <c r="A934" t="s">
        <v>964</v>
      </c>
      <c r="B934" s="3">
        <f t="shared" si="91"/>
        <v>101</v>
      </c>
      <c r="C934" s="3" t="str">
        <f t="shared" si="86"/>
        <v/>
      </c>
      <c r="D934" s="3">
        <f t="shared" si="87"/>
        <v>150</v>
      </c>
      <c r="E934" s="5" t="str">
        <f>IF(C934="",IF(D934="","",IF(D934&lt;128,"Wahl "&amp;D934,INDEX(KdoCodeTab,MATCH(D934,KdoWertTab,0)))),"Status "&amp;C934)</f>
        <v>SpaceWdh</v>
      </c>
      <c r="F934" t="str">
        <f t="shared" si="88"/>
        <v/>
      </c>
      <c r="G934" t="str">
        <f t="shared" si="89"/>
        <v/>
      </c>
      <c r="H934" t="str">
        <f t="shared" si="90"/>
        <v>SpaceWdh</v>
      </c>
    </row>
    <row r="935" spans="1:8" x14ac:dyDescent="0.25">
      <c r="A935" t="s">
        <v>965</v>
      </c>
      <c r="B935" s="3">
        <f t="shared" si="91"/>
        <v>101</v>
      </c>
      <c r="C935" s="3" t="str">
        <f t="shared" si="86"/>
        <v/>
      </c>
      <c r="D935" s="3">
        <f t="shared" si="87"/>
        <v>156</v>
      </c>
      <c r="E935" s="5" t="str">
        <f>IF(C935="",IF(D935="","",IF(D935&lt;128,"Wahl "&amp;D935,INDEX(KdoCodeTab,MATCH(D935,KdoWertTab,0)))),"Status "&amp;C935)</f>
        <v>Mark</v>
      </c>
      <c r="F935" t="str">
        <f t="shared" si="88"/>
        <v/>
      </c>
      <c r="G935" t="str">
        <f t="shared" si="89"/>
        <v/>
      </c>
      <c r="H935" t="str">
        <f t="shared" si="90"/>
        <v>Mark</v>
      </c>
    </row>
    <row r="936" spans="1:8" x14ac:dyDescent="0.25">
      <c r="A936" t="s">
        <v>966</v>
      </c>
      <c r="B936" s="3">
        <f t="shared" si="91"/>
        <v>101</v>
      </c>
      <c r="C936" s="3" t="str">
        <f t="shared" si="86"/>
        <v/>
      </c>
      <c r="D936" s="3">
        <f t="shared" si="87"/>
        <v>154</v>
      </c>
      <c r="E936" s="5" t="str">
        <f>IF(C936="",IF(D936="","",IF(D936&lt;128,"Wahl "&amp;D936,INDEX(KdoCodeTab,MATCH(D936,KdoWertTab,0)))),"Status "&amp;C936)</f>
        <v>MarkWdh</v>
      </c>
      <c r="F936" t="str">
        <f t="shared" si="88"/>
        <v/>
      </c>
      <c r="G936" t="str">
        <f t="shared" si="89"/>
        <v/>
      </c>
      <c r="H936" t="str">
        <f t="shared" si="90"/>
        <v>MarkWdh</v>
      </c>
    </row>
    <row r="937" spans="1:8" x14ac:dyDescent="0.25">
      <c r="A937" t="s">
        <v>967</v>
      </c>
      <c r="B937" s="3">
        <f t="shared" si="91"/>
        <v>31</v>
      </c>
      <c r="C937" s="3" t="str">
        <f t="shared" si="86"/>
        <v/>
      </c>
      <c r="D937" s="3">
        <f t="shared" si="87"/>
        <v>154</v>
      </c>
      <c r="E937" s="5" t="str">
        <f>IF(C937="",IF(D937="","",IF(D937&lt;128,"Wahl "&amp;D937,INDEX(KdoCodeTab,MATCH(D937,KdoWertTab,0)))),"Status "&amp;C937)</f>
        <v>MarkWdh</v>
      </c>
      <c r="F937" t="str">
        <f t="shared" si="88"/>
        <v>MarkWdh</v>
      </c>
      <c r="G937" t="str">
        <f t="shared" si="89"/>
        <v/>
      </c>
      <c r="H937" t="str">
        <f t="shared" si="90"/>
        <v/>
      </c>
    </row>
    <row r="938" spans="1:8" x14ac:dyDescent="0.25">
      <c r="A938" t="s">
        <v>968</v>
      </c>
      <c r="B938" s="3">
        <f t="shared" si="91"/>
        <v>101</v>
      </c>
      <c r="C938" s="3" t="str">
        <f t="shared" si="86"/>
        <v/>
      </c>
      <c r="D938" s="3">
        <f t="shared" si="87"/>
        <v>147</v>
      </c>
      <c r="E938" s="5" t="str">
        <f>IF(C938="",IF(D938="","",IF(D938&lt;128,"Wahl "&amp;D938,INDEX(KdoCodeTab,MATCH(D938,KdoWertTab,0)))),"Status "&amp;C938)</f>
        <v>Space</v>
      </c>
      <c r="F938" t="str">
        <f t="shared" si="88"/>
        <v/>
      </c>
      <c r="G938" t="str">
        <f t="shared" si="89"/>
        <v/>
      </c>
      <c r="H938" t="str">
        <f t="shared" si="90"/>
        <v>Space</v>
      </c>
    </row>
    <row r="939" spans="1:8" x14ac:dyDescent="0.25">
      <c r="A939" t="s">
        <v>969</v>
      </c>
      <c r="B939" s="3">
        <f t="shared" si="91"/>
        <v>101</v>
      </c>
      <c r="C939" s="3" t="str">
        <f t="shared" si="86"/>
        <v/>
      </c>
      <c r="D939" s="3">
        <f t="shared" si="87"/>
        <v>150</v>
      </c>
      <c r="E939" s="5" t="str">
        <f>IF(C939="",IF(D939="","",IF(D939&lt;128,"Wahl "&amp;D939,INDEX(KdoCodeTab,MATCH(D939,KdoWertTab,0)))),"Status "&amp;C939)</f>
        <v>SpaceWdh</v>
      </c>
      <c r="F939" t="str">
        <f t="shared" si="88"/>
        <v/>
      </c>
      <c r="G939" t="str">
        <f t="shared" si="89"/>
        <v/>
      </c>
      <c r="H939" t="str">
        <f t="shared" si="90"/>
        <v>SpaceWdh</v>
      </c>
    </row>
    <row r="940" spans="1:8" x14ac:dyDescent="0.25">
      <c r="A940" t="s">
        <v>970</v>
      </c>
      <c r="B940" s="3">
        <f t="shared" si="91"/>
        <v>101</v>
      </c>
      <c r="C940" s="3" t="str">
        <f t="shared" si="86"/>
        <v/>
      </c>
      <c r="D940" s="3">
        <f t="shared" si="87"/>
        <v>156</v>
      </c>
      <c r="E940" s="5" t="str">
        <f>IF(C940="",IF(D940="","",IF(D940&lt;128,"Wahl "&amp;D940,INDEX(KdoCodeTab,MATCH(D940,KdoWertTab,0)))),"Status "&amp;C940)</f>
        <v>Mark</v>
      </c>
      <c r="F940" t="str">
        <f t="shared" si="88"/>
        <v/>
      </c>
      <c r="G940" t="str">
        <f t="shared" si="89"/>
        <v/>
      </c>
      <c r="H940" t="str">
        <f t="shared" si="90"/>
        <v>Mark</v>
      </c>
    </row>
    <row r="941" spans="1:8" x14ac:dyDescent="0.25">
      <c r="A941" t="s">
        <v>971</v>
      </c>
      <c r="B941" s="3">
        <f t="shared" si="91"/>
        <v>101</v>
      </c>
      <c r="C941" s="3" t="str">
        <f t="shared" si="86"/>
        <v/>
      </c>
      <c r="D941" s="3">
        <f t="shared" si="87"/>
        <v>154</v>
      </c>
      <c r="E941" s="5" t="str">
        <f>IF(C941="",IF(D941="","",IF(D941&lt;128,"Wahl "&amp;D941,INDEX(KdoCodeTab,MATCH(D941,KdoWertTab,0)))),"Status "&amp;C941)</f>
        <v>MarkWdh</v>
      </c>
      <c r="F941" t="str">
        <f t="shared" si="88"/>
        <v/>
      </c>
      <c r="G941" t="str">
        <f t="shared" si="89"/>
        <v/>
      </c>
      <c r="H941" t="str">
        <f t="shared" si="90"/>
        <v>MarkWdh</v>
      </c>
    </row>
    <row r="942" spans="1:8" x14ac:dyDescent="0.25">
      <c r="A942" t="s">
        <v>972</v>
      </c>
      <c r="B942" s="3">
        <f t="shared" si="91"/>
        <v>101</v>
      </c>
      <c r="C942" s="3" t="str">
        <f t="shared" si="86"/>
        <v/>
      </c>
      <c r="D942" s="3">
        <f t="shared" si="87"/>
        <v>147</v>
      </c>
      <c r="E942" s="5" t="str">
        <f>IF(C942="",IF(D942="","",IF(D942&lt;128,"Wahl "&amp;D942,INDEX(KdoCodeTab,MATCH(D942,KdoWertTab,0)))),"Status "&amp;C942)</f>
        <v>Space</v>
      </c>
      <c r="F942" t="str">
        <f t="shared" si="88"/>
        <v/>
      </c>
      <c r="G942" t="str">
        <f t="shared" si="89"/>
        <v/>
      </c>
      <c r="H942" t="str">
        <f t="shared" si="90"/>
        <v>Space</v>
      </c>
    </row>
    <row r="943" spans="1:8" x14ac:dyDescent="0.25">
      <c r="A943" t="s">
        <v>973</v>
      </c>
      <c r="B943" s="3">
        <f t="shared" si="91"/>
        <v>101</v>
      </c>
      <c r="C943" s="3" t="str">
        <f t="shared" si="86"/>
        <v/>
      </c>
      <c r="D943" s="3">
        <f t="shared" si="87"/>
        <v>150</v>
      </c>
      <c r="E943" s="5" t="str">
        <f>IF(C943="",IF(D943="","",IF(D943&lt;128,"Wahl "&amp;D943,INDEX(KdoCodeTab,MATCH(D943,KdoWertTab,0)))),"Status "&amp;C943)</f>
        <v>SpaceWdh</v>
      </c>
      <c r="F943" t="str">
        <f t="shared" si="88"/>
        <v/>
      </c>
      <c r="G943" t="str">
        <f t="shared" si="89"/>
        <v/>
      </c>
      <c r="H943" t="str">
        <f t="shared" si="90"/>
        <v>SpaceWdh</v>
      </c>
    </row>
    <row r="944" spans="1:8" x14ac:dyDescent="0.25">
      <c r="A944" t="s">
        <v>974</v>
      </c>
      <c r="B944" s="3">
        <f t="shared" si="91"/>
        <v>101</v>
      </c>
      <c r="C944" s="3" t="str">
        <f t="shared" si="86"/>
        <v/>
      </c>
      <c r="D944" s="3">
        <f t="shared" si="87"/>
        <v>156</v>
      </c>
      <c r="E944" s="5" t="str">
        <f>IF(C944="",IF(D944="","",IF(D944&lt;128,"Wahl "&amp;D944,INDEX(KdoCodeTab,MATCH(D944,KdoWertTab,0)))),"Status "&amp;C944)</f>
        <v>Mark</v>
      </c>
      <c r="F944" t="str">
        <f t="shared" si="88"/>
        <v/>
      </c>
      <c r="G944" t="str">
        <f t="shared" si="89"/>
        <v/>
      </c>
      <c r="H944" t="str">
        <f t="shared" si="90"/>
        <v>Mark</v>
      </c>
    </row>
    <row r="945" spans="1:8" x14ac:dyDescent="0.25">
      <c r="A945" t="s">
        <v>975</v>
      </c>
      <c r="B945" s="3">
        <f t="shared" si="91"/>
        <v>101</v>
      </c>
      <c r="C945" s="3" t="str">
        <f t="shared" si="86"/>
        <v/>
      </c>
      <c r="D945" s="3">
        <f t="shared" si="87"/>
        <v>154</v>
      </c>
      <c r="E945" s="5" t="str">
        <f>IF(C945="",IF(D945="","",IF(D945&lt;128,"Wahl "&amp;D945,INDEX(KdoCodeTab,MATCH(D945,KdoWertTab,0)))),"Status "&amp;C945)</f>
        <v>MarkWdh</v>
      </c>
      <c r="F945" t="str">
        <f t="shared" si="88"/>
        <v/>
      </c>
      <c r="G945" t="str">
        <f t="shared" si="89"/>
        <v/>
      </c>
      <c r="H945" t="str">
        <f t="shared" si="90"/>
        <v>MarkWdh</v>
      </c>
    </row>
    <row r="946" spans="1:8" x14ac:dyDescent="0.25">
      <c r="A946" t="s">
        <v>976</v>
      </c>
      <c r="B946" s="3">
        <f t="shared" si="91"/>
        <v>101</v>
      </c>
      <c r="C946" s="3" t="str">
        <f t="shared" si="86"/>
        <v/>
      </c>
      <c r="D946" s="3">
        <f t="shared" si="87"/>
        <v>147</v>
      </c>
      <c r="E946" s="5" t="str">
        <f>IF(C946="",IF(D946="","",IF(D946&lt;128,"Wahl "&amp;D946,INDEX(KdoCodeTab,MATCH(D946,KdoWertTab,0)))),"Status "&amp;C946)</f>
        <v>Space</v>
      </c>
      <c r="F946" t="str">
        <f t="shared" si="88"/>
        <v/>
      </c>
      <c r="G946" t="str">
        <f t="shared" si="89"/>
        <v/>
      </c>
      <c r="H946" t="str">
        <f t="shared" si="90"/>
        <v>Space</v>
      </c>
    </row>
    <row r="947" spans="1:8" x14ac:dyDescent="0.25">
      <c r="A947" t="s">
        <v>977</v>
      </c>
      <c r="B947" s="3">
        <f t="shared" si="91"/>
        <v>101</v>
      </c>
      <c r="C947" s="3" t="str">
        <f t="shared" si="86"/>
        <v/>
      </c>
      <c r="D947" s="3">
        <f t="shared" si="87"/>
        <v>150</v>
      </c>
      <c r="E947" s="5" t="str">
        <f>IF(C947="",IF(D947="","",IF(D947&lt;128,"Wahl "&amp;D947,INDEX(KdoCodeTab,MATCH(D947,KdoWertTab,0)))),"Status "&amp;C947)</f>
        <v>SpaceWdh</v>
      </c>
      <c r="F947" t="str">
        <f t="shared" si="88"/>
        <v/>
      </c>
      <c r="G947" t="str">
        <f t="shared" si="89"/>
        <v/>
      </c>
      <c r="H947" t="str">
        <f t="shared" si="90"/>
        <v>SpaceWdh</v>
      </c>
    </row>
    <row r="948" spans="1:8" x14ac:dyDescent="0.25">
      <c r="A948" t="s">
        <v>978</v>
      </c>
      <c r="B948" s="3">
        <f t="shared" si="91"/>
        <v>101</v>
      </c>
      <c r="C948" s="3" t="str">
        <f t="shared" si="86"/>
        <v/>
      </c>
      <c r="D948" s="3">
        <f t="shared" si="87"/>
        <v>156</v>
      </c>
      <c r="E948" s="5" t="str">
        <f>IF(C948="",IF(D948="","",IF(D948&lt;128,"Wahl "&amp;D948,INDEX(KdoCodeTab,MATCH(D948,KdoWertTab,0)))),"Status "&amp;C948)</f>
        <v>Mark</v>
      </c>
      <c r="F948" t="str">
        <f t="shared" si="88"/>
        <v/>
      </c>
      <c r="G948" t="str">
        <f t="shared" si="89"/>
        <v/>
      </c>
      <c r="H948" t="str">
        <f t="shared" si="90"/>
        <v>Mark</v>
      </c>
    </row>
    <row r="949" spans="1:8" x14ac:dyDescent="0.25">
      <c r="A949" t="s">
        <v>979</v>
      </c>
      <c r="B949" s="3">
        <f t="shared" si="91"/>
        <v>101</v>
      </c>
      <c r="C949" s="3" t="str">
        <f t="shared" si="86"/>
        <v/>
      </c>
      <c r="D949" s="3">
        <f t="shared" si="87"/>
        <v>154</v>
      </c>
      <c r="E949" s="5" t="str">
        <f>IF(C949="",IF(D949="","",IF(D949&lt;128,"Wahl "&amp;D949,INDEX(KdoCodeTab,MATCH(D949,KdoWertTab,0)))),"Status "&amp;C949)</f>
        <v>MarkWdh</v>
      </c>
      <c r="F949" t="str">
        <f t="shared" si="88"/>
        <v/>
      </c>
      <c r="G949" t="str">
        <f t="shared" si="89"/>
        <v/>
      </c>
      <c r="H949" t="str">
        <f t="shared" si="90"/>
        <v>MarkWdh</v>
      </c>
    </row>
    <row r="950" spans="1:8" x14ac:dyDescent="0.25">
      <c r="A950" t="s">
        <v>980</v>
      </c>
      <c r="B950" s="3">
        <f t="shared" si="91"/>
        <v>101</v>
      </c>
      <c r="C950" s="3" t="str">
        <f t="shared" si="86"/>
        <v/>
      </c>
      <c r="D950" s="3">
        <f t="shared" si="87"/>
        <v>147</v>
      </c>
      <c r="E950" s="5" t="str">
        <f>IF(C950="",IF(D950="","",IF(D950&lt;128,"Wahl "&amp;D950,INDEX(KdoCodeTab,MATCH(D950,KdoWertTab,0)))),"Status "&amp;C950)</f>
        <v>Space</v>
      </c>
      <c r="F950" t="str">
        <f t="shared" si="88"/>
        <v/>
      </c>
      <c r="G950" t="str">
        <f t="shared" si="89"/>
        <v/>
      </c>
      <c r="H950" t="str">
        <f t="shared" si="90"/>
        <v>Space</v>
      </c>
    </row>
    <row r="951" spans="1:8" x14ac:dyDescent="0.25">
      <c r="A951" t="s">
        <v>981</v>
      </c>
      <c r="B951" s="3">
        <f t="shared" si="91"/>
        <v>101</v>
      </c>
      <c r="C951" s="3" t="str">
        <f t="shared" si="86"/>
        <v/>
      </c>
      <c r="D951" s="3">
        <f t="shared" si="87"/>
        <v>150</v>
      </c>
      <c r="E951" s="5" t="str">
        <f>IF(C951="",IF(D951="","",IF(D951&lt;128,"Wahl "&amp;D951,INDEX(KdoCodeTab,MATCH(D951,KdoWertTab,0)))),"Status "&amp;C951)</f>
        <v>SpaceWdh</v>
      </c>
      <c r="F951" t="str">
        <f t="shared" si="88"/>
        <v/>
      </c>
      <c r="G951" t="str">
        <f t="shared" si="89"/>
        <v/>
      </c>
      <c r="H951" t="str">
        <f t="shared" si="90"/>
        <v>SpaceWdh</v>
      </c>
    </row>
    <row r="952" spans="1:8" x14ac:dyDescent="0.25">
      <c r="A952" t="s">
        <v>982</v>
      </c>
      <c r="B952" s="3">
        <f t="shared" si="91"/>
        <v>101</v>
      </c>
      <c r="C952" s="3" t="str">
        <f t="shared" si="86"/>
        <v/>
      </c>
      <c r="D952" s="3">
        <f t="shared" si="87"/>
        <v>156</v>
      </c>
      <c r="E952" s="5" t="str">
        <f>IF(C952="",IF(D952="","",IF(D952&lt;128,"Wahl "&amp;D952,INDEX(KdoCodeTab,MATCH(D952,KdoWertTab,0)))),"Status "&amp;C952)</f>
        <v>Mark</v>
      </c>
      <c r="F952" t="str">
        <f t="shared" si="88"/>
        <v/>
      </c>
      <c r="G952" t="str">
        <f t="shared" si="89"/>
        <v/>
      </c>
      <c r="H952" t="str">
        <f t="shared" si="90"/>
        <v>Mark</v>
      </c>
    </row>
    <row r="953" spans="1:8" x14ac:dyDescent="0.25">
      <c r="A953" t="s">
        <v>983</v>
      </c>
      <c r="B953" s="3">
        <f t="shared" si="91"/>
        <v>101</v>
      </c>
      <c r="C953" s="3" t="str">
        <f t="shared" si="86"/>
        <v/>
      </c>
      <c r="D953" s="3">
        <f t="shared" si="87"/>
        <v>154</v>
      </c>
      <c r="E953" s="5" t="str">
        <f>IF(C953="",IF(D953="","",IF(D953&lt;128,"Wahl "&amp;D953,INDEX(KdoCodeTab,MATCH(D953,KdoWertTab,0)))),"Status "&amp;C953)</f>
        <v>MarkWdh</v>
      </c>
      <c r="F953" t="str">
        <f t="shared" si="88"/>
        <v/>
      </c>
      <c r="G953" t="str">
        <f t="shared" si="89"/>
        <v/>
      </c>
      <c r="H953" t="str">
        <f t="shared" si="90"/>
        <v>MarkWdh</v>
      </c>
    </row>
    <row r="954" spans="1:8" x14ac:dyDescent="0.25">
      <c r="A954" t="s">
        <v>984</v>
      </c>
      <c r="B954" s="3">
        <f t="shared" si="91"/>
        <v>101</v>
      </c>
      <c r="C954" s="3" t="str">
        <f t="shared" si="86"/>
        <v/>
      </c>
      <c r="D954" s="3">
        <f t="shared" si="87"/>
        <v>147</v>
      </c>
      <c r="E954" s="5" t="str">
        <f>IF(C954="",IF(D954="","",IF(D954&lt;128,"Wahl "&amp;D954,INDEX(KdoCodeTab,MATCH(D954,KdoWertTab,0)))),"Status "&amp;C954)</f>
        <v>Space</v>
      </c>
      <c r="F954" t="str">
        <f t="shared" si="88"/>
        <v/>
      </c>
      <c r="G954" t="str">
        <f t="shared" si="89"/>
        <v/>
      </c>
      <c r="H954" t="str">
        <f t="shared" si="90"/>
        <v>Space</v>
      </c>
    </row>
    <row r="955" spans="1:8" x14ac:dyDescent="0.25">
      <c r="A955" t="s">
        <v>985</v>
      </c>
      <c r="B955" s="3">
        <f t="shared" si="91"/>
        <v>101</v>
      </c>
      <c r="C955" s="3" t="str">
        <f t="shared" ref="C955:C1018" si="92">IF(MID(A955,10,1)="&lt;",MID(A955,12,2),"")</f>
        <v/>
      </c>
      <c r="D955" s="3">
        <f t="shared" ref="D955:D1018" si="93">IF(MID(A955,10,1)="&gt;",HEX2DEC(MID(A955,12,2)),"")</f>
        <v>150</v>
      </c>
      <c r="E955" s="5" t="str">
        <f>IF(C955="",IF(D955="","",IF(D955&lt;128,"Wahl "&amp;D955,INDEX(KdoCodeTab,MATCH(D955,KdoWertTab,0)))),"Status "&amp;C955)</f>
        <v>SpaceWdh</v>
      </c>
      <c r="F955" t="str">
        <f t="shared" ref="F955:F1018" si="94">IF(B955=$F$2,E955,"")</f>
        <v/>
      </c>
      <c r="G955" t="str">
        <f t="shared" ref="G955:G1018" si="95">IF(B955=$G$2,E955,"")</f>
        <v/>
      </c>
      <c r="H955" t="str">
        <f t="shared" ref="H955:H1018" si="96">IF(F955&amp;G955="",E955,"")</f>
        <v>SpaceWdh</v>
      </c>
    </row>
    <row r="956" spans="1:8" x14ac:dyDescent="0.25">
      <c r="A956" t="s">
        <v>986</v>
      </c>
      <c r="B956" s="3">
        <f t="shared" si="91"/>
        <v>101</v>
      </c>
      <c r="C956" s="3" t="str">
        <f t="shared" si="92"/>
        <v/>
      </c>
      <c r="D956" s="3">
        <f t="shared" si="93"/>
        <v>156</v>
      </c>
      <c r="E956" s="5" t="str">
        <f>IF(C956="",IF(D956="","",IF(D956&lt;128,"Wahl "&amp;D956,INDEX(KdoCodeTab,MATCH(D956,KdoWertTab,0)))),"Status "&amp;C956)</f>
        <v>Mark</v>
      </c>
      <c r="F956" t="str">
        <f t="shared" si="94"/>
        <v/>
      </c>
      <c r="G956" t="str">
        <f t="shared" si="95"/>
        <v/>
      </c>
      <c r="H956" t="str">
        <f t="shared" si="96"/>
        <v>Mark</v>
      </c>
    </row>
    <row r="957" spans="1:8" x14ac:dyDescent="0.25">
      <c r="A957" t="s">
        <v>987</v>
      </c>
      <c r="B957" s="3">
        <f t="shared" si="91"/>
        <v>101</v>
      </c>
      <c r="C957" s="3" t="str">
        <f t="shared" si="92"/>
        <v/>
      </c>
      <c r="D957" s="3">
        <f t="shared" si="93"/>
        <v>154</v>
      </c>
      <c r="E957" s="5" t="str">
        <f>IF(C957="",IF(D957="","",IF(D957&lt;128,"Wahl "&amp;D957,INDEX(KdoCodeTab,MATCH(D957,KdoWertTab,0)))),"Status "&amp;C957)</f>
        <v>MarkWdh</v>
      </c>
      <c r="F957" t="str">
        <f t="shared" si="94"/>
        <v/>
      </c>
      <c r="G957" t="str">
        <f t="shared" si="95"/>
        <v/>
      </c>
      <c r="H957" t="str">
        <f t="shared" si="96"/>
        <v>MarkWdh</v>
      </c>
    </row>
    <row r="958" spans="1:8" x14ac:dyDescent="0.25">
      <c r="A958" t="s">
        <v>988</v>
      </c>
      <c r="B958" s="3">
        <f t="shared" si="91"/>
        <v>101</v>
      </c>
      <c r="C958" s="3" t="str">
        <f t="shared" si="92"/>
        <v/>
      </c>
      <c r="D958" s="3">
        <f t="shared" si="93"/>
        <v>147</v>
      </c>
      <c r="E958" s="5" t="str">
        <f>IF(C958="",IF(D958="","",IF(D958&lt;128,"Wahl "&amp;D958,INDEX(KdoCodeTab,MATCH(D958,KdoWertTab,0)))),"Status "&amp;C958)</f>
        <v>Space</v>
      </c>
      <c r="F958" t="str">
        <f t="shared" si="94"/>
        <v/>
      </c>
      <c r="G958" t="str">
        <f t="shared" si="95"/>
        <v/>
      </c>
      <c r="H958" t="str">
        <f t="shared" si="96"/>
        <v>Space</v>
      </c>
    </row>
    <row r="959" spans="1:8" x14ac:dyDescent="0.25">
      <c r="A959" t="s">
        <v>989</v>
      </c>
      <c r="B959" s="3">
        <f t="shared" si="91"/>
        <v>101</v>
      </c>
      <c r="C959" s="3" t="str">
        <f t="shared" si="92"/>
        <v/>
      </c>
      <c r="D959" s="3">
        <f t="shared" si="93"/>
        <v>150</v>
      </c>
      <c r="E959" s="5" t="str">
        <f>IF(C959="",IF(D959="","",IF(D959&lt;128,"Wahl "&amp;D959,INDEX(KdoCodeTab,MATCH(D959,KdoWertTab,0)))),"Status "&amp;C959)</f>
        <v>SpaceWdh</v>
      </c>
      <c r="F959" t="str">
        <f t="shared" si="94"/>
        <v/>
      </c>
      <c r="G959" t="str">
        <f t="shared" si="95"/>
        <v/>
      </c>
      <c r="H959" t="str">
        <f t="shared" si="96"/>
        <v>SpaceWdh</v>
      </c>
    </row>
    <row r="960" spans="1:8" x14ac:dyDescent="0.25">
      <c r="A960" t="s">
        <v>990</v>
      </c>
      <c r="B960" s="3">
        <f t="shared" si="91"/>
        <v>101</v>
      </c>
      <c r="C960" s="3" t="str">
        <f t="shared" si="92"/>
        <v/>
      </c>
      <c r="D960" s="3">
        <f t="shared" si="93"/>
        <v>156</v>
      </c>
      <c r="E960" s="5" t="str">
        <f>IF(C960="",IF(D960="","",IF(D960&lt;128,"Wahl "&amp;D960,INDEX(KdoCodeTab,MATCH(D960,KdoWertTab,0)))),"Status "&amp;C960)</f>
        <v>Mark</v>
      </c>
      <c r="F960" t="str">
        <f t="shared" si="94"/>
        <v/>
      </c>
      <c r="G960" t="str">
        <f t="shared" si="95"/>
        <v/>
      </c>
      <c r="H960" t="str">
        <f t="shared" si="96"/>
        <v>Mark</v>
      </c>
    </row>
    <row r="961" spans="1:8" x14ac:dyDescent="0.25">
      <c r="A961" t="s">
        <v>991</v>
      </c>
      <c r="B961" s="3">
        <f t="shared" si="91"/>
        <v>101</v>
      </c>
      <c r="C961" s="3" t="str">
        <f t="shared" si="92"/>
        <v/>
      </c>
      <c r="D961" s="3">
        <f t="shared" si="93"/>
        <v>154</v>
      </c>
      <c r="E961" s="5" t="str">
        <f>IF(C961="",IF(D961="","",IF(D961&lt;128,"Wahl "&amp;D961,INDEX(KdoCodeTab,MATCH(D961,KdoWertTab,0)))),"Status "&amp;C961)</f>
        <v>MarkWdh</v>
      </c>
      <c r="F961" t="str">
        <f t="shared" si="94"/>
        <v/>
      </c>
      <c r="G961" t="str">
        <f t="shared" si="95"/>
        <v/>
      </c>
      <c r="H961" t="str">
        <f t="shared" si="96"/>
        <v>MarkWdh</v>
      </c>
    </row>
    <row r="962" spans="1:8" x14ac:dyDescent="0.25">
      <c r="A962" t="s">
        <v>992</v>
      </c>
      <c r="B962" s="3">
        <f t="shared" si="91"/>
        <v>101</v>
      </c>
      <c r="C962" s="3" t="str">
        <f t="shared" si="92"/>
        <v/>
      </c>
      <c r="D962" s="3">
        <f t="shared" si="93"/>
        <v>169</v>
      </c>
      <c r="E962" s="5" t="str">
        <f>IF(C962="",IF(D962="","",IF(D962&lt;128,"Wahl "&amp;D962,INDEX(KdoCodeTab,MATCH(D962,KdoWertTab,0)))),"Status "&amp;C962)</f>
        <v>BusLebenszeichen</v>
      </c>
      <c r="F962" t="str">
        <f t="shared" si="94"/>
        <v/>
      </c>
      <c r="G962" t="str">
        <f t="shared" si="95"/>
        <v/>
      </c>
      <c r="H962" t="str">
        <f t="shared" si="96"/>
        <v>BusLebenszeichen</v>
      </c>
    </row>
    <row r="963" spans="1:8" x14ac:dyDescent="0.25">
      <c r="A963" t="s">
        <v>993</v>
      </c>
      <c r="B963" s="3">
        <f t="shared" si="91"/>
        <v>101</v>
      </c>
      <c r="C963" s="3" t="str">
        <f t="shared" si="92"/>
        <v/>
      </c>
      <c r="D963" s="3">
        <f t="shared" si="93"/>
        <v>147</v>
      </c>
      <c r="E963" s="5" t="str">
        <f>IF(C963="",IF(D963="","",IF(D963&lt;128,"Wahl "&amp;D963,INDEX(KdoCodeTab,MATCH(D963,KdoWertTab,0)))),"Status "&amp;C963)</f>
        <v>Space</v>
      </c>
      <c r="F963" t="str">
        <f t="shared" si="94"/>
        <v/>
      </c>
      <c r="G963" t="str">
        <f t="shared" si="95"/>
        <v/>
      </c>
      <c r="H963" t="str">
        <f t="shared" si="96"/>
        <v>Space</v>
      </c>
    </row>
    <row r="964" spans="1:8" x14ac:dyDescent="0.25">
      <c r="A964" t="s">
        <v>994</v>
      </c>
      <c r="B964" s="3">
        <f t="shared" si="91"/>
        <v>101</v>
      </c>
      <c r="C964" s="3" t="str">
        <f t="shared" si="92"/>
        <v/>
      </c>
      <c r="D964" s="3">
        <f t="shared" si="93"/>
        <v>150</v>
      </c>
      <c r="E964" s="5" t="str">
        <f>IF(C964="",IF(D964="","",IF(D964&lt;128,"Wahl "&amp;D964,INDEX(KdoCodeTab,MATCH(D964,KdoWertTab,0)))),"Status "&amp;C964)</f>
        <v>SpaceWdh</v>
      </c>
      <c r="F964" t="str">
        <f t="shared" si="94"/>
        <v/>
      </c>
      <c r="G964" t="str">
        <f t="shared" si="95"/>
        <v/>
      </c>
      <c r="H964" t="str">
        <f t="shared" si="96"/>
        <v>SpaceWdh</v>
      </c>
    </row>
    <row r="965" spans="1:8" x14ac:dyDescent="0.25">
      <c r="A965" t="s">
        <v>995</v>
      </c>
      <c r="B965" s="3">
        <f t="shared" ref="B965:B1028" si="97">INT(HEX2DEC(MID(A965,8,2))/2)</f>
        <v>31</v>
      </c>
      <c r="C965" s="3" t="str">
        <f t="shared" si="92"/>
        <v/>
      </c>
      <c r="D965" s="3">
        <f t="shared" si="93"/>
        <v>154</v>
      </c>
      <c r="E965" s="5" t="str">
        <f>IF(C965="",IF(D965="","",IF(D965&lt;128,"Wahl "&amp;D965,INDEX(KdoCodeTab,MATCH(D965,KdoWertTab,0)))),"Status "&amp;C965)</f>
        <v>MarkWdh</v>
      </c>
      <c r="F965" t="str">
        <f t="shared" si="94"/>
        <v>MarkWdh</v>
      </c>
      <c r="G965" t="str">
        <f t="shared" si="95"/>
        <v/>
      </c>
      <c r="H965" t="str">
        <f t="shared" si="96"/>
        <v/>
      </c>
    </row>
    <row r="966" spans="1:8" x14ac:dyDescent="0.25">
      <c r="A966" t="s">
        <v>996</v>
      </c>
      <c r="B966" s="3">
        <f t="shared" si="97"/>
        <v>101</v>
      </c>
      <c r="C966" s="3" t="str">
        <f t="shared" si="92"/>
        <v/>
      </c>
      <c r="D966" s="3">
        <f t="shared" si="93"/>
        <v>156</v>
      </c>
      <c r="E966" s="5" t="str">
        <f>IF(C966="",IF(D966="","",IF(D966&lt;128,"Wahl "&amp;D966,INDEX(KdoCodeTab,MATCH(D966,KdoWertTab,0)))),"Status "&amp;C966)</f>
        <v>Mark</v>
      </c>
      <c r="F966" t="str">
        <f t="shared" si="94"/>
        <v/>
      </c>
      <c r="G966" t="str">
        <f t="shared" si="95"/>
        <v/>
      </c>
      <c r="H966" t="str">
        <f t="shared" si="96"/>
        <v>Mark</v>
      </c>
    </row>
    <row r="967" spans="1:8" x14ac:dyDescent="0.25">
      <c r="A967" t="s">
        <v>997</v>
      </c>
      <c r="B967" s="3">
        <f t="shared" si="97"/>
        <v>101</v>
      </c>
      <c r="C967" s="3" t="str">
        <f t="shared" si="92"/>
        <v/>
      </c>
      <c r="D967" s="3">
        <f t="shared" si="93"/>
        <v>154</v>
      </c>
      <c r="E967" s="5" t="str">
        <f>IF(C967="",IF(D967="","",IF(D967&lt;128,"Wahl "&amp;D967,INDEX(KdoCodeTab,MATCH(D967,KdoWertTab,0)))),"Status "&amp;C967)</f>
        <v>MarkWdh</v>
      </c>
      <c r="F967" t="str">
        <f t="shared" si="94"/>
        <v/>
      </c>
      <c r="G967" t="str">
        <f t="shared" si="95"/>
        <v/>
      </c>
      <c r="H967" t="str">
        <f t="shared" si="96"/>
        <v>MarkWdh</v>
      </c>
    </row>
    <row r="968" spans="1:8" x14ac:dyDescent="0.25">
      <c r="A968" t="s">
        <v>998</v>
      </c>
      <c r="B968" s="3">
        <f t="shared" si="97"/>
        <v>101</v>
      </c>
      <c r="C968" s="3" t="str">
        <f t="shared" si="92"/>
        <v/>
      </c>
      <c r="D968" s="3">
        <f t="shared" si="93"/>
        <v>147</v>
      </c>
      <c r="E968" s="5" t="str">
        <f>IF(C968="",IF(D968="","",IF(D968&lt;128,"Wahl "&amp;D968,INDEX(KdoCodeTab,MATCH(D968,KdoWertTab,0)))),"Status "&amp;C968)</f>
        <v>Space</v>
      </c>
      <c r="F968" t="str">
        <f t="shared" si="94"/>
        <v/>
      </c>
      <c r="G968" t="str">
        <f t="shared" si="95"/>
        <v/>
      </c>
      <c r="H968" t="str">
        <f t="shared" si="96"/>
        <v>Space</v>
      </c>
    </row>
    <row r="969" spans="1:8" x14ac:dyDescent="0.25">
      <c r="A969" t="s">
        <v>999</v>
      </c>
      <c r="B969" s="3">
        <f t="shared" si="97"/>
        <v>101</v>
      </c>
      <c r="C969" s="3" t="str">
        <f t="shared" si="92"/>
        <v/>
      </c>
      <c r="D969" s="3">
        <f t="shared" si="93"/>
        <v>150</v>
      </c>
      <c r="E969" s="5" t="str">
        <f>IF(C969="",IF(D969="","",IF(D969&lt;128,"Wahl "&amp;D969,INDEX(KdoCodeTab,MATCH(D969,KdoWertTab,0)))),"Status "&amp;C969)</f>
        <v>SpaceWdh</v>
      </c>
      <c r="F969" t="str">
        <f t="shared" si="94"/>
        <v/>
      </c>
      <c r="G969" t="str">
        <f t="shared" si="95"/>
        <v/>
      </c>
      <c r="H969" t="str">
        <f t="shared" si="96"/>
        <v>SpaceWdh</v>
      </c>
    </row>
    <row r="970" spans="1:8" x14ac:dyDescent="0.25">
      <c r="A970" t="s">
        <v>1000</v>
      </c>
      <c r="B970" s="3">
        <f t="shared" si="97"/>
        <v>101</v>
      </c>
      <c r="C970" s="3" t="str">
        <f t="shared" si="92"/>
        <v/>
      </c>
      <c r="D970" s="3">
        <f t="shared" si="93"/>
        <v>156</v>
      </c>
      <c r="E970" s="5" t="str">
        <f>IF(C970="",IF(D970="","",IF(D970&lt;128,"Wahl "&amp;D970,INDEX(KdoCodeTab,MATCH(D970,KdoWertTab,0)))),"Status "&amp;C970)</f>
        <v>Mark</v>
      </c>
      <c r="F970" t="str">
        <f t="shared" si="94"/>
        <v/>
      </c>
      <c r="G970" t="str">
        <f t="shared" si="95"/>
        <v/>
      </c>
      <c r="H970" t="str">
        <f t="shared" si="96"/>
        <v>Mark</v>
      </c>
    </row>
    <row r="971" spans="1:8" x14ac:dyDescent="0.25">
      <c r="A971" t="s">
        <v>1001</v>
      </c>
      <c r="B971" s="3">
        <f t="shared" si="97"/>
        <v>101</v>
      </c>
      <c r="C971" s="3" t="str">
        <f t="shared" si="92"/>
        <v/>
      </c>
      <c r="D971" s="3">
        <f t="shared" si="93"/>
        <v>154</v>
      </c>
      <c r="E971" s="5" t="str">
        <f>IF(C971="",IF(D971="","",IF(D971&lt;128,"Wahl "&amp;D971,INDEX(KdoCodeTab,MATCH(D971,KdoWertTab,0)))),"Status "&amp;C971)</f>
        <v>MarkWdh</v>
      </c>
      <c r="F971" t="str">
        <f t="shared" si="94"/>
        <v/>
      </c>
      <c r="G971" t="str">
        <f t="shared" si="95"/>
        <v/>
      </c>
      <c r="H971" t="str">
        <f t="shared" si="96"/>
        <v>MarkWdh</v>
      </c>
    </row>
    <row r="972" spans="1:8" x14ac:dyDescent="0.25">
      <c r="A972" t="s">
        <v>1002</v>
      </c>
      <c r="B972" s="3">
        <f t="shared" si="97"/>
        <v>101</v>
      </c>
      <c r="C972" s="3" t="str">
        <f t="shared" si="92"/>
        <v/>
      </c>
      <c r="D972" s="3">
        <f t="shared" si="93"/>
        <v>147</v>
      </c>
      <c r="E972" s="5" t="str">
        <f>IF(C972="",IF(D972="","",IF(D972&lt;128,"Wahl "&amp;D972,INDEX(KdoCodeTab,MATCH(D972,KdoWertTab,0)))),"Status "&amp;C972)</f>
        <v>Space</v>
      </c>
      <c r="F972" t="str">
        <f t="shared" si="94"/>
        <v/>
      </c>
      <c r="G972" t="str">
        <f t="shared" si="95"/>
        <v/>
      </c>
      <c r="H972" t="str">
        <f t="shared" si="96"/>
        <v>Space</v>
      </c>
    </row>
    <row r="973" spans="1:8" x14ac:dyDescent="0.25">
      <c r="A973" t="s">
        <v>1003</v>
      </c>
      <c r="B973" s="3">
        <f t="shared" si="97"/>
        <v>101</v>
      </c>
      <c r="C973" s="3" t="str">
        <f t="shared" si="92"/>
        <v/>
      </c>
      <c r="D973" s="3">
        <f t="shared" si="93"/>
        <v>150</v>
      </c>
      <c r="E973" s="5" t="str">
        <f>IF(C973="",IF(D973="","",IF(D973&lt;128,"Wahl "&amp;D973,INDEX(KdoCodeTab,MATCH(D973,KdoWertTab,0)))),"Status "&amp;C973)</f>
        <v>SpaceWdh</v>
      </c>
      <c r="F973" t="str">
        <f t="shared" si="94"/>
        <v/>
      </c>
      <c r="G973" t="str">
        <f t="shared" si="95"/>
        <v/>
      </c>
      <c r="H973" t="str">
        <f t="shared" si="96"/>
        <v>SpaceWdh</v>
      </c>
    </row>
    <row r="974" spans="1:8" x14ac:dyDescent="0.25">
      <c r="A974" t="s">
        <v>1004</v>
      </c>
      <c r="B974" s="3">
        <f t="shared" si="97"/>
        <v>101</v>
      </c>
      <c r="C974" s="3" t="str">
        <f t="shared" si="92"/>
        <v/>
      </c>
      <c r="D974" s="3">
        <f t="shared" si="93"/>
        <v>156</v>
      </c>
      <c r="E974" s="5" t="str">
        <f>IF(C974="",IF(D974="","",IF(D974&lt;128,"Wahl "&amp;D974,INDEX(KdoCodeTab,MATCH(D974,KdoWertTab,0)))),"Status "&amp;C974)</f>
        <v>Mark</v>
      </c>
      <c r="F974" t="str">
        <f t="shared" si="94"/>
        <v/>
      </c>
      <c r="G974" t="str">
        <f t="shared" si="95"/>
        <v/>
      </c>
      <c r="H974" t="str">
        <f t="shared" si="96"/>
        <v>Mark</v>
      </c>
    </row>
    <row r="975" spans="1:8" x14ac:dyDescent="0.25">
      <c r="A975" t="s">
        <v>1005</v>
      </c>
      <c r="B975" s="3">
        <f t="shared" si="97"/>
        <v>101</v>
      </c>
      <c r="C975" s="3" t="str">
        <f t="shared" si="92"/>
        <v/>
      </c>
      <c r="D975" s="3">
        <f t="shared" si="93"/>
        <v>154</v>
      </c>
      <c r="E975" s="5" t="str">
        <f>IF(C975="",IF(D975="","",IF(D975&lt;128,"Wahl "&amp;D975,INDEX(KdoCodeTab,MATCH(D975,KdoWertTab,0)))),"Status "&amp;C975)</f>
        <v>MarkWdh</v>
      </c>
      <c r="F975" t="str">
        <f t="shared" si="94"/>
        <v/>
      </c>
      <c r="G975" t="str">
        <f t="shared" si="95"/>
        <v/>
      </c>
      <c r="H975" t="str">
        <f t="shared" si="96"/>
        <v>MarkWdh</v>
      </c>
    </row>
    <row r="976" spans="1:8" x14ac:dyDescent="0.25">
      <c r="A976" t="s">
        <v>1006</v>
      </c>
      <c r="B976" s="3">
        <f t="shared" si="97"/>
        <v>101</v>
      </c>
      <c r="C976" s="3" t="str">
        <f t="shared" si="92"/>
        <v/>
      </c>
      <c r="D976" s="3">
        <f t="shared" si="93"/>
        <v>147</v>
      </c>
      <c r="E976" s="5" t="str">
        <f>IF(C976="",IF(D976="","",IF(D976&lt;128,"Wahl "&amp;D976,INDEX(KdoCodeTab,MATCH(D976,KdoWertTab,0)))),"Status "&amp;C976)</f>
        <v>Space</v>
      </c>
      <c r="F976" t="str">
        <f t="shared" si="94"/>
        <v/>
      </c>
      <c r="G976" t="str">
        <f t="shared" si="95"/>
        <v/>
      </c>
      <c r="H976" t="str">
        <f t="shared" si="96"/>
        <v>Space</v>
      </c>
    </row>
    <row r="977" spans="1:8" x14ac:dyDescent="0.25">
      <c r="A977" t="s">
        <v>1007</v>
      </c>
      <c r="B977" s="3">
        <f t="shared" si="97"/>
        <v>101</v>
      </c>
      <c r="C977" s="3" t="str">
        <f t="shared" si="92"/>
        <v/>
      </c>
      <c r="D977" s="3">
        <f t="shared" si="93"/>
        <v>150</v>
      </c>
      <c r="E977" s="5" t="str">
        <f>IF(C977="",IF(D977="","",IF(D977&lt;128,"Wahl "&amp;D977,INDEX(KdoCodeTab,MATCH(D977,KdoWertTab,0)))),"Status "&amp;C977)</f>
        <v>SpaceWdh</v>
      </c>
      <c r="F977" t="str">
        <f t="shared" si="94"/>
        <v/>
      </c>
      <c r="G977" t="str">
        <f t="shared" si="95"/>
        <v/>
      </c>
      <c r="H977" t="str">
        <f t="shared" si="96"/>
        <v>SpaceWdh</v>
      </c>
    </row>
    <row r="978" spans="1:8" x14ac:dyDescent="0.25">
      <c r="A978" t="s">
        <v>1008</v>
      </c>
      <c r="B978" s="3">
        <f t="shared" si="97"/>
        <v>101</v>
      </c>
      <c r="C978" s="3" t="str">
        <f t="shared" si="92"/>
        <v/>
      </c>
      <c r="D978" s="3">
        <f t="shared" si="93"/>
        <v>156</v>
      </c>
      <c r="E978" s="5" t="str">
        <f>IF(C978="",IF(D978="","",IF(D978&lt;128,"Wahl "&amp;D978,INDEX(KdoCodeTab,MATCH(D978,KdoWertTab,0)))),"Status "&amp;C978)</f>
        <v>Mark</v>
      </c>
      <c r="F978" t="str">
        <f t="shared" si="94"/>
        <v/>
      </c>
      <c r="G978" t="str">
        <f t="shared" si="95"/>
        <v/>
      </c>
      <c r="H978" t="str">
        <f t="shared" si="96"/>
        <v>Mark</v>
      </c>
    </row>
    <row r="979" spans="1:8" x14ac:dyDescent="0.25">
      <c r="A979" t="s">
        <v>1009</v>
      </c>
      <c r="B979" s="3">
        <f t="shared" si="97"/>
        <v>101</v>
      </c>
      <c r="C979" s="3" t="str">
        <f t="shared" si="92"/>
        <v/>
      </c>
      <c r="D979" s="3">
        <f t="shared" si="93"/>
        <v>154</v>
      </c>
      <c r="E979" s="5" t="str">
        <f>IF(C979="",IF(D979="","",IF(D979&lt;128,"Wahl "&amp;D979,INDEX(KdoCodeTab,MATCH(D979,KdoWertTab,0)))),"Status "&amp;C979)</f>
        <v>MarkWdh</v>
      </c>
      <c r="F979" t="str">
        <f t="shared" si="94"/>
        <v/>
      </c>
      <c r="G979" t="str">
        <f t="shared" si="95"/>
        <v/>
      </c>
      <c r="H979" t="str">
        <f t="shared" si="96"/>
        <v>MarkWdh</v>
      </c>
    </row>
    <row r="980" spans="1:8" x14ac:dyDescent="0.25">
      <c r="A980" t="s">
        <v>1010</v>
      </c>
      <c r="B980" s="3">
        <f t="shared" si="97"/>
        <v>101</v>
      </c>
      <c r="C980" s="3" t="str">
        <f t="shared" si="92"/>
        <v/>
      </c>
      <c r="D980" s="3">
        <f t="shared" si="93"/>
        <v>147</v>
      </c>
      <c r="E980" s="5" t="str">
        <f>IF(C980="",IF(D980="","",IF(D980&lt;128,"Wahl "&amp;D980,INDEX(KdoCodeTab,MATCH(D980,KdoWertTab,0)))),"Status "&amp;C980)</f>
        <v>Space</v>
      </c>
      <c r="F980" t="str">
        <f t="shared" si="94"/>
        <v/>
      </c>
      <c r="G980" t="str">
        <f t="shared" si="95"/>
        <v/>
      </c>
      <c r="H980" t="str">
        <f t="shared" si="96"/>
        <v>Space</v>
      </c>
    </row>
    <row r="981" spans="1:8" x14ac:dyDescent="0.25">
      <c r="A981" t="s">
        <v>1011</v>
      </c>
      <c r="B981" s="3">
        <f t="shared" si="97"/>
        <v>101</v>
      </c>
      <c r="C981" s="3" t="str">
        <f t="shared" si="92"/>
        <v/>
      </c>
      <c r="D981" s="3">
        <f t="shared" si="93"/>
        <v>150</v>
      </c>
      <c r="E981" s="5" t="str">
        <f>IF(C981="",IF(D981="","",IF(D981&lt;128,"Wahl "&amp;D981,INDEX(KdoCodeTab,MATCH(D981,KdoWertTab,0)))),"Status "&amp;C981)</f>
        <v>SpaceWdh</v>
      </c>
      <c r="F981" t="str">
        <f t="shared" si="94"/>
        <v/>
      </c>
      <c r="G981" t="str">
        <f t="shared" si="95"/>
        <v/>
      </c>
      <c r="H981" t="str">
        <f t="shared" si="96"/>
        <v>SpaceWdh</v>
      </c>
    </row>
    <row r="982" spans="1:8" x14ac:dyDescent="0.25">
      <c r="A982" t="s">
        <v>1012</v>
      </c>
      <c r="B982" s="3">
        <f t="shared" si="97"/>
        <v>101</v>
      </c>
      <c r="C982" s="3" t="str">
        <f t="shared" si="92"/>
        <v/>
      </c>
      <c r="D982" s="3">
        <f t="shared" si="93"/>
        <v>156</v>
      </c>
      <c r="E982" s="5" t="str">
        <f>IF(C982="",IF(D982="","",IF(D982&lt;128,"Wahl "&amp;D982,INDEX(KdoCodeTab,MATCH(D982,KdoWertTab,0)))),"Status "&amp;C982)</f>
        <v>Mark</v>
      </c>
      <c r="F982" t="str">
        <f t="shared" si="94"/>
        <v/>
      </c>
      <c r="G982" t="str">
        <f t="shared" si="95"/>
        <v/>
      </c>
      <c r="H982" t="str">
        <f t="shared" si="96"/>
        <v>Mark</v>
      </c>
    </row>
    <row r="983" spans="1:8" x14ac:dyDescent="0.25">
      <c r="A983" t="s">
        <v>1013</v>
      </c>
      <c r="B983" s="3">
        <f t="shared" si="97"/>
        <v>101</v>
      </c>
      <c r="C983" s="3" t="str">
        <f t="shared" si="92"/>
        <v/>
      </c>
      <c r="D983" s="3">
        <f t="shared" si="93"/>
        <v>154</v>
      </c>
      <c r="E983" s="5" t="str">
        <f>IF(C983="",IF(D983="","",IF(D983&lt;128,"Wahl "&amp;D983,INDEX(KdoCodeTab,MATCH(D983,KdoWertTab,0)))),"Status "&amp;C983)</f>
        <v>MarkWdh</v>
      </c>
      <c r="F983" t="str">
        <f t="shared" si="94"/>
        <v/>
      </c>
      <c r="G983" t="str">
        <f t="shared" si="95"/>
        <v/>
      </c>
      <c r="H983" t="str">
        <f t="shared" si="96"/>
        <v>MarkWdh</v>
      </c>
    </row>
    <row r="984" spans="1:8" x14ac:dyDescent="0.25">
      <c r="A984" t="s">
        <v>1014</v>
      </c>
      <c r="B984" s="3">
        <f t="shared" si="97"/>
        <v>101</v>
      </c>
      <c r="C984" s="3" t="str">
        <f t="shared" si="92"/>
        <v/>
      </c>
      <c r="D984" s="3">
        <f t="shared" si="93"/>
        <v>147</v>
      </c>
      <c r="E984" s="5" t="str">
        <f>IF(C984="",IF(D984="","",IF(D984&lt;128,"Wahl "&amp;D984,INDEX(KdoCodeTab,MATCH(D984,KdoWertTab,0)))),"Status "&amp;C984)</f>
        <v>Space</v>
      </c>
      <c r="F984" t="str">
        <f t="shared" si="94"/>
        <v/>
      </c>
      <c r="G984" t="str">
        <f t="shared" si="95"/>
        <v/>
      </c>
      <c r="H984" t="str">
        <f t="shared" si="96"/>
        <v>Space</v>
      </c>
    </row>
    <row r="985" spans="1:8" x14ac:dyDescent="0.25">
      <c r="A985" t="s">
        <v>1015</v>
      </c>
      <c r="B985" s="3">
        <f t="shared" si="97"/>
        <v>101</v>
      </c>
      <c r="C985" s="3" t="str">
        <f t="shared" si="92"/>
        <v/>
      </c>
      <c r="D985" s="3">
        <f t="shared" si="93"/>
        <v>150</v>
      </c>
      <c r="E985" s="5" t="str">
        <f>IF(C985="",IF(D985="","",IF(D985&lt;128,"Wahl "&amp;D985,INDEX(KdoCodeTab,MATCH(D985,KdoWertTab,0)))),"Status "&amp;C985)</f>
        <v>SpaceWdh</v>
      </c>
      <c r="F985" t="str">
        <f t="shared" si="94"/>
        <v/>
      </c>
      <c r="G985" t="str">
        <f t="shared" si="95"/>
        <v/>
      </c>
      <c r="H985" t="str">
        <f t="shared" si="96"/>
        <v>SpaceWdh</v>
      </c>
    </row>
    <row r="986" spans="1:8" x14ac:dyDescent="0.25">
      <c r="A986" t="s">
        <v>1016</v>
      </c>
      <c r="B986" s="3">
        <f t="shared" si="97"/>
        <v>101</v>
      </c>
      <c r="C986" s="3" t="str">
        <f t="shared" si="92"/>
        <v/>
      </c>
      <c r="D986" s="3">
        <f t="shared" si="93"/>
        <v>156</v>
      </c>
      <c r="E986" s="5" t="str">
        <f>IF(C986="",IF(D986="","",IF(D986&lt;128,"Wahl "&amp;D986,INDEX(KdoCodeTab,MATCH(D986,KdoWertTab,0)))),"Status "&amp;C986)</f>
        <v>Mark</v>
      </c>
      <c r="F986" t="str">
        <f t="shared" si="94"/>
        <v/>
      </c>
      <c r="G986" t="str">
        <f t="shared" si="95"/>
        <v/>
      </c>
      <c r="H986" t="str">
        <f t="shared" si="96"/>
        <v>Mark</v>
      </c>
    </row>
    <row r="987" spans="1:8" x14ac:dyDescent="0.25">
      <c r="A987" t="s">
        <v>1017</v>
      </c>
      <c r="B987" s="3">
        <f t="shared" si="97"/>
        <v>101</v>
      </c>
      <c r="C987" s="3" t="str">
        <f t="shared" si="92"/>
        <v/>
      </c>
      <c r="D987" s="3">
        <f t="shared" si="93"/>
        <v>154</v>
      </c>
      <c r="E987" s="5" t="str">
        <f>IF(C987="",IF(D987="","",IF(D987&lt;128,"Wahl "&amp;D987,INDEX(KdoCodeTab,MATCH(D987,KdoWertTab,0)))),"Status "&amp;C987)</f>
        <v>MarkWdh</v>
      </c>
      <c r="F987" t="str">
        <f t="shared" si="94"/>
        <v/>
      </c>
      <c r="G987" t="str">
        <f t="shared" si="95"/>
        <v/>
      </c>
      <c r="H987" t="str">
        <f t="shared" si="96"/>
        <v>MarkWdh</v>
      </c>
    </row>
    <row r="988" spans="1:8" x14ac:dyDescent="0.25">
      <c r="A988" t="s">
        <v>1018</v>
      </c>
      <c r="B988" s="3">
        <f t="shared" si="97"/>
        <v>101</v>
      </c>
      <c r="C988" s="3" t="str">
        <f t="shared" si="92"/>
        <v/>
      </c>
      <c r="D988" s="3">
        <f t="shared" si="93"/>
        <v>147</v>
      </c>
      <c r="E988" s="5" t="str">
        <f>IF(C988="",IF(D988="","",IF(D988&lt;128,"Wahl "&amp;D988,INDEX(KdoCodeTab,MATCH(D988,KdoWertTab,0)))),"Status "&amp;C988)</f>
        <v>Space</v>
      </c>
      <c r="F988" t="str">
        <f t="shared" si="94"/>
        <v/>
      </c>
      <c r="G988" t="str">
        <f t="shared" si="95"/>
        <v/>
      </c>
      <c r="H988" t="str">
        <f t="shared" si="96"/>
        <v>Space</v>
      </c>
    </row>
    <row r="989" spans="1:8" x14ac:dyDescent="0.25">
      <c r="A989" t="s">
        <v>1019</v>
      </c>
      <c r="B989" s="3">
        <f t="shared" si="97"/>
        <v>101</v>
      </c>
      <c r="C989" s="3" t="str">
        <f t="shared" si="92"/>
        <v/>
      </c>
      <c r="D989" s="3">
        <f t="shared" si="93"/>
        <v>150</v>
      </c>
      <c r="E989" s="5" t="str">
        <f>IF(C989="",IF(D989="","",IF(D989&lt;128,"Wahl "&amp;D989,INDEX(KdoCodeTab,MATCH(D989,KdoWertTab,0)))),"Status "&amp;C989)</f>
        <v>SpaceWdh</v>
      </c>
      <c r="F989" t="str">
        <f t="shared" si="94"/>
        <v/>
      </c>
      <c r="G989" t="str">
        <f t="shared" si="95"/>
        <v/>
      </c>
      <c r="H989" t="str">
        <f t="shared" si="96"/>
        <v>SpaceWdh</v>
      </c>
    </row>
    <row r="990" spans="1:8" x14ac:dyDescent="0.25">
      <c r="A990" t="s">
        <v>1020</v>
      </c>
      <c r="B990" s="3">
        <f t="shared" si="97"/>
        <v>101</v>
      </c>
      <c r="C990" s="3" t="str">
        <f t="shared" si="92"/>
        <v/>
      </c>
      <c r="D990" s="3">
        <f t="shared" si="93"/>
        <v>156</v>
      </c>
      <c r="E990" s="5" t="str">
        <f>IF(C990="",IF(D990="","",IF(D990&lt;128,"Wahl "&amp;D990,INDEX(KdoCodeTab,MATCH(D990,KdoWertTab,0)))),"Status "&amp;C990)</f>
        <v>Mark</v>
      </c>
      <c r="F990" t="str">
        <f t="shared" si="94"/>
        <v/>
      </c>
      <c r="G990" t="str">
        <f t="shared" si="95"/>
        <v/>
      </c>
      <c r="H990" t="str">
        <f t="shared" si="96"/>
        <v>Mark</v>
      </c>
    </row>
    <row r="991" spans="1:8" x14ac:dyDescent="0.25">
      <c r="A991" t="s">
        <v>1021</v>
      </c>
      <c r="B991" s="3">
        <f t="shared" si="97"/>
        <v>101</v>
      </c>
      <c r="C991" s="3" t="str">
        <f t="shared" si="92"/>
        <v/>
      </c>
      <c r="D991" s="3">
        <f t="shared" si="93"/>
        <v>154</v>
      </c>
      <c r="E991" s="5" t="str">
        <f>IF(C991="",IF(D991="","",IF(D991&lt;128,"Wahl "&amp;D991,INDEX(KdoCodeTab,MATCH(D991,KdoWertTab,0)))),"Status "&amp;C991)</f>
        <v>MarkWdh</v>
      </c>
      <c r="F991" t="str">
        <f t="shared" si="94"/>
        <v/>
      </c>
      <c r="G991" t="str">
        <f t="shared" si="95"/>
        <v/>
      </c>
      <c r="H991" t="str">
        <f t="shared" si="96"/>
        <v>MarkWdh</v>
      </c>
    </row>
    <row r="992" spans="1:8" x14ac:dyDescent="0.25">
      <c r="A992" t="s">
        <v>1022</v>
      </c>
      <c r="B992" s="3">
        <f t="shared" si="97"/>
        <v>101</v>
      </c>
      <c r="C992" s="3" t="str">
        <f t="shared" si="92"/>
        <v/>
      </c>
      <c r="D992" s="3">
        <f t="shared" si="93"/>
        <v>147</v>
      </c>
      <c r="E992" s="5" t="str">
        <f>IF(C992="",IF(D992="","",IF(D992&lt;128,"Wahl "&amp;D992,INDEX(KdoCodeTab,MATCH(D992,KdoWertTab,0)))),"Status "&amp;C992)</f>
        <v>Space</v>
      </c>
      <c r="F992" t="str">
        <f t="shared" si="94"/>
        <v/>
      </c>
      <c r="G992" t="str">
        <f t="shared" si="95"/>
        <v/>
      </c>
      <c r="H992" t="str">
        <f t="shared" si="96"/>
        <v>Space</v>
      </c>
    </row>
    <row r="993" spans="1:8" x14ac:dyDescent="0.25">
      <c r="A993" t="s">
        <v>1023</v>
      </c>
      <c r="B993" s="3">
        <f t="shared" si="97"/>
        <v>31</v>
      </c>
      <c r="C993" s="3" t="str">
        <f t="shared" si="92"/>
        <v/>
      </c>
      <c r="D993" s="3">
        <f t="shared" si="93"/>
        <v>154</v>
      </c>
      <c r="E993" s="5" t="str">
        <f>IF(C993="",IF(D993="","",IF(D993&lt;128,"Wahl "&amp;D993,INDEX(KdoCodeTab,MATCH(D993,KdoWertTab,0)))),"Status "&amp;C993)</f>
        <v>MarkWdh</v>
      </c>
      <c r="F993" t="str">
        <f t="shared" si="94"/>
        <v>MarkWdh</v>
      </c>
      <c r="G993" t="str">
        <f t="shared" si="95"/>
        <v/>
      </c>
      <c r="H993" t="str">
        <f t="shared" si="96"/>
        <v/>
      </c>
    </row>
    <row r="994" spans="1:8" x14ac:dyDescent="0.25">
      <c r="A994" t="s">
        <v>1024</v>
      </c>
      <c r="B994" s="3">
        <f t="shared" si="97"/>
        <v>101</v>
      </c>
      <c r="C994" s="3" t="str">
        <f t="shared" si="92"/>
        <v/>
      </c>
      <c r="D994" s="3">
        <f t="shared" si="93"/>
        <v>150</v>
      </c>
      <c r="E994" s="5" t="str">
        <f>IF(C994="",IF(D994="","",IF(D994&lt;128,"Wahl "&amp;D994,INDEX(KdoCodeTab,MATCH(D994,KdoWertTab,0)))),"Status "&amp;C994)</f>
        <v>SpaceWdh</v>
      </c>
      <c r="F994" t="str">
        <f t="shared" si="94"/>
        <v/>
      </c>
      <c r="G994" t="str">
        <f t="shared" si="95"/>
        <v/>
      </c>
      <c r="H994" t="str">
        <f t="shared" si="96"/>
        <v>SpaceWdh</v>
      </c>
    </row>
    <row r="995" spans="1:8" x14ac:dyDescent="0.25">
      <c r="A995" t="s">
        <v>1025</v>
      </c>
      <c r="B995" s="3">
        <f t="shared" si="97"/>
        <v>101</v>
      </c>
      <c r="C995" s="3" t="str">
        <f t="shared" si="92"/>
        <v/>
      </c>
      <c r="D995" s="3">
        <f t="shared" si="93"/>
        <v>156</v>
      </c>
      <c r="E995" s="5" t="str">
        <f>IF(C995="",IF(D995="","",IF(D995&lt;128,"Wahl "&amp;D995,INDEX(KdoCodeTab,MATCH(D995,KdoWertTab,0)))),"Status "&amp;C995)</f>
        <v>Mark</v>
      </c>
      <c r="F995" t="str">
        <f t="shared" si="94"/>
        <v/>
      </c>
      <c r="G995" t="str">
        <f t="shared" si="95"/>
        <v/>
      </c>
      <c r="H995" t="str">
        <f t="shared" si="96"/>
        <v>Mark</v>
      </c>
    </row>
    <row r="996" spans="1:8" x14ac:dyDescent="0.25">
      <c r="A996" t="s">
        <v>1026</v>
      </c>
      <c r="B996" s="3">
        <f t="shared" si="97"/>
        <v>101</v>
      </c>
      <c r="C996" s="3" t="str">
        <f t="shared" si="92"/>
        <v/>
      </c>
      <c r="D996" s="3">
        <f t="shared" si="93"/>
        <v>154</v>
      </c>
      <c r="E996" s="5" t="str">
        <f>IF(C996="",IF(D996="","",IF(D996&lt;128,"Wahl "&amp;D996,INDEX(KdoCodeTab,MATCH(D996,KdoWertTab,0)))),"Status "&amp;C996)</f>
        <v>MarkWdh</v>
      </c>
      <c r="F996" t="str">
        <f t="shared" si="94"/>
        <v/>
      </c>
      <c r="G996" t="str">
        <f t="shared" si="95"/>
        <v/>
      </c>
      <c r="H996" t="str">
        <f t="shared" si="96"/>
        <v>MarkWdh</v>
      </c>
    </row>
    <row r="997" spans="1:8" x14ac:dyDescent="0.25">
      <c r="A997" t="s">
        <v>1027</v>
      </c>
      <c r="B997" s="3">
        <f t="shared" si="97"/>
        <v>101</v>
      </c>
      <c r="C997" s="3" t="str">
        <f t="shared" si="92"/>
        <v/>
      </c>
      <c r="D997" s="3">
        <f t="shared" si="93"/>
        <v>147</v>
      </c>
      <c r="E997" s="5" t="str">
        <f>IF(C997="",IF(D997="","",IF(D997&lt;128,"Wahl "&amp;D997,INDEX(KdoCodeTab,MATCH(D997,KdoWertTab,0)))),"Status "&amp;C997)</f>
        <v>Space</v>
      </c>
      <c r="F997" t="str">
        <f t="shared" si="94"/>
        <v/>
      </c>
      <c r="G997" t="str">
        <f t="shared" si="95"/>
        <v/>
      </c>
      <c r="H997" t="str">
        <f t="shared" si="96"/>
        <v>Space</v>
      </c>
    </row>
    <row r="998" spans="1:8" x14ac:dyDescent="0.25">
      <c r="A998" t="s">
        <v>1028</v>
      </c>
      <c r="B998" s="3">
        <f t="shared" si="97"/>
        <v>101</v>
      </c>
      <c r="C998" s="3" t="str">
        <f t="shared" si="92"/>
        <v/>
      </c>
      <c r="D998" s="3">
        <f t="shared" si="93"/>
        <v>150</v>
      </c>
      <c r="E998" s="5" t="str">
        <f>IF(C998="",IF(D998="","",IF(D998&lt;128,"Wahl "&amp;D998,INDEX(KdoCodeTab,MATCH(D998,KdoWertTab,0)))),"Status "&amp;C998)</f>
        <v>SpaceWdh</v>
      </c>
      <c r="F998" t="str">
        <f t="shared" si="94"/>
        <v/>
      </c>
      <c r="G998" t="str">
        <f t="shared" si="95"/>
        <v/>
      </c>
      <c r="H998" t="str">
        <f t="shared" si="96"/>
        <v>SpaceWdh</v>
      </c>
    </row>
    <row r="999" spans="1:8" x14ac:dyDescent="0.25">
      <c r="A999" t="s">
        <v>1029</v>
      </c>
      <c r="B999" s="3">
        <f t="shared" si="97"/>
        <v>101</v>
      </c>
      <c r="C999" s="3" t="str">
        <f t="shared" si="92"/>
        <v/>
      </c>
      <c r="D999" s="3">
        <f t="shared" si="93"/>
        <v>156</v>
      </c>
      <c r="E999" s="5" t="str">
        <f>IF(C999="",IF(D999="","",IF(D999&lt;128,"Wahl "&amp;D999,INDEX(KdoCodeTab,MATCH(D999,KdoWertTab,0)))),"Status "&amp;C999)</f>
        <v>Mark</v>
      </c>
      <c r="F999" t="str">
        <f t="shared" si="94"/>
        <v/>
      </c>
      <c r="G999" t="str">
        <f t="shared" si="95"/>
        <v/>
      </c>
      <c r="H999" t="str">
        <f t="shared" si="96"/>
        <v>Mark</v>
      </c>
    </row>
    <row r="1000" spans="1:8" x14ac:dyDescent="0.25">
      <c r="A1000" t="s">
        <v>1030</v>
      </c>
      <c r="B1000" s="3">
        <f t="shared" si="97"/>
        <v>101</v>
      </c>
      <c r="C1000" s="3" t="str">
        <f t="shared" si="92"/>
        <v/>
      </c>
      <c r="D1000" s="3">
        <f t="shared" si="93"/>
        <v>154</v>
      </c>
      <c r="E1000" s="5" t="str">
        <f>IF(C1000="",IF(D1000="","",IF(D1000&lt;128,"Wahl "&amp;D1000,INDEX(KdoCodeTab,MATCH(D1000,KdoWertTab,0)))),"Status "&amp;C1000)</f>
        <v>MarkWdh</v>
      </c>
      <c r="F1000" t="str">
        <f t="shared" si="94"/>
        <v/>
      </c>
      <c r="G1000" t="str">
        <f t="shared" si="95"/>
        <v/>
      </c>
      <c r="H1000" t="str">
        <f t="shared" si="96"/>
        <v>MarkWdh</v>
      </c>
    </row>
    <row r="1001" spans="1:8" x14ac:dyDescent="0.25">
      <c r="A1001" t="s">
        <v>1031</v>
      </c>
      <c r="B1001" s="3">
        <f t="shared" si="97"/>
        <v>101</v>
      </c>
      <c r="C1001" s="3" t="str">
        <f t="shared" si="92"/>
        <v/>
      </c>
      <c r="D1001" s="3">
        <f t="shared" si="93"/>
        <v>169</v>
      </c>
      <c r="E1001" s="5" t="str">
        <f>IF(C1001="",IF(D1001="","",IF(D1001&lt;128,"Wahl "&amp;D1001,INDEX(KdoCodeTab,MATCH(D1001,KdoWertTab,0)))),"Status "&amp;C1001)</f>
        <v>BusLebenszeichen</v>
      </c>
      <c r="F1001" t="str">
        <f t="shared" si="94"/>
        <v/>
      </c>
      <c r="G1001" t="str">
        <f t="shared" si="95"/>
        <v/>
      </c>
      <c r="H1001" t="str">
        <f t="shared" si="96"/>
        <v>BusLebenszeichen</v>
      </c>
    </row>
    <row r="1002" spans="1:8" x14ac:dyDescent="0.25">
      <c r="A1002" t="s">
        <v>1032</v>
      </c>
      <c r="B1002" s="3">
        <f t="shared" si="97"/>
        <v>101</v>
      </c>
      <c r="C1002" s="3" t="str">
        <f t="shared" si="92"/>
        <v/>
      </c>
      <c r="D1002" s="3">
        <f t="shared" si="93"/>
        <v>147</v>
      </c>
      <c r="E1002" s="5" t="str">
        <f>IF(C1002="",IF(D1002="","",IF(D1002&lt;128,"Wahl "&amp;D1002,INDEX(KdoCodeTab,MATCH(D1002,KdoWertTab,0)))),"Status "&amp;C1002)</f>
        <v>Space</v>
      </c>
      <c r="F1002" t="str">
        <f t="shared" si="94"/>
        <v/>
      </c>
      <c r="G1002" t="str">
        <f t="shared" si="95"/>
        <v/>
      </c>
      <c r="H1002" t="str">
        <f t="shared" si="96"/>
        <v>Space</v>
      </c>
    </row>
    <row r="1003" spans="1:8" x14ac:dyDescent="0.25">
      <c r="A1003" t="s">
        <v>1033</v>
      </c>
      <c r="B1003" s="3">
        <f t="shared" si="97"/>
        <v>101</v>
      </c>
      <c r="C1003" s="3" t="str">
        <f t="shared" si="92"/>
        <v/>
      </c>
      <c r="D1003" s="3">
        <f t="shared" si="93"/>
        <v>150</v>
      </c>
      <c r="E1003" s="5" t="str">
        <f>IF(C1003="",IF(D1003="","",IF(D1003&lt;128,"Wahl "&amp;D1003,INDEX(KdoCodeTab,MATCH(D1003,KdoWertTab,0)))),"Status "&amp;C1003)</f>
        <v>SpaceWdh</v>
      </c>
      <c r="F1003" t="str">
        <f t="shared" si="94"/>
        <v/>
      </c>
      <c r="G1003" t="str">
        <f t="shared" si="95"/>
        <v/>
      </c>
      <c r="H1003" t="str">
        <f t="shared" si="96"/>
        <v>SpaceWdh</v>
      </c>
    </row>
    <row r="1004" spans="1:8" x14ac:dyDescent="0.25">
      <c r="A1004" t="s">
        <v>1034</v>
      </c>
      <c r="B1004" s="3">
        <f t="shared" si="97"/>
        <v>101</v>
      </c>
      <c r="C1004" s="3" t="str">
        <f t="shared" si="92"/>
        <v/>
      </c>
      <c r="D1004" s="3">
        <f t="shared" si="93"/>
        <v>156</v>
      </c>
      <c r="E1004" s="5" t="str">
        <f>IF(C1004="",IF(D1004="","",IF(D1004&lt;128,"Wahl "&amp;D1004,INDEX(KdoCodeTab,MATCH(D1004,KdoWertTab,0)))),"Status "&amp;C1004)</f>
        <v>Mark</v>
      </c>
      <c r="F1004" t="str">
        <f t="shared" si="94"/>
        <v/>
      </c>
      <c r="G1004" t="str">
        <f t="shared" si="95"/>
        <v/>
      </c>
      <c r="H1004" t="str">
        <f t="shared" si="96"/>
        <v>Mark</v>
      </c>
    </row>
    <row r="1005" spans="1:8" x14ac:dyDescent="0.25">
      <c r="A1005" t="s">
        <v>1035</v>
      </c>
      <c r="B1005" s="3">
        <f t="shared" si="97"/>
        <v>101</v>
      </c>
      <c r="C1005" s="3" t="str">
        <f t="shared" si="92"/>
        <v/>
      </c>
      <c r="D1005" s="3">
        <f t="shared" si="93"/>
        <v>154</v>
      </c>
      <c r="E1005" s="5" t="str">
        <f>IF(C1005="",IF(D1005="","",IF(D1005&lt;128,"Wahl "&amp;D1005,INDEX(KdoCodeTab,MATCH(D1005,KdoWertTab,0)))),"Status "&amp;C1005)</f>
        <v>MarkWdh</v>
      </c>
      <c r="F1005" t="str">
        <f t="shared" si="94"/>
        <v/>
      </c>
      <c r="G1005" t="str">
        <f t="shared" si="95"/>
        <v/>
      </c>
      <c r="H1005" t="str">
        <f t="shared" si="96"/>
        <v>MarkWdh</v>
      </c>
    </row>
    <row r="1006" spans="1:8" x14ac:dyDescent="0.25">
      <c r="A1006" t="s">
        <v>1036</v>
      </c>
      <c r="B1006" s="3">
        <f t="shared" si="97"/>
        <v>101</v>
      </c>
      <c r="C1006" s="3" t="str">
        <f t="shared" si="92"/>
        <v/>
      </c>
      <c r="D1006" s="3">
        <f t="shared" si="93"/>
        <v>147</v>
      </c>
      <c r="E1006" s="5" t="str">
        <f>IF(C1006="",IF(D1006="","",IF(D1006&lt;128,"Wahl "&amp;D1006,INDEX(KdoCodeTab,MATCH(D1006,KdoWertTab,0)))),"Status "&amp;C1006)</f>
        <v>Space</v>
      </c>
      <c r="F1006" t="str">
        <f t="shared" si="94"/>
        <v/>
      </c>
      <c r="G1006" t="str">
        <f t="shared" si="95"/>
        <v/>
      </c>
      <c r="H1006" t="str">
        <f t="shared" si="96"/>
        <v>Space</v>
      </c>
    </row>
    <row r="1007" spans="1:8" x14ac:dyDescent="0.25">
      <c r="A1007" t="s">
        <v>1037</v>
      </c>
      <c r="B1007" s="3">
        <f t="shared" si="97"/>
        <v>101</v>
      </c>
      <c r="C1007" s="3" t="str">
        <f t="shared" si="92"/>
        <v/>
      </c>
      <c r="D1007" s="3">
        <f t="shared" si="93"/>
        <v>150</v>
      </c>
      <c r="E1007" s="5" t="str">
        <f>IF(C1007="",IF(D1007="","",IF(D1007&lt;128,"Wahl "&amp;D1007,INDEX(KdoCodeTab,MATCH(D1007,KdoWertTab,0)))),"Status "&amp;C1007)</f>
        <v>SpaceWdh</v>
      </c>
      <c r="F1007" t="str">
        <f t="shared" si="94"/>
        <v/>
      </c>
      <c r="G1007" t="str">
        <f t="shared" si="95"/>
        <v/>
      </c>
      <c r="H1007" t="str">
        <f t="shared" si="96"/>
        <v>SpaceWdh</v>
      </c>
    </row>
    <row r="1008" spans="1:8" x14ac:dyDescent="0.25">
      <c r="A1008" t="s">
        <v>1038</v>
      </c>
      <c r="B1008" s="3">
        <f t="shared" si="97"/>
        <v>101</v>
      </c>
      <c r="C1008" s="3" t="str">
        <f t="shared" si="92"/>
        <v/>
      </c>
      <c r="D1008" s="3">
        <f t="shared" si="93"/>
        <v>156</v>
      </c>
      <c r="E1008" s="5" t="str">
        <f>IF(C1008="",IF(D1008="","",IF(D1008&lt;128,"Wahl "&amp;D1008,INDEX(KdoCodeTab,MATCH(D1008,KdoWertTab,0)))),"Status "&amp;C1008)</f>
        <v>Mark</v>
      </c>
      <c r="F1008" t="str">
        <f t="shared" si="94"/>
        <v/>
      </c>
      <c r="G1008" t="str">
        <f t="shared" si="95"/>
        <v/>
      </c>
      <c r="H1008" t="str">
        <f t="shared" si="96"/>
        <v>Mark</v>
      </c>
    </row>
    <row r="1009" spans="1:8" x14ac:dyDescent="0.25">
      <c r="A1009" t="s">
        <v>1039</v>
      </c>
      <c r="B1009" s="3">
        <f t="shared" si="97"/>
        <v>101</v>
      </c>
      <c r="C1009" s="3" t="str">
        <f t="shared" si="92"/>
        <v/>
      </c>
      <c r="D1009" s="3">
        <f t="shared" si="93"/>
        <v>154</v>
      </c>
      <c r="E1009" s="5" t="str">
        <f>IF(C1009="",IF(D1009="","",IF(D1009&lt;128,"Wahl "&amp;D1009,INDEX(KdoCodeTab,MATCH(D1009,KdoWertTab,0)))),"Status "&amp;C1009)</f>
        <v>MarkWdh</v>
      </c>
      <c r="F1009" t="str">
        <f t="shared" si="94"/>
        <v/>
      </c>
      <c r="G1009" t="str">
        <f t="shared" si="95"/>
        <v/>
      </c>
      <c r="H1009" t="str">
        <f t="shared" si="96"/>
        <v>MarkWdh</v>
      </c>
    </row>
    <row r="1010" spans="1:8" x14ac:dyDescent="0.25">
      <c r="A1010" t="s">
        <v>1040</v>
      </c>
      <c r="B1010" s="3">
        <f t="shared" si="97"/>
        <v>101</v>
      </c>
      <c r="C1010" s="3" t="str">
        <f t="shared" si="92"/>
        <v/>
      </c>
      <c r="D1010" s="3">
        <f t="shared" si="93"/>
        <v>147</v>
      </c>
      <c r="E1010" s="5" t="str">
        <f>IF(C1010="",IF(D1010="","",IF(D1010&lt;128,"Wahl "&amp;D1010,INDEX(KdoCodeTab,MATCH(D1010,KdoWertTab,0)))),"Status "&amp;C1010)</f>
        <v>Space</v>
      </c>
      <c r="F1010" t="str">
        <f t="shared" si="94"/>
        <v/>
      </c>
      <c r="G1010" t="str">
        <f t="shared" si="95"/>
        <v/>
      </c>
      <c r="H1010" t="str">
        <f t="shared" si="96"/>
        <v>Space</v>
      </c>
    </row>
    <row r="1011" spans="1:8" x14ac:dyDescent="0.25">
      <c r="A1011" t="s">
        <v>1041</v>
      </c>
      <c r="B1011" s="3">
        <f t="shared" si="97"/>
        <v>101</v>
      </c>
      <c r="C1011" s="3" t="str">
        <f t="shared" si="92"/>
        <v/>
      </c>
      <c r="D1011" s="3">
        <f t="shared" si="93"/>
        <v>150</v>
      </c>
      <c r="E1011" s="5" t="str">
        <f>IF(C1011="",IF(D1011="","",IF(D1011&lt;128,"Wahl "&amp;D1011,INDEX(KdoCodeTab,MATCH(D1011,KdoWertTab,0)))),"Status "&amp;C1011)</f>
        <v>SpaceWdh</v>
      </c>
      <c r="F1011" t="str">
        <f t="shared" si="94"/>
        <v/>
      </c>
      <c r="G1011" t="str">
        <f t="shared" si="95"/>
        <v/>
      </c>
      <c r="H1011" t="str">
        <f t="shared" si="96"/>
        <v>SpaceWdh</v>
      </c>
    </row>
    <row r="1012" spans="1:8" x14ac:dyDescent="0.25">
      <c r="A1012" t="s">
        <v>1042</v>
      </c>
      <c r="B1012" s="3">
        <f t="shared" si="97"/>
        <v>31</v>
      </c>
      <c r="C1012" s="3" t="str">
        <f t="shared" si="92"/>
        <v/>
      </c>
      <c r="D1012" s="3">
        <f t="shared" si="93"/>
        <v>154</v>
      </c>
      <c r="E1012" s="5" t="str">
        <f>IF(C1012="",IF(D1012="","",IF(D1012&lt;128,"Wahl "&amp;D1012,INDEX(KdoCodeTab,MATCH(D1012,KdoWertTab,0)))),"Status "&amp;C1012)</f>
        <v>MarkWdh</v>
      </c>
      <c r="F1012" t="str">
        <f t="shared" si="94"/>
        <v>MarkWdh</v>
      </c>
      <c r="G1012" t="str">
        <f t="shared" si="95"/>
        <v/>
      </c>
      <c r="H1012" t="str">
        <f t="shared" si="96"/>
        <v/>
      </c>
    </row>
    <row r="1013" spans="1:8" x14ac:dyDescent="0.25">
      <c r="A1013" t="s">
        <v>1043</v>
      </c>
      <c r="B1013" s="3">
        <f t="shared" si="97"/>
        <v>101</v>
      </c>
      <c r="C1013" s="3" t="str">
        <f t="shared" si="92"/>
        <v/>
      </c>
      <c r="D1013" s="3">
        <f t="shared" si="93"/>
        <v>156</v>
      </c>
      <c r="E1013" s="5" t="str">
        <f>IF(C1013="",IF(D1013="","",IF(D1013&lt;128,"Wahl "&amp;D1013,INDEX(KdoCodeTab,MATCH(D1013,KdoWertTab,0)))),"Status "&amp;C1013)</f>
        <v>Mark</v>
      </c>
      <c r="F1013" t="str">
        <f t="shared" si="94"/>
        <v/>
      </c>
      <c r="G1013" t="str">
        <f t="shared" si="95"/>
        <v/>
      </c>
      <c r="H1013" t="str">
        <f t="shared" si="96"/>
        <v>Mark</v>
      </c>
    </row>
    <row r="1014" spans="1:8" x14ac:dyDescent="0.25">
      <c r="A1014" t="s">
        <v>1044</v>
      </c>
      <c r="B1014" s="3">
        <f t="shared" si="97"/>
        <v>101</v>
      </c>
      <c r="C1014" s="3" t="str">
        <f t="shared" si="92"/>
        <v/>
      </c>
      <c r="D1014" s="3">
        <f t="shared" si="93"/>
        <v>154</v>
      </c>
      <c r="E1014" s="5" t="str">
        <f>IF(C1014="",IF(D1014="","",IF(D1014&lt;128,"Wahl "&amp;D1014,INDEX(KdoCodeTab,MATCH(D1014,KdoWertTab,0)))),"Status "&amp;C1014)</f>
        <v>MarkWdh</v>
      </c>
      <c r="F1014" t="str">
        <f t="shared" si="94"/>
        <v/>
      </c>
      <c r="G1014" t="str">
        <f t="shared" si="95"/>
        <v/>
      </c>
      <c r="H1014" t="str">
        <f t="shared" si="96"/>
        <v>MarkWdh</v>
      </c>
    </row>
    <row r="1015" spans="1:8" x14ac:dyDescent="0.25">
      <c r="A1015" t="s">
        <v>1045</v>
      </c>
      <c r="B1015" s="3">
        <f t="shared" si="97"/>
        <v>101</v>
      </c>
      <c r="C1015" s="3" t="str">
        <f t="shared" si="92"/>
        <v/>
      </c>
      <c r="D1015" s="3">
        <f t="shared" si="93"/>
        <v>147</v>
      </c>
      <c r="E1015" s="5" t="str">
        <f>IF(C1015="",IF(D1015="","",IF(D1015&lt;128,"Wahl "&amp;D1015,INDEX(KdoCodeTab,MATCH(D1015,KdoWertTab,0)))),"Status "&amp;C1015)</f>
        <v>Space</v>
      </c>
      <c r="F1015" t="str">
        <f t="shared" si="94"/>
        <v/>
      </c>
      <c r="G1015" t="str">
        <f t="shared" si="95"/>
        <v/>
      </c>
      <c r="H1015" t="str">
        <f t="shared" si="96"/>
        <v>Space</v>
      </c>
    </row>
    <row r="1016" spans="1:8" x14ac:dyDescent="0.25">
      <c r="A1016" t="s">
        <v>1046</v>
      </c>
      <c r="B1016" s="3">
        <f t="shared" si="97"/>
        <v>101</v>
      </c>
      <c r="C1016" s="3" t="str">
        <f t="shared" si="92"/>
        <v/>
      </c>
      <c r="D1016" s="3">
        <f t="shared" si="93"/>
        <v>150</v>
      </c>
      <c r="E1016" s="5" t="str">
        <f>IF(C1016="",IF(D1016="","",IF(D1016&lt;128,"Wahl "&amp;D1016,INDEX(KdoCodeTab,MATCH(D1016,KdoWertTab,0)))),"Status "&amp;C1016)</f>
        <v>SpaceWdh</v>
      </c>
      <c r="F1016" t="str">
        <f t="shared" si="94"/>
        <v/>
      </c>
      <c r="G1016" t="str">
        <f t="shared" si="95"/>
        <v/>
      </c>
      <c r="H1016" t="str">
        <f t="shared" si="96"/>
        <v>SpaceWdh</v>
      </c>
    </row>
    <row r="1017" spans="1:8" x14ac:dyDescent="0.25">
      <c r="A1017" t="s">
        <v>1047</v>
      </c>
      <c r="B1017" s="3">
        <f t="shared" si="97"/>
        <v>101</v>
      </c>
      <c r="C1017" s="3" t="str">
        <f t="shared" si="92"/>
        <v/>
      </c>
      <c r="D1017" s="3">
        <f t="shared" si="93"/>
        <v>156</v>
      </c>
      <c r="E1017" s="5" t="str">
        <f>IF(C1017="",IF(D1017="","",IF(D1017&lt;128,"Wahl "&amp;D1017,INDEX(KdoCodeTab,MATCH(D1017,KdoWertTab,0)))),"Status "&amp;C1017)</f>
        <v>Mark</v>
      </c>
      <c r="F1017" t="str">
        <f t="shared" si="94"/>
        <v/>
      </c>
      <c r="G1017" t="str">
        <f t="shared" si="95"/>
        <v/>
      </c>
      <c r="H1017" t="str">
        <f t="shared" si="96"/>
        <v>Mark</v>
      </c>
    </row>
    <row r="1018" spans="1:8" x14ac:dyDescent="0.25">
      <c r="A1018" t="s">
        <v>1048</v>
      </c>
      <c r="B1018" s="3">
        <f t="shared" si="97"/>
        <v>101</v>
      </c>
      <c r="C1018" s="3" t="str">
        <f t="shared" si="92"/>
        <v/>
      </c>
      <c r="D1018" s="3">
        <f t="shared" si="93"/>
        <v>154</v>
      </c>
      <c r="E1018" s="5" t="str">
        <f>IF(C1018="",IF(D1018="","",IF(D1018&lt;128,"Wahl "&amp;D1018,INDEX(KdoCodeTab,MATCH(D1018,KdoWertTab,0)))),"Status "&amp;C1018)</f>
        <v>MarkWdh</v>
      </c>
      <c r="F1018" t="str">
        <f t="shared" si="94"/>
        <v/>
      </c>
      <c r="G1018" t="str">
        <f t="shared" si="95"/>
        <v/>
      </c>
      <c r="H1018" t="str">
        <f t="shared" si="96"/>
        <v>MarkWdh</v>
      </c>
    </row>
    <row r="1019" spans="1:8" x14ac:dyDescent="0.25">
      <c r="A1019" t="s">
        <v>1049</v>
      </c>
      <c r="B1019" s="3">
        <f t="shared" si="97"/>
        <v>101</v>
      </c>
      <c r="C1019" s="3" t="str">
        <f t="shared" ref="C1019:C1082" si="98">IF(MID(A1019,10,1)="&lt;",MID(A1019,12,2),"")</f>
        <v/>
      </c>
      <c r="D1019" s="3">
        <f t="shared" ref="D1019:D1082" si="99">IF(MID(A1019,10,1)="&gt;",HEX2DEC(MID(A1019,12,2)),"")</f>
        <v>147</v>
      </c>
      <c r="E1019" s="5" t="str">
        <f>IF(C1019="",IF(D1019="","",IF(D1019&lt;128,"Wahl "&amp;D1019,INDEX(KdoCodeTab,MATCH(D1019,KdoWertTab,0)))),"Status "&amp;C1019)</f>
        <v>Space</v>
      </c>
      <c r="F1019" t="str">
        <f t="shared" ref="F1019:F1082" si="100">IF(B1019=$F$2,E1019,"")</f>
        <v/>
      </c>
      <c r="G1019" t="str">
        <f t="shared" ref="G1019:G1082" si="101">IF(B1019=$G$2,E1019,"")</f>
        <v/>
      </c>
      <c r="H1019" t="str">
        <f t="shared" ref="H1019:H1082" si="102">IF(F1019&amp;G1019="",E1019,"")</f>
        <v>Space</v>
      </c>
    </row>
    <row r="1020" spans="1:8" x14ac:dyDescent="0.25">
      <c r="A1020" t="s">
        <v>1050</v>
      </c>
      <c r="B1020" s="3">
        <f t="shared" si="97"/>
        <v>101</v>
      </c>
      <c r="C1020" s="3" t="str">
        <f t="shared" si="98"/>
        <v/>
      </c>
      <c r="D1020" s="3">
        <f t="shared" si="99"/>
        <v>150</v>
      </c>
      <c r="E1020" s="5" t="str">
        <f>IF(C1020="",IF(D1020="","",IF(D1020&lt;128,"Wahl "&amp;D1020,INDEX(KdoCodeTab,MATCH(D1020,KdoWertTab,0)))),"Status "&amp;C1020)</f>
        <v>SpaceWdh</v>
      </c>
      <c r="F1020" t="str">
        <f t="shared" si="100"/>
        <v/>
      </c>
      <c r="G1020" t="str">
        <f t="shared" si="101"/>
        <v/>
      </c>
      <c r="H1020" t="str">
        <f t="shared" si="102"/>
        <v>SpaceWdh</v>
      </c>
    </row>
    <row r="1021" spans="1:8" x14ac:dyDescent="0.25">
      <c r="A1021" t="s">
        <v>1051</v>
      </c>
      <c r="B1021" s="3">
        <f t="shared" si="97"/>
        <v>101</v>
      </c>
      <c r="C1021" s="3" t="str">
        <f t="shared" si="98"/>
        <v/>
      </c>
      <c r="D1021" s="3">
        <f t="shared" si="99"/>
        <v>156</v>
      </c>
      <c r="E1021" s="5" t="str">
        <f>IF(C1021="",IF(D1021="","",IF(D1021&lt;128,"Wahl "&amp;D1021,INDEX(KdoCodeTab,MATCH(D1021,KdoWertTab,0)))),"Status "&amp;C1021)</f>
        <v>Mark</v>
      </c>
      <c r="F1021" t="str">
        <f t="shared" si="100"/>
        <v/>
      </c>
      <c r="G1021" t="str">
        <f t="shared" si="101"/>
        <v/>
      </c>
      <c r="H1021" t="str">
        <f t="shared" si="102"/>
        <v>Mark</v>
      </c>
    </row>
    <row r="1022" spans="1:8" x14ac:dyDescent="0.25">
      <c r="A1022" t="s">
        <v>1052</v>
      </c>
      <c r="B1022" s="3">
        <f t="shared" si="97"/>
        <v>101</v>
      </c>
      <c r="C1022" s="3" t="str">
        <f t="shared" si="98"/>
        <v/>
      </c>
      <c r="D1022" s="3">
        <f t="shared" si="99"/>
        <v>154</v>
      </c>
      <c r="E1022" s="5" t="str">
        <f>IF(C1022="",IF(D1022="","",IF(D1022&lt;128,"Wahl "&amp;D1022,INDEX(KdoCodeTab,MATCH(D1022,KdoWertTab,0)))),"Status "&amp;C1022)</f>
        <v>MarkWdh</v>
      </c>
      <c r="F1022" t="str">
        <f t="shared" si="100"/>
        <v/>
      </c>
      <c r="G1022" t="str">
        <f t="shared" si="101"/>
        <v/>
      </c>
      <c r="H1022" t="str">
        <f t="shared" si="102"/>
        <v>MarkWdh</v>
      </c>
    </row>
    <row r="1023" spans="1:8" x14ac:dyDescent="0.25">
      <c r="A1023" t="s">
        <v>1053</v>
      </c>
      <c r="B1023" s="3">
        <f t="shared" si="97"/>
        <v>101</v>
      </c>
      <c r="C1023" s="3" t="str">
        <f t="shared" si="98"/>
        <v/>
      </c>
      <c r="D1023" s="3">
        <f t="shared" si="99"/>
        <v>147</v>
      </c>
      <c r="E1023" s="5" t="str">
        <f>IF(C1023="",IF(D1023="","",IF(D1023&lt;128,"Wahl "&amp;D1023,INDEX(KdoCodeTab,MATCH(D1023,KdoWertTab,0)))),"Status "&amp;C1023)</f>
        <v>Space</v>
      </c>
      <c r="F1023" t="str">
        <f t="shared" si="100"/>
        <v/>
      </c>
      <c r="G1023" t="str">
        <f t="shared" si="101"/>
        <v/>
      </c>
      <c r="H1023" t="str">
        <f t="shared" si="102"/>
        <v>Space</v>
      </c>
    </row>
    <row r="1024" spans="1:8" x14ac:dyDescent="0.25">
      <c r="A1024" t="s">
        <v>1054</v>
      </c>
      <c r="B1024" s="3">
        <f t="shared" si="97"/>
        <v>101</v>
      </c>
      <c r="C1024" s="3" t="str">
        <f t="shared" si="98"/>
        <v/>
      </c>
      <c r="D1024" s="3">
        <f t="shared" si="99"/>
        <v>150</v>
      </c>
      <c r="E1024" s="5" t="str">
        <f>IF(C1024="",IF(D1024="","",IF(D1024&lt;128,"Wahl "&amp;D1024,INDEX(KdoCodeTab,MATCH(D1024,KdoWertTab,0)))),"Status "&amp;C1024)</f>
        <v>SpaceWdh</v>
      </c>
      <c r="F1024" t="str">
        <f t="shared" si="100"/>
        <v/>
      </c>
      <c r="G1024" t="str">
        <f t="shared" si="101"/>
        <v/>
      </c>
      <c r="H1024" t="str">
        <f t="shared" si="102"/>
        <v>SpaceWdh</v>
      </c>
    </row>
    <row r="1025" spans="1:8" x14ac:dyDescent="0.25">
      <c r="A1025" t="s">
        <v>1055</v>
      </c>
      <c r="B1025" s="3">
        <f t="shared" si="97"/>
        <v>101</v>
      </c>
      <c r="C1025" s="3" t="str">
        <f t="shared" si="98"/>
        <v/>
      </c>
      <c r="D1025" s="3">
        <f t="shared" si="99"/>
        <v>156</v>
      </c>
      <c r="E1025" s="5" t="str">
        <f>IF(C1025="",IF(D1025="","",IF(D1025&lt;128,"Wahl "&amp;D1025,INDEX(KdoCodeTab,MATCH(D1025,KdoWertTab,0)))),"Status "&amp;C1025)</f>
        <v>Mark</v>
      </c>
      <c r="F1025" t="str">
        <f t="shared" si="100"/>
        <v/>
      </c>
      <c r="G1025" t="str">
        <f t="shared" si="101"/>
        <v/>
      </c>
      <c r="H1025" t="str">
        <f t="shared" si="102"/>
        <v>Mark</v>
      </c>
    </row>
    <row r="1026" spans="1:8" x14ac:dyDescent="0.25">
      <c r="A1026" t="s">
        <v>1056</v>
      </c>
      <c r="B1026" s="3">
        <f t="shared" si="97"/>
        <v>101</v>
      </c>
      <c r="C1026" s="3" t="str">
        <f t="shared" si="98"/>
        <v/>
      </c>
      <c r="D1026" s="3">
        <f t="shared" si="99"/>
        <v>154</v>
      </c>
      <c r="E1026" s="5" t="str">
        <f>IF(C1026="",IF(D1026="","",IF(D1026&lt;128,"Wahl "&amp;D1026,INDEX(KdoCodeTab,MATCH(D1026,KdoWertTab,0)))),"Status "&amp;C1026)</f>
        <v>MarkWdh</v>
      </c>
      <c r="F1026" t="str">
        <f t="shared" si="100"/>
        <v/>
      </c>
      <c r="G1026" t="str">
        <f t="shared" si="101"/>
        <v/>
      </c>
      <c r="H1026" t="str">
        <f t="shared" si="102"/>
        <v>MarkWdh</v>
      </c>
    </row>
    <row r="1027" spans="1:8" x14ac:dyDescent="0.25">
      <c r="A1027" t="s">
        <v>1057</v>
      </c>
      <c r="B1027" s="3">
        <f t="shared" si="97"/>
        <v>101</v>
      </c>
      <c r="C1027" s="3" t="str">
        <f t="shared" si="98"/>
        <v/>
      </c>
      <c r="D1027" s="3">
        <f t="shared" si="99"/>
        <v>147</v>
      </c>
      <c r="E1027" s="5" t="str">
        <f>IF(C1027="",IF(D1027="","",IF(D1027&lt;128,"Wahl "&amp;D1027,INDEX(KdoCodeTab,MATCH(D1027,KdoWertTab,0)))),"Status "&amp;C1027)</f>
        <v>Space</v>
      </c>
      <c r="F1027" t="str">
        <f t="shared" si="100"/>
        <v/>
      </c>
      <c r="G1027" t="str">
        <f t="shared" si="101"/>
        <v/>
      </c>
      <c r="H1027" t="str">
        <f t="shared" si="102"/>
        <v>Space</v>
      </c>
    </row>
    <row r="1028" spans="1:8" x14ac:dyDescent="0.25">
      <c r="A1028" t="s">
        <v>1058</v>
      </c>
      <c r="B1028" s="3">
        <f t="shared" si="97"/>
        <v>101</v>
      </c>
      <c r="C1028" s="3" t="str">
        <f t="shared" si="98"/>
        <v/>
      </c>
      <c r="D1028" s="3">
        <f t="shared" si="99"/>
        <v>150</v>
      </c>
      <c r="E1028" s="5" t="str">
        <f>IF(C1028="",IF(D1028="","",IF(D1028&lt;128,"Wahl "&amp;D1028,INDEX(KdoCodeTab,MATCH(D1028,KdoWertTab,0)))),"Status "&amp;C1028)</f>
        <v>SpaceWdh</v>
      </c>
      <c r="F1028" t="str">
        <f t="shared" si="100"/>
        <v/>
      </c>
      <c r="G1028" t="str">
        <f t="shared" si="101"/>
        <v/>
      </c>
      <c r="H1028" t="str">
        <f t="shared" si="102"/>
        <v>SpaceWdh</v>
      </c>
    </row>
    <row r="1029" spans="1:8" x14ac:dyDescent="0.25">
      <c r="A1029" t="s">
        <v>1059</v>
      </c>
      <c r="B1029" s="3">
        <f t="shared" ref="B1029:B1092" si="103">INT(HEX2DEC(MID(A1029,8,2))/2)</f>
        <v>101</v>
      </c>
      <c r="C1029" s="3" t="str">
        <f t="shared" si="98"/>
        <v/>
      </c>
      <c r="D1029" s="3">
        <f t="shared" si="99"/>
        <v>169</v>
      </c>
      <c r="E1029" s="5" t="str">
        <f>IF(C1029="",IF(D1029="","",IF(D1029&lt;128,"Wahl "&amp;D1029,INDEX(KdoCodeTab,MATCH(D1029,KdoWertTab,0)))),"Status "&amp;C1029)</f>
        <v>BusLebenszeichen</v>
      </c>
      <c r="F1029" t="str">
        <f t="shared" si="100"/>
        <v/>
      </c>
      <c r="G1029" t="str">
        <f t="shared" si="101"/>
        <v/>
      </c>
      <c r="H1029" t="str">
        <f t="shared" si="102"/>
        <v>BusLebenszeichen</v>
      </c>
    </row>
    <row r="1030" spans="1:8" x14ac:dyDescent="0.25">
      <c r="A1030" t="s">
        <v>1060</v>
      </c>
      <c r="B1030" s="3">
        <f t="shared" si="103"/>
        <v>101</v>
      </c>
      <c r="C1030" s="3" t="str">
        <f t="shared" si="98"/>
        <v/>
      </c>
      <c r="D1030" s="3">
        <f t="shared" si="99"/>
        <v>156</v>
      </c>
      <c r="E1030" s="5" t="str">
        <f>IF(C1030="",IF(D1030="","",IF(D1030&lt;128,"Wahl "&amp;D1030,INDEX(KdoCodeTab,MATCH(D1030,KdoWertTab,0)))),"Status "&amp;C1030)</f>
        <v>Mark</v>
      </c>
      <c r="F1030" t="str">
        <f t="shared" si="100"/>
        <v/>
      </c>
      <c r="G1030" t="str">
        <f t="shared" si="101"/>
        <v/>
      </c>
      <c r="H1030" t="str">
        <f t="shared" si="102"/>
        <v>Mark</v>
      </c>
    </row>
    <row r="1031" spans="1:8" x14ac:dyDescent="0.25">
      <c r="A1031" t="s">
        <v>1061</v>
      </c>
      <c r="B1031" s="3">
        <f t="shared" si="103"/>
        <v>101</v>
      </c>
      <c r="C1031" s="3" t="str">
        <f t="shared" si="98"/>
        <v/>
      </c>
      <c r="D1031" s="3">
        <f t="shared" si="99"/>
        <v>154</v>
      </c>
      <c r="E1031" s="5" t="str">
        <f>IF(C1031="",IF(D1031="","",IF(D1031&lt;128,"Wahl "&amp;D1031,INDEX(KdoCodeTab,MATCH(D1031,KdoWertTab,0)))),"Status "&amp;C1031)</f>
        <v>MarkWdh</v>
      </c>
      <c r="F1031" t="str">
        <f t="shared" si="100"/>
        <v/>
      </c>
      <c r="G1031" t="str">
        <f t="shared" si="101"/>
        <v/>
      </c>
      <c r="H1031" t="str">
        <f t="shared" si="102"/>
        <v>MarkWdh</v>
      </c>
    </row>
    <row r="1032" spans="1:8" x14ac:dyDescent="0.25">
      <c r="A1032" t="s">
        <v>1062</v>
      </c>
      <c r="B1032" s="3">
        <f t="shared" si="103"/>
        <v>31</v>
      </c>
      <c r="C1032" s="3" t="str">
        <f t="shared" si="98"/>
        <v/>
      </c>
      <c r="D1032" s="3">
        <f t="shared" si="99"/>
        <v>154</v>
      </c>
      <c r="E1032" s="5" t="str">
        <f>IF(C1032="",IF(D1032="","",IF(D1032&lt;128,"Wahl "&amp;D1032,INDEX(KdoCodeTab,MATCH(D1032,KdoWertTab,0)))),"Status "&amp;C1032)</f>
        <v>MarkWdh</v>
      </c>
      <c r="F1032" t="str">
        <f t="shared" si="100"/>
        <v>MarkWdh</v>
      </c>
      <c r="G1032" t="str">
        <f t="shared" si="101"/>
        <v/>
      </c>
      <c r="H1032" t="str">
        <f t="shared" si="102"/>
        <v/>
      </c>
    </row>
    <row r="1033" spans="1:8" x14ac:dyDescent="0.25">
      <c r="A1033" t="s">
        <v>1063</v>
      </c>
      <c r="B1033" s="3">
        <f t="shared" si="103"/>
        <v>101</v>
      </c>
      <c r="C1033" s="3" t="str">
        <f t="shared" si="98"/>
        <v/>
      </c>
      <c r="D1033" s="3">
        <f t="shared" si="99"/>
        <v>147</v>
      </c>
      <c r="E1033" s="5" t="str">
        <f>IF(C1033="",IF(D1033="","",IF(D1033&lt;128,"Wahl "&amp;D1033,INDEX(KdoCodeTab,MATCH(D1033,KdoWertTab,0)))),"Status "&amp;C1033)</f>
        <v>Space</v>
      </c>
      <c r="F1033" t="str">
        <f t="shared" si="100"/>
        <v/>
      </c>
      <c r="G1033" t="str">
        <f t="shared" si="101"/>
        <v/>
      </c>
      <c r="H1033" t="str">
        <f t="shared" si="102"/>
        <v>Space</v>
      </c>
    </row>
    <row r="1034" spans="1:8" x14ac:dyDescent="0.25">
      <c r="A1034" t="s">
        <v>1064</v>
      </c>
      <c r="B1034" s="3">
        <f t="shared" si="103"/>
        <v>101</v>
      </c>
      <c r="C1034" s="3" t="str">
        <f t="shared" si="98"/>
        <v/>
      </c>
      <c r="D1034" s="3">
        <f t="shared" si="99"/>
        <v>150</v>
      </c>
      <c r="E1034" s="5" t="str">
        <f>IF(C1034="",IF(D1034="","",IF(D1034&lt;128,"Wahl "&amp;D1034,INDEX(KdoCodeTab,MATCH(D1034,KdoWertTab,0)))),"Status "&amp;C1034)</f>
        <v>SpaceWdh</v>
      </c>
      <c r="F1034" t="str">
        <f t="shared" si="100"/>
        <v/>
      </c>
      <c r="G1034" t="str">
        <f t="shared" si="101"/>
        <v/>
      </c>
      <c r="H1034" t="str">
        <f t="shared" si="102"/>
        <v>SpaceWdh</v>
      </c>
    </row>
    <row r="1035" spans="1:8" x14ac:dyDescent="0.25">
      <c r="A1035" t="s">
        <v>1065</v>
      </c>
      <c r="B1035" s="3">
        <f t="shared" si="103"/>
        <v>101</v>
      </c>
      <c r="C1035" s="3" t="str">
        <f t="shared" si="98"/>
        <v/>
      </c>
      <c r="D1035" s="3">
        <f t="shared" si="99"/>
        <v>156</v>
      </c>
      <c r="E1035" s="5" t="str">
        <f>IF(C1035="",IF(D1035="","",IF(D1035&lt;128,"Wahl "&amp;D1035,INDEX(KdoCodeTab,MATCH(D1035,KdoWertTab,0)))),"Status "&amp;C1035)</f>
        <v>Mark</v>
      </c>
      <c r="F1035" t="str">
        <f t="shared" si="100"/>
        <v/>
      </c>
      <c r="G1035" t="str">
        <f t="shared" si="101"/>
        <v/>
      </c>
      <c r="H1035" t="str">
        <f t="shared" si="102"/>
        <v>Mark</v>
      </c>
    </row>
    <row r="1036" spans="1:8" x14ac:dyDescent="0.25">
      <c r="A1036" t="s">
        <v>1066</v>
      </c>
      <c r="B1036" s="3">
        <f t="shared" si="103"/>
        <v>101</v>
      </c>
      <c r="C1036" s="3" t="str">
        <f t="shared" si="98"/>
        <v/>
      </c>
      <c r="D1036" s="3">
        <f t="shared" si="99"/>
        <v>154</v>
      </c>
      <c r="E1036" s="5" t="str">
        <f>IF(C1036="",IF(D1036="","",IF(D1036&lt;128,"Wahl "&amp;D1036,INDEX(KdoCodeTab,MATCH(D1036,KdoWertTab,0)))),"Status "&amp;C1036)</f>
        <v>MarkWdh</v>
      </c>
      <c r="F1036" t="str">
        <f t="shared" si="100"/>
        <v/>
      </c>
      <c r="G1036" t="str">
        <f t="shared" si="101"/>
        <v/>
      </c>
      <c r="H1036" t="str">
        <f t="shared" si="102"/>
        <v>MarkWdh</v>
      </c>
    </row>
    <row r="1037" spans="1:8" x14ac:dyDescent="0.25">
      <c r="A1037" t="s">
        <v>1067</v>
      </c>
      <c r="B1037" s="3">
        <f t="shared" si="103"/>
        <v>101</v>
      </c>
      <c r="C1037" s="3" t="str">
        <f t="shared" si="98"/>
        <v/>
      </c>
      <c r="D1037" s="3">
        <f t="shared" si="99"/>
        <v>147</v>
      </c>
      <c r="E1037" s="5" t="str">
        <f>IF(C1037="",IF(D1037="","",IF(D1037&lt;128,"Wahl "&amp;D1037,INDEX(KdoCodeTab,MATCH(D1037,KdoWertTab,0)))),"Status "&amp;C1037)</f>
        <v>Space</v>
      </c>
      <c r="F1037" t="str">
        <f t="shared" si="100"/>
        <v/>
      </c>
      <c r="G1037" t="str">
        <f t="shared" si="101"/>
        <v/>
      </c>
      <c r="H1037" t="str">
        <f t="shared" si="102"/>
        <v>Space</v>
      </c>
    </row>
    <row r="1038" spans="1:8" x14ac:dyDescent="0.25">
      <c r="A1038" t="s">
        <v>1068</v>
      </c>
      <c r="B1038" s="3">
        <f t="shared" si="103"/>
        <v>101</v>
      </c>
      <c r="C1038" s="3" t="str">
        <f t="shared" si="98"/>
        <v/>
      </c>
      <c r="D1038" s="3">
        <f t="shared" si="99"/>
        <v>150</v>
      </c>
      <c r="E1038" s="5" t="str">
        <f>IF(C1038="",IF(D1038="","",IF(D1038&lt;128,"Wahl "&amp;D1038,INDEX(KdoCodeTab,MATCH(D1038,KdoWertTab,0)))),"Status "&amp;C1038)</f>
        <v>SpaceWdh</v>
      </c>
      <c r="F1038" t="str">
        <f t="shared" si="100"/>
        <v/>
      </c>
      <c r="G1038" t="str">
        <f t="shared" si="101"/>
        <v/>
      </c>
      <c r="H1038" t="str">
        <f t="shared" si="102"/>
        <v>SpaceWdh</v>
      </c>
    </row>
    <row r="1039" spans="1:8" x14ac:dyDescent="0.25">
      <c r="A1039" t="s">
        <v>1069</v>
      </c>
      <c r="B1039" s="3">
        <f t="shared" si="103"/>
        <v>101</v>
      </c>
      <c r="C1039" s="3" t="str">
        <f t="shared" si="98"/>
        <v/>
      </c>
      <c r="D1039" s="3">
        <f t="shared" si="99"/>
        <v>156</v>
      </c>
      <c r="E1039" s="5" t="str">
        <f>IF(C1039="",IF(D1039="","",IF(D1039&lt;128,"Wahl "&amp;D1039,INDEX(KdoCodeTab,MATCH(D1039,KdoWertTab,0)))),"Status "&amp;C1039)</f>
        <v>Mark</v>
      </c>
      <c r="F1039" t="str">
        <f t="shared" si="100"/>
        <v/>
      </c>
      <c r="G1039" t="str">
        <f t="shared" si="101"/>
        <v/>
      </c>
      <c r="H1039" t="str">
        <f t="shared" si="102"/>
        <v>Mark</v>
      </c>
    </row>
    <row r="1040" spans="1:8" x14ac:dyDescent="0.25">
      <c r="A1040" t="s">
        <v>1070</v>
      </c>
      <c r="B1040" s="3">
        <f t="shared" si="103"/>
        <v>101</v>
      </c>
      <c r="C1040" s="3" t="str">
        <f t="shared" si="98"/>
        <v/>
      </c>
      <c r="D1040" s="3">
        <f t="shared" si="99"/>
        <v>154</v>
      </c>
      <c r="E1040" s="5" t="str">
        <f>IF(C1040="",IF(D1040="","",IF(D1040&lt;128,"Wahl "&amp;D1040,INDEX(KdoCodeTab,MATCH(D1040,KdoWertTab,0)))),"Status "&amp;C1040)</f>
        <v>MarkWdh</v>
      </c>
      <c r="F1040" t="str">
        <f t="shared" si="100"/>
        <v/>
      </c>
      <c r="G1040" t="str">
        <f t="shared" si="101"/>
        <v/>
      </c>
      <c r="H1040" t="str">
        <f t="shared" si="102"/>
        <v>MarkWdh</v>
      </c>
    </row>
    <row r="1041" spans="1:8" x14ac:dyDescent="0.25">
      <c r="A1041" t="s">
        <v>1071</v>
      </c>
      <c r="B1041" s="3">
        <f t="shared" si="103"/>
        <v>31</v>
      </c>
      <c r="C1041" s="3" t="str">
        <f t="shared" si="98"/>
        <v/>
      </c>
      <c r="D1041" s="3">
        <f t="shared" si="99"/>
        <v>154</v>
      </c>
      <c r="E1041" s="5" t="str">
        <f>IF(C1041="",IF(D1041="","",IF(D1041&lt;128,"Wahl "&amp;D1041,INDEX(KdoCodeTab,MATCH(D1041,KdoWertTab,0)))),"Status "&amp;C1041)</f>
        <v>MarkWdh</v>
      </c>
      <c r="F1041" t="str">
        <f t="shared" si="100"/>
        <v>MarkWdh</v>
      </c>
      <c r="G1041" t="str">
        <f t="shared" si="101"/>
        <v/>
      </c>
      <c r="H1041" t="str">
        <f t="shared" si="102"/>
        <v/>
      </c>
    </row>
    <row r="1042" spans="1:8" x14ac:dyDescent="0.25">
      <c r="A1042" t="s">
        <v>1072</v>
      </c>
      <c r="B1042" s="3">
        <f t="shared" si="103"/>
        <v>101</v>
      </c>
      <c r="C1042" s="3" t="str">
        <f t="shared" si="98"/>
        <v/>
      </c>
      <c r="D1042" s="3">
        <f t="shared" si="99"/>
        <v>169</v>
      </c>
      <c r="E1042" s="5" t="str">
        <f>IF(C1042="",IF(D1042="","",IF(D1042&lt;128,"Wahl "&amp;D1042,INDEX(KdoCodeTab,MATCH(D1042,KdoWertTab,0)))),"Status "&amp;C1042)</f>
        <v>BusLebenszeichen</v>
      </c>
      <c r="F1042" t="str">
        <f t="shared" si="100"/>
        <v/>
      </c>
      <c r="G1042" t="str">
        <f t="shared" si="101"/>
        <v/>
      </c>
      <c r="H1042" t="str">
        <f t="shared" si="102"/>
        <v>BusLebenszeichen</v>
      </c>
    </row>
    <row r="1043" spans="1:8" x14ac:dyDescent="0.25">
      <c r="A1043" t="s">
        <v>1073</v>
      </c>
      <c r="B1043" s="3">
        <f t="shared" si="103"/>
        <v>101</v>
      </c>
      <c r="C1043" s="3" t="str">
        <f t="shared" si="98"/>
        <v/>
      </c>
      <c r="D1043" s="3">
        <f t="shared" si="99"/>
        <v>147</v>
      </c>
      <c r="E1043" s="5" t="str">
        <f>IF(C1043="",IF(D1043="","",IF(D1043&lt;128,"Wahl "&amp;D1043,INDEX(KdoCodeTab,MATCH(D1043,KdoWertTab,0)))),"Status "&amp;C1043)</f>
        <v>Space</v>
      </c>
      <c r="F1043" t="str">
        <f t="shared" si="100"/>
        <v/>
      </c>
      <c r="G1043" t="str">
        <f t="shared" si="101"/>
        <v/>
      </c>
      <c r="H1043" t="str">
        <f t="shared" si="102"/>
        <v>Space</v>
      </c>
    </row>
    <row r="1044" spans="1:8" x14ac:dyDescent="0.25">
      <c r="A1044" t="s">
        <v>1074</v>
      </c>
      <c r="B1044" s="3">
        <f t="shared" si="103"/>
        <v>101</v>
      </c>
      <c r="C1044" s="3" t="str">
        <f t="shared" si="98"/>
        <v/>
      </c>
      <c r="D1044" s="3">
        <f t="shared" si="99"/>
        <v>150</v>
      </c>
      <c r="E1044" s="5" t="str">
        <f>IF(C1044="",IF(D1044="","",IF(D1044&lt;128,"Wahl "&amp;D1044,INDEX(KdoCodeTab,MATCH(D1044,KdoWertTab,0)))),"Status "&amp;C1044)</f>
        <v>SpaceWdh</v>
      </c>
      <c r="F1044" t="str">
        <f t="shared" si="100"/>
        <v/>
      </c>
      <c r="G1044" t="str">
        <f t="shared" si="101"/>
        <v/>
      </c>
      <c r="H1044" t="str">
        <f t="shared" si="102"/>
        <v>SpaceWdh</v>
      </c>
    </row>
    <row r="1045" spans="1:8" x14ac:dyDescent="0.25">
      <c r="A1045" t="s">
        <v>1075</v>
      </c>
      <c r="B1045" s="3">
        <f t="shared" si="103"/>
        <v>101</v>
      </c>
      <c r="C1045" s="3" t="str">
        <f t="shared" si="98"/>
        <v/>
      </c>
      <c r="D1045" s="3">
        <f t="shared" si="99"/>
        <v>156</v>
      </c>
      <c r="E1045" s="5" t="str">
        <f>IF(C1045="",IF(D1045="","",IF(D1045&lt;128,"Wahl "&amp;D1045,INDEX(KdoCodeTab,MATCH(D1045,KdoWertTab,0)))),"Status "&amp;C1045)</f>
        <v>Mark</v>
      </c>
      <c r="F1045" t="str">
        <f t="shared" si="100"/>
        <v/>
      </c>
      <c r="G1045" t="str">
        <f t="shared" si="101"/>
        <v/>
      </c>
      <c r="H1045" t="str">
        <f t="shared" si="102"/>
        <v>Mark</v>
      </c>
    </row>
    <row r="1046" spans="1:8" x14ac:dyDescent="0.25">
      <c r="A1046" t="s">
        <v>1076</v>
      </c>
      <c r="B1046" s="3">
        <f t="shared" si="103"/>
        <v>101</v>
      </c>
      <c r="C1046" s="3" t="str">
        <f t="shared" si="98"/>
        <v/>
      </c>
      <c r="D1046" s="3">
        <f t="shared" si="99"/>
        <v>154</v>
      </c>
      <c r="E1046" s="5" t="str">
        <f>IF(C1046="",IF(D1046="","",IF(D1046&lt;128,"Wahl "&amp;D1046,INDEX(KdoCodeTab,MATCH(D1046,KdoWertTab,0)))),"Status "&amp;C1046)</f>
        <v>MarkWdh</v>
      </c>
      <c r="F1046" t="str">
        <f t="shared" si="100"/>
        <v/>
      </c>
      <c r="G1046" t="str">
        <f t="shared" si="101"/>
        <v/>
      </c>
      <c r="H1046" t="str">
        <f t="shared" si="102"/>
        <v>MarkWdh</v>
      </c>
    </row>
    <row r="1047" spans="1:8" x14ac:dyDescent="0.25">
      <c r="A1047" t="s">
        <v>1077</v>
      </c>
      <c r="B1047" s="3">
        <f t="shared" si="103"/>
        <v>101</v>
      </c>
      <c r="C1047" s="3" t="str">
        <f t="shared" si="98"/>
        <v/>
      </c>
      <c r="D1047" s="3">
        <f t="shared" si="99"/>
        <v>147</v>
      </c>
      <c r="E1047" s="5" t="str">
        <f>IF(C1047="",IF(D1047="","",IF(D1047&lt;128,"Wahl "&amp;D1047,INDEX(KdoCodeTab,MATCH(D1047,KdoWertTab,0)))),"Status "&amp;C1047)</f>
        <v>Space</v>
      </c>
      <c r="F1047" t="str">
        <f t="shared" si="100"/>
        <v/>
      </c>
      <c r="G1047" t="str">
        <f t="shared" si="101"/>
        <v/>
      </c>
      <c r="H1047" t="str">
        <f t="shared" si="102"/>
        <v>Space</v>
      </c>
    </row>
    <row r="1048" spans="1:8" x14ac:dyDescent="0.25">
      <c r="A1048" t="s">
        <v>1078</v>
      </c>
      <c r="B1048" s="3">
        <f t="shared" si="103"/>
        <v>101</v>
      </c>
      <c r="C1048" s="3" t="str">
        <f t="shared" si="98"/>
        <v/>
      </c>
      <c r="D1048" s="3">
        <f t="shared" si="99"/>
        <v>150</v>
      </c>
      <c r="E1048" s="5" t="str">
        <f>IF(C1048="",IF(D1048="","",IF(D1048&lt;128,"Wahl "&amp;D1048,INDEX(KdoCodeTab,MATCH(D1048,KdoWertTab,0)))),"Status "&amp;C1048)</f>
        <v>SpaceWdh</v>
      </c>
      <c r="F1048" t="str">
        <f t="shared" si="100"/>
        <v/>
      </c>
      <c r="G1048" t="str">
        <f t="shared" si="101"/>
        <v/>
      </c>
      <c r="H1048" t="str">
        <f t="shared" si="102"/>
        <v>SpaceWdh</v>
      </c>
    </row>
    <row r="1049" spans="1:8" x14ac:dyDescent="0.25">
      <c r="A1049" t="s">
        <v>1079</v>
      </c>
      <c r="B1049" s="3">
        <f t="shared" si="103"/>
        <v>101</v>
      </c>
      <c r="C1049" s="3" t="str">
        <f t="shared" si="98"/>
        <v/>
      </c>
      <c r="D1049" s="3">
        <f t="shared" si="99"/>
        <v>156</v>
      </c>
      <c r="E1049" s="5" t="str">
        <f>IF(C1049="",IF(D1049="","",IF(D1049&lt;128,"Wahl "&amp;D1049,INDEX(KdoCodeTab,MATCH(D1049,KdoWertTab,0)))),"Status "&amp;C1049)</f>
        <v>Mark</v>
      </c>
      <c r="F1049" t="str">
        <f t="shared" si="100"/>
        <v/>
      </c>
      <c r="G1049" t="str">
        <f t="shared" si="101"/>
        <v/>
      </c>
      <c r="H1049" t="str">
        <f t="shared" si="102"/>
        <v>Mark</v>
      </c>
    </row>
    <row r="1050" spans="1:8" x14ac:dyDescent="0.25">
      <c r="A1050" t="s">
        <v>1080</v>
      </c>
      <c r="B1050" s="3">
        <f t="shared" si="103"/>
        <v>101</v>
      </c>
      <c r="C1050" s="3" t="str">
        <f t="shared" si="98"/>
        <v/>
      </c>
      <c r="D1050" s="3">
        <f t="shared" si="99"/>
        <v>154</v>
      </c>
      <c r="E1050" s="5" t="str">
        <f>IF(C1050="",IF(D1050="","",IF(D1050&lt;128,"Wahl "&amp;D1050,INDEX(KdoCodeTab,MATCH(D1050,KdoWertTab,0)))),"Status "&amp;C1050)</f>
        <v>MarkWdh</v>
      </c>
      <c r="F1050" t="str">
        <f t="shared" si="100"/>
        <v/>
      </c>
      <c r="G1050" t="str">
        <f t="shared" si="101"/>
        <v/>
      </c>
      <c r="H1050" t="str">
        <f t="shared" si="102"/>
        <v>MarkWdh</v>
      </c>
    </row>
    <row r="1051" spans="1:8" x14ac:dyDescent="0.25">
      <c r="A1051" t="s">
        <v>1081</v>
      </c>
      <c r="B1051" s="3">
        <f t="shared" si="103"/>
        <v>101</v>
      </c>
      <c r="C1051" s="3" t="str">
        <f t="shared" si="98"/>
        <v/>
      </c>
      <c r="D1051" s="3">
        <f t="shared" si="99"/>
        <v>147</v>
      </c>
      <c r="E1051" s="5" t="str">
        <f>IF(C1051="",IF(D1051="","",IF(D1051&lt;128,"Wahl "&amp;D1051,INDEX(KdoCodeTab,MATCH(D1051,KdoWertTab,0)))),"Status "&amp;C1051)</f>
        <v>Space</v>
      </c>
      <c r="F1051" t="str">
        <f t="shared" si="100"/>
        <v/>
      </c>
      <c r="G1051" t="str">
        <f t="shared" si="101"/>
        <v/>
      </c>
      <c r="H1051" t="str">
        <f t="shared" si="102"/>
        <v>Space</v>
      </c>
    </row>
    <row r="1052" spans="1:8" x14ac:dyDescent="0.25">
      <c r="A1052" t="s">
        <v>1082</v>
      </c>
      <c r="B1052" s="3">
        <f t="shared" si="103"/>
        <v>101</v>
      </c>
      <c r="C1052" s="3" t="str">
        <f t="shared" si="98"/>
        <v/>
      </c>
      <c r="D1052" s="3">
        <f t="shared" si="99"/>
        <v>150</v>
      </c>
      <c r="E1052" s="5" t="str">
        <f>IF(C1052="",IF(D1052="","",IF(D1052&lt;128,"Wahl "&amp;D1052,INDEX(KdoCodeTab,MATCH(D1052,KdoWertTab,0)))),"Status "&amp;C1052)</f>
        <v>SpaceWdh</v>
      </c>
      <c r="F1052" t="str">
        <f t="shared" si="100"/>
        <v/>
      </c>
      <c r="G1052" t="str">
        <f t="shared" si="101"/>
        <v/>
      </c>
      <c r="H1052" t="str">
        <f t="shared" si="102"/>
        <v>SpaceWdh</v>
      </c>
    </row>
    <row r="1053" spans="1:8" x14ac:dyDescent="0.25">
      <c r="A1053" t="s">
        <v>1083</v>
      </c>
      <c r="B1053" s="3">
        <f t="shared" si="103"/>
        <v>101</v>
      </c>
      <c r="C1053" s="3" t="str">
        <f t="shared" si="98"/>
        <v/>
      </c>
      <c r="D1053" s="3">
        <f t="shared" si="99"/>
        <v>156</v>
      </c>
      <c r="E1053" s="5" t="str">
        <f>IF(C1053="",IF(D1053="","",IF(D1053&lt;128,"Wahl "&amp;D1053,INDEX(KdoCodeTab,MATCH(D1053,KdoWertTab,0)))),"Status "&amp;C1053)</f>
        <v>Mark</v>
      </c>
      <c r="F1053" t="str">
        <f t="shared" si="100"/>
        <v/>
      </c>
      <c r="G1053" t="str">
        <f t="shared" si="101"/>
        <v/>
      </c>
      <c r="H1053" t="str">
        <f t="shared" si="102"/>
        <v>Mark</v>
      </c>
    </row>
    <row r="1054" spans="1:8" x14ac:dyDescent="0.25">
      <c r="A1054" t="s">
        <v>1084</v>
      </c>
      <c r="B1054" s="3">
        <f t="shared" si="103"/>
        <v>101</v>
      </c>
      <c r="C1054" s="3" t="str">
        <f t="shared" si="98"/>
        <v/>
      </c>
      <c r="D1054" s="3">
        <f t="shared" si="99"/>
        <v>154</v>
      </c>
      <c r="E1054" s="5" t="str">
        <f>IF(C1054="",IF(D1054="","",IF(D1054&lt;128,"Wahl "&amp;D1054,INDEX(KdoCodeTab,MATCH(D1054,KdoWertTab,0)))),"Status "&amp;C1054)</f>
        <v>MarkWdh</v>
      </c>
      <c r="F1054" t="str">
        <f t="shared" si="100"/>
        <v/>
      </c>
      <c r="G1054" t="str">
        <f t="shared" si="101"/>
        <v/>
      </c>
      <c r="H1054" t="str">
        <f t="shared" si="102"/>
        <v>MarkWdh</v>
      </c>
    </row>
    <row r="1055" spans="1:8" x14ac:dyDescent="0.25">
      <c r="A1055" t="s">
        <v>1085</v>
      </c>
      <c r="B1055" s="3">
        <f t="shared" si="103"/>
        <v>31</v>
      </c>
      <c r="C1055" s="3" t="str">
        <f t="shared" si="98"/>
        <v/>
      </c>
      <c r="D1055" s="3">
        <f t="shared" si="99"/>
        <v>154</v>
      </c>
      <c r="E1055" s="5" t="str">
        <f>IF(C1055="",IF(D1055="","",IF(D1055&lt;128,"Wahl "&amp;D1055,INDEX(KdoCodeTab,MATCH(D1055,KdoWertTab,0)))),"Status "&amp;C1055)</f>
        <v>MarkWdh</v>
      </c>
      <c r="F1055" t="str">
        <f t="shared" si="100"/>
        <v>MarkWdh</v>
      </c>
      <c r="G1055" t="str">
        <f t="shared" si="101"/>
        <v/>
      </c>
      <c r="H1055" t="str">
        <f t="shared" si="102"/>
        <v/>
      </c>
    </row>
    <row r="1056" spans="1:8" x14ac:dyDescent="0.25">
      <c r="A1056" t="s">
        <v>1086</v>
      </c>
      <c r="B1056" s="3">
        <f t="shared" si="103"/>
        <v>101</v>
      </c>
      <c r="C1056" s="3" t="str">
        <f t="shared" si="98"/>
        <v/>
      </c>
      <c r="D1056" s="3">
        <f t="shared" si="99"/>
        <v>169</v>
      </c>
      <c r="E1056" s="5" t="str">
        <f>IF(C1056="",IF(D1056="","",IF(D1056&lt;128,"Wahl "&amp;D1056,INDEX(KdoCodeTab,MATCH(D1056,KdoWertTab,0)))),"Status "&amp;C1056)</f>
        <v>BusLebenszeichen</v>
      </c>
      <c r="F1056" t="str">
        <f t="shared" si="100"/>
        <v/>
      </c>
      <c r="G1056" t="str">
        <f t="shared" si="101"/>
        <v/>
      </c>
      <c r="H1056" t="str">
        <f t="shared" si="102"/>
        <v>BusLebenszeichen</v>
      </c>
    </row>
    <row r="1057" spans="1:8" x14ac:dyDescent="0.25">
      <c r="A1057" t="s">
        <v>1087</v>
      </c>
      <c r="B1057" s="3">
        <f t="shared" si="103"/>
        <v>101</v>
      </c>
      <c r="C1057" s="3" t="str">
        <f t="shared" si="98"/>
        <v/>
      </c>
      <c r="D1057" s="3">
        <f t="shared" si="99"/>
        <v>147</v>
      </c>
      <c r="E1057" s="5" t="str">
        <f>IF(C1057="",IF(D1057="","",IF(D1057&lt;128,"Wahl "&amp;D1057,INDEX(KdoCodeTab,MATCH(D1057,KdoWertTab,0)))),"Status "&amp;C1057)</f>
        <v>Space</v>
      </c>
      <c r="F1057" t="str">
        <f t="shared" si="100"/>
        <v/>
      </c>
      <c r="G1057" t="str">
        <f t="shared" si="101"/>
        <v/>
      </c>
      <c r="H1057" t="str">
        <f t="shared" si="102"/>
        <v>Space</v>
      </c>
    </row>
    <row r="1058" spans="1:8" x14ac:dyDescent="0.25">
      <c r="A1058" t="s">
        <v>1088</v>
      </c>
      <c r="B1058" s="3">
        <f t="shared" si="103"/>
        <v>101</v>
      </c>
      <c r="C1058" s="3" t="str">
        <f t="shared" si="98"/>
        <v/>
      </c>
      <c r="D1058" s="3">
        <f t="shared" si="99"/>
        <v>150</v>
      </c>
      <c r="E1058" s="5" t="str">
        <f>IF(C1058="",IF(D1058="","",IF(D1058&lt;128,"Wahl "&amp;D1058,INDEX(KdoCodeTab,MATCH(D1058,KdoWertTab,0)))),"Status "&amp;C1058)</f>
        <v>SpaceWdh</v>
      </c>
      <c r="F1058" t="str">
        <f t="shared" si="100"/>
        <v/>
      </c>
      <c r="G1058" t="str">
        <f t="shared" si="101"/>
        <v/>
      </c>
      <c r="H1058" t="str">
        <f t="shared" si="102"/>
        <v>SpaceWdh</v>
      </c>
    </row>
    <row r="1059" spans="1:8" x14ac:dyDescent="0.25">
      <c r="A1059" t="s">
        <v>1089</v>
      </c>
      <c r="B1059" s="3">
        <f t="shared" si="103"/>
        <v>101</v>
      </c>
      <c r="C1059" s="3" t="str">
        <f t="shared" si="98"/>
        <v/>
      </c>
      <c r="D1059" s="3">
        <f t="shared" si="99"/>
        <v>156</v>
      </c>
      <c r="E1059" s="5" t="str">
        <f>IF(C1059="",IF(D1059="","",IF(D1059&lt;128,"Wahl "&amp;D1059,INDEX(KdoCodeTab,MATCH(D1059,KdoWertTab,0)))),"Status "&amp;C1059)</f>
        <v>Mark</v>
      </c>
      <c r="F1059" t="str">
        <f t="shared" si="100"/>
        <v/>
      </c>
      <c r="G1059" t="str">
        <f t="shared" si="101"/>
        <v/>
      </c>
      <c r="H1059" t="str">
        <f t="shared" si="102"/>
        <v>Mark</v>
      </c>
    </row>
    <row r="1060" spans="1:8" x14ac:dyDescent="0.25">
      <c r="A1060" t="s">
        <v>1090</v>
      </c>
      <c r="B1060" s="3">
        <f t="shared" si="103"/>
        <v>101</v>
      </c>
      <c r="C1060" s="3" t="str">
        <f t="shared" si="98"/>
        <v/>
      </c>
      <c r="D1060" s="3">
        <f t="shared" si="99"/>
        <v>154</v>
      </c>
      <c r="E1060" s="5" t="str">
        <f>IF(C1060="",IF(D1060="","",IF(D1060&lt;128,"Wahl "&amp;D1060,INDEX(KdoCodeTab,MATCH(D1060,KdoWertTab,0)))),"Status "&amp;C1060)</f>
        <v>MarkWdh</v>
      </c>
      <c r="F1060" t="str">
        <f t="shared" si="100"/>
        <v/>
      </c>
      <c r="G1060" t="str">
        <f t="shared" si="101"/>
        <v/>
      </c>
      <c r="H1060" t="str">
        <f t="shared" si="102"/>
        <v>MarkWdh</v>
      </c>
    </row>
    <row r="1061" spans="1:8" x14ac:dyDescent="0.25">
      <c r="A1061" t="s">
        <v>1091</v>
      </c>
      <c r="B1061" s="3">
        <f t="shared" si="103"/>
        <v>101</v>
      </c>
      <c r="C1061" s="3" t="str">
        <f t="shared" si="98"/>
        <v/>
      </c>
      <c r="D1061" s="3">
        <f t="shared" si="99"/>
        <v>147</v>
      </c>
      <c r="E1061" s="5" t="str">
        <f>IF(C1061="",IF(D1061="","",IF(D1061&lt;128,"Wahl "&amp;D1061,INDEX(KdoCodeTab,MATCH(D1061,KdoWertTab,0)))),"Status "&amp;C1061)</f>
        <v>Space</v>
      </c>
      <c r="F1061" t="str">
        <f t="shared" si="100"/>
        <v/>
      </c>
      <c r="G1061" t="str">
        <f t="shared" si="101"/>
        <v/>
      </c>
      <c r="H1061" t="str">
        <f t="shared" si="102"/>
        <v>Space</v>
      </c>
    </row>
    <row r="1062" spans="1:8" x14ac:dyDescent="0.25">
      <c r="A1062" t="s">
        <v>1092</v>
      </c>
      <c r="B1062" s="3">
        <f t="shared" si="103"/>
        <v>101</v>
      </c>
      <c r="C1062" s="3" t="str">
        <f t="shared" si="98"/>
        <v/>
      </c>
      <c r="D1062" s="3">
        <f t="shared" si="99"/>
        <v>150</v>
      </c>
      <c r="E1062" s="5" t="str">
        <f>IF(C1062="",IF(D1062="","",IF(D1062&lt;128,"Wahl "&amp;D1062,INDEX(KdoCodeTab,MATCH(D1062,KdoWertTab,0)))),"Status "&amp;C1062)</f>
        <v>SpaceWdh</v>
      </c>
      <c r="F1062" t="str">
        <f t="shared" si="100"/>
        <v/>
      </c>
      <c r="G1062" t="str">
        <f t="shared" si="101"/>
        <v/>
      </c>
      <c r="H1062" t="str">
        <f t="shared" si="102"/>
        <v>SpaceWdh</v>
      </c>
    </row>
    <row r="1063" spans="1:8" x14ac:dyDescent="0.25">
      <c r="A1063" t="s">
        <v>1093</v>
      </c>
      <c r="B1063" s="3">
        <f t="shared" si="103"/>
        <v>101</v>
      </c>
      <c r="C1063" s="3" t="str">
        <f t="shared" si="98"/>
        <v/>
      </c>
      <c r="D1063" s="3">
        <f t="shared" si="99"/>
        <v>156</v>
      </c>
      <c r="E1063" s="5" t="str">
        <f>IF(C1063="",IF(D1063="","",IF(D1063&lt;128,"Wahl "&amp;D1063,INDEX(KdoCodeTab,MATCH(D1063,KdoWertTab,0)))),"Status "&amp;C1063)</f>
        <v>Mark</v>
      </c>
      <c r="F1063" t="str">
        <f t="shared" si="100"/>
        <v/>
      </c>
      <c r="G1063" t="str">
        <f t="shared" si="101"/>
        <v/>
      </c>
      <c r="H1063" t="str">
        <f t="shared" si="102"/>
        <v>Mark</v>
      </c>
    </row>
    <row r="1064" spans="1:8" x14ac:dyDescent="0.25">
      <c r="A1064" t="s">
        <v>1094</v>
      </c>
      <c r="B1064" s="3">
        <f t="shared" si="103"/>
        <v>101</v>
      </c>
      <c r="C1064" s="3" t="str">
        <f t="shared" si="98"/>
        <v/>
      </c>
      <c r="D1064" s="3">
        <f t="shared" si="99"/>
        <v>154</v>
      </c>
      <c r="E1064" s="5" t="str">
        <f>IF(C1064="",IF(D1064="","",IF(D1064&lt;128,"Wahl "&amp;D1064,INDEX(KdoCodeTab,MATCH(D1064,KdoWertTab,0)))),"Status "&amp;C1064)</f>
        <v>MarkWdh</v>
      </c>
      <c r="F1064" t="str">
        <f t="shared" si="100"/>
        <v/>
      </c>
      <c r="G1064" t="str">
        <f t="shared" si="101"/>
        <v/>
      </c>
      <c r="H1064" t="str">
        <f t="shared" si="102"/>
        <v>MarkWdh</v>
      </c>
    </row>
    <row r="1065" spans="1:8" x14ac:dyDescent="0.25">
      <c r="A1065" t="s">
        <v>1095</v>
      </c>
      <c r="B1065" s="3">
        <f t="shared" si="103"/>
        <v>101</v>
      </c>
      <c r="C1065" s="3" t="str">
        <f t="shared" si="98"/>
        <v/>
      </c>
      <c r="D1065" s="3">
        <f t="shared" si="99"/>
        <v>147</v>
      </c>
      <c r="E1065" s="5" t="str">
        <f>IF(C1065="",IF(D1065="","",IF(D1065&lt;128,"Wahl "&amp;D1065,INDEX(KdoCodeTab,MATCH(D1065,KdoWertTab,0)))),"Status "&amp;C1065)</f>
        <v>Space</v>
      </c>
      <c r="F1065" t="str">
        <f t="shared" si="100"/>
        <v/>
      </c>
      <c r="G1065" t="str">
        <f t="shared" si="101"/>
        <v/>
      </c>
      <c r="H1065" t="str">
        <f t="shared" si="102"/>
        <v>Space</v>
      </c>
    </row>
    <row r="1066" spans="1:8" x14ac:dyDescent="0.25">
      <c r="A1066" t="s">
        <v>1096</v>
      </c>
      <c r="B1066" s="3">
        <f t="shared" si="103"/>
        <v>101</v>
      </c>
      <c r="C1066" s="3" t="str">
        <f t="shared" si="98"/>
        <v/>
      </c>
      <c r="D1066" s="3">
        <f t="shared" si="99"/>
        <v>150</v>
      </c>
      <c r="E1066" s="5" t="str">
        <f>IF(C1066="",IF(D1066="","",IF(D1066&lt;128,"Wahl "&amp;D1066,INDEX(KdoCodeTab,MATCH(D1066,KdoWertTab,0)))),"Status "&amp;C1066)</f>
        <v>SpaceWdh</v>
      </c>
      <c r="F1066" t="str">
        <f t="shared" si="100"/>
        <v/>
      </c>
      <c r="G1066" t="str">
        <f t="shared" si="101"/>
        <v/>
      </c>
      <c r="H1066" t="str">
        <f t="shared" si="102"/>
        <v>SpaceWdh</v>
      </c>
    </row>
    <row r="1067" spans="1:8" x14ac:dyDescent="0.25">
      <c r="A1067" t="s">
        <v>1097</v>
      </c>
      <c r="B1067" s="3">
        <f t="shared" si="103"/>
        <v>101</v>
      </c>
      <c r="C1067" s="3" t="str">
        <f t="shared" si="98"/>
        <v/>
      </c>
      <c r="D1067" s="3">
        <f t="shared" si="99"/>
        <v>156</v>
      </c>
      <c r="E1067" s="5" t="str">
        <f>IF(C1067="",IF(D1067="","",IF(D1067&lt;128,"Wahl "&amp;D1067,INDEX(KdoCodeTab,MATCH(D1067,KdoWertTab,0)))),"Status "&amp;C1067)</f>
        <v>Mark</v>
      </c>
      <c r="F1067" t="str">
        <f t="shared" si="100"/>
        <v/>
      </c>
      <c r="G1067" t="str">
        <f t="shared" si="101"/>
        <v/>
      </c>
      <c r="H1067" t="str">
        <f t="shared" si="102"/>
        <v>Mark</v>
      </c>
    </row>
    <row r="1068" spans="1:8" x14ac:dyDescent="0.25">
      <c r="A1068" t="s">
        <v>1098</v>
      </c>
      <c r="B1068" s="3">
        <f t="shared" si="103"/>
        <v>101</v>
      </c>
      <c r="C1068" s="3" t="str">
        <f t="shared" si="98"/>
        <v/>
      </c>
      <c r="D1068" s="3">
        <f t="shared" si="99"/>
        <v>154</v>
      </c>
      <c r="E1068" s="5" t="str">
        <f>IF(C1068="",IF(D1068="","",IF(D1068&lt;128,"Wahl "&amp;D1068,INDEX(KdoCodeTab,MATCH(D1068,KdoWertTab,0)))),"Status "&amp;C1068)</f>
        <v>MarkWdh</v>
      </c>
      <c r="F1068" t="str">
        <f t="shared" si="100"/>
        <v/>
      </c>
      <c r="G1068" t="str">
        <f t="shared" si="101"/>
        <v/>
      </c>
      <c r="H1068" t="str">
        <f t="shared" si="102"/>
        <v>MarkWdh</v>
      </c>
    </row>
    <row r="1069" spans="1:8" x14ac:dyDescent="0.25">
      <c r="A1069" t="s">
        <v>1099</v>
      </c>
      <c r="B1069" s="3">
        <f t="shared" si="103"/>
        <v>101</v>
      </c>
      <c r="C1069" s="3" t="str">
        <f t="shared" si="98"/>
        <v/>
      </c>
      <c r="D1069" s="3">
        <f t="shared" si="99"/>
        <v>147</v>
      </c>
      <c r="E1069" s="5" t="str">
        <f>IF(C1069="",IF(D1069="","",IF(D1069&lt;128,"Wahl "&amp;D1069,INDEX(KdoCodeTab,MATCH(D1069,KdoWertTab,0)))),"Status "&amp;C1069)</f>
        <v>Space</v>
      </c>
      <c r="F1069" t="str">
        <f t="shared" si="100"/>
        <v/>
      </c>
      <c r="G1069" t="str">
        <f t="shared" si="101"/>
        <v/>
      </c>
      <c r="H1069" t="str">
        <f t="shared" si="102"/>
        <v>Space</v>
      </c>
    </row>
    <row r="1070" spans="1:8" x14ac:dyDescent="0.25">
      <c r="A1070" t="s">
        <v>1100</v>
      </c>
      <c r="B1070" s="3">
        <f t="shared" si="103"/>
        <v>101</v>
      </c>
      <c r="C1070" s="3" t="str">
        <f t="shared" si="98"/>
        <v/>
      </c>
      <c r="D1070" s="3">
        <f t="shared" si="99"/>
        <v>150</v>
      </c>
      <c r="E1070" s="5" t="str">
        <f>IF(C1070="",IF(D1070="","",IF(D1070&lt;128,"Wahl "&amp;D1070,INDEX(KdoCodeTab,MATCH(D1070,KdoWertTab,0)))),"Status "&amp;C1070)</f>
        <v>SpaceWdh</v>
      </c>
      <c r="F1070" t="str">
        <f t="shared" si="100"/>
        <v/>
      </c>
      <c r="G1070" t="str">
        <f t="shared" si="101"/>
        <v/>
      </c>
      <c r="H1070" t="str">
        <f t="shared" si="102"/>
        <v>SpaceWdh</v>
      </c>
    </row>
    <row r="1071" spans="1:8" x14ac:dyDescent="0.25">
      <c r="A1071" t="s">
        <v>1101</v>
      </c>
      <c r="B1071" s="3">
        <f t="shared" si="103"/>
        <v>31</v>
      </c>
      <c r="C1071" s="3" t="str">
        <f t="shared" si="98"/>
        <v/>
      </c>
      <c r="D1071" s="3">
        <f t="shared" si="99"/>
        <v>154</v>
      </c>
      <c r="E1071" s="5" t="str">
        <f>IF(C1071="",IF(D1071="","",IF(D1071&lt;128,"Wahl "&amp;D1071,INDEX(KdoCodeTab,MATCH(D1071,KdoWertTab,0)))),"Status "&amp;C1071)</f>
        <v>MarkWdh</v>
      </c>
      <c r="F1071" t="str">
        <f t="shared" si="100"/>
        <v>MarkWdh</v>
      </c>
      <c r="G1071" t="str">
        <f t="shared" si="101"/>
        <v/>
      </c>
      <c r="H1071" t="str">
        <f t="shared" si="102"/>
        <v/>
      </c>
    </row>
    <row r="1072" spans="1:8" x14ac:dyDescent="0.25">
      <c r="A1072" t="s">
        <v>1102</v>
      </c>
      <c r="B1072" s="3">
        <f t="shared" si="103"/>
        <v>101</v>
      </c>
      <c r="C1072" s="3" t="str">
        <f t="shared" si="98"/>
        <v/>
      </c>
      <c r="D1072" s="3">
        <f t="shared" si="99"/>
        <v>156</v>
      </c>
      <c r="E1072" s="5" t="str">
        <f>IF(C1072="",IF(D1072="","",IF(D1072&lt;128,"Wahl "&amp;D1072,INDEX(KdoCodeTab,MATCH(D1072,KdoWertTab,0)))),"Status "&amp;C1072)</f>
        <v>Mark</v>
      </c>
      <c r="F1072" t="str">
        <f t="shared" si="100"/>
        <v/>
      </c>
      <c r="G1072" t="str">
        <f t="shared" si="101"/>
        <v/>
      </c>
      <c r="H1072" t="str">
        <f t="shared" si="102"/>
        <v>Mark</v>
      </c>
    </row>
    <row r="1073" spans="1:8" x14ac:dyDescent="0.25">
      <c r="A1073" t="s">
        <v>1103</v>
      </c>
      <c r="B1073" s="3">
        <f t="shared" si="103"/>
        <v>101</v>
      </c>
      <c r="C1073" s="3" t="str">
        <f t="shared" si="98"/>
        <v/>
      </c>
      <c r="D1073" s="3">
        <f t="shared" si="99"/>
        <v>154</v>
      </c>
      <c r="E1073" s="5" t="str">
        <f>IF(C1073="",IF(D1073="","",IF(D1073&lt;128,"Wahl "&amp;D1073,INDEX(KdoCodeTab,MATCH(D1073,KdoWertTab,0)))),"Status "&amp;C1073)</f>
        <v>MarkWdh</v>
      </c>
      <c r="F1073" t="str">
        <f t="shared" si="100"/>
        <v/>
      </c>
      <c r="G1073" t="str">
        <f t="shared" si="101"/>
        <v/>
      </c>
      <c r="H1073" t="str">
        <f t="shared" si="102"/>
        <v>MarkWdh</v>
      </c>
    </row>
    <row r="1074" spans="1:8" x14ac:dyDescent="0.25">
      <c r="A1074" t="s">
        <v>1104</v>
      </c>
      <c r="B1074" s="3">
        <f t="shared" si="103"/>
        <v>101</v>
      </c>
      <c r="C1074" s="3" t="str">
        <f t="shared" si="98"/>
        <v/>
      </c>
      <c r="D1074" s="3">
        <f t="shared" si="99"/>
        <v>169</v>
      </c>
      <c r="E1074" s="5" t="str">
        <f>IF(C1074="",IF(D1074="","",IF(D1074&lt;128,"Wahl "&amp;D1074,INDEX(KdoCodeTab,MATCH(D1074,KdoWertTab,0)))),"Status "&amp;C1074)</f>
        <v>BusLebenszeichen</v>
      </c>
      <c r="F1074" t="str">
        <f t="shared" si="100"/>
        <v/>
      </c>
      <c r="G1074" t="str">
        <f t="shared" si="101"/>
        <v/>
      </c>
      <c r="H1074" t="str">
        <f t="shared" si="102"/>
        <v>BusLebenszeichen</v>
      </c>
    </row>
    <row r="1075" spans="1:8" x14ac:dyDescent="0.25">
      <c r="A1075" t="s">
        <v>1105</v>
      </c>
      <c r="B1075" s="3">
        <f t="shared" si="103"/>
        <v>31</v>
      </c>
      <c r="C1075" s="3" t="str">
        <f t="shared" si="98"/>
        <v/>
      </c>
      <c r="D1075" s="3">
        <f t="shared" si="99"/>
        <v>154</v>
      </c>
      <c r="E1075" s="5" t="str">
        <f>IF(C1075="",IF(D1075="","",IF(D1075&lt;128,"Wahl "&amp;D1075,INDEX(KdoCodeTab,MATCH(D1075,KdoWertTab,0)))),"Status "&amp;C1075)</f>
        <v>MarkWdh</v>
      </c>
      <c r="F1075" t="str">
        <f t="shared" si="100"/>
        <v>MarkWdh</v>
      </c>
      <c r="G1075" t="str">
        <f t="shared" si="101"/>
        <v/>
      </c>
      <c r="H1075" t="str">
        <f t="shared" si="102"/>
        <v/>
      </c>
    </row>
    <row r="1076" spans="1:8" x14ac:dyDescent="0.25">
      <c r="A1076" t="s">
        <v>1106</v>
      </c>
      <c r="B1076" s="3">
        <f t="shared" si="103"/>
        <v>31</v>
      </c>
      <c r="C1076" s="3" t="str">
        <f t="shared" si="98"/>
        <v/>
      </c>
      <c r="D1076" s="3">
        <f t="shared" si="99"/>
        <v>154</v>
      </c>
      <c r="E1076" s="5" t="str">
        <f>IF(C1076="",IF(D1076="","",IF(D1076&lt;128,"Wahl "&amp;D1076,INDEX(KdoCodeTab,MATCH(D1076,KdoWertTab,0)))),"Status "&amp;C1076)</f>
        <v>MarkWdh</v>
      </c>
      <c r="F1076" t="str">
        <f t="shared" si="100"/>
        <v>MarkWdh</v>
      </c>
      <c r="G1076" t="str">
        <f t="shared" si="101"/>
        <v/>
      </c>
      <c r="H1076" t="str">
        <f t="shared" si="102"/>
        <v/>
      </c>
    </row>
    <row r="1077" spans="1:8" x14ac:dyDescent="0.25">
      <c r="A1077" t="s">
        <v>1107</v>
      </c>
      <c r="B1077" s="3">
        <f t="shared" si="103"/>
        <v>101</v>
      </c>
      <c r="C1077" s="3" t="str">
        <f t="shared" si="98"/>
        <v/>
      </c>
      <c r="D1077" s="3">
        <f t="shared" si="99"/>
        <v>169</v>
      </c>
      <c r="E1077" s="5" t="str">
        <f>IF(C1077="",IF(D1077="","",IF(D1077&lt;128,"Wahl "&amp;D1077,INDEX(KdoCodeTab,MATCH(D1077,KdoWertTab,0)))),"Status "&amp;C1077)</f>
        <v>BusLebenszeichen</v>
      </c>
      <c r="F1077" t="str">
        <f t="shared" si="100"/>
        <v/>
      </c>
      <c r="G1077" t="str">
        <f t="shared" si="101"/>
        <v/>
      </c>
      <c r="H1077" t="str">
        <f t="shared" si="102"/>
        <v>BusLebenszeichen</v>
      </c>
    </row>
    <row r="1078" spans="1:8" x14ac:dyDescent="0.25">
      <c r="A1078" t="s">
        <v>1108</v>
      </c>
      <c r="B1078" s="3">
        <f t="shared" si="103"/>
        <v>101</v>
      </c>
      <c r="C1078" s="3" t="str">
        <f t="shared" si="98"/>
        <v/>
      </c>
      <c r="D1078" s="3">
        <f t="shared" si="99"/>
        <v>147</v>
      </c>
      <c r="E1078" s="5" t="str">
        <f>IF(C1078="",IF(D1078="","",IF(D1078&lt;128,"Wahl "&amp;D1078,INDEX(KdoCodeTab,MATCH(D1078,KdoWertTab,0)))),"Status "&amp;C1078)</f>
        <v>Space</v>
      </c>
      <c r="F1078" t="str">
        <f t="shared" si="100"/>
        <v/>
      </c>
      <c r="G1078" t="str">
        <f t="shared" si="101"/>
        <v/>
      </c>
      <c r="H1078" t="str">
        <f t="shared" si="102"/>
        <v>Space</v>
      </c>
    </row>
    <row r="1079" spans="1:8" x14ac:dyDescent="0.25">
      <c r="A1079" t="s">
        <v>1109</v>
      </c>
      <c r="B1079" s="3">
        <f t="shared" si="103"/>
        <v>101</v>
      </c>
      <c r="C1079" s="3" t="str">
        <f t="shared" si="98"/>
        <v/>
      </c>
      <c r="D1079" s="3">
        <f t="shared" si="99"/>
        <v>150</v>
      </c>
      <c r="E1079" s="5" t="str">
        <f>IF(C1079="",IF(D1079="","",IF(D1079&lt;128,"Wahl "&amp;D1079,INDEX(KdoCodeTab,MATCH(D1079,KdoWertTab,0)))),"Status "&amp;C1079)</f>
        <v>SpaceWdh</v>
      </c>
      <c r="F1079" t="str">
        <f t="shared" si="100"/>
        <v/>
      </c>
      <c r="G1079" t="str">
        <f t="shared" si="101"/>
        <v/>
      </c>
      <c r="H1079" t="str">
        <f t="shared" si="102"/>
        <v>SpaceWdh</v>
      </c>
    </row>
    <row r="1080" spans="1:8" x14ac:dyDescent="0.25">
      <c r="A1080" t="s">
        <v>1110</v>
      </c>
      <c r="B1080" s="3">
        <f t="shared" si="103"/>
        <v>101</v>
      </c>
      <c r="C1080" s="3" t="str">
        <f t="shared" si="98"/>
        <v/>
      </c>
      <c r="D1080" s="3">
        <f t="shared" si="99"/>
        <v>156</v>
      </c>
      <c r="E1080" s="5" t="str">
        <f>IF(C1080="",IF(D1080="","",IF(D1080&lt;128,"Wahl "&amp;D1080,INDEX(KdoCodeTab,MATCH(D1080,KdoWertTab,0)))),"Status "&amp;C1080)</f>
        <v>Mark</v>
      </c>
      <c r="F1080" t="str">
        <f t="shared" si="100"/>
        <v/>
      </c>
      <c r="G1080" t="str">
        <f t="shared" si="101"/>
        <v/>
      </c>
      <c r="H1080" t="str">
        <f t="shared" si="102"/>
        <v>Mark</v>
      </c>
    </row>
    <row r="1081" spans="1:8" x14ac:dyDescent="0.25">
      <c r="A1081" t="s">
        <v>1111</v>
      </c>
      <c r="B1081" s="3">
        <f t="shared" si="103"/>
        <v>101</v>
      </c>
      <c r="C1081" s="3" t="str">
        <f t="shared" si="98"/>
        <v/>
      </c>
      <c r="D1081" s="3">
        <f t="shared" si="99"/>
        <v>154</v>
      </c>
      <c r="E1081" s="5" t="str">
        <f>IF(C1081="",IF(D1081="","",IF(D1081&lt;128,"Wahl "&amp;D1081,INDEX(KdoCodeTab,MATCH(D1081,KdoWertTab,0)))),"Status "&amp;C1081)</f>
        <v>MarkWdh</v>
      </c>
      <c r="F1081" t="str">
        <f t="shared" si="100"/>
        <v/>
      </c>
      <c r="G1081" t="str">
        <f t="shared" si="101"/>
        <v/>
      </c>
      <c r="H1081" t="str">
        <f t="shared" si="102"/>
        <v>MarkWdh</v>
      </c>
    </row>
    <row r="1082" spans="1:8" x14ac:dyDescent="0.25">
      <c r="A1082" t="s">
        <v>1112</v>
      </c>
      <c r="B1082" s="3">
        <f t="shared" si="103"/>
        <v>101</v>
      </c>
      <c r="C1082" s="3" t="str">
        <f t="shared" si="98"/>
        <v/>
      </c>
      <c r="D1082" s="3">
        <f t="shared" si="99"/>
        <v>147</v>
      </c>
      <c r="E1082" s="5" t="str">
        <f>IF(C1082="",IF(D1082="","",IF(D1082&lt;128,"Wahl "&amp;D1082,INDEX(KdoCodeTab,MATCH(D1082,KdoWertTab,0)))),"Status "&amp;C1082)</f>
        <v>Space</v>
      </c>
      <c r="F1082" t="str">
        <f t="shared" si="100"/>
        <v/>
      </c>
      <c r="G1082" t="str">
        <f t="shared" si="101"/>
        <v/>
      </c>
      <c r="H1082" t="str">
        <f t="shared" si="102"/>
        <v>Space</v>
      </c>
    </row>
    <row r="1083" spans="1:8" x14ac:dyDescent="0.25">
      <c r="A1083" t="s">
        <v>1113</v>
      </c>
      <c r="B1083" s="3">
        <f t="shared" si="103"/>
        <v>101</v>
      </c>
      <c r="C1083" s="3" t="str">
        <f t="shared" ref="C1083:C1146" si="104">IF(MID(A1083,10,1)="&lt;",MID(A1083,12,2),"")</f>
        <v/>
      </c>
      <c r="D1083" s="3">
        <f t="shared" ref="D1083:D1146" si="105">IF(MID(A1083,10,1)="&gt;",HEX2DEC(MID(A1083,12,2)),"")</f>
        <v>150</v>
      </c>
      <c r="E1083" s="5" t="str">
        <f>IF(C1083="",IF(D1083="","",IF(D1083&lt;128,"Wahl "&amp;D1083,INDEX(KdoCodeTab,MATCH(D1083,KdoWertTab,0)))),"Status "&amp;C1083)</f>
        <v>SpaceWdh</v>
      </c>
      <c r="F1083" t="str">
        <f t="shared" ref="F1083:F1146" si="106">IF(B1083=$F$2,E1083,"")</f>
        <v/>
      </c>
      <c r="G1083" t="str">
        <f t="shared" ref="G1083:G1146" si="107">IF(B1083=$G$2,E1083,"")</f>
        <v/>
      </c>
      <c r="H1083" t="str">
        <f t="shared" ref="H1083:H1146" si="108">IF(F1083&amp;G1083="",E1083,"")</f>
        <v>SpaceWdh</v>
      </c>
    </row>
    <row r="1084" spans="1:8" x14ac:dyDescent="0.25">
      <c r="A1084" t="s">
        <v>1114</v>
      </c>
      <c r="B1084" s="3">
        <f t="shared" si="103"/>
        <v>101</v>
      </c>
      <c r="C1084" s="3" t="str">
        <f t="shared" si="104"/>
        <v/>
      </c>
      <c r="D1084" s="3">
        <f t="shared" si="105"/>
        <v>156</v>
      </c>
      <c r="E1084" s="5" t="str">
        <f>IF(C1084="",IF(D1084="","",IF(D1084&lt;128,"Wahl "&amp;D1084,INDEX(KdoCodeTab,MATCH(D1084,KdoWertTab,0)))),"Status "&amp;C1084)</f>
        <v>Mark</v>
      </c>
      <c r="F1084" t="str">
        <f t="shared" si="106"/>
        <v/>
      </c>
      <c r="G1084" t="str">
        <f t="shared" si="107"/>
        <v/>
      </c>
      <c r="H1084" t="str">
        <f t="shared" si="108"/>
        <v>Mark</v>
      </c>
    </row>
    <row r="1085" spans="1:8" x14ac:dyDescent="0.25">
      <c r="A1085" t="s">
        <v>1115</v>
      </c>
      <c r="B1085" s="3">
        <f t="shared" si="103"/>
        <v>101</v>
      </c>
      <c r="C1085" s="3" t="str">
        <f t="shared" si="104"/>
        <v/>
      </c>
      <c r="D1085" s="3">
        <f t="shared" si="105"/>
        <v>154</v>
      </c>
      <c r="E1085" s="5" t="str">
        <f>IF(C1085="",IF(D1085="","",IF(D1085&lt;128,"Wahl "&amp;D1085,INDEX(KdoCodeTab,MATCH(D1085,KdoWertTab,0)))),"Status "&amp;C1085)</f>
        <v>MarkWdh</v>
      </c>
      <c r="F1085" t="str">
        <f t="shared" si="106"/>
        <v/>
      </c>
      <c r="G1085" t="str">
        <f t="shared" si="107"/>
        <v/>
      </c>
      <c r="H1085" t="str">
        <f t="shared" si="108"/>
        <v>MarkWdh</v>
      </c>
    </row>
    <row r="1086" spans="1:8" x14ac:dyDescent="0.25">
      <c r="A1086" t="s">
        <v>1116</v>
      </c>
      <c r="B1086" s="3">
        <f t="shared" si="103"/>
        <v>101</v>
      </c>
      <c r="C1086" s="3" t="str">
        <f t="shared" si="104"/>
        <v/>
      </c>
      <c r="D1086" s="3">
        <f t="shared" si="105"/>
        <v>147</v>
      </c>
      <c r="E1086" s="5" t="str">
        <f>IF(C1086="",IF(D1086="","",IF(D1086&lt;128,"Wahl "&amp;D1086,INDEX(KdoCodeTab,MATCH(D1086,KdoWertTab,0)))),"Status "&amp;C1086)</f>
        <v>Space</v>
      </c>
      <c r="F1086" t="str">
        <f t="shared" si="106"/>
        <v/>
      </c>
      <c r="G1086" t="str">
        <f t="shared" si="107"/>
        <v/>
      </c>
      <c r="H1086" t="str">
        <f t="shared" si="108"/>
        <v>Space</v>
      </c>
    </row>
    <row r="1087" spans="1:8" x14ac:dyDescent="0.25">
      <c r="A1087" t="s">
        <v>1117</v>
      </c>
      <c r="B1087" s="3">
        <f t="shared" si="103"/>
        <v>101</v>
      </c>
      <c r="C1087" s="3" t="str">
        <f t="shared" si="104"/>
        <v/>
      </c>
      <c r="D1087" s="3">
        <f t="shared" si="105"/>
        <v>150</v>
      </c>
      <c r="E1087" s="5" t="str">
        <f>IF(C1087="",IF(D1087="","",IF(D1087&lt;128,"Wahl "&amp;D1087,INDEX(KdoCodeTab,MATCH(D1087,KdoWertTab,0)))),"Status "&amp;C1087)</f>
        <v>SpaceWdh</v>
      </c>
      <c r="F1087" t="str">
        <f t="shared" si="106"/>
        <v/>
      </c>
      <c r="G1087" t="str">
        <f t="shared" si="107"/>
        <v/>
      </c>
      <c r="H1087" t="str">
        <f t="shared" si="108"/>
        <v>SpaceWdh</v>
      </c>
    </row>
    <row r="1088" spans="1:8" x14ac:dyDescent="0.25">
      <c r="A1088" t="s">
        <v>1118</v>
      </c>
      <c r="B1088" s="3">
        <f t="shared" si="103"/>
        <v>101</v>
      </c>
      <c r="C1088" s="3" t="str">
        <f t="shared" si="104"/>
        <v/>
      </c>
      <c r="D1088" s="3">
        <f t="shared" si="105"/>
        <v>156</v>
      </c>
      <c r="E1088" s="5" t="str">
        <f>IF(C1088="",IF(D1088="","",IF(D1088&lt;128,"Wahl "&amp;D1088,INDEX(KdoCodeTab,MATCH(D1088,KdoWertTab,0)))),"Status "&amp;C1088)</f>
        <v>Mark</v>
      </c>
      <c r="F1088" t="str">
        <f t="shared" si="106"/>
        <v/>
      </c>
      <c r="G1088" t="str">
        <f t="shared" si="107"/>
        <v/>
      </c>
      <c r="H1088" t="str">
        <f t="shared" si="108"/>
        <v>Mark</v>
      </c>
    </row>
    <row r="1089" spans="1:8" x14ac:dyDescent="0.25">
      <c r="A1089" t="s">
        <v>1119</v>
      </c>
      <c r="B1089" s="3">
        <f t="shared" si="103"/>
        <v>101</v>
      </c>
      <c r="C1089" s="3" t="str">
        <f t="shared" si="104"/>
        <v/>
      </c>
      <c r="D1089" s="3">
        <f t="shared" si="105"/>
        <v>154</v>
      </c>
      <c r="E1089" s="5" t="str">
        <f>IF(C1089="",IF(D1089="","",IF(D1089&lt;128,"Wahl "&amp;D1089,INDEX(KdoCodeTab,MATCH(D1089,KdoWertTab,0)))),"Status "&amp;C1089)</f>
        <v>MarkWdh</v>
      </c>
      <c r="F1089" t="str">
        <f t="shared" si="106"/>
        <v/>
      </c>
      <c r="G1089" t="str">
        <f t="shared" si="107"/>
        <v/>
      </c>
      <c r="H1089" t="str">
        <f t="shared" si="108"/>
        <v>MarkWdh</v>
      </c>
    </row>
    <row r="1090" spans="1:8" x14ac:dyDescent="0.25">
      <c r="A1090" t="s">
        <v>1120</v>
      </c>
      <c r="B1090" s="3">
        <f t="shared" si="103"/>
        <v>101</v>
      </c>
      <c r="C1090" s="3" t="str">
        <f t="shared" si="104"/>
        <v/>
      </c>
      <c r="D1090" s="3">
        <f t="shared" si="105"/>
        <v>147</v>
      </c>
      <c r="E1090" s="5" t="str">
        <f>IF(C1090="",IF(D1090="","",IF(D1090&lt;128,"Wahl "&amp;D1090,INDEX(KdoCodeTab,MATCH(D1090,KdoWertTab,0)))),"Status "&amp;C1090)</f>
        <v>Space</v>
      </c>
      <c r="F1090" t="str">
        <f t="shared" si="106"/>
        <v/>
      </c>
      <c r="G1090" t="str">
        <f t="shared" si="107"/>
        <v/>
      </c>
      <c r="H1090" t="str">
        <f t="shared" si="108"/>
        <v>Space</v>
      </c>
    </row>
    <row r="1091" spans="1:8" x14ac:dyDescent="0.25">
      <c r="A1091" t="s">
        <v>1121</v>
      </c>
      <c r="B1091" s="3">
        <f t="shared" si="103"/>
        <v>101</v>
      </c>
      <c r="C1091" s="3" t="str">
        <f t="shared" si="104"/>
        <v/>
      </c>
      <c r="D1091" s="3">
        <f t="shared" si="105"/>
        <v>150</v>
      </c>
      <c r="E1091" s="5" t="str">
        <f>IF(C1091="",IF(D1091="","",IF(D1091&lt;128,"Wahl "&amp;D1091,INDEX(KdoCodeTab,MATCH(D1091,KdoWertTab,0)))),"Status "&amp;C1091)</f>
        <v>SpaceWdh</v>
      </c>
      <c r="F1091" t="str">
        <f t="shared" si="106"/>
        <v/>
      </c>
      <c r="G1091" t="str">
        <f t="shared" si="107"/>
        <v/>
      </c>
      <c r="H1091" t="str">
        <f t="shared" si="108"/>
        <v>SpaceWdh</v>
      </c>
    </row>
    <row r="1092" spans="1:8" x14ac:dyDescent="0.25">
      <c r="A1092" t="s">
        <v>1122</v>
      </c>
      <c r="B1092" s="3">
        <f t="shared" si="103"/>
        <v>101</v>
      </c>
      <c r="C1092" s="3" t="str">
        <f t="shared" si="104"/>
        <v/>
      </c>
      <c r="D1092" s="3">
        <f t="shared" si="105"/>
        <v>156</v>
      </c>
      <c r="E1092" s="5" t="str">
        <f>IF(C1092="",IF(D1092="","",IF(D1092&lt;128,"Wahl "&amp;D1092,INDEX(KdoCodeTab,MATCH(D1092,KdoWertTab,0)))),"Status "&amp;C1092)</f>
        <v>Mark</v>
      </c>
      <c r="F1092" t="str">
        <f t="shared" si="106"/>
        <v/>
      </c>
      <c r="G1092" t="str">
        <f t="shared" si="107"/>
        <v/>
      </c>
      <c r="H1092" t="str">
        <f t="shared" si="108"/>
        <v>Mark</v>
      </c>
    </row>
    <row r="1093" spans="1:8" x14ac:dyDescent="0.25">
      <c r="A1093" t="s">
        <v>1123</v>
      </c>
      <c r="B1093" s="3">
        <f t="shared" ref="B1093:B1156" si="109">INT(HEX2DEC(MID(A1093,8,2))/2)</f>
        <v>101</v>
      </c>
      <c r="C1093" s="3" t="str">
        <f t="shared" si="104"/>
        <v/>
      </c>
      <c r="D1093" s="3">
        <f t="shared" si="105"/>
        <v>154</v>
      </c>
      <c r="E1093" s="5" t="str">
        <f>IF(C1093="",IF(D1093="","",IF(D1093&lt;128,"Wahl "&amp;D1093,INDEX(KdoCodeTab,MATCH(D1093,KdoWertTab,0)))),"Status "&amp;C1093)</f>
        <v>MarkWdh</v>
      </c>
      <c r="F1093" t="str">
        <f t="shared" si="106"/>
        <v/>
      </c>
      <c r="G1093" t="str">
        <f t="shared" si="107"/>
        <v/>
      </c>
      <c r="H1093" t="str">
        <f t="shared" si="108"/>
        <v>MarkWdh</v>
      </c>
    </row>
    <row r="1094" spans="1:8" x14ac:dyDescent="0.25">
      <c r="A1094" t="s">
        <v>1124</v>
      </c>
      <c r="B1094" s="3">
        <f t="shared" si="109"/>
        <v>101</v>
      </c>
      <c r="C1094" s="3" t="str">
        <f t="shared" si="104"/>
        <v/>
      </c>
      <c r="D1094" s="3">
        <f t="shared" si="105"/>
        <v>147</v>
      </c>
      <c r="E1094" s="5" t="str">
        <f>IF(C1094="",IF(D1094="","",IF(D1094&lt;128,"Wahl "&amp;D1094,INDEX(KdoCodeTab,MATCH(D1094,KdoWertTab,0)))),"Status "&amp;C1094)</f>
        <v>Space</v>
      </c>
      <c r="F1094" t="str">
        <f t="shared" si="106"/>
        <v/>
      </c>
      <c r="G1094" t="str">
        <f t="shared" si="107"/>
        <v/>
      </c>
      <c r="H1094" t="str">
        <f t="shared" si="108"/>
        <v>Space</v>
      </c>
    </row>
    <row r="1095" spans="1:8" x14ac:dyDescent="0.25">
      <c r="A1095" t="s">
        <v>1125</v>
      </c>
      <c r="B1095" s="3">
        <f t="shared" si="109"/>
        <v>101</v>
      </c>
      <c r="C1095" s="3" t="str">
        <f t="shared" si="104"/>
        <v/>
      </c>
      <c r="D1095" s="3">
        <f t="shared" si="105"/>
        <v>150</v>
      </c>
      <c r="E1095" s="5" t="str">
        <f>IF(C1095="",IF(D1095="","",IF(D1095&lt;128,"Wahl "&amp;D1095,INDEX(KdoCodeTab,MATCH(D1095,KdoWertTab,0)))),"Status "&amp;C1095)</f>
        <v>SpaceWdh</v>
      </c>
      <c r="F1095" t="str">
        <f t="shared" si="106"/>
        <v/>
      </c>
      <c r="G1095" t="str">
        <f t="shared" si="107"/>
        <v/>
      </c>
      <c r="H1095" t="str">
        <f t="shared" si="108"/>
        <v>SpaceWdh</v>
      </c>
    </row>
    <row r="1096" spans="1:8" x14ac:dyDescent="0.25">
      <c r="A1096" t="s">
        <v>1126</v>
      </c>
      <c r="B1096" s="3">
        <f t="shared" si="109"/>
        <v>101</v>
      </c>
      <c r="C1096" s="3" t="str">
        <f t="shared" si="104"/>
        <v/>
      </c>
      <c r="D1096" s="3">
        <f t="shared" si="105"/>
        <v>156</v>
      </c>
      <c r="E1096" s="5" t="str">
        <f>IF(C1096="",IF(D1096="","",IF(D1096&lt;128,"Wahl "&amp;D1096,INDEX(KdoCodeTab,MATCH(D1096,KdoWertTab,0)))),"Status "&amp;C1096)</f>
        <v>Mark</v>
      </c>
      <c r="F1096" t="str">
        <f t="shared" si="106"/>
        <v/>
      </c>
      <c r="G1096" t="str">
        <f t="shared" si="107"/>
        <v/>
      </c>
      <c r="H1096" t="str">
        <f t="shared" si="108"/>
        <v>Mark</v>
      </c>
    </row>
    <row r="1097" spans="1:8" x14ac:dyDescent="0.25">
      <c r="A1097" t="s">
        <v>1127</v>
      </c>
      <c r="B1097" s="3">
        <f t="shared" si="109"/>
        <v>101</v>
      </c>
      <c r="C1097" s="3" t="str">
        <f t="shared" si="104"/>
        <v/>
      </c>
      <c r="D1097" s="3">
        <f t="shared" si="105"/>
        <v>154</v>
      </c>
      <c r="E1097" s="5" t="str">
        <f>IF(C1097="",IF(D1097="","",IF(D1097&lt;128,"Wahl "&amp;D1097,INDEX(KdoCodeTab,MATCH(D1097,KdoWertTab,0)))),"Status "&amp;C1097)</f>
        <v>MarkWdh</v>
      </c>
      <c r="F1097" t="str">
        <f t="shared" si="106"/>
        <v/>
      </c>
      <c r="G1097" t="str">
        <f t="shared" si="107"/>
        <v/>
      </c>
      <c r="H1097" t="str">
        <f t="shared" si="108"/>
        <v>MarkWdh</v>
      </c>
    </row>
    <row r="1098" spans="1:8" x14ac:dyDescent="0.25">
      <c r="A1098" t="s">
        <v>1128</v>
      </c>
      <c r="B1098" s="3">
        <f t="shared" si="109"/>
        <v>101</v>
      </c>
      <c r="C1098" s="3" t="str">
        <f t="shared" si="104"/>
        <v/>
      </c>
      <c r="D1098" s="3">
        <f t="shared" si="105"/>
        <v>147</v>
      </c>
      <c r="E1098" s="5" t="str">
        <f>IF(C1098="",IF(D1098="","",IF(D1098&lt;128,"Wahl "&amp;D1098,INDEX(KdoCodeTab,MATCH(D1098,KdoWertTab,0)))),"Status "&amp;C1098)</f>
        <v>Space</v>
      </c>
      <c r="F1098" t="str">
        <f t="shared" si="106"/>
        <v/>
      </c>
      <c r="G1098" t="str">
        <f t="shared" si="107"/>
        <v/>
      </c>
      <c r="H1098" t="str">
        <f t="shared" si="108"/>
        <v>Space</v>
      </c>
    </row>
    <row r="1099" spans="1:8" x14ac:dyDescent="0.25">
      <c r="A1099" t="s">
        <v>1129</v>
      </c>
      <c r="B1099" s="3">
        <f t="shared" si="109"/>
        <v>101</v>
      </c>
      <c r="C1099" s="3" t="str">
        <f t="shared" si="104"/>
        <v/>
      </c>
      <c r="D1099" s="3">
        <f t="shared" si="105"/>
        <v>150</v>
      </c>
      <c r="E1099" s="5" t="str">
        <f>IF(C1099="",IF(D1099="","",IF(D1099&lt;128,"Wahl "&amp;D1099,INDEX(KdoCodeTab,MATCH(D1099,KdoWertTab,0)))),"Status "&amp;C1099)</f>
        <v>SpaceWdh</v>
      </c>
      <c r="F1099" t="str">
        <f t="shared" si="106"/>
        <v/>
      </c>
      <c r="G1099" t="str">
        <f t="shared" si="107"/>
        <v/>
      </c>
      <c r="H1099" t="str">
        <f t="shared" si="108"/>
        <v>SpaceWdh</v>
      </c>
    </row>
    <row r="1100" spans="1:8" x14ac:dyDescent="0.25">
      <c r="A1100" t="s">
        <v>1130</v>
      </c>
      <c r="B1100" s="3">
        <f t="shared" si="109"/>
        <v>31</v>
      </c>
      <c r="C1100" s="3" t="str">
        <f t="shared" si="104"/>
        <v/>
      </c>
      <c r="D1100" s="3">
        <f t="shared" si="105"/>
        <v>154</v>
      </c>
      <c r="E1100" s="5" t="str">
        <f>IF(C1100="",IF(D1100="","",IF(D1100&lt;128,"Wahl "&amp;D1100,INDEX(KdoCodeTab,MATCH(D1100,KdoWertTab,0)))),"Status "&amp;C1100)</f>
        <v>MarkWdh</v>
      </c>
      <c r="F1100" t="str">
        <f t="shared" si="106"/>
        <v>MarkWdh</v>
      </c>
      <c r="G1100" t="str">
        <f t="shared" si="107"/>
        <v/>
      </c>
      <c r="H1100" t="str">
        <f t="shared" si="108"/>
        <v/>
      </c>
    </row>
    <row r="1101" spans="1:8" x14ac:dyDescent="0.25">
      <c r="A1101" t="s">
        <v>1131</v>
      </c>
      <c r="B1101" s="3">
        <f t="shared" si="109"/>
        <v>101</v>
      </c>
      <c r="C1101" s="3" t="str">
        <f t="shared" si="104"/>
        <v/>
      </c>
      <c r="D1101" s="3">
        <f t="shared" si="105"/>
        <v>156</v>
      </c>
      <c r="E1101" s="5" t="str">
        <f>IF(C1101="",IF(D1101="","",IF(D1101&lt;128,"Wahl "&amp;D1101,INDEX(KdoCodeTab,MATCH(D1101,KdoWertTab,0)))),"Status "&amp;C1101)</f>
        <v>Mark</v>
      </c>
      <c r="F1101" t="str">
        <f t="shared" si="106"/>
        <v/>
      </c>
      <c r="G1101" t="str">
        <f t="shared" si="107"/>
        <v/>
      </c>
      <c r="H1101" t="str">
        <f t="shared" si="108"/>
        <v>Mark</v>
      </c>
    </row>
    <row r="1102" spans="1:8" x14ac:dyDescent="0.25">
      <c r="A1102" t="s">
        <v>1132</v>
      </c>
      <c r="B1102" s="3">
        <f t="shared" si="109"/>
        <v>101</v>
      </c>
      <c r="C1102" s="3" t="str">
        <f t="shared" si="104"/>
        <v/>
      </c>
      <c r="D1102" s="3">
        <f t="shared" si="105"/>
        <v>154</v>
      </c>
      <c r="E1102" s="5" t="str">
        <f>IF(C1102="",IF(D1102="","",IF(D1102&lt;128,"Wahl "&amp;D1102,INDEX(KdoCodeTab,MATCH(D1102,KdoWertTab,0)))),"Status "&amp;C1102)</f>
        <v>MarkWdh</v>
      </c>
      <c r="F1102" t="str">
        <f t="shared" si="106"/>
        <v/>
      </c>
      <c r="G1102" t="str">
        <f t="shared" si="107"/>
        <v/>
      </c>
      <c r="H1102" t="str">
        <f t="shared" si="108"/>
        <v>MarkWdh</v>
      </c>
    </row>
    <row r="1103" spans="1:8" x14ac:dyDescent="0.25">
      <c r="A1103" t="s">
        <v>1133</v>
      </c>
      <c r="B1103" s="3">
        <f t="shared" si="109"/>
        <v>101</v>
      </c>
      <c r="C1103" s="3" t="str">
        <f t="shared" si="104"/>
        <v/>
      </c>
      <c r="D1103" s="3">
        <f t="shared" si="105"/>
        <v>147</v>
      </c>
      <c r="E1103" s="5" t="str">
        <f>IF(C1103="",IF(D1103="","",IF(D1103&lt;128,"Wahl "&amp;D1103,INDEX(KdoCodeTab,MATCH(D1103,KdoWertTab,0)))),"Status "&amp;C1103)</f>
        <v>Space</v>
      </c>
      <c r="F1103" t="str">
        <f t="shared" si="106"/>
        <v/>
      </c>
      <c r="G1103" t="str">
        <f t="shared" si="107"/>
        <v/>
      </c>
      <c r="H1103" t="str">
        <f t="shared" si="108"/>
        <v>Space</v>
      </c>
    </row>
    <row r="1104" spans="1:8" x14ac:dyDescent="0.25">
      <c r="A1104" t="s">
        <v>1134</v>
      </c>
      <c r="B1104" s="3">
        <f t="shared" si="109"/>
        <v>101</v>
      </c>
      <c r="C1104" s="3" t="str">
        <f t="shared" si="104"/>
        <v/>
      </c>
      <c r="D1104" s="3">
        <f t="shared" si="105"/>
        <v>150</v>
      </c>
      <c r="E1104" s="5" t="str">
        <f>IF(C1104="",IF(D1104="","",IF(D1104&lt;128,"Wahl "&amp;D1104,INDEX(KdoCodeTab,MATCH(D1104,KdoWertTab,0)))),"Status "&amp;C1104)</f>
        <v>SpaceWdh</v>
      </c>
      <c r="F1104" t="str">
        <f t="shared" si="106"/>
        <v/>
      </c>
      <c r="G1104" t="str">
        <f t="shared" si="107"/>
        <v/>
      </c>
      <c r="H1104" t="str">
        <f t="shared" si="108"/>
        <v>SpaceWdh</v>
      </c>
    </row>
    <row r="1105" spans="1:8" x14ac:dyDescent="0.25">
      <c r="A1105" t="s">
        <v>1135</v>
      </c>
      <c r="B1105" s="3">
        <f t="shared" si="109"/>
        <v>101</v>
      </c>
      <c r="C1105" s="3" t="str">
        <f t="shared" si="104"/>
        <v/>
      </c>
      <c r="D1105" s="3">
        <f t="shared" si="105"/>
        <v>156</v>
      </c>
      <c r="E1105" s="5" t="str">
        <f>IF(C1105="",IF(D1105="","",IF(D1105&lt;128,"Wahl "&amp;D1105,INDEX(KdoCodeTab,MATCH(D1105,KdoWertTab,0)))),"Status "&amp;C1105)</f>
        <v>Mark</v>
      </c>
      <c r="F1105" t="str">
        <f t="shared" si="106"/>
        <v/>
      </c>
      <c r="G1105" t="str">
        <f t="shared" si="107"/>
        <v/>
      </c>
      <c r="H1105" t="str">
        <f t="shared" si="108"/>
        <v>Mark</v>
      </c>
    </row>
    <row r="1106" spans="1:8" x14ac:dyDescent="0.25">
      <c r="A1106" t="s">
        <v>1136</v>
      </c>
      <c r="B1106" s="3">
        <f t="shared" si="109"/>
        <v>101</v>
      </c>
      <c r="C1106" s="3" t="str">
        <f t="shared" si="104"/>
        <v/>
      </c>
      <c r="D1106" s="3">
        <f t="shared" si="105"/>
        <v>154</v>
      </c>
      <c r="E1106" s="5" t="str">
        <f>IF(C1106="",IF(D1106="","",IF(D1106&lt;128,"Wahl "&amp;D1106,INDEX(KdoCodeTab,MATCH(D1106,KdoWertTab,0)))),"Status "&amp;C1106)</f>
        <v>MarkWdh</v>
      </c>
      <c r="F1106" t="str">
        <f t="shared" si="106"/>
        <v/>
      </c>
      <c r="G1106" t="str">
        <f t="shared" si="107"/>
        <v/>
      </c>
      <c r="H1106" t="str">
        <f t="shared" si="108"/>
        <v>MarkWdh</v>
      </c>
    </row>
    <row r="1107" spans="1:8" x14ac:dyDescent="0.25">
      <c r="A1107" t="s">
        <v>1137</v>
      </c>
      <c r="B1107" s="3">
        <f t="shared" si="109"/>
        <v>101</v>
      </c>
      <c r="C1107" s="3" t="str">
        <f t="shared" si="104"/>
        <v/>
      </c>
      <c r="D1107" s="3">
        <f t="shared" si="105"/>
        <v>147</v>
      </c>
      <c r="E1107" s="5" t="str">
        <f>IF(C1107="",IF(D1107="","",IF(D1107&lt;128,"Wahl "&amp;D1107,INDEX(KdoCodeTab,MATCH(D1107,KdoWertTab,0)))),"Status "&amp;C1107)</f>
        <v>Space</v>
      </c>
      <c r="F1107" t="str">
        <f t="shared" si="106"/>
        <v/>
      </c>
      <c r="G1107" t="str">
        <f t="shared" si="107"/>
        <v/>
      </c>
      <c r="H1107" t="str">
        <f t="shared" si="108"/>
        <v>Space</v>
      </c>
    </row>
    <row r="1108" spans="1:8" x14ac:dyDescent="0.25">
      <c r="A1108" t="s">
        <v>1138</v>
      </c>
      <c r="B1108" s="3">
        <f t="shared" si="109"/>
        <v>101</v>
      </c>
      <c r="C1108" s="3" t="str">
        <f t="shared" si="104"/>
        <v/>
      </c>
      <c r="D1108" s="3">
        <f t="shared" si="105"/>
        <v>150</v>
      </c>
      <c r="E1108" s="5" t="str">
        <f>IF(C1108="",IF(D1108="","",IF(D1108&lt;128,"Wahl "&amp;D1108,INDEX(KdoCodeTab,MATCH(D1108,KdoWertTab,0)))),"Status "&amp;C1108)</f>
        <v>SpaceWdh</v>
      </c>
      <c r="F1108" t="str">
        <f t="shared" si="106"/>
        <v/>
      </c>
      <c r="G1108" t="str">
        <f t="shared" si="107"/>
        <v/>
      </c>
      <c r="H1108" t="str">
        <f t="shared" si="108"/>
        <v>SpaceWdh</v>
      </c>
    </row>
    <row r="1109" spans="1:8" x14ac:dyDescent="0.25">
      <c r="A1109" t="s">
        <v>1139</v>
      </c>
      <c r="B1109" s="3">
        <f t="shared" si="109"/>
        <v>101</v>
      </c>
      <c r="C1109" s="3" t="str">
        <f t="shared" si="104"/>
        <v/>
      </c>
      <c r="D1109" s="3">
        <f t="shared" si="105"/>
        <v>156</v>
      </c>
      <c r="E1109" s="5" t="str">
        <f>IF(C1109="",IF(D1109="","",IF(D1109&lt;128,"Wahl "&amp;D1109,INDEX(KdoCodeTab,MATCH(D1109,KdoWertTab,0)))),"Status "&amp;C1109)</f>
        <v>Mark</v>
      </c>
      <c r="F1109" t="str">
        <f t="shared" si="106"/>
        <v/>
      </c>
      <c r="G1109" t="str">
        <f t="shared" si="107"/>
        <v/>
      </c>
      <c r="H1109" t="str">
        <f t="shared" si="108"/>
        <v>Mark</v>
      </c>
    </row>
    <row r="1110" spans="1:8" x14ac:dyDescent="0.25">
      <c r="A1110" t="s">
        <v>1140</v>
      </c>
      <c r="B1110" s="3">
        <f t="shared" si="109"/>
        <v>101</v>
      </c>
      <c r="C1110" s="3" t="str">
        <f t="shared" si="104"/>
        <v/>
      </c>
      <c r="D1110" s="3">
        <f t="shared" si="105"/>
        <v>154</v>
      </c>
      <c r="E1110" s="5" t="str">
        <f>IF(C1110="",IF(D1110="","",IF(D1110&lt;128,"Wahl "&amp;D1110,INDEX(KdoCodeTab,MATCH(D1110,KdoWertTab,0)))),"Status "&amp;C1110)</f>
        <v>MarkWdh</v>
      </c>
      <c r="F1110" t="str">
        <f t="shared" si="106"/>
        <v/>
      </c>
      <c r="G1110" t="str">
        <f t="shared" si="107"/>
        <v/>
      </c>
      <c r="H1110" t="str">
        <f t="shared" si="108"/>
        <v>MarkWdh</v>
      </c>
    </row>
    <row r="1111" spans="1:8" x14ac:dyDescent="0.25">
      <c r="A1111" t="s">
        <v>1141</v>
      </c>
      <c r="B1111" s="3">
        <f t="shared" si="109"/>
        <v>101</v>
      </c>
      <c r="C1111" s="3" t="str">
        <f t="shared" si="104"/>
        <v/>
      </c>
      <c r="D1111" s="3">
        <f t="shared" si="105"/>
        <v>169</v>
      </c>
      <c r="E1111" s="5" t="str">
        <f>IF(C1111="",IF(D1111="","",IF(D1111&lt;128,"Wahl "&amp;D1111,INDEX(KdoCodeTab,MATCH(D1111,KdoWertTab,0)))),"Status "&amp;C1111)</f>
        <v>BusLebenszeichen</v>
      </c>
      <c r="F1111" t="str">
        <f t="shared" si="106"/>
        <v/>
      </c>
      <c r="G1111" t="str">
        <f t="shared" si="107"/>
        <v/>
      </c>
      <c r="H1111" t="str">
        <f t="shared" si="108"/>
        <v>BusLebenszeichen</v>
      </c>
    </row>
    <row r="1112" spans="1:8" x14ac:dyDescent="0.25">
      <c r="A1112" t="s">
        <v>1142</v>
      </c>
      <c r="B1112" s="3">
        <f t="shared" si="109"/>
        <v>101</v>
      </c>
      <c r="C1112" s="3" t="str">
        <f t="shared" si="104"/>
        <v/>
      </c>
      <c r="D1112" s="3">
        <f t="shared" si="105"/>
        <v>147</v>
      </c>
      <c r="E1112" s="5" t="str">
        <f>IF(C1112="",IF(D1112="","",IF(D1112&lt;128,"Wahl "&amp;D1112,INDEX(KdoCodeTab,MATCH(D1112,KdoWertTab,0)))),"Status "&amp;C1112)</f>
        <v>Space</v>
      </c>
      <c r="F1112" t="str">
        <f t="shared" si="106"/>
        <v/>
      </c>
      <c r="G1112" t="str">
        <f t="shared" si="107"/>
        <v/>
      </c>
      <c r="H1112" t="str">
        <f t="shared" si="108"/>
        <v>Space</v>
      </c>
    </row>
    <row r="1113" spans="1:8" x14ac:dyDescent="0.25">
      <c r="A1113" t="s">
        <v>1143</v>
      </c>
      <c r="B1113" s="3">
        <f t="shared" si="109"/>
        <v>101</v>
      </c>
      <c r="C1113" s="3" t="str">
        <f t="shared" si="104"/>
        <v/>
      </c>
      <c r="D1113" s="3">
        <f t="shared" si="105"/>
        <v>150</v>
      </c>
      <c r="E1113" s="5" t="str">
        <f>IF(C1113="",IF(D1113="","",IF(D1113&lt;128,"Wahl "&amp;D1113,INDEX(KdoCodeTab,MATCH(D1113,KdoWertTab,0)))),"Status "&amp;C1113)</f>
        <v>SpaceWdh</v>
      </c>
      <c r="F1113" t="str">
        <f t="shared" si="106"/>
        <v/>
      </c>
      <c r="G1113" t="str">
        <f t="shared" si="107"/>
        <v/>
      </c>
      <c r="H1113" t="str">
        <f t="shared" si="108"/>
        <v>SpaceWdh</v>
      </c>
    </row>
    <row r="1114" spans="1:8" x14ac:dyDescent="0.25">
      <c r="A1114" t="s">
        <v>1144</v>
      </c>
      <c r="B1114" s="3">
        <f t="shared" si="109"/>
        <v>101</v>
      </c>
      <c r="C1114" s="3" t="str">
        <f t="shared" si="104"/>
        <v/>
      </c>
      <c r="D1114" s="3">
        <f t="shared" si="105"/>
        <v>156</v>
      </c>
      <c r="E1114" s="5" t="str">
        <f>IF(C1114="",IF(D1114="","",IF(D1114&lt;128,"Wahl "&amp;D1114,INDEX(KdoCodeTab,MATCH(D1114,KdoWertTab,0)))),"Status "&amp;C1114)</f>
        <v>Mark</v>
      </c>
      <c r="F1114" t="str">
        <f t="shared" si="106"/>
        <v/>
      </c>
      <c r="G1114" t="str">
        <f t="shared" si="107"/>
        <v/>
      </c>
      <c r="H1114" t="str">
        <f t="shared" si="108"/>
        <v>Mark</v>
      </c>
    </row>
    <row r="1115" spans="1:8" x14ac:dyDescent="0.25">
      <c r="A1115" t="s">
        <v>1145</v>
      </c>
      <c r="B1115" s="3">
        <f t="shared" si="109"/>
        <v>101</v>
      </c>
      <c r="C1115" s="3" t="str">
        <f t="shared" si="104"/>
        <v/>
      </c>
      <c r="D1115" s="3">
        <f t="shared" si="105"/>
        <v>154</v>
      </c>
      <c r="E1115" s="5" t="str">
        <f>IF(C1115="",IF(D1115="","",IF(D1115&lt;128,"Wahl "&amp;D1115,INDEX(KdoCodeTab,MATCH(D1115,KdoWertTab,0)))),"Status "&amp;C1115)</f>
        <v>MarkWdh</v>
      </c>
      <c r="F1115" t="str">
        <f t="shared" si="106"/>
        <v/>
      </c>
      <c r="G1115" t="str">
        <f t="shared" si="107"/>
        <v/>
      </c>
      <c r="H1115" t="str">
        <f t="shared" si="108"/>
        <v>MarkWdh</v>
      </c>
    </row>
    <row r="1116" spans="1:8" x14ac:dyDescent="0.25">
      <c r="A1116" t="s">
        <v>1146</v>
      </c>
      <c r="B1116" s="3">
        <f t="shared" si="109"/>
        <v>101</v>
      </c>
      <c r="C1116" s="3" t="str">
        <f t="shared" si="104"/>
        <v/>
      </c>
      <c r="D1116" s="3">
        <f t="shared" si="105"/>
        <v>147</v>
      </c>
      <c r="E1116" s="5" t="str">
        <f>IF(C1116="",IF(D1116="","",IF(D1116&lt;128,"Wahl "&amp;D1116,INDEX(KdoCodeTab,MATCH(D1116,KdoWertTab,0)))),"Status "&amp;C1116)</f>
        <v>Space</v>
      </c>
      <c r="F1116" t="str">
        <f t="shared" si="106"/>
        <v/>
      </c>
      <c r="G1116" t="str">
        <f t="shared" si="107"/>
        <v/>
      </c>
      <c r="H1116" t="str">
        <f t="shared" si="108"/>
        <v>Space</v>
      </c>
    </row>
    <row r="1117" spans="1:8" x14ac:dyDescent="0.25">
      <c r="A1117" t="s">
        <v>1147</v>
      </c>
      <c r="B1117" s="3">
        <f t="shared" si="109"/>
        <v>101</v>
      </c>
      <c r="C1117" s="3" t="str">
        <f t="shared" si="104"/>
        <v/>
      </c>
      <c r="D1117" s="3">
        <f t="shared" si="105"/>
        <v>150</v>
      </c>
      <c r="E1117" s="5" t="str">
        <f>IF(C1117="",IF(D1117="","",IF(D1117&lt;128,"Wahl "&amp;D1117,INDEX(KdoCodeTab,MATCH(D1117,KdoWertTab,0)))),"Status "&amp;C1117)</f>
        <v>SpaceWdh</v>
      </c>
      <c r="F1117" t="str">
        <f t="shared" si="106"/>
        <v/>
      </c>
      <c r="G1117" t="str">
        <f t="shared" si="107"/>
        <v/>
      </c>
      <c r="H1117" t="str">
        <f t="shared" si="108"/>
        <v>SpaceWdh</v>
      </c>
    </row>
    <row r="1118" spans="1:8" x14ac:dyDescent="0.25">
      <c r="A1118" t="s">
        <v>1148</v>
      </c>
      <c r="B1118" s="3">
        <f t="shared" si="109"/>
        <v>101</v>
      </c>
      <c r="C1118" s="3" t="str">
        <f t="shared" si="104"/>
        <v/>
      </c>
      <c r="D1118" s="3">
        <f t="shared" si="105"/>
        <v>156</v>
      </c>
      <c r="E1118" s="5" t="str">
        <f>IF(C1118="",IF(D1118="","",IF(D1118&lt;128,"Wahl "&amp;D1118,INDEX(KdoCodeTab,MATCH(D1118,KdoWertTab,0)))),"Status "&amp;C1118)</f>
        <v>Mark</v>
      </c>
      <c r="F1118" t="str">
        <f t="shared" si="106"/>
        <v/>
      </c>
      <c r="G1118" t="str">
        <f t="shared" si="107"/>
        <v/>
      </c>
      <c r="H1118" t="str">
        <f t="shared" si="108"/>
        <v>Mark</v>
      </c>
    </row>
    <row r="1119" spans="1:8" x14ac:dyDescent="0.25">
      <c r="A1119" t="s">
        <v>1149</v>
      </c>
      <c r="B1119" s="3">
        <f t="shared" si="109"/>
        <v>101</v>
      </c>
      <c r="C1119" s="3" t="str">
        <f t="shared" si="104"/>
        <v/>
      </c>
      <c r="D1119" s="3">
        <f t="shared" si="105"/>
        <v>154</v>
      </c>
      <c r="E1119" s="5" t="str">
        <f>IF(C1119="",IF(D1119="","",IF(D1119&lt;128,"Wahl "&amp;D1119,INDEX(KdoCodeTab,MATCH(D1119,KdoWertTab,0)))),"Status "&amp;C1119)</f>
        <v>MarkWdh</v>
      </c>
      <c r="F1119" t="str">
        <f t="shared" si="106"/>
        <v/>
      </c>
      <c r="G1119" t="str">
        <f t="shared" si="107"/>
        <v/>
      </c>
      <c r="H1119" t="str">
        <f t="shared" si="108"/>
        <v>MarkWdh</v>
      </c>
    </row>
    <row r="1120" spans="1:8" x14ac:dyDescent="0.25">
      <c r="A1120" t="s">
        <v>1150</v>
      </c>
      <c r="B1120" s="3">
        <f t="shared" si="109"/>
        <v>101</v>
      </c>
      <c r="C1120" s="3" t="str">
        <f t="shared" si="104"/>
        <v/>
      </c>
      <c r="D1120" s="3">
        <f t="shared" si="105"/>
        <v>147</v>
      </c>
      <c r="E1120" s="5" t="str">
        <f>IF(C1120="",IF(D1120="","",IF(D1120&lt;128,"Wahl "&amp;D1120,INDEX(KdoCodeTab,MATCH(D1120,KdoWertTab,0)))),"Status "&amp;C1120)</f>
        <v>Space</v>
      </c>
      <c r="F1120" t="str">
        <f t="shared" si="106"/>
        <v/>
      </c>
      <c r="G1120" t="str">
        <f t="shared" si="107"/>
        <v/>
      </c>
      <c r="H1120" t="str">
        <f t="shared" si="108"/>
        <v>Space</v>
      </c>
    </row>
    <row r="1121" spans="1:8" x14ac:dyDescent="0.25">
      <c r="A1121" t="s">
        <v>1151</v>
      </c>
      <c r="B1121" s="3">
        <f t="shared" si="109"/>
        <v>101</v>
      </c>
      <c r="C1121" s="3" t="str">
        <f t="shared" si="104"/>
        <v/>
      </c>
      <c r="D1121" s="3">
        <f t="shared" si="105"/>
        <v>150</v>
      </c>
      <c r="E1121" s="5" t="str">
        <f>IF(C1121="",IF(D1121="","",IF(D1121&lt;128,"Wahl "&amp;D1121,INDEX(KdoCodeTab,MATCH(D1121,KdoWertTab,0)))),"Status "&amp;C1121)</f>
        <v>SpaceWdh</v>
      </c>
      <c r="F1121" t="str">
        <f t="shared" si="106"/>
        <v/>
      </c>
      <c r="G1121" t="str">
        <f t="shared" si="107"/>
        <v/>
      </c>
      <c r="H1121" t="str">
        <f t="shared" si="108"/>
        <v>SpaceWdh</v>
      </c>
    </row>
    <row r="1122" spans="1:8" x14ac:dyDescent="0.25">
      <c r="A1122" t="s">
        <v>1152</v>
      </c>
      <c r="B1122" s="3">
        <f t="shared" si="109"/>
        <v>101</v>
      </c>
      <c r="C1122" s="3" t="str">
        <f t="shared" si="104"/>
        <v/>
      </c>
      <c r="D1122" s="3">
        <f t="shared" si="105"/>
        <v>156</v>
      </c>
      <c r="E1122" s="5" t="str">
        <f>IF(C1122="",IF(D1122="","",IF(D1122&lt;128,"Wahl "&amp;D1122,INDEX(KdoCodeTab,MATCH(D1122,KdoWertTab,0)))),"Status "&amp;C1122)</f>
        <v>Mark</v>
      </c>
      <c r="F1122" t="str">
        <f t="shared" si="106"/>
        <v/>
      </c>
      <c r="G1122" t="str">
        <f t="shared" si="107"/>
        <v/>
      </c>
      <c r="H1122" t="str">
        <f t="shared" si="108"/>
        <v>Mark</v>
      </c>
    </row>
    <row r="1123" spans="1:8" x14ac:dyDescent="0.25">
      <c r="A1123" t="s">
        <v>1153</v>
      </c>
      <c r="B1123" s="3">
        <f t="shared" si="109"/>
        <v>101</v>
      </c>
      <c r="C1123" s="3" t="str">
        <f t="shared" si="104"/>
        <v/>
      </c>
      <c r="D1123" s="3">
        <f t="shared" si="105"/>
        <v>154</v>
      </c>
      <c r="E1123" s="5" t="str">
        <f>IF(C1123="",IF(D1123="","",IF(D1123&lt;128,"Wahl "&amp;D1123,INDEX(KdoCodeTab,MATCH(D1123,KdoWertTab,0)))),"Status "&amp;C1123)</f>
        <v>MarkWdh</v>
      </c>
      <c r="F1123" t="str">
        <f t="shared" si="106"/>
        <v/>
      </c>
      <c r="G1123" t="str">
        <f t="shared" si="107"/>
        <v/>
      </c>
      <c r="H1123" t="str">
        <f t="shared" si="108"/>
        <v>MarkWdh</v>
      </c>
    </row>
    <row r="1124" spans="1:8" x14ac:dyDescent="0.25">
      <c r="A1124" t="s">
        <v>1154</v>
      </c>
      <c r="B1124" s="3">
        <f t="shared" si="109"/>
        <v>101</v>
      </c>
      <c r="C1124" s="3" t="str">
        <f t="shared" si="104"/>
        <v/>
      </c>
      <c r="D1124" s="3">
        <f t="shared" si="105"/>
        <v>147</v>
      </c>
      <c r="E1124" s="5" t="str">
        <f>IF(C1124="",IF(D1124="","",IF(D1124&lt;128,"Wahl "&amp;D1124,INDEX(KdoCodeTab,MATCH(D1124,KdoWertTab,0)))),"Status "&amp;C1124)</f>
        <v>Space</v>
      </c>
      <c r="F1124" t="str">
        <f t="shared" si="106"/>
        <v/>
      </c>
      <c r="G1124" t="str">
        <f t="shared" si="107"/>
        <v/>
      </c>
      <c r="H1124" t="str">
        <f t="shared" si="108"/>
        <v>Space</v>
      </c>
    </row>
    <row r="1125" spans="1:8" x14ac:dyDescent="0.25">
      <c r="A1125" t="s">
        <v>1155</v>
      </c>
      <c r="B1125" s="3">
        <f t="shared" si="109"/>
        <v>101</v>
      </c>
      <c r="C1125" s="3" t="str">
        <f t="shared" si="104"/>
        <v/>
      </c>
      <c r="D1125" s="3">
        <f t="shared" si="105"/>
        <v>150</v>
      </c>
      <c r="E1125" s="5" t="str">
        <f>IF(C1125="",IF(D1125="","",IF(D1125&lt;128,"Wahl "&amp;D1125,INDEX(KdoCodeTab,MATCH(D1125,KdoWertTab,0)))),"Status "&amp;C1125)</f>
        <v>SpaceWdh</v>
      </c>
      <c r="F1125" t="str">
        <f t="shared" si="106"/>
        <v/>
      </c>
      <c r="G1125" t="str">
        <f t="shared" si="107"/>
        <v/>
      </c>
      <c r="H1125" t="str">
        <f t="shared" si="108"/>
        <v>SpaceWdh</v>
      </c>
    </row>
    <row r="1126" spans="1:8" x14ac:dyDescent="0.25">
      <c r="A1126" t="s">
        <v>1156</v>
      </c>
      <c r="B1126" s="3">
        <f t="shared" si="109"/>
        <v>31</v>
      </c>
      <c r="C1126" s="3" t="str">
        <f t="shared" si="104"/>
        <v/>
      </c>
      <c r="D1126" s="3">
        <f t="shared" si="105"/>
        <v>154</v>
      </c>
      <c r="E1126" s="5" t="str">
        <f>IF(C1126="",IF(D1126="","",IF(D1126&lt;128,"Wahl "&amp;D1126,INDEX(KdoCodeTab,MATCH(D1126,KdoWertTab,0)))),"Status "&amp;C1126)</f>
        <v>MarkWdh</v>
      </c>
      <c r="F1126" t="str">
        <f t="shared" si="106"/>
        <v>MarkWdh</v>
      </c>
      <c r="G1126" t="str">
        <f t="shared" si="107"/>
        <v/>
      </c>
      <c r="H1126" t="str">
        <f t="shared" si="108"/>
        <v/>
      </c>
    </row>
    <row r="1127" spans="1:8" x14ac:dyDescent="0.25">
      <c r="A1127" t="s">
        <v>1157</v>
      </c>
      <c r="B1127" s="3">
        <f t="shared" si="109"/>
        <v>101</v>
      </c>
      <c r="C1127" s="3" t="str">
        <f t="shared" si="104"/>
        <v/>
      </c>
      <c r="D1127" s="3">
        <f t="shared" si="105"/>
        <v>156</v>
      </c>
      <c r="E1127" s="5" t="str">
        <f>IF(C1127="",IF(D1127="","",IF(D1127&lt;128,"Wahl "&amp;D1127,INDEX(KdoCodeTab,MATCH(D1127,KdoWertTab,0)))),"Status "&amp;C1127)</f>
        <v>Mark</v>
      </c>
      <c r="F1127" t="str">
        <f t="shared" si="106"/>
        <v/>
      </c>
      <c r="G1127" t="str">
        <f t="shared" si="107"/>
        <v/>
      </c>
      <c r="H1127" t="str">
        <f t="shared" si="108"/>
        <v>Mark</v>
      </c>
    </row>
    <row r="1128" spans="1:8" x14ac:dyDescent="0.25">
      <c r="A1128" t="s">
        <v>1158</v>
      </c>
      <c r="B1128" s="3">
        <f t="shared" si="109"/>
        <v>101</v>
      </c>
      <c r="C1128" s="3" t="str">
        <f t="shared" si="104"/>
        <v/>
      </c>
      <c r="D1128" s="3">
        <f t="shared" si="105"/>
        <v>154</v>
      </c>
      <c r="E1128" s="5" t="str">
        <f>IF(C1128="",IF(D1128="","",IF(D1128&lt;128,"Wahl "&amp;D1128,INDEX(KdoCodeTab,MATCH(D1128,KdoWertTab,0)))),"Status "&amp;C1128)</f>
        <v>MarkWdh</v>
      </c>
      <c r="F1128" t="str">
        <f t="shared" si="106"/>
        <v/>
      </c>
      <c r="G1128" t="str">
        <f t="shared" si="107"/>
        <v/>
      </c>
      <c r="H1128" t="str">
        <f t="shared" si="108"/>
        <v>MarkWdh</v>
      </c>
    </row>
    <row r="1129" spans="1:8" x14ac:dyDescent="0.25">
      <c r="A1129" t="s">
        <v>1159</v>
      </c>
      <c r="B1129" s="3">
        <f t="shared" si="109"/>
        <v>101</v>
      </c>
      <c r="C1129" s="3" t="str">
        <f t="shared" si="104"/>
        <v/>
      </c>
      <c r="D1129" s="3">
        <f t="shared" si="105"/>
        <v>147</v>
      </c>
      <c r="E1129" s="5" t="str">
        <f>IF(C1129="",IF(D1129="","",IF(D1129&lt;128,"Wahl "&amp;D1129,INDEX(KdoCodeTab,MATCH(D1129,KdoWertTab,0)))),"Status "&amp;C1129)</f>
        <v>Space</v>
      </c>
      <c r="F1129" t="str">
        <f t="shared" si="106"/>
        <v/>
      </c>
      <c r="G1129" t="str">
        <f t="shared" si="107"/>
        <v/>
      </c>
      <c r="H1129" t="str">
        <f t="shared" si="108"/>
        <v>Space</v>
      </c>
    </row>
    <row r="1130" spans="1:8" x14ac:dyDescent="0.25">
      <c r="A1130" t="s">
        <v>1160</v>
      </c>
      <c r="B1130" s="3">
        <f t="shared" si="109"/>
        <v>101</v>
      </c>
      <c r="C1130" s="3" t="str">
        <f t="shared" si="104"/>
        <v/>
      </c>
      <c r="D1130" s="3">
        <f t="shared" si="105"/>
        <v>150</v>
      </c>
      <c r="E1130" s="5" t="str">
        <f>IF(C1130="",IF(D1130="","",IF(D1130&lt;128,"Wahl "&amp;D1130,INDEX(KdoCodeTab,MATCH(D1130,KdoWertTab,0)))),"Status "&amp;C1130)</f>
        <v>SpaceWdh</v>
      </c>
      <c r="F1130" t="str">
        <f t="shared" si="106"/>
        <v/>
      </c>
      <c r="G1130" t="str">
        <f t="shared" si="107"/>
        <v/>
      </c>
      <c r="H1130" t="str">
        <f t="shared" si="108"/>
        <v>SpaceWdh</v>
      </c>
    </row>
    <row r="1131" spans="1:8" x14ac:dyDescent="0.25">
      <c r="A1131" t="s">
        <v>1161</v>
      </c>
      <c r="B1131" s="3">
        <f t="shared" si="109"/>
        <v>101</v>
      </c>
      <c r="C1131" s="3" t="str">
        <f t="shared" si="104"/>
        <v/>
      </c>
      <c r="D1131" s="3">
        <f t="shared" si="105"/>
        <v>156</v>
      </c>
      <c r="E1131" s="5" t="str">
        <f>IF(C1131="",IF(D1131="","",IF(D1131&lt;128,"Wahl "&amp;D1131,INDEX(KdoCodeTab,MATCH(D1131,KdoWertTab,0)))),"Status "&amp;C1131)</f>
        <v>Mark</v>
      </c>
      <c r="F1131" t="str">
        <f t="shared" si="106"/>
        <v/>
      </c>
      <c r="G1131" t="str">
        <f t="shared" si="107"/>
        <v/>
      </c>
      <c r="H1131" t="str">
        <f t="shared" si="108"/>
        <v>Mark</v>
      </c>
    </row>
    <row r="1132" spans="1:8" x14ac:dyDescent="0.25">
      <c r="A1132" t="s">
        <v>1162</v>
      </c>
      <c r="B1132" s="3">
        <f t="shared" si="109"/>
        <v>101</v>
      </c>
      <c r="C1132" s="3" t="str">
        <f t="shared" si="104"/>
        <v/>
      </c>
      <c r="D1132" s="3">
        <f t="shared" si="105"/>
        <v>154</v>
      </c>
      <c r="E1132" s="5" t="str">
        <f>IF(C1132="",IF(D1132="","",IF(D1132&lt;128,"Wahl "&amp;D1132,INDEX(KdoCodeTab,MATCH(D1132,KdoWertTab,0)))),"Status "&amp;C1132)</f>
        <v>MarkWdh</v>
      </c>
      <c r="F1132" t="str">
        <f t="shared" si="106"/>
        <v/>
      </c>
      <c r="G1132" t="str">
        <f t="shared" si="107"/>
        <v/>
      </c>
      <c r="H1132" t="str">
        <f t="shared" si="108"/>
        <v>MarkWdh</v>
      </c>
    </row>
    <row r="1133" spans="1:8" x14ac:dyDescent="0.25">
      <c r="A1133" t="s">
        <v>1163</v>
      </c>
      <c r="B1133" s="3">
        <f t="shared" si="109"/>
        <v>101</v>
      </c>
      <c r="C1133" s="3" t="str">
        <f t="shared" si="104"/>
        <v/>
      </c>
      <c r="D1133" s="3">
        <f t="shared" si="105"/>
        <v>147</v>
      </c>
      <c r="E1133" s="5" t="str">
        <f>IF(C1133="",IF(D1133="","",IF(D1133&lt;128,"Wahl "&amp;D1133,INDEX(KdoCodeTab,MATCH(D1133,KdoWertTab,0)))),"Status "&amp;C1133)</f>
        <v>Space</v>
      </c>
      <c r="F1133" t="str">
        <f t="shared" si="106"/>
        <v/>
      </c>
      <c r="G1133" t="str">
        <f t="shared" si="107"/>
        <v/>
      </c>
      <c r="H1133" t="str">
        <f t="shared" si="108"/>
        <v>Space</v>
      </c>
    </row>
    <row r="1134" spans="1:8" x14ac:dyDescent="0.25">
      <c r="A1134" t="s">
        <v>1164</v>
      </c>
      <c r="B1134" s="3">
        <f t="shared" si="109"/>
        <v>101</v>
      </c>
      <c r="C1134" s="3" t="str">
        <f t="shared" si="104"/>
        <v/>
      </c>
      <c r="D1134" s="3">
        <f t="shared" si="105"/>
        <v>150</v>
      </c>
      <c r="E1134" s="5" t="str">
        <f>IF(C1134="",IF(D1134="","",IF(D1134&lt;128,"Wahl "&amp;D1134,INDEX(KdoCodeTab,MATCH(D1134,KdoWertTab,0)))),"Status "&amp;C1134)</f>
        <v>SpaceWdh</v>
      </c>
      <c r="F1134" t="str">
        <f t="shared" si="106"/>
        <v/>
      </c>
      <c r="G1134" t="str">
        <f t="shared" si="107"/>
        <v/>
      </c>
      <c r="H1134" t="str">
        <f t="shared" si="108"/>
        <v>SpaceWdh</v>
      </c>
    </row>
    <row r="1135" spans="1:8" x14ac:dyDescent="0.25">
      <c r="A1135" t="s">
        <v>1165</v>
      </c>
      <c r="B1135" s="3">
        <f t="shared" si="109"/>
        <v>101</v>
      </c>
      <c r="C1135" s="3" t="str">
        <f t="shared" si="104"/>
        <v/>
      </c>
      <c r="D1135" s="3">
        <f t="shared" si="105"/>
        <v>156</v>
      </c>
      <c r="E1135" s="5" t="str">
        <f>IF(C1135="",IF(D1135="","",IF(D1135&lt;128,"Wahl "&amp;D1135,INDEX(KdoCodeTab,MATCH(D1135,KdoWertTab,0)))),"Status "&amp;C1135)</f>
        <v>Mark</v>
      </c>
      <c r="F1135" t="str">
        <f t="shared" si="106"/>
        <v/>
      </c>
      <c r="G1135" t="str">
        <f t="shared" si="107"/>
        <v/>
      </c>
      <c r="H1135" t="str">
        <f t="shared" si="108"/>
        <v>Mark</v>
      </c>
    </row>
    <row r="1136" spans="1:8" x14ac:dyDescent="0.25">
      <c r="A1136" t="s">
        <v>1166</v>
      </c>
      <c r="B1136" s="3">
        <f t="shared" si="109"/>
        <v>101</v>
      </c>
      <c r="C1136" s="3" t="str">
        <f t="shared" si="104"/>
        <v/>
      </c>
      <c r="D1136" s="3">
        <f t="shared" si="105"/>
        <v>154</v>
      </c>
      <c r="E1136" s="5" t="str">
        <f>IF(C1136="",IF(D1136="","",IF(D1136&lt;128,"Wahl "&amp;D1136,INDEX(KdoCodeTab,MATCH(D1136,KdoWertTab,0)))),"Status "&amp;C1136)</f>
        <v>MarkWdh</v>
      </c>
      <c r="F1136" t="str">
        <f t="shared" si="106"/>
        <v/>
      </c>
      <c r="G1136" t="str">
        <f t="shared" si="107"/>
        <v/>
      </c>
      <c r="H1136" t="str">
        <f t="shared" si="108"/>
        <v>MarkWdh</v>
      </c>
    </row>
    <row r="1137" spans="1:8" x14ac:dyDescent="0.25">
      <c r="A1137" t="s">
        <v>1167</v>
      </c>
      <c r="B1137" s="3">
        <f t="shared" si="109"/>
        <v>101</v>
      </c>
      <c r="C1137" s="3" t="str">
        <f t="shared" si="104"/>
        <v/>
      </c>
      <c r="D1137" s="3">
        <f t="shared" si="105"/>
        <v>147</v>
      </c>
      <c r="E1137" s="5" t="str">
        <f>IF(C1137="",IF(D1137="","",IF(D1137&lt;128,"Wahl "&amp;D1137,INDEX(KdoCodeTab,MATCH(D1137,KdoWertTab,0)))),"Status "&amp;C1137)</f>
        <v>Space</v>
      </c>
      <c r="F1137" t="str">
        <f t="shared" si="106"/>
        <v/>
      </c>
      <c r="G1137" t="str">
        <f t="shared" si="107"/>
        <v/>
      </c>
      <c r="H1137" t="str">
        <f t="shared" si="108"/>
        <v>Space</v>
      </c>
    </row>
    <row r="1138" spans="1:8" x14ac:dyDescent="0.25">
      <c r="A1138" t="s">
        <v>1168</v>
      </c>
      <c r="B1138" s="3">
        <f t="shared" si="109"/>
        <v>101</v>
      </c>
      <c r="C1138" s="3" t="str">
        <f t="shared" si="104"/>
        <v/>
      </c>
      <c r="D1138" s="3">
        <f t="shared" si="105"/>
        <v>150</v>
      </c>
      <c r="E1138" s="5" t="str">
        <f>IF(C1138="",IF(D1138="","",IF(D1138&lt;128,"Wahl "&amp;D1138,INDEX(KdoCodeTab,MATCH(D1138,KdoWertTab,0)))),"Status "&amp;C1138)</f>
        <v>SpaceWdh</v>
      </c>
      <c r="F1138" t="str">
        <f t="shared" si="106"/>
        <v/>
      </c>
      <c r="G1138" t="str">
        <f t="shared" si="107"/>
        <v/>
      </c>
      <c r="H1138" t="str">
        <f t="shared" si="108"/>
        <v>SpaceWdh</v>
      </c>
    </row>
    <row r="1139" spans="1:8" x14ac:dyDescent="0.25">
      <c r="A1139" t="s">
        <v>1169</v>
      </c>
      <c r="B1139" s="3">
        <f t="shared" si="109"/>
        <v>101</v>
      </c>
      <c r="C1139" s="3" t="str">
        <f t="shared" si="104"/>
        <v/>
      </c>
      <c r="D1139" s="3">
        <f t="shared" si="105"/>
        <v>169</v>
      </c>
      <c r="E1139" s="5" t="str">
        <f>IF(C1139="",IF(D1139="","",IF(D1139&lt;128,"Wahl "&amp;D1139,INDEX(KdoCodeTab,MATCH(D1139,KdoWertTab,0)))),"Status "&amp;C1139)</f>
        <v>BusLebenszeichen</v>
      </c>
      <c r="F1139" t="str">
        <f t="shared" si="106"/>
        <v/>
      </c>
      <c r="G1139" t="str">
        <f t="shared" si="107"/>
        <v/>
      </c>
      <c r="H1139" t="str">
        <f t="shared" si="108"/>
        <v>BusLebenszeichen</v>
      </c>
    </row>
    <row r="1140" spans="1:8" x14ac:dyDescent="0.25">
      <c r="A1140" t="s">
        <v>1170</v>
      </c>
      <c r="B1140" s="3">
        <f t="shared" si="109"/>
        <v>101</v>
      </c>
      <c r="C1140" s="3" t="str">
        <f t="shared" si="104"/>
        <v/>
      </c>
      <c r="D1140" s="3">
        <f t="shared" si="105"/>
        <v>156</v>
      </c>
      <c r="E1140" s="5" t="str">
        <f>IF(C1140="",IF(D1140="","",IF(D1140&lt;128,"Wahl "&amp;D1140,INDEX(KdoCodeTab,MATCH(D1140,KdoWertTab,0)))),"Status "&amp;C1140)</f>
        <v>Mark</v>
      </c>
      <c r="F1140" t="str">
        <f t="shared" si="106"/>
        <v/>
      </c>
      <c r="G1140" t="str">
        <f t="shared" si="107"/>
        <v/>
      </c>
      <c r="H1140" t="str">
        <f t="shared" si="108"/>
        <v>Mark</v>
      </c>
    </row>
    <row r="1141" spans="1:8" x14ac:dyDescent="0.25">
      <c r="A1141" t="s">
        <v>1171</v>
      </c>
      <c r="B1141" s="3">
        <f t="shared" si="109"/>
        <v>101</v>
      </c>
      <c r="C1141" s="3" t="str">
        <f t="shared" si="104"/>
        <v/>
      </c>
      <c r="D1141" s="3">
        <f t="shared" si="105"/>
        <v>154</v>
      </c>
      <c r="E1141" s="5" t="str">
        <f>IF(C1141="",IF(D1141="","",IF(D1141&lt;128,"Wahl "&amp;D1141,INDEX(KdoCodeTab,MATCH(D1141,KdoWertTab,0)))),"Status "&amp;C1141)</f>
        <v>MarkWdh</v>
      </c>
      <c r="F1141" t="str">
        <f t="shared" si="106"/>
        <v/>
      </c>
      <c r="G1141" t="str">
        <f t="shared" si="107"/>
        <v/>
      </c>
      <c r="H1141" t="str">
        <f t="shared" si="108"/>
        <v>MarkWdh</v>
      </c>
    </row>
    <row r="1142" spans="1:8" x14ac:dyDescent="0.25">
      <c r="A1142" t="s">
        <v>1172</v>
      </c>
      <c r="B1142" s="3">
        <f t="shared" si="109"/>
        <v>101</v>
      </c>
      <c r="C1142" s="3" t="str">
        <f t="shared" si="104"/>
        <v/>
      </c>
      <c r="D1142" s="3">
        <f t="shared" si="105"/>
        <v>147</v>
      </c>
      <c r="E1142" s="5" t="str">
        <f>IF(C1142="",IF(D1142="","",IF(D1142&lt;128,"Wahl "&amp;D1142,INDEX(KdoCodeTab,MATCH(D1142,KdoWertTab,0)))),"Status "&amp;C1142)</f>
        <v>Space</v>
      </c>
      <c r="F1142" t="str">
        <f t="shared" si="106"/>
        <v/>
      </c>
      <c r="G1142" t="str">
        <f t="shared" si="107"/>
        <v/>
      </c>
      <c r="H1142" t="str">
        <f t="shared" si="108"/>
        <v>Space</v>
      </c>
    </row>
    <row r="1143" spans="1:8" x14ac:dyDescent="0.25">
      <c r="A1143" t="s">
        <v>1173</v>
      </c>
      <c r="B1143" s="3">
        <f t="shared" si="109"/>
        <v>101</v>
      </c>
      <c r="C1143" s="3" t="str">
        <f t="shared" si="104"/>
        <v/>
      </c>
      <c r="D1143" s="3">
        <f t="shared" si="105"/>
        <v>150</v>
      </c>
      <c r="E1143" s="5" t="str">
        <f>IF(C1143="",IF(D1143="","",IF(D1143&lt;128,"Wahl "&amp;D1143,INDEX(KdoCodeTab,MATCH(D1143,KdoWertTab,0)))),"Status "&amp;C1143)</f>
        <v>SpaceWdh</v>
      </c>
      <c r="F1143" t="str">
        <f t="shared" si="106"/>
        <v/>
      </c>
      <c r="G1143" t="str">
        <f t="shared" si="107"/>
        <v/>
      </c>
      <c r="H1143" t="str">
        <f t="shared" si="108"/>
        <v>SpaceWdh</v>
      </c>
    </row>
    <row r="1144" spans="1:8" x14ac:dyDescent="0.25">
      <c r="A1144" t="s">
        <v>1174</v>
      </c>
      <c r="B1144" s="3">
        <f t="shared" si="109"/>
        <v>101</v>
      </c>
      <c r="C1144" s="3" t="str">
        <f t="shared" si="104"/>
        <v/>
      </c>
      <c r="D1144" s="3">
        <f t="shared" si="105"/>
        <v>156</v>
      </c>
      <c r="E1144" s="5" t="str">
        <f>IF(C1144="",IF(D1144="","",IF(D1144&lt;128,"Wahl "&amp;D1144,INDEX(KdoCodeTab,MATCH(D1144,KdoWertTab,0)))),"Status "&amp;C1144)</f>
        <v>Mark</v>
      </c>
      <c r="F1144" t="str">
        <f t="shared" si="106"/>
        <v/>
      </c>
      <c r="G1144" t="str">
        <f t="shared" si="107"/>
        <v/>
      </c>
      <c r="H1144" t="str">
        <f t="shared" si="108"/>
        <v>Mark</v>
      </c>
    </row>
    <row r="1145" spans="1:8" x14ac:dyDescent="0.25">
      <c r="A1145" t="s">
        <v>1175</v>
      </c>
      <c r="B1145" s="3">
        <f t="shared" si="109"/>
        <v>101</v>
      </c>
      <c r="C1145" s="3" t="str">
        <f t="shared" si="104"/>
        <v/>
      </c>
      <c r="D1145" s="3">
        <f t="shared" si="105"/>
        <v>154</v>
      </c>
      <c r="E1145" s="5" t="str">
        <f>IF(C1145="",IF(D1145="","",IF(D1145&lt;128,"Wahl "&amp;D1145,INDEX(KdoCodeTab,MATCH(D1145,KdoWertTab,0)))),"Status "&amp;C1145)</f>
        <v>MarkWdh</v>
      </c>
      <c r="F1145" t="str">
        <f t="shared" si="106"/>
        <v/>
      </c>
      <c r="G1145" t="str">
        <f t="shared" si="107"/>
        <v/>
      </c>
      <c r="H1145" t="str">
        <f t="shared" si="108"/>
        <v>MarkWdh</v>
      </c>
    </row>
    <row r="1146" spans="1:8" x14ac:dyDescent="0.25">
      <c r="A1146" t="s">
        <v>1176</v>
      </c>
      <c r="B1146" s="3">
        <f t="shared" si="109"/>
        <v>31</v>
      </c>
      <c r="C1146" s="3" t="str">
        <f t="shared" si="104"/>
        <v/>
      </c>
      <c r="D1146" s="3">
        <f t="shared" si="105"/>
        <v>154</v>
      </c>
      <c r="E1146" s="5" t="str">
        <f>IF(C1146="",IF(D1146="","",IF(D1146&lt;128,"Wahl "&amp;D1146,INDEX(KdoCodeTab,MATCH(D1146,KdoWertTab,0)))),"Status "&amp;C1146)</f>
        <v>MarkWdh</v>
      </c>
      <c r="F1146" t="str">
        <f t="shared" si="106"/>
        <v>MarkWdh</v>
      </c>
      <c r="G1146" t="str">
        <f t="shared" si="107"/>
        <v/>
      </c>
      <c r="H1146" t="str">
        <f t="shared" si="108"/>
        <v/>
      </c>
    </row>
    <row r="1147" spans="1:8" x14ac:dyDescent="0.25">
      <c r="A1147" t="s">
        <v>1177</v>
      </c>
      <c r="B1147" s="3">
        <f t="shared" si="109"/>
        <v>101</v>
      </c>
      <c r="C1147" s="3" t="str">
        <f t="shared" ref="C1147:C1210" si="110">IF(MID(A1147,10,1)="&lt;",MID(A1147,12,2),"")</f>
        <v/>
      </c>
      <c r="D1147" s="3">
        <f t="shared" ref="D1147:D1210" si="111">IF(MID(A1147,10,1)="&gt;",HEX2DEC(MID(A1147,12,2)),"")</f>
        <v>147</v>
      </c>
      <c r="E1147" s="5" t="str">
        <f>IF(C1147="",IF(D1147="","",IF(D1147&lt;128,"Wahl "&amp;D1147,INDEX(KdoCodeTab,MATCH(D1147,KdoWertTab,0)))),"Status "&amp;C1147)</f>
        <v>Space</v>
      </c>
      <c r="F1147" t="str">
        <f t="shared" ref="F1147:F1210" si="112">IF(B1147=$F$2,E1147,"")</f>
        <v/>
      </c>
      <c r="G1147" t="str">
        <f t="shared" ref="G1147:G1210" si="113">IF(B1147=$G$2,E1147,"")</f>
        <v/>
      </c>
      <c r="H1147" t="str">
        <f t="shared" ref="H1147:H1210" si="114">IF(F1147&amp;G1147="",E1147,"")</f>
        <v>Space</v>
      </c>
    </row>
    <row r="1148" spans="1:8" x14ac:dyDescent="0.25">
      <c r="A1148" t="s">
        <v>1178</v>
      </c>
      <c r="B1148" s="3">
        <f t="shared" si="109"/>
        <v>101</v>
      </c>
      <c r="C1148" s="3" t="str">
        <f t="shared" si="110"/>
        <v/>
      </c>
      <c r="D1148" s="3">
        <f t="shared" si="111"/>
        <v>150</v>
      </c>
      <c r="E1148" s="5" t="str">
        <f>IF(C1148="",IF(D1148="","",IF(D1148&lt;128,"Wahl "&amp;D1148,INDEX(KdoCodeTab,MATCH(D1148,KdoWertTab,0)))),"Status "&amp;C1148)</f>
        <v>SpaceWdh</v>
      </c>
      <c r="F1148" t="str">
        <f t="shared" si="112"/>
        <v/>
      </c>
      <c r="G1148" t="str">
        <f t="shared" si="113"/>
        <v/>
      </c>
      <c r="H1148" t="str">
        <f t="shared" si="114"/>
        <v>SpaceWdh</v>
      </c>
    </row>
    <row r="1149" spans="1:8" x14ac:dyDescent="0.25">
      <c r="A1149" t="s">
        <v>1179</v>
      </c>
      <c r="B1149" s="3">
        <f t="shared" si="109"/>
        <v>101</v>
      </c>
      <c r="C1149" s="3" t="str">
        <f t="shared" si="110"/>
        <v/>
      </c>
      <c r="D1149" s="3">
        <f t="shared" si="111"/>
        <v>156</v>
      </c>
      <c r="E1149" s="5" t="str">
        <f>IF(C1149="",IF(D1149="","",IF(D1149&lt;128,"Wahl "&amp;D1149,INDEX(KdoCodeTab,MATCH(D1149,KdoWertTab,0)))),"Status "&amp;C1149)</f>
        <v>Mark</v>
      </c>
      <c r="F1149" t="str">
        <f t="shared" si="112"/>
        <v/>
      </c>
      <c r="G1149" t="str">
        <f t="shared" si="113"/>
        <v/>
      </c>
      <c r="H1149" t="str">
        <f t="shared" si="114"/>
        <v>Mark</v>
      </c>
    </row>
    <row r="1150" spans="1:8" x14ac:dyDescent="0.25">
      <c r="A1150" t="s">
        <v>1180</v>
      </c>
      <c r="B1150" s="3">
        <f t="shared" si="109"/>
        <v>101</v>
      </c>
      <c r="C1150" s="3" t="str">
        <f t="shared" si="110"/>
        <v/>
      </c>
      <c r="D1150" s="3">
        <f t="shared" si="111"/>
        <v>154</v>
      </c>
      <c r="E1150" s="5" t="str">
        <f>IF(C1150="",IF(D1150="","",IF(D1150&lt;128,"Wahl "&amp;D1150,INDEX(KdoCodeTab,MATCH(D1150,KdoWertTab,0)))),"Status "&amp;C1150)</f>
        <v>MarkWdh</v>
      </c>
      <c r="F1150" t="str">
        <f t="shared" si="112"/>
        <v/>
      </c>
      <c r="G1150" t="str">
        <f t="shared" si="113"/>
        <v/>
      </c>
      <c r="H1150" t="str">
        <f t="shared" si="114"/>
        <v>MarkWdh</v>
      </c>
    </row>
    <row r="1151" spans="1:8" x14ac:dyDescent="0.25">
      <c r="A1151" t="s">
        <v>1181</v>
      </c>
      <c r="B1151" s="3">
        <f t="shared" si="109"/>
        <v>101</v>
      </c>
      <c r="C1151" s="3" t="str">
        <f t="shared" si="110"/>
        <v/>
      </c>
      <c r="D1151" s="3">
        <f t="shared" si="111"/>
        <v>147</v>
      </c>
      <c r="E1151" s="5" t="str">
        <f>IF(C1151="",IF(D1151="","",IF(D1151&lt;128,"Wahl "&amp;D1151,INDEX(KdoCodeTab,MATCH(D1151,KdoWertTab,0)))),"Status "&amp;C1151)</f>
        <v>Space</v>
      </c>
      <c r="F1151" t="str">
        <f t="shared" si="112"/>
        <v/>
      </c>
      <c r="G1151" t="str">
        <f t="shared" si="113"/>
        <v/>
      </c>
      <c r="H1151" t="str">
        <f t="shared" si="114"/>
        <v>Space</v>
      </c>
    </row>
    <row r="1152" spans="1:8" x14ac:dyDescent="0.25">
      <c r="A1152" t="s">
        <v>1182</v>
      </c>
      <c r="B1152" s="3">
        <f t="shared" si="109"/>
        <v>101</v>
      </c>
      <c r="C1152" s="3" t="str">
        <f t="shared" si="110"/>
        <v/>
      </c>
      <c r="D1152" s="3">
        <f t="shared" si="111"/>
        <v>150</v>
      </c>
      <c r="E1152" s="5" t="str">
        <f>IF(C1152="",IF(D1152="","",IF(D1152&lt;128,"Wahl "&amp;D1152,INDEX(KdoCodeTab,MATCH(D1152,KdoWertTab,0)))),"Status "&amp;C1152)</f>
        <v>SpaceWdh</v>
      </c>
      <c r="F1152" t="str">
        <f t="shared" si="112"/>
        <v/>
      </c>
      <c r="G1152" t="str">
        <f t="shared" si="113"/>
        <v/>
      </c>
      <c r="H1152" t="str">
        <f t="shared" si="114"/>
        <v>SpaceWdh</v>
      </c>
    </row>
    <row r="1153" spans="1:8" x14ac:dyDescent="0.25">
      <c r="A1153" t="s">
        <v>1183</v>
      </c>
      <c r="B1153" s="3">
        <f t="shared" si="109"/>
        <v>101</v>
      </c>
      <c r="C1153" s="3" t="str">
        <f t="shared" si="110"/>
        <v/>
      </c>
      <c r="D1153" s="3">
        <f t="shared" si="111"/>
        <v>156</v>
      </c>
      <c r="E1153" s="5" t="str">
        <f>IF(C1153="",IF(D1153="","",IF(D1153&lt;128,"Wahl "&amp;D1153,INDEX(KdoCodeTab,MATCH(D1153,KdoWertTab,0)))),"Status "&amp;C1153)</f>
        <v>Mark</v>
      </c>
      <c r="F1153" t="str">
        <f t="shared" si="112"/>
        <v/>
      </c>
      <c r="G1153" t="str">
        <f t="shared" si="113"/>
        <v/>
      </c>
      <c r="H1153" t="str">
        <f t="shared" si="114"/>
        <v>Mark</v>
      </c>
    </row>
    <row r="1154" spans="1:8" x14ac:dyDescent="0.25">
      <c r="A1154" t="s">
        <v>1184</v>
      </c>
      <c r="B1154" s="3">
        <f t="shared" si="109"/>
        <v>101</v>
      </c>
      <c r="C1154" s="3" t="str">
        <f t="shared" si="110"/>
        <v/>
      </c>
      <c r="D1154" s="3">
        <f t="shared" si="111"/>
        <v>154</v>
      </c>
      <c r="E1154" s="5" t="str">
        <f>IF(C1154="",IF(D1154="","",IF(D1154&lt;128,"Wahl "&amp;D1154,INDEX(KdoCodeTab,MATCH(D1154,KdoWertTab,0)))),"Status "&amp;C1154)</f>
        <v>MarkWdh</v>
      </c>
      <c r="F1154" t="str">
        <f t="shared" si="112"/>
        <v/>
      </c>
      <c r="G1154" t="str">
        <f t="shared" si="113"/>
        <v/>
      </c>
      <c r="H1154" t="str">
        <f t="shared" si="114"/>
        <v>MarkWdh</v>
      </c>
    </row>
    <row r="1155" spans="1:8" x14ac:dyDescent="0.25">
      <c r="A1155" t="s">
        <v>1185</v>
      </c>
      <c r="B1155" s="3">
        <f t="shared" si="109"/>
        <v>101</v>
      </c>
      <c r="C1155" s="3" t="str">
        <f t="shared" si="110"/>
        <v/>
      </c>
      <c r="D1155" s="3">
        <f t="shared" si="111"/>
        <v>147</v>
      </c>
      <c r="E1155" s="5" t="str">
        <f>IF(C1155="",IF(D1155="","",IF(D1155&lt;128,"Wahl "&amp;D1155,INDEX(KdoCodeTab,MATCH(D1155,KdoWertTab,0)))),"Status "&amp;C1155)</f>
        <v>Space</v>
      </c>
      <c r="F1155" t="str">
        <f t="shared" si="112"/>
        <v/>
      </c>
      <c r="G1155" t="str">
        <f t="shared" si="113"/>
        <v/>
      </c>
      <c r="H1155" t="str">
        <f t="shared" si="114"/>
        <v>Space</v>
      </c>
    </row>
    <row r="1156" spans="1:8" x14ac:dyDescent="0.25">
      <c r="A1156" t="s">
        <v>1186</v>
      </c>
      <c r="B1156" s="3">
        <f t="shared" si="109"/>
        <v>101</v>
      </c>
      <c r="C1156" s="3" t="str">
        <f t="shared" si="110"/>
        <v/>
      </c>
      <c r="D1156" s="3">
        <f t="shared" si="111"/>
        <v>150</v>
      </c>
      <c r="E1156" s="5" t="str">
        <f>IF(C1156="",IF(D1156="","",IF(D1156&lt;128,"Wahl "&amp;D1156,INDEX(KdoCodeTab,MATCH(D1156,KdoWertTab,0)))),"Status "&amp;C1156)</f>
        <v>SpaceWdh</v>
      </c>
      <c r="F1156" t="str">
        <f t="shared" si="112"/>
        <v/>
      </c>
      <c r="G1156" t="str">
        <f t="shared" si="113"/>
        <v/>
      </c>
      <c r="H1156" t="str">
        <f t="shared" si="114"/>
        <v>SpaceWdh</v>
      </c>
    </row>
    <row r="1157" spans="1:8" x14ac:dyDescent="0.25">
      <c r="A1157" t="s">
        <v>1187</v>
      </c>
      <c r="B1157" s="3">
        <f t="shared" ref="B1157:B1220" si="115">INT(HEX2DEC(MID(A1157,8,2))/2)</f>
        <v>101</v>
      </c>
      <c r="C1157" s="3" t="str">
        <f t="shared" si="110"/>
        <v/>
      </c>
      <c r="D1157" s="3">
        <f t="shared" si="111"/>
        <v>156</v>
      </c>
      <c r="E1157" s="5" t="str">
        <f>IF(C1157="",IF(D1157="","",IF(D1157&lt;128,"Wahl "&amp;D1157,INDEX(KdoCodeTab,MATCH(D1157,KdoWertTab,0)))),"Status "&amp;C1157)</f>
        <v>Mark</v>
      </c>
      <c r="F1157" t="str">
        <f t="shared" si="112"/>
        <v/>
      </c>
      <c r="G1157" t="str">
        <f t="shared" si="113"/>
        <v/>
      </c>
      <c r="H1157" t="str">
        <f t="shared" si="114"/>
        <v>Mark</v>
      </c>
    </row>
    <row r="1158" spans="1:8" x14ac:dyDescent="0.25">
      <c r="A1158" t="s">
        <v>1188</v>
      </c>
      <c r="B1158" s="3">
        <f t="shared" si="115"/>
        <v>101</v>
      </c>
      <c r="C1158" s="3" t="str">
        <f t="shared" si="110"/>
        <v/>
      </c>
      <c r="D1158" s="3">
        <f t="shared" si="111"/>
        <v>154</v>
      </c>
      <c r="E1158" s="5" t="str">
        <f>IF(C1158="",IF(D1158="","",IF(D1158&lt;128,"Wahl "&amp;D1158,INDEX(KdoCodeTab,MATCH(D1158,KdoWertTab,0)))),"Status "&amp;C1158)</f>
        <v>MarkWdh</v>
      </c>
      <c r="F1158" t="str">
        <f t="shared" si="112"/>
        <v/>
      </c>
      <c r="G1158" t="str">
        <f t="shared" si="113"/>
        <v/>
      </c>
      <c r="H1158" t="str">
        <f t="shared" si="114"/>
        <v>MarkWdh</v>
      </c>
    </row>
    <row r="1159" spans="1:8" x14ac:dyDescent="0.25">
      <c r="A1159" t="s">
        <v>1189</v>
      </c>
      <c r="B1159" s="3">
        <f t="shared" si="115"/>
        <v>31</v>
      </c>
      <c r="C1159" s="3" t="str">
        <f t="shared" si="110"/>
        <v/>
      </c>
      <c r="D1159" s="3">
        <f t="shared" si="111"/>
        <v>154</v>
      </c>
      <c r="E1159" s="5" t="str">
        <f>IF(C1159="",IF(D1159="","",IF(D1159&lt;128,"Wahl "&amp;D1159,INDEX(KdoCodeTab,MATCH(D1159,KdoWertTab,0)))),"Status "&amp;C1159)</f>
        <v>MarkWdh</v>
      </c>
      <c r="F1159" t="str">
        <f t="shared" si="112"/>
        <v>MarkWdh</v>
      </c>
      <c r="G1159" t="str">
        <f t="shared" si="113"/>
        <v/>
      </c>
      <c r="H1159" t="str">
        <f t="shared" si="114"/>
        <v/>
      </c>
    </row>
    <row r="1160" spans="1:8" x14ac:dyDescent="0.25">
      <c r="A1160" t="s">
        <v>1190</v>
      </c>
      <c r="B1160" s="3">
        <f t="shared" si="115"/>
        <v>101</v>
      </c>
      <c r="C1160" s="3" t="str">
        <f t="shared" si="110"/>
        <v/>
      </c>
      <c r="D1160" s="3">
        <f t="shared" si="111"/>
        <v>169</v>
      </c>
      <c r="E1160" s="5" t="str">
        <f>IF(C1160="",IF(D1160="","",IF(D1160&lt;128,"Wahl "&amp;D1160,INDEX(KdoCodeTab,MATCH(D1160,KdoWertTab,0)))),"Status "&amp;C1160)</f>
        <v>BusLebenszeichen</v>
      </c>
      <c r="F1160" t="str">
        <f t="shared" si="112"/>
        <v/>
      </c>
      <c r="G1160" t="str">
        <f t="shared" si="113"/>
        <v/>
      </c>
      <c r="H1160" t="str">
        <f t="shared" si="114"/>
        <v>BusLebenszeichen</v>
      </c>
    </row>
    <row r="1161" spans="1:8" x14ac:dyDescent="0.25">
      <c r="A1161" t="s">
        <v>1191</v>
      </c>
      <c r="B1161" s="3">
        <f t="shared" si="115"/>
        <v>31</v>
      </c>
      <c r="C1161" s="3" t="str">
        <f t="shared" si="110"/>
        <v/>
      </c>
      <c r="D1161" s="3">
        <f t="shared" si="111"/>
        <v>154</v>
      </c>
      <c r="E1161" s="5" t="str">
        <f>IF(C1161="",IF(D1161="","",IF(D1161&lt;128,"Wahl "&amp;D1161,INDEX(KdoCodeTab,MATCH(D1161,KdoWertTab,0)))),"Status "&amp;C1161)</f>
        <v>MarkWdh</v>
      </c>
      <c r="F1161" t="str">
        <f t="shared" si="112"/>
        <v>MarkWdh</v>
      </c>
      <c r="G1161" t="str">
        <f t="shared" si="113"/>
        <v/>
      </c>
      <c r="H1161" t="str">
        <f t="shared" si="114"/>
        <v/>
      </c>
    </row>
    <row r="1162" spans="1:8" x14ac:dyDescent="0.25">
      <c r="A1162" t="s">
        <v>1192</v>
      </c>
      <c r="B1162" s="3">
        <f t="shared" si="115"/>
        <v>31</v>
      </c>
      <c r="C1162" s="3" t="str">
        <f t="shared" si="110"/>
        <v/>
      </c>
      <c r="D1162" s="3">
        <f t="shared" si="111"/>
        <v>147</v>
      </c>
      <c r="E1162" s="5" t="str">
        <f>IF(C1162="",IF(D1162="","",IF(D1162&lt;128,"Wahl "&amp;D1162,INDEX(KdoCodeTab,MATCH(D1162,KdoWertTab,0)))),"Status "&amp;C1162)</f>
        <v>Space</v>
      </c>
      <c r="F1162" t="str">
        <f t="shared" si="112"/>
        <v>Space</v>
      </c>
      <c r="G1162" t="str">
        <f t="shared" si="113"/>
        <v/>
      </c>
      <c r="H1162" t="str">
        <f t="shared" si="114"/>
        <v/>
      </c>
    </row>
    <row r="1163" spans="1:8" x14ac:dyDescent="0.25">
      <c r="A1163" t="s">
        <v>1193</v>
      </c>
      <c r="B1163" s="3">
        <f t="shared" si="115"/>
        <v>31</v>
      </c>
      <c r="C1163" s="3" t="str">
        <f t="shared" si="110"/>
        <v/>
      </c>
      <c r="D1163" s="3">
        <f t="shared" si="111"/>
        <v>150</v>
      </c>
      <c r="E1163" s="5" t="str">
        <f>IF(C1163="",IF(D1163="","",IF(D1163&lt;128,"Wahl "&amp;D1163,INDEX(KdoCodeTab,MATCH(D1163,KdoWertTab,0)))),"Status "&amp;C1163)</f>
        <v>SpaceWdh</v>
      </c>
      <c r="F1163" t="str">
        <f t="shared" si="112"/>
        <v>SpaceWdh</v>
      </c>
      <c r="G1163" t="str">
        <f t="shared" si="113"/>
        <v/>
      </c>
      <c r="H1163" t="str">
        <f t="shared" si="114"/>
        <v/>
      </c>
    </row>
    <row r="1164" spans="1:8" x14ac:dyDescent="0.25">
      <c r="A1164" t="s">
        <v>1194</v>
      </c>
      <c r="B1164" s="3">
        <f t="shared" si="115"/>
        <v>31</v>
      </c>
      <c r="C1164" s="3" t="str">
        <f t="shared" si="110"/>
        <v/>
      </c>
      <c r="D1164" s="3">
        <f t="shared" si="111"/>
        <v>156</v>
      </c>
      <c r="E1164" s="5" t="str">
        <f>IF(C1164="",IF(D1164="","",IF(D1164&lt;128,"Wahl "&amp;D1164,INDEX(KdoCodeTab,MATCH(D1164,KdoWertTab,0)))),"Status "&amp;C1164)</f>
        <v>Mark</v>
      </c>
      <c r="F1164" t="str">
        <f t="shared" si="112"/>
        <v>Mark</v>
      </c>
      <c r="G1164" t="str">
        <f t="shared" si="113"/>
        <v/>
      </c>
      <c r="H1164" t="str">
        <f t="shared" si="114"/>
        <v/>
      </c>
    </row>
    <row r="1165" spans="1:8" x14ac:dyDescent="0.25">
      <c r="A1165" t="s">
        <v>1195</v>
      </c>
      <c r="B1165" s="3">
        <f t="shared" si="115"/>
        <v>31</v>
      </c>
      <c r="C1165" s="3" t="str">
        <f t="shared" si="110"/>
        <v/>
      </c>
      <c r="D1165" s="3">
        <f t="shared" si="111"/>
        <v>154</v>
      </c>
      <c r="E1165" s="5" t="str">
        <f>IF(C1165="",IF(D1165="","",IF(D1165&lt;128,"Wahl "&amp;D1165,INDEX(KdoCodeTab,MATCH(D1165,KdoWertTab,0)))),"Status "&amp;C1165)</f>
        <v>MarkWdh</v>
      </c>
      <c r="F1165" t="str">
        <f t="shared" si="112"/>
        <v>MarkWdh</v>
      </c>
      <c r="G1165" t="str">
        <f t="shared" si="113"/>
        <v/>
      </c>
      <c r="H1165" t="str">
        <f t="shared" si="114"/>
        <v/>
      </c>
    </row>
    <row r="1166" spans="1:8" x14ac:dyDescent="0.25">
      <c r="A1166" t="s">
        <v>1196</v>
      </c>
      <c r="B1166" s="3">
        <f t="shared" si="115"/>
        <v>101</v>
      </c>
      <c r="C1166" s="3" t="str">
        <f t="shared" si="110"/>
        <v/>
      </c>
      <c r="D1166" s="3">
        <f t="shared" si="111"/>
        <v>169</v>
      </c>
      <c r="E1166" s="5" t="str">
        <f>IF(C1166="",IF(D1166="","",IF(D1166&lt;128,"Wahl "&amp;D1166,INDEX(KdoCodeTab,MATCH(D1166,KdoWertTab,0)))),"Status "&amp;C1166)</f>
        <v>BusLebenszeichen</v>
      </c>
      <c r="F1166" t="str">
        <f t="shared" si="112"/>
        <v/>
      </c>
      <c r="G1166" t="str">
        <f t="shared" si="113"/>
        <v/>
      </c>
      <c r="H1166" t="str">
        <f t="shared" si="114"/>
        <v>BusLebenszeichen</v>
      </c>
    </row>
    <row r="1167" spans="1:8" x14ac:dyDescent="0.25">
      <c r="A1167" t="s">
        <v>1197</v>
      </c>
      <c r="B1167" s="3">
        <f t="shared" si="115"/>
        <v>31</v>
      </c>
      <c r="C1167" s="3" t="str">
        <f t="shared" si="110"/>
        <v/>
      </c>
      <c r="D1167" s="3">
        <f t="shared" si="111"/>
        <v>147</v>
      </c>
      <c r="E1167" s="5" t="str">
        <f>IF(C1167="",IF(D1167="","",IF(D1167&lt;128,"Wahl "&amp;D1167,INDEX(KdoCodeTab,MATCH(D1167,KdoWertTab,0)))),"Status "&amp;C1167)</f>
        <v>Space</v>
      </c>
      <c r="F1167" t="str">
        <f t="shared" si="112"/>
        <v>Space</v>
      </c>
      <c r="G1167" t="str">
        <f t="shared" si="113"/>
        <v/>
      </c>
      <c r="H1167" t="str">
        <f t="shared" si="114"/>
        <v/>
      </c>
    </row>
    <row r="1168" spans="1:8" x14ac:dyDescent="0.25">
      <c r="A1168" t="s">
        <v>1198</v>
      </c>
      <c r="B1168" s="3">
        <f t="shared" si="115"/>
        <v>31</v>
      </c>
      <c r="C1168" s="3" t="str">
        <f t="shared" si="110"/>
        <v/>
      </c>
      <c r="D1168" s="3">
        <f t="shared" si="111"/>
        <v>150</v>
      </c>
      <c r="E1168" s="5" t="str">
        <f>IF(C1168="",IF(D1168="","",IF(D1168&lt;128,"Wahl "&amp;D1168,INDEX(KdoCodeTab,MATCH(D1168,KdoWertTab,0)))),"Status "&amp;C1168)</f>
        <v>SpaceWdh</v>
      </c>
      <c r="F1168" t="str">
        <f t="shared" si="112"/>
        <v>SpaceWdh</v>
      </c>
      <c r="G1168" t="str">
        <f t="shared" si="113"/>
        <v/>
      </c>
      <c r="H1168" t="str">
        <f t="shared" si="114"/>
        <v/>
      </c>
    </row>
    <row r="1169" spans="1:8" x14ac:dyDescent="0.25">
      <c r="A1169" t="s">
        <v>1199</v>
      </c>
      <c r="B1169" s="3">
        <f t="shared" si="115"/>
        <v>31</v>
      </c>
      <c r="C1169" s="3" t="str">
        <f t="shared" si="110"/>
        <v/>
      </c>
      <c r="D1169" s="3">
        <f t="shared" si="111"/>
        <v>156</v>
      </c>
      <c r="E1169" s="5" t="str">
        <f>IF(C1169="",IF(D1169="","",IF(D1169&lt;128,"Wahl "&amp;D1169,INDEX(KdoCodeTab,MATCH(D1169,KdoWertTab,0)))),"Status "&amp;C1169)</f>
        <v>Mark</v>
      </c>
      <c r="F1169" t="str">
        <f t="shared" si="112"/>
        <v>Mark</v>
      </c>
      <c r="G1169" t="str">
        <f t="shared" si="113"/>
        <v/>
      </c>
      <c r="H1169" t="str">
        <f t="shared" si="114"/>
        <v/>
      </c>
    </row>
    <row r="1170" spans="1:8" x14ac:dyDescent="0.25">
      <c r="A1170" t="s">
        <v>1200</v>
      </c>
      <c r="B1170" s="3">
        <f t="shared" si="115"/>
        <v>31</v>
      </c>
      <c r="C1170" s="3" t="str">
        <f t="shared" si="110"/>
        <v/>
      </c>
      <c r="D1170" s="3">
        <f t="shared" si="111"/>
        <v>154</v>
      </c>
      <c r="E1170" s="5" t="str">
        <f>IF(C1170="",IF(D1170="","",IF(D1170&lt;128,"Wahl "&amp;D1170,INDEX(KdoCodeTab,MATCH(D1170,KdoWertTab,0)))),"Status "&amp;C1170)</f>
        <v>MarkWdh</v>
      </c>
      <c r="F1170" t="str">
        <f t="shared" si="112"/>
        <v>MarkWdh</v>
      </c>
      <c r="G1170" t="str">
        <f t="shared" si="113"/>
        <v/>
      </c>
      <c r="H1170" t="str">
        <f t="shared" si="114"/>
        <v/>
      </c>
    </row>
    <row r="1171" spans="1:8" x14ac:dyDescent="0.25">
      <c r="A1171" t="s">
        <v>1201</v>
      </c>
      <c r="B1171" s="3">
        <f t="shared" si="115"/>
        <v>18</v>
      </c>
      <c r="C1171" s="3" t="str">
        <f t="shared" si="110"/>
        <v/>
      </c>
      <c r="D1171" s="3">
        <f t="shared" si="111"/>
        <v>0</v>
      </c>
      <c r="E1171" s="5" t="str">
        <f>IF(C1171="",IF(D1171="","",IF(D1171&lt;128,"Wahl "&amp;D1171,INDEX(KdoCodeTab,MATCH(D1171,KdoWertTab,0)))),"Status "&amp;C1171)</f>
        <v>Wahl 0</v>
      </c>
      <c r="F1171" t="str">
        <f t="shared" si="112"/>
        <v/>
      </c>
      <c r="G1171" t="str">
        <f t="shared" si="113"/>
        <v/>
      </c>
      <c r="H1171" t="str">
        <f t="shared" si="114"/>
        <v>Wahl 0</v>
      </c>
    </row>
    <row r="1172" spans="1:8" x14ac:dyDescent="0.25">
      <c r="A1172" t="s">
        <v>1202</v>
      </c>
      <c r="B1172" s="3">
        <f t="shared" si="115"/>
        <v>31</v>
      </c>
      <c r="C1172" s="3" t="str">
        <f t="shared" si="110"/>
        <v/>
      </c>
      <c r="D1172" s="3">
        <f t="shared" si="111"/>
        <v>150</v>
      </c>
      <c r="E1172" s="5" t="str">
        <f>IF(C1172="",IF(D1172="","",IF(D1172&lt;128,"Wahl "&amp;D1172,INDEX(KdoCodeTab,MATCH(D1172,KdoWertTab,0)))),"Status "&amp;C1172)</f>
        <v>SpaceWdh</v>
      </c>
      <c r="F1172" t="str">
        <f t="shared" si="112"/>
        <v>SpaceWdh</v>
      </c>
      <c r="G1172" t="str">
        <f t="shared" si="113"/>
        <v/>
      </c>
      <c r="H1172" t="str">
        <f t="shared" si="114"/>
        <v/>
      </c>
    </row>
    <row r="1173" spans="1:8" x14ac:dyDescent="0.25">
      <c r="A1173" t="s">
        <v>1203</v>
      </c>
      <c r="B1173" s="3">
        <f t="shared" si="115"/>
        <v>31</v>
      </c>
      <c r="C1173" s="3" t="str">
        <f t="shared" si="110"/>
        <v/>
      </c>
      <c r="D1173" s="3">
        <f t="shared" si="111"/>
        <v>156</v>
      </c>
      <c r="E1173" s="5" t="str">
        <f>IF(C1173="",IF(D1173="","",IF(D1173&lt;128,"Wahl "&amp;D1173,INDEX(KdoCodeTab,MATCH(D1173,KdoWertTab,0)))),"Status "&amp;C1173)</f>
        <v>Mark</v>
      </c>
      <c r="F1173" t="str">
        <f t="shared" si="112"/>
        <v>Mark</v>
      </c>
      <c r="G1173" t="str">
        <f t="shared" si="113"/>
        <v/>
      </c>
      <c r="H1173" t="str">
        <f t="shared" si="114"/>
        <v/>
      </c>
    </row>
    <row r="1174" spans="1:8" x14ac:dyDescent="0.25">
      <c r="A1174" t="s">
        <v>1204</v>
      </c>
      <c r="B1174" s="3">
        <f t="shared" si="115"/>
        <v>31</v>
      </c>
      <c r="C1174" s="3" t="str">
        <f t="shared" si="110"/>
        <v/>
      </c>
      <c r="D1174" s="3">
        <f t="shared" si="111"/>
        <v>154</v>
      </c>
      <c r="E1174" s="5" t="str">
        <f>IF(C1174="",IF(D1174="","",IF(D1174&lt;128,"Wahl "&amp;D1174,INDEX(KdoCodeTab,MATCH(D1174,KdoWertTab,0)))),"Status "&amp;C1174)</f>
        <v>MarkWdh</v>
      </c>
      <c r="F1174" t="str">
        <f t="shared" si="112"/>
        <v>MarkWdh</v>
      </c>
      <c r="G1174" t="str">
        <f t="shared" si="113"/>
        <v/>
      </c>
      <c r="H1174" t="str">
        <f t="shared" si="114"/>
        <v/>
      </c>
    </row>
    <row r="1175" spans="1:8" x14ac:dyDescent="0.25">
      <c r="A1175" t="s">
        <v>1205</v>
      </c>
      <c r="B1175" s="3">
        <f t="shared" si="115"/>
        <v>18</v>
      </c>
      <c r="C1175" s="3" t="str">
        <f t="shared" si="110"/>
        <v/>
      </c>
      <c r="D1175" s="3">
        <f t="shared" si="111"/>
        <v>0</v>
      </c>
      <c r="E1175" s="5" t="str">
        <f>IF(C1175="",IF(D1175="","",IF(D1175&lt;128,"Wahl "&amp;D1175,INDEX(KdoCodeTab,MATCH(D1175,KdoWertTab,0)))),"Status "&amp;C1175)</f>
        <v>Wahl 0</v>
      </c>
      <c r="F1175" t="str">
        <f t="shared" si="112"/>
        <v/>
      </c>
      <c r="G1175" t="str">
        <f t="shared" si="113"/>
        <v/>
      </c>
      <c r="H1175" t="str">
        <f t="shared" si="114"/>
        <v>Wahl 0</v>
      </c>
    </row>
    <row r="1176" spans="1:8" x14ac:dyDescent="0.25">
      <c r="A1176" t="s">
        <v>1206</v>
      </c>
      <c r="B1176" s="3">
        <f t="shared" si="115"/>
        <v>31</v>
      </c>
      <c r="C1176" s="3" t="str">
        <f t="shared" si="110"/>
        <v/>
      </c>
      <c r="D1176" s="3">
        <f t="shared" si="111"/>
        <v>150</v>
      </c>
      <c r="E1176" s="5" t="str">
        <f>IF(C1176="",IF(D1176="","",IF(D1176&lt;128,"Wahl "&amp;D1176,INDEX(KdoCodeTab,MATCH(D1176,KdoWertTab,0)))),"Status "&amp;C1176)</f>
        <v>SpaceWdh</v>
      </c>
      <c r="F1176" t="str">
        <f t="shared" si="112"/>
        <v>SpaceWdh</v>
      </c>
      <c r="G1176" t="str">
        <f t="shared" si="113"/>
        <v/>
      </c>
      <c r="H1176" t="str">
        <f t="shared" si="114"/>
        <v/>
      </c>
    </row>
    <row r="1177" spans="1:8" x14ac:dyDescent="0.25">
      <c r="A1177" t="s">
        <v>1207</v>
      </c>
      <c r="B1177" s="3">
        <f t="shared" si="115"/>
        <v>31</v>
      </c>
      <c r="C1177" s="3" t="str">
        <f t="shared" si="110"/>
        <v/>
      </c>
      <c r="D1177" s="3">
        <f t="shared" si="111"/>
        <v>156</v>
      </c>
      <c r="E1177" s="5" t="str">
        <f>IF(C1177="",IF(D1177="","",IF(D1177&lt;128,"Wahl "&amp;D1177,INDEX(KdoCodeTab,MATCH(D1177,KdoWertTab,0)))),"Status "&amp;C1177)</f>
        <v>Mark</v>
      </c>
      <c r="F1177" t="str">
        <f t="shared" si="112"/>
        <v>Mark</v>
      </c>
      <c r="G1177" t="str">
        <f t="shared" si="113"/>
        <v/>
      </c>
      <c r="H1177" t="str">
        <f t="shared" si="114"/>
        <v/>
      </c>
    </row>
    <row r="1178" spans="1:8" x14ac:dyDescent="0.25">
      <c r="A1178" t="s">
        <v>1208</v>
      </c>
      <c r="B1178" s="3">
        <f t="shared" si="115"/>
        <v>31</v>
      </c>
      <c r="C1178" s="3" t="str">
        <f t="shared" si="110"/>
        <v/>
      </c>
      <c r="D1178" s="3">
        <f t="shared" si="111"/>
        <v>154</v>
      </c>
      <c r="E1178" s="5" t="str">
        <f>IF(C1178="",IF(D1178="","",IF(D1178&lt;128,"Wahl "&amp;D1178,INDEX(KdoCodeTab,MATCH(D1178,KdoWertTab,0)))),"Status "&amp;C1178)</f>
        <v>MarkWdh</v>
      </c>
      <c r="F1178" t="str">
        <f t="shared" si="112"/>
        <v>MarkWdh</v>
      </c>
      <c r="G1178" t="str">
        <f t="shared" si="113"/>
        <v/>
      </c>
      <c r="H1178" t="str">
        <f t="shared" si="114"/>
        <v/>
      </c>
    </row>
    <row r="1179" spans="1:8" x14ac:dyDescent="0.25">
      <c r="A1179" t="s">
        <v>1209</v>
      </c>
      <c r="B1179" s="3">
        <f t="shared" si="115"/>
        <v>31</v>
      </c>
      <c r="C1179" s="3" t="str">
        <f t="shared" si="110"/>
        <v/>
      </c>
      <c r="D1179" s="3">
        <f t="shared" si="111"/>
        <v>147</v>
      </c>
      <c r="E1179" s="5" t="str">
        <f>IF(C1179="",IF(D1179="","",IF(D1179&lt;128,"Wahl "&amp;D1179,INDEX(KdoCodeTab,MATCH(D1179,KdoWertTab,0)))),"Status "&amp;C1179)</f>
        <v>Space</v>
      </c>
      <c r="F1179" t="str">
        <f t="shared" si="112"/>
        <v>Space</v>
      </c>
      <c r="G1179" t="str">
        <f t="shared" si="113"/>
        <v/>
      </c>
      <c r="H1179" t="str">
        <f t="shared" si="114"/>
        <v/>
      </c>
    </row>
    <row r="1180" spans="1:8" x14ac:dyDescent="0.25">
      <c r="A1180" t="s">
        <v>1210</v>
      </c>
      <c r="B1180" s="3">
        <f t="shared" si="115"/>
        <v>31</v>
      </c>
      <c r="C1180" s="3" t="str">
        <f t="shared" si="110"/>
        <v/>
      </c>
      <c r="D1180" s="3">
        <f t="shared" si="111"/>
        <v>150</v>
      </c>
      <c r="E1180" s="5" t="str">
        <f>IF(C1180="",IF(D1180="","",IF(D1180&lt;128,"Wahl "&amp;D1180,INDEX(KdoCodeTab,MATCH(D1180,KdoWertTab,0)))),"Status "&amp;C1180)</f>
        <v>SpaceWdh</v>
      </c>
      <c r="F1180" t="str">
        <f t="shared" si="112"/>
        <v>SpaceWdh</v>
      </c>
      <c r="G1180" t="str">
        <f t="shared" si="113"/>
        <v/>
      </c>
      <c r="H1180" t="str">
        <f t="shared" si="114"/>
        <v/>
      </c>
    </row>
    <row r="1181" spans="1:8" x14ac:dyDescent="0.25">
      <c r="A1181" t="s">
        <v>1211</v>
      </c>
      <c r="B1181" s="3">
        <f t="shared" si="115"/>
        <v>31</v>
      </c>
      <c r="C1181" s="3" t="str">
        <f t="shared" si="110"/>
        <v/>
      </c>
      <c r="D1181" s="3">
        <f t="shared" si="111"/>
        <v>156</v>
      </c>
      <c r="E1181" s="5" t="str">
        <f>IF(C1181="",IF(D1181="","",IF(D1181&lt;128,"Wahl "&amp;D1181,INDEX(KdoCodeTab,MATCH(D1181,KdoWertTab,0)))),"Status "&amp;C1181)</f>
        <v>Mark</v>
      </c>
      <c r="F1181" t="str">
        <f t="shared" si="112"/>
        <v>Mark</v>
      </c>
      <c r="G1181" t="str">
        <f t="shared" si="113"/>
        <v/>
      </c>
      <c r="H1181" t="str">
        <f t="shared" si="114"/>
        <v/>
      </c>
    </row>
    <row r="1182" spans="1:8" x14ac:dyDescent="0.25">
      <c r="A1182" t="s">
        <v>1212</v>
      </c>
      <c r="B1182" s="3">
        <f t="shared" si="115"/>
        <v>31</v>
      </c>
      <c r="C1182" s="3" t="str">
        <f t="shared" si="110"/>
        <v/>
      </c>
      <c r="D1182" s="3">
        <f t="shared" si="111"/>
        <v>154</v>
      </c>
      <c r="E1182" s="5" t="str">
        <f>IF(C1182="",IF(D1182="","",IF(D1182&lt;128,"Wahl "&amp;D1182,INDEX(KdoCodeTab,MATCH(D1182,KdoWertTab,0)))),"Status "&amp;C1182)</f>
        <v>MarkWdh</v>
      </c>
      <c r="F1182" t="str">
        <f t="shared" si="112"/>
        <v>MarkWdh</v>
      </c>
      <c r="G1182" t="str">
        <f t="shared" si="113"/>
        <v/>
      </c>
      <c r="H1182" t="str">
        <f t="shared" si="114"/>
        <v/>
      </c>
    </row>
    <row r="1183" spans="1:8" x14ac:dyDescent="0.25">
      <c r="A1183" t="s">
        <v>1213</v>
      </c>
      <c r="B1183" s="3">
        <f t="shared" si="115"/>
        <v>18</v>
      </c>
      <c r="C1183" s="3" t="str">
        <f t="shared" si="110"/>
        <v/>
      </c>
      <c r="D1183" s="3">
        <f t="shared" si="111"/>
        <v>0</v>
      </c>
      <c r="E1183" s="5" t="str">
        <f>IF(C1183="",IF(D1183="","",IF(D1183&lt;128,"Wahl "&amp;D1183,INDEX(KdoCodeTab,MATCH(D1183,KdoWertTab,0)))),"Status "&amp;C1183)</f>
        <v>Wahl 0</v>
      </c>
      <c r="F1183" t="str">
        <f t="shared" si="112"/>
        <v/>
      </c>
      <c r="G1183" t="str">
        <f t="shared" si="113"/>
        <v/>
      </c>
      <c r="H1183" t="str">
        <f t="shared" si="114"/>
        <v>Wahl 0</v>
      </c>
    </row>
    <row r="1184" spans="1:8" x14ac:dyDescent="0.25">
      <c r="A1184" t="s">
        <v>1214</v>
      </c>
      <c r="B1184" s="3">
        <f t="shared" si="115"/>
        <v>31</v>
      </c>
      <c r="C1184" s="3" t="str">
        <f t="shared" si="110"/>
        <v/>
      </c>
      <c r="D1184" s="3">
        <f t="shared" si="111"/>
        <v>150</v>
      </c>
      <c r="E1184" s="5" t="str">
        <f>IF(C1184="",IF(D1184="","",IF(D1184&lt;128,"Wahl "&amp;D1184,INDEX(KdoCodeTab,MATCH(D1184,KdoWertTab,0)))),"Status "&amp;C1184)</f>
        <v>SpaceWdh</v>
      </c>
      <c r="F1184" t="str">
        <f t="shared" si="112"/>
        <v>SpaceWdh</v>
      </c>
      <c r="G1184" t="str">
        <f t="shared" si="113"/>
        <v/>
      </c>
      <c r="H1184" t="str">
        <f t="shared" si="114"/>
        <v/>
      </c>
    </row>
    <row r="1185" spans="1:8" x14ac:dyDescent="0.25">
      <c r="A1185" t="s">
        <v>1215</v>
      </c>
      <c r="B1185" s="3">
        <f t="shared" si="115"/>
        <v>31</v>
      </c>
      <c r="C1185" s="3" t="str">
        <f t="shared" si="110"/>
        <v/>
      </c>
      <c r="D1185" s="3">
        <f t="shared" si="111"/>
        <v>156</v>
      </c>
      <c r="E1185" s="5" t="str">
        <f>IF(C1185="",IF(D1185="","",IF(D1185&lt;128,"Wahl "&amp;D1185,INDEX(KdoCodeTab,MATCH(D1185,KdoWertTab,0)))),"Status "&amp;C1185)</f>
        <v>Mark</v>
      </c>
      <c r="F1185" t="str">
        <f t="shared" si="112"/>
        <v>Mark</v>
      </c>
      <c r="G1185" t="str">
        <f t="shared" si="113"/>
        <v/>
      </c>
      <c r="H1185" t="str">
        <f t="shared" si="114"/>
        <v/>
      </c>
    </row>
    <row r="1186" spans="1:8" x14ac:dyDescent="0.25">
      <c r="A1186" t="s">
        <v>1216</v>
      </c>
      <c r="B1186" s="3">
        <f t="shared" si="115"/>
        <v>31</v>
      </c>
      <c r="C1186" s="3" t="str">
        <f t="shared" si="110"/>
        <v/>
      </c>
      <c r="D1186" s="3">
        <f t="shared" si="111"/>
        <v>154</v>
      </c>
      <c r="E1186" s="5" t="str">
        <f>IF(C1186="",IF(D1186="","",IF(D1186&lt;128,"Wahl "&amp;D1186,INDEX(KdoCodeTab,MATCH(D1186,KdoWertTab,0)))),"Status "&amp;C1186)</f>
        <v>MarkWdh</v>
      </c>
      <c r="F1186" t="str">
        <f t="shared" si="112"/>
        <v>MarkWdh</v>
      </c>
      <c r="G1186" t="str">
        <f t="shared" si="113"/>
        <v/>
      </c>
      <c r="H1186" t="str">
        <f t="shared" si="114"/>
        <v/>
      </c>
    </row>
    <row r="1187" spans="1:8" x14ac:dyDescent="0.25">
      <c r="A1187" t="s">
        <v>1217</v>
      </c>
      <c r="B1187" s="3">
        <f t="shared" si="115"/>
        <v>18</v>
      </c>
      <c r="C1187" s="3" t="str">
        <f t="shared" si="110"/>
        <v/>
      </c>
      <c r="D1187" s="3">
        <f t="shared" si="111"/>
        <v>0</v>
      </c>
      <c r="E1187" s="5" t="str">
        <f>IF(C1187="",IF(D1187="","",IF(D1187&lt;128,"Wahl "&amp;D1187,INDEX(KdoCodeTab,MATCH(D1187,KdoWertTab,0)))),"Status "&amp;C1187)</f>
        <v>Wahl 0</v>
      </c>
      <c r="F1187" t="str">
        <f t="shared" si="112"/>
        <v/>
      </c>
      <c r="G1187" t="str">
        <f t="shared" si="113"/>
        <v/>
      </c>
      <c r="H1187" t="str">
        <f t="shared" si="114"/>
        <v>Wahl 0</v>
      </c>
    </row>
    <row r="1188" spans="1:8" x14ac:dyDescent="0.25">
      <c r="A1188" t="s">
        <v>1218</v>
      </c>
      <c r="B1188" s="3">
        <f t="shared" si="115"/>
        <v>31</v>
      </c>
      <c r="C1188" s="3" t="str">
        <f t="shared" si="110"/>
        <v/>
      </c>
      <c r="D1188" s="3">
        <f t="shared" si="111"/>
        <v>150</v>
      </c>
      <c r="E1188" s="5" t="str">
        <f>IF(C1188="",IF(D1188="","",IF(D1188&lt;128,"Wahl "&amp;D1188,INDEX(KdoCodeTab,MATCH(D1188,KdoWertTab,0)))),"Status "&amp;C1188)</f>
        <v>SpaceWdh</v>
      </c>
      <c r="F1188" t="str">
        <f t="shared" si="112"/>
        <v>SpaceWdh</v>
      </c>
      <c r="G1188" t="str">
        <f t="shared" si="113"/>
        <v/>
      </c>
      <c r="H1188" t="str">
        <f t="shared" si="114"/>
        <v/>
      </c>
    </row>
    <row r="1189" spans="1:8" x14ac:dyDescent="0.25">
      <c r="A1189" t="s">
        <v>1219</v>
      </c>
      <c r="B1189" s="3">
        <f t="shared" si="115"/>
        <v>31</v>
      </c>
      <c r="C1189" s="3" t="str">
        <f t="shared" si="110"/>
        <v/>
      </c>
      <c r="D1189" s="3">
        <f t="shared" si="111"/>
        <v>156</v>
      </c>
      <c r="E1189" s="5" t="str">
        <f>IF(C1189="",IF(D1189="","",IF(D1189&lt;128,"Wahl "&amp;D1189,INDEX(KdoCodeTab,MATCH(D1189,KdoWertTab,0)))),"Status "&amp;C1189)</f>
        <v>Mark</v>
      </c>
      <c r="F1189" t="str">
        <f t="shared" si="112"/>
        <v>Mark</v>
      </c>
      <c r="G1189" t="str">
        <f t="shared" si="113"/>
        <v/>
      </c>
      <c r="H1189" t="str">
        <f t="shared" si="114"/>
        <v/>
      </c>
    </row>
    <row r="1190" spans="1:8" x14ac:dyDescent="0.25">
      <c r="A1190" t="s">
        <v>1220</v>
      </c>
      <c r="B1190" s="3">
        <f t="shared" si="115"/>
        <v>31</v>
      </c>
      <c r="C1190" s="3" t="str">
        <f t="shared" si="110"/>
        <v/>
      </c>
      <c r="D1190" s="3">
        <f t="shared" si="111"/>
        <v>154</v>
      </c>
      <c r="E1190" s="5" t="str">
        <f>IF(C1190="",IF(D1190="","",IF(D1190&lt;128,"Wahl "&amp;D1190,INDEX(KdoCodeTab,MATCH(D1190,KdoWertTab,0)))),"Status "&amp;C1190)</f>
        <v>MarkWdh</v>
      </c>
      <c r="F1190" t="str">
        <f t="shared" si="112"/>
        <v>MarkWdh</v>
      </c>
      <c r="G1190" t="str">
        <f t="shared" si="113"/>
        <v/>
      </c>
      <c r="H1190" t="str">
        <f t="shared" si="114"/>
        <v/>
      </c>
    </row>
    <row r="1191" spans="1:8" x14ac:dyDescent="0.25">
      <c r="A1191" t="s">
        <v>1221</v>
      </c>
      <c r="B1191" s="3">
        <f t="shared" si="115"/>
        <v>31</v>
      </c>
      <c r="C1191" s="3" t="str">
        <f t="shared" si="110"/>
        <v/>
      </c>
      <c r="D1191" s="3">
        <f t="shared" si="111"/>
        <v>147</v>
      </c>
      <c r="E1191" s="5" t="str">
        <f>IF(C1191="",IF(D1191="","",IF(D1191&lt;128,"Wahl "&amp;D1191,INDEX(KdoCodeTab,MATCH(D1191,KdoWertTab,0)))),"Status "&amp;C1191)</f>
        <v>Space</v>
      </c>
      <c r="F1191" t="str">
        <f t="shared" si="112"/>
        <v>Space</v>
      </c>
      <c r="G1191" t="str">
        <f t="shared" si="113"/>
        <v/>
      </c>
      <c r="H1191" t="str">
        <f t="shared" si="114"/>
        <v/>
      </c>
    </row>
    <row r="1192" spans="1:8" x14ac:dyDescent="0.25">
      <c r="A1192" t="s">
        <v>1222</v>
      </c>
      <c r="B1192" s="3">
        <f t="shared" si="115"/>
        <v>31</v>
      </c>
      <c r="C1192" s="3" t="str">
        <f t="shared" si="110"/>
        <v/>
      </c>
      <c r="D1192" s="3">
        <f t="shared" si="111"/>
        <v>150</v>
      </c>
      <c r="E1192" s="5" t="str">
        <f>IF(C1192="",IF(D1192="","",IF(D1192&lt;128,"Wahl "&amp;D1192,INDEX(KdoCodeTab,MATCH(D1192,KdoWertTab,0)))),"Status "&amp;C1192)</f>
        <v>SpaceWdh</v>
      </c>
      <c r="F1192" t="str">
        <f t="shared" si="112"/>
        <v>SpaceWdh</v>
      </c>
      <c r="G1192" t="str">
        <f t="shared" si="113"/>
        <v/>
      </c>
      <c r="H1192" t="str">
        <f t="shared" si="114"/>
        <v/>
      </c>
    </row>
    <row r="1193" spans="1:8" x14ac:dyDescent="0.25">
      <c r="A1193" t="s">
        <v>1223</v>
      </c>
      <c r="B1193" s="3">
        <f t="shared" si="115"/>
        <v>31</v>
      </c>
      <c r="C1193" s="3" t="str">
        <f t="shared" si="110"/>
        <v/>
      </c>
      <c r="D1193" s="3">
        <f t="shared" si="111"/>
        <v>156</v>
      </c>
      <c r="E1193" s="5" t="str">
        <f>IF(C1193="",IF(D1193="","",IF(D1193&lt;128,"Wahl "&amp;D1193,INDEX(KdoCodeTab,MATCH(D1193,KdoWertTab,0)))),"Status "&amp;C1193)</f>
        <v>Mark</v>
      </c>
      <c r="F1193" t="str">
        <f t="shared" si="112"/>
        <v>Mark</v>
      </c>
      <c r="G1193" t="str">
        <f t="shared" si="113"/>
        <v/>
      </c>
      <c r="H1193" t="str">
        <f t="shared" si="114"/>
        <v/>
      </c>
    </row>
    <row r="1194" spans="1:8" x14ac:dyDescent="0.25">
      <c r="A1194" t="s">
        <v>1224</v>
      </c>
      <c r="B1194" s="3">
        <f t="shared" si="115"/>
        <v>31</v>
      </c>
      <c r="C1194" s="3" t="str">
        <f t="shared" si="110"/>
        <v/>
      </c>
      <c r="D1194" s="3">
        <f t="shared" si="111"/>
        <v>154</v>
      </c>
      <c r="E1194" s="5" t="str">
        <f>IF(C1194="",IF(D1194="","",IF(D1194&lt;128,"Wahl "&amp;D1194,INDEX(KdoCodeTab,MATCH(D1194,KdoWertTab,0)))),"Status "&amp;C1194)</f>
        <v>MarkWdh</v>
      </c>
      <c r="F1194" t="str">
        <f t="shared" si="112"/>
        <v>MarkWdh</v>
      </c>
      <c r="G1194" t="str">
        <f t="shared" si="113"/>
        <v/>
      </c>
      <c r="H1194" t="str">
        <f t="shared" si="114"/>
        <v/>
      </c>
    </row>
    <row r="1195" spans="1:8" x14ac:dyDescent="0.25">
      <c r="A1195" t="s">
        <v>1225</v>
      </c>
      <c r="B1195" s="3">
        <f t="shared" si="115"/>
        <v>31</v>
      </c>
      <c r="C1195" s="3" t="str">
        <f t="shared" si="110"/>
        <v/>
      </c>
      <c r="D1195" s="3">
        <f t="shared" si="111"/>
        <v>147</v>
      </c>
      <c r="E1195" s="5" t="str">
        <f>IF(C1195="",IF(D1195="","",IF(D1195&lt;128,"Wahl "&amp;D1195,INDEX(KdoCodeTab,MATCH(D1195,KdoWertTab,0)))),"Status "&amp;C1195)</f>
        <v>Space</v>
      </c>
      <c r="F1195" t="str">
        <f t="shared" si="112"/>
        <v>Space</v>
      </c>
      <c r="G1195" t="str">
        <f t="shared" si="113"/>
        <v/>
      </c>
      <c r="H1195" t="str">
        <f t="shared" si="114"/>
        <v/>
      </c>
    </row>
    <row r="1196" spans="1:8" x14ac:dyDescent="0.25">
      <c r="A1196" t="s">
        <v>1226</v>
      </c>
      <c r="B1196" s="3">
        <f t="shared" si="115"/>
        <v>31</v>
      </c>
      <c r="C1196" s="3" t="str">
        <f t="shared" si="110"/>
        <v/>
      </c>
      <c r="D1196" s="3">
        <f t="shared" si="111"/>
        <v>150</v>
      </c>
      <c r="E1196" s="5" t="str">
        <f>IF(C1196="",IF(D1196="","",IF(D1196&lt;128,"Wahl "&amp;D1196,INDEX(KdoCodeTab,MATCH(D1196,KdoWertTab,0)))),"Status "&amp;C1196)</f>
        <v>SpaceWdh</v>
      </c>
      <c r="F1196" t="str">
        <f t="shared" si="112"/>
        <v>SpaceWdh</v>
      </c>
      <c r="G1196" t="str">
        <f t="shared" si="113"/>
        <v/>
      </c>
      <c r="H1196" t="str">
        <f t="shared" si="114"/>
        <v/>
      </c>
    </row>
    <row r="1197" spans="1:8" x14ac:dyDescent="0.25">
      <c r="A1197" t="s">
        <v>1227</v>
      </c>
      <c r="B1197" s="3">
        <f t="shared" si="115"/>
        <v>101</v>
      </c>
      <c r="C1197" s="3" t="str">
        <f t="shared" si="110"/>
        <v/>
      </c>
      <c r="D1197" s="3">
        <f t="shared" si="111"/>
        <v>169</v>
      </c>
      <c r="E1197" s="5" t="str">
        <f>IF(C1197="",IF(D1197="","",IF(D1197&lt;128,"Wahl "&amp;D1197,INDEX(KdoCodeTab,MATCH(D1197,KdoWertTab,0)))),"Status "&amp;C1197)</f>
        <v>BusLebenszeichen</v>
      </c>
      <c r="F1197" t="str">
        <f t="shared" si="112"/>
        <v/>
      </c>
      <c r="G1197" t="str">
        <f t="shared" si="113"/>
        <v/>
      </c>
      <c r="H1197" t="str">
        <f t="shared" si="114"/>
        <v>BusLebenszeichen</v>
      </c>
    </row>
    <row r="1198" spans="1:8" x14ac:dyDescent="0.25">
      <c r="A1198" t="s">
        <v>1228</v>
      </c>
      <c r="B1198" s="3">
        <f t="shared" si="115"/>
        <v>31</v>
      </c>
      <c r="C1198" s="3" t="str">
        <f t="shared" si="110"/>
        <v/>
      </c>
      <c r="D1198" s="3">
        <f t="shared" si="111"/>
        <v>156</v>
      </c>
      <c r="E1198" s="5" t="str">
        <f>IF(C1198="",IF(D1198="","",IF(D1198&lt;128,"Wahl "&amp;D1198,INDEX(KdoCodeTab,MATCH(D1198,KdoWertTab,0)))),"Status "&amp;C1198)</f>
        <v>Mark</v>
      </c>
      <c r="F1198" t="str">
        <f t="shared" si="112"/>
        <v>Mark</v>
      </c>
      <c r="G1198" t="str">
        <f t="shared" si="113"/>
        <v/>
      </c>
      <c r="H1198" t="str">
        <f t="shared" si="114"/>
        <v/>
      </c>
    </row>
    <row r="1199" spans="1:8" x14ac:dyDescent="0.25">
      <c r="A1199" t="s">
        <v>1229</v>
      </c>
      <c r="B1199" s="3">
        <f t="shared" si="115"/>
        <v>31</v>
      </c>
      <c r="C1199" s="3" t="str">
        <f t="shared" si="110"/>
        <v/>
      </c>
      <c r="D1199" s="3">
        <f t="shared" si="111"/>
        <v>154</v>
      </c>
      <c r="E1199" s="5" t="str">
        <f>IF(C1199="",IF(D1199="","",IF(D1199&lt;128,"Wahl "&amp;D1199,INDEX(KdoCodeTab,MATCH(D1199,KdoWertTab,0)))),"Status "&amp;C1199)</f>
        <v>MarkWdh</v>
      </c>
      <c r="F1199" t="str">
        <f t="shared" si="112"/>
        <v>MarkWdh</v>
      </c>
      <c r="G1199" t="str">
        <f t="shared" si="113"/>
        <v/>
      </c>
      <c r="H1199" t="str">
        <f t="shared" si="114"/>
        <v/>
      </c>
    </row>
    <row r="1200" spans="1:8" x14ac:dyDescent="0.25">
      <c r="A1200" t="s">
        <v>1230</v>
      </c>
      <c r="B1200" s="3">
        <f t="shared" si="115"/>
        <v>31</v>
      </c>
      <c r="C1200" s="3" t="str">
        <f t="shared" si="110"/>
        <v/>
      </c>
      <c r="D1200" s="3">
        <f t="shared" si="111"/>
        <v>147</v>
      </c>
      <c r="E1200" s="5" t="str">
        <f>IF(C1200="",IF(D1200="","",IF(D1200&lt;128,"Wahl "&amp;D1200,INDEX(KdoCodeTab,MATCH(D1200,KdoWertTab,0)))),"Status "&amp;C1200)</f>
        <v>Space</v>
      </c>
      <c r="F1200" t="str">
        <f t="shared" si="112"/>
        <v>Space</v>
      </c>
      <c r="G1200" t="str">
        <f t="shared" si="113"/>
        <v/>
      </c>
      <c r="H1200" t="str">
        <f t="shared" si="114"/>
        <v/>
      </c>
    </row>
    <row r="1201" spans="1:8" x14ac:dyDescent="0.25">
      <c r="A1201" t="s">
        <v>1231</v>
      </c>
      <c r="B1201" s="3">
        <f t="shared" si="115"/>
        <v>31</v>
      </c>
      <c r="C1201" s="3" t="str">
        <f t="shared" si="110"/>
        <v/>
      </c>
      <c r="D1201" s="3">
        <f t="shared" si="111"/>
        <v>150</v>
      </c>
      <c r="E1201" s="5" t="str">
        <f>IF(C1201="",IF(D1201="","",IF(D1201&lt;128,"Wahl "&amp;D1201,INDEX(KdoCodeTab,MATCH(D1201,KdoWertTab,0)))),"Status "&amp;C1201)</f>
        <v>SpaceWdh</v>
      </c>
      <c r="F1201" t="str">
        <f t="shared" si="112"/>
        <v>SpaceWdh</v>
      </c>
      <c r="G1201" t="str">
        <f t="shared" si="113"/>
        <v/>
      </c>
      <c r="H1201" t="str">
        <f t="shared" si="114"/>
        <v/>
      </c>
    </row>
    <row r="1202" spans="1:8" x14ac:dyDescent="0.25">
      <c r="A1202" t="s">
        <v>1232</v>
      </c>
      <c r="B1202" s="3">
        <f t="shared" si="115"/>
        <v>31</v>
      </c>
      <c r="C1202" s="3" t="str">
        <f t="shared" si="110"/>
        <v/>
      </c>
      <c r="D1202" s="3">
        <f t="shared" si="111"/>
        <v>156</v>
      </c>
      <c r="E1202" s="5" t="str">
        <f>IF(C1202="",IF(D1202="","",IF(D1202&lt;128,"Wahl "&amp;D1202,INDEX(KdoCodeTab,MATCH(D1202,KdoWertTab,0)))),"Status "&amp;C1202)</f>
        <v>Mark</v>
      </c>
      <c r="F1202" t="str">
        <f t="shared" si="112"/>
        <v>Mark</v>
      </c>
      <c r="G1202" t="str">
        <f t="shared" si="113"/>
        <v/>
      </c>
      <c r="H1202" t="str">
        <f t="shared" si="114"/>
        <v/>
      </c>
    </row>
    <row r="1203" spans="1:8" x14ac:dyDescent="0.25">
      <c r="A1203" t="s">
        <v>1233</v>
      </c>
      <c r="B1203" s="3">
        <f t="shared" si="115"/>
        <v>31</v>
      </c>
      <c r="C1203" s="3" t="str">
        <f t="shared" si="110"/>
        <v/>
      </c>
      <c r="D1203" s="3">
        <f t="shared" si="111"/>
        <v>154</v>
      </c>
      <c r="E1203" s="5" t="str">
        <f>IF(C1203="",IF(D1203="","",IF(D1203&lt;128,"Wahl "&amp;D1203,INDEX(KdoCodeTab,MATCH(D1203,KdoWertTab,0)))),"Status "&amp;C1203)</f>
        <v>MarkWdh</v>
      </c>
      <c r="F1203" t="str">
        <f t="shared" si="112"/>
        <v>MarkWdh</v>
      </c>
      <c r="G1203" t="str">
        <f t="shared" si="113"/>
        <v/>
      </c>
      <c r="H1203" t="str">
        <f t="shared" si="114"/>
        <v/>
      </c>
    </row>
    <row r="1204" spans="1:8" x14ac:dyDescent="0.25">
      <c r="A1204" t="s">
        <v>1234</v>
      </c>
      <c r="B1204" s="3">
        <f t="shared" si="115"/>
        <v>31</v>
      </c>
      <c r="C1204" s="3" t="str">
        <f t="shared" si="110"/>
        <v/>
      </c>
      <c r="D1204" s="3">
        <f t="shared" si="111"/>
        <v>147</v>
      </c>
      <c r="E1204" s="5" t="str">
        <f>IF(C1204="",IF(D1204="","",IF(D1204&lt;128,"Wahl "&amp;D1204,INDEX(KdoCodeTab,MATCH(D1204,KdoWertTab,0)))),"Status "&amp;C1204)</f>
        <v>Space</v>
      </c>
      <c r="F1204" t="str">
        <f t="shared" si="112"/>
        <v>Space</v>
      </c>
      <c r="G1204" t="str">
        <f t="shared" si="113"/>
        <v/>
      </c>
      <c r="H1204" t="str">
        <f t="shared" si="114"/>
        <v/>
      </c>
    </row>
    <row r="1205" spans="1:8" x14ac:dyDescent="0.25">
      <c r="A1205" t="s">
        <v>1235</v>
      </c>
      <c r="B1205" s="3">
        <f t="shared" si="115"/>
        <v>31</v>
      </c>
      <c r="C1205" s="3" t="str">
        <f t="shared" si="110"/>
        <v/>
      </c>
      <c r="D1205" s="3">
        <f t="shared" si="111"/>
        <v>150</v>
      </c>
      <c r="E1205" s="5" t="str">
        <f>IF(C1205="",IF(D1205="","",IF(D1205&lt;128,"Wahl "&amp;D1205,INDEX(KdoCodeTab,MATCH(D1205,KdoWertTab,0)))),"Status "&amp;C1205)</f>
        <v>SpaceWdh</v>
      </c>
      <c r="F1205" t="str">
        <f t="shared" si="112"/>
        <v>SpaceWdh</v>
      </c>
      <c r="G1205" t="str">
        <f t="shared" si="113"/>
        <v/>
      </c>
      <c r="H1205" t="str">
        <f t="shared" si="114"/>
        <v/>
      </c>
    </row>
    <row r="1206" spans="1:8" x14ac:dyDescent="0.25">
      <c r="A1206" t="s">
        <v>1236</v>
      </c>
      <c r="B1206" s="3">
        <f t="shared" si="115"/>
        <v>31</v>
      </c>
      <c r="C1206" s="3" t="str">
        <f t="shared" si="110"/>
        <v/>
      </c>
      <c r="D1206" s="3">
        <f t="shared" si="111"/>
        <v>156</v>
      </c>
      <c r="E1206" s="5" t="str">
        <f>IF(C1206="",IF(D1206="","",IF(D1206&lt;128,"Wahl "&amp;D1206,INDEX(KdoCodeTab,MATCH(D1206,KdoWertTab,0)))),"Status "&amp;C1206)</f>
        <v>Mark</v>
      </c>
      <c r="F1206" t="str">
        <f t="shared" si="112"/>
        <v>Mark</v>
      </c>
      <c r="G1206" t="str">
        <f t="shared" si="113"/>
        <v/>
      </c>
      <c r="H1206" t="str">
        <f t="shared" si="114"/>
        <v/>
      </c>
    </row>
    <row r="1207" spans="1:8" x14ac:dyDescent="0.25">
      <c r="A1207" t="s">
        <v>1237</v>
      </c>
      <c r="B1207" s="3">
        <f t="shared" si="115"/>
        <v>31</v>
      </c>
      <c r="C1207" s="3" t="str">
        <f t="shared" si="110"/>
        <v/>
      </c>
      <c r="D1207" s="3">
        <f t="shared" si="111"/>
        <v>154</v>
      </c>
      <c r="E1207" s="5" t="str">
        <f>IF(C1207="",IF(D1207="","",IF(D1207&lt;128,"Wahl "&amp;D1207,INDEX(KdoCodeTab,MATCH(D1207,KdoWertTab,0)))),"Status "&amp;C1207)</f>
        <v>MarkWdh</v>
      </c>
      <c r="F1207" t="str">
        <f t="shared" si="112"/>
        <v>MarkWdh</v>
      </c>
      <c r="G1207" t="str">
        <f t="shared" si="113"/>
        <v/>
      </c>
      <c r="H1207" t="str">
        <f t="shared" si="114"/>
        <v/>
      </c>
    </row>
    <row r="1208" spans="1:8" x14ac:dyDescent="0.25">
      <c r="A1208" t="s">
        <v>1238</v>
      </c>
      <c r="B1208" s="3">
        <f t="shared" si="115"/>
        <v>31</v>
      </c>
      <c r="C1208" s="3" t="str">
        <f t="shared" si="110"/>
        <v/>
      </c>
      <c r="D1208" s="3">
        <f t="shared" si="111"/>
        <v>147</v>
      </c>
      <c r="E1208" s="5" t="str">
        <f>IF(C1208="",IF(D1208="","",IF(D1208&lt;128,"Wahl "&amp;D1208,INDEX(KdoCodeTab,MATCH(D1208,KdoWertTab,0)))),"Status "&amp;C1208)</f>
        <v>Space</v>
      </c>
      <c r="F1208" t="str">
        <f t="shared" si="112"/>
        <v>Space</v>
      </c>
      <c r="G1208" t="str">
        <f t="shared" si="113"/>
        <v/>
      </c>
      <c r="H1208" t="str">
        <f t="shared" si="114"/>
        <v/>
      </c>
    </row>
    <row r="1209" spans="1:8" x14ac:dyDescent="0.25">
      <c r="A1209" t="s">
        <v>1239</v>
      </c>
      <c r="B1209" s="3">
        <f t="shared" si="115"/>
        <v>31</v>
      </c>
      <c r="C1209" s="3" t="str">
        <f t="shared" si="110"/>
        <v/>
      </c>
      <c r="D1209" s="3">
        <f t="shared" si="111"/>
        <v>150</v>
      </c>
      <c r="E1209" s="5" t="str">
        <f>IF(C1209="",IF(D1209="","",IF(D1209&lt;128,"Wahl "&amp;D1209,INDEX(KdoCodeTab,MATCH(D1209,KdoWertTab,0)))),"Status "&amp;C1209)</f>
        <v>SpaceWdh</v>
      </c>
      <c r="F1209" t="str">
        <f t="shared" si="112"/>
        <v>SpaceWdh</v>
      </c>
      <c r="G1209" t="str">
        <f t="shared" si="113"/>
        <v/>
      </c>
      <c r="H1209" t="str">
        <f t="shared" si="114"/>
        <v/>
      </c>
    </row>
    <row r="1210" spans="1:8" x14ac:dyDescent="0.25">
      <c r="A1210" t="s">
        <v>1240</v>
      </c>
      <c r="B1210" s="3">
        <f t="shared" si="115"/>
        <v>31</v>
      </c>
      <c r="C1210" s="3" t="str">
        <f t="shared" si="110"/>
        <v/>
      </c>
      <c r="D1210" s="3">
        <f t="shared" si="111"/>
        <v>156</v>
      </c>
      <c r="E1210" s="5" t="str">
        <f>IF(C1210="",IF(D1210="","",IF(D1210&lt;128,"Wahl "&amp;D1210,INDEX(KdoCodeTab,MATCH(D1210,KdoWertTab,0)))),"Status "&amp;C1210)</f>
        <v>Mark</v>
      </c>
      <c r="F1210" t="str">
        <f t="shared" si="112"/>
        <v>Mark</v>
      </c>
      <c r="G1210" t="str">
        <f t="shared" si="113"/>
        <v/>
      </c>
      <c r="H1210" t="str">
        <f t="shared" si="114"/>
        <v/>
      </c>
    </row>
    <row r="1211" spans="1:8" x14ac:dyDescent="0.25">
      <c r="A1211" t="s">
        <v>1241</v>
      </c>
      <c r="B1211" s="3">
        <f t="shared" si="115"/>
        <v>31</v>
      </c>
      <c r="C1211" s="3" t="str">
        <f t="shared" ref="C1211:C1274" si="116">IF(MID(A1211,10,1)="&lt;",MID(A1211,12,2),"")</f>
        <v/>
      </c>
      <c r="D1211" s="3">
        <f t="shared" ref="D1211:D1274" si="117">IF(MID(A1211,10,1)="&gt;",HEX2DEC(MID(A1211,12,2)),"")</f>
        <v>154</v>
      </c>
      <c r="E1211" s="5" t="str">
        <f>IF(C1211="",IF(D1211="","",IF(D1211&lt;128,"Wahl "&amp;D1211,INDEX(KdoCodeTab,MATCH(D1211,KdoWertTab,0)))),"Status "&amp;C1211)</f>
        <v>MarkWdh</v>
      </c>
      <c r="F1211" t="str">
        <f t="shared" ref="F1211:F1274" si="118">IF(B1211=$F$2,E1211,"")</f>
        <v>MarkWdh</v>
      </c>
      <c r="G1211" t="str">
        <f t="shared" ref="G1211:G1274" si="119">IF(B1211=$G$2,E1211,"")</f>
        <v/>
      </c>
      <c r="H1211" t="str">
        <f t="shared" ref="H1211:H1274" si="120">IF(F1211&amp;G1211="",E1211,"")</f>
        <v/>
      </c>
    </row>
    <row r="1212" spans="1:8" x14ac:dyDescent="0.25">
      <c r="A1212" t="s">
        <v>1242</v>
      </c>
      <c r="B1212" s="3">
        <f t="shared" si="115"/>
        <v>31</v>
      </c>
      <c r="C1212" s="3" t="str">
        <f t="shared" si="116"/>
        <v/>
      </c>
      <c r="D1212" s="3">
        <f t="shared" si="117"/>
        <v>147</v>
      </c>
      <c r="E1212" s="5" t="str">
        <f>IF(C1212="",IF(D1212="","",IF(D1212&lt;128,"Wahl "&amp;D1212,INDEX(KdoCodeTab,MATCH(D1212,KdoWertTab,0)))),"Status "&amp;C1212)</f>
        <v>Space</v>
      </c>
      <c r="F1212" t="str">
        <f t="shared" si="118"/>
        <v>Space</v>
      </c>
      <c r="G1212" t="str">
        <f t="shared" si="119"/>
        <v/>
      </c>
      <c r="H1212" t="str">
        <f t="shared" si="120"/>
        <v/>
      </c>
    </row>
    <row r="1213" spans="1:8" x14ac:dyDescent="0.25">
      <c r="A1213" t="s">
        <v>1243</v>
      </c>
      <c r="B1213" s="3">
        <f t="shared" si="115"/>
        <v>31</v>
      </c>
      <c r="C1213" s="3" t="str">
        <f t="shared" si="116"/>
        <v/>
      </c>
      <c r="D1213" s="3">
        <f t="shared" si="117"/>
        <v>150</v>
      </c>
      <c r="E1213" s="5" t="str">
        <f>IF(C1213="",IF(D1213="","",IF(D1213&lt;128,"Wahl "&amp;D1213,INDEX(KdoCodeTab,MATCH(D1213,KdoWertTab,0)))),"Status "&amp;C1213)</f>
        <v>SpaceWdh</v>
      </c>
      <c r="F1213" t="str">
        <f t="shared" si="118"/>
        <v>SpaceWdh</v>
      </c>
      <c r="G1213" t="str">
        <f t="shared" si="119"/>
        <v/>
      </c>
      <c r="H1213" t="str">
        <f t="shared" si="120"/>
        <v/>
      </c>
    </row>
    <row r="1214" spans="1:8" x14ac:dyDescent="0.25">
      <c r="A1214" t="s">
        <v>1244</v>
      </c>
      <c r="B1214" s="3">
        <f t="shared" si="115"/>
        <v>31</v>
      </c>
      <c r="C1214" s="3" t="str">
        <f t="shared" si="116"/>
        <v/>
      </c>
      <c r="D1214" s="3">
        <f t="shared" si="117"/>
        <v>156</v>
      </c>
      <c r="E1214" s="5" t="str">
        <f>IF(C1214="",IF(D1214="","",IF(D1214&lt;128,"Wahl "&amp;D1214,INDEX(KdoCodeTab,MATCH(D1214,KdoWertTab,0)))),"Status "&amp;C1214)</f>
        <v>Mark</v>
      </c>
      <c r="F1214" t="str">
        <f t="shared" si="118"/>
        <v>Mark</v>
      </c>
      <c r="G1214" t="str">
        <f t="shared" si="119"/>
        <v/>
      </c>
      <c r="H1214" t="str">
        <f t="shared" si="120"/>
        <v/>
      </c>
    </row>
    <row r="1215" spans="1:8" x14ac:dyDescent="0.25">
      <c r="A1215" t="s">
        <v>1245</v>
      </c>
      <c r="B1215" s="3">
        <f t="shared" si="115"/>
        <v>31</v>
      </c>
      <c r="C1215" s="3" t="str">
        <f t="shared" si="116"/>
        <v/>
      </c>
      <c r="D1215" s="3">
        <f t="shared" si="117"/>
        <v>154</v>
      </c>
      <c r="E1215" s="5" t="str">
        <f>IF(C1215="",IF(D1215="","",IF(D1215&lt;128,"Wahl "&amp;D1215,INDEX(KdoCodeTab,MATCH(D1215,KdoWertTab,0)))),"Status "&amp;C1215)</f>
        <v>MarkWdh</v>
      </c>
      <c r="F1215" t="str">
        <f t="shared" si="118"/>
        <v>MarkWdh</v>
      </c>
      <c r="G1215" t="str">
        <f t="shared" si="119"/>
        <v/>
      </c>
      <c r="H1215" t="str">
        <f t="shared" si="120"/>
        <v/>
      </c>
    </row>
    <row r="1216" spans="1:8" x14ac:dyDescent="0.25">
      <c r="A1216" t="s">
        <v>1246</v>
      </c>
      <c r="B1216" s="3">
        <f t="shared" si="115"/>
        <v>31</v>
      </c>
      <c r="C1216" s="3" t="str">
        <f t="shared" si="116"/>
        <v/>
      </c>
      <c r="D1216" s="3">
        <f t="shared" si="117"/>
        <v>147</v>
      </c>
      <c r="E1216" s="5" t="str">
        <f>IF(C1216="",IF(D1216="","",IF(D1216&lt;128,"Wahl "&amp;D1216,INDEX(KdoCodeTab,MATCH(D1216,KdoWertTab,0)))),"Status "&amp;C1216)</f>
        <v>Space</v>
      </c>
      <c r="F1216" t="str">
        <f t="shared" si="118"/>
        <v>Space</v>
      </c>
      <c r="G1216" t="str">
        <f t="shared" si="119"/>
        <v/>
      </c>
      <c r="H1216" t="str">
        <f t="shared" si="120"/>
        <v/>
      </c>
    </row>
    <row r="1217" spans="1:8" x14ac:dyDescent="0.25">
      <c r="A1217" t="s">
        <v>1247</v>
      </c>
      <c r="B1217" s="3">
        <f t="shared" si="115"/>
        <v>31</v>
      </c>
      <c r="C1217" s="3" t="str">
        <f t="shared" si="116"/>
        <v/>
      </c>
      <c r="D1217" s="3">
        <f t="shared" si="117"/>
        <v>150</v>
      </c>
      <c r="E1217" s="5" t="str">
        <f>IF(C1217="",IF(D1217="","",IF(D1217&lt;128,"Wahl "&amp;D1217,INDEX(KdoCodeTab,MATCH(D1217,KdoWertTab,0)))),"Status "&amp;C1217)</f>
        <v>SpaceWdh</v>
      </c>
      <c r="F1217" t="str">
        <f t="shared" si="118"/>
        <v>SpaceWdh</v>
      </c>
      <c r="G1217" t="str">
        <f t="shared" si="119"/>
        <v/>
      </c>
      <c r="H1217" t="str">
        <f t="shared" si="120"/>
        <v/>
      </c>
    </row>
    <row r="1218" spans="1:8" x14ac:dyDescent="0.25">
      <c r="A1218" t="s">
        <v>1248</v>
      </c>
      <c r="B1218" s="3">
        <f t="shared" si="115"/>
        <v>31</v>
      </c>
      <c r="C1218" s="3" t="str">
        <f t="shared" si="116"/>
        <v/>
      </c>
      <c r="D1218" s="3">
        <f t="shared" si="117"/>
        <v>156</v>
      </c>
      <c r="E1218" s="5" t="str">
        <f>IF(C1218="",IF(D1218="","",IF(D1218&lt;128,"Wahl "&amp;D1218,INDEX(KdoCodeTab,MATCH(D1218,KdoWertTab,0)))),"Status "&amp;C1218)</f>
        <v>Mark</v>
      </c>
      <c r="F1218" t="str">
        <f t="shared" si="118"/>
        <v>Mark</v>
      </c>
      <c r="G1218" t="str">
        <f t="shared" si="119"/>
        <v/>
      </c>
      <c r="H1218" t="str">
        <f t="shared" si="120"/>
        <v/>
      </c>
    </row>
    <row r="1219" spans="1:8" x14ac:dyDescent="0.25">
      <c r="A1219" t="s">
        <v>1249</v>
      </c>
      <c r="B1219" s="3">
        <f t="shared" si="115"/>
        <v>31</v>
      </c>
      <c r="C1219" s="3" t="str">
        <f t="shared" si="116"/>
        <v/>
      </c>
      <c r="D1219" s="3">
        <f t="shared" si="117"/>
        <v>154</v>
      </c>
      <c r="E1219" s="5" t="str">
        <f>IF(C1219="",IF(D1219="","",IF(D1219&lt;128,"Wahl "&amp;D1219,INDEX(KdoCodeTab,MATCH(D1219,KdoWertTab,0)))),"Status "&amp;C1219)</f>
        <v>MarkWdh</v>
      </c>
      <c r="F1219" t="str">
        <f t="shared" si="118"/>
        <v>MarkWdh</v>
      </c>
      <c r="G1219" t="str">
        <f t="shared" si="119"/>
        <v/>
      </c>
      <c r="H1219" t="str">
        <f t="shared" si="120"/>
        <v/>
      </c>
    </row>
    <row r="1220" spans="1:8" x14ac:dyDescent="0.25">
      <c r="A1220" t="s">
        <v>1250</v>
      </c>
      <c r="B1220" s="3">
        <f t="shared" si="115"/>
        <v>31</v>
      </c>
      <c r="C1220" s="3" t="str">
        <f t="shared" si="116"/>
        <v/>
      </c>
      <c r="D1220" s="3">
        <f t="shared" si="117"/>
        <v>147</v>
      </c>
      <c r="E1220" s="5" t="str">
        <f>IF(C1220="",IF(D1220="","",IF(D1220&lt;128,"Wahl "&amp;D1220,INDEX(KdoCodeTab,MATCH(D1220,KdoWertTab,0)))),"Status "&amp;C1220)</f>
        <v>Space</v>
      </c>
      <c r="F1220" t="str">
        <f t="shared" si="118"/>
        <v>Space</v>
      </c>
      <c r="G1220" t="str">
        <f t="shared" si="119"/>
        <v/>
      </c>
      <c r="H1220" t="str">
        <f t="shared" si="120"/>
        <v/>
      </c>
    </row>
    <row r="1221" spans="1:8" x14ac:dyDescent="0.25">
      <c r="A1221" t="s">
        <v>1251</v>
      </c>
      <c r="B1221" s="3">
        <f t="shared" ref="B1221:B1284" si="121">INT(HEX2DEC(MID(A1221,8,2))/2)</f>
        <v>31</v>
      </c>
      <c r="C1221" s="3" t="str">
        <f t="shared" si="116"/>
        <v/>
      </c>
      <c r="D1221" s="3">
        <f t="shared" si="117"/>
        <v>150</v>
      </c>
      <c r="E1221" s="5" t="str">
        <f>IF(C1221="",IF(D1221="","",IF(D1221&lt;128,"Wahl "&amp;D1221,INDEX(KdoCodeTab,MATCH(D1221,KdoWertTab,0)))),"Status "&amp;C1221)</f>
        <v>SpaceWdh</v>
      </c>
      <c r="F1221" t="str">
        <f t="shared" si="118"/>
        <v>SpaceWdh</v>
      </c>
      <c r="G1221" t="str">
        <f t="shared" si="119"/>
        <v/>
      </c>
      <c r="H1221" t="str">
        <f t="shared" si="120"/>
        <v/>
      </c>
    </row>
    <row r="1222" spans="1:8" x14ac:dyDescent="0.25">
      <c r="A1222" t="s">
        <v>1252</v>
      </c>
      <c r="B1222" s="3">
        <f t="shared" si="121"/>
        <v>31</v>
      </c>
      <c r="C1222" s="3" t="str">
        <f t="shared" si="116"/>
        <v/>
      </c>
      <c r="D1222" s="3">
        <f t="shared" si="117"/>
        <v>156</v>
      </c>
      <c r="E1222" s="5" t="str">
        <f>IF(C1222="",IF(D1222="","",IF(D1222&lt;128,"Wahl "&amp;D1222,INDEX(KdoCodeTab,MATCH(D1222,KdoWertTab,0)))),"Status "&amp;C1222)</f>
        <v>Mark</v>
      </c>
      <c r="F1222" t="str">
        <f t="shared" si="118"/>
        <v>Mark</v>
      </c>
      <c r="G1222" t="str">
        <f t="shared" si="119"/>
        <v/>
      </c>
      <c r="H1222" t="str">
        <f t="shared" si="120"/>
        <v/>
      </c>
    </row>
    <row r="1223" spans="1:8" x14ac:dyDescent="0.25">
      <c r="A1223" t="s">
        <v>1253</v>
      </c>
      <c r="B1223" s="3">
        <f t="shared" si="121"/>
        <v>31</v>
      </c>
      <c r="C1223" s="3" t="str">
        <f t="shared" si="116"/>
        <v/>
      </c>
      <c r="D1223" s="3">
        <f t="shared" si="117"/>
        <v>154</v>
      </c>
      <c r="E1223" s="5" t="str">
        <f>IF(C1223="",IF(D1223="","",IF(D1223&lt;128,"Wahl "&amp;D1223,INDEX(KdoCodeTab,MATCH(D1223,KdoWertTab,0)))),"Status "&amp;C1223)</f>
        <v>MarkWdh</v>
      </c>
      <c r="F1223" t="str">
        <f t="shared" si="118"/>
        <v>MarkWdh</v>
      </c>
      <c r="G1223" t="str">
        <f t="shared" si="119"/>
        <v/>
      </c>
      <c r="H1223" t="str">
        <f t="shared" si="120"/>
        <v/>
      </c>
    </row>
    <row r="1224" spans="1:8" x14ac:dyDescent="0.25">
      <c r="A1224" t="s">
        <v>1254</v>
      </c>
      <c r="B1224" s="3">
        <f t="shared" si="121"/>
        <v>31</v>
      </c>
      <c r="C1224" s="3" t="str">
        <f t="shared" si="116"/>
        <v/>
      </c>
      <c r="D1224" s="3">
        <f t="shared" si="117"/>
        <v>147</v>
      </c>
      <c r="E1224" s="5" t="str">
        <f>IF(C1224="",IF(D1224="","",IF(D1224&lt;128,"Wahl "&amp;D1224,INDEX(KdoCodeTab,MATCH(D1224,KdoWertTab,0)))),"Status "&amp;C1224)</f>
        <v>Space</v>
      </c>
      <c r="F1224" t="str">
        <f t="shared" si="118"/>
        <v>Space</v>
      </c>
      <c r="G1224" t="str">
        <f t="shared" si="119"/>
        <v/>
      </c>
      <c r="H1224" t="str">
        <f t="shared" si="120"/>
        <v/>
      </c>
    </row>
    <row r="1225" spans="1:8" x14ac:dyDescent="0.25">
      <c r="A1225" t="s">
        <v>1255</v>
      </c>
      <c r="B1225" s="3">
        <f t="shared" si="121"/>
        <v>31</v>
      </c>
      <c r="C1225" s="3" t="str">
        <f t="shared" si="116"/>
        <v/>
      </c>
      <c r="D1225" s="3">
        <f t="shared" si="117"/>
        <v>150</v>
      </c>
      <c r="E1225" s="5" t="str">
        <f>IF(C1225="",IF(D1225="","",IF(D1225&lt;128,"Wahl "&amp;D1225,INDEX(KdoCodeTab,MATCH(D1225,KdoWertTab,0)))),"Status "&amp;C1225)</f>
        <v>SpaceWdh</v>
      </c>
      <c r="F1225" t="str">
        <f t="shared" si="118"/>
        <v>SpaceWdh</v>
      </c>
      <c r="G1225" t="str">
        <f t="shared" si="119"/>
        <v/>
      </c>
      <c r="H1225" t="str">
        <f t="shared" si="120"/>
        <v/>
      </c>
    </row>
    <row r="1226" spans="1:8" x14ac:dyDescent="0.25">
      <c r="A1226" t="s">
        <v>1256</v>
      </c>
      <c r="B1226" s="3">
        <f t="shared" si="121"/>
        <v>31</v>
      </c>
      <c r="C1226" s="3" t="str">
        <f t="shared" si="116"/>
        <v/>
      </c>
      <c r="D1226" s="3">
        <f t="shared" si="117"/>
        <v>156</v>
      </c>
      <c r="E1226" s="5" t="str">
        <f>IF(C1226="",IF(D1226="","",IF(D1226&lt;128,"Wahl "&amp;D1226,INDEX(KdoCodeTab,MATCH(D1226,KdoWertTab,0)))),"Status "&amp;C1226)</f>
        <v>Mark</v>
      </c>
      <c r="F1226" t="str">
        <f t="shared" si="118"/>
        <v>Mark</v>
      </c>
      <c r="G1226" t="str">
        <f t="shared" si="119"/>
        <v/>
      </c>
      <c r="H1226" t="str">
        <f t="shared" si="120"/>
        <v/>
      </c>
    </row>
    <row r="1227" spans="1:8" x14ac:dyDescent="0.25">
      <c r="A1227" t="s">
        <v>1257</v>
      </c>
      <c r="B1227" s="3">
        <f t="shared" si="121"/>
        <v>31</v>
      </c>
      <c r="C1227" s="3" t="str">
        <f t="shared" si="116"/>
        <v/>
      </c>
      <c r="D1227" s="3">
        <f t="shared" si="117"/>
        <v>154</v>
      </c>
      <c r="E1227" s="5" t="str">
        <f>IF(C1227="",IF(D1227="","",IF(D1227&lt;128,"Wahl "&amp;D1227,INDEX(KdoCodeTab,MATCH(D1227,KdoWertTab,0)))),"Status "&amp;C1227)</f>
        <v>MarkWdh</v>
      </c>
      <c r="F1227" t="str">
        <f t="shared" si="118"/>
        <v>MarkWdh</v>
      </c>
      <c r="G1227" t="str">
        <f t="shared" si="119"/>
        <v/>
      </c>
      <c r="H1227" t="str">
        <f t="shared" si="120"/>
        <v/>
      </c>
    </row>
    <row r="1228" spans="1:8" x14ac:dyDescent="0.25">
      <c r="A1228" t="s">
        <v>1258</v>
      </c>
      <c r="B1228" s="3">
        <f t="shared" si="121"/>
        <v>18</v>
      </c>
      <c r="C1228" s="3" t="str">
        <f t="shared" si="116"/>
        <v/>
      </c>
      <c r="D1228" s="3">
        <f t="shared" si="117"/>
        <v>0</v>
      </c>
      <c r="E1228" s="5" t="str">
        <f>IF(C1228="",IF(D1228="","",IF(D1228&lt;128,"Wahl "&amp;D1228,INDEX(KdoCodeTab,MATCH(D1228,KdoWertTab,0)))),"Status "&amp;C1228)</f>
        <v>Wahl 0</v>
      </c>
      <c r="F1228" t="str">
        <f t="shared" si="118"/>
        <v/>
      </c>
      <c r="G1228" t="str">
        <f t="shared" si="119"/>
        <v/>
      </c>
      <c r="H1228" t="str">
        <f t="shared" si="120"/>
        <v>Wahl 0</v>
      </c>
    </row>
    <row r="1229" spans="1:8" x14ac:dyDescent="0.25">
      <c r="A1229" t="s">
        <v>1259</v>
      </c>
      <c r="B1229" s="3">
        <f t="shared" si="121"/>
        <v>18</v>
      </c>
      <c r="C1229" s="3" t="str">
        <f t="shared" si="116"/>
        <v/>
      </c>
      <c r="D1229" s="3" t="str">
        <f t="shared" si="117"/>
        <v/>
      </c>
      <c r="E1229" s="5" t="str">
        <f>IF(C1229="",IF(D1229="","",IF(D1229&lt;128,"Wahl "&amp;D1229,INDEX(KdoCodeTab,MATCH(D1229,KdoWertTab,0)))),"Status "&amp;C1229)</f>
        <v/>
      </c>
      <c r="F1229" t="str">
        <f t="shared" si="118"/>
        <v/>
      </c>
      <c r="G1229" t="str">
        <f t="shared" si="119"/>
        <v/>
      </c>
      <c r="H1229" t="str">
        <f t="shared" si="120"/>
        <v/>
      </c>
    </row>
    <row r="1230" spans="1:8" x14ac:dyDescent="0.25">
      <c r="A1230" t="s">
        <v>1260</v>
      </c>
      <c r="B1230" s="3">
        <f t="shared" si="121"/>
        <v>31</v>
      </c>
      <c r="C1230" s="3" t="str">
        <f t="shared" si="116"/>
        <v/>
      </c>
      <c r="D1230" s="3">
        <f t="shared" si="117"/>
        <v>156</v>
      </c>
      <c r="E1230" s="5" t="str">
        <f>IF(C1230="",IF(D1230="","",IF(D1230&lt;128,"Wahl "&amp;D1230,INDEX(KdoCodeTab,MATCH(D1230,KdoWertTab,0)))),"Status "&amp;C1230)</f>
        <v>Mark</v>
      </c>
      <c r="F1230" t="str">
        <f t="shared" si="118"/>
        <v>Mark</v>
      </c>
      <c r="G1230" t="str">
        <f t="shared" si="119"/>
        <v/>
      </c>
      <c r="H1230" t="str">
        <f t="shared" si="120"/>
        <v/>
      </c>
    </row>
    <row r="1231" spans="1:8" x14ac:dyDescent="0.25">
      <c r="A1231" t="s">
        <v>1261</v>
      </c>
      <c r="B1231" s="3">
        <f t="shared" si="121"/>
        <v>31</v>
      </c>
      <c r="C1231" s="3" t="str">
        <f t="shared" si="116"/>
        <v/>
      </c>
      <c r="D1231" s="3">
        <f t="shared" si="117"/>
        <v>154</v>
      </c>
      <c r="E1231" s="5" t="str">
        <f>IF(C1231="",IF(D1231="","",IF(D1231&lt;128,"Wahl "&amp;D1231,INDEX(KdoCodeTab,MATCH(D1231,KdoWertTab,0)))),"Status "&amp;C1231)</f>
        <v>MarkWdh</v>
      </c>
      <c r="F1231" t="str">
        <f t="shared" si="118"/>
        <v>MarkWdh</v>
      </c>
      <c r="G1231" t="str">
        <f t="shared" si="119"/>
        <v/>
      </c>
      <c r="H1231" t="str">
        <f t="shared" si="120"/>
        <v/>
      </c>
    </row>
    <row r="1232" spans="1:8" x14ac:dyDescent="0.25">
      <c r="A1232" t="s">
        <v>1262</v>
      </c>
      <c r="B1232" s="3">
        <f t="shared" si="121"/>
        <v>31</v>
      </c>
      <c r="C1232" s="3" t="str">
        <f t="shared" si="116"/>
        <v/>
      </c>
      <c r="D1232" s="3">
        <f t="shared" si="117"/>
        <v>147</v>
      </c>
      <c r="E1232" s="5" t="str">
        <f>IF(C1232="",IF(D1232="","",IF(D1232&lt;128,"Wahl "&amp;D1232,INDEX(KdoCodeTab,MATCH(D1232,KdoWertTab,0)))),"Status "&amp;C1232)</f>
        <v>Space</v>
      </c>
      <c r="F1232" t="str">
        <f t="shared" si="118"/>
        <v>Space</v>
      </c>
      <c r="G1232" t="str">
        <f t="shared" si="119"/>
        <v/>
      </c>
      <c r="H1232" t="str">
        <f t="shared" si="120"/>
        <v/>
      </c>
    </row>
    <row r="1233" spans="1:8" x14ac:dyDescent="0.25">
      <c r="A1233" t="s">
        <v>1263</v>
      </c>
      <c r="B1233" s="3">
        <f t="shared" si="121"/>
        <v>31</v>
      </c>
      <c r="C1233" s="3" t="str">
        <f t="shared" si="116"/>
        <v/>
      </c>
      <c r="D1233" s="3">
        <f t="shared" si="117"/>
        <v>150</v>
      </c>
      <c r="E1233" s="5" t="str">
        <f>IF(C1233="",IF(D1233="","",IF(D1233&lt;128,"Wahl "&amp;D1233,INDEX(KdoCodeTab,MATCH(D1233,KdoWertTab,0)))),"Status "&amp;C1233)</f>
        <v>SpaceWdh</v>
      </c>
      <c r="F1233" t="str">
        <f t="shared" si="118"/>
        <v>SpaceWdh</v>
      </c>
      <c r="G1233" t="str">
        <f t="shared" si="119"/>
        <v/>
      </c>
      <c r="H1233" t="str">
        <f t="shared" si="120"/>
        <v/>
      </c>
    </row>
    <row r="1234" spans="1:8" x14ac:dyDescent="0.25">
      <c r="A1234" t="s">
        <v>1264</v>
      </c>
      <c r="B1234" s="3">
        <f t="shared" si="121"/>
        <v>31</v>
      </c>
      <c r="C1234" s="3" t="str">
        <f t="shared" si="116"/>
        <v/>
      </c>
      <c r="D1234" s="3">
        <f t="shared" si="117"/>
        <v>156</v>
      </c>
      <c r="E1234" s="5" t="str">
        <f>IF(C1234="",IF(D1234="","",IF(D1234&lt;128,"Wahl "&amp;D1234,INDEX(KdoCodeTab,MATCH(D1234,KdoWertTab,0)))),"Status "&amp;C1234)</f>
        <v>Mark</v>
      </c>
      <c r="F1234" t="str">
        <f t="shared" si="118"/>
        <v>Mark</v>
      </c>
      <c r="G1234" t="str">
        <f t="shared" si="119"/>
        <v/>
      </c>
      <c r="H1234" t="str">
        <f t="shared" si="120"/>
        <v/>
      </c>
    </row>
    <row r="1235" spans="1:8" x14ac:dyDescent="0.25">
      <c r="A1235" t="s">
        <v>1265</v>
      </c>
      <c r="B1235" s="3">
        <f t="shared" si="121"/>
        <v>31</v>
      </c>
      <c r="C1235" s="3" t="str">
        <f t="shared" si="116"/>
        <v/>
      </c>
      <c r="D1235" s="3">
        <f t="shared" si="117"/>
        <v>154</v>
      </c>
      <c r="E1235" s="5" t="str">
        <f>IF(C1235="",IF(D1235="","",IF(D1235&lt;128,"Wahl "&amp;D1235,INDEX(KdoCodeTab,MATCH(D1235,KdoWertTab,0)))),"Status "&amp;C1235)</f>
        <v>MarkWdh</v>
      </c>
      <c r="F1235" t="str">
        <f t="shared" si="118"/>
        <v>MarkWdh</v>
      </c>
      <c r="G1235" t="str">
        <f t="shared" si="119"/>
        <v/>
      </c>
      <c r="H1235" t="str">
        <f t="shared" si="120"/>
        <v/>
      </c>
    </row>
    <row r="1236" spans="1:8" x14ac:dyDescent="0.25">
      <c r="A1236" t="s">
        <v>1266</v>
      </c>
      <c r="B1236" s="3">
        <f t="shared" si="121"/>
        <v>101</v>
      </c>
      <c r="C1236" s="3" t="str">
        <f t="shared" si="116"/>
        <v/>
      </c>
      <c r="D1236" s="3">
        <f t="shared" si="117"/>
        <v>169</v>
      </c>
      <c r="E1236" s="5" t="str">
        <f>IF(C1236="",IF(D1236="","",IF(D1236&lt;128,"Wahl "&amp;D1236,INDEX(KdoCodeTab,MATCH(D1236,KdoWertTab,0)))),"Status "&amp;C1236)</f>
        <v>BusLebenszeichen</v>
      </c>
      <c r="F1236" t="str">
        <f t="shared" si="118"/>
        <v/>
      </c>
      <c r="G1236" t="str">
        <f t="shared" si="119"/>
        <v/>
      </c>
      <c r="H1236" t="str">
        <f t="shared" si="120"/>
        <v>BusLebenszeichen</v>
      </c>
    </row>
    <row r="1237" spans="1:8" x14ac:dyDescent="0.25">
      <c r="A1237" t="s">
        <v>1267</v>
      </c>
      <c r="B1237" s="3">
        <f t="shared" si="121"/>
        <v>31</v>
      </c>
      <c r="C1237" s="3" t="str">
        <f t="shared" si="116"/>
        <v/>
      </c>
      <c r="D1237" s="3">
        <f t="shared" si="117"/>
        <v>147</v>
      </c>
      <c r="E1237" s="5" t="str">
        <f>IF(C1237="",IF(D1237="","",IF(D1237&lt;128,"Wahl "&amp;D1237,INDEX(KdoCodeTab,MATCH(D1237,KdoWertTab,0)))),"Status "&amp;C1237)</f>
        <v>Space</v>
      </c>
      <c r="F1237" t="str">
        <f t="shared" si="118"/>
        <v>Space</v>
      </c>
      <c r="G1237" t="str">
        <f t="shared" si="119"/>
        <v/>
      </c>
      <c r="H1237" t="str">
        <f t="shared" si="120"/>
        <v/>
      </c>
    </row>
    <row r="1238" spans="1:8" x14ac:dyDescent="0.25">
      <c r="A1238" t="s">
        <v>1268</v>
      </c>
      <c r="B1238" s="3">
        <f t="shared" si="121"/>
        <v>31</v>
      </c>
      <c r="C1238" s="3" t="str">
        <f t="shared" si="116"/>
        <v/>
      </c>
      <c r="D1238" s="3">
        <f t="shared" si="117"/>
        <v>150</v>
      </c>
      <c r="E1238" s="5" t="str">
        <f>IF(C1238="",IF(D1238="","",IF(D1238&lt;128,"Wahl "&amp;D1238,INDEX(KdoCodeTab,MATCH(D1238,KdoWertTab,0)))),"Status "&amp;C1238)</f>
        <v>SpaceWdh</v>
      </c>
      <c r="F1238" t="str">
        <f t="shared" si="118"/>
        <v>SpaceWdh</v>
      </c>
      <c r="G1238" t="str">
        <f t="shared" si="119"/>
        <v/>
      </c>
      <c r="H1238" t="str">
        <f t="shared" si="120"/>
        <v/>
      </c>
    </row>
    <row r="1239" spans="1:8" x14ac:dyDescent="0.25">
      <c r="A1239" t="s">
        <v>1269</v>
      </c>
      <c r="B1239" s="3">
        <f t="shared" si="121"/>
        <v>31</v>
      </c>
      <c r="C1239" s="3" t="str">
        <f t="shared" si="116"/>
        <v/>
      </c>
      <c r="D1239" s="3">
        <f t="shared" si="117"/>
        <v>156</v>
      </c>
      <c r="E1239" s="5" t="str">
        <f>IF(C1239="",IF(D1239="","",IF(D1239&lt;128,"Wahl "&amp;D1239,INDEX(KdoCodeTab,MATCH(D1239,KdoWertTab,0)))),"Status "&amp;C1239)</f>
        <v>Mark</v>
      </c>
      <c r="F1239" t="str">
        <f t="shared" si="118"/>
        <v>Mark</v>
      </c>
      <c r="G1239" t="str">
        <f t="shared" si="119"/>
        <v/>
      </c>
      <c r="H1239" t="str">
        <f t="shared" si="120"/>
        <v/>
      </c>
    </row>
    <row r="1240" spans="1:8" x14ac:dyDescent="0.25">
      <c r="A1240" t="s">
        <v>1270</v>
      </c>
      <c r="B1240" s="3">
        <f t="shared" si="121"/>
        <v>31</v>
      </c>
      <c r="C1240" s="3" t="str">
        <f t="shared" si="116"/>
        <v/>
      </c>
      <c r="D1240" s="3">
        <f t="shared" si="117"/>
        <v>154</v>
      </c>
      <c r="E1240" s="5" t="str">
        <f>IF(C1240="",IF(D1240="","",IF(D1240&lt;128,"Wahl "&amp;D1240,INDEX(KdoCodeTab,MATCH(D1240,KdoWertTab,0)))),"Status "&amp;C1240)</f>
        <v>MarkWdh</v>
      </c>
      <c r="F1240" t="str">
        <f t="shared" si="118"/>
        <v>MarkWdh</v>
      </c>
      <c r="G1240" t="str">
        <f t="shared" si="119"/>
        <v/>
      </c>
      <c r="H1240" t="str">
        <f t="shared" si="120"/>
        <v/>
      </c>
    </row>
    <row r="1241" spans="1:8" x14ac:dyDescent="0.25">
      <c r="A1241" t="s">
        <v>1271</v>
      </c>
      <c r="B1241" s="3">
        <f t="shared" si="121"/>
        <v>31</v>
      </c>
      <c r="C1241" s="3" t="str">
        <f t="shared" si="116"/>
        <v/>
      </c>
      <c r="D1241" s="3">
        <f t="shared" si="117"/>
        <v>147</v>
      </c>
      <c r="E1241" s="5" t="str">
        <f>IF(C1241="",IF(D1241="","",IF(D1241&lt;128,"Wahl "&amp;D1241,INDEX(KdoCodeTab,MATCH(D1241,KdoWertTab,0)))),"Status "&amp;C1241)</f>
        <v>Space</v>
      </c>
      <c r="F1241" t="str">
        <f t="shared" si="118"/>
        <v>Space</v>
      </c>
      <c r="G1241" t="str">
        <f t="shared" si="119"/>
        <v/>
      </c>
      <c r="H1241" t="str">
        <f t="shared" si="120"/>
        <v/>
      </c>
    </row>
    <row r="1242" spans="1:8" x14ac:dyDescent="0.25">
      <c r="A1242" t="s">
        <v>1272</v>
      </c>
      <c r="B1242" s="3">
        <f t="shared" si="121"/>
        <v>31</v>
      </c>
      <c r="C1242" s="3" t="str">
        <f t="shared" si="116"/>
        <v/>
      </c>
      <c r="D1242" s="3">
        <f t="shared" si="117"/>
        <v>150</v>
      </c>
      <c r="E1242" s="5" t="str">
        <f>IF(C1242="",IF(D1242="","",IF(D1242&lt;128,"Wahl "&amp;D1242,INDEX(KdoCodeTab,MATCH(D1242,KdoWertTab,0)))),"Status "&amp;C1242)</f>
        <v>SpaceWdh</v>
      </c>
      <c r="F1242" t="str">
        <f t="shared" si="118"/>
        <v>SpaceWdh</v>
      </c>
      <c r="G1242" t="str">
        <f t="shared" si="119"/>
        <v/>
      </c>
      <c r="H1242" t="str">
        <f t="shared" si="120"/>
        <v/>
      </c>
    </row>
    <row r="1243" spans="1:8" x14ac:dyDescent="0.25">
      <c r="A1243" t="s">
        <v>1273</v>
      </c>
      <c r="B1243" s="3">
        <f t="shared" si="121"/>
        <v>31</v>
      </c>
      <c r="C1243" s="3" t="str">
        <f t="shared" si="116"/>
        <v/>
      </c>
      <c r="D1243" s="3">
        <f t="shared" si="117"/>
        <v>156</v>
      </c>
      <c r="E1243" s="5" t="str">
        <f>IF(C1243="",IF(D1243="","",IF(D1243&lt;128,"Wahl "&amp;D1243,INDEX(KdoCodeTab,MATCH(D1243,KdoWertTab,0)))),"Status "&amp;C1243)</f>
        <v>Mark</v>
      </c>
      <c r="F1243" t="str">
        <f t="shared" si="118"/>
        <v>Mark</v>
      </c>
      <c r="G1243" t="str">
        <f t="shared" si="119"/>
        <v/>
      </c>
      <c r="H1243" t="str">
        <f t="shared" si="120"/>
        <v/>
      </c>
    </row>
    <row r="1244" spans="1:8" x14ac:dyDescent="0.25">
      <c r="A1244" t="s">
        <v>1274</v>
      </c>
      <c r="B1244" s="3">
        <f t="shared" si="121"/>
        <v>31</v>
      </c>
      <c r="C1244" s="3" t="str">
        <f t="shared" si="116"/>
        <v/>
      </c>
      <c r="D1244" s="3">
        <f t="shared" si="117"/>
        <v>154</v>
      </c>
      <c r="E1244" s="5" t="str">
        <f>IF(C1244="",IF(D1244="","",IF(D1244&lt;128,"Wahl "&amp;D1244,INDEX(KdoCodeTab,MATCH(D1244,KdoWertTab,0)))),"Status "&amp;C1244)</f>
        <v>MarkWdh</v>
      </c>
      <c r="F1244" t="str">
        <f t="shared" si="118"/>
        <v>MarkWdh</v>
      </c>
      <c r="G1244" t="str">
        <f t="shared" si="119"/>
        <v/>
      </c>
      <c r="H1244" t="str">
        <f t="shared" si="120"/>
        <v/>
      </c>
    </row>
    <row r="1245" spans="1:8" x14ac:dyDescent="0.25">
      <c r="A1245" t="s">
        <v>1275</v>
      </c>
      <c r="B1245" s="3">
        <f t="shared" si="121"/>
        <v>31</v>
      </c>
      <c r="C1245" s="3" t="str">
        <f t="shared" si="116"/>
        <v/>
      </c>
      <c r="D1245" s="3">
        <f t="shared" si="117"/>
        <v>147</v>
      </c>
      <c r="E1245" s="5" t="str">
        <f>IF(C1245="",IF(D1245="","",IF(D1245&lt;128,"Wahl "&amp;D1245,INDEX(KdoCodeTab,MATCH(D1245,KdoWertTab,0)))),"Status "&amp;C1245)</f>
        <v>Space</v>
      </c>
      <c r="F1245" t="str">
        <f t="shared" si="118"/>
        <v>Space</v>
      </c>
      <c r="G1245" t="str">
        <f t="shared" si="119"/>
        <v/>
      </c>
      <c r="H1245" t="str">
        <f t="shared" si="120"/>
        <v/>
      </c>
    </row>
    <row r="1246" spans="1:8" x14ac:dyDescent="0.25">
      <c r="A1246" t="s">
        <v>1276</v>
      </c>
      <c r="B1246" s="3">
        <f t="shared" si="121"/>
        <v>31</v>
      </c>
      <c r="C1246" s="3" t="str">
        <f t="shared" si="116"/>
        <v/>
      </c>
      <c r="D1246" s="3">
        <f t="shared" si="117"/>
        <v>150</v>
      </c>
      <c r="E1246" s="5" t="str">
        <f>IF(C1246="",IF(D1246="","",IF(D1246&lt;128,"Wahl "&amp;D1246,INDEX(KdoCodeTab,MATCH(D1246,KdoWertTab,0)))),"Status "&amp;C1246)</f>
        <v>SpaceWdh</v>
      </c>
      <c r="F1246" t="str">
        <f t="shared" si="118"/>
        <v>SpaceWdh</v>
      </c>
      <c r="G1246" t="str">
        <f t="shared" si="119"/>
        <v/>
      </c>
      <c r="H1246" t="str">
        <f t="shared" si="120"/>
        <v/>
      </c>
    </row>
    <row r="1247" spans="1:8" x14ac:dyDescent="0.25">
      <c r="A1247" t="s">
        <v>1277</v>
      </c>
      <c r="B1247" s="3">
        <f t="shared" si="121"/>
        <v>31</v>
      </c>
      <c r="C1247" s="3" t="str">
        <f t="shared" si="116"/>
        <v/>
      </c>
      <c r="D1247" s="3">
        <f t="shared" si="117"/>
        <v>156</v>
      </c>
      <c r="E1247" s="5" t="str">
        <f>IF(C1247="",IF(D1247="","",IF(D1247&lt;128,"Wahl "&amp;D1247,INDEX(KdoCodeTab,MATCH(D1247,KdoWertTab,0)))),"Status "&amp;C1247)</f>
        <v>Mark</v>
      </c>
      <c r="F1247" t="str">
        <f t="shared" si="118"/>
        <v>Mark</v>
      </c>
      <c r="G1247" t="str">
        <f t="shared" si="119"/>
        <v/>
      </c>
      <c r="H1247" t="str">
        <f t="shared" si="120"/>
        <v/>
      </c>
    </row>
    <row r="1248" spans="1:8" x14ac:dyDescent="0.25">
      <c r="A1248" t="s">
        <v>1278</v>
      </c>
      <c r="B1248" s="3">
        <f t="shared" si="121"/>
        <v>31</v>
      </c>
      <c r="C1248" s="3" t="str">
        <f t="shared" si="116"/>
        <v/>
      </c>
      <c r="D1248" s="3">
        <f t="shared" si="117"/>
        <v>154</v>
      </c>
      <c r="E1248" s="5" t="str">
        <f>IF(C1248="",IF(D1248="","",IF(D1248&lt;128,"Wahl "&amp;D1248,INDEX(KdoCodeTab,MATCH(D1248,KdoWertTab,0)))),"Status "&amp;C1248)</f>
        <v>MarkWdh</v>
      </c>
      <c r="F1248" t="str">
        <f t="shared" si="118"/>
        <v>MarkWdh</v>
      </c>
      <c r="G1248" t="str">
        <f t="shared" si="119"/>
        <v/>
      </c>
      <c r="H1248" t="str">
        <f t="shared" si="120"/>
        <v/>
      </c>
    </row>
    <row r="1249" spans="1:8" x14ac:dyDescent="0.25">
      <c r="A1249" t="s">
        <v>1279</v>
      </c>
      <c r="B1249" s="3">
        <f t="shared" si="121"/>
        <v>31</v>
      </c>
      <c r="C1249" s="3" t="str">
        <f t="shared" si="116"/>
        <v/>
      </c>
      <c r="D1249" s="3">
        <f t="shared" si="117"/>
        <v>147</v>
      </c>
      <c r="E1249" s="5" t="str">
        <f>IF(C1249="",IF(D1249="","",IF(D1249&lt;128,"Wahl "&amp;D1249,INDEX(KdoCodeTab,MATCH(D1249,KdoWertTab,0)))),"Status "&amp;C1249)</f>
        <v>Space</v>
      </c>
      <c r="F1249" t="str">
        <f t="shared" si="118"/>
        <v>Space</v>
      </c>
      <c r="G1249" t="str">
        <f t="shared" si="119"/>
        <v/>
      </c>
      <c r="H1249" t="str">
        <f t="shared" si="120"/>
        <v/>
      </c>
    </row>
    <row r="1250" spans="1:8" x14ac:dyDescent="0.25">
      <c r="A1250" t="s">
        <v>1280</v>
      </c>
      <c r="B1250" s="3">
        <f t="shared" si="121"/>
        <v>31</v>
      </c>
      <c r="C1250" s="3" t="str">
        <f t="shared" si="116"/>
        <v/>
      </c>
      <c r="D1250" s="3">
        <f t="shared" si="117"/>
        <v>150</v>
      </c>
      <c r="E1250" s="5" t="str">
        <f>IF(C1250="",IF(D1250="","",IF(D1250&lt;128,"Wahl "&amp;D1250,INDEX(KdoCodeTab,MATCH(D1250,KdoWertTab,0)))),"Status "&amp;C1250)</f>
        <v>SpaceWdh</v>
      </c>
      <c r="F1250" t="str">
        <f t="shared" si="118"/>
        <v>SpaceWdh</v>
      </c>
      <c r="G1250" t="str">
        <f t="shared" si="119"/>
        <v/>
      </c>
      <c r="H1250" t="str">
        <f t="shared" si="120"/>
        <v/>
      </c>
    </row>
    <row r="1251" spans="1:8" x14ac:dyDescent="0.25">
      <c r="A1251" t="s">
        <v>1281</v>
      </c>
      <c r="B1251" s="3">
        <f t="shared" si="121"/>
        <v>31</v>
      </c>
      <c r="C1251" s="3" t="str">
        <f t="shared" si="116"/>
        <v/>
      </c>
      <c r="D1251" s="3">
        <f t="shared" si="117"/>
        <v>156</v>
      </c>
      <c r="E1251" s="5" t="str">
        <f>IF(C1251="",IF(D1251="","",IF(D1251&lt;128,"Wahl "&amp;D1251,INDEX(KdoCodeTab,MATCH(D1251,KdoWertTab,0)))),"Status "&amp;C1251)</f>
        <v>Mark</v>
      </c>
      <c r="F1251" t="str">
        <f t="shared" si="118"/>
        <v>Mark</v>
      </c>
      <c r="G1251" t="str">
        <f t="shared" si="119"/>
        <v/>
      </c>
      <c r="H1251" t="str">
        <f t="shared" si="120"/>
        <v/>
      </c>
    </row>
    <row r="1252" spans="1:8" x14ac:dyDescent="0.25">
      <c r="A1252" t="s">
        <v>1282</v>
      </c>
      <c r="B1252" s="3">
        <f t="shared" si="121"/>
        <v>31</v>
      </c>
      <c r="C1252" s="3" t="str">
        <f t="shared" si="116"/>
        <v/>
      </c>
      <c r="D1252" s="3">
        <f t="shared" si="117"/>
        <v>154</v>
      </c>
      <c r="E1252" s="5" t="str">
        <f>IF(C1252="",IF(D1252="","",IF(D1252&lt;128,"Wahl "&amp;D1252,INDEX(KdoCodeTab,MATCH(D1252,KdoWertTab,0)))),"Status "&amp;C1252)</f>
        <v>MarkWdh</v>
      </c>
      <c r="F1252" t="str">
        <f t="shared" si="118"/>
        <v>MarkWdh</v>
      </c>
      <c r="G1252" t="str">
        <f t="shared" si="119"/>
        <v/>
      </c>
      <c r="H1252" t="str">
        <f t="shared" si="120"/>
        <v/>
      </c>
    </row>
    <row r="1253" spans="1:8" x14ac:dyDescent="0.25">
      <c r="A1253" t="s">
        <v>1283</v>
      </c>
      <c r="B1253" s="3">
        <f t="shared" si="121"/>
        <v>31</v>
      </c>
      <c r="C1253" s="3" t="str">
        <f t="shared" si="116"/>
        <v/>
      </c>
      <c r="D1253" s="3">
        <f t="shared" si="117"/>
        <v>147</v>
      </c>
      <c r="E1253" s="5" t="str">
        <f>IF(C1253="",IF(D1253="","",IF(D1253&lt;128,"Wahl "&amp;D1253,INDEX(KdoCodeTab,MATCH(D1253,KdoWertTab,0)))),"Status "&amp;C1253)</f>
        <v>Space</v>
      </c>
      <c r="F1253" t="str">
        <f t="shared" si="118"/>
        <v>Space</v>
      </c>
      <c r="G1253" t="str">
        <f t="shared" si="119"/>
        <v/>
      </c>
      <c r="H1253" t="str">
        <f t="shared" si="120"/>
        <v/>
      </c>
    </row>
    <row r="1254" spans="1:8" x14ac:dyDescent="0.25">
      <c r="A1254" t="s">
        <v>1284</v>
      </c>
      <c r="B1254" s="3">
        <f t="shared" si="121"/>
        <v>31</v>
      </c>
      <c r="C1254" s="3" t="str">
        <f t="shared" si="116"/>
        <v/>
      </c>
      <c r="D1254" s="3">
        <f t="shared" si="117"/>
        <v>150</v>
      </c>
      <c r="E1254" s="5" t="str">
        <f>IF(C1254="",IF(D1254="","",IF(D1254&lt;128,"Wahl "&amp;D1254,INDEX(KdoCodeTab,MATCH(D1254,KdoWertTab,0)))),"Status "&amp;C1254)</f>
        <v>SpaceWdh</v>
      </c>
      <c r="F1254" t="str">
        <f t="shared" si="118"/>
        <v>SpaceWdh</v>
      </c>
      <c r="G1254" t="str">
        <f t="shared" si="119"/>
        <v/>
      </c>
      <c r="H1254" t="str">
        <f t="shared" si="120"/>
        <v/>
      </c>
    </row>
    <row r="1255" spans="1:8" x14ac:dyDescent="0.25">
      <c r="A1255" t="s">
        <v>1285</v>
      </c>
      <c r="B1255" s="3">
        <f t="shared" si="121"/>
        <v>31</v>
      </c>
      <c r="C1255" s="3" t="str">
        <f t="shared" si="116"/>
        <v/>
      </c>
      <c r="D1255" s="3">
        <f t="shared" si="117"/>
        <v>156</v>
      </c>
      <c r="E1255" s="5" t="str">
        <f>IF(C1255="",IF(D1255="","",IF(D1255&lt;128,"Wahl "&amp;D1255,INDEX(KdoCodeTab,MATCH(D1255,KdoWertTab,0)))),"Status "&amp;C1255)</f>
        <v>Mark</v>
      </c>
      <c r="F1255" t="str">
        <f t="shared" si="118"/>
        <v>Mark</v>
      </c>
      <c r="G1255" t="str">
        <f t="shared" si="119"/>
        <v/>
      </c>
      <c r="H1255" t="str">
        <f t="shared" si="120"/>
        <v/>
      </c>
    </row>
    <row r="1256" spans="1:8" x14ac:dyDescent="0.25">
      <c r="A1256" t="s">
        <v>1286</v>
      </c>
      <c r="B1256" s="3">
        <f t="shared" si="121"/>
        <v>31</v>
      </c>
      <c r="C1256" s="3" t="str">
        <f t="shared" si="116"/>
        <v/>
      </c>
      <c r="D1256" s="3">
        <f t="shared" si="117"/>
        <v>154</v>
      </c>
      <c r="E1256" s="5" t="str">
        <f>IF(C1256="",IF(D1256="","",IF(D1256&lt;128,"Wahl "&amp;D1256,INDEX(KdoCodeTab,MATCH(D1256,KdoWertTab,0)))),"Status "&amp;C1256)</f>
        <v>MarkWdh</v>
      </c>
      <c r="F1256" t="str">
        <f t="shared" si="118"/>
        <v>MarkWdh</v>
      </c>
      <c r="G1256" t="str">
        <f t="shared" si="119"/>
        <v/>
      </c>
      <c r="H1256" t="str">
        <f t="shared" si="120"/>
        <v/>
      </c>
    </row>
    <row r="1257" spans="1:8" x14ac:dyDescent="0.25">
      <c r="A1257" t="s">
        <v>1287</v>
      </c>
      <c r="B1257" s="3">
        <f t="shared" si="121"/>
        <v>31</v>
      </c>
      <c r="C1257" s="3" t="str">
        <f t="shared" si="116"/>
        <v/>
      </c>
      <c r="D1257" s="3">
        <f t="shared" si="117"/>
        <v>147</v>
      </c>
      <c r="E1257" s="5" t="str">
        <f>IF(C1257="",IF(D1257="","",IF(D1257&lt;128,"Wahl "&amp;D1257,INDEX(KdoCodeTab,MATCH(D1257,KdoWertTab,0)))),"Status "&amp;C1257)</f>
        <v>Space</v>
      </c>
      <c r="F1257" t="str">
        <f t="shared" si="118"/>
        <v>Space</v>
      </c>
      <c r="G1257" t="str">
        <f t="shared" si="119"/>
        <v/>
      </c>
      <c r="H1257" t="str">
        <f t="shared" si="120"/>
        <v/>
      </c>
    </row>
    <row r="1258" spans="1:8" x14ac:dyDescent="0.25">
      <c r="A1258" t="s">
        <v>1288</v>
      </c>
      <c r="B1258" s="3">
        <f t="shared" si="121"/>
        <v>31</v>
      </c>
      <c r="C1258" s="3" t="str">
        <f t="shared" si="116"/>
        <v/>
      </c>
      <c r="D1258" s="3">
        <f t="shared" si="117"/>
        <v>150</v>
      </c>
      <c r="E1258" s="5" t="str">
        <f>IF(C1258="",IF(D1258="","",IF(D1258&lt;128,"Wahl "&amp;D1258,INDEX(KdoCodeTab,MATCH(D1258,KdoWertTab,0)))),"Status "&amp;C1258)</f>
        <v>SpaceWdh</v>
      </c>
      <c r="F1258" t="str">
        <f t="shared" si="118"/>
        <v>SpaceWdh</v>
      </c>
      <c r="G1258" t="str">
        <f t="shared" si="119"/>
        <v/>
      </c>
      <c r="H1258" t="str">
        <f t="shared" si="120"/>
        <v/>
      </c>
    </row>
    <row r="1259" spans="1:8" x14ac:dyDescent="0.25">
      <c r="A1259" t="s">
        <v>1289</v>
      </c>
      <c r="B1259" s="3">
        <f t="shared" si="121"/>
        <v>31</v>
      </c>
      <c r="C1259" s="3" t="str">
        <f t="shared" si="116"/>
        <v/>
      </c>
      <c r="D1259" s="3">
        <f t="shared" si="117"/>
        <v>156</v>
      </c>
      <c r="E1259" s="5" t="str">
        <f>IF(C1259="",IF(D1259="","",IF(D1259&lt;128,"Wahl "&amp;D1259,INDEX(KdoCodeTab,MATCH(D1259,KdoWertTab,0)))),"Status "&amp;C1259)</f>
        <v>Mark</v>
      </c>
      <c r="F1259" t="str">
        <f t="shared" si="118"/>
        <v>Mark</v>
      </c>
      <c r="G1259" t="str">
        <f t="shared" si="119"/>
        <v/>
      </c>
      <c r="H1259" t="str">
        <f t="shared" si="120"/>
        <v/>
      </c>
    </row>
    <row r="1260" spans="1:8" x14ac:dyDescent="0.25">
      <c r="A1260" t="s">
        <v>1290</v>
      </c>
      <c r="B1260" s="3">
        <f t="shared" si="121"/>
        <v>31</v>
      </c>
      <c r="C1260" s="3" t="str">
        <f t="shared" si="116"/>
        <v/>
      </c>
      <c r="D1260" s="3">
        <f t="shared" si="117"/>
        <v>154</v>
      </c>
      <c r="E1260" s="5" t="str">
        <f>IF(C1260="",IF(D1260="","",IF(D1260&lt;128,"Wahl "&amp;D1260,INDEX(KdoCodeTab,MATCH(D1260,KdoWertTab,0)))),"Status "&amp;C1260)</f>
        <v>MarkWdh</v>
      </c>
      <c r="F1260" t="str">
        <f t="shared" si="118"/>
        <v>MarkWdh</v>
      </c>
      <c r="G1260" t="str">
        <f t="shared" si="119"/>
        <v/>
      </c>
      <c r="H1260" t="str">
        <f t="shared" si="120"/>
        <v/>
      </c>
    </row>
    <row r="1261" spans="1:8" x14ac:dyDescent="0.25">
      <c r="A1261" t="s">
        <v>1291</v>
      </c>
      <c r="B1261" s="3">
        <f t="shared" si="121"/>
        <v>31</v>
      </c>
      <c r="C1261" s="3" t="str">
        <f t="shared" si="116"/>
        <v/>
      </c>
      <c r="D1261" s="3">
        <f t="shared" si="117"/>
        <v>147</v>
      </c>
      <c r="E1261" s="5" t="str">
        <f>IF(C1261="",IF(D1261="","",IF(D1261&lt;128,"Wahl "&amp;D1261,INDEX(KdoCodeTab,MATCH(D1261,KdoWertTab,0)))),"Status "&amp;C1261)</f>
        <v>Space</v>
      </c>
      <c r="F1261" t="str">
        <f t="shared" si="118"/>
        <v>Space</v>
      </c>
      <c r="G1261" t="str">
        <f t="shared" si="119"/>
        <v/>
      </c>
      <c r="H1261" t="str">
        <f t="shared" si="120"/>
        <v/>
      </c>
    </row>
    <row r="1262" spans="1:8" x14ac:dyDescent="0.25">
      <c r="A1262" t="s">
        <v>1292</v>
      </c>
      <c r="B1262" s="3">
        <f t="shared" si="121"/>
        <v>31</v>
      </c>
      <c r="C1262" s="3" t="str">
        <f t="shared" si="116"/>
        <v/>
      </c>
      <c r="D1262" s="3">
        <f t="shared" si="117"/>
        <v>150</v>
      </c>
      <c r="E1262" s="5" t="str">
        <f>IF(C1262="",IF(D1262="","",IF(D1262&lt;128,"Wahl "&amp;D1262,INDEX(KdoCodeTab,MATCH(D1262,KdoWertTab,0)))),"Status "&amp;C1262)</f>
        <v>SpaceWdh</v>
      </c>
      <c r="F1262" t="str">
        <f t="shared" si="118"/>
        <v>SpaceWdh</v>
      </c>
      <c r="G1262" t="str">
        <f t="shared" si="119"/>
        <v/>
      </c>
      <c r="H1262" t="str">
        <f t="shared" si="120"/>
        <v/>
      </c>
    </row>
    <row r="1263" spans="1:8" x14ac:dyDescent="0.25">
      <c r="A1263" t="s">
        <v>1293</v>
      </c>
      <c r="B1263" s="3">
        <f t="shared" si="121"/>
        <v>19</v>
      </c>
      <c r="C1263" s="3" t="str">
        <f t="shared" si="116"/>
        <v/>
      </c>
      <c r="D1263" s="3" t="str">
        <f t="shared" si="117"/>
        <v/>
      </c>
      <c r="E1263" s="5" t="str">
        <f>IF(C1263="",IF(D1263="","",IF(D1263&lt;128,"Wahl "&amp;D1263,INDEX(KdoCodeTab,MATCH(D1263,KdoWertTab,0)))),"Status "&amp;C1263)</f>
        <v/>
      </c>
      <c r="F1263" t="str">
        <f t="shared" si="118"/>
        <v/>
      </c>
      <c r="G1263" t="str">
        <f t="shared" si="119"/>
        <v/>
      </c>
      <c r="H1263" t="str">
        <f t="shared" si="120"/>
        <v/>
      </c>
    </row>
    <row r="1264" spans="1:8" x14ac:dyDescent="0.25">
      <c r="A1264" t="s">
        <v>1294</v>
      </c>
      <c r="B1264" s="3">
        <f t="shared" si="121"/>
        <v>31</v>
      </c>
      <c r="C1264" s="3" t="str">
        <f t="shared" si="116"/>
        <v/>
      </c>
      <c r="D1264" s="3">
        <f t="shared" si="117"/>
        <v>154</v>
      </c>
      <c r="E1264" s="5" t="str">
        <f>IF(C1264="",IF(D1264="","",IF(D1264&lt;128,"Wahl "&amp;D1264,INDEX(KdoCodeTab,MATCH(D1264,KdoWertTab,0)))),"Status "&amp;C1264)</f>
        <v>MarkWdh</v>
      </c>
      <c r="F1264" t="str">
        <f t="shared" si="118"/>
        <v>MarkWdh</v>
      </c>
      <c r="G1264" t="str">
        <f t="shared" si="119"/>
        <v/>
      </c>
      <c r="H1264" t="str">
        <f t="shared" si="120"/>
        <v/>
      </c>
    </row>
    <row r="1265" spans="1:8" x14ac:dyDescent="0.25">
      <c r="A1265" t="s">
        <v>1295</v>
      </c>
      <c r="B1265" s="3">
        <f t="shared" si="121"/>
        <v>31</v>
      </c>
      <c r="C1265" s="3" t="str">
        <f t="shared" si="116"/>
        <v/>
      </c>
      <c r="D1265" s="3">
        <f t="shared" si="117"/>
        <v>147</v>
      </c>
      <c r="E1265" s="5" t="str">
        <f>IF(C1265="",IF(D1265="","",IF(D1265&lt;128,"Wahl "&amp;D1265,INDEX(KdoCodeTab,MATCH(D1265,KdoWertTab,0)))),"Status "&amp;C1265)</f>
        <v>Space</v>
      </c>
      <c r="F1265" t="str">
        <f t="shared" si="118"/>
        <v>Space</v>
      </c>
      <c r="G1265" t="str">
        <f t="shared" si="119"/>
        <v/>
      </c>
      <c r="H1265" t="str">
        <f t="shared" si="120"/>
        <v/>
      </c>
    </row>
    <row r="1266" spans="1:8" x14ac:dyDescent="0.25">
      <c r="A1266" t="s">
        <v>1296</v>
      </c>
      <c r="B1266" s="3">
        <f t="shared" si="121"/>
        <v>31</v>
      </c>
      <c r="C1266" s="3" t="str">
        <f t="shared" si="116"/>
        <v/>
      </c>
      <c r="D1266" s="3">
        <f t="shared" si="117"/>
        <v>150</v>
      </c>
      <c r="E1266" s="5" t="str">
        <f>IF(C1266="",IF(D1266="","",IF(D1266&lt;128,"Wahl "&amp;D1266,INDEX(KdoCodeTab,MATCH(D1266,KdoWertTab,0)))),"Status "&amp;C1266)</f>
        <v>SpaceWdh</v>
      </c>
      <c r="F1266" t="str">
        <f t="shared" si="118"/>
        <v>SpaceWdh</v>
      </c>
      <c r="G1266" t="str">
        <f t="shared" si="119"/>
        <v/>
      </c>
      <c r="H1266" t="str">
        <f t="shared" si="120"/>
        <v/>
      </c>
    </row>
    <row r="1267" spans="1:8" x14ac:dyDescent="0.25">
      <c r="A1267" t="s">
        <v>1297</v>
      </c>
      <c r="B1267" s="3">
        <f t="shared" si="121"/>
        <v>101</v>
      </c>
      <c r="C1267" s="3" t="str">
        <f t="shared" si="116"/>
        <v/>
      </c>
      <c r="D1267" s="3">
        <f t="shared" si="117"/>
        <v>169</v>
      </c>
      <c r="E1267" s="5" t="str">
        <f>IF(C1267="",IF(D1267="","",IF(D1267&lt;128,"Wahl "&amp;D1267,INDEX(KdoCodeTab,MATCH(D1267,KdoWertTab,0)))),"Status "&amp;C1267)</f>
        <v>BusLebenszeichen</v>
      </c>
      <c r="F1267" t="str">
        <f t="shared" si="118"/>
        <v/>
      </c>
      <c r="G1267" t="str">
        <f t="shared" si="119"/>
        <v/>
      </c>
      <c r="H1267" t="str">
        <f t="shared" si="120"/>
        <v>BusLebenszeichen</v>
      </c>
    </row>
    <row r="1268" spans="1:8" x14ac:dyDescent="0.25">
      <c r="A1268" t="s">
        <v>1298</v>
      </c>
      <c r="B1268" s="3">
        <f t="shared" si="121"/>
        <v>31</v>
      </c>
      <c r="C1268" s="3" t="str">
        <f t="shared" si="116"/>
        <v/>
      </c>
      <c r="D1268" s="3">
        <f t="shared" si="117"/>
        <v>156</v>
      </c>
      <c r="E1268" s="5" t="str">
        <f>IF(C1268="",IF(D1268="","",IF(D1268&lt;128,"Wahl "&amp;D1268,INDEX(KdoCodeTab,MATCH(D1268,KdoWertTab,0)))),"Status "&amp;C1268)</f>
        <v>Mark</v>
      </c>
      <c r="F1268" t="str">
        <f t="shared" si="118"/>
        <v>Mark</v>
      </c>
      <c r="G1268" t="str">
        <f t="shared" si="119"/>
        <v/>
      </c>
      <c r="H1268" t="str">
        <f t="shared" si="120"/>
        <v/>
      </c>
    </row>
    <row r="1269" spans="1:8" x14ac:dyDescent="0.25">
      <c r="A1269" t="s">
        <v>1299</v>
      </c>
      <c r="B1269" s="3">
        <f t="shared" si="121"/>
        <v>31</v>
      </c>
      <c r="C1269" s="3" t="str">
        <f t="shared" si="116"/>
        <v/>
      </c>
      <c r="D1269" s="3">
        <f t="shared" si="117"/>
        <v>154</v>
      </c>
      <c r="E1269" s="5" t="str">
        <f>IF(C1269="",IF(D1269="","",IF(D1269&lt;128,"Wahl "&amp;D1269,INDEX(KdoCodeTab,MATCH(D1269,KdoWertTab,0)))),"Status "&amp;C1269)</f>
        <v>MarkWdh</v>
      </c>
      <c r="F1269" t="str">
        <f t="shared" si="118"/>
        <v>MarkWdh</v>
      </c>
      <c r="G1269" t="str">
        <f t="shared" si="119"/>
        <v/>
      </c>
      <c r="H1269" t="str">
        <f t="shared" si="120"/>
        <v/>
      </c>
    </row>
    <row r="1270" spans="1:8" x14ac:dyDescent="0.25">
      <c r="A1270" t="s">
        <v>1300</v>
      </c>
      <c r="B1270" s="3">
        <f t="shared" si="121"/>
        <v>31</v>
      </c>
      <c r="C1270" s="3" t="str">
        <f t="shared" si="116"/>
        <v/>
      </c>
      <c r="D1270" s="3">
        <f t="shared" si="117"/>
        <v>147</v>
      </c>
      <c r="E1270" s="5" t="str">
        <f>IF(C1270="",IF(D1270="","",IF(D1270&lt;128,"Wahl "&amp;D1270,INDEX(KdoCodeTab,MATCH(D1270,KdoWertTab,0)))),"Status "&amp;C1270)</f>
        <v>Space</v>
      </c>
      <c r="F1270" t="str">
        <f t="shared" si="118"/>
        <v>Space</v>
      </c>
      <c r="G1270" t="str">
        <f t="shared" si="119"/>
        <v/>
      </c>
      <c r="H1270" t="str">
        <f t="shared" si="120"/>
        <v/>
      </c>
    </row>
    <row r="1271" spans="1:8" x14ac:dyDescent="0.25">
      <c r="A1271" t="s">
        <v>1301</v>
      </c>
      <c r="B1271" s="3">
        <f t="shared" si="121"/>
        <v>31</v>
      </c>
      <c r="C1271" s="3" t="str">
        <f t="shared" si="116"/>
        <v/>
      </c>
      <c r="D1271" s="3">
        <f t="shared" si="117"/>
        <v>150</v>
      </c>
      <c r="E1271" s="5" t="str">
        <f>IF(C1271="",IF(D1271="","",IF(D1271&lt;128,"Wahl "&amp;D1271,INDEX(KdoCodeTab,MATCH(D1271,KdoWertTab,0)))),"Status "&amp;C1271)</f>
        <v>SpaceWdh</v>
      </c>
      <c r="F1271" t="str">
        <f t="shared" si="118"/>
        <v>SpaceWdh</v>
      </c>
      <c r="G1271" t="str">
        <f t="shared" si="119"/>
        <v/>
      </c>
      <c r="H1271" t="str">
        <f t="shared" si="120"/>
        <v/>
      </c>
    </row>
    <row r="1272" spans="1:8" x14ac:dyDescent="0.25">
      <c r="A1272" t="s">
        <v>1302</v>
      </c>
      <c r="B1272" s="3">
        <f t="shared" si="121"/>
        <v>31</v>
      </c>
      <c r="C1272" s="3" t="str">
        <f t="shared" si="116"/>
        <v/>
      </c>
      <c r="D1272" s="3">
        <f t="shared" si="117"/>
        <v>156</v>
      </c>
      <c r="E1272" s="5" t="str">
        <f>IF(C1272="",IF(D1272="","",IF(D1272&lt;128,"Wahl "&amp;D1272,INDEX(KdoCodeTab,MATCH(D1272,KdoWertTab,0)))),"Status "&amp;C1272)</f>
        <v>Mark</v>
      </c>
      <c r="F1272" t="str">
        <f t="shared" si="118"/>
        <v>Mark</v>
      </c>
      <c r="G1272" t="str">
        <f t="shared" si="119"/>
        <v/>
      </c>
      <c r="H1272" t="str">
        <f t="shared" si="120"/>
        <v/>
      </c>
    </row>
    <row r="1273" spans="1:8" x14ac:dyDescent="0.25">
      <c r="A1273" t="s">
        <v>1303</v>
      </c>
      <c r="B1273" s="3">
        <f t="shared" si="121"/>
        <v>31</v>
      </c>
      <c r="C1273" s="3" t="str">
        <f t="shared" si="116"/>
        <v/>
      </c>
      <c r="D1273" s="3">
        <f t="shared" si="117"/>
        <v>154</v>
      </c>
      <c r="E1273" s="5" t="str">
        <f>IF(C1273="",IF(D1273="","",IF(D1273&lt;128,"Wahl "&amp;D1273,INDEX(KdoCodeTab,MATCH(D1273,KdoWertTab,0)))),"Status "&amp;C1273)</f>
        <v>MarkWdh</v>
      </c>
      <c r="F1273" t="str">
        <f t="shared" si="118"/>
        <v>MarkWdh</v>
      </c>
      <c r="G1273" t="str">
        <f t="shared" si="119"/>
        <v/>
      </c>
      <c r="H1273" t="str">
        <f t="shared" si="120"/>
        <v/>
      </c>
    </row>
    <row r="1274" spans="1:8" x14ac:dyDescent="0.25">
      <c r="A1274" t="s">
        <v>1304</v>
      </c>
      <c r="B1274" s="3">
        <f t="shared" si="121"/>
        <v>31</v>
      </c>
      <c r="C1274" s="3" t="str">
        <f t="shared" si="116"/>
        <v/>
      </c>
      <c r="D1274" s="3">
        <f t="shared" si="117"/>
        <v>147</v>
      </c>
      <c r="E1274" s="5" t="str">
        <f>IF(C1274="",IF(D1274="","",IF(D1274&lt;128,"Wahl "&amp;D1274,INDEX(KdoCodeTab,MATCH(D1274,KdoWertTab,0)))),"Status "&amp;C1274)</f>
        <v>Space</v>
      </c>
      <c r="F1274" t="str">
        <f t="shared" si="118"/>
        <v>Space</v>
      </c>
      <c r="G1274" t="str">
        <f t="shared" si="119"/>
        <v/>
      </c>
      <c r="H1274" t="str">
        <f t="shared" si="120"/>
        <v/>
      </c>
    </row>
    <row r="1275" spans="1:8" x14ac:dyDescent="0.25">
      <c r="A1275" t="s">
        <v>1305</v>
      </c>
      <c r="B1275" s="3">
        <f t="shared" si="121"/>
        <v>31</v>
      </c>
      <c r="C1275" s="3" t="str">
        <f t="shared" ref="C1275:C1338" si="122">IF(MID(A1275,10,1)="&lt;",MID(A1275,12,2),"")</f>
        <v/>
      </c>
      <c r="D1275" s="3">
        <f t="shared" ref="D1275:D1338" si="123">IF(MID(A1275,10,1)="&gt;",HEX2DEC(MID(A1275,12,2)),"")</f>
        <v>150</v>
      </c>
      <c r="E1275" s="5" t="str">
        <f>IF(C1275="",IF(D1275="","",IF(D1275&lt;128,"Wahl "&amp;D1275,INDEX(KdoCodeTab,MATCH(D1275,KdoWertTab,0)))),"Status "&amp;C1275)</f>
        <v>SpaceWdh</v>
      </c>
      <c r="F1275" t="str">
        <f t="shared" ref="F1275:F1338" si="124">IF(B1275=$F$2,E1275,"")</f>
        <v>SpaceWdh</v>
      </c>
      <c r="G1275" t="str">
        <f t="shared" ref="G1275:G1338" si="125">IF(B1275=$G$2,E1275,"")</f>
        <v/>
      </c>
      <c r="H1275" t="str">
        <f t="shared" ref="H1275:H1338" si="126">IF(F1275&amp;G1275="",E1275,"")</f>
        <v/>
      </c>
    </row>
    <row r="1276" spans="1:8" x14ac:dyDescent="0.25">
      <c r="A1276" t="s">
        <v>1306</v>
      </c>
      <c r="B1276" s="3">
        <f t="shared" si="121"/>
        <v>31</v>
      </c>
      <c r="C1276" s="3" t="str">
        <f t="shared" si="122"/>
        <v/>
      </c>
      <c r="D1276" s="3">
        <f t="shared" si="123"/>
        <v>156</v>
      </c>
      <c r="E1276" s="5" t="str">
        <f>IF(C1276="",IF(D1276="","",IF(D1276&lt;128,"Wahl "&amp;D1276,INDEX(KdoCodeTab,MATCH(D1276,KdoWertTab,0)))),"Status "&amp;C1276)</f>
        <v>Mark</v>
      </c>
      <c r="F1276" t="str">
        <f t="shared" si="124"/>
        <v>Mark</v>
      </c>
      <c r="G1276" t="str">
        <f t="shared" si="125"/>
        <v/>
      </c>
      <c r="H1276" t="str">
        <f t="shared" si="126"/>
        <v/>
      </c>
    </row>
    <row r="1277" spans="1:8" x14ac:dyDescent="0.25">
      <c r="A1277" t="s">
        <v>1307</v>
      </c>
      <c r="B1277" s="3">
        <f t="shared" si="121"/>
        <v>31</v>
      </c>
      <c r="C1277" s="3" t="str">
        <f t="shared" si="122"/>
        <v/>
      </c>
      <c r="D1277" s="3">
        <f t="shared" si="123"/>
        <v>154</v>
      </c>
      <c r="E1277" s="5" t="str">
        <f>IF(C1277="",IF(D1277="","",IF(D1277&lt;128,"Wahl "&amp;D1277,INDEX(KdoCodeTab,MATCH(D1277,KdoWertTab,0)))),"Status "&amp;C1277)</f>
        <v>MarkWdh</v>
      </c>
      <c r="F1277" t="str">
        <f t="shared" si="124"/>
        <v>MarkWdh</v>
      </c>
      <c r="G1277" t="str">
        <f t="shared" si="125"/>
        <v/>
      </c>
      <c r="H1277" t="str">
        <f t="shared" si="126"/>
        <v/>
      </c>
    </row>
    <row r="1278" spans="1:8" x14ac:dyDescent="0.25">
      <c r="A1278" t="s">
        <v>1308</v>
      </c>
      <c r="B1278" s="3">
        <f t="shared" si="121"/>
        <v>31</v>
      </c>
      <c r="C1278" s="3" t="str">
        <f t="shared" si="122"/>
        <v/>
      </c>
      <c r="D1278" s="3">
        <f t="shared" si="123"/>
        <v>147</v>
      </c>
      <c r="E1278" s="5" t="str">
        <f>IF(C1278="",IF(D1278="","",IF(D1278&lt;128,"Wahl "&amp;D1278,INDEX(KdoCodeTab,MATCH(D1278,KdoWertTab,0)))),"Status "&amp;C1278)</f>
        <v>Space</v>
      </c>
      <c r="F1278" t="str">
        <f t="shared" si="124"/>
        <v>Space</v>
      </c>
      <c r="G1278" t="str">
        <f t="shared" si="125"/>
        <v/>
      </c>
      <c r="H1278" t="str">
        <f t="shared" si="126"/>
        <v/>
      </c>
    </row>
    <row r="1279" spans="1:8" x14ac:dyDescent="0.25">
      <c r="A1279" t="s">
        <v>1309</v>
      </c>
      <c r="B1279" s="3">
        <f t="shared" si="121"/>
        <v>31</v>
      </c>
      <c r="C1279" s="3" t="str">
        <f t="shared" si="122"/>
        <v/>
      </c>
      <c r="D1279" s="3">
        <f t="shared" si="123"/>
        <v>150</v>
      </c>
      <c r="E1279" s="5" t="str">
        <f>IF(C1279="",IF(D1279="","",IF(D1279&lt;128,"Wahl "&amp;D1279,INDEX(KdoCodeTab,MATCH(D1279,KdoWertTab,0)))),"Status "&amp;C1279)</f>
        <v>SpaceWdh</v>
      </c>
      <c r="F1279" t="str">
        <f t="shared" si="124"/>
        <v>SpaceWdh</v>
      </c>
      <c r="G1279" t="str">
        <f t="shared" si="125"/>
        <v/>
      </c>
      <c r="H1279" t="str">
        <f t="shared" si="126"/>
        <v/>
      </c>
    </row>
    <row r="1280" spans="1:8" x14ac:dyDescent="0.25">
      <c r="A1280" t="s">
        <v>1310</v>
      </c>
      <c r="B1280" s="3">
        <f t="shared" si="121"/>
        <v>19</v>
      </c>
      <c r="C1280" s="3" t="str">
        <f t="shared" si="122"/>
        <v/>
      </c>
      <c r="D1280" s="3" t="str">
        <f t="shared" si="123"/>
        <v/>
      </c>
      <c r="E1280" s="5" t="str">
        <f>IF(C1280="",IF(D1280="","",IF(D1280&lt;128,"Wahl "&amp;D1280,INDEX(KdoCodeTab,MATCH(D1280,KdoWertTab,0)))),"Status "&amp;C1280)</f>
        <v/>
      </c>
      <c r="F1280" t="str">
        <f t="shared" si="124"/>
        <v/>
      </c>
      <c r="G1280" t="str">
        <f t="shared" si="125"/>
        <v/>
      </c>
      <c r="H1280" t="str">
        <f t="shared" si="126"/>
        <v/>
      </c>
    </row>
    <row r="1281" spans="1:8" x14ac:dyDescent="0.25">
      <c r="A1281" t="s">
        <v>1311</v>
      </c>
      <c r="B1281" s="3">
        <f t="shared" si="121"/>
        <v>31</v>
      </c>
      <c r="C1281" s="3" t="str">
        <f t="shared" si="122"/>
        <v/>
      </c>
      <c r="D1281" s="3">
        <f t="shared" si="123"/>
        <v>154</v>
      </c>
      <c r="E1281" s="5" t="str">
        <f>IF(C1281="",IF(D1281="","",IF(D1281&lt;128,"Wahl "&amp;D1281,INDEX(KdoCodeTab,MATCH(D1281,KdoWertTab,0)))),"Status "&amp;C1281)</f>
        <v>MarkWdh</v>
      </c>
      <c r="F1281" t="str">
        <f t="shared" si="124"/>
        <v>MarkWdh</v>
      </c>
      <c r="G1281" t="str">
        <f t="shared" si="125"/>
        <v/>
      </c>
      <c r="H1281" t="str">
        <f t="shared" si="126"/>
        <v/>
      </c>
    </row>
    <row r="1282" spans="1:8" x14ac:dyDescent="0.25">
      <c r="A1282" t="s">
        <v>1312</v>
      </c>
      <c r="B1282" s="3">
        <f t="shared" si="121"/>
        <v>18</v>
      </c>
      <c r="C1282" s="3" t="str">
        <f t="shared" si="122"/>
        <v/>
      </c>
      <c r="D1282" s="3">
        <f t="shared" si="123"/>
        <v>0</v>
      </c>
      <c r="E1282" s="5" t="str">
        <f>IF(C1282="",IF(D1282="","",IF(D1282&lt;128,"Wahl "&amp;D1282,INDEX(KdoCodeTab,MATCH(D1282,KdoWertTab,0)))),"Status "&amp;C1282)</f>
        <v>Wahl 0</v>
      </c>
      <c r="F1282" t="str">
        <f t="shared" si="124"/>
        <v/>
      </c>
      <c r="G1282" t="str">
        <f t="shared" si="125"/>
        <v/>
      </c>
      <c r="H1282" t="str">
        <f t="shared" si="126"/>
        <v>Wahl 0</v>
      </c>
    </row>
    <row r="1283" spans="1:8" x14ac:dyDescent="0.25">
      <c r="A1283" t="s">
        <v>1313</v>
      </c>
      <c r="B1283" s="3">
        <f t="shared" si="121"/>
        <v>31</v>
      </c>
      <c r="C1283" s="3" t="str">
        <f t="shared" si="122"/>
        <v/>
      </c>
      <c r="D1283" s="3">
        <f t="shared" si="123"/>
        <v>150</v>
      </c>
      <c r="E1283" s="5" t="str">
        <f>IF(C1283="",IF(D1283="","",IF(D1283&lt;128,"Wahl "&amp;D1283,INDEX(KdoCodeTab,MATCH(D1283,KdoWertTab,0)))),"Status "&amp;C1283)</f>
        <v>SpaceWdh</v>
      </c>
      <c r="F1283" t="str">
        <f t="shared" si="124"/>
        <v>SpaceWdh</v>
      </c>
      <c r="G1283" t="str">
        <f t="shared" si="125"/>
        <v/>
      </c>
      <c r="H1283" t="str">
        <f t="shared" si="126"/>
        <v/>
      </c>
    </row>
    <row r="1284" spans="1:8" x14ac:dyDescent="0.25">
      <c r="A1284" t="s">
        <v>1314</v>
      </c>
      <c r="B1284" s="3">
        <f t="shared" si="121"/>
        <v>31</v>
      </c>
      <c r="C1284" s="3" t="str">
        <f t="shared" si="122"/>
        <v/>
      </c>
      <c r="D1284" s="3">
        <f t="shared" si="123"/>
        <v>156</v>
      </c>
      <c r="E1284" s="5" t="str">
        <f>IF(C1284="",IF(D1284="","",IF(D1284&lt;128,"Wahl "&amp;D1284,INDEX(KdoCodeTab,MATCH(D1284,KdoWertTab,0)))),"Status "&amp;C1284)</f>
        <v>Mark</v>
      </c>
      <c r="F1284" t="str">
        <f t="shared" si="124"/>
        <v>Mark</v>
      </c>
      <c r="G1284" t="str">
        <f t="shared" si="125"/>
        <v/>
      </c>
      <c r="H1284" t="str">
        <f t="shared" si="126"/>
        <v/>
      </c>
    </row>
    <row r="1285" spans="1:8" x14ac:dyDescent="0.25">
      <c r="A1285" t="s">
        <v>1315</v>
      </c>
      <c r="B1285" s="3">
        <f t="shared" ref="B1285:B1348" si="127">INT(HEX2DEC(MID(A1285,8,2))/2)</f>
        <v>31</v>
      </c>
      <c r="C1285" s="3" t="str">
        <f t="shared" si="122"/>
        <v/>
      </c>
      <c r="D1285" s="3">
        <f t="shared" si="123"/>
        <v>154</v>
      </c>
      <c r="E1285" s="5" t="str">
        <f>IF(C1285="",IF(D1285="","",IF(D1285&lt;128,"Wahl "&amp;D1285,INDEX(KdoCodeTab,MATCH(D1285,KdoWertTab,0)))),"Status "&amp;C1285)</f>
        <v>MarkWdh</v>
      </c>
      <c r="F1285" t="str">
        <f t="shared" si="124"/>
        <v>MarkWdh</v>
      </c>
      <c r="G1285" t="str">
        <f t="shared" si="125"/>
        <v/>
      </c>
      <c r="H1285" t="str">
        <f t="shared" si="126"/>
        <v/>
      </c>
    </row>
    <row r="1286" spans="1:8" x14ac:dyDescent="0.25">
      <c r="A1286" t="s">
        <v>1316</v>
      </c>
      <c r="B1286" s="3">
        <f t="shared" si="127"/>
        <v>31</v>
      </c>
      <c r="C1286" s="3" t="str">
        <f t="shared" si="122"/>
        <v/>
      </c>
      <c r="D1286" s="3">
        <f t="shared" si="123"/>
        <v>147</v>
      </c>
      <c r="E1286" s="5" t="str">
        <f>IF(C1286="",IF(D1286="","",IF(D1286&lt;128,"Wahl "&amp;D1286,INDEX(KdoCodeTab,MATCH(D1286,KdoWertTab,0)))),"Status "&amp;C1286)</f>
        <v>Space</v>
      </c>
      <c r="F1286" t="str">
        <f t="shared" si="124"/>
        <v>Space</v>
      </c>
      <c r="G1286" t="str">
        <f t="shared" si="125"/>
        <v/>
      </c>
      <c r="H1286" t="str">
        <f t="shared" si="126"/>
        <v/>
      </c>
    </row>
    <row r="1287" spans="1:8" x14ac:dyDescent="0.25">
      <c r="A1287" t="s">
        <v>1317</v>
      </c>
      <c r="B1287" s="3">
        <f t="shared" si="127"/>
        <v>31</v>
      </c>
      <c r="C1287" s="3" t="str">
        <f t="shared" si="122"/>
        <v/>
      </c>
      <c r="D1287" s="3">
        <f t="shared" si="123"/>
        <v>150</v>
      </c>
      <c r="E1287" s="5" t="str">
        <f>IF(C1287="",IF(D1287="","",IF(D1287&lt;128,"Wahl "&amp;D1287,INDEX(KdoCodeTab,MATCH(D1287,KdoWertTab,0)))),"Status "&amp;C1287)</f>
        <v>SpaceWdh</v>
      </c>
      <c r="F1287" t="str">
        <f t="shared" si="124"/>
        <v>SpaceWdh</v>
      </c>
      <c r="G1287" t="str">
        <f t="shared" si="125"/>
        <v/>
      </c>
      <c r="H1287" t="str">
        <f t="shared" si="126"/>
        <v/>
      </c>
    </row>
    <row r="1288" spans="1:8" x14ac:dyDescent="0.25">
      <c r="A1288" t="s">
        <v>1318</v>
      </c>
      <c r="B1288" s="3">
        <f t="shared" si="127"/>
        <v>31</v>
      </c>
      <c r="C1288" s="3" t="str">
        <f t="shared" si="122"/>
        <v/>
      </c>
      <c r="D1288" s="3">
        <f t="shared" si="123"/>
        <v>156</v>
      </c>
      <c r="E1288" s="5" t="str">
        <f>IF(C1288="",IF(D1288="","",IF(D1288&lt;128,"Wahl "&amp;D1288,INDEX(KdoCodeTab,MATCH(D1288,KdoWertTab,0)))),"Status "&amp;C1288)</f>
        <v>Mark</v>
      </c>
      <c r="F1288" t="str">
        <f t="shared" si="124"/>
        <v>Mark</v>
      </c>
      <c r="G1288" t="str">
        <f t="shared" si="125"/>
        <v/>
      </c>
      <c r="H1288" t="str">
        <f t="shared" si="126"/>
        <v/>
      </c>
    </row>
    <row r="1289" spans="1:8" x14ac:dyDescent="0.25">
      <c r="A1289" t="s">
        <v>1319</v>
      </c>
      <c r="B1289" s="3">
        <f t="shared" si="127"/>
        <v>31</v>
      </c>
      <c r="C1289" s="3" t="str">
        <f t="shared" si="122"/>
        <v/>
      </c>
      <c r="D1289" s="3">
        <f t="shared" si="123"/>
        <v>154</v>
      </c>
      <c r="E1289" s="5" t="str">
        <f>IF(C1289="",IF(D1289="","",IF(D1289&lt;128,"Wahl "&amp;D1289,INDEX(KdoCodeTab,MATCH(D1289,KdoWertTab,0)))),"Status "&amp;C1289)</f>
        <v>MarkWdh</v>
      </c>
      <c r="F1289" t="str">
        <f t="shared" si="124"/>
        <v>MarkWdh</v>
      </c>
      <c r="G1289" t="str">
        <f t="shared" si="125"/>
        <v/>
      </c>
      <c r="H1289" t="str">
        <f t="shared" si="126"/>
        <v/>
      </c>
    </row>
    <row r="1290" spans="1:8" x14ac:dyDescent="0.25">
      <c r="A1290" t="s">
        <v>1320</v>
      </c>
      <c r="B1290" s="3">
        <f t="shared" si="127"/>
        <v>31</v>
      </c>
      <c r="C1290" s="3" t="str">
        <f t="shared" si="122"/>
        <v/>
      </c>
      <c r="D1290" s="3">
        <f t="shared" si="123"/>
        <v>147</v>
      </c>
      <c r="E1290" s="5" t="str">
        <f>IF(C1290="",IF(D1290="","",IF(D1290&lt;128,"Wahl "&amp;D1290,INDEX(KdoCodeTab,MATCH(D1290,KdoWertTab,0)))),"Status "&amp;C1290)</f>
        <v>Space</v>
      </c>
      <c r="F1290" t="str">
        <f t="shared" si="124"/>
        <v>Space</v>
      </c>
      <c r="G1290" t="str">
        <f t="shared" si="125"/>
        <v/>
      </c>
      <c r="H1290" t="str">
        <f t="shared" si="126"/>
        <v/>
      </c>
    </row>
    <row r="1291" spans="1:8" x14ac:dyDescent="0.25">
      <c r="A1291" t="s">
        <v>1321</v>
      </c>
      <c r="B1291" s="3">
        <f t="shared" si="127"/>
        <v>18</v>
      </c>
      <c r="C1291" s="3" t="str">
        <f t="shared" si="122"/>
        <v/>
      </c>
      <c r="D1291" s="3" t="str">
        <f t="shared" si="123"/>
        <v/>
      </c>
      <c r="E1291" s="5" t="str">
        <f>IF(C1291="",IF(D1291="","",IF(D1291&lt;128,"Wahl "&amp;D1291,INDEX(KdoCodeTab,MATCH(D1291,KdoWertTab,0)))),"Status "&amp;C1291)</f>
        <v/>
      </c>
      <c r="F1291" t="str">
        <f t="shared" si="124"/>
        <v/>
      </c>
      <c r="G1291" t="str">
        <f t="shared" si="125"/>
        <v/>
      </c>
      <c r="H1291" t="str">
        <f t="shared" si="126"/>
        <v/>
      </c>
    </row>
    <row r="1292" spans="1:8" x14ac:dyDescent="0.25">
      <c r="A1292" t="s">
        <v>1322</v>
      </c>
      <c r="B1292" s="3">
        <f t="shared" si="127"/>
        <v>31</v>
      </c>
      <c r="C1292" s="3" t="str">
        <f t="shared" si="122"/>
        <v/>
      </c>
      <c r="D1292" s="3">
        <f t="shared" si="123"/>
        <v>156</v>
      </c>
      <c r="E1292" s="5" t="str">
        <f>IF(C1292="",IF(D1292="","",IF(D1292&lt;128,"Wahl "&amp;D1292,INDEX(KdoCodeTab,MATCH(D1292,KdoWertTab,0)))),"Status "&amp;C1292)</f>
        <v>Mark</v>
      </c>
      <c r="F1292" t="str">
        <f t="shared" si="124"/>
        <v>Mark</v>
      </c>
      <c r="G1292" t="str">
        <f t="shared" si="125"/>
        <v/>
      </c>
      <c r="H1292" t="str">
        <f t="shared" si="126"/>
        <v/>
      </c>
    </row>
    <row r="1293" spans="1:8" x14ac:dyDescent="0.25">
      <c r="A1293" t="s">
        <v>1323</v>
      </c>
      <c r="B1293" s="3">
        <f t="shared" si="127"/>
        <v>31</v>
      </c>
      <c r="C1293" s="3" t="str">
        <f t="shared" si="122"/>
        <v/>
      </c>
      <c r="D1293" s="3">
        <f t="shared" si="123"/>
        <v>154</v>
      </c>
      <c r="E1293" s="5" t="str">
        <f>IF(C1293="",IF(D1293="","",IF(D1293&lt;128,"Wahl "&amp;D1293,INDEX(KdoCodeTab,MATCH(D1293,KdoWertTab,0)))),"Status "&amp;C1293)</f>
        <v>MarkWdh</v>
      </c>
      <c r="F1293" t="str">
        <f t="shared" si="124"/>
        <v>MarkWdh</v>
      </c>
      <c r="G1293" t="str">
        <f t="shared" si="125"/>
        <v/>
      </c>
      <c r="H1293" t="str">
        <f t="shared" si="126"/>
        <v/>
      </c>
    </row>
    <row r="1294" spans="1:8" x14ac:dyDescent="0.25">
      <c r="A1294" t="s">
        <v>1324</v>
      </c>
      <c r="B1294" s="3">
        <f t="shared" si="127"/>
        <v>31</v>
      </c>
      <c r="C1294" s="3" t="str">
        <f t="shared" si="122"/>
        <v/>
      </c>
      <c r="D1294" s="3">
        <f t="shared" si="123"/>
        <v>147</v>
      </c>
      <c r="E1294" s="5" t="str">
        <f>IF(C1294="",IF(D1294="","",IF(D1294&lt;128,"Wahl "&amp;D1294,INDEX(KdoCodeTab,MATCH(D1294,KdoWertTab,0)))),"Status "&amp;C1294)</f>
        <v>Space</v>
      </c>
      <c r="F1294" t="str">
        <f t="shared" si="124"/>
        <v>Space</v>
      </c>
      <c r="G1294" t="str">
        <f t="shared" si="125"/>
        <v/>
      </c>
      <c r="H1294" t="str">
        <f t="shared" si="126"/>
        <v/>
      </c>
    </row>
    <row r="1295" spans="1:8" x14ac:dyDescent="0.25">
      <c r="A1295" t="s">
        <v>1325</v>
      </c>
      <c r="B1295" s="3">
        <f t="shared" si="127"/>
        <v>31</v>
      </c>
      <c r="C1295" s="3" t="str">
        <f t="shared" si="122"/>
        <v/>
      </c>
      <c r="D1295" s="3">
        <f t="shared" si="123"/>
        <v>150</v>
      </c>
      <c r="E1295" s="5" t="str">
        <f>IF(C1295="",IF(D1295="","",IF(D1295&lt;128,"Wahl "&amp;D1295,INDEX(KdoCodeTab,MATCH(D1295,KdoWertTab,0)))),"Status "&amp;C1295)</f>
        <v>SpaceWdh</v>
      </c>
      <c r="F1295" t="str">
        <f t="shared" si="124"/>
        <v>SpaceWdh</v>
      </c>
      <c r="G1295" t="str">
        <f t="shared" si="125"/>
        <v/>
      </c>
      <c r="H1295" t="str">
        <f t="shared" si="126"/>
        <v/>
      </c>
    </row>
    <row r="1296" spans="1:8" x14ac:dyDescent="0.25">
      <c r="A1296" t="s">
        <v>1326</v>
      </c>
      <c r="B1296" s="3">
        <f t="shared" si="127"/>
        <v>31</v>
      </c>
      <c r="C1296" s="3" t="str">
        <f t="shared" si="122"/>
        <v/>
      </c>
      <c r="D1296" s="3">
        <f t="shared" si="123"/>
        <v>156</v>
      </c>
      <c r="E1296" s="5" t="str">
        <f>IF(C1296="",IF(D1296="","",IF(D1296&lt;128,"Wahl "&amp;D1296,INDEX(KdoCodeTab,MATCH(D1296,KdoWertTab,0)))),"Status "&amp;C1296)</f>
        <v>Mark</v>
      </c>
      <c r="F1296" t="str">
        <f t="shared" si="124"/>
        <v>Mark</v>
      </c>
      <c r="G1296" t="str">
        <f t="shared" si="125"/>
        <v/>
      </c>
      <c r="H1296" t="str">
        <f t="shared" si="126"/>
        <v/>
      </c>
    </row>
    <row r="1297" spans="1:8" x14ac:dyDescent="0.25">
      <c r="A1297" t="s">
        <v>1327</v>
      </c>
      <c r="B1297" s="3">
        <f t="shared" si="127"/>
        <v>31</v>
      </c>
      <c r="C1297" s="3" t="str">
        <f t="shared" si="122"/>
        <v/>
      </c>
      <c r="D1297" s="3">
        <f t="shared" si="123"/>
        <v>154</v>
      </c>
      <c r="E1297" s="5" t="str">
        <f>IF(C1297="",IF(D1297="","",IF(D1297&lt;128,"Wahl "&amp;D1297,INDEX(KdoCodeTab,MATCH(D1297,KdoWertTab,0)))),"Status "&amp;C1297)</f>
        <v>MarkWdh</v>
      </c>
      <c r="F1297" t="str">
        <f t="shared" si="124"/>
        <v>MarkWdh</v>
      </c>
      <c r="G1297" t="str">
        <f t="shared" si="125"/>
        <v/>
      </c>
      <c r="H1297" t="str">
        <f t="shared" si="126"/>
        <v/>
      </c>
    </row>
    <row r="1298" spans="1:8" x14ac:dyDescent="0.25">
      <c r="A1298" t="s">
        <v>1328</v>
      </c>
      <c r="B1298" s="3">
        <f t="shared" si="127"/>
        <v>31</v>
      </c>
      <c r="C1298" s="3" t="str">
        <f t="shared" si="122"/>
        <v/>
      </c>
      <c r="D1298" s="3">
        <f t="shared" si="123"/>
        <v>147</v>
      </c>
      <c r="E1298" s="5" t="str">
        <f>IF(C1298="",IF(D1298="","",IF(D1298&lt;128,"Wahl "&amp;D1298,INDEX(KdoCodeTab,MATCH(D1298,KdoWertTab,0)))),"Status "&amp;C1298)</f>
        <v>Space</v>
      </c>
      <c r="F1298" t="str">
        <f t="shared" si="124"/>
        <v>Space</v>
      </c>
      <c r="G1298" t="str">
        <f t="shared" si="125"/>
        <v/>
      </c>
      <c r="H1298" t="str">
        <f t="shared" si="126"/>
        <v/>
      </c>
    </row>
    <row r="1299" spans="1:8" x14ac:dyDescent="0.25">
      <c r="A1299" t="s">
        <v>1329</v>
      </c>
      <c r="B1299" s="3">
        <f t="shared" si="127"/>
        <v>31</v>
      </c>
      <c r="C1299" s="3" t="str">
        <f t="shared" si="122"/>
        <v/>
      </c>
      <c r="D1299" s="3">
        <f t="shared" si="123"/>
        <v>150</v>
      </c>
      <c r="E1299" s="5" t="str">
        <f>IF(C1299="",IF(D1299="","",IF(D1299&lt;128,"Wahl "&amp;D1299,INDEX(KdoCodeTab,MATCH(D1299,KdoWertTab,0)))),"Status "&amp;C1299)</f>
        <v>SpaceWdh</v>
      </c>
      <c r="F1299" t="str">
        <f t="shared" si="124"/>
        <v>SpaceWdh</v>
      </c>
      <c r="G1299" t="str">
        <f t="shared" si="125"/>
        <v/>
      </c>
      <c r="H1299" t="str">
        <f t="shared" si="126"/>
        <v/>
      </c>
    </row>
    <row r="1300" spans="1:8" x14ac:dyDescent="0.25">
      <c r="A1300" t="s">
        <v>1330</v>
      </c>
      <c r="B1300" s="3">
        <f t="shared" si="127"/>
        <v>31</v>
      </c>
      <c r="C1300" s="3" t="str">
        <f t="shared" si="122"/>
        <v/>
      </c>
      <c r="D1300" s="3">
        <f t="shared" si="123"/>
        <v>156</v>
      </c>
      <c r="E1300" s="5" t="str">
        <f>IF(C1300="",IF(D1300="","",IF(D1300&lt;128,"Wahl "&amp;D1300,INDEX(KdoCodeTab,MATCH(D1300,KdoWertTab,0)))),"Status "&amp;C1300)</f>
        <v>Mark</v>
      </c>
      <c r="F1300" t="str">
        <f t="shared" si="124"/>
        <v>Mark</v>
      </c>
      <c r="G1300" t="str">
        <f t="shared" si="125"/>
        <v/>
      </c>
      <c r="H1300" t="str">
        <f t="shared" si="126"/>
        <v/>
      </c>
    </row>
    <row r="1301" spans="1:8" x14ac:dyDescent="0.25">
      <c r="A1301" t="s">
        <v>1331</v>
      </c>
      <c r="B1301" s="3">
        <f t="shared" si="127"/>
        <v>31</v>
      </c>
      <c r="C1301" s="3" t="str">
        <f t="shared" si="122"/>
        <v/>
      </c>
      <c r="D1301" s="3">
        <f t="shared" si="123"/>
        <v>154</v>
      </c>
      <c r="E1301" s="5" t="str">
        <f>IF(C1301="",IF(D1301="","",IF(D1301&lt;128,"Wahl "&amp;D1301,INDEX(KdoCodeTab,MATCH(D1301,KdoWertTab,0)))),"Status "&amp;C1301)</f>
        <v>MarkWdh</v>
      </c>
      <c r="F1301" t="str">
        <f t="shared" si="124"/>
        <v>MarkWdh</v>
      </c>
      <c r="G1301" t="str">
        <f t="shared" si="125"/>
        <v/>
      </c>
      <c r="H1301" t="str">
        <f t="shared" si="126"/>
        <v/>
      </c>
    </row>
    <row r="1302" spans="1:8" x14ac:dyDescent="0.25">
      <c r="A1302" t="s">
        <v>1332</v>
      </c>
      <c r="B1302" s="3">
        <f t="shared" si="127"/>
        <v>31</v>
      </c>
      <c r="C1302" s="3" t="str">
        <f t="shared" si="122"/>
        <v/>
      </c>
      <c r="D1302" s="3">
        <f t="shared" si="123"/>
        <v>147</v>
      </c>
      <c r="E1302" s="5" t="str">
        <f>IF(C1302="",IF(D1302="","",IF(D1302&lt;128,"Wahl "&amp;D1302,INDEX(KdoCodeTab,MATCH(D1302,KdoWertTab,0)))),"Status "&amp;C1302)</f>
        <v>Space</v>
      </c>
      <c r="F1302" t="str">
        <f t="shared" si="124"/>
        <v>Space</v>
      </c>
      <c r="G1302" t="str">
        <f t="shared" si="125"/>
        <v/>
      </c>
      <c r="H1302" t="str">
        <f t="shared" si="126"/>
        <v/>
      </c>
    </row>
    <row r="1303" spans="1:8" x14ac:dyDescent="0.25">
      <c r="A1303" t="s">
        <v>1333</v>
      </c>
      <c r="B1303" s="3">
        <f t="shared" si="127"/>
        <v>31</v>
      </c>
      <c r="C1303" s="3" t="str">
        <f t="shared" si="122"/>
        <v/>
      </c>
      <c r="D1303" s="3">
        <f t="shared" si="123"/>
        <v>150</v>
      </c>
      <c r="E1303" s="5" t="str">
        <f>IF(C1303="",IF(D1303="","",IF(D1303&lt;128,"Wahl "&amp;D1303,INDEX(KdoCodeTab,MATCH(D1303,KdoWertTab,0)))),"Status "&amp;C1303)</f>
        <v>SpaceWdh</v>
      </c>
      <c r="F1303" t="str">
        <f t="shared" si="124"/>
        <v>SpaceWdh</v>
      </c>
      <c r="G1303" t="str">
        <f t="shared" si="125"/>
        <v/>
      </c>
      <c r="H1303" t="str">
        <f t="shared" si="126"/>
        <v/>
      </c>
    </row>
    <row r="1304" spans="1:8" x14ac:dyDescent="0.25">
      <c r="A1304" t="s">
        <v>1334</v>
      </c>
      <c r="B1304" s="3">
        <f t="shared" si="127"/>
        <v>101</v>
      </c>
      <c r="C1304" s="3" t="str">
        <f t="shared" si="122"/>
        <v/>
      </c>
      <c r="D1304" s="3">
        <f t="shared" si="123"/>
        <v>169</v>
      </c>
      <c r="E1304" s="5" t="str">
        <f>IF(C1304="",IF(D1304="","",IF(D1304&lt;128,"Wahl "&amp;D1304,INDEX(KdoCodeTab,MATCH(D1304,KdoWertTab,0)))),"Status "&amp;C1304)</f>
        <v>BusLebenszeichen</v>
      </c>
      <c r="F1304" t="str">
        <f t="shared" si="124"/>
        <v/>
      </c>
      <c r="G1304" t="str">
        <f t="shared" si="125"/>
        <v/>
      </c>
      <c r="H1304" t="str">
        <f t="shared" si="126"/>
        <v>BusLebenszeichen</v>
      </c>
    </row>
    <row r="1305" spans="1:8" x14ac:dyDescent="0.25">
      <c r="A1305" t="s">
        <v>1335</v>
      </c>
      <c r="B1305" s="3">
        <f t="shared" si="127"/>
        <v>31</v>
      </c>
      <c r="C1305" s="3" t="str">
        <f t="shared" si="122"/>
        <v/>
      </c>
      <c r="D1305" s="3">
        <f t="shared" si="123"/>
        <v>156</v>
      </c>
      <c r="E1305" s="5" t="str">
        <f>IF(C1305="",IF(D1305="","",IF(D1305&lt;128,"Wahl "&amp;D1305,INDEX(KdoCodeTab,MATCH(D1305,KdoWertTab,0)))),"Status "&amp;C1305)</f>
        <v>Mark</v>
      </c>
      <c r="F1305" t="str">
        <f t="shared" si="124"/>
        <v>Mark</v>
      </c>
      <c r="G1305" t="str">
        <f t="shared" si="125"/>
        <v/>
      </c>
      <c r="H1305" t="str">
        <f t="shared" si="126"/>
        <v/>
      </c>
    </row>
    <row r="1306" spans="1:8" x14ac:dyDescent="0.25">
      <c r="A1306" t="s">
        <v>1336</v>
      </c>
      <c r="B1306" s="3">
        <f t="shared" si="127"/>
        <v>31</v>
      </c>
      <c r="C1306" s="3" t="str">
        <f t="shared" si="122"/>
        <v/>
      </c>
      <c r="D1306" s="3">
        <f t="shared" si="123"/>
        <v>154</v>
      </c>
      <c r="E1306" s="5" t="str">
        <f>IF(C1306="",IF(D1306="","",IF(D1306&lt;128,"Wahl "&amp;D1306,INDEX(KdoCodeTab,MATCH(D1306,KdoWertTab,0)))),"Status "&amp;C1306)</f>
        <v>MarkWdh</v>
      </c>
      <c r="F1306" t="str">
        <f t="shared" si="124"/>
        <v>MarkWdh</v>
      </c>
      <c r="G1306" t="str">
        <f t="shared" si="125"/>
        <v/>
      </c>
      <c r="H1306" t="str">
        <f t="shared" si="126"/>
        <v/>
      </c>
    </row>
    <row r="1307" spans="1:8" x14ac:dyDescent="0.25">
      <c r="A1307" t="s">
        <v>1337</v>
      </c>
      <c r="B1307" s="3">
        <f t="shared" si="127"/>
        <v>31</v>
      </c>
      <c r="C1307" s="3" t="str">
        <f t="shared" si="122"/>
        <v/>
      </c>
      <c r="D1307" s="3">
        <f t="shared" si="123"/>
        <v>147</v>
      </c>
      <c r="E1307" s="5" t="str">
        <f>IF(C1307="",IF(D1307="","",IF(D1307&lt;128,"Wahl "&amp;D1307,INDEX(KdoCodeTab,MATCH(D1307,KdoWertTab,0)))),"Status "&amp;C1307)</f>
        <v>Space</v>
      </c>
      <c r="F1307" t="str">
        <f t="shared" si="124"/>
        <v>Space</v>
      </c>
      <c r="G1307" t="str">
        <f t="shared" si="125"/>
        <v/>
      </c>
      <c r="H1307" t="str">
        <f t="shared" si="126"/>
        <v/>
      </c>
    </row>
    <row r="1308" spans="1:8" x14ac:dyDescent="0.25">
      <c r="A1308" t="s">
        <v>1338</v>
      </c>
      <c r="B1308" s="3">
        <f t="shared" si="127"/>
        <v>31</v>
      </c>
      <c r="C1308" s="3" t="str">
        <f t="shared" si="122"/>
        <v/>
      </c>
      <c r="D1308" s="3">
        <f t="shared" si="123"/>
        <v>150</v>
      </c>
      <c r="E1308" s="5" t="str">
        <f>IF(C1308="",IF(D1308="","",IF(D1308&lt;128,"Wahl "&amp;D1308,INDEX(KdoCodeTab,MATCH(D1308,KdoWertTab,0)))),"Status "&amp;C1308)</f>
        <v>SpaceWdh</v>
      </c>
      <c r="F1308" t="str">
        <f t="shared" si="124"/>
        <v>SpaceWdh</v>
      </c>
      <c r="G1308" t="str">
        <f t="shared" si="125"/>
        <v/>
      </c>
      <c r="H1308" t="str">
        <f t="shared" si="126"/>
        <v/>
      </c>
    </row>
    <row r="1309" spans="1:8" x14ac:dyDescent="0.25">
      <c r="A1309" t="s">
        <v>1339</v>
      </c>
      <c r="B1309" s="3">
        <f t="shared" si="127"/>
        <v>31</v>
      </c>
      <c r="C1309" s="3" t="str">
        <f t="shared" si="122"/>
        <v/>
      </c>
      <c r="D1309" s="3">
        <f t="shared" si="123"/>
        <v>156</v>
      </c>
      <c r="E1309" s="5" t="str">
        <f>IF(C1309="",IF(D1309="","",IF(D1309&lt;128,"Wahl "&amp;D1309,INDEX(KdoCodeTab,MATCH(D1309,KdoWertTab,0)))),"Status "&amp;C1309)</f>
        <v>Mark</v>
      </c>
      <c r="F1309" t="str">
        <f t="shared" si="124"/>
        <v>Mark</v>
      </c>
      <c r="G1309" t="str">
        <f t="shared" si="125"/>
        <v/>
      </c>
      <c r="H1309" t="str">
        <f t="shared" si="126"/>
        <v/>
      </c>
    </row>
    <row r="1310" spans="1:8" x14ac:dyDescent="0.25">
      <c r="A1310" t="s">
        <v>1340</v>
      </c>
      <c r="B1310" s="3">
        <f t="shared" si="127"/>
        <v>31</v>
      </c>
      <c r="C1310" s="3" t="str">
        <f t="shared" si="122"/>
        <v/>
      </c>
      <c r="D1310" s="3">
        <f t="shared" si="123"/>
        <v>154</v>
      </c>
      <c r="E1310" s="5" t="str">
        <f>IF(C1310="",IF(D1310="","",IF(D1310&lt;128,"Wahl "&amp;D1310,INDEX(KdoCodeTab,MATCH(D1310,KdoWertTab,0)))),"Status "&amp;C1310)</f>
        <v>MarkWdh</v>
      </c>
      <c r="F1310" t="str">
        <f t="shared" si="124"/>
        <v>MarkWdh</v>
      </c>
      <c r="G1310" t="str">
        <f t="shared" si="125"/>
        <v/>
      </c>
      <c r="H1310" t="str">
        <f t="shared" si="126"/>
        <v/>
      </c>
    </row>
    <row r="1311" spans="1:8" x14ac:dyDescent="0.25">
      <c r="A1311" t="s">
        <v>1341</v>
      </c>
      <c r="B1311" s="3">
        <f t="shared" si="127"/>
        <v>31</v>
      </c>
      <c r="C1311" s="3" t="str">
        <f t="shared" si="122"/>
        <v/>
      </c>
      <c r="D1311" s="3">
        <f t="shared" si="123"/>
        <v>154</v>
      </c>
      <c r="E1311" s="5" t="str">
        <f>IF(C1311="",IF(D1311="","",IF(D1311&lt;128,"Wahl "&amp;D1311,INDEX(KdoCodeTab,MATCH(D1311,KdoWertTab,0)))),"Status "&amp;C1311)</f>
        <v>MarkWdh</v>
      </c>
      <c r="F1311" t="str">
        <f t="shared" si="124"/>
        <v>MarkWdh</v>
      </c>
      <c r="G1311" t="str">
        <f t="shared" si="125"/>
        <v/>
      </c>
      <c r="H1311" t="str">
        <f t="shared" si="126"/>
        <v/>
      </c>
    </row>
    <row r="1312" spans="1:8" x14ac:dyDescent="0.25">
      <c r="A1312" t="s">
        <v>1342</v>
      </c>
      <c r="B1312" s="3">
        <f t="shared" si="127"/>
        <v>101</v>
      </c>
      <c r="C1312" s="3" t="str">
        <f t="shared" si="122"/>
        <v/>
      </c>
      <c r="D1312" s="3">
        <f t="shared" si="123"/>
        <v>169</v>
      </c>
      <c r="E1312" s="5" t="str">
        <f>IF(C1312="",IF(D1312="","",IF(D1312&lt;128,"Wahl "&amp;D1312,INDEX(KdoCodeTab,MATCH(D1312,KdoWertTab,0)))),"Status "&amp;C1312)</f>
        <v>BusLebenszeichen</v>
      </c>
      <c r="F1312" t="str">
        <f t="shared" si="124"/>
        <v/>
      </c>
      <c r="G1312" t="str">
        <f t="shared" si="125"/>
        <v/>
      </c>
      <c r="H1312" t="str">
        <f t="shared" si="126"/>
        <v>BusLebenszeichen</v>
      </c>
    </row>
    <row r="1313" spans="1:8" x14ac:dyDescent="0.25">
      <c r="A1313" t="s">
        <v>1343</v>
      </c>
      <c r="B1313" s="3">
        <f t="shared" si="127"/>
        <v>101</v>
      </c>
      <c r="C1313" s="3" t="str">
        <f t="shared" si="122"/>
        <v/>
      </c>
      <c r="D1313" s="3">
        <f t="shared" si="123"/>
        <v>147</v>
      </c>
      <c r="E1313" s="5" t="str">
        <f>IF(C1313="",IF(D1313="","",IF(D1313&lt;128,"Wahl "&amp;D1313,INDEX(KdoCodeTab,MATCH(D1313,KdoWertTab,0)))),"Status "&amp;C1313)</f>
        <v>Space</v>
      </c>
      <c r="F1313" t="str">
        <f t="shared" si="124"/>
        <v/>
      </c>
      <c r="G1313" t="str">
        <f t="shared" si="125"/>
        <v/>
      </c>
      <c r="H1313" t="str">
        <f t="shared" si="126"/>
        <v>Space</v>
      </c>
    </row>
    <row r="1314" spans="1:8" x14ac:dyDescent="0.25">
      <c r="A1314" t="s">
        <v>1344</v>
      </c>
      <c r="B1314" s="3">
        <f t="shared" si="127"/>
        <v>101</v>
      </c>
      <c r="C1314" s="3" t="str">
        <f t="shared" si="122"/>
        <v/>
      </c>
      <c r="D1314" s="3">
        <f t="shared" si="123"/>
        <v>150</v>
      </c>
      <c r="E1314" s="5" t="str">
        <f>IF(C1314="",IF(D1314="","",IF(D1314&lt;128,"Wahl "&amp;D1314,INDEX(KdoCodeTab,MATCH(D1314,KdoWertTab,0)))),"Status "&amp;C1314)</f>
        <v>SpaceWdh</v>
      </c>
      <c r="F1314" t="str">
        <f t="shared" si="124"/>
        <v/>
      </c>
      <c r="G1314" t="str">
        <f t="shared" si="125"/>
        <v/>
      </c>
      <c r="H1314" t="str">
        <f t="shared" si="126"/>
        <v>SpaceWdh</v>
      </c>
    </row>
    <row r="1315" spans="1:8" x14ac:dyDescent="0.25">
      <c r="A1315" t="s">
        <v>1345</v>
      </c>
      <c r="B1315" s="3">
        <f t="shared" si="127"/>
        <v>101</v>
      </c>
      <c r="C1315" s="3" t="str">
        <f t="shared" si="122"/>
        <v/>
      </c>
      <c r="D1315" s="3">
        <f t="shared" si="123"/>
        <v>156</v>
      </c>
      <c r="E1315" s="5" t="str">
        <f>IF(C1315="",IF(D1315="","",IF(D1315&lt;128,"Wahl "&amp;D1315,INDEX(KdoCodeTab,MATCH(D1315,KdoWertTab,0)))),"Status "&amp;C1315)</f>
        <v>Mark</v>
      </c>
      <c r="F1315" t="str">
        <f t="shared" si="124"/>
        <v/>
      </c>
      <c r="G1315" t="str">
        <f t="shared" si="125"/>
        <v/>
      </c>
      <c r="H1315" t="str">
        <f t="shared" si="126"/>
        <v>Mark</v>
      </c>
    </row>
    <row r="1316" spans="1:8" x14ac:dyDescent="0.25">
      <c r="A1316" t="s">
        <v>1346</v>
      </c>
      <c r="B1316" s="3">
        <f t="shared" si="127"/>
        <v>101</v>
      </c>
      <c r="C1316" s="3" t="str">
        <f t="shared" si="122"/>
        <v/>
      </c>
      <c r="D1316" s="3">
        <f t="shared" si="123"/>
        <v>154</v>
      </c>
      <c r="E1316" s="5" t="str">
        <f>IF(C1316="",IF(D1316="","",IF(D1316&lt;128,"Wahl "&amp;D1316,INDEX(KdoCodeTab,MATCH(D1316,KdoWertTab,0)))),"Status "&amp;C1316)</f>
        <v>MarkWdh</v>
      </c>
      <c r="F1316" t="str">
        <f t="shared" si="124"/>
        <v/>
      </c>
      <c r="G1316" t="str">
        <f t="shared" si="125"/>
        <v/>
      </c>
      <c r="H1316" t="str">
        <f t="shared" si="126"/>
        <v>MarkWdh</v>
      </c>
    </row>
    <row r="1317" spans="1:8" x14ac:dyDescent="0.25">
      <c r="A1317" t="s">
        <v>1347</v>
      </c>
      <c r="B1317" s="3">
        <f t="shared" si="127"/>
        <v>101</v>
      </c>
      <c r="C1317" s="3" t="str">
        <f t="shared" si="122"/>
        <v/>
      </c>
      <c r="D1317" s="3">
        <f t="shared" si="123"/>
        <v>147</v>
      </c>
      <c r="E1317" s="5" t="str">
        <f>IF(C1317="",IF(D1317="","",IF(D1317&lt;128,"Wahl "&amp;D1317,INDEX(KdoCodeTab,MATCH(D1317,KdoWertTab,0)))),"Status "&amp;C1317)</f>
        <v>Space</v>
      </c>
      <c r="F1317" t="str">
        <f t="shared" si="124"/>
        <v/>
      </c>
      <c r="G1317" t="str">
        <f t="shared" si="125"/>
        <v/>
      </c>
      <c r="H1317" t="str">
        <f t="shared" si="126"/>
        <v>Space</v>
      </c>
    </row>
    <row r="1318" spans="1:8" x14ac:dyDescent="0.25">
      <c r="A1318" t="s">
        <v>1348</v>
      </c>
      <c r="B1318" s="3">
        <f t="shared" si="127"/>
        <v>101</v>
      </c>
      <c r="C1318" s="3" t="str">
        <f t="shared" si="122"/>
        <v/>
      </c>
      <c r="D1318" s="3">
        <f t="shared" si="123"/>
        <v>150</v>
      </c>
      <c r="E1318" s="5" t="str">
        <f>IF(C1318="",IF(D1318="","",IF(D1318&lt;128,"Wahl "&amp;D1318,INDEX(KdoCodeTab,MATCH(D1318,KdoWertTab,0)))),"Status "&amp;C1318)</f>
        <v>SpaceWdh</v>
      </c>
      <c r="F1318" t="str">
        <f t="shared" si="124"/>
        <v/>
      </c>
      <c r="G1318" t="str">
        <f t="shared" si="125"/>
        <v/>
      </c>
      <c r="H1318" t="str">
        <f t="shared" si="126"/>
        <v>SpaceWdh</v>
      </c>
    </row>
    <row r="1319" spans="1:8" x14ac:dyDescent="0.25">
      <c r="A1319" t="s">
        <v>1349</v>
      </c>
      <c r="B1319" s="3">
        <f t="shared" si="127"/>
        <v>101</v>
      </c>
      <c r="C1319" s="3" t="str">
        <f t="shared" si="122"/>
        <v/>
      </c>
      <c r="D1319" s="3">
        <f t="shared" si="123"/>
        <v>156</v>
      </c>
      <c r="E1319" s="5" t="str">
        <f>IF(C1319="",IF(D1319="","",IF(D1319&lt;128,"Wahl "&amp;D1319,INDEX(KdoCodeTab,MATCH(D1319,KdoWertTab,0)))),"Status "&amp;C1319)</f>
        <v>Mark</v>
      </c>
      <c r="F1319" t="str">
        <f t="shared" si="124"/>
        <v/>
      </c>
      <c r="G1319" t="str">
        <f t="shared" si="125"/>
        <v/>
      </c>
      <c r="H1319" t="str">
        <f t="shared" si="126"/>
        <v>Mark</v>
      </c>
    </row>
    <row r="1320" spans="1:8" x14ac:dyDescent="0.25">
      <c r="A1320" t="s">
        <v>1350</v>
      </c>
      <c r="B1320" s="3">
        <f t="shared" si="127"/>
        <v>101</v>
      </c>
      <c r="C1320" s="3" t="str">
        <f t="shared" si="122"/>
        <v/>
      </c>
      <c r="D1320" s="3">
        <f t="shared" si="123"/>
        <v>154</v>
      </c>
      <c r="E1320" s="5" t="str">
        <f>IF(C1320="",IF(D1320="","",IF(D1320&lt;128,"Wahl "&amp;D1320,INDEX(KdoCodeTab,MATCH(D1320,KdoWertTab,0)))),"Status "&amp;C1320)</f>
        <v>MarkWdh</v>
      </c>
      <c r="F1320" t="str">
        <f t="shared" si="124"/>
        <v/>
      </c>
      <c r="G1320" t="str">
        <f t="shared" si="125"/>
        <v/>
      </c>
      <c r="H1320" t="str">
        <f t="shared" si="126"/>
        <v>MarkWdh</v>
      </c>
    </row>
    <row r="1321" spans="1:8" x14ac:dyDescent="0.25">
      <c r="A1321" t="s">
        <v>1351</v>
      </c>
      <c r="B1321" s="3">
        <f t="shared" si="127"/>
        <v>31</v>
      </c>
      <c r="C1321" s="3" t="str">
        <f t="shared" si="122"/>
        <v/>
      </c>
      <c r="D1321" s="3">
        <f t="shared" si="123"/>
        <v>154</v>
      </c>
      <c r="E1321" s="5" t="str">
        <f>IF(C1321="",IF(D1321="","",IF(D1321&lt;128,"Wahl "&amp;D1321,INDEX(KdoCodeTab,MATCH(D1321,KdoWertTab,0)))),"Status "&amp;C1321)</f>
        <v>MarkWdh</v>
      </c>
      <c r="F1321" t="str">
        <f t="shared" si="124"/>
        <v>MarkWdh</v>
      </c>
      <c r="G1321" t="str">
        <f t="shared" si="125"/>
        <v/>
      </c>
      <c r="H1321" t="str">
        <f t="shared" si="126"/>
        <v/>
      </c>
    </row>
    <row r="1322" spans="1:8" x14ac:dyDescent="0.25">
      <c r="A1322" t="s">
        <v>1352</v>
      </c>
      <c r="B1322" s="3">
        <f t="shared" si="127"/>
        <v>101</v>
      </c>
      <c r="C1322" s="3" t="str">
        <f t="shared" si="122"/>
        <v/>
      </c>
      <c r="D1322" s="3">
        <f t="shared" si="123"/>
        <v>147</v>
      </c>
      <c r="E1322" s="5" t="str">
        <f>IF(C1322="",IF(D1322="","",IF(D1322&lt;128,"Wahl "&amp;D1322,INDEX(KdoCodeTab,MATCH(D1322,KdoWertTab,0)))),"Status "&amp;C1322)</f>
        <v>Space</v>
      </c>
      <c r="F1322" t="str">
        <f t="shared" si="124"/>
        <v/>
      </c>
      <c r="G1322" t="str">
        <f t="shared" si="125"/>
        <v/>
      </c>
      <c r="H1322" t="str">
        <f t="shared" si="126"/>
        <v>Space</v>
      </c>
    </row>
    <row r="1323" spans="1:8" x14ac:dyDescent="0.25">
      <c r="A1323" t="s">
        <v>1353</v>
      </c>
      <c r="B1323" s="3">
        <f t="shared" si="127"/>
        <v>101</v>
      </c>
      <c r="C1323" s="3" t="str">
        <f t="shared" si="122"/>
        <v/>
      </c>
      <c r="D1323" s="3">
        <f t="shared" si="123"/>
        <v>150</v>
      </c>
      <c r="E1323" s="5" t="str">
        <f>IF(C1323="",IF(D1323="","",IF(D1323&lt;128,"Wahl "&amp;D1323,INDEX(KdoCodeTab,MATCH(D1323,KdoWertTab,0)))),"Status "&amp;C1323)</f>
        <v>SpaceWdh</v>
      </c>
      <c r="F1323" t="str">
        <f t="shared" si="124"/>
        <v/>
      </c>
      <c r="G1323" t="str">
        <f t="shared" si="125"/>
        <v/>
      </c>
      <c r="H1323" t="str">
        <f t="shared" si="126"/>
        <v>SpaceWdh</v>
      </c>
    </row>
    <row r="1324" spans="1:8" x14ac:dyDescent="0.25">
      <c r="A1324" t="s">
        <v>1354</v>
      </c>
      <c r="B1324" s="3">
        <f t="shared" si="127"/>
        <v>101</v>
      </c>
      <c r="C1324" s="3" t="str">
        <f t="shared" si="122"/>
        <v/>
      </c>
      <c r="D1324" s="3">
        <f t="shared" si="123"/>
        <v>156</v>
      </c>
      <c r="E1324" s="5" t="str">
        <f>IF(C1324="",IF(D1324="","",IF(D1324&lt;128,"Wahl "&amp;D1324,INDEX(KdoCodeTab,MATCH(D1324,KdoWertTab,0)))),"Status "&amp;C1324)</f>
        <v>Mark</v>
      </c>
      <c r="F1324" t="str">
        <f t="shared" si="124"/>
        <v/>
      </c>
      <c r="G1324" t="str">
        <f t="shared" si="125"/>
        <v/>
      </c>
      <c r="H1324" t="str">
        <f t="shared" si="126"/>
        <v>Mark</v>
      </c>
    </row>
    <row r="1325" spans="1:8" x14ac:dyDescent="0.25">
      <c r="A1325" t="s">
        <v>1355</v>
      </c>
      <c r="B1325" s="3">
        <f t="shared" si="127"/>
        <v>101</v>
      </c>
      <c r="C1325" s="3" t="str">
        <f t="shared" si="122"/>
        <v/>
      </c>
      <c r="D1325" s="3">
        <f t="shared" si="123"/>
        <v>154</v>
      </c>
      <c r="E1325" s="5" t="str">
        <f>IF(C1325="",IF(D1325="","",IF(D1325&lt;128,"Wahl "&amp;D1325,INDEX(KdoCodeTab,MATCH(D1325,KdoWertTab,0)))),"Status "&amp;C1325)</f>
        <v>MarkWdh</v>
      </c>
      <c r="F1325" t="str">
        <f t="shared" si="124"/>
        <v/>
      </c>
      <c r="G1325" t="str">
        <f t="shared" si="125"/>
        <v/>
      </c>
      <c r="H1325" t="str">
        <f t="shared" si="126"/>
        <v>MarkWdh</v>
      </c>
    </row>
    <row r="1326" spans="1:8" x14ac:dyDescent="0.25">
      <c r="A1326" t="s">
        <v>1356</v>
      </c>
      <c r="B1326" s="3">
        <f t="shared" si="127"/>
        <v>101</v>
      </c>
      <c r="C1326" s="3" t="str">
        <f t="shared" si="122"/>
        <v/>
      </c>
      <c r="D1326" s="3">
        <f t="shared" si="123"/>
        <v>147</v>
      </c>
      <c r="E1326" s="5" t="str">
        <f>IF(C1326="",IF(D1326="","",IF(D1326&lt;128,"Wahl "&amp;D1326,INDEX(KdoCodeTab,MATCH(D1326,KdoWertTab,0)))),"Status "&amp;C1326)</f>
        <v>Space</v>
      </c>
      <c r="F1326" t="str">
        <f t="shared" si="124"/>
        <v/>
      </c>
      <c r="G1326" t="str">
        <f t="shared" si="125"/>
        <v/>
      </c>
      <c r="H1326" t="str">
        <f t="shared" si="126"/>
        <v>Space</v>
      </c>
    </row>
    <row r="1327" spans="1:8" x14ac:dyDescent="0.25">
      <c r="A1327" t="s">
        <v>1357</v>
      </c>
      <c r="B1327" s="3">
        <f t="shared" si="127"/>
        <v>101</v>
      </c>
      <c r="C1327" s="3" t="str">
        <f t="shared" si="122"/>
        <v/>
      </c>
      <c r="D1327" s="3">
        <f t="shared" si="123"/>
        <v>150</v>
      </c>
      <c r="E1327" s="5" t="str">
        <f>IF(C1327="",IF(D1327="","",IF(D1327&lt;128,"Wahl "&amp;D1327,INDEX(KdoCodeTab,MATCH(D1327,KdoWertTab,0)))),"Status "&amp;C1327)</f>
        <v>SpaceWdh</v>
      </c>
      <c r="F1327" t="str">
        <f t="shared" si="124"/>
        <v/>
      </c>
      <c r="G1327" t="str">
        <f t="shared" si="125"/>
        <v/>
      </c>
      <c r="H1327" t="str">
        <f t="shared" si="126"/>
        <v>SpaceWdh</v>
      </c>
    </row>
    <row r="1328" spans="1:8" x14ac:dyDescent="0.25">
      <c r="A1328" t="s">
        <v>1358</v>
      </c>
      <c r="B1328" s="3">
        <f t="shared" si="127"/>
        <v>101</v>
      </c>
      <c r="C1328" s="3" t="str">
        <f t="shared" si="122"/>
        <v/>
      </c>
      <c r="D1328" s="3">
        <f t="shared" si="123"/>
        <v>156</v>
      </c>
      <c r="E1328" s="5" t="str">
        <f>IF(C1328="",IF(D1328="","",IF(D1328&lt;128,"Wahl "&amp;D1328,INDEX(KdoCodeTab,MATCH(D1328,KdoWertTab,0)))),"Status "&amp;C1328)</f>
        <v>Mark</v>
      </c>
      <c r="F1328" t="str">
        <f t="shared" si="124"/>
        <v/>
      </c>
      <c r="G1328" t="str">
        <f t="shared" si="125"/>
        <v/>
      </c>
      <c r="H1328" t="str">
        <f t="shared" si="126"/>
        <v>Mark</v>
      </c>
    </row>
    <row r="1329" spans="1:8" x14ac:dyDescent="0.25">
      <c r="A1329" t="s">
        <v>1359</v>
      </c>
      <c r="B1329" s="3">
        <f t="shared" si="127"/>
        <v>101</v>
      </c>
      <c r="C1329" s="3" t="str">
        <f t="shared" si="122"/>
        <v/>
      </c>
      <c r="D1329" s="3">
        <f t="shared" si="123"/>
        <v>154</v>
      </c>
      <c r="E1329" s="5" t="str">
        <f>IF(C1329="",IF(D1329="","",IF(D1329&lt;128,"Wahl "&amp;D1329,INDEX(KdoCodeTab,MATCH(D1329,KdoWertTab,0)))),"Status "&amp;C1329)</f>
        <v>MarkWdh</v>
      </c>
      <c r="F1329" t="str">
        <f t="shared" si="124"/>
        <v/>
      </c>
      <c r="G1329" t="str">
        <f t="shared" si="125"/>
        <v/>
      </c>
      <c r="H1329" t="str">
        <f t="shared" si="126"/>
        <v>MarkWdh</v>
      </c>
    </row>
    <row r="1330" spans="1:8" x14ac:dyDescent="0.25">
      <c r="A1330" t="s">
        <v>1360</v>
      </c>
      <c r="B1330" s="3">
        <f t="shared" si="127"/>
        <v>101</v>
      </c>
      <c r="C1330" s="3" t="str">
        <f t="shared" si="122"/>
        <v/>
      </c>
      <c r="D1330" s="3">
        <f t="shared" si="123"/>
        <v>147</v>
      </c>
      <c r="E1330" s="5" t="str">
        <f>IF(C1330="",IF(D1330="","",IF(D1330&lt;128,"Wahl "&amp;D1330,INDEX(KdoCodeTab,MATCH(D1330,KdoWertTab,0)))),"Status "&amp;C1330)</f>
        <v>Space</v>
      </c>
      <c r="F1330" t="str">
        <f t="shared" si="124"/>
        <v/>
      </c>
      <c r="G1330" t="str">
        <f t="shared" si="125"/>
        <v/>
      </c>
      <c r="H1330" t="str">
        <f t="shared" si="126"/>
        <v>Space</v>
      </c>
    </row>
    <row r="1331" spans="1:8" x14ac:dyDescent="0.25">
      <c r="A1331" t="s">
        <v>1361</v>
      </c>
      <c r="B1331" s="3">
        <f t="shared" si="127"/>
        <v>101</v>
      </c>
      <c r="C1331" s="3" t="str">
        <f t="shared" si="122"/>
        <v/>
      </c>
      <c r="D1331" s="3">
        <f t="shared" si="123"/>
        <v>150</v>
      </c>
      <c r="E1331" s="5" t="str">
        <f>IF(C1331="",IF(D1331="","",IF(D1331&lt;128,"Wahl "&amp;D1331,INDEX(KdoCodeTab,MATCH(D1331,KdoWertTab,0)))),"Status "&amp;C1331)</f>
        <v>SpaceWdh</v>
      </c>
      <c r="F1331" t="str">
        <f t="shared" si="124"/>
        <v/>
      </c>
      <c r="G1331" t="str">
        <f t="shared" si="125"/>
        <v/>
      </c>
      <c r="H1331" t="str">
        <f t="shared" si="126"/>
        <v>SpaceWdh</v>
      </c>
    </row>
    <row r="1332" spans="1:8" x14ac:dyDescent="0.25">
      <c r="A1332" t="s">
        <v>1362</v>
      </c>
      <c r="B1332" s="3">
        <f t="shared" si="127"/>
        <v>101</v>
      </c>
      <c r="C1332" s="3" t="str">
        <f t="shared" si="122"/>
        <v/>
      </c>
      <c r="D1332" s="3">
        <f t="shared" si="123"/>
        <v>156</v>
      </c>
      <c r="E1332" s="5" t="str">
        <f>IF(C1332="",IF(D1332="","",IF(D1332&lt;128,"Wahl "&amp;D1332,INDEX(KdoCodeTab,MATCH(D1332,KdoWertTab,0)))),"Status "&amp;C1332)</f>
        <v>Mark</v>
      </c>
      <c r="F1332" t="str">
        <f t="shared" si="124"/>
        <v/>
      </c>
      <c r="G1332" t="str">
        <f t="shared" si="125"/>
        <v/>
      </c>
      <c r="H1332" t="str">
        <f t="shared" si="126"/>
        <v>Mark</v>
      </c>
    </row>
    <row r="1333" spans="1:8" x14ac:dyDescent="0.25">
      <c r="A1333" t="s">
        <v>1363</v>
      </c>
      <c r="B1333" s="3">
        <f t="shared" si="127"/>
        <v>101</v>
      </c>
      <c r="C1333" s="3" t="str">
        <f t="shared" si="122"/>
        <v/>
      </c>
      <c r="D1333" s="3">
        <f t="shared" si="123"/>
        <v>154</v>
      </c>
      <c r="E1333" s="5" t="str">
        <f>IF(C1333="",IF(D1333="","",IF(D1333&lt;128,"Wahl "&amp;D1333,INDEX(KdoCodeTab,MATCH(D1333,KdoWertTab,0)))),"Status "&amp;C1333)</f>
        <v>MarkWdh</v>
      </c>
      <c r="F1333" t="str">
        <f t="shared" si="124"/>
        <v/>
      </c>
      <c r="G1333" t="str">
        <f t="shared" si="125"/>
        <v/>
      </c>
      <c r="H1333" t="str">
        <f t="shared" si="126"/>
        <v>MarkWdh</v>
      </c>
    </row>
    <row r="1334" spans="1:8" x14ac:dyDescent="0.25">
      <c r="A1334" t="s">
        <v>1364</v>
      </c>
      <c r="B1334" s="3">
        <f t="shared" si="127"/>
        <v>101</v>
      </c>
      <c r="C1334" s="3" t="str">
        <f t="shared" si="122"/>
        <v/>
      </c>
      <c r="D1334" s="3">
        <f t="shared" si="123"/>
        <v>147</v>
      </c>
      <c r="E1334" s="5" t="str">
        <f>IF(C1334="",IF(D1334="","",IF(D1334&lt;128,"Wahl "&amp;D1334,INDEX(KdoCodeTab,MATCH(D1334,KdoWertTab,0)))),"Status "&amp;C1334)</f>
        <v>Space</v>
      </c>
      <c r="F1334" t="str">
        <f t="shared" si="124"/>
        <v/>
      </c>
      <c r="G1334" t="str">
        <f t="shared" si="125"/>
        <v/>
      </c>
      <c r="H1334" t="str">
        <f t="shared" si="126"/>
        <v>Space</v>
      </c>
    </row>
    <row r="1335" spans="1:8" x14ac:dyDescent="0.25">
      <c r="A1335" t="s">
        <v>1365</v>
      </c>
      <c r="B1335" s="3">
        <f t="shared" si="127"/>
        <v>101</v>
      </c>
      <c r="C1335" s="3" t="str">
        <f t="shared" si="122"/>
        <v/>
      </c>
      <c r="D1335" s="3">
        <f t="shared" si="123"/>
        <v>150</v>
      </c>
      <c r="E1335" s="5" t="str">
        <f>IF(C1335="",IF(D1335="","",IF(D1335&lt;128,"Wahl "&amp;D1335,INDEX(KdoCodeTab,MATCH(D1335,KdoWertTab,0)))),"Status "&amp;C1335)</f>
        <v>SpaceWdh</v>
      </c>
      <c r="F1335" t="str">
        <f t="shared" si="124"/>
        <v/>
      </c>
      <c r="G1335" t="str">
        <f t="shared" si="125"/>
        <v/>
      </c>
      <c r="H1335" t="str">
        <f t="shared" si="126"/>
        <v>SpaceWdh</v>
      </c>
    </row>
    <row r="1336" spans="1:8" x14ac:dyDescent="0.25">
      <c r="A1336" t="s">
        <v>1366</v>
      </c>
      <c r="B1336" s="3">
        <f t="shared" si="127"/>
        <v>101</v>
      </c>
      <c r="C1336" s="3" t="str">
        <f t="shared" si="122"/>
        <v/>
      </c>
      <c r="D1336" s="3">
        <f t="shared" si="123"/>
        <v>169</v>
      </c>
      <c r="E1336" s="5" t="str">
        <f>IF(C1336="",IF(D1336="","",IF(D1336&lt;128,"Wahl "&amp;D1336,INDEX(KdoCodeTab,MATCH(D1336,KdoWertTab,0)))),"Status "&amp;C1336)</f>
        <v>BusLebenszeichen</v>
      </c>
      <c r="F1336" t="str">
        <f t="shared" si="124"/>
        <v/>
      </c>
      <c r="G1336" t="str">
        <f t="shared" si="125"/>
        <v/>
      </c>
      <c r="H1336" t="str">
        <f t="shared" si="126"/>
        <v>BusLebenszeichen</v>
      </c>
    </row>
    <row r="1337" spans="1:8" x14ac:dyDescent="0.25">
      <c r="A1337" t="s">
        <v>1367</v>
      </c>
      <c r="B1337" s="3">
        <f t="shared" si="127"/>
        <v>101</v>
      </c>
      <c r="C1337" s="3" t="str">
        <f t="shared" si="122"/>
        <v/>
      </c>
      <c r="D1337" s="3">
        <f t="shared" si="123"/>
        <v>156</v>
      </c>
      <c r="E1337" s="5" t="str">
        <f>IF(C1337="",IF(D1337="","",IF(D1337&lt;128,"Wahl "&amp;D1337,INDEX(KdoCodeTab,MATCH(D1337,KdoWertTab,0)))),"Status "&amp;C1337)</f>
        <v>Mark</v>
      </c>
      <c r="F1337" t="str">
        <f t="shared" si="124"/>
        <v/>
      </c>
      <c r="G1337" t="str">
        <f t="shared" si="125"/>
        <v/>
      </c>
      <c r="H1337" t="str">
        <f t="shared" si="126"/>
        <v>Mark</v>
      </c>
    </row>
    <row r="1338" spans="1:8" x14ac:dyDescent="0.25">
      <c r="A1338" t="s">
        <v>1368</v>
      </c>
      <c r="B1338" s="3">
        <f t="shared" si="127"/>
        <v>101</v>
      </c>
      <c r="C1338" s="3" t="str">
        <f t="shared" si="122"/>
        <v/>
      </c>
      <c r="D1338" s="3">
        <f t="shared" si="123"/>
        <v>154</v>
      </c>
      <c r="E1338" s="5" t="str">
        <f>IF(C1338="",IF(D1338="","",IF(D1338&lt;128,"Wahl "&amp;D1338,INDEX(KdoCodeTab,MATCH(D1338,KdoWertTab,0)))),"Status "&amp;C1338)</f>
        <v>MarkWdh</v>
      </c>
      <c r="F1338" t="str">
        <f t="shared" si="124"/>
        <v/>
      </c>
      <c r="G1338" t="str">
        <f t="shared" si="125"/>
        <v/>
      </c>
      <c r="H1338" t="str">
        <f t="shared" si="126"/>
        <v>MarkWdh</v>
      </c>
    </row>
    <row r="1339" spans="1:8" x14ac:dyDescent="0.25">
      <c r="A1339" t="s">
        <v>1369</v>
      </c>
      <c r="B1339" s="3">
        <f t="shared" si="127"/>
        <v>101</v>
      </c>
      <c r="C1339" s="3" t="str">
        <f t="shared" ref="C1339:C1402" si="128">IF(MID(A1339,10,1)="&lt;",MID(A1339,12,2),"")</f>
        <v/>
      </c>
      <c r="D1339" s="3">
        <f t="shared" ref="D1339:D1402" si="129">IF(MID(A1339,10,1)="&gt;",HEX2DEC(MID(A1339,12,2)),"")</f>
        <v>147</v>
      </c>
      <c r="E1339" s="5" t="str">
        <f>IF(C1339="",IF(D1339="","",IF(D1339&lt;128,"Wahl "&amp;D1339,INDEX(KdoCodeTab,MATCH(D1339,KdoWertTab,0)))),"Status "&amp;C1339)</f>
        <v>Space</v>
      </c>
      <c r="F1339" t="str">
        <f t="shared" ref="F1339:F1402" si="130">IF(B1339=$F$2,E1339,"")</f>
        <v/>
      </c>
      <c r="G1339" t="str">
        <f t="shared" ref="G1339:G1402" si="131">IF(B1339=$G$2,E1339,"")</f>
        <v/>
      </c>
      <c r="H1339" t="str">
        <f t="shared" ref="H1339:H1402" si="132">IF(F1339&amp;G1339="",E1339,"")</f>
        <v>Space</v>
      </c>
    </row>
    <row r="1340" spans="1:8" x14ac:dyDescent="0.25">
      <c r="A1340" t="s">
        <v>1370</v>
      </c>
      <c r="B1340" s="3">
        <f t="shared" si="127"/>
        <v>101</v>
      </c>
      <c r="C1340" s="3" t="str">
        <f t="shared" si="128"/>
        <v/>
      </c>
      <c r="D1340" s="3">
        <f t="shared" si="129"/>
        <v>150</v>
      </c>
      <c r="E1340" s="5" t="str">
        <f>IF(C1340="",IF(D1340="","",IF(D1340&lt;128,"Wahl "&amp;D1340,INDEX(KdoCodeTab,MATCH(D1340,KdoWertTab,0)))),"Status "&amp;C1340)</f>
        <v>SpaceWdh</v>
      </c>
      <c r="F1340" t="str">
        <f t="shared" si="130"/>
        <v/>
      </c>
      <c r="G1340" t="str">
        <f t="shared" si="131"/>
        <v/>
      </c>
      <c r="H1340" t="str">
        <f t="shared" si="132"/>
        <v>SpaceWdh</v>
      </c>
    </row>
    <row r="1341" spans="1:8" x14ac:dyDescent="0.25">
      <c r="A1341" t="s">
        <v>1371</v>
      </c>
      <c r="B1341" s="3">
        <f t="shared" si="127"/>
        <v>101</v>
      </c>
      <c r="C1341" s="3" t="str">
        <f t="shared" si="128"/>
        <v/>
      </c>
      <c r="D1341" s="3">
        <f t="shared" si="129"/>
        <v>156</v>
      </c>
      <c r="E1341" s="5" t="str">
        <f>IF(C1341="",IF(D1341="","",IF(D1341&lt;128,"Wahl "&amp;D1341,INDEX(KdoCodeTab,MATCH(D1341,KdoWertTab,0)))),"Status "&amp;C1341)</f>
        <v>Mark</v>
      </c>
      <c r="F1341" t="str">
        <f t="shared" si="130"/>
        <v/>
      </c>
      <c r="G1341" t="str">
        <f t="shared" si="131"/>
        <v/>
      </c>
      <c r="H1341" t="str">
        <f t="shared" si="132"/>
        <v>Mark</v>
      </c>
    </row>
    <row r="1342" spans="1:8" x14ac:dyDescent="0.25">
      <c r="A1342" t="s">
        <v>1372</v>
      </c>
      <c r="B1342" s="3">
        <f t="shared" si="127"/>
        <v>101</v>
      </c>
      <c r="C1342" s="3" t="str">
        <f t="shared" si="128"/>
        <v/>
      </c>
      <c r="D1342" s="3">
        <f t="shared" si="129"/>
        <v>154</v>
      </c>
      <c r="E1342" s="5" t="str">
        <f>IF(C1342="",IF(D1342="","",IF(D1342&lt;128,"Wahl "&amp;D1342,INDEX(KdoCodeTab,MATCH(D1342,KdoWertTab,0)))),"Status "&amp;C1342)</f>
        <v>MarkWdh</v>
      </c>
      <c r="F1342" t="str">
        <f t="shared" si="130"/>
        <v/>
      </c>
      <c r="G1342" t="str">
        <f t="shared" si="131"/>
        <v/>
      </c>
      <c r="H1342" t="str">
        <f t="shared" si="132"/>
        <v>MarkWdh</v>
      </c>
    </row>
    <row r="1343" spans="1:8" x14ac:dyDescent="0.25">
      <c r="A1343" t="s">
        <v>1373</v>
      </c>
      <c r="B1343" s="3">
        <f t="shared" si="127"/>
        <v>101</v>
      </c>
      <c r="C1343" s="3" t="str">
        <f t="shared" si="128"/>
        <v/>
      </c>
      <c r="D1343" s="3">
        <f t="shared" si="129"/>
        <v>147</v>
      </c>
      <c r="E1343" s="5" t="str">
        <f>IF(C1343="",IF(D1343="","",IF(D1343&lt;128,"Wahl "&amp;D1343,INDEX(KdoCodeTab,MATCH(D1343,KdoWertTab,0)))),"Status "&amp;C1343)</f>
        <v>Space</v>
      </c>
      <c r="F1343" t="str">
        <f t="shared" si="130"/>
        <v/>
      </c>
      <c r="G1343" t="str">
        <f t="shared" si="131"/>
        <v/>
      </c>
      <c r="H1343" t="str">
        <f t="shared" si="132"/>
        <v>Space</v>
      </c>
    </row>
    <row r="1344" spans="1:8" x14ac:dyDescent="0.25">
      <c r="A1344" t="s">
        <v>1374</v>
      </c>
      <c r="B1344" s="3">
        <f t="shared" si="127"/>
        <v>101</v>
      </c>
      <c r="C1344" s="3" t="str">
        <f t="shared" si="128"/>
        <v/>
      </c>
      <c r="D1344" s="3">
        <f t="shared" si="129"/>
        <v>150</v>
      </c>
      <c r="E1344" s="5" t="str">
        <f>IF(C1344="",IF(D1344="","",IF(D1344&lt;128,"Wahl "&amp;D1344,INDEX(KdoCodeTab,MATCH(D1344,KdoWertTab,0)))),"Status "&amp;C1344)</f>
        <v>SpaceWdh</v>
      </c>
      <c r="F1344" t="str">
        <f t="shared" si="130"/>
        <v/>
      </c>
      <c r="G1344" t="str">
        <f t="shared" si="131"/>
        <v/>
      </c>
      <c r="H1344" t="str">
        <f t="shared" si="132"/>
        <v>SpaceWdh</v>
      </c>
    </row>
    <row r="1345" spans="1:8" x14ac:dyDescent="0.25">
      <c r="A1345" t="s">
        <v>1375</v>
      </c>
      <c r="B1345" s="3">
        <f t="shared" si="127"/>
        <v>101</v>
      </c>
      <c r="C1345" s="3" t="str">
        <f t="shared" si="128"/>
        <v/>
      </c>
      <c r="D1345" s="3">
        <f t="shared" si="129"/>
        <v>156</v>
      </c>
      <c r="E1345" s="5" t="str">
        <f>IF(C1345="",IF(D1345="","",IF(D1345&lt;128,"Wahl "&amp;D1345,INDEX(KdoCodeTab,MATCH(D1345,KdoWertTab,0)))),"Status "&amp;C1345)</f>
        <v>Mark</v>
      </c>
      <c r="F1345" t="str">
        <f t="shared" si="130"/>
        <v/>
      </c>
      <c r="G1345" t="str">
        <f t="shared" si="131"/>
        <v/>
      </c>
      <c r="H1345" t="str">
        <f t="shared" si="132"/>
        <v>Mark</v>
      </c>
    </row>
    <row r="1346" spans="1:8" x14ac:dyDescent="0.25">
      <c r="A1346" t="s">
        <v>1376</v>
      </c>
      <c r="B1346" s="3">
        <f t="shared" si="127"/>
        <v>101</v>
      </c>
      <c r="C1346" s="3" t="str">
        <f t="shared" si="128"/>
        <v/>
      </c>
      <c r="D1346" s="3">
        <f t="shared" si="129"/>
        <v>154</v>
      </c>
      <c r="E1346" s="5" t="str">
        <f>IF(C1346="",IF(D1346="","",IF(D1346&lt;128,"Wahl "&amp;D1346,INDEX(KdoCodeTab,MATCH(D1346,KdoWertTab,0)))),"Status "&amp;C1346)</f>
        <v>MarkWdh</v>
      </c>
      <c r="F1346" t="str">
        <f t="shared" si="130"/>
        <v/>
      </c>
      <c r="G1346" t="str">
        <f t="shared" si="131"/>
        <v/>
      </c>
      <c r="H1346" t="str">
        <f t="shared" si="132"/>
        <v>MarkWdh</v>
      </c>
    </row>
    <row r="1347" spans="1:8" x14ac:dyDescent="0.25">
      <c r="A1347" t="s">
        <v>1377</v>
      </c>
      <c r="B1347" s="3">
        <f t="shared" si="127"/>
        <v>31</v>
      </c>
      <c r="C1347" s="3" t="str">
        <f t="shared" si="128"/>
        <v/>
      </c>
      <c r="D1347" s="3">
        <f t="shared" si="129"/>
        <v>154</v>
      </c>
      <c r="E1347" s="5" t="str">
        <f>IF(C1347="",IF(D1347="","",IF(D1347&lt;128,"Wahl "&amp;D1347,INDEX(KdoCodeTab,MATCH(D1347,KdoWertTab,0)))),"Status "&amp;C1347)</f>
        <v>MarkWdh</v>
      </c>
      <c r="F1347" t="str">
        <f t="shared" si="130"/>
        <v>MarkWdh</v>
      </c>
      <c r="G1347" t="str">
        <f t="shared" si="131"/>
        <v/>
      </c>
      <c r="H1347" t="str">
        <f t="shared" si="132"/>
        <v/>
      </c>
    </row>
    <row r="1348" spans="1:8" x14ac:dyDescent="0.25">
      <c r="A1348" t="s">
        <v>1378</v>
      </c>
      <c r="B1348" s="3">
        <f t="shared" si="127"/>
        <v>101</v>
      </c>
      <c r="C1348" s="3" t="str">
        <f t="shared" si="128"/>
        <v/>
      </c>
      <c r="D1348" s="3">
        <f t="shared" si="129"/>
        <v>147</v>
      </c>
      <c r="E1348" s="5" t="str">
        <f>IF(C1348="",IF(D1348="","",IF(D1348&lt;128,"Wahl "&amp;D1348,INDEX(KdoCodeTab,MATCH(D1348,KdoWertTab,0)))),"Status "&amp;C1348)</f>
        <v>Space</v>
      </c>
      <c r="F1348" t="str">
        <f t="shared" si="130"/>
        <v/>
      </c>
      <c r="G1348" t="str">
        <f t="shared" si="131"/>
        <v/>
      </c>
      <c r="H1348" t="str">
        <f t="shared" si="132"/>
        <v>Space</v>
      </c>
    </row>
    <row r="1349" spans="1:8" x14ac:dyDescent="0.25">
      <c r="A1349" t="s">
        <v>1379</v>
      </c>
      <c r="B1349" s="3">
        <f t="shared" ref="B1349:B1412" si="133">INT(HEX2DEC(MID(A1349,8,2))/2)</f>
        <v>101</v>
      </c>
      <c r="C1349" s="3" t="str">
        <f t="shared" si="128"/>
        <v/>
      </c>
      <c r="D1349" s="3">
        <f t="shared" si="129"/>
        <v>150</v>
      </c>
      <c r="E1349" s="5" t="str">
        <f>IF(C1349="",IF(D1349="","",IF(D1349&lt;128,"Wahl "&amp;D1349,INDEX(KdoCodeTab,MATCH(D1349,KdoWertTab,0)))),"Status "&amp;C1349)</f>
        <v>SpaceWdh</v>
      </c>
      <c r="F1349" t="str">
        <f t="shared" si="130"/>
        <v/>
      </c>
      <c r="G1349" t="str">
        <f t="shared" si="131"/>
        <v/>
      </c>
      <c r="H1349" t="str">
        <f t="shared" si="132"/>
        <v>SpaceWdh</v>
      </c>
    </row>
    <row r="1350" spans="1:8" x14ac:dyDescent="0.25">
      <c r="A1350" t="s">
        <v>1380</v>
      </c>
      <c r="B1350" s="3">
        <f t="shared" si="133"/>
        <v>101</v>
      </c>
      <c r="C1350" s="3" t="str">
        <f t="shared" si="128"/>
        <v/>
      </c>
      <c r="D1350" s="3">
        <f t="shared" si="129"/>
        <v>156</v>
      </c>
      <c r="E1350" s="5" t="str">
        <f>IF(C1350="",IF(D1350="","",IF(D1350&lt;128,"Wahl "&amp;D1350,INDEX(KdoCodeTab,MATCH(D1350,KdoWertTab,0)))),"Status "&amp;C1350)</f>
        <v>Mark</v>
      </c>
      <c r="F1350" t="str">
        <f t="shared" si="130"/>
        <v/>
      </c>
      <c r="G1350" t="str">
        <f t="shared" si="131"/>
        <v/>
      </c>
      <c r="H1350" t="str">
        <f t="shared" si="132"/>
        <v>Mark</v>
      </c>
    </row>
    <row r="1351" spans="1:8" x14ac:dyDescent="0.25">
      <c r="A1351" t="s">
        <v>1381</v>
      </c>
      <c r="B1351" s="3">
        <f t="shared" si="133"/>
        <v>101</v>
      </c>
      <c r="C1351" s="3" t="str">
        <f t="shared" si="128"/>
        <v/>
      </c>
      <c r="D1351" s="3">
        <f t="shared" si="129"/>
        <v>154</v>
      </c>
      <c r="E1351" s="5" t="str">
        <f>IF(C1351="",IF(D1351="","",IF(D1351&lt;128,"Wahl "&amp;D1351,INDEX(KdoCodeTab,MATCH(D1351,KdoWertTab,0)))),"Status "&amp;C1351)</f>
        <v>MarkWdh</v>
      </c>
      <c r="F1351" t="str">
        <f t="shared" si="130"/>
        <v/>
      </c>
      <c r="G1351" t="str">
        <f t="shared" si="131"/>
        <v/>
      </c>
      <c r="H1351" t="str">
        <f t="shared" si="132"/>
        <v>MarkWdh</v>
      </c>
    </row>
    <row r="1352" spans="1:8" x14ac:dyDescent="0.25">
      <c r="A1352" t="s">
        <v>1382</v>
      </c>
      <c r="B1352" s="3">
        <f t="shared" si="133"/>
        <v>101</v>
      </c>
      <c r="C1352" s="3" t="str">
        <f t="shared" si="128"/>
        <v/>
      </c>
      <c r="D1352" s="3">
        <f t="shared" si="129"/>
        <v>147</v>
      </c>
      <c r="E1352" s="5" t="str">
        <f>IF(C1352="",IF(D1352="","",IF(D1352&lt;128,"Wahl "&amp;D1352,INDEX(KdoCodeTab,MATCH(D1352,KdoWertTab,0)))),"Status "&amp;C1352)</f>
        <v>Space</v>
      </c>
      <c r="F1352" t="str">
        <f t="shared" si="130"/>
        <v/>
      </c>
      <c r="G1352" t="str">
        <f t="shared" si="131"/>
        <v/>
      </c>
      <c r="H1352" t="str">
        <f t="shared" si="132"/>
        <v>Space</v>
      </c>
    </row>
    <row r="1353" spans="1:8" x14ac:dyDescent="0.25">
      <c r="A1353" t="s">
        <v>1383</v>
      </c>
      <c r="B1353" s="3">
        <f t="shared" si="133"/>
        <v>101</v>
      </c>
      <c r="C1353" s="3" t="str">
        <f t="shared" si="128"/>
        <v/>
      </c>
      <c r="D1353" s="3">
        <f t="shared" si="129"/>
        <v>150</v>
      </c>
      <c r="E1353" s="5" t="str">
        <f>IF(C1353="",IF(D1353="","",IF(D1353&lt;128,"Wahl "&amp;D1353,INDEX(KdoCodeTab,MATCH(D1353,KdoWertTab,0)))),"Status "&amp;C1353)</f>
        <v>SpaceWdh</v>
      </c>
      <c r="F1353" t="str">
        <f t="shared" si="130"/>
        <v/>
      </c>
      <c r="G1353" t="str">
        <f t="shared" si="131"/>
        <v/>
      </c>
      <c r="H1353" t="str">
        <f t="shared" si="132"/>
        <v>SpaceWdh</v>
      </c>
    </row>
    <row r="1354" spans="1:8" x14ac:dyDescent="0.25">
      <c r="A1354" t="s">
        <v>1384</v>
      </c>
      <c r="B1354" s="3">
        <f t="shared" si="133"/>
        <v>101</v>
      </c>
      <c r="C1354" s="3" t="str">
        <f t="shared" si="128"/>
        <v/>
      </c>
      <c r="D1354" s="3">
        <f t="shared" si="129"/>
        <v>156</v>
      </c>
      <c r="E1354" s="5" t="str">
        <f>IF(C1354="",IF(D1354="","",IF(D1354&lt;128,"Wahl "&amp;D1354,INDEX(KdoCodeTab,MATCH(D1354,KdoWertTab,0)))),"Status "&amp;C1354)</f>
        <v>Mark</v>
      </c>
      <c r="F1354" t="str">
        <f t="shared" si="130"/>
        <v/>
      </c>
      <c r="G1354" t="str">
        <f t="shared" si="131"/>
        <v/>
      </c>
      <c r="H1354" t="str">
        <f t="shared" si="132"/>
        <v>Mark</v>
      </c>
    </row>
    <row r="1355" spans="1:8" x14ac:dyDescent="0.25">
      <c r="A1355" t="s">
        <v>1385</v>
      </c>
      <c r="B1355" s="3">
        <f t="shared" si="133"/>
        <v>101</v>
      </c>
      <c r="C1355" s="3" t="str">
        <f t="shared" si="128"/>
        <v/>
      </c>
      <c r="D1355" s="3">
        <f t="shared" si="129"/>
        <v>154</v>
      </c>
      <c r="E1355" s="5" t="str">
        <f>IF(C1355="",IF(D1355="","",IF(D1355&lt;128,"Wahl "&amp;D1355,INDEX(KdoCodeTab,MATCH(D1355,KdoWertTab,0)))),"Status "&amp;C1355)</f>
        <v>MarkWdh</v>
      </c>
      <c r="F1355" t="str">
        <f t="shared" si="130"/>
        <v/>
      </c>
      <c r="G1355" t="str">
        <f t="shared" si="131"/>
        <v/>
      </c>
      <c r="H1355" t="str">
        <f t="shared" si="132"/>
        <v>MarkWdh</v>
      </c>
    </row>
    <row r="1356" spans="1:8" x14ac:dyDescent="0.25">
      <c r="A1356" t="s">
        <v>1386</v>
      </c>
      <c r="B1356" s="3">
        <f t="shared" si="133"/>
        <v>101</v>
      </c>
      <c r="C1356" s="3" t="str">
        <f t="shared" si="128"/>
        <v/>
      </c>
      <c r="D1356" s="3">
        <f t="shared" si="129"/>
        <v>147</v>
      </c>
      <c r="E1356" s="5" t="str">
        <f>IF(C1356="",IF(D1356="","",IF(D1356&lt;128,"Wahl "&amp;D1356,INDEX(KdoCodeTab,MATCH(D1356,KdoWertTab,0)))),"Status "&amp;C1356)</f>
        <v>Space</v>
      </c>
      <c r="F1356" t="str">
        <f t="shared" si="130"/>
        <v/>
      </c>
      <c r="G1356" t="str">
        <f t="shared" si="131"/>
        <v/>
      </c>
      <c r="H1356" t="str">
        <f t="shared" si="132"/>
        <v>Space</v>
      </c>
    </row>
    <row r="1357" spans="1:8" x14ac:dyDescent="0.25">
      <c r="A1357" t="s">
        <v>1387</v>
      </c>
      <c r="B1357" s="3">
        <f t="shared" si="133"/>
        <v>101</v>
      </c>
      <c r="C1357" s="3" t="str">
        <f t="shared" si="128"/>
        <v/>
      </c>
      <c r="D1357" s="3">
        <f t="shared" si="129"/>
        <v>150</v>
      </c>
      <c r="E1357" s="5" t="str">
        <f>IF(C1357="",IF(D1357="","",IF(D1357&lt;128,"Wahl "&amp;D1357,INDEX(KdoCodeTab,MATCH(D1357,KdoWertTab,0)))),"Status "&amp;C1357)</f>
        <v>SpaceWdh</v>
      </c>
      <c r="F1357" t="str">
        <f t="shared" si="130"/>
        <v/>
      </c>
      <c r="G1357" t="str">
        <f t="shared" si="131"/>
        <v/>
      </c>
      <c r="H1357" t="str">
        <f t="shared" si="132"/>
        <v>SpaceWdh</v>
      </c>
    </row>
    <row r="1358" spans="1:8" x14ac:dyDescent="0.25">
      <c r="A1358" t="s">
        <v>1388</v>
      </c>
      <c r="B1358" s="3">
        <f t="shared" si="133"/>
        <v>101</v>
      </c>
      <c r="C1358" s="3" t="str">
        <f t="shared" si="128"/>
        <v/>
      </c>
      <c r="D1358" s="3">
        <f t="shared" si="129"/>
        <v>156</v>
      </c>
      <c r="E1358" s="5" t="str">
        <f>IF(C1358="",IF(D1358="","",IF(D1358&lt;128,"Wahl "&amp;D1358,INDEX(KdoCodeTab,MATCH(D1358,KdoWertTab,0)))),"Status "&amp;C1358)</f>
        <v>Mark</v>
      </c>
      <c r="F1358" t="str">
        <f t="shared" si="130"/>
        <v/>
      </c>
      <c r="G1358" t="str">
        <f t="shared" si="131"/>
        <v/>
      </c>
      <c r="H1358" t="str">
        <f t="shared" si="132"/>
        <v>Mark</v>
      </c>
    </row>
    <row r="1359" spans="1:8" x14ac:dyDescent="0.25">
      <c r="A1359" t="s">
        <v>1389</v>
      </c>
      <c r="B1359" s="3">
        <f t="shared" si="133"/>
        <v>101</v>
      </c>
      <c r="C1359" s="3" t="str">
        <f t="shared" si="128"/>
        <v/>
      </c>
      <c r="D1359" s="3">
        <f t="shared" si="129"/>
        <v>154</v>
      </c>
      <c r="E1359" s="5" t="str">
        <f>IF(C1359="",IF(D1359="","",IF(D1359&lt;128,"Wahl "&amp;D1359,INDEX(KdoCodeTab,MATCH(D1359,KdoWertTab,0)))),"Status "&amp;C1359)</f>
        <v>MarkWdh</v>
      </c>
      <c r="F1359" t="str">
        <f t="shared" si="130"/>
        <v/>
      </c>
      <c r="G1359" t="str">
        <f t="shared" si="131"/>
        <v/>
      </c>
      <c r="H1359" t="str">
        <f t="shared" si="132"/>
        <v>MarkWdh</v>
      </c>
    </row>
    <row r="1360" spans="1:8" x14ac:dyDescent="0.25">
      <c r="A1360" t="s">
        <v>1390</v>
      </c>
      <c r="B1360" s="3">
        <f t="shared" si="133"/>
        <v>101</v>
      </c>
      <c r="C1360" s="3" t="str">
        <f t="shared" si="128"/>
        <v/>
      </c>
      <c r="D1360" s="3">
        <f t="shared" si="129"/>
        <v>147</v>
      </c>
      <c r="E1360" s="5" t="str">
        <f>IF(C1360="",IF(D1360="","",IF(D1360&lt;128,"Wahl "&amp;D1360,INDEX(KdoCodeTab,MATCH(D1360,KdoWertTab,0)))),"Status "&amp;C1360)</f>
        <v>Space</v>
      </c>
      <c r="F1360" t="str">
        <f t="shared" si="130"/>
        <v/>
      </c>
      <c r="G1360" t="str">
        <f t="shared" si="131"/>
        <v/>
      </c>
      <c r="H1360" t="str">
        <f t="shared" si="132"/>
        <v>Space</v>
      </c>
    </row>
    <row r="1361" spans="1:8" x14ac:dyDescent="0.25">
      <c r="A1361" t="s">
        <v>1391</v>
      </c>
      <c r="B1361" s="3">
        <f t="shared" si="133"/>
        <v>101</v>
      </c>
      <c r="C1361" s="3" t="str">
        <f t="shared" si="128"/>
        <v/>
      </c>
      <c r="D1361" s="3">
        <f t="shared" si="129"/>
        <v>150</v>
      </c>
      <c r="E1361" s="5" t="str">
        <f>IF(C1361="",IF(D1361="","",IF(D1361&lt;128,"Wahl "&amp;D1361,INDEX(KdoCodeTab,MATCH(D1361,KdoWertTab,0)))),"Status "&amp;C1361)</f>
        <v>SpaceWdh</v>
      </c>
      <c r="F1361" t="str">
        <f t="shared" si="130"/>
        <v/>
      </c>
      <c r="G1361" t="str">
        <f t="shared" si="131"/>
        <v/>
      </c>
      <c r="H1361" t="str">
        <f t="shared" si="132"/>
        <v>SpaceWdh</v>
      </c>
    </row>
    <row r="1362" spans="1:8" x14ac:dyDescent="0.25">
      <c r="A1362" t="s">
        <v>1392</v>
      </c>
      <c r="B1362" s="3">
        <f t="shared" si="133"/>
        <v>101</v>
      </c>
      <c r="C1362" s="3" t="str">
        <f t="shared" si="128"/>
        <v/>
      </c>
      <c r="D1362" s="3">
        <f t="shared" si="129"/>
        <v>156</v>
      </c>
      <c r="E1362" s="5" t="str">
        <f>IF(C1362="",IF(D1362="","",IF(D1362&lt;128,"Wahl "&amp;D1362,INDEX(KdoCodeTab,MATCH(D1362,KdoWertTab,0)))),"Status "&amp;C1362)</f>
        <v>Mark</v>
      </c>
      <c r="F1362" t="str">
        <f t="shared" si="130"/>
        <v/>
      </c>
      <c r="G1362" t="str">
        <f t="shared" si="131"/>
        <v/>
      </c>
      <c r="H1362" t="str">
        <f t="shared" si="132"/>
        <v>Mark</v>
      </c>
    </row>
    <row r="1363" spans="1:8" x14ac:dyDescent="0.25">
      <c r="A1363" t="s">
        <v>1393</v>
      </c>
      <c r="B1363" s="3">
        <f t="shared" si="133"/>
        <v>101</v>
      </c>
      <c r="C1363" s="3" t="str">
        <f t="shared" si="128"/>
        <v/>
      </c>
      <c r="D1363" s="3">
        <f t="shared" si="129"/>
        <v>154</v>
      </c>
      <c r="E1363" s="5" t="str">
        <f>IF(C1363="",IF(D1363="","",IF(D1363&lt;128,"Wahl "&amp;D1363,INDEX(KdoCodeTab,MATCH(D1363,KdoWertTab,0)))),"Status "&amp;C1363)</f>
        <v>MarkWdh</v>
      </c>
      <c r="F1363" t="str">
        <f t="shared" si="130"/>
        <v/>
      </c>
      <c r="G1363" t="str">
        <f t="shared" si="131"/>
        <v/>
      </c>
      <c r="H1363" t="str">
        <f t="shared" si="132"/>
        <v>MarkWdh</v>
      </c>
    </row>
    <row r="1364" spans="1:8" x14ac:dyDescent="0.25">
      <c r="A1364" t="s">
        <v>602</v>
      </c>
      <c r="B1364" s="3">
        <f t="shared" si="133"/>
        <v>101</v>
      </c>
      <c r="C1364" s="3" t="str">
        <f t="shared" si="128"/>
        <v/>
      </c>
      <c r="D1364" s="3">
        <f t="shared" si="129"/>
        <v>147</v>
      </c>
      <c r="E1364" s="5" t="str">
        <f>IF(C1364="",IF(D1364="","",IF(D1364&lt;128,"Wahl "&amp;D1364,INDEX(KdoCodeTab,MATCH(D1364,KdoWertTab,0)))),"Status "&amp;C1364)</f>
        <v>Space</v>
      </c>
      <c r="F1364" t="str">
        <f t="shared" si="130"/>
        <v/>
      </c>
      <c r="G1364" t="str">
        <f t="shared" si="131"/>
        <v/>
      </c>
      <c r="H1364" t="str">
        <f t="shared" si="132"/>
        <v>Space</v>
      </c>
    </row>
    <row r="1365" spans="1:8" x14ac:dyDescent="0.25">
      <c r="A1365" t="s">
        <v>1394</v>
      </c>
      <c r="B1365" s="3">
        <f t="shared" si="133"/>
        <v>101</v>
      </c>
      <c r="C1365" s="3" t="str">
        <f t="shared" si="128"/>
        <v/>
      </c>
      <c r="D1365" s="3">
        <f t="shared" si="129"/>
        <v>150</v>
      </c>
      <c r="E1365" s="5" t="str">
        <f>IF(C1365="",IF(D1365="","",IF(D1365&lt;128,"Wahl "&amp;D1365,INDEX(KdoCodeTab,MATCH(D1365,KdoWertTab,0)))),"Status "&amp;C1365)</f>
        <v>SpaceWdh</v>
      </c>
      <c r="F1365" t="str">
        <f t="shared" si="130"/>
        <v/>
      </c>
      <c r="G1365" t="str">
        <f t="shared" si="131"/>
        <v/>
      </c>
      <c r="H1365" t="str">
        <f t="shared" si="132"/>
        <v>SpaceWdh</v>
      </c>
    </row>
    <row r="1366" spans="1:8" x14ac:dyDescent="0.25">
      <c r="A1366" t="s">
        <v>1395</v>
      </c>
      <c r="B1366" s="3">
        <f t="shared" si="133"/>
        <v>101</v>
      </c>
      <c r="C1366" s="3" t="str">
        <f t="shared" si="128"/>
        <v/>
      </c>
      <c r="D1366" s="3">
        <f t="shared" si="129"/>
        <v>156</v>
      </c>
      <c r="E1366" s="5" t="str">
        <f>IF(C1366="",IF(D1366="","",IF(D1366&lt;128,"Wahl "&amp;D1366,INDEX(KdoCodeTab,MATCH(D1366,KdoWertTab,0)))),"Status "&amp;C1366)</f>
        <v>Mark</v>
      </c>
      <c r="F1366" t="str">
        <f t="shared" si="130"/>
        <v/>
      </c>
      <c r="G1366" t="str">
        <f t="shared" si="131"/>
        <v/>
      </c>
      <c r="H1366" t="str">
        <f t="shared" si="132"/>
        <v>Mark</v>
      </c>
    </row>
    <row r="1367" spans="1:8" x14ac:dyDescent="0.25">
      <c r="A1367" t="s">
        <v>605</v>
      </c>
      <c r="B1367" s="3">
        <f t="shared" si="133"/>
        <v>101</v>
      </c>
      <c r="C1367" s="3" t="str">
        <f t="shared" si="128"/>
        <v/>
      </c>
      <c r="D1367" s="3">
        <f t="shared" si="129"/>
        <v>154</v>
      </c>
      <c r="E1367" s="5" t="str">
        <f>IF(C1367="",IF(D1367="","",IF(D1367&lt;128,"Wahl "&amp;D1367,INDEX(KdoCodeTab,MATCH(D1367,KdoWertTab,0)))),"Status "&amp;C1367)</f>
        <v>MarkWdh</v>
      </c>
      <c r="F1367" t="str">
        <f t="shared" si="130"/>
        <v/>
      </c>
      <c r="G1367" t="str">
        <f t="shared" si="131"/>
        <v/>
      </c>
      <c r="H1367" t="str">
        <f t="shared" si="132"/>
        <v>MarkWdh</v>
      </c>
    </row>
    <row r="1368" spans="1:8" x14ac:dyDescent="0.25">
      <c r="A1368" t="s">
        <v>606</v>
      </c>
      <c r="B1368" s="3">
        <f t="shared" si="133"/>
        <v>101</v>
      </c>
      <c r="C1368" s="3" t="str">
        <f t="shared" si="128"/>
        <v/>
      </c>
      <c r="D1368" s="3">
        <f t="shared" si="129"/>
        <v>147</v>
      </c>
      <c r="E1368" s="5" t="str">
        <f>IF(C1368="",IF(D1368="","",IF(D1368&lt;128,"Wahl "&amp;D1368,INDEX(KdoCodeTab,MATCH(D1368,KdoWertTab,0)))),"Status "&amp;C1368)</f>
        <v>Space</v>
      </c>
      <c r="F1368" t="str">
        <f t="shared" si="130"/>
        <v/>
      </c>
      <c r="G1368" t="str">
        <f t="shared" si="131"/>
        <v/>
      </c>
      <c r="H1368" t="str">
        <f t="shared" si="132"/>
        <v>Space</v>
      </c>
    </row>
    <row r="1369" spans="1:8" x14ac:dyDescent="0.25">
      <c r="A1369" t="s">
        <v>1396</v>
      </c>
      <c r="B1369" s="3">
        <f t="shared" si="133"/>
        <v>101</v>
      </c>
      <c r="C1369" s="3" t="str">
        <f t="shared" si="128"/>
        <v/>
      </c>
      <c r="D1369" s="3">
        <f t="shared" si="129"/>
        <v>150</v>
      </c>
      <c r="E1369" s="5" t="str">
        <f>IF(C1369="",IF(D1369="","",IF(D1369&lt;128,"Wahl "&amp;D1369,INDEX(KdoCodeTab,MATCH(D1369,KdoWertTab,0)))),"Status "&amp;C1369)</f>
        <v>SpaceWdh</v>
      </c>
      <c r="F1369" t="str">
        <f t="shared" si="130"/>
        <v/>
      </c>
      <c r="G1369" t="str">
        <f t="shared" si="131"/>
        <v/>
      </c>
      <c r="H1369" t="str">
        <f t="shared" si="132"/>
        <v>SpaceWdh</v>
      </c>
    </row>
    <row r="1370" spans="1:8" x14ac:dyDescent="0.25">
      <c r="A1370" t="s">
        <v>1397</v>
      </c>
      <c r="B1370" s="3">
        <f t="shared" si="133"/>
        <v>101</v>
      </c>
      <c r="C1370" s="3" t="str">
        <f t="shared" si="128"/>
        <v/>
      </c>
      <c r="D1370" s="3">
        <f t="shared" si="129"/>
        <v>169</v>
      </c>
      <c r="E1370" s="5" t="str">
        <f>IF(C1370="",IF(D1370="","",IF(D1370&lt;128,"Wahl "&amp;D1370,INDEX(KdoCodeTab,MATCH(D1370,KdoWertTab,0)))),"Status "&amp;C1370)</f>
        <v>BusLebenszeichen</v>
      </c>
      <c r="F1370" t="str">
        <f t="shared" si="130"/>
        <v/>
      </c>
      <c r="G1370" t="str">
        <f t="shared" si="131"/>
        <v/>
      </c>
      <c r="H1370" t="str">
        <f t="shared" si="132"/>
        <v>BusLebenszeichen</v>
      </c>
    </row>
    <row r="1371" spans="1:8" x14ac:dyDescent="0.25">
      <c r="A1371" t="s">
        <v>1398</v>
      </c>
      <c r="B1371" s="3">
        <f t="shared" si="133"/>
        <v>101</v>
      </c>
      <c r="C1371" s="3" t="str">
        <f t="shared" si="128"/>
        <v/>
      </c>
      <c r="D1371" s="3">
        <f t="shared" si="129"/>
        <v>156</v>
      </c>
      <c r="E1371" s="5" t="str">
        <f>IF(C1371="",IF(D1371="","",IF(D1371&lt;128,"Wahl "&amp;D1371,INDEX(KdoCodeTab,MATCH(D1371,KdoWertTab,0)))),"Status "&amp;C1371)</f>
        <v>Mark</v>
      </c>
      <c r="F1371" t="str">
        <f t="shared" si="130"/>
        <v/>
      </c>
      <c r="G1371" t="str">
        <f t="shared" si="131"/>
        <v/>
      </c>
      <c r="H1371" t="str">
        <f t="shared" si="132"/>
        <v>Mark</v>
      </c>
    </row>
    <row r="1372" spans="1:8" x14ac:dyDescent="0.25">
      <c r="A1372" t="s">
        <v>1399</v>
      </c>
      <c r="B1372" s="3">
        <f t="shared" si="133"/>
        <v>101</v>
      </c>
      <c r="C1372" s="3" t="str">
        <f t="shared" si="128"/>
        <v/>
      </c>
      <c r="D1372" s="3">
        <f t="shared" si="129"/>
        <v>154</v>
      </c>
      <c r="E1372" s="5" t="str">
        <f>IF(C1372="",IF(D1372="","",IF(D1372&lt;128,"Wahl "&amp;D1372,INDEX(KdoCodeTab,MATCH(D1372,KdoWertTab,0)))),"Status "&amp;C1372)</f>
        <v>MarkWdh</v>
      </c>
      <c r="F1372" t="str">
        <f t="shared" si="130"/>
        <v/>
      </c>
      <c r="G1372" t="str">
        <f t="shared" si="131"/>
        <v/>
      </c>
      <c r="H1372" t="str">
        <f t="shared" si="132"/>
        <v>MarkWdh</v>
      </c>
    </row>
    <row r="1373" spans="1:8" x14ac:dyDescent="0.25">
      <c r="A1373" t="s">
        <v>1400</v>
      </c>
      <c r="B1373" s="3">
        <f t="shared" si="133"/>
        <v>31</v>
      </c>
      <c r="C1373" s="3" t="str">
        <f t="shared" si="128"/>
        <v/>
      </c>
      <c r="D1373" s="3">
        <f t="shared" si="129"/>
        <v>154</v>
      </c>
      <c r="E1373" s="5" t="str">
        <f>IF(C1373="",IF(D1373="","",IF(D1373&lt;128,"Wahl "&amp;D1373,INDEX(KdoCodeTab,MATCH(D1373,KdoWertTab,0)))),"Status "&amp;C1373)</f>
        <v>MarkWdh</v>
      </c>
      <c r="F1373" t="str">
        <f t="shared" si="130"/>
        <v>MarkWdh</v>
      </c>
      <c r="G1373" t="str">
        <f t="shared" si="131"/>
        <v/>
      </c>
      <c r="H1373" t="str">
        <f t="shared" si="132"/>
        <v/>
      </c>
    </row>
    <row r="1374" spans="1:8" x14ac:dyDescent="0.25">
      <c r="A1374" t="s">
        <v>1401</v>
      </c>
      <c r="B1374" s="3">
        <f t="shared" si="133"/>
        <v>101</v>
      </c>
      <c r="C1374" s="3" t="str">
        <f t="shared" si="128"/>
        <v/>
      </c>
      <c r="D1374" s="3">
        <f t="shared" si="129"/>
        <v>147</v>
      </c>
      <c r="E1374" s="5" t="str">
        <f>IF(C1374="",IF(D1374="","",IF(D1374&lt;128,"Wahl "&amp;D1374,INDEX(KdoCodeTab,MATCH(D1374,KdoWertTab,0)))),"Status "&amp;C1374)</f>
        <v>Space</v>
      </c>
      <c r="F1374" t="str">
        <f t="shared" si="130"/>
        <v/>
      </c>
      <c r="G1374" t="str">
        <f t="shared" si="131"/>
        <v/>
      </c>
      <c r="H1374" t="str">
        <f t="shared" si="132"/>
        <v>Space</v>
      </c>
    </row>
    <row r="1375" spans="1:8" x14ac:dyDescent="0.25">
      <c r="A1375" t="s">
        <v>1402</v>
      </c>
      <c r="B1375" s="3">
        <f t="shared" si="133"/>
        <v>101</v>
      </c>
      <c r="C1375" s="3" t="str">
        <f t="shared" si="128"/>
        <v/>
      </c>
      <c r="D1375" s="3">
        <f t="shared" si="129"/>
        <v>150</v>
      </c>
      <c r="E1375" s="5" t="str">
        <f>IF(C1375="",IF(D1375="","",IF(D1375&lt;128,"Wahl "&amp;D1375,INDEX(KdoCodeTab,MATCH(D1375,KdoWertTab,0)))),"Status "&amp;C1375)</f>
        <v>SpaceWdh</v>
      </c>
      <c r="F1375" t="str">
        <f t="shared" si="130"/>
        <v/>
      </c>
      <c r="G1375" t="str">
        <f t="shared" si="131"/>
        <v/>
      </c>
      <c r="H1375" t="str">
        <f t="shared" si="132"/>
        <v>SpaceWdh</v>
      </c>
    </row>
    <row r="1376" spans="1:8" x14ac:dyDescent="0.25">
      <c r="A1376" t="s">
        <v>1403</v>
      </c>
      <c r="B1376" s="3">
        <f t="shared" si="133"/>
        <v>101</v>
      </c>
      <c r="C1376" s="3" t="str">
        <f t="shared" si="128"/>
        <v/>
      </c>
      <c r="D1376" s="3">
        <f t="shared" si="129"/>
        <v>156</v>
      </c>
      <c r="E1376" s="5" t="str">
        <f>IF(C1376="",IF(D1376="","",IF(D1376&lt;128,"Wahl "&amp;D1376,INDEX(KdoCodeTab,MATCH(D1376,KdoWertTab,0)))),"Status "&amp;C1376)</f>
        <v>Mark</v>
      </c>
      <c r="F1376" t="str">
        <f t="shared" si="130"/>
        <v/>
      </c>
      <c r="G1376" t="str">
        <f t="shared" si="131"/>
        <v/>
      </c>
      <c r="H1376" t="str">
        <f t="shared" si="132"/>
        <v>Mark</v>
      </c>
    </row>
    <row r="1377" spans="1:8" x14ac:dyDescent="0.25">
      <c r="A1377" t="s">
        <v>1404</v>
      </c>
      <c r="B1377" s="3">
        <f t="shared" si="133"/>
        <v>101</v>
      </c>
      <c r="C1377" s="3" t="str">
        <f t="shared" si="128"/>
        <v/>
      </c>
      <c r="D1377" s="3">
        <f t="shared" si="129"/>
        <v>154</v>
      </c>
      <c r="E1377" s="5" t="str">
        <f>IF(C1377="",IF(D1377="","",IF(D1377&lt;128,"Wahl "&amp;D1377,INDEX(KdoCodeTab,MATCH(D1377,KdoWertTab,0)))),"Status "&amp;C1377)</f>
        <v>MarkWdh</v>
      </c>
      <c r="F1377" t="str">
        <f t="shared" si="130"/>
        <v/>
      </c>
      <c r="G1377" t="str">
        <f t="shared" si="131"/>
        <v/>
      </c>
      <c r="H1377" t="str">
        <f t="shared" si="132"/>
        <v>MarkWdh</v>
      </c>
    </row>
    <row r="1378" spans="1:8" x14ac:dyDescent="0.25">
      <c r="A1378" t="s">
        <v>1405</v>
      </c>
      <c r="B1378" s="3">
        <f t="shared" si="133"/>
        <v>101</v>
      </c>
      <c r="C1378" s="3" t="str">
        <f t="shared" si="128"/>
        <v/>
      </c>
      <c r="D1378" s="3">
        <f t="shared" si="129"/>
        <v>147</v>
      </c>
      <c r="E1378" s="5" t="str">
        <f>IF(C1378="",IF(D1378="","",IF(D1378&lt;128,"Wahl "&amp;D1378,INDEX(KdoCodeTab,MATCH(D1378,KdoWertTab,0)))),"Status "&amp;C1378)</f>
        <v>Space</v>
      </c>
      <c r="F1378" t="str">
        <f t="shared" si="130"/>
        <v/>
      </c>
      <c r="G1378" t="str">
        <f t="shared" si="131"/>
        <v/>
      </c>
      <c r="H1378" t="str">
        <f t="shared" si="132"/>
        <v>Space</v>
      </c>
    </row>
    <row r="1379" spans="1:8" x14ac:dyDescent="0.25">
      <c r="A1379" t="s">
        <v>1406</v>
      </c>
      <c r="B1379" s="3">
        <f t="shared" si="133"/>
        <v>101</v>
      </c>
      <c r="C1379" s="3" t="str">
        <f t="shared" si="128"/>
        <v/>
      </c>
      <c r="D1379" s="3">
        <f t="shared" si="129"/>
        <v>150</v>
      </c>
      <c r="E1379" s="5" t="str">
        <f>IF(C1379="",IF(D1379="","",IF(D1379&lt;128,"Wahl "&amp;D1379,INDEX(KdoCodeTab,MATCH(D1379,KdoWertTab,0)))),"Status "&amp;C1379)</f>
        <v>SpaceWdh</v>
      </c>
      <c r="F1379" t="str">
        <f t="shared" si="130"/>
        <v/>
      </c>
      <c r="G1379" t="str">
        <f t="shared" si="131"/>
        <v/>
      </c>
      <c r="H1379" t="str">
        <f t="shared" si="132"/>
        <v>SpaceWdh</v>
      </c>
    </row>
    <row r="1380" spans="1:8" x14ac:dyDescent="0.25">
      <c r="A1380" t="s">
        <v>1407</v>
      </c>
      <c r="B1380" s="3">
        <f t="shared" si="133"/>
        <v>101</v>
      </c>
      <c r="C1380" s="3" t="str">
        <f t="shared" si="128"/>
        <v/>
      </c>
      <c r="D1380" s="3">
        <f t="shared" si="129"/>
        <v>156</v>
      </c>
      <c r="E1380" s="5" t="str">
        <f>IF(C1380="",IF(D1380="","",IF(D1380&lt;128,"Wahl "&amp;D1380,INDEX(KdoCodeTab,MATCH(D1380,KdoWertTab,0)))),"Status "&amp;C1380)</f>
        <v>Mark</v>
      </c>
      <c r="F1380" t="str">
        <f t="shared" si="130"/>
        <v/>
      </c>
      <c r="G1380" t="str">
        <f t="shared" si="131"/>
        <v/>
      </c>
      <c r="H1380" t="str">
        <f t="shared" si="132"/>
        <v>Mark</v>
      </c>
    </row>
    <row r="1381" spans="1:8" x14ac:dyDescent="0.25">
      <c r="A1381" t="s">
        <v>1408</v>
      </c>
      <c r="B1381" s="3">
        <f t="shared" si="133"/>
        <v>101</v>
      </c>
      <c r="C1381" s="3" t="str">
        <f t="shared" si="128"/>
        <v/>
      </c>
      <c r="D1381" s="3">
        <f t="shared" si="129"/>
        <v>154</v>
      </c>
      <c r="E1381" s="5" t="str">
        <f>IF(C1381="",IF(D1381="","",IF(D1381&lt;128,"Wahl "&amp;D1381,INDEX(KdoCodeTab,MATCH(D1381,KdoWertTab,0)))),"Status "&amp;C1381)</f>
        <v>MarkWdh</v>
      </c>
      <c r="F1381" t="str">
        <f t="shared" si="130"/>
        <v/>
      </c>
      <c r="G1381" t="str">
        <f t="shared" si="131"/>
        <v/>
      </c>
      <c r="H1381" t="str">
        <f t="shared" si="132"/>
        <v>MarkWdh</v>
      </c>
    </row>
    <row r="1382" spans="1:8" x14ac:dyDescent="0.25">
      <c r="A1382" t="s">
        <v>1409</v>
      </c>
      <c r="B1382" s="3">
        <f t="shared" si="133"/>
        <v>31</v>
      </c>
      <c r="C1382" s="3" t="str">
        <f t="shared" si="128"/>
        <v/>
      </c>
      <c r="D1382" s="3">
        <f t="shared" si="129"/>
        <v>154</v>
      </c>
      <c r="E1382" s="5" t="str">
        <f>IF(C1382="",IF(D1382="","",IF(D1382&lt;128,"Wahl "&amp;D1382,INDEX(KdoCodeTab,MATCH(D1382,KdoWertTab,0)))),"Status "&amp;C1382)</f>
        <v>MarkWdh</v>
      </c>
      <c r="F1382" t="str">
        <f t="shared" si="130"/>
        <v>MarkWdh</v>
      </c>
      <c r="G1382" t="str">
        <f t="shared" si="131"/>
        <v/>
      </c>
      <c r="H1382" t="str">
        <f t="shared" si="132"/>
        <v/>
      </c>
    </row>
    <row r="1383" spans="1:8" x14ac:dyDescent="0.25">
      <c r="A1383" t="s">
        <v>1410</v>
      </c>
      <c r="B1383" s="3">
        <f t="shared" si="133"/>
        <v>101</v>
      </c>
      <c r="C1383" s="3" t="str">
        <f t="shared" si="128"/>
        <v/>
      </c>
      <c r="D1383" s="3">
        <f t="shared" si="129"/>
        <v>169</v>
      </c>
      <c r="E1383" s="5" t="str">
        <f>IF(C1383="",IF(D1383="","",IF(D1383&lt;128,"Wahl "&amp;D1383,INDEX(KdoCodeTab,MATCH(D1383,KdoWertTab,0)))),"Status "&amp;C1383)</f>
        <v>BusLebenszeichen</v>
      </c>
      <c r="F1383" t="str">
        <f t="shared" si="130"/>
        <v/>
      </c>
      <c r="G1383" t="str">
        <f t="shared" si="131"/>
        <v/>
      </c>
      <c r="H1383" t="str">
        <f t="shared" si="132"/>
        <v>BusLebenszeichen</v>
      </c>
    </row>
    <row r="1384" spans="1:8" x14ac:dyDescent="0.25">
      <c r="A1384" t="s">
        <v>1411</v>
      </c>
      <c r="B1384" s="3">
        <f t="shared" si="133"/>
        <v>101</v>
      </c>
      <c r="C1384" s="3" t="str">
        <f t="shared" si="128"/>
        <v/>
      </c>
      <c r="D1384" s="3">
        <f t="shared" si="129"/>
        <v>147</v>
      </c>
      <c r="E1384" s="5" t="str">
        <f>IF(C1384="",IF(D1384="","",IF(D1384&lt;128,"Wahl "&amp;D1384,INDEX(KdoCodeTab,MATCH(D1384,KdoWertTab,0)))),"Status "&amp;C1384)</f>
        <v>Space</v>
      </c>
      <c r="F1384" t="str">
        <f t="shared" si="130"/>
        <v/>
      </c>
      <c r="G1384" t="str">
        <f t="shared" si="131"/>
        <v/>
      </c>
      <c r="H1384" t="str">
        <f t="shared" si="132"/>
        <v>Space</v>
      </c>
    </row>
    <row r="1385" spans="1:8" x14ac:dyDescent="0.25">
      <c r="A1385" t="s">
        <v>1412</v>
      </c>
      <c r="B1385" s="3">
        <f t="shared" si="133"/>
        <v>101</v>
      </c>
      <c r="C1385" s="3" t="str">
        <f t="shared" si="128"/>
        <v/>
      </c>
      <c r="D1385" s="3">
        <f t="shared" si="129"/>
        <v>150</v>
      </c>
      <c r="E1385" s="5" t="str">
        <f>IF(C1385="",IF(D1385="","",IF(D1385&lt;128,"Wahl "&amp;D1385,INDEX(KdoCodeTab,MATCH(D1385,KdoWertTab,0)))),"Status "&amp;C1385)</f>
        <v>SpaceWdh</v>
      </c>
      <c r="F1385" t="str">
        <f t="shared" si="130"/>
        <v/>
      </c>
      <c r="G1385" t="str">
        <f t="shared" si="131"/>
        <v/>
      </c>
      <c r="H1385" t="str">
        <f t="shared" si="132"/>
        <v>SpaceWdh</v>
      </c>
    </row>
    <row r="1386" spans="1:8" x14ac:dyDescent="0.25">
      <c r="A1386" t="s">
        <v>1413</v>
      </c>
      <c r="B1386" s="3">
        <f t="shared" si="133"/>
        <v>31</v>
      </c>
      <c r="C1386" s="3" t="str">
        <f t="shared" si="128"/>
        <v/>
      </c>
      <c r="D1386" s="3">
        <f t="shared" si="129"/>
        <v>154</v>
      </c>
      <c r="E1386" s="5" t="str">
        <f>IF(C1386="",IF(D1386="","",IF(D1386&lt;128,"Wahl "&amp;D1386,INDEX(KdoCodeTab,MATCH(D1386,KdoWertTab,0)))),"Status "&amp;C1386)</f>
        <v>MarkWdh</v>
      </c>
      <c r="F1386" t="str">
        <f t="shared" si="130"/>
        <v>MarkWdh</v>
      </c>
      <c r="G1386" t="str">
        <f t="shared" si="131"/>
        <v/>
      </c>
      <c r="H1386" t="str">
        <f t="shared" si="132"/>
        <v/>
      </c>
    </row>
    <row r="1387" spans="1:8" x14ac:dyDescent="0.25">
      <c r="A1387" t="s">
        <v>1414</v>
      </c>
      <c r="B1387" s="3">
        <f t="shared" si="133"/>
        <v>101</v>
      </c>
      <c r="C1387" s="3" t="str">
        <f t="shared" si="128"/>
        <v/>
      </c>
      <c r="D1387" s="3">
        <f t="shared" si="129"/>
        <v>169</v>
      </c>
      <c r="E1387" s="5" t="str">
        <f>IF(C1387="",IF(D1387="","",IF(D1387&lt;128,"Wahl "&amp;D1387,INDEX(KdoCodeTab,MATCH(D1387,KdoWertTab,0)))),"Status "&amp;C1387)</f>
        <v>BusLebenszeichen</v>
      </c>
      <c r="F1387" t="str">
        <f t="shared" si="130"/>
        <v/>
      </c>
      <c r="G1387" t="str">
        <f t="shared" si="131"/>
        <v/>
      </c>
      <c r="H1387" t="str">
        <f t="shared" si="132"/>
        <v>BusLebenszeichen</v>
      </c>
    </row>
    <row r="1388" spans="1:8" x14ac:dyDescent="0.25">
      <c r="A1388" t="s">
        <v>1415</v>
      </c>
      <c r="B1388" s="3">
        <f t="shared" si="133"/>
        <v>31</v>
      </c>
      <c r="C1388" s="3" t="str">
        <f t="shared" si="128"/>
        <v/>
      </c>
      <c r="D1388" s="3">
        <f t="shared" si="129"/>
        <v>154</v>
      </c>
      <c r="E1388" s="5" t="str">
        <f>IF(C1388="",IF(D1388="","",IF(D1388&lt;128,"Wahl "&amp;D1388,INDEX(KdoCodeTab,MATCH(D1388,KdoWertTab,0)))),"Status "&amp;C1388)</f>
        <v>MarkWdh</v>
      </c>
      <c r="F1388" t="str">
        <f t="shared" si="130"/>
        <v>MarkWdh</v>
      </c>
      <c r="G1388" t="str">
        <f t="shared" si="131"/>
        <v/>
      </c>
      <c r="H1388" t="str">
        <f t="shared" si="132"/>
        <v/>
      </c>
    </row>
    <row r="1389" spans="1:8" x14ac:dyDescent="0.25">
      <c r="A1389" t="s">
        <v>1416</v>
      </c>
      <c r="B1389" s="3">
        <f t="shared" si="133"/>
        <v>101</v>
      </c>
      <c r="C1389" s="3" t="str">
        <f t="shared" si="128"/>
        <v/>
      </c>
      <c r="D1389" s="3">
        <f t="shared" si="129"/>
        <v>169</v>
      </c>
      <c r="E1389" s="5" t="str">
        <f>IF(C1389="",IF(D1389="","",IF(D1389&lt;128,"Wahl "&amp;D1389,INDEX(KdoCodeTab,MATCH(D1389,KdoWertTab,0)))),"Status "&amp;C1389)</f>
        <v>BusLebenszeichen</v>
      </c>
      <c r="F1389" t="str">
        <f t="shared" si="130"/>
        <v/>
      </c>
      <c r="G1389" t="str">
        <f t="shared" si="131"/>
        <v/>
      </c>
      <c r="H1389" t="str">
        <f t="shared" si="132"/>
        <v>BusLebenszeichen</v>
      </c>
    </row>
    <row r="1390" spans="1:8" x14ac:dyDescent="0.25">
      <c r="A1390" t="s">
        <v>1417</v>
      </c>
      <c r="B1390" s="3">
        <f t="shared" si="133"/>
        <v>31</v>
      </c>
      <c r="C1390" s="3" t="str">
        <f t="shared" si="128"/>
        <v/>
      </c>
      <c r="D1390" s="3">
        <f t="shared" si="129"/>
        <v>154</v>
      </c>
      <c r="E1390" s="5" t="str">
        <f>IF(C1390="",IF(D1390="","",IF(D1390&lt;128,"Wahl "&amp;D1390,INDEX(KdoCodeTab,MATCH(D1390,KdoWertTab,0)))),"Status "&amp;C1390)</f>
        <v>MarkWdh</v>
      </c>
      <c r="F1390" t="str">
        <f t="shared" si="130"/>
        <v>MarkWdh</v>
      </c>
      <c r="G1390" t="str">
        <f t="shared" si="131"/>
        <v/>
      </c>
      <c r="H1390" t="str">
        <f t="shared" si="132"/>
        <v/>
      </c>
    </row>
    <row r="1391" spans="1:8" x14ac:dyDescent="0.25">
      <c r="A1391" t="s">
        <v>1418</v>
      </c>
      <c r="B1391" s="3">
        <f t="shared" si="133"/>
        <v>101</v>
      </c>
      <c r="C1391" s="3" t="str">
        <f t="shared" si="128"/>
        <v/>
      </c>
      <c r="D1391" s="3">
        <f t="shared" si="129"/>
        <v>170</v>
      </c>
      <c r="E1391" s="5" t="str">
        <f>IF(C1391="",IF(D1391="","",IF(D1391&lt;128,"Wahl "&amp;D1391,INDEX(KdoCodeTab,MATCH(D1391,KdoWertTab,0)))),"Status "&amp;C1391)</f>
        <v>Schluss</v>
      </c>
      <c r="F1391" t="str">
        <f t="shared" si="130"/>
        <v/>
      </c>
      <c r="G1391" t="str">
        <f t="shared" si="131"/>
        <v/>
      </c>
      <c r="H1391" t="str">
        <f t="shared" si="132"/>
        <v>Schluss</v>
      </c>
    </row>
    <row r="1392" spans="1:8" x14ac:dyDescent="0.25">
      <c r="A1392" t="s">
        <v>1419</v>
      </c>
      <c r="B1392" s="3">
        <f t="shared" si="133"/>
        <v>31</v>
      </c>
      <c r="C1392" s="3" t="str">
        <f t="shared" si="128"/>
        <v/>
      </c>
      <c r="D1392" s="3">
        <f t="shared" si="129"/>
        <v>172</v>
      </c>
      <c r="E1392" s="5" t="str">
        <f>IF(C1392="",IF(D1392="","",IF(D1392&lt;128,"Wahl "&amp;D1392,INDEX(KdoCodeTab,MATCH(D1392,KdoWertTab,0)))),"Status "&amp;C1392)</f>
        <v>QuittSchluss</v>
      </c>
      <c r="F1392" t="str">
        <f t="shared" si="130"/>
        <v>QuittSchluss</v>
      </c>
      <c r="G1392" t="str">
        <f t="shared" si="131"/>
        <v/>
      </c>
      <c r="H1392" t="str">
        <f t="shared" si="132"/>
        <v/>
      </c>
    </row>
    <row r="1393" spans="1:8" x14ac:dyDescent="0.25">
      <c r="B1393" s="3">
        <f t="shared" si="133"/>
        <v>0</v>
      </c>
      <c r="C1393" s="3" t="str">
        <f t="shared" si="128"/>
        <v/>
      </c>
      <c r="D1393" s="3" t="str">
        <f t="shared" si="129"/>
        <v/>
      </c>
      <c r="E1393" s="5" t="str">
        <f>IF(C1393="",IF(D1393="","",IF(D1393&lt;128,"Wahl "&amp;D1393,INDEX(KdoCodeTab,MATCH(D1393,KdoWertTab,0)))),"Status "&amp;C1393)</f>
        <v/>
      </c>
      <c r="F1393" t="str">
        <f t="shared" si="130"/>
        <v/>
      </c>
      <c r="G1393" t="str">
        <f t="shared" si="131"/>
        <v/>
      </c>
      <c r="H1393" t="str">
        <f t="shared" si="132"/>
        <v/>
      </c>
    </row>
    <row r="1394" spans="1:8" x14ac:dyDescent="0.25">
      <c r="A1394" t="s">
        <v>2</v>
      </c>
      <c r="B1394" s="3" t="e">
        <f t="shared" si="133"/>
        <v>#NUM!</v>
      </c>
      <c r="C1394" s="3" t="str">
        <f t="shared" si="128"/>
        <v/>
      </c>
      <c r="D1394" s="3" t="str">
        <f t="shared" si="129"/>
        <v/>
      </c>
      <c r="E1394" s="5" t="str">
        <f>IF(C1394="",IF(D1394="","",IF(D1394&lt;128,"Wahl "&amp;D1394,INDEX(KdoCodeTab,MATCH(D1394,KdoWertTab,0)))),"Status "&amp;C1394)</f>
        <v/>
      </c>
      <c r="F1394" t="e">
        <f t="shared" si="130"/>
        <v>#NUM!</v>
      </c>
      <c r="G1394" t="e">
        <f t="shared" si="131"/>
        <v>#NUM!</v>
      </c>
      <c r="H1394" t="e">
        <f t="shared" si="132"/>
        <v>#NUM!</v>
      </c>
    </row>
    <row r="1395" spans="1:8" x14ac:dyDescent="0.25">
      <c r="A1395" t="s">
        <v>1</v>
      </c>
      <c r="B1395" s="3" t="e">
        <f t="shared" si="133"/>
        <v>#NUM!</v>
      </c>
      <c r="C1395" s="3" t="str">
        <f t="shared" si="128"/>
        <v/>
      </c>
      <c r="D1395" s="3" t="str">
        <f t="shared" si="129"/>
        <v/>
      </c>
      <c r="E1395" s="5" t="str">
        <f>IF(C1395="",IF(D1395="","",IF(D1395&lt;128,"Wahl "&amp;D1395,INDEX(KdoCodeTab,MATCH(D1395,KdoWertTab,0)))),"Status "&amp;C1395)</f>
        <v/>
      </c>
      <c r="F1395" t="e">
        <f t="shared" si="130"/>
        <v>#NUM!</v>
      </c>
      <c r="G1395" t="e">
        <f t="shared" si="131"/>
        <v>#NUM!</v>
      </c>
      <c r="H1395" t="e">
        <f t="shared" si="132"/>
        <v>#NUM!</v>
      </c>
    </row>
    <row r="1396" spans="1:8" x14ac:dyDescent="0.25">
      <c r="A1396" t="s">
        <v>440</v>
      </c>
      <c r="B1396" s="3" t="e">
        <f t="shared" si="133"/>
        <v>#NUM!</v>
      </c>
      <c r="C1396" s="3" t="str">
        <f t="shared" si="128"/>
        <v/>
      </c>
      <c r="D1396" s="3" t="str">
        <f t="shared" si="129"/>
        <v/>
      </c>
      <c r="E1396" s="5" t="str">
        <f>IF(C1396="",IF(D1396="","",IF(D1396&lt;128,"Wahl "&amp;D1396,INDEX(KdoCodeTab,MATCH(D1396,KdoWertTab,0)))),"Status "&amp;C1396)</f>
        <v/>
      </c>
      <c r="F1396" t="e">
        <f t="shared" si="130"/>
        <v>#NUM!</v>
      </c>
      <c r="G1396" t="e">
        <f t="shared" si="131"/>
        <v>#NUM!</v>
      </c>
      <c r="H1396" t="e">
        <f t="shared" si="132"/>
        <v>#NUM!</v>
      </c>
    </row>
    <row r="1397" spans="1:8" x14ac:dyDescent="0.25">
      <c r="B1397" s="3"/>
      <c r="C1397" s="3"/>
      <c r="D1397" s="3"/>
      <c r="E1397" s="5"/>
    </row>
    <row r="1398" spans="1:8" x14ac:dyDescent="0.25">
      <c r="B1398" s="3"/>
      <c r="C1398" s="3"/>
      <c r="D1398" s="3"/>
      <c r="E1398" s="5"/>
    </row>
    <row r="1399" spans="1:8" x14ac:dyDescent="0.25">
      <c r="B1399" s="3"/>
      <c r="C1399" s="3"/>
      <c r="D1399" s="3"/>
      <c r="E1399" s="5"/>
    </row>
    <row r="1400" spans="1:8" x14ac:dyDescent="0.25">
      <c r="B1400" s="3"/>
      <c r="C1400" s="3"/>
      <c r="D1400" s="3"/>
      <c r="E1400" s="5"/>
    </row>
    <row r="1401" spans="1:8" x14ac:dyDescent="0.25">
      <c r="B1401" s="3"/>
      <c r="C1401" s="3"/>
      <c r="D1401" s="3"/>
      <c r="E1401" s="5"/>
    </row>
    <row r="1402" spans="1:8" x14ac:dyDescent="0.25">
      <c r="B1402" s="3"/>
      <c r="C1402" s="3"/>
      <c r="D1402" s="3"/>
      <c r="E1402" s="5"/>
    </row>
    <row r="1403" spans="1:8" x14ac:dyDescent="0.25">
      <c r="B1403" s="3"/>
      <c r="C1403" s="3"/>
      <c r="D1403" s="3"/>
      <c r="E1403" s="5"/>
    </row>
    <row r="1404" spans="1:8" x14ac:dyDescent="0.25">
      <c r="B1404" s="3"/>
      <c r="C1404" s="3"/>
      <c r="D1404" s="3"/>
      <c r="E1404" s="5"/>
    </row>
    <row r="1405" spans="1:8" x14ac:dyDescent="0.25">
      <c r="B1405" s="3"/>
      <c r="C1405" s="3"/>
      <c r="D1405" s="3"/>
      <c r="E1405" s="5"/>
    </row>
    <row r="1406" spans="1:8" x14ac:dyDescent="0.25">
      <c r="B1406" s="3"/>
      <c r="C1406" s="3"/>
      <c r="D1406" s="3"/>
      <c r="E1406" s="5"/>
    </row>
    <row r="1407" spans="1:8" x14ac:dyDescent="0.25">
      <c r="B1407" s="3"/>
      <c r="C1407" s="3"/>
      <c r="D1407" s="3"/>
      <c r="E1407" s="5"/>
    </row>
    <row r="1408" spans="1:8" x14ac:dyDescent="0.25">
      <c r="B1408" s="3"/>
      <c r="C1408" s="3"/>
      <c r="D1408" s="3"/>
      <c r="E1408" s="5"/>
    </row>
    <row r="1409" spans="2:5" x14ac:dyDescent="0.25">
      <c r="B1409" s="3"/>
      <c r="C1409" s="3"/>
      <c r="D1409" s="3"/>
      <c r="E1409" s="5"/>
    </row>
    <row r="1410" spans="2:5" x14ac:dyDescent="0.25">
      <c r="B1410" s="3"/>
      <c r="C1410" s="3"/>
      <c r="D1410" s="3"/>
      <c r="E1410" s="5"/>
    </row>
    <row r="1411" spans="2:5" x14ac:dyDescent="0.25">
      <c r="B1411" s="3"/>
      <c r="C1411" s="3"/>
      <c r="D1411" s="3"/>
      <c r="E1411" s="5"/>
    </row>
    <row r="1412" spans="2:5" x14ac:dyDescent="0.25">
      <c r="B1412" s="3"/>
      <c r="C1412" s="3"/>
      <c r="D1412" s="3"/>
      <c r="E1412" s="5"/>
    </row>
    <row r="1413" spans="2:5" x14ac:dyDescent="0.25">
      <c r="B1413" s="3"/>
      <c r="C1413" s="3"/>
      <c r="D1413" s="3"/>
      <c r="E1413" s="5"/>
    </row>
    <row r="1414" spans="2:5" x14ac:dyDescent="0.25">
      <c r="B1414" s="3"/>
      <c r="C1414" s="3"/>
      <c r="D1414" s="3"/>
      <c r="E1414" s="5"/>
    </row>
    <row r="1415" spans="2:5" x14ac:dyDescent="0.25">
      <c r="B1415" s="3"/>
      <c r="C1415" s="3"/>
      <c r="D1415" s="3"/>
      <c r="E1415" s="5"/>
    </row>
    <row r="1416" spans="2:5" x14ac:dyDescent="0.25">
      <c r="B1416" s="3"/>
      <c r="C1416" s="3"/>
      <c r="D1416" s="3"/>
      <c r="E1416" s="5"/>
    </row>
    <row r="1417" spans="2:5" x14ac:dyDescent="0.25">
      <c r="B1417" s="3"/>
      <c r="C1417" s="3"/>
      <c r="D1417" s="3"/>
      <c r="E1417" s="5"/>
    </row>
    <row r="1418" spans="2:5" x14ac:dyDescent="0.25">
      <c r="B1418" s="3"/>
      <c r="C1418" s="3"/>
      <c r="D1418" s="3"/>
      <c r="E1418" s="5"/>
    </row>
    <row r="1419" spans="2:5" x14ac:dyDescent="0.25">
      <c r="B1419" s="3"/>
      <c r="C1419" s="3"/>
      <c r="D1419" s="3"/>
      <c r="E1419" s="5"/>
    </row>
    <row r="1420" spans="2:5" x14ac:dyDescent="0.25">
      <c r="B1420" s="3"/>
      <c r="C1420" s="3"/>
      <c r="D1420" s="3"/>
      <c r="E1420" s="5"/>
    </row>
    <row r="1421" spans="2:5" x14ac:dyDescent="0.25">
      <c r="B1421" s="3"/>
      <c r="C1421" s="3"/>
      <c r="D1421" s="3"/>
      <c r="E1421" s="5"/>
    </row>
    <row r="1422" spans="2:5" x14ac:dyDescent="0.25">
      <c r="B1422" s="3"/>
      <c r="C1422" s="3"/>
      <c r="D1422" s="3"/>
      <c r="E1422" s="5"/>
    </row>
    <row r="1423" spans="2:5" x14ac:dyDescent="0.25">
      <c r="B1423" s="3"/>
      <c r="C1423" s="3"/>
      <c r="D1423" s="3"/>
      <c r="E1423" s="5"/>
    </row>
    <row r="1424" spans="2:5" x14ac:dyDescent="0.25">
      <c r="B1424" s="3"/>
      <c r="C1424" s="3"/>
      <c r="D1424" s="3"/>
      <c r="E1424" s="5"/>
    </row>
    <row r="1425" spans="2:5" x14ac:dyDescent="0.25">
      <c r="B1425" s="3"/>
      <c r="C1425" s="3"/>
      <c r="D1425" s="3"/>
      <c r="E1425" s="5"/>
    </row>
    <row r="1426" spans="2:5" x14ac:dyDescent="0.25">
      <c r="B1426" s="3"/>
      <c r="C1426" s="3"/>
      <c r="D1426" s="3"/>
      <c r="E1426" s="5"/>
    </row>
    <row r="1427" spans="2:5" x14ac:dyDescent="0.25">
      <c r="B1427" s="3"/>
      <c r="C1427" s="3"/>
      <c r="D1427" s="3"/>
      <c r="E1427" s="5"/>
    </row>
    <row r="1428" spans="2:5" x14ac:dyDescent="0.25">
      <c r="B1428" s="3"/>
      <c r="C1428" s="3"/>
      <c r="D1428" s="3"/>
      <c r="E1428" s="5"/>
    </row>
    <row r="1429" spans="2:5" x14ac:dyDescent="0.25">
      <c r="B1429" s="3"/>
      <c r="C1429" s="3"/>
      <c r="D1429" s="3"/>
      <c r="E1429" s="5"/>
    </row>
    <row r="1430" spans="2:5" x14ac:dyDescent="0.25">
      <c r="B1430" s="3"/>
      <c r="C1430" s="3"/>
      <c r="D1430" s="3"/>
      <c r="E1430" s="5"/>
    </row>
    <row r="1431" spans="2:5" x14ac:dyDescent="0.25">
      <c r="B1431" s="3"/>
      <c r="C1431" s="3"/>
      <c r="D1431" s="3"/>
      <c r="E1431" s="5"/>
    </row>
    <row r="1432" spans="2:5" x14ac:dyDescent="0.25">
      <c r="B1432" s="3"/>
      <c r="C1432" s="3"/>
      <c r="D1432" s="3"/>
      <c r="E1432" s="5"/>
    </row>
    <row r="1433" spans="2:5" x14ac:dyDescent="0.25">
      <c r="B1433" s="3"/>
      <c r="C1433" s="3"/>
      <c r="D1433" s="3"/>
      <c r="E1433" s="5"/>
    </row>
    <row r="1434" spans="2:5" x14ac:dyDescent="0.25">
      <c r="B1434" s="3"/>
      <c r="C1434" s="3"/>
      <c r="D1434" s="3"/>
      <c r="E1434" s="5"/>
    </row>
    <row r="1435" spans="2:5" x14ac:dyDescent="0.25">
      <c r="B1435" s="3"/>
      <c r="C1435" s="3"/>
      <c r="D1435" s="3"/>
      <c r="E1435" s="5"/>
    </row>
    <row r="1436" spans="2:5" x14ac:dyDescent="0.25">
      <c r="B1436" s="3"/>
      <c r="C1436" s="3"/>
      <c r="D1436" s="3"/>
      <c r="E1436" s="5"/>
    </row>
    <row r="1437" spans="2:5" x14ac:dyDescent="0.25">
      <c r="B1437" s="3"/>
      <c r="C1437" s="3"/>
      <c r="D1437" s="3"/>
      <c r="E1437" s="5"/>
    </row>
    <row r="1438" spans="2:5" x14ac:dyDescent="0.25">
      <c r="B1438" s="3"/>
      <c r="C1438" s="3"/>
      <c r="D1438" s="3"/>
      <c r="E1438" s="5"/>
    </row>
    <row r="1439" spans="2:5" x14ac:dyDescent="0.25">
      <c r="B1439" s="3"/>
      <c r="C1439" s="3"/>
      <c r="D1439" s="3"/>
      <c r="E1439" s="5"/>
    </row>
    <row r="1440" spans="2:5" x14ac:dyDescent="0.25">
      <c r="B1440" s="3"/>
      <c r="C1440" s="3"/>
      <c r="D1440" s="3"/>
      <c r="E1440" s="5"/>
    </row>
    <row r="1441" spans="2:5" x14ac:dyDescent="0.25">
      <c r="B1441" s="3"/>
      <c r="C1441" s="3"/>
      <c r="D1441" s="3"/>
      <c r="E1441" s="5"/>
    </row>
    <row r="1442" spans="2:5" x14ac:dyDescent="0.25">
      <c r="B1442" s="3"/>
      <c r="C1442" s="3"/>
      <c r="D1442" s="3"/>
      <c r="E1442" s="5"/>
    </row>
    <row r="1443" spans="2:5" x14ac:dyDescent="0.25">
      <c r="B1443" s="3"/>
      <c r="C1443" s="3"/>
      <c r="D1443" s="3"/>
      <c r="E1443" s="5"/>
    </row>
    <row r="1444" spans="2:5" x14ac:dyDescent="0.25">
      <c r="B1444" s="3"/>
      <c r="C1444" s="3"/>
      <c r="D1444" s="3"/>
      <c r="E1444" s="5"/>
    </row>
    <row r="1445" spans="2:5" x14ac:dyDescent="0.25">
      <c r="B1445" s="3"/>
      <c r="C1445" s="3"/>
      <c r="D1445" s="3"/>
      <c r="E1445" s="5"/>
    </row>
    <row r="1446" spans="2:5" x14ac:dyDescent="0.25">
      <c r="B1446" s="3"/>
      <c r="C1446" s="3"/>
      <c r="D1446" s="3"/>
      <c r="E1446" s="5"/>
    </row>
    <row r="1447" spans="2:5" x14ac:dyDescent="0.25">
      <c r="B1447" s="3"/>
      <c r="C1447" s="3"/>
      <c r="D1447" s="3"/>
      <c r="E1447" s="5"/>
    </row>
    <row r="1448" spans="2:5" x14ac:dyDescent="0.25">
      <c r="B1448" s="3"/>
      <c r="C1448" s="3"/>
      <c r="D1448" s="3"/>
      <c r="E1448" s="5"/>
    </row>
    <row r="1449" spans="2:5" x14ac:dyDescent="0.25">
      <c r="B1449" s="3"/>
      <c r="C1449" s="3"/>
      <c r="D1449" s="3"/>
      <c r="E1449" s="5"/>
    </row>
    <row r="1450" spans="2:5" x14ac:dyDescent="0.25">
      <c r="B1450" s="3"/>
      <c r="C1450" s="3"/>
      <c r="D1450" s="3"/>
      <c r="E1450" s="5"/>
    </row>
    <row r="1451" spans="2:5" x14ac:dyDescent="0.25">
      <c r="B1451" s="3"/>
      <c r="C1451" s="3"/>
      <c r="D1451" s="3"/>
      <c r="E1451" s="5"/>
    </row>
    <row r="1452" spans="2:5" x14ac:dyDescent="0.25">
      <c r="B1452" s="3"/>
      <c r="C1452" s="3"/>
      <c r="D1452" s="3"/>
      <c r="E1452" s="5"/>
    </row>
    <row r="1453" spans="2:5" x14ac:dyDescent="0.25">
      <c r="B1453" s="3"/>
      <c r="C1453" s="3"/>
      <c r="D1453" s="3"/>
      <c r="E1453" s="5"/>
    </row>
    <row r="1454" spans="2:5" x14ac:dyDescent="0.25">
      <c r="B1454" s="3"/>
      <c r="C1454" s="3"/>
      <c r="D1454" s="3"/>
      <c r="E1454" s="5"/>
    </row>
    <row r="1455" spans="2:5" x14ac:dyDescent="0.25">
      <c r="B1455" s="3"/>
      <c r="C1455" s="3"/>
      <c r="D1455" s="3"/>
      <c r="E1455" s="5"/>
    </row>
    <row r="1456" spans="2:5" x14ac:dyDescent="0.25">
      <c r="B1456" s="3"/>
      <c r="C1456" s="3"/>
      <c r="D1456" s="3"/>
      <c r="E1456" s="5"/>
    </row>
    <row r="1457" spans="2:5" x14ac:dyDescent="0.25">
      <c r="B1457" s="3"/>
      <c r="C1457" s="3"/>
      <c r="D1457" s="3"/>
      <c r="E1457" s="5"/>
    </row>
    <row r="1458" spans="2:5" x14ac:dyDescent="0.25">
      <c r="B1458" s="3"/>
      <c r="C1458" s="3"/>
      <c r="D1458" s="3"/>
      <c r="E1458" s="5"/>
    </row>
    <row r="1459" spans="2:5" x14ac:dyDescent="0.25">
      <c r="B1459" s="3"/>
      <c r="C1459" s="3"/>
      <c r="D1459" s="3"/>
      <c r="E1459" s="5"/>
    </row>
    <row r="1460" spans="2:5" x14ac:dyDescent="0.25">
      <c r="B1460" s="3"/>
      <c r="C1460" s="3"/>
      <c r="D1460" s="3"/>
      <c r="E1460" s="5"/>
    </row>
    <row r="1461" spans="2:5" x14ac:dyDescent="0.25">
      <c r="B1461" s="3"/>
      <c r="C1461" s="3"/>
      <c r="D1461" s="3"/>
      <c r="E1461" s="5"/>
    </row>
    <row r="1462" spans="2:5" x14ac:dyDescent="0.25">
      <c r="B1462" s="3"/>
      <c r="C1462" s="3"/>
      <c r="D1462" s="3"/>
      <c r="E1462" s="5"/>
    </row>
    <row r="1463" spans="2:5" x14ac:dyDescent="0.25">
      <c r="B1463" s="3"/>
      <c r="C1463" s="3"/>
      <c r="D1463" s="3"/>
      <c r="E1463" s="5"/>
    </row>
    <row r="1464" spans="2:5" x14ac:dyDescent="0.25">
      <c r="B1464" s="3"/>
      <c r="C1464" s="3"/>
      <c r="D1464" s="3"/>
      <c r="E1464" s="5"/>
    </row>
    <row r="1465" spans="2:5" x14ac:dyDescent="0.25">
      <c r="B1465" s="3"/>
      <c r="C1465" s="3"/>
      <c r="D1465" s="3"/>
      <c r="E1465" s="5"/>
    </row>
    <row r="1466" spans="2:5" x14ac:dyDescent="0.25">
      <c r="B1466" s="3"/>
      <c r="C1466" s="3"/>
      <c r="D1466" s="3"/>
      <c r="E1466" s="5"/>
    </row>
    <row r="1467" spans="2:5" x14ac:dyDescent="0.25">
      <c r="B1467" s="3"/>
      <c r="C1467" s="3"/>
      <c r="D1467" s="3"/>
      <c r="E1467" s="5"/>
    </row>
    <row r="1468" spans="2:5" x14ac:dyDescent="0.25">
      <c r="B1468" s="3"/>
      <c r="C1468" s="3"/>
      <c r="D1468" s="3"/>
      <c r="E1468" s="5"/>
    </row>
    <row r="1469" spans="2:5" x14ac:dyDescent="0.25">
      <c r="B1469" s="3"/>
      <c r="C1469" s="3"/>
      <c r="D1469" s="3"/>
      <c r="E1469" s="5"/>
    </row>
    <row r="1470" spans="2:5" x14ac:dyDescent="0.25">
      <c r="B1470" s="3"/>
      <c r="C1470" s="3"/>
      <c r="D1470" s="3"/>
      <c r="E1470" s="5"/>
    </row>
    <row r="1471" spans="2:5" x14ac:dyDescent="0.25">
      <c r="B1471" s="3"/>
      <c r="C1471" s="3"/>
      <c r="D1471" s="3"/>
      <c r="E1471" s="5"/>
    </row>
    <row r="1472" spans="2:5" x14ac:dyDescent="0.25">
      <c r="B1472" s="3"/>
      <c r="C1472" s="3"/>
      <c r="D1472" s="3"/>
      <c r="E1472" s="5"/>
    </row>
    <row r="1473" spans="2:5" x14ac:dyDescent="0.25">
      <c r="B1473" s="3"/>
      <c r="C1473" s="3"/>
      <c r="D1473" s="3"/>
      <c r="E1473" s="5"/>
    </row>
    <row r="1474" spans="2:5" x14ac:dyDescent="0.25">
      <c r="B1474" s="3"/>
      <c r="C1474" s="3"/>
      <c r="D1474" s="3"/>
      <c r="E1474" s="5"/>
    </row>
    <row r="1475" spans="2:5" x14ac:dyDescent="0.25">
      <c r="B1475" s="3"/>
      <c r="C1475" s="3"/>
      <c r="D1475" s="3"/>
      <c r="E1475" s="5"/>
    </row>
    <row r="1476" spans="2:5" x14ac:dyDescent="0.25">
      <c r="B1476" s="3"/>
      <c r="C1476" s="3"/>
      <c r="D1476" s="3"/>
      <c r="E1476" s="5"/>
    </row>
    <row r="1477" spans="2:5" x14ac:dyDescent="0.25">
      <c r="B1477" s="3"/>
      <c r="C1477" s="3"/>
      <c r="D1477" s="3"/>
      <c r="E1477" s="5"/>
    </row>
    <row r="1478" spans="2:5" x14ac:dyDescent="0.25">
      <c r="B1478" s="3"/>
      <c r="C1478" s="3"/>
      <c r="D1478" s="3"/>
      <c r="E1478" s="5"/>
    </row>
    <row r="1479" spans="2:5" x14ac:dyDescent="0.25">
      <c r="B1479" s="3"/>
      <c r="C1479" s="3"/>
      <c r="D1479" s="3"/>
      <c r="E1479" s="5"/>
    </row>
    <row r="1480" spans="2:5" x14ac:dyDescent="0.25">
      <c r="B1480" s="3"/>
      <c r="C1480" s="3"/>
      <c r="D1480" s="3"/>
      <c r="E1480" s="5"/>
    </row>
    <row r="1481" spans="2:5" x14ac:dyDescent="0.25">
      <c r="B1481" s="3"/>
      <c r="C1481" s="3"/>
      <c r="D1481" s="3"/>
      <c r="E1481" s="5"/>
    </row>
    <row r="1482" spans="2:5" x14ac:dyDescent="0.25">
      <c r="B1482" s="3"/>
      <c r="C1482" s="3"/>
      <c r="D1482" s="3"/>
      <c r="E1482" s="5"/>
    </row>
    <row r="1483" spans="2:5" x14ac:dyDescent="0.25">
      <c r="B1483" s="3"/>
      <c r="C1483" s="3"/>
      <c r="D1483" s="3"/>
      <c r="E1483" s="5"/>
    </row>
    <row r="1484" spans="2:5" x14ac:dyDescent="0.25">
      <c r="B1484" s="3"/>
      <c r="C1484" s="3"/>
      <c r="D1484" s="3"/>
      <c r="E1484" s="5"/>
    </row>
    <row r="1485" spans="2:5" x14ac:dyDescent="0.25">
      <c r="B1485" s="3"/>
      <c r="C1485" s="3"/>
      <c r="D1485" s="3"/>
      <c r="E1485" s="5"/>
    </row>
    <row r="1486" spans="2:5" x14ac:dyDescent="0.25">
      <c r="B1486" s="3"/>
      <c r="C1486" s="3"/>
      <c r="D1486" s="3"/>
      <c r="E1486" s="5"/>
    </row>
    <row r="1487" spans="2:5" x14ac:dyDescent="0.25">
      <c r="B1487" s="3"/>
      <c r="C1487" s="3"/>
      <c r="D1487" s="3"/>
      <c r="E1487" s="5"/>
    </row>
    <row r="1488" spans="2:5" x14ac:dyDescent="0.25">
      <c r="B1488" s="3"/>
      <c r="C1488" s="3"/>
      <c r="D1488" s="3"/>
      <c r="E1488" s="5"/>
    </row>
    <row r="1489" spans="2:5" x14ac:dyDescent="0.25">
      <c r="B1489" s="3"/>
      <c r="C1489" s="3"/>
      <c r="D1489" s="3"/>
      <c r="E1489" s="5"/>
    </row>
    <row r="1490" spans="2:5" x14ac:dyDescent="0.25">
      <c r="B1490" s="3"/>
      <c r="C1490" s="3"/>
      <c r="D1490" s="3"/>
      <c r="E1490" s="5"/>
    </row>
    <row r="1491" spans="2:5" x14ac:dyDescent="0.25">
      <c r="B1491" s="3"/>
      <c r="C1491" s="3"/>
      <c r="D1491" s="3"/>
      <c r="E1491" s="5"/>
    </row>
    <row r="1492" spans="2:5" x14ac:dyDescent="0.25">
      <c r="B1492" s="3"/>
      <c r="C1492" s="3"/>
      <c r="D1492" s="3"/>
      <c r="E1492" s="5"/>
    </row>
    <row r="1493" spans="2:5" x14ac:dyDescent="0.25">
      <c r="B1493" s="3"/>
      <c r="C1493" s="3"/>
      <c r="D1493" s="3"/>
      <c r="E1493" s="5"/>
    </row>
    <row r="1494" spans="2:5" x14ac:dyDescent="0.25">
      <c r="B1494" s="3"/>
      <c r="C1494" s="3"/>
      <c r="D1494" s="3"/>
      <c r="E1494" s="5"/>
    </row>
    <row r="1495" spans="2:5" x14ac:dyDescent="0.25">
      <c r="B1495" s="3"/>
      <c r="C1495" s="3"/>
      <c r="D1495" s="3"/>
      <c r="E1495" s="5"/>
    </row>
    <row r="1496" spans="2:5" x14ac:dyDescent="0.25">
      <c r="B1496" s="3"/>
      <c r="C1496" s="3"/>
      <c r="D1496" s="3"/>
      <c r="E1496" s="5"/>
    </row>
    <row r="1497" spans="2:5" x14ac:dyDescent="0.25">
      <c r="B1497" s="3"/>
      <c r="C1497" s="3"/>
      <c r="D1497" s="3"/>
      <c r="E1497" s="5"/>
    </row>
    <row r="1498" spans="2:5" x14ac:dyDescent="0.25">
      <c r="B1498" s="3"/>
      <c r="C1498" s="3"/>
      <c r="D1498" s="3"/>
      <c r="E1498" s="5"/>
    </row>
    <row r="1499" spans="2:5" x14ac:dyDescent="0.25">
      <c r="B1499" s="3"/>
      <c r="C1499" s="3"/>
      <c r="D1499" s="3"/>
      <c r="E1499" s="5"/>
    </row>
    <row r="1500" spans="2:5" x14ac:dyDescent="0.25">
      <c r="B1500" s="3"/>
      <c r="C1500" s="3"/>
      <c r="D1500" s="3"/>
      <c r="E1500" s="5"/>
    </row>
    <row r="1501" spans="2:5" x14ac:dyDescent="0.25">
      <c r="B1501" s="3"/>
      <c r="C1501" s="3"/>
      <c r="D1501" s="3"/>
      <c r="E1501" s="5"/>
    </row>
    <row r="1502" spans="2:5" x14ac:dyDescent="0.25">
      <c r="B1502" s="3"/>
      <c r="C1502" s="3"/>
      <c r="D1502" s="3"/>
      <c r="E1502" s="5"/>
    </row>
    <row r="1503" spans="2:5" x14ac:dyDescent="0.25">
      <c r="B1503" s="3"/>
      <c r="C1503" s="3"/>
      <c r="D1503" s="3"/>
      <c r="E1503" s="5"/>
    </row>
    <row r="1504" spans="2:5" x14ac:dyDescent="0.25">
      <c r="B1504" s="3"/>
      <c r="C1504" s="3"/>
      <c r="D1504" s="3"/>
      <c r="E1504" s="5"/>
    </row>
    <row r="1505" spans="2:5" x14ac:dyDescent="0.25">
      <c r="B1505" s="3"/>
      <c r="C1505" s="3"/>
      <c r="D1505" s="3"/>
      <c r="E1505" s="5"/>
    </row>
    <row r="1506" spans="2:5" x14ac:dyDescent="0.25">
      <c r="B1506" s="3"/>
      <c r="C1506" s="3"/>
      <c r="D1506" s="3"/>
      <c r="E1506" s="5"/>
    </row>
    <row r="1507" spans="2:5" x14ac:dyDescent="0.25">
      <c r="B1507" s="3"/>
      <c r="C1507" s="3"/>
      <c r="D1507" s="3"/>
      <c r="E1507" s="5"/>
    </row>
    <row r="1508" spans="2:5" x14ac:dyDescent="0.25">
      <c r="B1508" s="3"/>
      <c r="C1508" s="3"/>
      <c r="D1508" s="3"/>
      <c r="E1508" s="5"/>
    </row>
    <row r="1509" spans="2:5" x14ac:dyDescent="0.25">
      <c r="B1509" s="3"/>
      <c r="C1509" s="3"/>
      <c r="D1509" s="3"/>
      <c r="E1509" s="5"/>
    </row>
    <row r="1510" spans="2:5" x14ac:dyDescent="0.25">
      <c r="B1510" s="3"/>
      <c r="C1510" s="3"/>
      <c r="D1510" s="3"/>
      <c r="E1510" s="5"/>
    </row>
    <row r="1511" spans="2:5" x14ac:dyDescent="0.25">
      <c r="B1511" s="3"/>
      <c r="C1511" s="3"/>
      <c r="D1511" s="3"/>
      <c r="E1511" s="5"/>
    </row>
    <row r="1512" spans="2:5" x14ac:dyDescent="0.25">
      <c r="B1512" s="3"/>
      <c r="C1512" s="3"/>
      <c r="D1512" s="3"/>
      <c r="E1512" s="5"/>
    </row>
    <row r="1513" spans="2:5" x14ac:dyDescent="0.25">
      <c r="B1513" s="3"/>
      <c r="C1513" s="3"/>
      <c r="D1513" s="3"/>
      <c r="E1513" s="5"/>
    </row>
    <row r="1514" spans="2:5" x14ac:dyDescent="0.25">
      <c r="B1514" s="3"/>
      <c r="C1514" s="3"/>
      <c r="D1514" s="3"/>
      <c r="E1514" s="5"/>
    </row>
    <row r="1515" spans="2:5" x14ac:dyDescent="0.25">
      <c r="B1515" s="3"/>
      <c r="C1515" s="3"/>
      <c r="D1515" s="3"/>
      <c r="E1515" s="5"/>
    </row>
    <row r="1516" spans="2:5" x14ac:dyDescent="0.25">
      <c r="B1516" s="3"/>
      <c r="C1516" s="3"/>
      <c r="D1516" s="3"/>
      <c r="E1516" s="5"/>
    </row>
    <row r="1517" spans="2:5" x14ac:dyDescent="0.25">
      <c r="B1517" s="3"/>
      <c r="C1517" s="3"/>
      <c r="D1517" s="3"/>
      <c r="E1517" s="5"/>
    </row>
    <row r="1518" spans="2:5" x14ac:dyDescent="0.25">
      <c r="B1518" s="3"/>
      <c r="C1518" s="3"/>
      <c r="D1518" s="3"/>
      <c r="E1518" s="5"/>
    </row>
    <row r="1519" spans="2:5" x14ac:dyDescent="0.25">
      <c r="B1519" s="3"/>
      <c r="C1519" s="3"/>
      <c r="D1519" s="3"/>
      <c r="E1519" s="5"/>
    </row>
    <row r="1520" spans="2:5" x14ac:dyDescent="0.25">
      <c r="B1520" s="3"/>
      <c r="C1520" s="3"/>
      <c r="D1520" s="3"/>
      <c r="E1520" s="5"/>
    </row>
    <row r="1521" spans="2:5" x14ac:dyDescent="0.25">
      <c r="B1521" s="3"/>
      <c r="C1521" s="3"/>
      <c r="D1521" s="3"/>
      <c r="E1521" s="5"/>
    </row>
    <row r="1522" spans="2:5" x14ac:dyDescent="0.25">
      <c r="B1522" s="3"/>
      <c r="C1522" s="3"/>
      <c r="D1522" s="3"/>
      <c r="E1522" s="5"/>
    </row>
    <row r="1523" spans="2:5" x14ac:dyDescent="0.25">
      <c r="B1523" s="3"/>
      <c r="C1523" s="3"/>
      <c r="D1523" s="3"/>
      <c r="E1523" s="5"/>
    </row>
    <row r="1524" spans="2:5" x14ac:dyDescent="0.25">
      <c r="B1524" s="3"/>
      <c r="C1524" s="3"/>
      <c r="D1524" s="3"/>
      <c r="E1524" s="5"/>
    </row>
    <row r="1525" spans="2:5" x14ac:dyDescent="0.25">
      <c r="B1525" s="3"/>
      <c r="C1525" s="3"/>
      <c r="D1525" s="3"/>
      <c r="E1525" s="5"/>
    </row>
    <row r="1526" spans="2:5" x14ac:dyDescent="0.25">
      <c r="B1526" s="3"/>
      <c r="C1526" s="3"/>
      <c r="D1526" s="3"/>
      <c r="E1526" s="5"/>
    </row>
    <row r="1527" spans="2:5" x14ac:dyDescent="0.25">
      <c r="B1527" s="3"/>
      <c r="C1527" s="3"/>
      <c r="D1527" s="3"/>
      <c r="E1527" s="5"/>
    </row>
    <row r="1528" spans="2:5" x14ac:dyDescent="0.25">
      <c r="B1528" s="3"/>
      <c r="C1528" s="3"/>
      <c r="D1528" s="3"/>
      <c r="E1528" s="5"/>
    </row>
    <row r="1529" spans="2:5" x14ac:dyDescent="0.25">
      <c r="B1529" s="3"/>
      <c r="C1529" s="3"/>
      <c r="D1529" s="3"/>
      <c r="E1529" s="5"/>
    </row>
    <row r="1530" spans="2:5" x14ac:dyDescent="0.25">
      <c r="B1530" s="3"/>
      <c r="C1530" s="3"/>
      <c r="D1530" s="3"/>
      <c r="E1530" s="5"/>
    </row>
    <row r="1531" spans="2:5" x14ac:dyDescent="0.25">
      <c r="B1531" s="3"/>
      <c r="C1531" s="3"/>
      <c r="D1531" s="3"/>
      <c r="E1531" s="5"/>
    </row>
    <row r="1532" spans="2:5" x14ac:dyDescent="0.25">
      <c r="B1532" s="3"/>
      <c r="C1532" s="3"/>
      <c r="D1532" s="3"/>
      <c r="E1532" s="5"/>
    </row>
    <row r="1533" spans="2:5" x14ac:dyDescent="0.25">
      <c r="B1533" s="3"/>
      <c r="C1533" s="3"/>
      <c r="D1533" s="3"/>
      <c r="E1533" s="5"/>
    </row>
    <row r="1534" spans="2:5" x14ac:dyDescent="0.25">
      <c r="B1534" s="3"/>
      <c r="C1534" s="3"/>
      <c r="D1534" s="3"/>
      <c r="E1534" s="5"/>
    </row>
    <row r="1535" spans="2:5" x14ac:dyDescent="0.25">
      <c r="B1535" s="3"/>
      <c r="C1535" s="3"/>
      <c r="D1535" s="3"/>
      <c r="E1535" s="5"/>
    </row>
    <row r="1536" spans="2:5" x14ac:dyDescent="0.25">
      <c r="B1536" s="3"/>
      <c r="C1536" s="3"/>
      <c r="D1536" s="3"/>
      <c r="E1536" s="5"/>
    </row>
    <row r="1537" spans="2:5" x14ac:dyDescent="0.25">
      <c r="B1537" s="3"/>
      <c r="C1537" s="3"/>
      <c r="D1537" s="3"/>
      <c r="E1537" s="5"/>
    </row>
    <row r="1538" spans="2:5" x14ac:dyDescent="0.25">
      <c r="B1538" s="3"/>
      <c r="C1538" s="3"/>
      <c r="D1538" s="3"/>
      <c r="E1538" s="5"/>
    </row>
    <row r="1539" spans="2:5" x14ac:dyDescent="0.25">
      <c r="B1539" s="3"/>
      <c r="C1539" s="3"/>
      <c r="D1539" s="3"/>
      <c r="E1539" s="5"/>
    </row>
    <row r="1540" spans="2:5" x14ac:dyDescent="0.25">
      <c r="B1540" s="3"/>
      <c r="C1540" s="3"/>
      <c r="D1540" s="3"/>
      <c r="E1540" s="5"/>
    </row>
    <row r="1541" spans="2:5" x14ac:dyDescent="0.25">
      <c r="B1541" s="3"/>
      <c r="C1541" s="3"/>
      <c r="D1541" s="3"/>
      <c r="E1541" s="5"/>
    </row>
    <row r="1542" spans="2:5" x14ac:dyDescent="0.25">
      <c r="B1542" s="3"/>
      <c r="C1542" s="3"/>
      <c r="D1542" s="3"/>
      <c r="E1542" s="5"/>
    </row>
    <row r="1543" spans="2:5" x14ac:dyDescent="0.25">
      <c r="B1543" s="3"/>
      <c r="C1543" s="3"/>
      <c r="D1543" s="3"/>
      <c r="E1543" s="5"/>
    </row>
    <row r="1544" spans="2:5" x14ac:dyDescent="0.25">
      <c r="B1544" s="3"/>
      <c r="C1544" s="3"/>
      <c r="D1544" s="3"/>
      <c r="E1544" s="5"/>
    </row>
    <row r="1545" spans="2:5" x14ac:dyDescent="0.25">
      <c r="B1545" s="3"/>
      <c r="C1545" s="3"/>
      <c r="D1545" s="3"/>
      <c r="E1545" s="5"/>
    </row>
    <row r="1546" spans="2:5" x14ac:dyDescent="0.25">
      <c r="B1546" s="3"/>
      <c r="C1546" s="3"/>
      <c r="D1546" s="3"/>
      <c r="E1546" s="5"/>
    </row>
    <row r="1547" spans="2:5" x14ac:dyDescent="0.25">
      <c r="B1547" s="3"/>
      <c r="C1547" s="3"/>
      <c r="D1547" s="3"/>
      <c r="E1547" s="5"/>
    </row>
    <row r="1548" spans="2:5" x14ac:dyDescent="0.25">
      <c r="B1548" s="3"/>
      <c r="C1548" s="3"/>
      <c r="D1548" s="3"/>
      <c r="E1548" s="5"/>
    </row>
    <row r="1549" spans="2:5" x14ac:dyDescent="0.25">
      <c r="B1549" s="3"/>
      <c r="C1549" s="3"/>
      <c r="D1549" s="3"/>
      <c r="E1549" s="5"/>
    </row>
    <row r="1550" spans="2:5" x14ac:dyDescent="0.25">
      <c r="B1550" s="3"/>
      <c r="C1550" s="3"/>
      <c r="D1550" s="3"/>
      <c r="E1550" s="5"/>
    </row>
    <row r="1551" spans="2:5" x14ac:dyDescent="0.25">
      <c r="B1551" s="3"/>
      <c r="C1551" s="3"/>
      <c r="D1551" s="3"/>
      <c r="E1551" s="5"/>
    </row>
    <row r="1552" spans="2:5" x14ac:dyDescent="0.25">
      <c r="B1552" s="3"/>
      <c r="C1552" s="3"/>
      <c r="D1552" s="3"/>
      <c r="E1552" s="5"/>
    </row>
    <row r="1553" spans="2:5" x14ac:dyDescent="0.25">
      <c r="B1553" s="3"/>
      <c r="C1553" s="3"/>
      <c r="D1553" s="3"/>
      <c r="E1553" s="5"/>
    </row>
    <row r="1554" spans="2:5" x14ac:dyDescent="0.25">
      <c r="B1554" s="3"/>
      <c r="C1554" s="3"/>
      <c r="D1554" s="3"/>
      <c r="E1554" s="5"/>
    </row>
    <row r="1555" spans="2:5" x14ac:dyDescent="0.25">
      <c r="B1555" s="3"/>
      <c r="C1555" s="3"/>
      <c r="D1555" s="3"/>
      <c r="E1555" s="5"/>
    </row>
    <row r="1556" spans="2:5" x14ac:dyDescent="0.25">
      <c r="B1556" s="3"/>
      <c r="C1556" s="3"/>
      <c r="D1556" s="3"/>
      <c r="E1556" s="5"/>
    </row>
    <row r="1557" spans="2:5" x14ac:dyDescent="0.25">
      <c r="B1557" s="3"/>
      <c r="C1557" s="3"/>
      <c r="D1557" s="3"/>
      <c r="E1557" s="5"/>
    </row>
    <row r="1558" spans="2:5" x14ac:dyDescent="0.25">
      <c r="B1558" s="3"/>
      <c r="C1558" s="3"/>
      <c r="D1558" s="3"/>
      <c r="E1558" s="5"/>
    </row>
    <row r="1559" spans="2:5" x14ac:dyDescent="0.25">
      <c r="B1559" s="3"/>
      <c r="C1559" s="3"/>
      <c r="D1559" s="3"/>
      <c r="E1559" s="5"/>
    </row>
    <row r="1560" spans="2:5" x14ac:dyDescent="0.25">
      <c r="B1560" s="3"/>
      <c r="C1560" s="3"/>
      <c r="D1560" s="3"/>
      <c r="E1560" s="5"/>
    </row>
    <row r="1561" spans="2:5" x14ac:dyDescent="0.25">
      <c r="B1561" s="3"/>
      <c r="C1561" s="3"/>
      <c r="D1561" s="3"/>
      <c r="E1561" s="5"/>
    </row>
    <row r="1562" spans="2:5" x14ac:dyDescent="0.25">
      <c r="B1562" s="3"/>
      <c r="C1562" s="3"/>
      <c r="D1562" s="3"/>
      <c r="E1562" s="5"/>
    </row>
    <row r="1563" spans="2:5" x14ac:dyDescent="0.25">
      <c r="B1563" s="3"/>
      <c r="C1563" s="3"/>
      <c r="D1563" s="3"/>
      <c r="E1563" s="5"/>
    </row>
    <row r="1564" spans="2:5" x14ac:dyDescent="0.25">
      <c r="B1564" s="3"/>
      <c r="C1564" s="3"/>
      <c r="D1564" s="3"/>
      <c r="E1564" s="5"/>
    </row>
    <row r="1565" spans="2:5" x14ac:dyDescent="0.25">
      <c r="B1565" s="3"/>
      <c r="C1565" s="3"/>
      <c r="D1565" s="3"/>
      <c r="E1565" s="5"/>
    </row>
    <row r="1566" spans="2:5" x14ac:dyDescent="0.25">
      <c r="B1566" s="3"/>
      <c r="C1566" s="3"/>
      <c r="D1566" s="3"/>
      <c r="E1566" s="5"/>
    </row>
    <row r="1567" spans="2:5" x14ac:dyDescent="0.25">
      <c r="B1567" s="3"/>
      <c r="C1567" s="3"/>
      <c r="D1567" s="3"/>
      <c r="E1567" s="5"/>
    </row>
    <row r="1568" spans="2:5" x14ac:dyDescent="0.25">
      <c r="B1568" s="3"/>
      <c r="C1568" s="3"/>
      <c r="D1568" s="3"/>
      <c r="E1568" s="5"/>
    </row>
    <row r="1569" spans="2:5" x14ac:dyDescent="0.25">
      <c r="B1569" s="3"/>
      <c r="C1569" s="3"/>
      <c r="D1569" s="3"/>
      <c r="E1569" s="5"/>
    </row>
    <row r="1570" spans="2:5" x14ac:dyDescent="0.25">
      <c r="B1570" s="3"/>
      <c r="C1570" s="3"/>
      <c r="D1570" s="3"/>
      <c r="E1570" s="5"/>
    </row>
    <row r="1571" spans="2:5" x14ac:dyDescent="0.25">
      <c r="B1571" s="3"/>
      <c r="C1571" s="3"/>
      <c r="D1571" s="3"/>
      <c r="E1571" s="5"/>
    </row>
    <row r="1572" spans="2:5" x14ac:dyDescent="0.25">
      <c r="B1572" s="3"/>
      <c r="C1572" s="3"/>
      <c r="D1572" s="3"/>
      <c r="E1572" s="5"/>
    </row>
    <row r="1573" spans="2:5" x14ac:dyDescent="0.25">
      <c r="B1573" s="3"/>
      <c r="C1573" s="3"/>
      <c r="D1573" s="3"/>
      <c r="E1573" s="5"/>
    </row>
    <row r="1574" spans="2:5" x14ac:dyDescent="0.25">
      <c r="B1574" s="3"/>
      <c r="C1574" s="3"/>
      <c r="D1574" s="3"/>
      <c r="E1574" s="5"/>
    </row>
    <row r="1575" spans="2:5" x14ac:dyDescent="0.25">
      <c r="B1575" s="3"/>
      <c r="C1575" s="3"/>
      <c r="D1575" s="3"/>
      <c r="E1575" s="5"/>
    </row>
    <row r="1576" spans="2:5" x14ac:dyDescent="0.25">
      <c r="B1576" s="3"/>
      <c r="C1576" s="3"/>
      <c r="D1576" s="3"/>
      <c r="E1576" s="5"/>
    </row>
    <row r="1577" spans="2:5" x14ac:dyDescent="0.25">
      <c r="B1577" s="3"/>
      <c r="C1577" s="3"/>
      <c r="D1577" s="3"/>
      <c r="E1577" s="5"/>
    </row>
    <row r="1578" spans="2:5" x14ac:dyDescent="0.25">
      <c r="B1578" s="3"/>
      <c r="C1578" s="3"/>
      <c r="D1578" s="3"/>
      <c r="E1578" s="5"/>
    </row>
    <row r="1579" spans="2:5" x14ac:dyDescent="0.25">
      <c r="B1579" s="3"/>
      <c r="C1579" s="3"/>
      <c r="D1579" s="3"/>
      <c r="E1579" s="5"/>
    </row>
    <row r="1580" spans="2:5" x14ac:dyDescent="0.25">
      <c r="B1580" s="3"/>
      <c r="C1580" s="3"/>
      <c r="D1580" s="3"/>
      <c r="E1580" s="5"/>
    </row>
    <row r="1581" spans="2:5" x14ac:dyDescent="0.25">
      <c r="B1581" s="3"/>
      <c r="C1581" s="3"/>
      <c r="D1581" s="3"/>
      <c r="E1581" s="5"/>
    </row>
    <row r="1582" spans="2:5" x14ac:dyDescent="0.25">
      <c r="B1582" s="3"/>
      <c r="C1582" s="3"/>
      <c r="D1582" s="3"/>
      <c r="E1582" s="5"/>
    </row>
    <row r="1583" spans="2:5" x14ac:dyDescent="0.25">
      <c r="B1583" s="3"/>
      <c r="C1583" s="3"/>
      <c r="D1583" s="3"/>
      <c r="E1583" s="5"/>
    </row>
    <row r="1584" spans="2:5" x14ac:dyDescent="0.25">
      <c r="B1584" s="3"/>
      <c r="C1584" s="3"/>
      <c r="D1584" s="3"/>
      <c r="E1584" s="5"/>
    </row>
    <row r="1585" spans="2:5" x14ac:dyDescent="0.25">
      <c r="B1585" s="3"/>
      <c r="C1585" s="3"/>
      <c r="D1585" s="3"/>
      <c r="E1585" s="5"/>
    </row>
    <row r="1586" spans="2:5" x14ac:dyDescent="0.25">
      <c r="B1586" s="3"/>
      <c r="C1586" s="3"/>
      <c r="D1586" s="3"/>
      <c r="E1586" s="5"/>
    </row>
    <row r="1587" spans="2:5" x14ac:dyDescent="0.25">
      <c r="B1587" s="3"/>
      <c r="C1587" s="3"/>
      <c r="D1587" s="3"/>
      <c r="E1587" s="5"/>
    </row>
    <row r="1588" spans="2:5" x14ac:dyDescent="0.25">
      <c r="B1588" s="3"/>
      <c r="C1588" s="3"/>
      <c r="D1588" s="3"/>
      <c r="E1588" s="5"/>
    </row>
    <row r="1589" spans="2:5" x14ac:dyDescent="0.25">
      <c r="B1589" s="3"/>
      <c r="C1589" s="3"/>
      <c r="D1589" s="3"/>
      <c r="E1589" s="5"/>
    </row>
    <row r="1590" spans="2:5" x14ac:dyDescent="0.25">
      <c r="B1590" s="3"/>
      <c r="C1590" s="3"/>
      <c r="D1590" s="3"/>
      <c r="E1590" s="5"/>
    </row>
    <row r="1591" spans="2:5" x14ac:dyDescent="0.25">
      <c r="B1591" s="3"/>
      <c r="C1591" s="3"/>
      <c r="D1591" s="3"/>
      <c r="E1591" s="5"/>
    </row>
    <row r="1592" spans="2:5" x14ac:dyDescent="0.25">
      <c r="B1592" s="3"/>
      <c r="C1592" s="3"/>
      <c r="D1592" s="3"/>
      <c r="E1592" s="5"/>
    </row>
    <row r="1593" spans="2:5" x14ac:dyDescent="0.25">
      <c r="B1593" s="3"/>
      <c r="C1593" s="3"/>
      <c r="D1593" s="3"/>
      <c r="E1593" s="5"/>
    </row>
    <row r="1594" spans="2:5" x14ac:dyDescent="0.25">
      <c r="B1594" s="3"/>
      <c r="C1594" s="3"/>
      <c r="D1594" s="3"/>
      <c r="E1594" s="5"/>
    </row>
    <row r="1595" spans="2:5" x14ac:dyDescent="0.25">
      <c r="B1595" s="3"/>
      <c r="C1595" s="3"/>
      <c r="D1595" s="3"/>
      <c r="E1595" s="5"/>
    </row>
    <row r="1596" spans="2:5" x14ac:dyDescent="0.25">
      <c r="B1596" s="3"/>
      <c r="C1596" s="3"/>
      <c r="D1596" s="3"/>
      <c r="E1596" s="5"/>
    </row>
    <row r="1597" spans="2:5" x14ac:dyDescent="0.25">
      <c r="B1597" s="3"/>
      <c r="C1597" s="3"/>
      <c r="D1597" s="3"/>
      <c r="E1597" s="5"/>
    </row>
    <row r="1598" spans="2:5" x14ac:dyDescent="0.25">
      <c r="B1598" s="3"/>
      <c r="C1598" s="3"/>
      <c r="D1598" s="3"/>
      <c r="E1598" s="5"/>
    </row>
    <row r="1599" spans="2:5" x14ac:dyDescent="0.25">
      <c r="B1599" s="3"/>
      <c r="C1599" s="3"/>
      <c r="D1599" s="3"/>
      <c r="E1599" s="5"/>
    </row>
    <row r="1600" spans="2:5" x14ac:dyDescent="0.25">
      <c r="B1600" s="3"/>
      <c r="C1600" s="3"/>
      <c r="D1600" s="3"/>
      <c r="E1600" s="5"/>
    </row>
    <row r="1601" spans="2:5" x14ac:dyDescent="0.25">
      <c r="B1601" s="3"/>
      <c r="C1601" s="3"/>
      <c r="D1601" s="3"/>
      <c r="E1601" s="5"/>
    </row>
    <row r="1602" spans="2:5" x14ac:dyDescent="0.25">
      <c r="B1602" s="3"/>
      <c r="C1602" s="3"/>
      <c r="D1602" s="3"/>
      <c r="E1602" s="5"/>
    </row>
    <row r="1603" spans="2:5" x14ac:dyDescent="0.25">
      <c r="B1603" s="3"/>
      <c r="C1603" s="3"/>
      <c r="D1603" s="3"/>
      <c r="E1603" s="5"/>
    </row>
    <row r="1604" spans="2:5" x14ac:dyDescent="0.25">
      <c r="B1604" s="3"/>
      <c r="C1604" s="3"/>
      <c r="D1604" s="3"/>
      <c r="E1604" s="5"/>
    </row>
    <row r="1605" spans="2:5" x14ac:dyDescent="0.25">
      <c r="B1605" s="3"/>
      <c r="C1605" s="3"/>
      <c r="D1605" s="3"/>
      <c r="E1605" s="5"/>
    </row>
    <row r="1606" spans="2:5" x14ac:dyDescent="0.25">
      <c r="B1606" s="3"/>
      <c r="C1606" s="3"/>
      <c r="D1606" s="3"/>
      <c r="E1606" s="5"/>
    </row>
    <row r="1607" spans="2:5" x14ac:dyDescent="0.25">
      <c r="B1607" s="3"/>
      <c r="C1607" s="3"/>
      <c r="D1607" s="3"/>
      <c r="E1607" s="5"/>
    </row>
    <row r="1608" spans="2:5" x14ac:dyDescent="0.25">
      <c r="B1608" s="3"/>
      <c r="C1608" s="3"/>
      <c r="D1608" s="3"/>
      <c r="E1608" s="5"/>
    </row>
    <row r="1609" spans="2:5" x14ac:dyDescent="0.25">
      <c r="B1609" s="3"/>
      <c r="C1609" s="3"/>
      <c r="D1609" s="3"/>
      <c r="E1609" s="5"/>
    </row>
    <row r="1610" spans="2:5" x14ac:dyDescent="0.25">
      <c r="B1610" s="3"/>
      <c r="C1610" s="3"/>
      <c r="D1610" s="3"/>
      <c r="E1610" s="5"/>
    </row>
    <row r="1611" spans="2:5" x14ac:dyDescent="0.25">
      <c r="B1611" s="3"/>
      <c r="C1611" s="3"/>
      <c r="D1611" s="3"/>
      <c r="E1611" s="5"/>
    </row>
    <row r="1612" spans="2:5" x14ac:dyDescent="0.25">
      <c r="B1612" s="3"/>
      <c r="C1612" s="3"/>
      <c r="D1612" s="3"/>
      <c r="E1612" s="5"/>
    </row>
    <row r="1613" spans="2:5" x14ac:dyDescent="0.25">
      <c r="B1613" s="3"/>
      <c r="C1613" s="3"/>
      <c r="D1613" s="3"/>
      <c r="E1613" s="5"/>
    </row>
    <row r="1614" spans="2:5" x14ac:dyDescent="0.25">
      <c r="B1614" s="3"/>
      <c r="C1614" s="3"/>
      <c r="D1614" s="3"/>
      <c r="E1614" s="5"/>
    </row>
    <row r="1615" spans="2:5" x14ac:dyDescent="0.25">
      <c r="B1615" s="3"/>
      <c r="C1615" s="3"/>
      <c r="D1615" s="3"/>
      <c r="E1615" s="5"/>
    </row>
    <row r="1616" spans="2:5" x14ac:dyDescent="0.25">
      <c r="B1616" s="3"/>
      <c r="C1616" s="3"/>
      <c r="D1616" s="3"/>
      <c r="E1616" s="5"/>
    </row>
    <row r="1617" spans="2:5" x14ac:dyDescent="0.25">
      <c r="B1617" s="3"/>
      <c r="C1617" s="3"/>
      <c r="D1617" s="3"/>
      <c r="E1617" s="5"/>
    </row>
    <row r="1618" spans="2:5" x14ac:dyDescent="0.25">
      <c r="B1618" s="3"/>
      <c r="C1618" s="3"/>
      <c r="D1618" s="3"/>
      <c r="E1618" s="5"/>
    </row>
    <row r="1619" spans="2:5" x14ac:dyDescent="0.25">
      <c r="B1619" s="3"/>
      <c r="C1619" s="3"/>
      <c r="D1619" s="3"/>
      <c r="E1619" s="5"/>
    </row>
    <row r="1620" spans="2:5" x14ac:dyDescent="0.25">
      <c r="B1620" s="3"/>
      <c r="C1620" s="3"/>
      <c r="D1620" s="3"/>
      <c r="E1620" s="5"/>
    </row>
    <row r="1621" spans="2:5" x14ac:dyDescent="0.25">
      <c r="B1621" s="3"/>
      <c r="C1621" s="3"/>
      <c r="D1621" s="3"/>
      <c r="E1621" s="5"/>
    </row>
    <row r="1622" spans="2:5" x14ac:dyDescent="0.25">
      <c r="B1622" s="3"/>
      <c r="C1622" s="3"/>
      <c r="D1622" s="3"/>
      <c r="E1622" s="5"/>
    </row>
    <row r="1623" spans="2:5" x14ac:dyDescent="0.25">
      <c r="B1623" s="3"/>
      <c r="C1623" s="3"/>
      <c r="D1623" s="3"/>
      <c r="E1623" s="5"/>
    </row>
    <row r="1624" spans="2:5" x14ac:dyDescent="0.25">
      <c r="B1624" s="3"/>
      <c r="C1624" s="3"/>
      <c r="D1624" s="3"/>
      <c r="E1624" s="5"/>
    </row>
    <row r="1625" spans="2:5" x14ac:dyDescent="0.25">
      <c r="B1625" s="3"/>
      <c r="C1625" s="3"/>
      <c r="D1625" s="3"/>
      <c r="E1625" s="5"/>
    </row>
    <row r="1626" spans="2:5" x14ac:dyDescent="0.25">
      <c r="B1626" s="3"/>
      <c r="C1626" s="3"/>
      <c r="D1626" s="3"/>
      <c r="E1626" s="5"/>
    </row>
    <row r="1627" spans="2:5" x14ac:dyDescent="0.25">
      <c r="B1627" s="3"/>
      <c r="C1627" s="3"/>
      <c r="D1627" s="3"/>
      <c r="E1627" s="5"/>
    </row>
    <row r="1628" spans="2:5" x14ac:dyDescent="0.25">
      <c r="B1628" s="3"/>
      <c r="C1628" s="3"/>
      <c r="D1628" s="3"/>
      <c r="E1628" s="5"/>
    </row>
    <row r="1629" spans="2:5" x14ac:dyDescent="0.25">
      <c r="B1629" s="3"/>
      <c r="C1629" s="3"/>
      <c r="D1629" s="3"/>
      <c r="E1629" s="5"/>
    </row>
    <row r="1630" spans="2:5" x14ac:dyDescent="0.25">
      <c r="B1630" s="3"/>
      <c r="C1630" s="3"/>
      <c r="D1630" s="3"/>
      <c r="E1630" s="5"/>
    </row>
    <row r="1631" spans="2:5" x14ac:dyDescent="0.25">
      <c r="B1631" s="3"/>
      <c r="C1631" s="3"/>
      <c r="D1631" s="3"/>
      <c r="E1631" s="5"/>
    </row>
    <row r="1632" spans="2:5" x14ac:dyDescent="0.25">
      <c r="B1632" s="3"/>
      <c r="C1632" s="3"/>
      <c r="D1632" s="3"/>
      <c r="E1632" s="5"/>
    </row>
    <row r="1633" spans="2:5" x14ac:dyDescent="0.25">
      <c r="B1633" s="3"/>
      <c r="C1633" s="3"/>
      <c r="D1633" s="3"/>
      <c r="E1633" s="5"/>
    </row>
    <row r="1634" spans="2:5" x14ac:dyDescent="0.25">
      <c r="B1634" s="3"/>
      <c r="C1634" s="3"/>
      <c r="D1634" s="3"/>
      <c r="E1634" s="5"/>
    </row>
    <row r="1635" spans="2:5" x14ac:dyDescent="0.25">
      <c r="B1635" s="3"/>
      <c r="C1635" s="3"/>
      <c r="D1635" s="3"/>
      <c r="E1635" s="5"/>
    </row>
    <row r="1636" spans="2:5" x14ac:dyDescent="0.25">
      <c r="B1636" s="3"/>
      <c r="C1636" s="3"/>
      <c r="D1636" s="3"/>
      <c r="E1636" s="5"/>
    </row>
    <row r="1637" spans="2:5" x14ac:dyDescent="0.25">
      <c r="B1637" s="3"/>
      <c r="C1637" s="3"/>
      <c r="D1637" s="3"/>
      <c r="E1637" s="5"/>
    </row>
    <row r="1638" spans="2:5" x14ac:dyDescent="0.25">
      <c r="B1638" s="3"/>
      <c r="C1638" s="3"/>
      <c r="D1638" s="3"/>
      <c r="E1638" s="5"/>
    </row>
    <row r="1639" spans="2:5" x14ac:dyDescent="0.25">
      <c r="B1639" s="3"/>
      <c r="C1639" s="3"/>
      <c r="D1639" s="3"/>
      <c r="E1639" s="5"/>
    </row>
    <row r="1640" spans="2:5" x14ac:dyDescent="0.25">
      <c r="B1640" s="3"/>
      <c r="C1640" s="3"/>
      <c r="D1640" s="3"/>
      <c r="E1640" s="5"/>
    </row>
    <row r="1641" spans="2:5" x14ac:dyDescent="0.25">
      <c r="B1641" s="3"/>
      <c r="C1641" s="3"/>
      <c r="D1641" s="3"/>
      <c r="E1641" s="5"/>
    </row>
    <row r="1642" spans="2:5" x14ac:dyDescent="0.25">
      <c r="B1642" s="3"/>
      <c r="C1642" s="3"/>
      <c r="D1642" s="3"/>
      <c r="E1642" s="5"/>
    </row>
    <row r="1643" spans="2:5" x14ac:dyDescent="0.25">
      <c r="B1643" s="3"/>
      <c r="C1643" s="3"/>
      <c r="D1643" s="3"/>
      <c r="E1643" s="5"/>
    </row>
    <row r="1644" spans="2:5" x14ac:dyDescent="0.25">
      <c r="B1644" s="3"/>
      <c r="C1644" s="3"/>
      <c r="D1644" s="3"/>
      <c r="E1644" s="5"/>
    </row>
    <row r="1645" spans="2:5" x14ac:dyDescent="0.25">
      <c r="B1645" s="3"/>
      <c r="C1645" s="3"/>
      <c r="D1645" s="3"/>
      <c r="E1645" s="5"/>
    </row>
    <row r="1646" spans="2:5" x14ac:dyDescent="0.25">
      <c r="B1646" s="3"/>
      <c r="C1646" s="3"/>
      <c r="D1646" s="3"/>
      <c r="E1646" s="5"/>
    </row>
    <row r="1647" spans="2:5" x14ac:dyDescent="0.25">
      <c r="B1647" s="3"/>
      <c r="C1647" s="3"/>
      <c r="D1647" s="3"/>
      <c r="E1647" s="5"/>
    </row>
    <row r="1648" spans="2:5" x14ac:dyDescent="0.25">
      <c r="B1648" s="3"/>
      <c r="C1648" s="3"/>
      <c r="D1648" s="3"/>
      <c r="E1648" s="5"/>
    </row>
    <row r="1649" spans="2:5" x14ac:dyDescent="0.25">
      <c r="B1649" s="3"/>
      <c r="C1649" s="3"/>
      <c r="D1649" s="3"/>
      <c r="E1649" s="5"/>
    </row>
    <row r="1650" spans="2:5" x14ac:dyDescent="0.25">
      <c r="B1650" s="3"/>
      <c r="C1650" s="3"/>
      <c r="D1650" s="3"/>
      <c r="E1650" s="5"/>
    </row>
    <row r="1651" spans="2:5" x14ac:dyDescent="0.25">
      <c r="B1651" s="3"/>
      <c r="C1651" s="3"/>
      <c r="D1651" s="3"/>
      <c r="E1651" s="5"/>
    </row>
    <row r="1652" spans="2:5" x14ac:dyDescent="0.25">
      <c r="B1652" s="3"/>
      <c r="C1652" s="3"/>
      <c r="D1652" s="3"/>
      <c r="E1652" s="5"/>
    </row>
    <row r="1653" spans="2:5" x14ac:dyDescent="0.25">
      <c r="B1653" s="3"/>
      <c r="C1653" s="3"/>
      <c r="D1653" s="3"/>
      <c r="E1653" s="5"/>
    </row>
    <row r="1654" spans="2:5" x14ac:dyDescent="0.25">
      <c r="B1654" s="3"/>
      <c r="C1654" s="3"/>
      <c r="D1654" s="3"/>
      <c r="E1654" s="5"/>
    </row>
    <row r="1655" spans="2:5" x14ac:dyDescent="0.25">
      <c r="B1655" s="3"/>
      <c r="C1655" s="3"/>
      <c r="D1655" s="3"/>
      <c r="E1655" s="5"/>
    </row>
    <row r="1656" spans="2:5" x14ac:dyDescent="0.25">
      <c r="B1656" s="3"/>
      <c r="C1656" s="3"/>
      <c r="D1656" s="3"/>
      <c r="E1656" s="5"/>
    </row>
    <row r="1657" spans="2:5" x14ac:dyDescent="0.25">
      <c r="B1657" s="3"/>
      <c r="C1657" s="3"/>
      <c r="D1657" s="3"/>
      <c r="E1657" s="5"/>
    </row>
    <row r="1658" spans="2:5" x14ac:dyDescent="0.25">
      <c r="B1658" s="3"/>
      <c r="C1658" s="3"/>
      <c r="D1658" s="3"/>
      <c r="E1658" s="5"/>
    </row>
    <row r="1659" spans="2:5" x14ac:dyDescent="0.25">
      <c r="B1659" s="3"/>
      <c r="C1659" s="3"/>
      <c r="D1659" s="3"/>
      <c r="E1659" s="5"/>
    </row>
    <row r="1660" spans="2:5" x14ac:dyDescent="0.25">
      <c r="B1660" s="3"/>
      <c r="C1660" s="3"/>
      <c r="D1660" s="3"/>
      <c r="E1660" s="5"/>
    </row>
    <row r="1661" spans="2:5" x14ac:dyDescent="0.25">
      <c r="B1661" s="3"/>
      <c r="C1661" s="3"/>
      <c r="D1661" s="3"/>
      <c r="E1661" s="5"/>
    </row>
    <row r="1662" spans="2:5" x14ac:dyDescent="0.25">
      <c r="B1662" s="3"/>
      <c r="C1662" s="3"/>
      <c r="D1662" s="3"/>
      <c r="E1662" s="5"/>
    </row>
    <row r="1663" spans="2:5" x14ac:dyDescent="0.25">
      <c r="B1663" s="3"/>
      <c r="C1663" s="3"/>
      <c r="D1663" s="3"/>
      <c r="E1663" s="5"/>
    </row>
    <row r="1664" spans="2:5" x14ac:dyDescent="0.25">
      <c r="B1664" s="3"/>
      <c r="C1664" s="3"/>
      <c r="D1664" s="3"/>
      <c r="E1664" s="5"/>
    </row>
    <row r="1665" spans="2:5" x14ac:dyDescent="0.25">
      <c r="B1665" s="3"/>
      <c r="C1665" s="3"/>
      <c r="D1665" s="3"/>
      <c r="E1665" s="5"/>
    </row>
    <row r="1666" spans="2:5" x14ac:dyDescent="0.25">
      <c r="B1666" s="3"/>
      <c r="C1666" s="3"/>
      <c r="D1666" s="3"/>
      <c r="E1666" s="5"/>
    </row>
    <row r="1667" spans="2:5" x14ac:dyDescent="0.25">
      <c r="B1667" s="3"/>
      <c r="C1667" s="3"/>
      <c r="D1667" s="3"/>
      <c r="E1667" s="5"/>
    </row>
    <row r="1668" spans="2:5" x14ac:dyDescent="0.25">
      <c r="B1668" s="3"/>
      <c r="C1668" s="3"/>
      <c r="D1668" s="3"/>
      <c r="E1668" s="5"/>
    </row>
    <row r="1669" spans="2:5" x14ac:dyDescent="0.25">
      <c r="B1669" s="3"/>
      <c r="C1669" s="3"/>
      <c r="D1669" s="3"/>
      <c r="E1669" s="5"/>
    </row>
    <row r="1670" spans="2:5" x14ac:dyDescent="0.25">
      <c r="B1670" s="3"/>
      <c r="C1670" s="3"/>
      <c r="D1670" s="3"/>
      <c r="E1670" s="5"/>
    </row>
    <row r="1671" spans="2:5" x14ac:dyDescent="0.25">
      <c r="B1671" s="3"/>
      <c r="C1671" s="3"/>
      <c r="D1671" s="3"/>
      <c r="E1671" s="5"/>
    </row>
    <row r="1672" spans="2:5" x14ac:dyDescent="0.25">
      <c r="B1672" s="3"/>
      <c r="C1672" s="3"/>
      <c r="D1672" s="3"/>
      <c r="E1672" s="5"/>
    </row>
    <row r="1673" spans="2:5" x14ac:dyDescent="0.25">
      <c r="B1673" s="3"/>
      <c r="C1673" s="3"/>
      <c r="D1673" s="3"/>
      <c r="E1673" s="5"/>
    </row>
    <row r="1674" spans="2:5" x14ac:dyDescent="0.25">
      <c r="B1674" s="3"/>
      <c r="C1674" s="3"/>
      <c r="D1674" s="3"/>
      <c r="E1674" s="5"/>
    </row>
    <row r="1675" spans="2:5" x14ac:dyDescent="0.25">
      <c r="B1675" s="3"/>
      <c r="C1675" s="3"/>
      <c r="D1675" s="3"/>
      <c r="E1675" s="5"/>
    </row>
    <row r="1676" spans="2:5" x14ac:dyDescent="0.25">
      <c r="B1676" s="3"/>
      <c r="C1676" s="3"/>
      <c r="D1676" s="3"/>
      <c r="E1676" s="5"/>
    </row>
    <row r="1677" spans="2:5" x14ac:dyDescent="0.25">
      <c r="B1677" s="3"/>
      <c r="C1677" s="3"/>
      <c r="D1677" s="3"/>
      <c r="E1677" s="5"/>
    </row>
    <row r="1678" spans="2:5" x14ac:dyDescent="0.25">
      <c r="B1678" s="3"/>
      <c r="C1678" s="3"/>
      <c r="D1678" s="3"/>
      <c r="E1678" s="5"/>
    </row>
    <row r="1679" spans="2:5" x14ac:dyDescent="0.25">
      <c r="B1679" s="3"/>
      <c r="C1679" s="3"/>
      <c r="D1679" s="3"/>
      <c r="E1679" s="5"/>
    </row>
    <row r="1680" spans="2:5" x14ac:dyDescent="0.25">
      <c r="B1680" s="3"/>
      <c r="C1680" s="3"/>
      <c r="D1680" s="3"/>
      <c r="E1680" s="5"/>
    </row>
    <row r="1681" spans="2:5" x14ac:dyDescent="0.25">
      <c r="B1681" s="3"/>
      <c r="C1681" s="3"/>
      <c r="D1681" s="3"/>
      <c r="E1681" s="5"/>
    </row>
    <row r="1682" spans="2:5" x14ac:dyDescent="0.25">
      <c r="B1682" s="3"/>
      <c r="C1682" s="3"/>
      <c r="D1682" s="3"/>
      <c r="E1682" s="5"/>
    </row>
    <row r="1683" spans="2:5" x14ac:dyDescent="0.25">
      <c r="B1683" s="3"/>
      <c r="C1683" s="3"/>
      <c r="D1683" s="3"/>
      <c r="E1683" s="5"/>
    </row>
    <row r="1684" spans="2:5" x14ac:dyDescent="0.25">
      <c r="B1684" s="3"/>
      <c r="C1684" s="3"/>
      <c r="D1684" s="3"/>
      <c r="E1684" s="5"/>
    </row>
    <row r="1685" spans="2:5" x14ac:dyDescent="0.25">
      <c r="B1685" s="3"/>
      <c r="C1685" s="3"/>
      <c r="D1685" s="3"/>
      <c r="E1685" s="5"/>
    </row>
    <row r="1686" spans="2:5" x14ac:dyDescent="0.25">
      <c r="B1686" s="3"/>
      <c r="C1686" s="3"/>
      <c r="D1686" s="3"/>
      <c r="E1686" s="5"/>
    </row>
    <row r="1687" spans="2:5" x14ac:dyDescent="0.25">
      <c r="B1687" s="3"/>
      <c r="C1687" s="3"/>
      <c r="D1687" s="3"/>
      <c r="E1687" s="5"/>
    </row>
    <row r="1688" spans="2:5" x14ac:dyDescent="0.25">
      <c r="B1688" s="3"/>
      <c r="C1688" s="3"/>
      <c r="D1688" s="3"/>
      <c r="E1688" s="5"/>
    </row>
    <row r="1689" spans="2:5" x14ac:dyDescent="0.25">
      <c r="B1689" s="3"/>
      <c r="C1689" s="3"/>
      <c r="D1689" s="3"/>
      <c r="E1689" s="5"/>
    </row>
    <row r="1690" spans="2:5" x14ac:dyDescent="0.25">
      <c r="B1690" s="3"/>
      <c r="C1690" s="3"/>
      <c r="D1690" s="3"/>
      <c r="E1690" s="5"/>
    </row>
    <row r="1691" spans="2:5" x14ac:dyDescent="0.25">
      <c r="B1691" s="3"/>
      <c r="C1691" s="3"/>
      <c r="D1691" s="3"/>
      <c r="E1691" s="5"/>
    </row>
    <row r="1692" spans="2:5" x14ac:dyDescent="0.25">
      <c r="B1692" s="3"/>
      <c r="C1692" s="3"/>
      <c r="D1692" s="3"/>
      <c r="E1692" s="5"/>
    </row>
    <row r="1693" spans="2:5" x14ac:dyDescent="0.25">
      <c r="B1693" s="3"/>
      <c r="C1693" s="3"/>
      <c r="D1693" s="3"/>
      <c r="E1693" s="5"/>
    </row>
    <row r="1694" spans="2:5" x14ac:dyDescent="0.25">
      <c r="B1694" s="3"/>
      <c r="C1694" s="3"/>
      <c r="D1694" s="3"/>
      <c r="E1694" s="5"/>
    </row>
    <row r="1695" spans="2:5" x14ac:dyDescent="0.25">
      <c r="B1695" s="3"/>
      <c r="C1695" s="3"/>
      <c r="D1695" s="3"/>
      <c r="E1695" s="5"/>
    </row>
    <row r="1696" spans="2:5" x14ac:dyDescent="0.25">
      <c r="B1696" s="3"/>
      <c r="C1696" s="3"/>
      <c r="D1696" s="3"/>
      <c r="E1696" s="5"/>
    </row>
    <row r="1697" spans="2:5" x14ac:dyDescent="0.25">
      <c r="B1697" s="3"/>
      <c r="C1697" s="3"/>
      <c r="D1697" s="3"/>
      <c r="E1697" s="5"/>
    </row>
    <row r="1698" spans="2:5" x14ac:dyDescent="0.25">
      <c r="B1698" s="3"/>
      <c r="C1698" s="3"/>
      <c r="D1698" s="3"/>
      <c r="E1698" s="5"/>
    </row>
    <row r="1699" spans="2:5" x14ac:dyDescent="0.25">
      <c r="B1699" s="3"/>
      <c r="C1699" s="3"/>
      <c r="D1699" s="3"/>
      <c r="E1699" s="5"/>
    </row>
    <row r="1700" spans="2:5" x14ac:dyDescent="0.25">
      <c r="B1700" s="3"/>
      <c r="C1700" s="3"/>
      <c r="D1700" s="3"/>
      <c r="E1700" s="5"/>
    </row>
    <row r="1701" spans="2:5" x14ac:dyDescent="0.25">
      <c r="B1701" s="3"/>
      <c r="C1701" s="3"/>
      <c r="D1701" s="3"/>
      <c r="E1701" s="5"/>
    </row>
    <row r="1702" spans="2:5" x14ac:dyDescent="0.25">
      <c r="B1702" s="3"/>
      <c r="C1702" s="3"/>
      <c r="D1702" s="3"/>
      <c r="E1702" s="5"/>
    </row>
    <row r="1703" spans="2:5" x14ac:dyDescent="0.25">
      <c r="B1703" s="3"/>
      <c r="C1703" s="3"/>
      <c r="D1703" s="3"/>
      <c r="E1703" s="5"/>
    </row>
    <row r="1704" spans="2:5" x14ac:dyDescent="0.25">
      <c r="B1704" s="3"/>
      <c r="C1704" s="3"/>
      <c r="D1704" s="3"/>
      <c r="E1704" s="5"/>
    </row>
    <row r="1705" spans="2:5" x14ac:dyDescent="0.25">
      <c r="B1705" s="3"/>
      <c r="C1705" s="3"/>
      <c r="D1705" s="3"/>
      <c r="E1705" s="5"/>
    </row>
    <row r="1706" spans="2:5" x14ac:dyDescent="0.25">
      <c r="B1706" s="3"/>
      <c r="C1706" s="3"/>
      <c r="D1706" s="3"/>
      <c r="E1706" s="5"/>
    </row>
    <row r="1707" spans="2:5" x14ac:dyDescent="0.25">
      <c r="B1707" s="3"/>
      <c r="C1707" s="3"/>
      <c r="D1707" s="3"/>
      <c r="E1707" s="5"/>
    </row>
    <row r="1708" spans="2:5" x14ac:dyDescent="0.25">
      <c r="B1708" s="3"/>
      <c r="C1708" s="3"/>
      <c r="D1708" s="3"/>
      <c r="E1708" s="5"/>
    </row>
    <row r="1709" spans="2:5" x14ac:dyDescent="0.25">
      <c r="B1709" s="3"/>
      <c r="C1709" s="3"/>
      <c r="D1709" s="3"/>
      <c r="E1709" s="5"/>
    </row>
    <row r="1710" spans="2:5" x14ac:dyDescent="0.25">
      <c r="B1710" s="3"/>
      <c r="C1710" s="3"/>
      <c r="D1710" s="3"/>
      <c r="E1710" s="5"/>
    </row>
    <row r="1711" spans="2:5" x14ac:dyDescent="0.25">
      <c r="B1711" s="3"/>
      <c r="C1711" s="3"/>
      <c r="D1711" s="3"/>
      <c r="E1711" s="5"/>
    </row>
    <row r="1712" spans="2:5" x14ac:dyDescent="0.25">
      <c r="B1712" s="3"/>
      <c r="C1712" s="3"/>
      <c r="D1712" s="3"/>
      <c r="E1712" s="5"/>
    </row>
    <row r="1713" spans="2:5" x14ac:dyDescent="0.25">
      <c r="B1713" s="3"/>
      <c r="C1713" s="3"/>
      <c r="D1713" s="3"/>
      <c r="E1713" s="5"/>
    </row>
    <row r="1714" spans="2:5" x14ac:dyDescent="0.25">
      <c r="B1714" s="3"/>
      <c r="C1714" s="3"/>
      <c r="D1714" s="3"/>
      <c r="E1714" s="5"/>
    </row>
    <row r="1715" spans="2:5" x14ac:dyDescent="0.25">
      <c r="B1715" s="3"/>
      <c r="C1715" s="3"/>
      <c r="D1715" s="3"/>
      <c r="E1715" s="5"/>
    </row>
    <row r="1716" spans="2:5" x14ac:dyDescent="0.25">
      <c r="B1716" s="3"/>
      <c r="C1716" s="3"/>
      <c r="D1716" s="3"/>
      <c r="E1716" s="5"/>
    </row>
    <row r="1717" spans="2:5" x14ac:dyDescent="0.25">
      <c r="B1717" s="3"/>
      <c r="C1717" s="3"/>
      <c r="D1717" s="3"/>
      <c r="E1717" s="5"/>
    </row>
    <row r="1718" spans="2:5" x14ac:dyDescent="0.25">
      <c r="B1718" s="3"/>
      <c r="C1718" s="3"/>
      <c r="D1718" s="3"/>
      <c r="E1718" s="5"/>
    </row>
    <row r="1719" spans="2:5" x14ac:dyDescent="0.25">
      <c r="B1719" s="3"/>
      <c r="C1719" s="3"/>
      <c r="D1719" s="3"/>
      <c r="E1719" s="5"/>
    </row>
    <row r="1720" spans="2:5" x14ac:dyDescent="0.25">
      <c r="B1720" s="3"/>
      <c r="C1720" s="3"/>
      <c r="D1720" s="3"/>
      <c r="E1720" s="5"/>
    </row>
    <row r="1721" spans="2:5" x14ac:dyDescent="0.25">
      <c r="B1721" s="3"/>
      <c r="C1721" s="3"/>
      <c r="D1721" s="3"/>
      <c r="E1721" s="5"/>
    </row>
    <row r="1722" spans="2:5" x14ac:dyDescent="0.25">
      <c r="B1722" s="3"/>
      <c r="C1722" s="3"/>
      <c r="D1722" s="3"/>
      <c r="E1722" s="5"/>
    </row>
    <row r="1723" spans="2:5" x14ac:dyDescent="0.25">
      <c r="B1723" s="3"/>
      <c r="C1723" s="3"/>
      <c r="D1723" s="3"/>
      <c r="E1723" s="5"/>
    </row>
    <row r="1724" spans="2:5" x14ac:dyDescent="0.25">
      <c r="B1724" s="3"/>
      <c r="C1724" s="3"/>
      <c r="D1724" s="3"/>
      <c r="E1724" s="5"/>
    </row>
    <row r="1725" spans="2:5" x14ac:dyDescent="0.25">
      <c r="B1725" s="3"/>
      <c r="C1725" s="3"/>
      <c r="D1725" s="3"/>
      <c r="E1725" s="5"/>
    </row>
    <row r="1726" spans="2:5" x14ac:dyDescent="0.25">
      <c r="B1726" s="3"/>
      <c r="C1726" s="3"/>
      <c r="D1726" s="3"/>
      <c r="E1726" s="5"/>
    </row>
    <row r="1727" spans="2:5" x14ac:dyDescent="0.25">
      <c r="B1727" s="3"/>
      <c r="C1727" s="3"/>
      <c r="D1727" s="3"/>
      <c r="E1727" s="5"/>
    </row>
    <row r="1728" spans="2:5" x14ac:dyDescent="0.25">
      <c r="B1728" s="3"/>
      <c r="C1728" s="3"/>
      <c r="D1728" s="3"/>
      <c r="E1728" s="5"/>
    </row>
    <row r="1729" spans="2:5" x14ac:dyDescent="0.25">
      <c r="B1729" s="3"/>
      <c r="C1729" s="3"/>
      <c r="D1729" s="3"/>
      <c r="E1729" s="5"/>
    </row>
    <row r="1730" spans="2:5" x14ac:dyDescent="0.25">
      <c r="B1730" s="3"/>
      <c r="C1730" s="3"/>
      <c r="D1730" s="3"/>
      <c r="E1730" s="5"/>
    </row>
    <row r="1731" spans="2:5" x14ac:dyDescent="0.25">
      <c r="B1731" s="3"/>
      <c r="C1731" s="3"/>
      <c r="D1731" s="3"/>
      <c r="E1731" s="5"/>
    </row>
    <row r="1732" spans="2:5" x14ac:dyDescent="0.25">
      <c r="B1732" s="3"/>
      <c r="C1732" s="3"/>
      <c r="D1732" s="3"/>
      <c r="E1732" s="5"/>
    </row>
    <row r="1733" spans="2:5" x14ac:dyDescent="0.25">
      <c r="B1733" s="3"/>
      <c r="C1733" s="3"/>
      <c r="D1733" s="3"/>
      <c r="E1733" s="5"/>
    </row>
    <row r="1734" spans="2:5" x14ac:dyDescent="0.25">
      <c r="B1734" s="3"/>
      <c r="C1734" s="3"/>
      <c r="D1734" s="3"/>
      <c r="E1734" s="5"/>
    </row>
    <row r="1735" spans="2:5" x14ac:dyDescent="0.25">
      <c r="B1735" s="3"/>
      <c r="C1735" s="3"/>
      <c r="D1735" s="3"/>
      <c r="E1735" s="5"/>
    </row>
    <row r="1736" spans="2:5" x14ac:dyDescent="0.25">
      <c r="B1736" s="3"/>
      <c r="C1736" s="3"/>
      <c r="D1736" s="3"/>
      <c r="E1736" s="5"/>
    </row>
    <row r="1737" spans="2:5" x14ac:dyDescent="0.25">
      <c r="B1737" s="3"/>
      <c r="C1737" s="3"/>
      <c r="D1737" s="3"/>
      <c r="E1737" s="5"/>
    </row>
    <row r="1738" spans="2:5" x14ac:dyDescent="0.25">
      <c r="B1738" s="3"/>
      <c r="C1738" s="3"/>
      <c r="D1738" s="3"/>
      <c r="E1738" s="5"/>
    </row>
    <row r="1739" spans="2:5" x14ac:dyDescent="0.25">
      <c r="B1739" s="3"/>
      <c r="C1739" s="3"/>
      <c r="D1739" s="3"/>
      <c r="E1739" s="5"/>
    </row>
    <row r="1740" spans="2:5" x14ac:dyDescent="0.25">
      <c r="B1740" s="3"/>
      <c r="C1740" s="3"/>
      <c r="D1740" s="3"/>
      <c r="E1740" s="5"/>
    </row>
    <row r="1741" spans="2:5" x14ac:dyDescent="0.25">
      <c r="B1741" s="3"/>
      <c r="C1741" s="3"/>
      <c r="D1741" s="3"/>
      <c r="E1741" s="5"/>
    </row>
    <row r="1742" spans="2:5" x14ac:dyDescent="0.25">
      <c r="B1742" s="3"/>
      <c r="C1742" s="3"/>
      <c r="D1742" s="3"/>
      <c r="E1742" s="5"/>
    </row>
    <row r="1743" spans="2:5" x14ac:dyDescent="0.25">
      <c r="B1743" s="3"/>
      <c r="C1743" s="3"/>
      <c r="D1743" s="3"/>
      <c r="E1743" s="5"/>
    </row>
    <row r="1744" spans="2:5" x14ac:dyDescent="0.25">
      <c r="B1744" s="3"/>
      <c r="C1744" s="3"/>
      <c r="D1744" s="3"/>
      <c r="E1744" s="5"/>
    </row>
    <row r="1745" spans="2:5" x14ac:dyDescent="0.25">
      <c r="B1745" s="3"/>
      <c r="C1745" s="3"/>
      <c r="D1745" s="3"/>
      <c r="E1745" s="5"/>
    </row>
    <row r="1746" spans="2:5" x14ac:dyDescent="0.25">
      <c r="B1746" s="3"/>
      <c r="C1746" s="3"/>
      <c r="D1746" s="3"/>
      <c r="E1746" s="5"/>
    </row>
    <row r="1747" spans="2:5" x14ac:dyDescent="0.25">
      <c r="B1747" s="3"/>
      <c r="C1747" s="3"/>
      <c r="D1747" s="3"/>
      <c r="E1747" s="5"/>
    </row>
    <row r="1748" spans="2:5" x14ac:dyDescent="0.25">
      <c r="B1748" s="3"/>
      <c r="C1748" s="3"/>
      <c r="D1748" s="3"/>
      <c r="E1748" s="5"/>
    </row>
    <row r="1749" spans="2:5" x14ac:dyDescent="0.25">
      <c r="B1749" s="3"/>
      <c r="C1749" s="3"/>
      <c r="D1749" s="3"/>
      <c r="E1749" s="5"/>
    </row>
    <row r="1750" spans="2:5" x14ac:dyDescent="0.25">
      <c r="B1750" s="3"/>
      <c r="C1750" s="3"/>
      <c r="D1750" s="3"/>
      <c r="E1750" s="5"/>
    </row>
    <row r="1751" spans="2:5" x14ac:dyDescent="0.25">
      <c r="B1751" s="3"/>
      <c r="C1751" s="3"/>
      <c r="D1751" s="3"/>
      <c r="E1751" s="5"/>
    </row>
    <row r="1752" spans="2:5" x14ac:dyDescent="0.25">
      <c r="B1752" s="3"/>
      <c r="C1752" s="3"/>
      <c r="D1752" s="3"/>
      <c r="E1752" s="5"/>
    </row>
    <row r="1753" spans="2:5" x14ac:dyDescent="0.25">
      <c r="B1753" s="3"/>
      <c r="C1753" s="3"/>
      <c r="D1753" s="3"/>
      <c r="E1753" s="5"/>
    </row>
    <row r="1754" spans="2:5" x14ac:dyDescent="0.25">
      <c r="B1754" s="3"/>
      <c r="C1754" s="3"/>
      <c r="D1754" s="3"/>
      <c r="E1754" s="5"/>
    </row>
    <row r="1755" spans="2:5" x14ac:dyDescent="0.25">
      <c r="B1755" s="3"/>
      <c r="C1755" s="3"/>
      <c r="D1755" s="3"/>
      <c r="E1755" s="5"/>
    </row>
    <row r="1756" spans="2:5" x14ac:dyDescent="0.25">
      <c r="B1756" s="3"/>
      <c r="C1756" s="3"/>
      <c r="D1756" s="3"/>
      <c r="E1756" s="5"/>
    </row>
    <row r="1757" spans="2:5" x14ac:dyDescent="0.25">
      <c r="B1757" s="3"/>
      <c r="C1757" s="3"/>
      <c r="D1757" s="3"/>
      <c r="E1757" s="5"/>
    </row>
    <row r="1758" spans="2:5" x14ac:dyDescent="0.25">
      <c r="B1758" s="3"/>
      <c r="C1758" s="3"/>
      <c r="D1758" s="3"/>
      <c r="E1758" s="5"/>
    </row>
    <row r="1759" spans="2:5" x14ac:dyDescent="0.25">
      <c r="B1759" s="3"/>
      <c r="C1759" s="3"/>
      <c r="D1759" s="3"/>
      <c r="E1759" s="5"/>
    </row>
    <row r="1760" spans="2:5" x14ac:dyDescent="0.25">
      <c r="B1760" s="3"/>
      <c r="C1760" s="3"/>
      <c r="D1760" s="3"/>
      <c r="E1760" s="5"/>
    </row>
    <row r="1761" spans="2:5" x14ac:dyDescent="0.25">
      <c r="B1761" s="3"/>
      <c r="C1761" s="3"/>
      <c r="D1761" s="3"/>
      <c r="E1761" s="5"/>
    </row>
    <row r="1762" spans="2:5" x14ac:dyDescent="0.25">
      <c r="B1762" s="3"/>
      <c r="C1762" s="3"/>
      <c r="D1762" s="3"/>
      <c r="E1762" s="5"/>
    </row>
    <row r="1763" spans="2:5" x14ac:dyDescent="0.25">
      <c r="B1763" s="3"/>
      <c r="C1763" s="3"/>
      <c r="D1763" s="3"/>
      <c r="E1763" s="5"/>
    </row>
    <row r="1764" spans="2:5" x14ac:dyDescent="0.25">
      <c r="B1764" s="3"/>
      <c r="C1764" s="3"/>
      <c r="D1764" s="3"/>
      <c r="E1764" s="5"/>
    </row>
    <row r="1765" spans="2:5" x14ac:dyDescent="0.25">
      <c r="B1765" s="3"/>
      <c r="C1765" s="3"/>
      <c r="D1765" s="3"/>
      <c r="E1765" s="5"/>
    </row>
    <row r="1766" spans="2:5" x14ac:dyDescent="0.25">
      <c r="B1766" s="3"/>
      <c r="C1766" s="3"/>
      <c r="D1766" s="3"/>
      <c r="E1766" s="5"/>
    </row>
    <row r="1767" spans="2:5" x14ac:dyDescent="0.25">
      <c r="B1767" s="3"/>
      <c r="C1767" s="3"/>
      <c r="D1767" s="3"/>
      <c r="E1767" s="5"/>
    </row>
    <row r="1768" spans="2:5" x14ac:dyDescent="0.25">
      <c r="B1768" s="3"/>
      <c r="C1768" s="3"/>
      <c r="D1768" s="3"/>
      <c r="E1768" s="5"/>
    </row>
    <row r="1769" spans="2:5" x14ac:dyDescent="0.25">
      <c r="B1769" s="3"/>
      <c r="C1769" s="3"/>
      <c r="D1769" s="3"/>
      <c r="E1769" s="5"/>
    </row>
    <row r="1770" spans="2:5" x14ac:dyDescent="0.25">
      <c r="B1770" s="3"/>
      <c r="C1770" s="3"/>
      <c r="D1770" s="3"/>
      <c r="E1770" s="5"/>
    </row>
    <row r="1771" spans="2:5" x14ac:dyDescent="0.25">
      <c r="B1771" s="3"/>
      <c r="C1771" s="3"/>
      <c r="D1771" s="3"/>
      <c r="E1771" s="5"/>
    </row>
    <row r="1772" spans="2:5" x14ac:dyDescent="0.25">
      <c r="B1772" s="3"/>
      <c r="C1772" s="3"/>
      <c r="D1772" s="3"/>
      <c r="E1772" s="5"/>
    </row>
    <row r="1773" spans="2:5" x14ac:dyDescent="0.25">
      <c r="B1773" s="3"/>
      <c r="C1773" s="3"/>
      <c r="D1773" s="3"/>
      <c r="E1773" s="5"/>
    </row>
    <row r="1774" spans="2:5" x14ac:dyDescent="0.25">
      <c r="B1774" s="3"/>
      <c r="C1774" s="3"/>
      <c r="D1774" s="3"/>
      <c r="E1774" s="5"/>
    </row>
    <row r="1775" spans="2:5" x14ac:dyDescent="0.25">
      <c r="B1775" s="3"/>
      <c r="C1775" s="3"/>
      <c r="D1775" s="3"/>
      <c r="E1775" s="5"/>
    </row>
    <row r="1776" spans="2:5" x14ac:dyDescent="0.25">
      <c r="B1776" s="3"/>
      <c r="C1776" s="3"/>
      <c r="D1776" s="3"/>
      <c r="E1776" s="5"/>
    </row>
    <row r="1777" spans="2:5" x14ac:dyDescent="0.25">
      <c r="B1777" s="3"/>
      <c r="C1777" s="3"/>
      <c r="D1777" s="3"/>
      <c r="E1777" s="5"/>
    </row>
    <row r="1778" spans="2:5" x14ac:dyDescent="0.25">
      <c r="B1778" s="3"/>
      <c r="C1778" s="3"/>
      <c r="D1778" s="3"/>
      <c r="E1778" s="5"/>
    </row>
    <row r="1779" spans="2:5" x14ac:dyDescent="0.25">
      <c r="B1779" s="3"/>
      <c r="C1779" s="3"/>
      <c r="D1779" s="3"/>
      <c r="E1779" s="5"/>
    </row>
    <row r="1780" spans="2:5" x14ac:dyDescent="0.25">
      <c r="B1780" s="3"/>
      <c r="C1780" s="3"/>
      <c r="D1780" s="3"/>
      <c r="E1780" s="5"/>
    </row>
    <row r="1781" spans="2:5" x14ac:dyDescent="0.25">
      <c r="B1781" s="3"/>
      <c r="C1781" s="3"/>
      <c r="D1781" s="3"/>
      <c r="E1781" s="5"/>
    </row>
    <row r="1782" spans="2:5" x14ac:dyDescent="0.25">
      <c r="B1782" s="3"/>
      <c r="C1782" s="3"/>
      <c r="D1782" s="3"/>
      <c r="E1782" s="5"/>
    </row>
    <row r="1783" spans="2:5" x14ac:dyDescent="0.25">
      <c r="B1783" s="3"/>
      <c r="C1783" s="3"/>
      <c r="D1783" s="3"/>
      <c r="E1783" s="5"/>
    </row>
    <row r="1784" spans="2:5" x14ac:dyDescent="0.25">
      <c r="B1784" s="3"/>
      <c r="C1784" s="3"/>
      <c r="D1784" s="3"/>
      <c r="E1784" s="5"/>
    </row>
    <row r="1785" spans="2:5" x14ac:dyDescent="0.25">
      <c r="B1785" s="3"/>
      <c r="C1785" s="3"/>
      <c r="D1785" s="3"/>
      <c r="E1785" s="5"/>
    </row>
    <row r="1786" spans="2:5" x14ac:dyDescent="0.25">
      <c r="B1786" s="3"/>
      <c r="C1786" s="3"/>
      <c r="D1786" s="3"/>
      <c r="E1786" s="5"/>
    </row>
    <row r="1787" spans="2:5" x14ac:dyDescent="0.25">
      <c r="B1787" s="3"/>
      <c r="C1787" s="3"/>
      <c r="D1787" s="3"/>
      <c r="E1787" s="5"/>
    </row>
    <row r="1788" spans="2:5" x14ac:dyDescent="0.25">
      <c r="B1788" s="3"/>
      <c r="C1788" s="3"/>
      <c r="D1788" s="3"/>
      <c r="E1788" s="5"/>
    </row>
    <row r="1789" spans="2:5" x14ac:dyDescent="0.25">
      <c r="B1789" s="3"/>
      <c r="C1789" s="3"/>
      <c r="D1789" s="3"/>
      <c r="E1789" s="5"/>
    </row>
    <row r="1790" spans="2:5" x14ac:dyDescent="0.25">
      <c r="B1790" s="3"/>
      <c r="C1790" s="3"/>
      <c r="D1790" s="3"/>
      <c r="E1790" s="5"/>
    </row>
    <row r="1791" spans="2:5" x14ac:dyDescent="0.25">
      <c r="B1791" s="3"/>
      <c r="C1791" s="3"/>
      <c r="D1791" s="3"/>
      <c r="E1791" s="5"/>
    </row>
    <row r="1792" spans="2:5" x14ac:dyDescent="0.25">
      <c r="B1792" s="3"/>
      <c r="C1792" s="3"/>
      <c r="D1792" s="3"/>
      <c r="E1792" s="5"/>
    </row>
    <row r="1793" spans="2:5" x14ac:dyDescent="0.25">
      <c r="B1793" s="3"/>
      <c r="C1793" s="3"/>
      <c r="D1793" s="3"/>
      <c r="E1793" s="5"/>
    </row>
    <row r="1794" spans="2:5" x14ac:dyDescent="0.25">
      <c r="B1794" s="3"/>
      <c r="C1794" s="3"/>
      <c r="D1794" s="3"/>
      <c r="E1794" s="5"/>
    </row>
    <row r="1795" spans="2:5" x14ac:dyDescent="0.25">
      <c r="B1795" s="3"/>
      <c r="C1795" s="3"/>
      <c r="D1795" s="3"/>
      <c r="E1795" s="5"/>
    </row>
    <row r="1796" spans="2:5" x14ac:dyDescent="0.25">
      <c r="B1796" s="3"/>
      <c r="C1796" s="3"/>
      <c r="D1796" s="3"/>
      <c r="E1796" s="5"/>
    </row>
    <row r="1797" spans="2:5" x14ac:dyDescent="0.25">
      <c r="B1797" s="3"/>
      <c r="C1797" s="3"/>
      <c r="D1797" s="3"/>
      <c r="E1797" s="5"/>
    </row>
    <row r="1798" spans="2:5" x14ac:dyDescent="0.25">
      <c r="B1798" s="3"/>
      <c r="C1798" s="3"/>
      <c r="D1798" s="3"/>
      <c r="E1798" s="5"/>
    </row>
    <row r="1799" spans="2:5" x14ac:dyDescent="0.25">
      <c r="B1799" s="3"/>
      <c r="C1799" s="3"/>
      <c r="D1799" s="3"/>
      <c r="E1799" s="5"/>
    </row>
    <row r="1800" spans="2:5" x14ac:dyDescent="0.25">
      <c r="B1800" s="3"/>
      <c r="C1800" s="3"/>
      <c r="D1800" s="3"/>
      <c r="E1800" s="5"/>
    </row>
    <row r="1801" spans="2:5" x14ac:dyDescent="0.25">
      <c r="B1801" s="3"/>
      <c r="C1801" s="3"/>
      <c r="D1801" s="3"/>
      <c r="E1801" s="5"/>
    </row>
    <row r="1802" spans="2:5" x14ac:dyDescent="0.25">
      <c r="B1802" s="3"/>
      <c r="C1802" s="3"/>
      <c r="D1802" s="3"/>
      <c r="E1802" s="5"/>
    </row>
    <row r="1803" spans="2:5" x14ac:dyDescent="0.25">
      <c r="B1803" s="3"/>
      <c r="C1803" s="3"/>
      <c r="D1803" s="3"/>
      <c r="E1803" s="5"/>
    </row>
    <row r="1804" spans="2:5" x14ac:dyDescent="0.25">
      <c r="B1804" s="3"/>
      <c r="C1804" s="3"/>
      <c r="D1804" s="3"/>
      <c r="E1804" s="5"/>
    </row>
    <row r="1805" spans="2:5" x14ac:dyDescent="0.25">
      <c r="B1805" s="3"/>
      <c r="C1805" s="3"/>
      <c r="D1805" s="3"/>
      <c r="E1805" s="5"/>
    </row>
    <row r="1806" spans="2:5" x14ac:dyDescent="0.25">
      <c r="B1806" s="3"/>
      <c r="C1806" s="3"/>
      <c r="D1806" s="3"/>
      <c r="E1806" s="5"/>
    </row>
    <row r="1807" spans="2:5" x14ac:dyDescent="0.25">
      <c r="B1807" s="3"/>
      <c r="C1807" s="3"/>
      <c r="D1807" s="3"/>
      <c r="E1807" s="5"/>
    </row>
    <row r="1808" spans="2:5" x14ac:dyDescent="0.25">
      <c r="B1808" s="3"/>
      <c r="C1808" s="3"/>
      <c r="D1808" s="3"/>
      <c r="E1808" s="5"/>
    </row>
    <row r="1809" spans="2:5" x14ac:dyDescent="0.25">
      <c r="B1809" s="3"/>
      <c r="C1809" s="3"/>
      <c r="D1809" s="3"/>
      <c r="E1809" s="5"/>
    </row>
    <row r="1810" spans="2:5" x14ac:dyDescent="0.25">
      <c r="B1810" s="3"/>
      <c r="C1810" s="3"/>
      <c r="D1810" s="3"/>
      <c r="E1810" s="5"/>
    </row>
    <row r="1811" spans="2:5" x14ac:dyDescent="0.25">
      <c r="B1811" s="3"/>
      <c r="C1811" s="3"/>
      <c r="D1811" s="3"/>
      <c r="E1811" s="5"/>
    </row>
    <row r="1812" spans="2:5" x14ac:dyDescent="0.25">
      <c r="B1812" s="3"/>
      <c r="C1812" s="3"/>
      <c r="D1812" s="3"/>
      <c r="E1812" s="5"/>
    </row>
    <row r="1813" spans="2:5" x14ac:dyDescent="0.25">
      <c r="B1813" s="3"/>
      <c r="C1813" s="3"/>
      <c r="D1813" s="3"/>
      <c r="E1813" s="5"/>
    </row>
    <row r="1814" spans="2:5" x14ac:dyDescent="0.25">
      <c r="B1814" s="3"/>
      <c r="C1814" s="3"/>
      <c r="D1814" s="3"/>
      <c r="E1814" s="5"/>
    </row>
    <row r="1815" spans="2:5" x14ac:dyDescent="0.25">
      <c r="B1815" s="3"/>
      <c r="C1815" s="3"/>
      <c r="D1815" s="3"/>
      <c r="E1815" s="5"/>
    </row>
    <row r="1816" spans="2:5" x14ac:dyDescent="0.25">
      <c r="B1816" s="3"/>
      <c r="C1816" s="3"/>
      <c r="D1816" s="3"/>
      <c r="E1816" s="5"/>
    </row>
    <row r="1817" spans="2:5" x14ac:dyDescent="0.25">
      <c r="B1817" s="3"/>
      <c r="C1817" s="3"/>
      <c r="D1817" s="3"/>
      <c r="E1817" s="5"/>
    </row>
    <row r="1818" spans="2:5" x14ac:dyDescent="0.25">
      <c r="B1818" s="3"/>
      <c r="C1818" s="3"/>
      <c r="D1818" s="3"/>
      <c r="E1818" s="5"/>
    </row>
    <row r="1819" spans="2:5" x14ac:dyDescent="0.25">
      <c r="B1819" s="3"/>
      <c r="C1819" s="3"/>
      <c r="D1819" s="3"/>
      <c r="E1819" s="5"/>
    </row>
    <row r="1820" spans="2:5" x14ac:dyDescent="0.25">
      <c r="B1820" s="3"/>
      <c r="C1820" s="3"/>
      <c r="D1820" s="3"/>
      <c r="E1820" s="5"/>
    </row>
    <row r="1821" spans="2:5" x14ac:dyDescent="0.25">
      <c r="B1821" s="3"/>
      <c r="C1821" s="3"/>
      <c r="D1821" s="3"/>
      <c r="E1821" s="5"/>
    </row>
    <row r="1822" spans="2:5" x14ac:dyDescent="0.25">
      <c r="B1822" s="3"/>
      <c r="C1822" s="3"/>
      <c r="D1822" s="3"/>
      <c r="E1822" s="5"/>
    </row>
    <row r="1823" spans="2:5" x14ac:dyDescent="0.25">
      <c r="B1823" s="3"/>
      <c r="C1823" s="3"/>
      <c r="D1823" s="3"/>
      <c r="E1823" s="5"/>
    </row>
    <row r="1824" spans="2:5" x14ac:dyDescent="0.25">
      <c r="B1824" s="3"/>
      <c r="C1824" s="3"/>
      <c r="D1824" s="3"/>
      <c r="E1824" s="5"/>
    </row>
    <row r="1825" spans="2:5" x14ac:dyDescent="0.25">
      <c r="B1825" s="3"/>
      <c r="C1825" s="3"/>
      <c r="D1825" s="3"/>
      <c r="E1825" s="5"/>
    </row>
    <row r="1826" spans="2:5" x14ac:dyDescent="0.25">
      <c r="B1826" s="3"/>
      <c r="C1826" s="3"/>
      <c r="D1826" s="3"/>
      <c r="E1826" s="5"/>
    </row>
    <row r="1827" spans="2:5" x14ac:dyDescent="0.25">
      <c r="B1827" s="3"/>
      <c r="C1827" s="3"/>
      <c r="D1827" s="3"/>
      <c r="E1827" s="5"/>
    </row>
    <row r="1828" spans="2:5" x14ac:dyDescent="0.25">
      <c r="B1828" s="3"/>
      <c r="C1828" s="3"/>
      <c r="D1828" s="3"/>
      <c r="E1828" s="5"/>
    </row>
    <row r="1829" spans="2:5" x14ac:dyDescent="0.25">
      <c r="B1829" s="3"/>
      <c r="C1829" s="3"/>
      <c r="D1829" s="3"/>
      <c r="E1829" s="5"/>
    </row>
    <row r="1830" spans="2:5" x14ac:dyDescent="0.25">
      <c r="B1830" s="3"/>
      <c r="C1830" s="3"/>
      <c r="D1830" s="3"/>
      <c r="E1830" s="5"/>
    </row>
    <row r="1831" spans="2:5" x14ac:dyDescent="0.25">
      <c r="B1831" s="3"/>
      <c r="C1831" s="3"/>
      <c r="D1831" s="3"/>
      <c r="E1831" s="5"/>
    </row>
    <row r="1832" spans="2:5" x14ac:dyDescent="0.25">
      <c r="B1832" s="3"/>
      <c r="C1832" s="3"/>
      <c r="D1832" s="3"/>
      <c r="E1832" s="5"/>
    </row>
    <row r="1833" spans="2:5" x14ac:dyDescent="0.25">
      <c r="B1833" s="3"/>
      <c r="C1833" s="3"/>
      <c r="D1833" s="3"/>
      <c r="E1833" s="5"/>
    </row>
    <row r="1834" spans="2:5" x14ac:dyDescent="0.25">
      <c r="B1834" s="3"/>
      <c r="C1834" s="3"/>
      <c r="D1834" s="3"/>
      <c r="E1834" s="5"/>
    </row>
    <row r="1835" spans="2:5" x14ac:dyDescent="0.25">
      <c r="B1835" s="3"/>
      <c r="C1835" s="3"/>
      <c r="D1835" s="3"/>
      <c r="E1835" s="5"/>
    </row>
    <row r="1836" spans="2:5" x14ac:dyDescent="0.25">
      <c r="B1836" s="3"/>
      <c r="C1836" s="3"/>
      <c r="D1836" s="3"/>
      <c r="E1836" s="5"/>
    </row>
    <row r="1837" spans="2:5" x14ac:dyDescent="0.25">
      <c r="B1837" s="3"/>
      <c r="C1837" s="3"/>
      <c r="D1837" s="3"/>
      <c r="E1837" s="5"/>
    </row>
    <row r="1838" spans="2:5" x14ac:dyDescent="0.25">
      <c r="B1838" s="3"/>
      <c r="C1838" s="3"/>
      <c r="D1838" s="3"/>
      <c r="E1838" s="5"/>
    </row>
    <row r="1839" spans="2:5" x14ac:dyDescent="0.25">
      <c r="B1839" s="3"/>
      <c r="C1839" s="3"/>
      <c r="D1839" s="3"/>
      <c r="E1839" s="5"/>
    </row>
    <row r="1840" spans="2:5" x14ac:dyDescent="0.25">
      <c r="B1840" s="3"/>
      <c r="C1840" s="3"/>
      <c r="D1840" s="3"/>
      <c r="E1840" s="5"/>
    </row>
    <row r="1841" spans="2:5" x14ac:dyDescent="0.25">
      <c r="B1841" s="3"/>
      <c r="C1841" s="3"/>
      <c r="D1841" s="3"/>
      <c r="E1841" s="5"/>
    </row>
    <row r="1842" spans="2:5" x14ac:dyDescent="0.25">
      <c r="B1842" s="3"/>
      <c r="C1842" s="3"/>
      <c r="D1842" s="3"/>
      <c r="E1842" s="5"/>
    </row>
    <row r="1843" spans="2:5" x14ac:dyDescent="0.25">
      <c r="B1843" s="3"/>
      <c r="C1843" s="3"/>
      <c r="D1843" s="3"/>
      <c r="E1843" s="5"/>
    </row>
    <row r="1844" spans="2:5" x14ac:dyDescent="0.25">
      <c r="B1844" s="3"/>
      <c r="C1844" s="3"/>
      <c r="D1844" s="3"/>
      <c r="E1844" s="5"/>
    </row>
    <row r="1845" spans="2:5" x14ac:dyDescent="0.25">
      <c r="B1845" s="3"/>
      <c r="C1845" s="3"/>
      <c r="D1845" s="3"/>
      <c r="E1845" s="5"/>
    </row>
    <row r="1846" spans="2:5" x14ac:dyDescent="0.25">
      <c r="B1846" s="3"/>
      <c r="C1846" s="3"/>
      <c r="D1846" s="3"/>
      <c r="E1846" s="5"/>
    </row>
    <row r="1847" spans="2:5" x14ac:dyDescent="0.25">
      <c r="B1847" s="3"/>
      <c r="C1847" s="3"/>
      <c r="D1847" s="3"/>
      <c r="E1847" s="5"/>
    </row>
    <row r="1848" spans="2:5" x14ac:dyDescent="0.25">
      <c r="B1848" s="3"/>
      <c r="C1848" s="3"/>
      <c r="D1848" s="3"/>
      <c r="E1848" s="5"/>
    </row>
    <row r="1849" spans="2:5" x14ac:dyDescent="0.25">
      <c r="B1849" s="3"/>
      <c r="C1849" s="3"/>
      <c r="D1849" s="3"/>
      <c r="E1849" s="5"/>
    </row>
    <row r="1850" spans="2:5" x14ac:dyDescent="0.25">
      <c r="B1850" s="3"/>
      <c r="C1850" s="3"/>
      <c r="D1850" s="3"/>
      <c r="E1850" s="5"/>
    </row>
    <row r="1851" spans="2:5" x14ac:dyDescent="0.25">
      <c r="B1851" s="3"/>
      <c r="C1851" s="3"/>
      <c r="D1851" s="3"/>
      <c r="E1851" s="5"/>
    </row>
    <row r="1852" spans="2:5" x14ac:dyDescent="0.25">
      <c r="B1852" s="3"/>
      <c r="C1852" s="3"/>
      <c r="D1852" s="3"/>
      <c r="E1852" s="5"/>
    </row>
    <row r="1853" spans="2:5" x14ac:dyDescent="0.25">
      <c r="B1853" s="3"/>
      <c r="C1853" s="3"/>
      <c r="D1853" s="3"/>
      <c r="E1853" s="5"/>
    </row>
    <row r="1854" spans="2:5" x14ac:dyDescent="0.25">
      <c r="B1854" s="3"/>
      <c r="C1854" s="3"/>
      <c r="D1854" s="3"/>
      <c r="E1854" s="5"/>
    </row>
    <row r="1855" spans="2:5" x14ac:dyDescent="0.25">
      <c r="B1855" s="3"/>
      <c r="C1855" s="3"/>
      <c r="D1855" s="3"/>
      <c r="E1855" s="5"/>
    </row>
    <row r="1856" spans="2:5" x14ac:dyDescent="0.25">
      <c r="B1856" s="3"/>
      <c r="C1856" s="3"/>
      <c r="D1856" s="3"/>
      <c r="E1856" s="5"/>
    </row>
    <row r="1857" spans="2:5" x14ac:dyDescent="0.25">
      <c r="B1857" s="3"/>
      <c r="C1857" s="3"/>
      <c r="D1857" s="3"/>
      <c r="E1857" s="5"/>
    </row>
    <row r="1858" spans="2:5" x14ac:dyDescent="0.25">
      <c r="B1858" s="3"/>
      <c r="C1858" s="3"/>
      <c r="D1858" s="3"/>
      <c r="E1858" s="5"/>
    </row>
    <row r="1859" spans="2:5" x14ac:dyDescent="0.25">
      <c r="B1859" s="3"/>
      <c r="C1859" s="3"/>
      <c r="D1859" s="3"/>
      <c r="E1859" s="5"/>
    </row>
    <row r="1860" spans="2:5" x14ac:dyDescent="0.25">
      <c r="B1860" s="3"/>
      <c r="C1860" s="3"/>
      <c r="D1860" s="3"/>
      <c r="E1860" s="5"/>
    </row>
    <row r="1861" spans="2:5" x14ac:dyDescent="0.25">
      <c r="B1861" s="3"/>
      <c r="C1861" s="3"/>
      <c r="D1861" s="3"/>
      <c r="E1861" s="5"/>
    </row>
    <row r="1862" spans="2:5" x14ac:dyDescent="0.25">
      <c r="B1862" s="3"/>
      <c r="C1862" s="3"/>
      <c r="D1862" s="3"/>
      <c r="E1862" s="5"/>
    </row>
    <row r="1863" spans="2:5" x14ac:dyDescent="0.25">
      <c r="B1863" s="3"/>
      <c r="C1863" s="3"/>
      <c r="D1863" s="3"/>
      <c r="E1863" s="5"/>
    </row>
    <row r="1864" spans="2:5" x14ac:dyDescent="0.25">
      <c r="B1864" s="3"/>
      <c r="C1864" s="3"/>
      <c r="D1864" s="3"/>
      <c r="E1864" s="5"/>
    </row>
    <row r="1865" spans="2:5" x14ac:dyDescent="0.25">
      <c r="B1865" s="3"/>
      <c r="C1865" s="3"/>
      <c r="D1865" s="3"/>
      <c r="E1865" s="5"/>
    </row>
    <row r="1866" spans="2:5" x14ac:dyDescent="0.25">
      <c r="B1866" s="3"/>
      <c r="C1866" s="3"/>
      <c r="D1866" s="3"/>
      <c r="E1866" s="5"/>
    </row>
    <row r="1867" spans="2:5" x14ac:dyDescent="0.25">
      <c r="B1867" s="3"/>
      <c r="C1867" s="3"/>
      <c r="D1867" s="3"/>
      <c r="E1867" s="5"/>
    </row>
    <row r="1868" spans="2:5" x14ac:dyDescent="0.25">
      <c r="B1868" s="3"/>
      <c r="C1868" s="3"/>
      <c r="D1868" s="3"/>
      <c r="E1868" s="5"/>
    </row>
    <row r="1869" spans="2:5" x14ac:dyDescent="0.25">
      <c r="B1869" s="3"/>
      <c r="C1869" s="3"/>
      <c r="D1869" s="3"/>
      <c r="E1869" s="5"/>
    </row>
    <row r="1870" spans="2:5" x14ac:dyDescent="0.25">
      <c r="B1870" s="3"/>
      <c r="C1870" s="3"/>
      <c r="D1870" s="3"/>
      <c r="E1870" s="5"/>
    </row>
    <row r="1871" spans="2:5" x14ac:dyDescent="0.25">
      <c r="B1871" s="3"/>
      <c r="C1871" s="3"/>
      <c r="D1871" s="3"/>
      <c r="E1871" s="5"/>
    </row>
    <row r="1872" spans="2:5" x14ac:dyDescent="0.25">
      <c r="B1872" s="3"/>
      <c r="C1872" s="3"/>
      <c r="D1872" s="3"/>
      <c r="E1872" s="5"/>
    </row>
    <row r="1873" spans="2:5" x14ac:dyDescent="0.25">
      <c r="B1873" s="3"/>
      <c r="C1873" s="3"/>
      <c r="D1873" s="3"/>
      <c r="E1873" s="5"/>
    </row>
    <row r="1874" spans="2:5" x14ac:dyDescent="0.25">
      <c r="B1874" s="3"/>
      <c r="C1874" s="3"/>
      <c r="D1874" s="3"/>
      <c r="E1874" s="5"/>
    </row>
    <row r="1875" spans="2:5" x14ac:dyDescent="0.25">
      <c r="B1875" s="3"/>
      <c r="C1875" s="3"/>
      <c r="D1875" s="3"/>
      <c r="E1875" s="5"/>
    </row>
    <row r="1876" spans="2:5" x14ac:dyDescent="0.25">
      <c r="B1876" s="3"/>
      <c r="C1876" s="3"/>
      <c r="D1876" s="3"/>
      <c r="E1876" s="5"/>
    </row>
    <row r="1877" spans="2:5" x14ac:dyDescent="0.25">
      <c r="B1877" s="3"/>
      <c r="C1877" s="3"/>
      <c r="D1877" s="3"/>
      <c r="E1877" s="5"/>
    </row>
    <row r="1878" spans="2:5" x14ac:dyDescent="0.25">
      <c r="B1878" s="3"/>
      <c r="C1878" s="3"/>
      <c r="D1878" s="3"/>
      <c r="E1878" s="5"/>
    </row>
    <row r="1879" spans="2:5" x14ac:dyDescent="0.25">
      <c r="B1879" s="3"/>
      <c r="C1879" s="3"/>
      <c r="D1879" s="3"/>
      <c r="E1879" s="5"/>
    </row>
    <row r="1880" spans="2:5" x14ac:dyDescent="0.25">
      <c r="B1880" s="3"/>
      <c r="C1880" s="3"/>
      <c r="D1880" s="3"/>
      <c r="E1880" s="5"/>
    </row>
    <row r="1881" spans="2:5" x14ac:dyDescent="0.25">
      <c r="B1881" s="3"/>
      <c r="C1881" s="3"/>
      <c r="D1881" s="3"/>
      <c r="E1881" s="5"/>
    </row>
    <row r="1882" spans="2:5" x14ac:dyDescent="0.25">
      <c r="B1882" s="3"/>
      <c r="C1882" s="3"/>
      <c r="D1882" s="3"/>
      <c r="E1882" s="5"/>
    </row>
    <row r="1883" spans="2:5" x14ac:dyDescent="0.25">
      <c r="B1883" s="3"/>
      <c r="C1883" s="3"/>
      <c r="D1883" s="3"/>
      <c r="E1883" s="5"/>
    </row>
    <row r="1884" spans="2:5" x14ac:dyDescent="0.25">
      <c r="B1884" s="3"/>
      <c r="C1884" s="3"/>
      <c r="D1884" s="3"/>
      <c r="E1884" s="5"/>
    </row>
    <row r="1885" spans="2:5" x14ac:dyDescent="0.25">
      <c r="B1885" s="3"/>
      <c r="C1885" s="3"/>
      <c r="D1885" s="3"/>
      <c r="E1885" s="5"/>
    </row>
    <row r="1886" spans="2:5" x14ac:dyDescent="0.25">
      <c r="B1886" s="3"/>
      <c r="C1886" s="3"/>
      <c r="D1886" s="3"/>
      <c r="E1886" s="5"/>
    </row>
    <row r="1887" spans="2:5" x14ac:dyDescent="0.25">
      <c r="B1887" s="3"/>
      <c r="C1887" s="3"/>
      <c r="D1887" s="3"/>
      <c r="E1887" s="5"/>
    </row>
    <row r="1888" spans="2:5" x14ac:dyDescent="0.25">
      <c r="B1888" s="3"/>
      <c r="C1888" s="3"/>
      <c r="D1888" s="3"/>
      <c r="E1888" s="5"/>
    </row>
    <row r="1889" spans="2:5" x14ac:dyDescent="0.25">
      <c r="B1889" s="3"/>
      <c r="C1889" s="3"/>
      <c r="D1889" s="3"/>
      <c r="E1889" s="5"/>
    </row>
    <row r="1890" spans="2:5" x14ac:dyDescent="0.25">
      <c r="B1890" s="3"/>
      <c r="C1890" s="3"/>
      <c r="D1890" s="3"/>
      <c r="E1890" s="5"/>
    </row>
    <row r="1891" spans="2:5" x14ac:dyDescent="0.25">
      <c r="B1891" s="3"/>
      <c r="C1891" s="3"/>
      <c r="D1891" s="3"/>
      <c r="E1891" s="5"/>
    </row>
    <row r="1892" spans="2:5" x14ac:dyDescent="0.25">
      <c r="B1892" s="3"/>
      <c r="C1892" s="3"/>
      <c r="D1892" s="3"/>
      <c r="E1892" s="5"/>
    </row>
    <row r="1893" spans="2:5" x14ac:dyDescent="0.25">
      <c r="B1893" s="3"/>
      <c r="C1893" s="3"/>
      <c r="D1893" s="3"/>
      <c r="E1893" s="5"/>
    </row>
    <row r="1894" spans="2:5" x14ac:dyDescent="0.25">
      <c r="B1894" s="3"/>
      <c r="C1894" s="3"/>
      <c r="D1894" s="3"/>
      <c r="E1894" s="5"/>
    </row>
    <row r="1895" spans="2:5" x14ac:dyDescent="0.25">
      <c r="B1895" s="3"/>
      <c r="C1895" s="3"/>
      <c r="D1895" s="3"/>
      <c r="E1895" s="5"/>
    </row>
    <row r="1896" spans="2:5" x14ac:dyDescent="0.25">
      <c r="B1896" s="3"/>
      <c r="C1896" s="3"/>
      <c r="D1896" s="3"/>
      <c r="E1896" s="5"/>
    </row>
    <row r="1897" spans="2:5" x14ac:dyDescent="0.25">
      <c r="B1897" s="3"/>
      <c r="C1897" s="3"/>
      <c r="D1897" s="3"/>
      <c r="E1897" s="5"/>
    </row>
    <row r="1898" spans="2:5" x14ac:dyDescent="0.25">
      <c r="B1898" s="3"/>
      <c r="C1898" s="3"/>
      <c r="D1898" s="3"/>
      <c r="E1898" s="5"/>
    </row>
    <row r="1899" spans="2:5" x14ac:dyDescent="0.25">
      <c r="B1899" s="3"/>
      <c r="C1899" s="3"/>
      <c r="D1899" s="3"/>
      <c r="E1899" s="5"/>
    </row>
    <row r="1900" spans="2:5" x14ac:dyDescent="0.25">
      <c r="B1900" s="3"/>
      <c r="C1900" s="3"/>
      <c r="D1900" s="3"/>
      <c r="E1900" s="5"/>
    </row>
    <row r="1901" spans="2:5" x14ac:dyDescent="0.25">
      <c r="B1901" s="3"/>
      <c r="C1901" s="3"/>
      <c r="D1901" s="3"/>
      <c r="E1901" s="5"/>
    </row>
    <row r="1902" spans="2:5" x14ac:dyDescent="0.25">
      <c r="B1902" s="3"/>
      <c r="C1902" s="3"/>
      <c r="D1902" s="3"/>
      <c r="E1902" s="5"/>
    </row>
    <row r="1903" spans="2:5" x14ac:dyDescent="0.25">
      <c r="B1903" s="3"/>
      <c r="C1903" s="3"/>
      <c r="D1903" s="3"/>
      <c r="E1903" s="5"/>
    </row>
    <row r="1904" spans="2:5" x14ac:dyDescent="0.25">
      <c r="B1904" s="3"/>
      <c r="C1904" s="3"/>
      <c r="D1904" s="3"/>
      <c r="E1904" s="5"/>
    </row>
    <row r="1905" spans="2:5" x14ac:dyDescent="0.25">
      <c r="B1905" s="3"/>
      <c r="C1905" s="3"/>
      <c r="D1905" s="3"/>
      <c r="E1905" s="5"/>
    </row>
    <row r="1906" spans="2:5" x14ac:dyDescent="0.25">
      <c r="B1906" s="3"/>
      <c r="C1906" s="3"/>
      <c r="D1906" s="3"/>
      <c r="E1906" s="5"/>
    </row>
    <row r="1907" spans="2:5" x14ac:dyDescent="0.25">
      <c r="B1907" s="3"/>
      <c r="C1907" s="3"/>
      <c r="D1907" s="3"/>
      <c r="E1907" s="5"/>
    </row>
    <row r="1908" spans="2:5" x14ac:dyDescent="0.25">
      <c r="B1908" s="3"/>
      <c r="C1908" s="3"/>
      <c r="D1908" s="3"/>
      <c r="E1908" s="5"/>
    </row>
    <row r="1909" spans="2:5" x14ac:dyDescent="0.25">
      <c r="B1909" s="3"/>
      <c r="C1909" s="3"/>
      <c r="D1909" s="3"/>
      <c r="E1909" s="5"/>
    </row>
    <row r="1910" spans="2:5" x14ac:dyDescent="0.25">
      <c r="B1910" s="3"/>
      <c r="C1910" s="3"/>
      <c r="D1910" s="3"/>
      <c r="E1910" s="5"/>
    </row>
    <row r="1911" spans="2:5" x14ac:dyDescent="0.25">
      <c r="B1911" s="3"/>
      <c r="C1911" s="3"/>
      <c r="D1911" s="3"/>
      <c r="E1911" s="5"/>
    </row>
    <row r="1912" spans="2:5" x14ac:dyDescent="0.25">
      <c r="B1912" s="3"/>
      <c r="C1912" s="3"/>
      <c r="D1912" s="3"/>
      <c r="E1912" s="5"/>
    </row>
    <row r="1913" spans="2:5" x14ac:dyDescent="0.25">
      <c r="B1913" s="3"/>
      <c r="C1913" s="3"/>
      <c r="D1913" s="3"/>
      <c r="E1913" s="5"/>
    </row>
    <row r="1914" spans="2:5" x14ac:dyDescent="0.25">
      <c r="B1914" s="3"/>
      <c r="C1914" s="3"/>
      <c r="D1914" s="3"/>
      <c r="E1914" s="5"/>
    </row>
    <row r="1915" spans="2:5" x14ac:dyDescent="0.25">
      <c r="B1915" s="3"/>
      <c r="C1915" s="3"/>
      <c r="D1915" s="3"/>
      <c r="E1915" s="5"/>
    </row>
    <row r="1916" spans="2:5" x14ac:dyDescent="0.25">
      <c r="B1916" s="3"/>
      <c r="C1916" s="3"/>
      <c r="D1916" s="3"/>
      <c r="E1916" s="5"/>
    </row>
    <row r="1917" spans="2:5" x14ac:dyDescent="0.25">
      <c r="B1917" s="3"/>
      <c r="C1917" s="3"/>
      <c r="D1917" s="3"/>
      <c r="E1917" s="5"/>
    </row>
    <row r="1918" spans="2:5" x14ac:dyDescent="0.25">
      <c r="B1918" s="3"/>
      <c r="C1918" s="3"/>
      <c r="D1918" s="3"/>
      <c r="E1918" s="5"/>
    </row>
    <row r="1919" spans="2:5" x14ac:dyDescent="0.25">
      <c r="B1919" s="3"/>
      <c r="C1919" s="3"/>
      <c r="D1919" s="3"/>
      <c r="E1919" s="5"/>
    </row>
    <row r="1920" spans="2:5" x14ac:dyDescent="0.25">
      <c r="B1920" s="3"/>
      <c r="C1920" s="3"/>
      <c r="D1920" s="3"/>
      <c r="E1920" s="5"/>
    </row>
    <row r="1921" spans="2:5" x14ac:dyDescent="0.25">
      <c r="B1921" s="3"/>
      <c r="C1921" s="3"/>
      <c r="D1921" s="3"/>
      <c r="E1921" s="5"/>
    </row>
    <row r="1922" spans="2:5" x14ac:dyDescent="0.25">
      <c r="B1922" s="3"/>
      <c r="C1922" s="3"/>
      <c r="D1922" s="3"/>
      <c r="E1922" s="5"/>
    </row>
    <row r="1923" spans="2:5" x14ac:dyDescent="0.25">
      <c r="B1923" s="3"/>
      <c r="C1923" s="3"/>
      <c r="D1923" s="3"/>
      <c r="E1923" s="5"/>
    </row>
    <row r="1924" spans="2:5" x14ac:dyDescent="0.25">
      <c r="B1924" s="3"/>
      <c r="C1924" s="3"/>
      <c r="D1924" s="3"/>
      <c r="E1924" s="5"/>
    </row>
    <row r="1925" spans="2:5" x14ac:dyDescent="0.25">
      <c r="B1925" s="3"/>
      <c r="C1925" s="3"/>
      <c r="D1925" s="3"/>
      <c r="E1925" s="5"/>
    </row>
    <row r="1926" spans="2:5" x14ac:dyDescent="0.25">
      <c r="B1926" s="3"/>
      <c r="C1926" s="3"/>
      <c r="D1926" s="3"/>
      <c r="E1926" s="5"/>
    </row>
    <row r="1927" spans="2:5" x14ac:dyDescent="0.25">
      <c r="B1927" s="3"/>
      <c r="C1927" s="3"/>
      <c r="D1927" s="3"/>
      <c r="E1927" s="5"/>
    </row>
    <row r="1928" spans="2:5" x14ac:dyDescent="0.25">
      <c r="B1928" s="3"/>
      <c r="C1928" s="3"/>
      <c r="D1928" s="3"/>
      <c r="E1928" s="5"/>
    </row>
    <row r="1929" spans="2:5" x14ac:dyDescent="0.25">
      <c r="B1929" s="3"/>
      <c r="C1929" s="3"/>
      <c r="D1929" s="3"/>
      <c r="E1929" s="5"/>
    </row>
    <row r="1930" spans="2:5" x14ac:dyDescent="0.25">
      <c r="B1930" s="3"/>
      <c r="C1930" s="3"/>
      <c r="D1930" s="3"/>
      <c r="E1930" s="5"/>
    </row>
    <row r="1931" spans="2:5" x14ac:dyDescent="0.25">
      <c r="B1931" s="3"/>
      <c r="C1931" s="3"/>
      <c r="D1931" s="3"/>
      <c r="E1931" s="5"/>
    </row>
    <row r="1932" spans="2:5" x14ac:dyDescent="0.25">
      <c r="B1932" s="3"/>
      <c r="C1932" s="3"/>
      <c r="D1932" s="3"/>
      <c r="E1932" s="5"/>
    </row>
    <row r="1933" spans="2:5" x14ac:dyDescent="0.25">
      <c r="B1933" s="3"/>
      <c r="C1933" s="3"/>
      <c r="D1933" s="3"/>
      <c r="E1933" s="5"/>
    </row>
    <row r="1934" spans="2:5" x14ac:dyDescent="0.25">
      <c r="B1934" s="3"/>
      <c r="C1934" s="3"/>
      <c r="D1934" s="3"/>
      <c r="E1934" s="5"/>
    </row>
    <row r="1935" spans="2:5" x14ac:dyDescent="0.25">
      <c r="B1935" s="3"/>
      <c r="C1935" s="3"/>
      <c r="D1935" s="3"/>
      <c r="E1935" s="5"/>
    </row>
    <row r="1936" spans="2:5" x14ac:dyDescent="0.25">
      <c r="B1936" s="3"/>
      <c r="C1936" s="3"/>
      <c r="D1936" s="3"/>
      <c r="E1936" s="5"/>
    </row>
    <row r="1937" spans="2:5" x14ac:dyDescent="0.25">
      <c r="B1937" s="3"/>
      <c r="C1937" s="3"/>
      <c r="D1937" s="3"/>
      <c r="E1937" s="5"/>
    </row>
    <row r="1938" spans="2:5" x14ac:dyDescent="0.25">
      <c r="B1938" s="3"/>
      <c r="C1938" s="3"/>
      <c r="D1938" s="3"/>
      <c r="E1938" s="5"/>
    </row>
    <row r="1939" spans="2:5" x14ac:dyDescent="0.25">
      <c r="B1939" s="3"/>
      <c r="C1939" s="3"/>
      <c r="D1939" s="3"/>
      <c r="E1939" s="5"/>
    </row>
    <row r="1940" spans="2:5" x14ac:dyDescent="0.25">
      <c r="B1940" s="3"/>
      <c r="C1940" s="3"/>
      <c r="D1940" s="3"/>
      <c r="E1940" s="5"/>
    </row>
    <row r="1941" spans="2:5" x14ac:dyDescent="0.25">
      <c r="B1941" s="3"/>
      <c r="C1941" s="3"/>
      <c r="D1941" s="3"/>
      <c r="E1941" s="5"/>
    </row>
    <row r="1942" spans="2:5" x14ac:dyDescent="0.25">
      <c r="B1942" s="3"/>
      <c r="C1942" s="3"/>
      <c r="D1942" s="3"/>
      <c r="E1942" s="5"/>
    </row>
    <row r="1943" spans="2:5" x14ac:dyDescent="0.25">
      <c r="B1943" s="3"/>
      <c r="C1943" s="3"/>
      <c r="D1943" s="3"/>
      <c r="E1943" s="5"/>
    </row>
    <row r="1944" spans="2:5" x14ac:dyDescent="0.25">
      <c r="B1944" s="3"/>
      <c r="C1944" s="3"/>
      <c r="D1944" s="3"/>
      <c r="E1944" s="5"/>
    </row>
    <row r="1945" spans="2:5" x14ac:dyDescent="0.25">
      <c r="B1945" s="3"/>
      <c r="C1945" s="3"/>
      <c r="D1945" s="3"/>
      <c r="E1945" s="5"/>
    </row>
    <row r="1946" spans="2:5" x14ac:dyDescent="0.25">
      <c r="B1946" s="3"/>
      <c r="C1946" s="3"/>
      <c r="D1946" s="3"/>
      <c r="E1946" s="5"/>
    </row>
    <row r="1947" spans="2:5" x14ac:dyDescent="0.25">
      <c r="B1947" s="3"/>
      <c r="C1947" s="3"/>
      <c r="D1947" s="3"/>
      <c r="E1947" s="5"/>
    </row>
    <row r="1948" spans="2:5" x14ac:dyDescent="0.25">
      <c r="B1948" s="3"/>
      <c r="C1948" s="3"/>
      <c r="D1948" s="3"/>
      <c r="E1948" s="5"/>
    </row>
    <row r="1949" spans="2:5" x14ac:dyDescent="0.25">
      <c r="B1949" s="3"/>
      <c r="C1949" s="3"/>
      <c r="D1949" s="3"/>
      <c r="E1949" s="5"/>
    </row>
    <row r="1950" spans="2:5" x14ac:dyDescent="0.25">
      <c r="B1950" s="3"/>
      <c r="C1950" s="3"/>
      <c r="D1950" s="3"/>
      <c r="E1950" s="5"/>
    </row>
    <row r="1951" spans="2:5" x14ac:dyDescent="0.25">
      <c r="B1951" s="3"/>
      <c r="C1951" s="3"/>
      <c r="D1951" s="3"/>
      <c r="E1951" s="5"/>
    </row>
    <row r="1952" spans="2:5" x14ac:dyDescent="0.25">
      <c r="B1952" s="3"/>
      <c r="C1952" s="3"/>
      <c r="D1952" s="3"/>
      <c r="E1952" s="5"/>
    </row>
    <row r="1953" spans="2:5" x14ac:dyDescent="0.25">
      <c r="B1953" s="3"/>
      <c r="C1953" s="3"/>
      <c r="D1953" s="3"/>
      <c r="E1953" s="5"/>
    </row>
    <row r="1954" spans="2:5" x14ac:dyDescent="0.25">
      <c r="B1954" s="3"/>
      <c r="C1954" s="3"/>
      <c r="D1954" s="3"/>
      <c r="E1954" s="5"/>
    </row>
    <row r="1955" spans="2:5" x14ac:dyDescent="0.25">
      <c r="B1955" s="3"/>
      <c r="C1955" s="3"/>
      <c r="D1955" s="3"/>
      <c r="E1955" s="5"/>
    </row>
    <row r="1956" spans="2:5" x14ac:dyDescent="0.25">
      <c r="B1956" s="3"/>
      <c r="C1956" s="3"/>
      <c r="D1956" s="3"/>
      <c r="E1956" s="5"/>
    </row>
    <row r="1957" spans="2:5" x14ac:dyDescent="0.25">
      <c r="B1957" s="3"/>
      <c r="C1957" s="3"/>
      <c r="D1957" s="3"/>
      <c r="E1957" s="5"/>
    </row>
    <row r="1958" spans="2:5" x14ac:dyDescent="0.25">
      <c r="B1958" s="3"/>
      <c r="C1958" s="3"/>
      <c r="D1958" s="3"/>
      <c r="E1958" s="5"/>
    </row>
    <row r="1959" spans="2:5" x14ac:dyDescent="0.25">
      <c r="B1959" s="3"/>
      <c r="C1959" s="3"/>
      <c r="D1959" s="3"/>
      <c r="E1959" s="5"/>
    </row>
    <row r="1960" spans="2:5" x14ac:dyDescent="0.25">
      <c r="B1960" s="3"/>
      <c r="C1960" s="3"/>
      <c r="D1960" s="3"/>
      <c r="E1960" s="5"/>
    </row>
    <row r="1961" spans="2:5" x14ac:dyDescent="0.25">
      <c r="B1961" s="3"/>
      <c r="C1961" s="3"/>
      <c r="D1961" s="3"/>
      <c r="E1961" s="5"/>
    </row>
    <row r="1962" spans="2:5" x14ac:dyDescent="0.25">
      <c r="B1962" s="3"/>
      <c r="C1962" s="3"/>
      <c r="D1962" s="3"/>
      <c r="E1962" s="5"/>
    </row>
    <row r="1963" spans="2:5" x14ac:dyDescent="0.25">
      <c r="B1963" s="3"/>
      <c r="C1963" s="3"/>
      <c r="D1963" s="3"/>
      <c r="E1963" s="5"/>
    </row>
    <row r="1964" spans="2:5" x14ac:dyDescent="0.25">
      <c r="B1964" s="3"/>
      <c r="C1964" s="3"/>
      <c r="D1964" s="3"/>
      <c r="E1964" s="5"/>
    </row>
    <row r="1965" spans="2:5" x14ac:dyDescent="0.25">
      <c r="B1965" s="3"/>
      <c r="C1965" s="3"/>
      <c r="D1965" s="3"/>
      <c r="E1965" s="5"/>
    </row>
    <row r="1966" spans="2:5" x14ac:dyDescent="0.25">
      <c r="B1966" s="3"/>
      <c r="C1966" s="3"/>
      <c r="D1966" s="3"/>
      <c r="E1966" s="5"/>
    </row>
    <row r="1967" spans="2:5" x14ac:dyDescent="0.25">
      <c r="B1967" s="3"/>
      <c r="C1967" s="3"/>
      <c r="D1967" s="3"/>
      <c r="E1967" s="5"/>
    </row>
    <row r="1968" spans="2:5" x14ac:dyDescent="0.25">
      <c r="B1968" s="3"/>
      <c r="C1968" s="3"/>
      <c r="D1968" s="3"/>
      <c r="E1968" s="5"/>
    </row>
    <row r="1969" spans="2:5" x14ac:dyDescent="0.25">
      <c r="B1969" s="3"/>
      <c r="C1969" s="3"/>
      <c r="D1969" s="3"/>
      <c r="E1969" s="5"/>
    </row>
    <row r="1970" spans="2:5" x14ac:dyDescent="0.25">
      <c r="B1970" s="3"/>
      <c r="C1970" s="3"/>
      <c r="D1970" s="3"/>
      <c r="E1970" s="5"/>
    </row>
    <row r="1971" spans="2:5" x14ac:dyDescent="0.25">
      <c r="B1971" s="3"/>
      <c r="C1971" s="3"/>
      <c r="D1971" s="3"/>
      <c r="E1971" s="5"/>
    </row>
    <row r="1972" spans="2:5" x14ac:dyDescent="0.25">
      <c r="B1972" s="3"/>
      <c r="C1972" s="3"/>
      <c r="D1972" s="3"/>
      <c r="E1972" s="5"/>
    </row>
    <row r="1973" spans="2:5" x14ac:dyDescent="0.25">
      <c r="B1973" s="3"/>
      <c r="C1973" s="3"/>
      <c r="D1973" s="3"/>
      <c r="E1973" s="5"/>
    </row>
    <row r="1974" spans="2:5" x14ac:dyDescent="0.25">
      <c r="B1974" s="3"/>
      <c r="C1974" s="3"/>
      <c r="D1974" s="3"/>
      <c r="E1974" s="5"/>
    </row>
    <row r="1975" spans="2:5" x14ac:dyDescent="0.25">
      <c r="B1975" s="3"/>
      <c r="C1975" s="3"/>
      <c r="D1975" s="3"/>
      <c r="E1975" s="5"/>
    </row>
    <row r="1976" spans="2:5" x14ac:dyDescent="0.25">
      <c r="B1976" s="3"/>
      <c r="C1976" s="3"/>
      <c r="D1976" s="3"/>
      <c r="E1976" s="5"/>
    </row>
    <row r="1977" spans="2:5" x14ac:dyDescent="0.25">
      <c r="B1977" s="3"/>
      <c r="C1977" s="3"/>
      <c r="D1977" s="3"/>
      <c r="E1977" s="5"/>
    </row>
    <row r="1978" spans="2:5" x14ac:dyDescent="0.25">
      <c r="B1978" s="3"/>
      <c r="C1978" s="3"/>
      <c r="D1978" s="3"/>
      <c r="E1978" s="5"/>
    </row>
    <row r="1979" spans="2:5" x14ac:dyDescent="0.25">
      <c r="B1979" s="3"/>
      <c r="C1979" s="3"/>
      <c r="D1979" s="3"/>
      <c r="E1979" s="5"/>
    </row>
    <row r="1980" spans="2:5" x14ac:dyDescent="0.25">
      <c r="B1980" s="3"/>
      <c r="C1980" s="3"/>
      <c r="D1980" s="3"/>
      <c r="E1980" s="5"/>
    </row>
    <row r="1981" spans="2:5" x14ac:dyDescent="0.25">
      <c r="B1981" s="3"/>
      <c r="C1981" s="3"/>
      <c r="D1981" s="3"/>
      <c r="E1981" s="5"/>
    </row>
    <row r="1982" spans="2:5" x14ac:dyDescent="0.25">
      <c r="B1982" s="3"/>
      <c r="C1982" s="3"/>
      <c r="D1982" s="3"/>
      <c r="E1982" s="5"/>
    </row>
    <row r="1983" spans="2:5" x14ac:dyDescent="0.25">
      <c r="B1983" s="3"/>
      <c r="C1983" s="3"/>
      <c r="D1983" s="3"/>
      <c r="E1983" s="5"/>
    </row>
    <row r="1984" spans="2:5" x14ac:dyDescent="0.25">
      <c r="B1984" s="3"/>
      <c r="C1984" s="3"/>
      <c r="D1984" s="3"/>
      <c r="E1984" s="5"/>
    </row>
    <row r="1985" spans="2:5" x14ac:dyDescent="0.25">
      <c r="B1985" s="3"/>
      <c r="C1985" s="3"/>
      <c r="D1985" s="3"/>
      <c r="E1985" s="5"/>
    </row>
    <row r="1986" spans="2:5" x14ac:dyDescent="0.25">
      <c r="B1986" s="3"/>
      <c r="C1986" s="3"/>
      <c r="D1986" s="3"/>
      <c r="E1986" s="5"/>
    </row>
    <row r="1987" spans="2:5" x14ac:dyDescent="0.25">
      <c r="B1987" s="3"/>
      <c r="C1987" s="3"/>
      <c r="D1987" s="3"/>
      <c r="E1987" s="5"/>
    </row>
    <row r="1988" spans="2:5" x14ac:dyDescent="0.25">
      <c r="B1988" s="3"/>
      <c r="C1988" s="3"/>
      <c r="D1988" s="3"/>
      <c r="E1988" s="5"/>
    </row>
    <row r="1989" spans="2:5" x14ac:dyDescent="0.25">
      <c r="B1989" s="3"/>
      <c r="C1989" s="3"/>
      <c r="D1989" s="3"/>
      <c r="E1989" s="5"/>
    </row>
    <row r="1990" spans="2:5" x14ac:dyDescent="0.25">
      <c r="B1990" s="3"/>
      <c r="C1990" s="3"/>
      <c r="D1990" s="3"/>
      <c r="E1990" s="5"/>
    </row>
    <row r="1991" spans="2:5" x14ac:dyDescent="0.25">
      <c r="B1991" s="3"/>
      <c r="C1991" s="3"/>
      <c r="D1991" s="3"/>
      <c r="E1991" s="5"/>
    </row>
    <row r="1992" spans="2:5" x14ac:dyDescent="0.25">
      <c r="B1992" s="3"/>
      <c r="C1992" s="3"/>
      <c r="D1992" s="3"/>
      <c r="E1992" s="5"/>
    </row>
    <row r="1993" spans="2:5" x14ac:dyDescent="0.25">
      <c r="B1993" s="3"/>
      <c r="C1993" s="3"/>
      <c r="D1993" s="3"/>
      <c r="E1993" s="5"/>
    </row>
    <row r="1994" spans="2:5" x14ac:dyDescent="0.25">
      <c r="B1994" s="3"/>
      <c r="C1994" s="3"/>
      <c r="D1994" s="3"/>
      <c r="E1994" s="5"/>
    </row>
    <row r="1995" spans="2:5" x14ac:dyDescent="0.25">
      <c r="B1995" s="3"/>
      <c r="C1995" s="3"/>
      <c r="D1995" s="3"/>
      <c r="E1995" s="5"/>
    </row>
    <row r="1996" spans="2:5" x14ac:dyDescent="0.25">
      <c r="B1996" s="3"/>
      <c r="C1996" s="3"/>
      <c r="D1996" s="3"/>
      <c r="E1996" s="5"/>
    </row>
    <row r="1997" spans="2:5" x14ac:dyDescent="0.25">
      <c r="B1997" s="3"/>
      <c r="C1997" s="3"/>
      <c r="D1997" s="3"/>
      <c r="E1997" s="5"/>
    </row>
    <row r="1998" spans="2:5" x14ac:dyDescent="0.25">
      <c r="B1998" s="3"/>
      <c r="C1998" s="3"/>
      <c r="D1998" s="3"/>
      <c r="E1998" s="5"/>
    </row>
    <row r="1999" spans="2:5" x14ac:dyDescent="0.25">
      <c r="B1999" s="3"/>
      <c r="C1999" s="3"/>
      <c r="D1999" s="3"/>
      <c r="E1999" s="5"/>
    </row>
    <row r="2000" spans="2:5" x14ac:dyDescent="0.25">
      <c r="B2000" s="3"/>
      <c r="C2000" s="3"/>
      <c r="D2000" s="3"/>
      <c r="E2000" s="5"/>
    </row>
    <row r="2001" spans="2:5" x14ac:dyDescent="0.25">
      <c r="B2001" s="3"/>
      <c r="C2001" s="3"/>
      <c r="D2001" s="3"/>
      <c r="E2001" s="5"/>
    </row>
    <row r="2002" spans="2:5" x14ac:dyDescent="0.25">
      <c r="B2002" s="3"/>
      <c r="C2002" s="3"/>
      <c r="D2002" s="3"/>
      <c r="E2002" s="5"/>
    </row>
    <row r="2003" spans="2:5" x14ac:dyDescent="0.25">
      <c r="B2003" s="3"/>
      <c r="C2003" s="3"/>
      <c r="D2003" s="3"/>
      <c r="E2003" s="5"/>
    </row>
    <row r="2004" spans="2:5" x14ac:dyDescent="0.25">
      <c r="B2004" s="3"/>
      <c r="C2004" s="3"/>
      <c r="D2004" s="3"/>
      <c r="E2004" s="5"/>
    </row>
    <row r="2005" spans="2:5" x14ac:dyDescent="0.25">
      <c r="B2005" s="3"/>
      <c r="C2005" s="3"/>
      <c r="D2005" s="3"/>
      <c r="E2005" s="5"/>
    </row>
    <row r="2006" spans="2:5" x14ac:dyDescent="0.25">
      <c r="B2006" s="3"/>
      <c r="C2006" s="3"/>
      <c r="D2006" s="3"/>
      <c r="E2006" s="5"/>
    </row>
    <row r="2007" spans="2:5" x14ac:dyDescent="0.25">
      <c r="B2007" s="3"/>
      <c r="C2007" s="3"/>
      <c r="D2007" s="3"/>
      <c r="E2007" s="5"/>
    </row>
    <row r="2008" spans="2:5" x14ac:dyDescent="0.25">
      <c r="B2008" s="3"/>
      <c r="C2008" s="3"/>
      <c r="D2008" s="3"/>
      <c r="E2008" s="5"/>
    </row>
    <row r="2009" spans="2:5" x14ac:dyDescent="0.25">
      <c r="B2009" s="3"/>
      <c r="C2009" s="3"/>
      <c r="D2009" s="3"/>
      <c r="E2009" s="5"/>
    </row>
    <row r="2010" spans="2:5" x14ac:dyDescent="0.25">
      <c r="B2010" s="3"/>
      <c r="C2010" s="3"/>
      <c r="D2010" s="3"/>
      <c r="E2010" s="5"/>
    </row>
    <row r="2011" spans="2:5" x14ac:dyDescent="0.25">
      <c r="B2011" s="3"/>
      <c r="C2011" s="3"/>
      <c r="D2011" s="3"/>
      <c r="E2011" s="5"/>
    </row>
    <row r="2012" spans="2:5" x14ac:dyDescent="0.25">
      <c r="B2012" s="3"/>
      <c r="C2012" s="3"/>
      <c r="D2012" s="3"/>
      <c r="E2012" s="5"/>
    </row>
    <row r="2013" spans="2:5" x14ac:dyDescent="0.25">
      <c r="B2013" s="3"/>
      <c r="C2013" s="3"/>
      <c r="D2013" s="3"/>
      <c r="E2013" s="5"/>
    </row>
    <row r="2014" spans="2:5" x14ac:dyDescent="0.25">
      <c r="B2014" s="3"/>
      <c r="C2014" s="3"/>
      <c r="D2014" s="3"/>
      <c r="E2014" s="5"/>
    </row>
    <row r="2015" spans="2:5" x14ac:dyDescent="0.25">
      <c r="B2015" s="3"/>
      <c r="C2015" s="3"/>
      <c r="D2015" s="3"/>
      <c r="E2015" s="5"/>
    </row>
    <row r="2016" spans="2:5" x14ac:dyDescent="0.25">
      <c r="B2016" s="3"/>
      <c r="C2016" s="3"/>
      <c r="D2016" s="3"/>
      <c r="E2016" s="5"/>
    </row>
    <row r="2017" spans="2:5" x14ac:dyDescent="0.25">
      <c r="B2017" s="3"/>
      <c r="C2017" s="3"/>
      <c r="D2017" s="3"/>
      <c r="E2017" s="5"/>
    </row>
    <row r="2018" spans="2:5" x14ac:dyDescent="0.25">
      <c r="B2018" s="3"/>
      <c r="C2018" s="3"/>
      <c r="D2018" s="3"/>
      <c r="E2018" s="5"/>
    </row>
    <row r="2019" spans="2:5" x14ac:dyDescent="0.25">
      <c r="B2019" s="3"/>
      <c r="C2019" s="3"/>
      <c r="D2019" s="3"/>
      <c r="E2019" s="5"/>
    </row>
    <row r="2020" spans="2:5" x14ac:dyDescent="0.25">
      <c r="B2020" s="3"/>
      <c r="C2020" s="3"/>
      <c r="D2020" s="3"/>
      <c r="E2020" s="5"/>
    </row>
    <row r="2021" spans="2:5" x14ac:dyDescent="0.25">
      <c r="B2021" s="3"/>
      <c r="C2021" s="3"/>
      <c r="D2021" s="3"/>
      <c r="E2021" s="5"/>
    </row>
    <row r="2022" spans="2:5" x14ac:dyDescent="0.25">
      <c r="B2022" s="3"/>
      <c r="C2022" s="3"/>
      <c r="D2022" s="3"/>
      <c r="E2022" s="5"/>
    </row>
    <row r="2023" spans="2:5" x14ac:dyDescent="0.25">
      <c r="B2023" s="3"/>
      <c r="C2023" s="3"/>
      <c r="D2023" s="3"/>
      <c r="E2023" s="5"/>
    </row>
    <row r="2024" spans="2:5" x14ac:dyDescent="0.25">
      <c r="B2024" s="3"/>
      <c r="C2024" s="3"/>
      <c r="D2024" s="3"/>
      <c r="E2024" s="5"/>
    </row>
    <row r="2025" spans="2:5" x14ac:dyDescent="0.25">
      <c r="B2025" s="3"/>
      <c r="C2025" s="3"/>
      <c r="D2025" s="3"/>
      <c r="E2025" s="5"/>
    </row>
    <row r="2026" spans="2:5" x14ac:dyDescent="0.25">
      <c r="B2026" s="3"/>
      <c r="C2026" s="3"/>
      <c r="D2026" s="3"/>
      <c r="E2026" s="5"/>
    </row>
    <row r="2027" spans="2:5" x14ac:dyDescent="0.25">
      <c r="B2027" s="3"/>
      <c r="C2027" s="3"/>
      <c r="D2027" s="3"/>
      <c r="E2027" s="5"/>
    </row>
    <row r="2028" spans="2:5" x14ac:dyDescent="0.25">
      <c r="B2028" s="3"/>
      <c r="C2028" s="3"/>
      <c r="D2028" s="3"/>
      <c r="E2028" s="5"/>
    </row>
    <row r="2029" spans="2:5" x14ac:dyDescent="0.25">
      <c r="B2029" s="3"/>
      <c r="C2029" s="3"/>
      <c r="D2029" s="3"/>
      <c r="E2029" s="5"/>
    </row>
    <row r="2030" spans="2:5" x14ac:dyDescent="0.25">
      <c r="B2030" s="3"/>
      <c r="C2030" s="3"/>
      <c r="D2030" s="3"/>
      <c r="E2030" s="5"/>
    </row>
    <row r="2031" spans="2:5" x14ac:dyDescent="0.25">
      <c r="B2031" s="3"/>
      <c r="C2031" s="3"/>
      <c r="D2031" s="3"/>
      <c r="E2031" s="5"/>
    </row>
    <row r="2032" spans="2:5" x14ac:dyDescent="0.25">
      <c r="B2032" s="3"/>
      <c r="C2032" s="3"/>
      <c r="D2032" s="3"/>
      <c r="E2032" s="5"/>
    </row>
    <row r="2033" spans="2:5" x14ac:dyDescent="0.25">
      <c r="B2033" s="3"/>
      <c r="C2033" s="3"/>
      <c r="D2033" s="3"/>
      <c r="E2033" s="5"/>
    </row>
    <row r="2034" spans="2:5" x14ac:dyDescent="0.25">
      <c r="B2034" s="3"/>
      <c r="C2034" s="3"/>
      <c r="D2034" s="3"/>
      <c r="E2034" s="5"/>
    </row>
    <row r="2035" spans="2:5" x14ac:dyDescent="0.25">
      <c r="B2035" s="3"/>
      <c r="C2035" s="3"/>
      <c r="D2035" s="3"/>
      <c r="E2035" s="5"/>
    </row>
    <row r="2036" spans="2:5" x14ac:dyDescent="0.25">
      <c r="B2036" s="3"/>
      <c r="C2036" s="3"/>
      <c r="D2036" s="3"/>
      <c r="E2036" s="5"/>
    </row>
    <row r="2037" spans="2:5" x14ac:dyDescent="0.25">
      <c r="B2037" s="3"/>
      <c r="C2037" s="3"/>
      <c r="D2037" s="3"/>
      <c r="E2037" s="5"/>
    </row>
    <row r="2038" spans="2:5" x14ac:dyDescent="0.25">
      <c r="B2038" s="3"/>
      <c r="C2038" s="3"/>
      <c r="D2038" s="3"/>
      <c r="E2038" s="5"/>
    </row>
    <row r="2039" spans="2:5" x14ac:dyDescent="0.25">
      <c r="B2039" s="3"/>
      <c r="C2039" s="3"/>
      <c r="D2039" s="3"/>
      <c r="E2039" s="5"/>
    </row>
    <row r="2040" spans="2:5" x14ac:dyDescent="0.25">
      <c r="B2040" s="3"/>
      <c r="C2040" s="3"/>
      <c r="D2040" s="3"/>
      <c r="E2040" s="5"/>
    </row>
    <row r="2041" spans="2:5" x14ac:dyDescent="0.25">
      <c r="B2041" s="3"/>
      <c r="C2041" s="3"/>
      <c r="D2041" s="3"/>
      <c r="E2041" s="5"/>
    </row>
    <row r="2042" spans="2:5" x14ac:dyDescent="0.25">
      <c r="B2042" s="3"/>
      <c r="C2042" s="3"/>
      <c r="D2042" s="3"/>
      <c r="E2042" s="5"/>
    </row>
    <row r="2043" spans="2:5" x14ac:dyDescent="0.25">
      <c r="B2043" s="3"/>
      <c r="C2043" s="3"/>
      <c r="D2043" s="3"/>
      <c r="E2043" s="5"/>
    </row>
    <row r="2044" spans="2:5" x14ac:dyDescent="0.25">
      <c r="B2044" s="3"/>
      <c r="C2044" s="3"/>
      <c r="D2044" s="3"/>
      <c r="E2044" s="5"/>
    </row>
    <row r="2045" spans="2:5" x14ac:dyDescent="0.25">
      <c r="B2045" s="3"/>
      <c r="C2045" s="3"/>
      <c r="D2045" s="3"/>
      <c r="E2045" s="5"/>
    </row>
    <row r="2046" spans="2:5" x14ac:dyDescent="0.25">
      <c r="B2046" s="3"/>
      <c r="C2046" s="3"/>
      <c r="D2046" s="3"/>
      <c r="E2046" s="5"/>
    </row>
    <row r="2047" spans="2:5" x14ac:dyDescent="0.25">
      <c r="B2047" s="3"/>
      <c r="C2047" s="3"/>
      <c r="D2047" s="3"/>
      <c r="E2047" s="5"/>
    </row>
    <row r="2048" spans="2:5" x14ac:dyDescent="0.25">
      <c r="B2048" s="3"/>
      <c r="C2048" s="3"/>
      <c r="D2048" s="3"/>
      <c r="E2048" s="5"/>
    </row>
    <row r="2049" spans="2:5" x14ac:dyDescent="0.25">
      <c r="B2049" s="3"/>
      <c r="C2049" s="3"/>
      <c r="D2049" s="3"/>
      <c r="E2049" s="5"/>
    </row>
    <row r="2050" spans="2:5" x14ac:dyDescent="0.25">
      <c r="B2050" s="3"/>
      <c r="C2050" s="3"/>
      <c r="D2050" s="3"/>
      <c r="E2050" s="5"/>
    </row>
    <row r="2051" spans="2:5" x14ac:dyDescent="0.25">
      <c r="B2051" s="3"/>
      <c r="C2051" s="3"/>
      <c r="D2051" s="3"/>
      <c r="E2051" s="5"/>
    </row>
    <row r="2052" spans="2:5" x14ac:dyDescent="0.25">
      <c r="B2052" s="3"/>
      <c r="C2052" s="3"/>
      <c r="D2052" s="3"/>
      <c r="E2052" s="5"/>
    </row>
    <row r="2053" spans="2:5" x14ac:dyDescent="0.25">
      <c r="B2053" s="3"/>
      <c r="C2053" s="3"/>
      <c r="D2053" s="3"/>
      <c r="E2053" s="5"/>
    </row>
    <row r="2054" spans="2:5" x14ac:dyDescent="0.25">
      <c r="B2054" s="3"/>
      <c r="C2054" s="3"/>
      <c r="D2054" s="3"/>
      <c r="E2054" s="5"/>
    </row>
    <row r="2055" spans="2:5" x14ac:dyDescent="0.25">
      <c r="B2055" s="3"/>
      <c r="C2055" s="3"/>
      <c r="D2055" s="3"/>
      <c r="E2055" s="5"/>
    </row>
    <row r="2056" spans="2:5" x14ac:dyDescent="0.25">
      <c r="B2056" s="3"/>
      <c r="C2056" s="3"/>
      <c r="D2056" s="3"/>
      <c r="E2056" s="5"/>
    </row>
    <row r="2057" spans="2:5" x14ac:dyDescent="0.25">
      <c r="B2057" s="3"/>
      <c r="C2057" s="3"/>
      <c r="D2057" s="3"/>
      <c r="E2057" s="5"/>
    </row>
    <row r="2058" spans="2:5" x14ac:dyDescent="0.25">
      <c r="B2058" s="3"/>
      <c r="C2058" s="3"/>
      <c r="D2058" s="3"/>
      <c r="E2058" s="5"/>
    </row>
    <row r="2059" spans="2:5" x14ac:dyDescent="0.25">
      <c r="B2059" s="3"/>
      <c r="C2059" s="3"/>
      <c r="D2059" s="3"/>
      <c r="E2059" s="5"/>
    </row>
    <row r="2060" spans="2:5" x14ac:dyDescent="0.25">
      <c r="B2060" s="3"/>
      <c r="C2060" s="3"/>
      <c r="D2060" s="3"/>
      <c r="E2060" s="5"/>
    </row>
    <row r="2061" spans="2:5" x14ac:dyDescent="0.25">
      <c r="B2061" s="3"/>
      <c r="C2061" s="3"/>
      <c r="D2061" s="3"/>
      <c r="E2061" s="5"/>
    </row>
    <row r="2062" spans="2:5" x14ac:dyDescent="0.25">
      <c r="B2062" s="3"/>
      <c r="C2062" s="3"/>
      <c r="D2062" s="3"/>
      <c r="E2062" s="5"/>
    </row>
    <row r="2063" spans="2:5" x14ac:dyDescent="0.25">
      <c r="B2063" s="3"/>
      <c r="C2063" s="3"/>
      <c r="D2063" s="3"/>
      <c r="E2063" s="5"/>
    </row>
    <row r="2064" spans="2:5" x14ac:dyDescent="0.25">
      <c r="B2064" s="3"/>
      <c r="C2064" s="3"/>
      <c r="D2064" s="3"/>
      <c r="E2064" s="5"/>
    </row>
    <row r="2065" spans="2:5" x14ac:dyDescent="0.25">
      <c r="B2065" s="3"/>
      <c r="C2065" s="3"/>
      <c r="D2065" s="3"/>
      <c r="E2065" s="5"/>
    </row>
    <row r="2066" spans="2:5" x14ac:dyDescent="0.25">
      <c r="B2066" s="3"/>
      <c r="C2066" s="3"/>
      <c r="D2066" s="3"/>
      <c r="E2066" s="5"/>
    </row>
    <row r="2067" spans="2:5" x14ac:dyDescent="0.25">
      <c r="B2067" s="3"/>
      <c r="C2067" s="3"/>
      <c r="D2067" s="3"/>
      <c r="E2067" s="5"/>
    </row>
    <row r="2068" spans="2:5" x14ac:dyDescent="0.25">
      <c r="B2068" s="3"/>
      <c r="C2068" s="3"/>
      <c r="D2068" s="3"/>
      <c r="E2068" s="5"/>
    </row>
    <row r="2069" spans="2:5" x14ac:dyDescent="0.25">
      <c r="B2069" s="3"/>
      <c r="C2069" s="3"/>
      <c r="D2069" s="3"/>
      <c r="E2069" s="5"/>
    </row>
    <row r="2070" spans="2:5" x14ac:dyDescent="0.25">
      <c r="B2070" s="3"/>
      <c r="C2070" s="3"/>
      <c r="D2070" s="3"/>
      <c r="E2070" s="5"/>
    </row>
    <row r="2071" spans="2:5" x14ac:dyDescent="0.25">
      <c r="B2071" s="3"/>
      <c r="C2071" s="3"/>
      <c r="D2071" s="3"/>
      <c r="E2071" s="5"/>
    </row>
    <row r="2072" spans="2:5" x14ac:dyDescent="0.25">
      <c r="B2072" s="3"/>
      <c r="C2072" s="3"/>
      <c r="D2072" s="3"/>
      <c r="E2072" s="5"/>
    </row>
    <row r="2073" spans="2:5" x14ac:dyDescent="0.25">
      <c r="B2073" s="3"/>
      <c r="C2073" s="3"/>
      <c r="D2073" s="3"/>
      <c r="E2073" s="5"/>
    </row>
    <row r="2074" spans="2:5" x14ac:dyDescent="0.25">
      <c r="B2074" s="3"/>
      <c r="C2074" s="3"/>
      <c r="D2074" s="3"/>
      <c r="E2074" s="5"/>
    </row>
    <row r="2075" spans="2:5" x14ac:dyDescent="0.25">
      <c r="B2075" s="3"/>
      <c r="C2075" s="3"/>
      <c r="D2075" s="3"/>
      <c r="E2075" s="5"/>
    </row>
    <row r="2076" spans="2:5" x14ac:dyDescent="0.25">
      <c r="B2076" s="3"/>
      <c r="C2076" s="3"/>
      <c r="D2076" s="3"/>
      <c r="E2076" s="5"/>
    </row>
    <row r="2077" spans="2:5" x14ac:dyDescent="0.25">
      <c r="B2077" s="3"/>
      <c r="C2077" s="3"/>
      <c r="D2077" s="3"/>
      <c r="E2077" s="5"/>
    </row>
    <row r="2078" spans="2:5" x14ac:dyDescent="0.25">
      <c r="B2078" s="3"/>
      <c r="C2078" s="3"/>
      <c r="D2078" s="3"/>
      <c r="E2078" s="5"/>
    </row>
    <row r="2079" spans="2:5" x14ac:dyDescent="0.25">
      <c r="B2079" s="3"/>
      <c r="C2079" s="3"/>
      <c r="D2079" s="3"/>
      <c r="E2079" s="5"/>
    </row>
    <row r="2080" spans="2:5" x14ac:dyDescent="0.25">
      <c r="B2080" s="3"/>
      <c r="C2080" s="3"/>
      <c r="D2080" s="3"/>
      <c r="E2080" s="5"/>
    </row>
    <row r="2081" spans="2:5" x14ac:dyDescent="0.25">
      <c r="B2081" s="3"/>
      <c r="C2081" s="3"/>
      <c r="D2081" s="3"/>
      <c r="E2081" s="5"/>
    </row>
    <row r="2082" spans="2:5" x14ac:dyDescent="0.25">
      <c r="B2082" s="3"/>
      <c r="C2082" s="3"/>
      <c r="D2082" s="3"/>
      <c r="E2082" s="5"/>
    </row>
    <row r="2083" spans="2:5" x14ac:dyDescent="0.25">
      <c r="B2083" s="3"/>
      <c r="C2083" s="3"/>
      <c r="D2083" s="3"/>
      <c r="E2083" s="5"/>
    </row>
    <row r="2084" spans="2:5" x14ac:dyDescent="0.25">
      <c r="B2084" s="3"/>
      <c r="C2084" s="3"/>
      <c r="D2084" s="3"/>
      <c r="E2084" s="5"/>
    </row>
    <row r="2085" spans="2:5" x14ac:dyDescent="0.25">
      <c r="B2085" s="3"/>
      <c r="C2085" s="3"/>
      <c r="D2085" s="3"/>
      <c r="E2085" s="5"/>
    </row>
    <row r="2086" spans="2:5" x14ac:dyDescent="0.25">
      <c r="B2086" s="3"/>
      <c r="C2086" s="3"/>
      <c r="D2086" s="3"/>
      <c r="E2086" s="5"/>
    </row>
    <row r="2087" spans="2:5" x14ac:dyDescent="0.25">
      <c r="B2087" s="3"/>
      <c r="C2087" s="3"/>
      <c r="D2087" s="3"/>
      <c r="E2087" s="5"/>
    </row>
    <row r="2088" spans="2:5" x14ac:dyDescent="0.25">
      <c r="B2088" s="3"/>
      <c r="C2088" s="3"/>
      <c r="D2088" s="3"/>
      <c r="E2088" s="5"/>
    </row>
    <row r="2089" spans="2:5" x14ac:dyDescent="0.25">
      <c r="B2089" s="3"/>
      <c r="C2089" s="3"/>
      <c r="D2089" s="3"/>
      <c r="E2089" s="5"/>
    </row>
    <row r="2090" spans="2:5" x14ac:dyDescent="0.25">
      <c r="B2090" s="3"/>
      <c r="C2090" s="3"/>
      <c r="D2090" s="3"/>
      <c r="E2090" s="5"/>
    </row>
    <row r="2091" spans="2:5" x14ac:dyDescent="0.25">
      <c r="B2091" s="3"/>
      <c r="C2091" s="3"/>
      <c r="D2091" s="3"/>
      <c r="E2091" s="5"/>
    </row>
    <row r="2092" spans="2:5" x14ac:dyDescent="0.25">
      <c r="B2092" s="3"/>
      <c r="C2092" s="3"/>
      <c r="D2092" s="3"/>
      <c r="E2092" s="5"/>
    </row>
    <row r="2093" spans="2:5" x14ac:dyDescent="0.25">
      <c r="B2093" s="3"/>
      <c r="C2093" s="3"/>
      <c r="D2093" s="3"/>
      <c r="E2093" s="5"/>
    </row>
    <row r="2094" spans="2:5" x14ac:dyDescent="0.25">
      <c r="B2094" s="3"/>
      <c r="C2094" s="3"/>
      <c r="D2094" s="3"/>
      <c r="E2094" s="5"/>
    </row>
    <row r="2095" spans="2:5" x14ac:dyDescent="0.25">
      <c r="B2095" s="3"/>
      <c r="C2095" s="3"/>
      <c r="D2095" s="3"/>
      <c r="E2095" s="5"/>
    </row>
    <row r="2096" spans="2:5" x14ac:dyDescent="0.25">
      <c r="B2096" s="3"/>
      <c r="C2096" s="3"/>
      <c r="D2096" s="3"/>
      <c r="E2096" s="5"/>
    </row>
    <row r="2097" spans="2:5" x14ac:dyDescent="0.25">
      <c r="B2097" s="3"/>
      <c r="C2097" s="3"/>
      <c r="D2097" s="3"/>
      <c r="E2097" s="5"/>
    </row>
    <row r="2098" spans="2:5" x14ac:dyDescent="0.25">
      <c r="B2098" s="3"/>
      <c r="C2098" s="3"/>
      <c r="D2098" s="3"/>
      <c r="E2098" s="5"/>
    </row>
    <row r="2099" spans="2:5" x14ac:dyDescent="0.25">
      <c r="B2099" s="3"/>
      <c r="C2099" s="3"/>
      <c r="D2099" s="3"/>
      <c r="E2099" s="5"/>
    </row>
    <row r="2100" spans="2:5" x14ac:dyDescent="0.25">
      <c r="B2100" s="3"/>
      <c r="C2100" s="3"/>
      <c r="D2100" s="3"/>
      <c r="E2100" s="5"/>
    </row>
    <row r="2101" spans="2:5" x14ac:dyDescent="0.25">
      <c r="B2101" s="3"/>
      <c r="C2101" s="3"/>
      <c r="D2101" s="3"/>
      <c r="E2101" s="5"/>
    </row>
    <row r="2102" spans="2:5" x14ac:dyDescent="0.25">
      <c r="B2102" s="3"/>
      <c r="C2102" s="3"/>
      <c r="D2102" s="3"/>
      <c r="E2102" s="5"/>
    </row>
    <row r="2103" spans="2:5" x14ac:dyDescent="0.25">
      <c r="B2103" s="3"/>
      <c r="C2103" s="3"/>
      <c r="D2103" s="3"/>
      <c r="E2103" s="5"/>
    </row>
    <row r="2104" spans="2:5" x14ac:dyDescent="0.25">
      <c r="B2104" s="3"/>
      <c r="C2104" s="3"/>
      <c r="D2104" s="3"/>
      <c r="E2104" s="5"/>
    </row>
    <row r="2105" spans="2:5" x14ac:dyDescent="0.25">
      <c r="B2105" s="3"/>
      <c r="C2105" s="3"/>
      <c r="D2105" s="3"/>
      <c r="E2105" s="5"/>
    </row>
    <row r="2106" spans="2:5" x14ac:dyDescent="0.25">
      <c r="B2106" s="3"/>
      <c r="C2106" s="3"/>
      <c r="D2106" s="3"/>
      <c r="E2106" s="5"/>
    </row>
    <row r="2107" spans="2:5" x14ac:dyDescent="0.25">
      <c r="B2107" s="3"/>
      <c r="C2107" s="3"/>
      <c r="D2107" s="3"/>
      <c r="E2107" s="5"/>
    </row>
    <row r="2108" spans="2:5" x14ac:dyDescent="0.25">
      <c r="B2108" s="3"/>
      <c r="C2108" s="3"/>
      <c r="D2108" s="3"/>
      <c r="E2108" s="5"/>
    </row>
    <row r="2109" spans="2:5" x14ac:dyDescent="0.25">
      <c r="B2109" s="3"/>
      <c r="C2109" s="3"/>
      <c r="D2109" s="3"/>
      <c r="E2109" s="5"/>
    </row>
    <row r="2110" spans="2:5" x14ac:dyDescent="0.25">
      <c r="B2110" s="3"/>
      <c r="C2110" s="3"/>
      <c r="D2110" s="3"/>
      <c r="E2110" s="5"/>
    </row>
    <row r="2111" spans="2:5" x14ac:dyDescent="0.25">
      <c r="B2111" s="3"/>
      <c r="C2111" s="3"/>
      <c r="D2111" s="3"/>
      <c r="E2111" s="5"/>
    </row>
    <row r="2112" spans="2:5" x14ac:dyDescent="0.25">
      <c r="B2112" s="3"/>
      <c r="C2112" s="3"/>
      <c r="D2112" s="3"/>
      <c r="E2112" s="5"/>
    </row>
    <row r="2113" spans="2:5" x14ac:dyDescent="0.25">
      <c r="B2113" s="3"/>
      <c r="C2113" s="3"/>
      <c r="D2113" s="3"/>
      <c r="E2113" s="5"/>
    </row>
    <row r="2114" spans="2:5" x14ac:dyDescent="0.25">
      <c r="B2114" s="3"/>
      <c r="C2114" s="3"/>
      <c r="D2114" s="3"/>
      <c r="E2114" s="5"/>
    </row>
    <row r="2115" spans="2:5" x14ac:dyDescent="0.25">
      <c r="B2115" s="3"/>
      <c r="C2115" s="3"/>
      <c r="D2115" s="3"/>
      <c r="E2115" s="5"/>
    </row>
    <row r="2116" spans="2:5" x14ac:dyDescent="0.25">
      <c r="B2116" s="3"/>
      <c r="C2116" s="3"/>
      <c r="D2116" s="3"/>
      <c r="E2116" s="5"/>
    </row>
    <row r="2117" spans="2:5" x14ac:dyDescent="0.25">
      <c r="B2117" s="3"/>
      <c r="C2117" s="3"/>
      <c r="D2117" s="3"/>
      <c r="E2117" s="5"/>
    </row>
    <row r="2118" spans="2:5" x14ac:dyDescent="0.25">
      <c r="B2118" s="3"/>
      <c r="C2118" s="3"/>
      <c r="D2118" s="3"/>
      <c r="E2118" s="5"/>
    </row>
    <row r="2119" spans="2:5" x14ac:dyDescent="0.25">
      <c r="B2119" s="3"/>
      <c r="C2119" s="3"/>
      <c r="D2119" s="3"/>
      <c r="E2119" s="5"/>
    </row>
    <row r="2120" spans="2:5" x14ac:dyDescent="0.25">
      <c r="B2120" s="3"/>
      <c r="C2120" s="3"/>
      <c r="D2120" s="3"/>
      <c r="E2120" s="5"/>
    </row>
    <row r="2121" spans="2:5" x14ac:dyDescent="0.25">
      <c r="B2121" s="3"/>
      <c r="C2121" s="3"/>
      <c r="D2121" s="3"/>
      <c r="E2121" s="5"/>
    </row>
    <row r="2122" spans="2:5" x14ac:dyDescent="0.25">
      <c r="B2122" s="3"/>
      <c r="C2122" s="3"/>
      <c r="D2122" s="3"/>
      <c r="E2122" s="5"/>
    </row>
    <row r="2123" spans="2:5" x14ac:dyDescent="0.25">
      <c r="B2123" s="3"/>
      <c r="C2123" s="3"/>
      <c r="D2123" s="3"/>
      <c r="E2123" s="5"/>
    </row>
    <row r="2124" spans="2:5" x14ac:dyDescent="0.25">
      <c r="B2124" s="3"/>
      <c r="C2124" s="3"/>
      <c r="D2124" s="3"/>
      <c r="E2124" s="5"/>
    </row>
    <row r="2125" spans="2:5" x14ac:dyDescent="0.25">
      <c r="B2125" s="3"/>
      <c r="C2125" s="3"/>
      <c r="D2125" s="3"/>
      <c r="E2125" s="5"/>
    </row>
    <row r="2126" spans="2:5" x14ac:dyDescent="0.25">
      <c r="B2126" s="3"/>
      <c r="C2126" s="3"/>
      <c r="D2126" s="3"/>
      <c r="E2126" s="5"/>
    </row>
    <row r="2127" spans="2:5" x14ac:dyDescent="0.25">
      <c r="B2127" s="3"/>
      <c r="C2127" s="3"/>
      <c r="D2127" s="3"/>
      <c r="E2127" s="5"/>
    </row>
    <row r="2128" spans="2:5" x14ac:dyDescent="0.25">
      <c r="B2128" s="3"/>
      <c r="C2128" s="3"/>
      <c r="D2128" s="3"/>
      <c r="E2128" s="5"/>
    </row>
    <row r="2129" spans="2:5" x14ac:dyDescent="0.25">
      <c r="B2129" s="3"/>
      <c r="C2129" s="3"/>
      <c r="D2129" s="3"/>
      <c r="E2129" s="5"/>
    </row>
    <row r="2130" spans="2:5" x14ac:dyDescent="0.25">
      <c r="B2130" s="3"/>
      <c r="C2130" s="3"/>
      <c r="D2130" s="3"/>
      <c r="E2130" s="5"/>
    </row>
    <row r="2131" spans="2:5" x14ac:dyDescent="0.25">
      <c r="B2131" s="3"/>
      <c r="C2131" s="3"/>
      <c r="D2131" s="3"/>
      <c r="E2131" s="5"/>
    </row>
    <row r="2132" spans="2:5" x14ac:dyDescent="0.25">
      <c r="B2132" s="3"/>
      <c r="C2132" s="3"/>
      <c r="D2132" s="3"/>
      <c r="E2132" s="5"/>
    </row>
    <row r="2133" spans="2:5" x14ac:dyDescent="0.25">
      <c r="B2133" s="3"/>
      <c r="C2133" s="3"/>
      <c r="D2133" s="3"/>
      <c r="E2133" s="5"/>
    </row>
    <row r="2134" spans="2:5" x14ac:dyDescent="0.25">
      <c r="B2134" s="3"/>
      <c r="C2134" s="3"/>
      <c r="D2134" s="3"/>
      <c r="E2134" s="5"/>
    </row>
    <row r="2135" spans="2:5" x14ac:dyDescent="0.25">
      <c r="B2135" s="3"/>
      <c r="C2135" s="3"/>
      <c r="D2135" s="3"/>
      <c r="E2135" s="5"/>
    </row>
    <row r="2136" spans="2:5" x14ac:dyDescent="0.25">
      <c r="B2136" s="3"/>
      <c r="C2136" s="3"/>
      <c r="D2136" s="3"/>
      <c r="E2136" s="5"/>
    </row>
    <row r="2137" spans="2:5" x14ac:dyDescent="0.25">
      <c r="B2137" s="3"/>
      <c r="C2137" s="3"/>
      <c r="D2137" s="3"/>
      <c r="E2137" s="5"/>
    </row>
    <row r="2138" spans="2:5" x14ac:dyDescent="0.25">
      <c r="B2138" s="3"/>
      <c r="C2138" s="3"/>
      <c r="D2138" s="3"/>
      <c r="E2138" s="5"/>
    </row>
    <row r="2139" spans="2:5" x14ac:dyDescent="0.25">
      <c r="B2139" s="3"/>
      <c r="C2139" s="3"/>
      <c r="D2139" s="3"/>
      <c r="E2139" s="5"/>
    </row>
    <row r="2140" spans="2:5" x14ac:dyDescent="0.25">
      <c r="B2140" s="3"/>
      <c r="C2140" s="3"/>
      <c r="D2140" s="3"/>
      <c r="E2140" s="5"/>
    </row>
    <row r="2141" spans="2:5" x14ac:dyDescent="0.25">
      <c r="B2141" s="3"/>
      <c r="C2141" s="3"/>
      <c r="D2141" s="3"/>
      <c r="E2141" s="5"/>
    </row>
    <row r="2142" spans="2:5" x14ac:dyDescent="0.25">
      <c r="B2142" s="3"/>
      <c r="C2142" s="3"/>
      <c r="D2142" s="3"/>
      <c r="E2142" s="5"/>
    </row>
    <row r="2143" spans="2:5" x14ac:dyDescent="0.25">
      <c r="B2143" s="3"/>
      <c r="C2143" s="3"/>
      <c r="D2143" s="3"/>
      <c r="E2143" s="5"/>
    </row>
    <row r="2144" spans="2:5" x14ac:dyDescent="0.25">
      <c r="B2144" s="3"/>
      <c r="C2144" s="3"/>
      <c r="D2144" s="3"/>
      <c r="E2144" s="5"/>
    </row>
    <row r="2145" spans="2:5" x14ac:dyDescent="0.25">
      <c r="B2145" s="3"/>
      <c r="C2145" s="3"/>
      <c r="D2145" s="3"/>
      <c r="E2145" s="5"/>
    </row>
    <row r="2146" spans="2:5" x14ac:dyDescent="0.25">
      <c r="B2146" s="3"/>
      <c r="C2146" s="3"/>
      <c r="D2146" s="3"/>
      <c r="E2146" s="5"/>
    </row>
    <row r="2147" spans="2:5" x14ac:dyDescent="0.25">
      <c r="B2147" s="3"/>
      <c r="C2147" s="3"/>
      <c r="D2147" s="3"/>
      <c r="E2147" s="5"/>
    </row>
    <row r="2148" spans="2:5" x14ac:dyDescent="0.25">
      <c r="B2148" s="3"/>
      <c r="C2148" s="3"/>
      <c r="D2148" s="3"/>
      <c r="E2148" s="5"/>
    </row>
    <row r="2149" spans="2:5" x14ac:dyDescent="0.25">
      <c r="B2149" s="3"/>
      <c r="C2149" s="3"/>
      <c r="D2149" s="3"/>
      <c r="E2149" s="5"/>
    </row>
    <row r="2150" spans="2:5" x14ac:dyDescent="0.25">
      <c r="B2150" s="3"/>
      <c r="C2150" s="3"/>
      <c r="D2150" s="3"/>
      <c r="E2150" s="5"/>
    </row>
    <row r="2151" spans="2:5" x14ac:dyDescent="0.25">
      <c r="B2151" s="3"/>
      <c r="C2151" s="3"/>
      <c r="D2151" s="3"/>
      <c r="E2151" s="5"/>
    </row>
    <row r="2152" spans="2:5" x14ac:dyDescent="0.25">
      <c r="B2152" s="3"/>
      <c r="C2152" s="3"/>
      <c r="D2152" s="3"/>
      <c r="E2152" s="5"/>
    </row>
    <row r="2153" spans="2:5" x14ac:dyDescent="0.25">
      <c r="B2153" s="3"/>
      <c r="C2153" s="3"/>
      <c r="D2153" s="3"/>
      <c r="E2153" s="5"/>
    </row>
    <row r="2154" spans="2:5" x14ac:dyDescent="0.25">
      <c r="B2154" s="3"/>
      <c r="C2154" s="3"/>
      <c r="D2154" s="3"/>
      <c r="E2154" s="5"/>
    </row>
    <row r="2155" spans="2:5" x14ac:dyDescent="0.25">
      <c r="B2155" s="3"/>
      <c r="C2155" s="3"/>
      <c r="D2155" s="3"/>
      <c r="E2155" s="5"/>
    </row>
    <row r="2156" spans="2:5" x14ac:dyDescent="0.25">
      <c r="B2156" s="3"/>
      <c r="C2156" s="3"/>
      <c r="D2156" s="3"/>
      <c r="E2156" s="5"/>
    </row>
    <row r="2157" spans="2:5" x14ac:dyDescent="0.25">
      <c r="B2157" s="3"/>
      <c r="C2157" s="3"/>
      <c r="D2157" s="3"/>
      <c r="E2157" s="5"/>
    </row>
    <row r="2158" spans="2:5" x14ac:dyDescent="0.25">
      <c r="B2158" s="3"/>
      <c r="C2158" s="3"/>
      <c r="D2158" s="3"/>
      <c r="E2158" s="5"/>
    </row>
    <row r="2159" spans="2:5" x14ac:dyDescent="0.25">
      <c r="B2159" s="3"/>
      <c r="C2159" s="3"/>
      <c r="D2159" s="3"/>
      <c r="E2159" s="5"/>
    </row>
    <row r="2160" spans="2:5" x14ac:dyDescent="0.25">
      <c r="B2160" s="3"/>
      <c r="C2160" s="3"/>
      <c r="D2160" s="3"/>
      <c r="E2160" s="5"/>
    </row>
    <row r="2161" spans="2:5" x14ac:dyDescent="0.25">
      <c r="B2161" s="3"/>
      <c r="C2161" s="3"/>
      <c r="D2161" s="3"/>
      <c r="E2161" s="5"/>
    </row>
    <row r="2162" spans="2:5" x14ac:dyDescent="0.25">
      <c r="B2162" s="3"/>
      <c r="C2162" s="3"/>
      <c r="D2162" s="3"/>
      <c r="E2162" s="5"/>
    </row>
    <row r="2163" spans="2:5" x14ac:dyDescent="0.25">
      <c r="B2163" s="3"/>
      <c r="C2163" s="3"/>
      <c r="D2163" s="3"/>
      <c r="E2163" s="5"/>
    </row>
    <row r="2164" spans="2:5" x14ac:dyDescent="0.25">
      <c r="B2164" s="3"/>
      <c r="C2164" s="3"/>
      <c r="D2164" s="3"/>
      <c r="E2164" s="5"/>
    </row>
    <row r="2165" spans="2:5" x14ac:dyDescent="0.25">
      <c r="B2165" s="3"/>
      <c r="C2165" s="3"/>
      <c r="D2165" s="3"/>
      <c r="E2165" s="5"/>
    </row>
    <row r="2166" spans="2:5" x14ac:dyDescent="0.25">
      <c r="B2166" s="3"/>
      <c r="C2166" s="3"/>
      <c r="D2166" s="3"/>
      <c r="E2166" s="5"/>
    </row>
    <row r="2167" spans="2:5" x14ac:dyDescent="0.25">
      <c r="B2167" s="3"/>
      <c r="C2167" s="3"/>
      <c r="D2167" s="3"/>
      <c r="E2167" s="5"/>
    </row>
    <row r="2168" spans="2:5" x14ac:dyDescent="0.25">
      <c r="B2168" s="3"/>
      <c r="C2168" s="3"/>
      <c r="D2168" s="3"/>
      <c r="E2168" s="5"/>
    </row>
    <row r="2169" spans="2:5" x14ac:dyDescent="0.25">
      <c r="B2169" s="3"/>
      <c r="C2169" s="3"/>
      <c r="D2169" s="3"/>
      <c r="E2169" s="5"/>
    </row>
    <row r="2170" spans="2:5" x14ac:dyDescent="0.25">
      <c r="B2170" s="3"/>
      <c r="C2170" s="3"/>
      <c r="D2170" s="3"/>
      <c r="E2170" s="5"/>
    </row>
    <row r="2171" spans="2:5" x14ac:dyDescent="0.25">
      <c r="B2171" s="3"/>
      <c r="C2171" s="3"/>
      <c r="D2171" s="3"/>
      <c r="E2171" s="5"/>
    </row>
    <row r="2172" spans="2:5" x14ac:dyDescent="0.25">
      <c r="B2172" s="3"/>
      <c r="C2172" s="3"/>
      <c r="D2172" s="3"/>
      <c r="E2172" s="5"/>
    </row>
    <row r="2173" spans="2:5" x14ac:dyDescent="0.25">
      <c r="B2173" s="3"/>
      <c r="C2173" s="3"/>
      <c r="D2173" s="3"/>
      <c r="E2173" s="5"/>
    </row>
    <row r="2174" spans="2:5" x14ac:dyDescent="0.25">
      <c r="B2174" s="3"/>
      <c r="C2174" s="3"/>
      <c r="D2174" s="3"/>
      <c r="E2174" s="5"/>
    </row>
    <row r="2175" spans="2:5" x14ac:dyDescent="0.25">
      <c r="B2175" s="3"/>
      <c r="C2175" s="3"/>
      <c r="D2175" s="3"/>
      <c r="E2175" s="5"/>
    </row>
    <row r="2176" spans="2:5" x14ac:dyDescent="0.25">
      <c r="B2176" s="3"/>
      <c r="C2176" s="3"/>
      <c r="D2176" s="3"/>
      <c r="E2176" s="5"/>
    </row>
    <row r="2177" spans="2:5" x14ac:dyDescent="0.25">
      <c r="B2177" s="3"/>
      <c r="C2177" s="3"/>
      <c r="D2177" s="3"/>
      <c r="E2177" s="5"/>
    </row>
    <row r="2178" spans="2:5" x14ac:dyDescent="0.25">
      <c r="B2178" s="3"/>
      <c r="C2178" s="3"/>
      <c r="D2178" s="3"/>
      <c r="E2178" s="5"/>
    </row>
    <row r="2179" spans="2:5" x14ac:dyDescent="0.25">
      <c r="B2179" s="3"/>
      <c r="C2179" s="3"/>
      <c r="D2179" s="3"/>
      <c r="E2179" s="5"/>
    </row>
    <row r="2180" spans="2:5" x14ac:dyDescent="0.25">
      <c r="B2180" s="3"/>
      <c r="C2180" s="3"/>
      <c r="D2180" s="3"/>
      <c r="E2180" s="5"/>
    </row>
    <row r="2181" spans="2:5" x14ac:dyDescent="0.25">
      <c r="B2181" s="3"/>
      <c r="C2181" s="3"/>
      <c r="D2181" s="3"/>
      <c r="E2181" s="5"/>
    </row>
    <row r="2182" spans="2:5" x14ac:dyDescent="0.25">
      <c r="B2182" s="3"/>
      <c r="C2182" s="3"/>
      <c r="D2182" s="3"/>
      <c r="E2182" s="5"/>
    </row>
    <row r="2183" spans="2:5" x14ac:dyDescent="0.25">
      <c r="B2183" s="3"/>
      <c r="C2183" s="3"/>
      <c r="D2183" s="3"/>
      <c r="E2183" s="5"/>
    </row>
    <row r="2184" spans="2:5" x14ac:dyDescent="0.25">
      <c r="B2184" s="3"/>
      <c r="C2184" s="3"/>
      <c r="D2184" s="3"/>
      <c r="E2184" s="5"/>
    </row>
    <row r="2185" spans="2:5" x14ac:dyDescent="0.25">
      <c r="B2185" s="3"/>
      <c r="C2185" s="3"/>
      <c r="D2185" s="3"/>
      <c r="E2185" s="5"/>
    </row>
    <row r="2186" spans="2:5" x14ac:dyDescent="0.25">
      <c r="B2186" s="3"/>
      <c r="C2186" s="3"/>
      <c r="D2186" s="3"/>
      <c r="E2186" s="5"/>
    </row>
    <row r="2187" spans="2:5" x14ac:dyDescent="0.25">
      <c r="B2187" s="3"/>
      <c r="C2187" s="3"/>
      <c r="D2187" s="3"/>
      <c r="E2187" s="5"/>
    </row>
    <row r="2188" spans="2:5" x14ac:dyDescent="0.25">
      <c r="B2188" s="3"/>
      <c r="C2188" s="3"/>
      <c r="D2188" s="3"/>
      <c r="E2188" s="5"/>
    </row>
    <row r="2189" spans="2:5" x14ac:dyDescent="0.25">
      <c r="B2189" s="3"/>
      <c r="C2189" s="3"/>
      <c r="D2189" s="3"/>
      <c r="E2189" s="5"/>
    </row>
    <row r="2190" spans="2:5" x14ac:dyDescent="0.25">
      <c r="B2190" s="3"/>
      <c r="C2190" s="3"/>
      <c r="D2190" s="3"/>
      <c r="E2190" s="5"/>
    </row>
    <row r="2191" spans="2:5" x14ac:dyDescent="0.25">
      <c r="B2191" s="3"/>
      <c r="C2191" s="3"/>
      <c r="D2191" s="3"/>
      <c r="E2191" s="5"/>
    </row>
    <row r="2192" spans="2:5" x14ac:dyDescent="0.25">
      <c r="B2192" s="3"/>
      <c r="C2192" s="3"/>
      <c r="D2192" s="3"/>
      <c r="E2192" s="5"/>
    </row>
    <row r="2193" spans="2:5" x14ac:dyDescent="0.25">
      <c r="B2193" s="3"/>
      <c r="C2193" s="3"/>
      <c r="D2193" s="3"/>
      <c r="E2193" s="5"/>
    </row>
    <row r="2194" spans="2:5" x14ac:dyDescent="0.25">
      <c r="B2194" s="3"/>
      <c r="C2194" s="3"/>
      <c r="D2194" s="3"/>
      <c r="E2194" s="5"/>
    </row>
    <row r="2195" spans="2:5" x14ac:dyDescent="0.25">
      <c r="B2195" s="3"/>
      <c r="C2195" s="3"/>
      <c r="D2195" s="3"/>
      <c r="E2195" s="5"/>
    </row>
    <row r="2196" spans="2:5" x14ac:dyDescent="0.25">
      <c r="B2196" s="3"/>
      <c r="C2196" s="3"/>
      <c r="D2196" s="3"/>
      <c r="E2196" s="5"/>
    </row>
    <row r="2197" spans="2:5" x14ac:dyDescent="0.25">
      <c r="B2197" s="3"/>
      <c r="C2197" s="3"/>
      <c r="D2197" s="3"/>
      <c r="E2197" s="5"/>
    </row>
    <row r="2198" spans="2:5" x14ac:dyDescent="0.25">
      <c r="B2198" s="3"/>
      <c r="C2198" s="3"/>
      <c r="D2198" s="3"/>
      <c r="E2198" s="5"/>
    </row>
    <row r="2199" spans="2:5" x14ac:dyDescent="0.25">
      <c r="B2199" s="3"/>
      <c r="C2199" s="3"/>
      <c r="D2199" s="3"/>
      <c r="E2199" s="5"/>
    </row>
    <row r="2200" spans="2:5" x14ac:dyDescent="0.25">
      <c r="B2200" s="3"/>
      <c r="C2200" s="3"/>
      <c r="D2200" s="3"/>
      <c r="E2200" s="5"/>
    </row>
    <row r="2201" spans="2:5" x14ac:dyDescent="0.25">
      <c r="B2201" s="3"/>
      <c r="C2201" s="3"/>
      <c r="D2201" s="3"/>
      <c r="E2201" s="5"/>
    </row>
    <row r="2202" spans="2:5" x14ac:dyDescent="0.25">
      <c r="B2202" s="3"/>
      <c r="C2202" s="3"/>
      <c r="D2202" s="3"/>
      <c r="E2202" s="5"/>
    </row>
    <row r="2203" spans="2:5" x14ac:dyDescent="0.25">
      <c r="B2203" s="3"/>
      <c r="C2203" s="3"/>
      <c r="D2203" s="3"/>
      <c r="E2203" s="5"/>
    </row>
    <row r="2204" spans="2:5" x14ac:dyDescent="0.25">
      <c r="B2204" s="3"/>
      <c r="C2204" s="3"/>
      <c r="D2204" s="3"/>
      <c r="E2204" s="5"/>
    </row>
    <row r="2205" spans="2:5" x14ac:dyDescent="0.25">
      <c r="B2205" s="3"/>
      <c r="C2205" s="3"/>
      <c r="D2205" s="3"/>
      <c r="E2205" s="5"/>
    </row>
    <row r="2206" spans="2:5" x14ac:dyDescent="0.25">
      <c r="B2206" s="3"/>
      <c r="C2206" s="3"/>
      <c r="D2206" s="3"/>
      <c r="E2206" s="5"/>
    </row>
    <row r="2207" spans="2:5" x14ac:dyDescent="0.25">
      <c r="B2207" s="3"/>
      <c r="C2207" s="3"/>
      <c r="D2207" s="3"/>
      <c r="E2207" s="5"/>
    </row>
    <row r="2208" spans="2:5" x14ac:dyDescent="0.25">
      <c r="B2208" s="3"/>
      <c r="C2208" s="3"/>
      <c r="D2208" s="3"/>
      <c r="E2208" s="5"/>
    </row>
    <row r="2209" spans="2:5" x14ac:dyDescent="0.25">
      <c r="B2209" s="3"/>
      <c r="C2209" s="3"/>
      <c r="D2209" s="3"/>
      <c r="E2209" s="5"/>
    </row>
    <row r="2210" spans="2:5" x14ac:dyDescent="0.25">
      <c r="B2210" s="3"/>
      <c r="C2210" s="3"/>
      <c r="D2210" s="3"/>
      <c r="E2210" s="5"/>
    </row>
    <row r="2211" spans="2:5" x14ac:dyDescent="0.25">
      <c r="B2211" s="3"/>
      <c r="C2211" s="3"/>
      <c r="D2211" s="3"/>
      <c r="E2211" s="5"/>
    </row>
    <row r="2212" spans="2:5" x14ac:dyDescent="0.25">
      <c r="B2212" s="3"/>
      <c r="C2212" s="3"/>
      <c r="D2212" s="3"/>
      <c r="E2212" s="5"/>
    </row>
    <row r="2213" spans="2:5" x14ac:dyDescent="0.25">
      <c r="B2213" s="3"/>
      <c r="C2213" s="3"/>
      <c r="D2213" s="3"/>
      <c r="E2213" s="5"/>
    </row>
    <row r="2214" spans="2:5" x14ac:dyDescent="0.25">
      <c r="B2214" s="3"/>
      <c r="C2214" s="3"/>
      <c r="D2214" s="3"/>
      <c r="E2214" s="5"/>
    </row>
    <row r="2215" spans="2:5" x14ac:dyDescent="0.25">
      <c r="B2215" s="3"/>
      <c r="C2215" s="3"/>
      <c r="D2215" s="3"/>
      <c r="E2215" s="5"/>
    </row>
    <row r="2216" spans="2:5" x14ac:dyDescent="0.25">
      <c r="B2216" s="3"/>
      <c r="C2216" s="3"/>
      <c r="D2216" s="3"/>
      <c r="E2216" s="5"/>
    </row>
    <row r="2217" spans="2:5" x14ac:dyDescent="0.25">
      <c r="B2217" s="3"/>
      <c r="C2217" s="3"/>
      <c r="D2217" s="3"/>
      <c r="E2217" s="5"/>
    </row>
    <row r="2218" spans="2:5" x14ac:dyDescent="0.25">
      <c r="B2218" s="3"/>
      <c r="C2218" s="3"/>
      <c r="D2218" s="3"/>
      <c r="E2218" s="5"/>
    </row>
    <row r="2219" spans="2:5" x14ac:dyDescent="0.25">
      <c r="B2219" s="3"/>
      <c r="C2219" s="3"/>
      <c r="D2219" s="3"/>
      <c r="E2219" s="5"/>
    </row>
    <row r="2220" spans="2:5" x14ac:dyDescent="0.25">
      <c r="B2220" s="3"/>
      <c r="C2220" s="3"/>
      <c r="D2220" s="3"/>
      <c r="E2220" s="5"/>
    </row>
    <row r="2221" spans="2:5" x14ac:dyDescent="0.25">
      <c r="B2221" s="3"/>
      <c r="C2221" s="3"/>
      <c r="D2221" s="3"/>
      <c r="E2221" s="5"/>
    </row>
    <row r="2222" spans="2:5" x14ac:dyDescent="0.25">
      <c r="B2222" s="3"/>
      <c r="C2222" s="3"/>
      <c r="D2222" s="3"/>
      <c r="E2222" s="5"/>
    </row>
    <row r="2223" spans="2:5" x14ac:dyDescent="0.25">
      <c r="B2223" s="3"/>
      <c r="C2223" s="3"/>
      <c r="D2223" s="3"/>
      <c r="E2223" s="5"/>
    </row>
    <row r="2224" spans="2:5" x14ac:dyDescent="0.25">
      <c r="B2224" s="3"/>
      <c r="C2224" s="3"/>
      <c r="D2224" s="3"/>
      <c r="E2224" s="5"/>
    </row>
    <row r="2225" spans="2:5" x14ac:dyDescent="0.25">
      <c r="B2225" s="3"/>
      <c r="C2225" s="3"/>
      <c r="D2225" s="3"/>
      <c r="E2225" s="5"/>
    </row>
    <row r="2226" spans="2:5" x14ac:dyDescent="0.25">
      <c r="B2226" s="3"/>
      <c r="C2226" s="3"/>
      <c r="D2226" s="3"/>
      <c r="E2226" s="5"/>
    </row>
    <row r="2227" spans="2:5" x14ac:dyDescent="0.25">
      <c r="B2227" s="3"/>
      <c r="C2227" s="3"/>
      <c r="D2227" s="3"/>
      <c r="E2227" s="5"/>
    </row>
    <row r="2228" spans="2:5" x14ac:dyDescent="0.25">
      <c r="B2228" s="3"/>
      <c r="C2228" s="3"/>
      <c r="D2228" s="3"/>
      <c r="E2228" s="5"/>
    </row>
    <row r="2229" spans="2:5" x14ac:dyDescent="0.25">
      <c r="B2229" s="3"/>
      <c r="C2229" s="3"/>
      <c r="D2229" s="3"/>
      <c r="E2229" s="5"/>
    </row>
    <row r="2230" spans="2:5" x14ac:dyDescent="0.25">
      <c r="B2230" s="3"/>
      <c r="C2230" s="3"/>
      <c r="D2230" s="3"/>
      <c r="E2230" s="5"/>
    </row>
    <row r="2231" spans="2:5" x14ac:dyDescent="0.25">
      <c r="B2231" s="3"/>
      <c r="C2231" s="3"/>
      <c r="D2231" s="3"/>
      <c r="E2231" s="5"/>
    </row>
    <row r="2232" spans="2:5" x14ac:dyDescent="0.25">
      <c r="B2232" s="3"/>
      <c r="C2232" s="3"/>
      <c r="D2232" s="3"/>
      <c r="E2232" s="5"/>
    </row>
    <row r="2233" spans="2:5" x14ac:dyDescent="0.25">
      <c r="B2233" s="3"/>
      <c r="C2233" s="3"/>
      <c r="D2233" s="3"/>
      <c r="E2233" s="5"/>
    </row>
    <row r="2234" spans="2:5" x14ac:dyDescent="0.25">
      <c r="B2234" s="3"/>
      <c r="C2234" s="3"/>
      <c r="D2234" s="3"/>
      <c r="E2234" s="5"/>
    </row>
    <row r="2235" spans="2:5" x14ac:dyDescent="0.25">
      <c r="B2235" s="3"/>
      <c r="C2235" s="3"/>
      <c r="D2235" s="3"/>
      <c r="E2235" s="5"/>
    </row>
    <row r="2236" spans="2:5" x14ac:dyDescent="0.25">
      <c r="B2236" s="3"/>
      <c r="C2236" s="3"/>
      <c r="D2236" s="3"/>
      <c r="E2236" s="5"/>
    </row>
    <row r="2237" spans="2:5" x14ac:dyDescent="0.25">
      <c r="B2237" s="3"/>
      <c r="C2237" s="3"/>
      <c r="D2237" s="3"/>
      <c r="E2237" s="5"/>
    </row>
    <row r="2238" spans="2:5" x14ac:dyDescent="0.25">
      <c r="B2238" s="3"/>
      <c r="C2238" s="3"/>
      <c r="D2238" s="3"/>
      <c r="E2238" s="5"/>
    </row>
    <row r="2239" spans="2:5" x14ac:dyDescent="0.25">
      <c r="B2239" s="3"/>
      <c r="C2239" s="3"/>
      <c r="D2239" s="3"/>
      <c r="E2239" s="5"/>
    </row>
    <row r="2240" spans="2:5" x14ac:dyDescent="0.25">
      <c r="B2240" s="3"/>
      <c r="C2240" s="3"/>
      <c r="D2240" s="3"/>
      <c r="E2240" s="5"/>
    </row>
    <row r="2241" spans="2:5" x14ac:dyDescent="0.25">
      <c r="B2241" s="3"/>
      <c r="C2241" s="3"/>
      <c r="D2241" s="3"/>
      <c r="E2241" s="5"/>
    </row>
    <row r="2242" spans="2:5" x14ac:dyDescent="0.25">
      <c r="B2242" s="3"/>
      <c r="C2242" s="3"/>
      <c r="D2242" s="3"/>
      <c r="E2242" s="5"/>
    </row>
    <row r="2243" spans="2:5" x14ac:dyDescent="0.25">
      <c r="B2243" s="3"/>
      <c r="C2243" s="3"/>
      <c r="D2243" s="3"/>
      <c r="E2243" s="5"/>
    </row>
    <row r="2244" spans="2:5" x14ac:dyDescent="0.25">
      <c r="B2244" s="3"/>
      <c r="C2244" s="3"/>
      <c r="D2244" s="3"/>
      <c r="E2244" s="5"/>
    </row>
    <row r="2245" spans="2:5" x14ac:dyDescent="0.25">
      <c r="B2245" s="3"/>
      <c r="C2245" s="3"/>
      <c r="D2245" s="3"/>
      <c r="E2245" s="5"/>
    </row>
    <row r="2246" spans="2:5" x14ac:dyDescent="0.25">
      <c r="B2246" s="3"/>
      <c r="C2246" s="3"/>
      <c r="D2246" s="3"/>
      <c r="E2246" s="5"/>
    </row>
    <row r="2247" spans="2:5" x14ac:dyDescent="0.25">
      <c r="B2247" s="3"/>
      <c r="C2247" s="3"/>
      <c r="D2247" s="3"/>
      <c r="E2247" s="5"/>
    </row>
    <row r="2248" spans="2:5" x14ac:dyDescent="0.25">
      <c r="B2248" s="3"/>
      <c r="C2248" s="3"/>
      <c r="D2248" s="3"/>
      <c r="E2248" s="5"/>
    </row>
    <row r="2249" spans="2:5" x14ac:dyDescent="0.25">
      <c r="B2249" s="3"/>
      <c r="C2249" s="3"/>
      <c r="D2249" s="3"/>
      <c r="E2249" s="5"/>
    </row>
    <row r="2250" spans="2:5" x14ac:dyDescent="0.25">
      <c r="B2250" s="3"/>
      <c r="C2250" s="3"/>
      <c r="D2250" s="3"/>
      <c r="E2250" s="5"/>
    </row>
    <row r="2251" spans="2:5" x14ac:dyDescent="0.25">
      <c r="B2251" s="3"/>
      <c r="C2251" s="3"/>
      <c r="D2251" s="3"/>
      <c r="E2251" s="5"/>
    </row>
    <row r="2252" spans="2:5" x14ac:dyDescent="0.25">
      <c r="B2252" s="3"/>
      <c r="C2252" s="3"/>
      <c r="D2252" s="3"/>
      <c r="E2252" s="5"/>
    </row>
    <row r="2253" spans="2:5" x14ac:dyDescent="0.25">
      <c r="B2253" s="3"/>
      <c r="C2253" s="3"/>
      <c r="D2253" s="3"/>
      <c r="E2253" s="5"/>
    </row>
    <row r="2254" spans="2:5" x14ac:dyDescent="0.25">
      <c r="B2254" s="3"/>
      <c r="C2254" s="3"/>
      <c r="D2254" s="3"/>
      <c r="E2254" s="5"/>
    </row>
    <row r="2255" spans="2:5" x14ac:dyDescent="0.25">
      <c r="B2255" s="3"/>
      <c r="C2255" s="3"/>
      <c r="D2255" s="3"/>
      <c r="E2255" s="5"/>
    </row>
    <row r="2256" spans="2:5" x14ac:dyDescent="0.25">
      <c r="B2256" s="3"/>
      <c r="C2256" s="3"/>
      <c r="D2256" s="3"/>
      <c r="E2256" s="5"/>
    </row>
    <row r="2257" spans="2:5" x14ac:dyDescent="0.25">
      <c r="B2257" s="3"/>
      <c r="C2257" s="3"/>
      <c r="D2257" s="3"/>
      <c r="E2257" s="5"/>
    </row>
    <row r="2258" spans="2:5" x14ac:dyDescent="0.25">
      <c r="B2258" s="3"/>
      <c r="C2258" s="3"/>
      <c r="D2258" s="3"/>
      <c r="E2258" s="5"/>
    </row>
    <row r="2259" spans="2:5" x14ac:dyDescent="0.25">
      <c r="B2259" s="3"/>
      <c r="C2259" s="3"/>
      <c r="D2259" s="3"/>
      <c r="E2259" s="5"/>
    </row>
    <row r="2260" spans="2:5" x14ac:dyDescent="0.25">
      <c r="B2260" s="3"/>
      <c r="C2260" s="3"/>
      <c r="D2260" s="3"/>
      <c r="E2260" s="5"/>
    </row>
    <row r="2261" spans="2:5" x14ac:dyDescent="0.25">
      <c r="B2261" s="3"/>
      <c r="C2261" s="3"/>
      <c r="D2261" s="3"/>
      <c r="E2261" s="5"/>
    </row>
    <row r="2262" spans="2:5" x14ac:dyDescent="0.25">
      <c r="B2262" s="3"/>
      <c r="C2262" s="3"/>
      <c r="D2262" s="3"/>
      <c r="E2262" s="5"/>
    </row>
    <row r="2263" spans="2:5" x14ac:dyDescent="0.25">
      <c r="B2263" s="3"/>
      <c r="C2263" s="3"/>
      <c r="D2263" s="3"/>
      <c r="E2263" s="5"/>
    </row>
    <row r="2264" spans="2:5" x14ac:dyDescent="0.25">
      <c r="B2264" s="3"/>
      <c r="C2264" s="3"/>
      <c r="D2264" s="3"/>
      <c r="E2264" s="5"/>
    </row>
    <row r="2265" spans="2:5" x14ac:dyDescent="0.25">
      <c r="B2265" s="3"/>
      <c r="C2265" s="3"/>
      <c r="D2265" s="3"/>
      <c r="E2265" s="5"/>
    </row>
    <row r="2266" spans="2:5" x14ac:dyDescent="0.25">
      <c r="B2266" s="3"/>
      <c r="C2266" s="3"/>
      <c r="D2266" s="3"/>
      <c r="E2266" s="5"/>
    </row>
    <row r="2267" spans="2:5" x14ac:dyDescent="0.25">
      <c r="B2267" s="3"/>
      <c r="C2267" s="3"/>
      <c r="D2267" s="3"/>
      <c r="E2267" s="5"/>
    </row>
    <row r="2268" spans="2:5" x14ac:dyDescent="0.25">
      <c r="B2268" s="3"/>
      <c r="C2268" s="3"/>
      <c r="D2268" s="3"/>
      <c r="E2268" s="5"/>
    </row>
    <row r="2269" spans="2:5" x14ac:dyDescent="0.25">
      <c r="B2269" s="3"/>
      <c r="C2269" s="3"/>
      <c r="D2269" s="3"/>
      <c r="E2269" s="5"/>
    </row>
    <row r="2270" spans="2:5" x14ac:dyDescent="0.25">
      <c r="B2270" s="3"/>
      <c r="C2270" s="3"/>
      <c r="D2270" s="3"/>
      <c r="E2270" s="5"/>
    </row>
    <row r="2271" spans="2:5" x14ac:dyDescent="0.25">
      <c r="B2271" s="3"/>
      <c r="C2271" s="3"/>
      <c r="D2271" s="3"/>
      <c r="E2271" s="5"/>
    </row>
    <row r="2272" spans="2:5" x14ac:dyDescent="0.25">
      <c r="B2272" s="3"/>
      <c r="C2272" s="3"/>
      <c r="D2272" s="3"/>
      <c r="E2272" s="5"/>
    </row>
    <row r="2273" spans="2:5" x14ac:dyDescent="0.25">
      <c r="B2273" s="3"/>
      <c r="C2273" s="3"/>
      <c r="D2273" s="3"/>
      <c r="E2273" s="5"/>
    </row>
    <row r="2274" spans="2:5" x14ac:dyDescent="0.25">
      <c r="B2274" s="3"/>
      <c r="C2274" s="3"/>
      <c r="D2274" s="3"/>
      <c r="E2274" s="5"/>
    </row>
    <row r="2275" spans="2:5" x14ac:dyDescent="0.25">
      <c r="B2275" s="3"/>
      <c r="C2275" s="3"/>
      <c r="D2275" s="3"/>
      <c r="E2275" s="5"/>
    </row>
    <row r="2276" spans="2:5" x14ac:dyDescent="0.25">
      <c r="B2276" s="3"/>
      <c r="C2276" s="3"/>
      <c r="D2276" s="3"/>
      <c r="E2276" s="5"/>
    </row>
    <row r="2277" spans="2:5" x14ac:dyDescent="0.25">
      <c r="B2277" s="3"/>
      <c r="C2277" s="3"/>
      <c r="D2277" s="3"/>
      <c r="E2277" s="5"/>
    </row>
    <row r="2278" spans="2:5" x14ac:dyDescent="0.25">
      <c r="B2278" s="3"/>
      <c r="C2278" s="3"/>
      <c r="D2278" s="3"/>
      <c r="E2278" s="5"/>
    </row>
    <row r="2279" spans="2:5" x14ac:dyDescent="0.25">
      <c r="B2279" s="3"/>
      <c r="C2279" s="3"/>
      <c r="D2279" s="3"/>
      <c r="E2279" s="5"/>
    </row>
    <row r="2280" spans="2:5" x14ac:dyDescent="0.25">
      <c r="B2280" s="3"/>
      <c r="C2280" s="3"/>
      <c r="D2280" s="3"/>
      <c r="E2280" s="5"/>
    </row>
    <row r="2281" spans="2:5" x14ac:dyDescent="0.25">
      <c r="B2281" s="3"/>
      <c r="C2281" s="3"/>
      <c r="D2281" s="3"/>
      <c r="E2281" s="5"/>
    </row>
    <row r="2282" spans="2:5" x14ac:dyDescent="0.25">
      <c r="B2282" s="3"/>
      <c r="C2282" s="3"/>
      <c r="D2282" s="3"/>
      <c r="E2282" s="5"/>
    </row>
    <row r="2283" spans="2:5" x14ac:dyDescent="0.25">
      <c r="B2283" s="3"/>
      <c r="C2283" s="3"/>
      <c r="D2283" s="3"/>
      <c r="E2283" s="5"/>
    </row>
    <row r="2284" spans="2:5" x14ac:dyDescent="0.25">
      <c r="B2284" s="3"/>
      <c r="C2284" s="3"/>
      <c r="D2284" s="3"/>
      <c r="E2284" s="5"/>
    </row>
    <row r="2285" spans="2:5" x14ac:dyDescent="0.25">
      <c r="B2285" s="3"/>
      <c r="C2285" s="3"/>
      <c r="D2285" s="3"/>
      <c r="E2285" s="5"/>
    </row>
    <row r="2286" spans="2:5" x14ac:dyDescent="0.25">
      <c r="B2286" s="3"/>
      <c r="C2286" s="3"/>
      <c r="D2286" s="3"/>
      <c r="E2286" s="5"/>
    </row>
    <row r="2287" spans="2:5" x14ac:dyDescent="0.25">
      <c r="B2287" s="3"/>
      <c r="C2287" s="3"/>
      <c r="D2287" s="3"/>
      <c r="E2287" s="5"/>
    </row>
    <row r="2288" spans="2:5" x14ac:dyDescent="0.25">
      <c r="B2288" s="3"/>
      <c r="C2288" s="3"/>
      <c r="D2288" s="3"/>
      <c r="E2288" s="5"/>
    </row>
    <row r="2289" spans="2:5" x14ac:dyDescent="0.25">
      <c r="B2289" s="3"/>
      <c r="C2289" s="3"/>
      <c r="D2289" s="3"/>
      <c r="E2289" s="5"/>
    </row>
    <row r="2290" spans="2:5" x14ac:dyDescent="0.25">
      <c r="B2290" s="3"/>
      <c r="C2290" s="3"/>
      <c r="D2290" s="3"/>
      <c r="E2290" s="5"/>
    </row>
    <row r="2291" spans="2:5" x14ac:dyDescent="0.25">
      <c r="B2291" s="3"/>
      <c r="C2291" s="3"/>
      <c r="D2291" s="3"/>
      <c r="E2291" s="5"/>
    </row>
    <row r="2292" spans="2:5" x14ac:dyDescent="0.25">
      <c r="B2292" s="3"/>
      <c r="C2292" s="3"/>
      <c r="D2292" s="3"/>
      <c r="E2292" s="5"/>
    </row>
    <row r="2293" spans="2:5" x14ac:dyDescent="0.25">
      <c r="B2293" s="3"/>
      <c r="C2293" s="3"/>
      <c r="D2293" s="3"/>
      <c r="E2293" s="5"/>
    </row>
    <row r="2294" spans="2:5" x14ac:dyDescent="0.25">
      <c r="B2294" s="3"/>
      <c r="C2294" s="3"/>
      <c r="D2294" s="3"/>
      <c r="E2294" s="5"/>
    </row>
    <row r="2295" spans="2:5" x14ac:dyDescent="0.25">
      <c r="B2295" s="3"/>
      <c r="C2295" s="3"/>
      <c r="D2295" s="3"/>
      <c r="E2295" s="5"/>
    </row>
    <row r="2296" spans="2:5" x14ac:dyDescent="0.25">
      <c r="B2296" s="3"/>
      <c r="C2296" s="3"/>
      <c r="D2296" s="3"/>
      <c r="E2296" s="5"/>
    </row>
    <row r="2297" spans="2:5" x14ac:dyDescent="0.25">
      <c r="B2297" s="3"/>
      <c r="C2297" s="3"/>
      <c r="D2297" s="3"/>
      <c r="E2297" s="5"/>
    </row>
    <row r="2298" spans="2:5" x14ac:dyDescent="0.25">
      <c r="B2298" s="3"/>
      <c r="C2298" s="3"/>
      <c r="D2298" s="3"/>
      <c r="E2298" s="5"/>
    </row>
    <row r="2299" spans="2:5" x14ac:dyDescent="0.25">
      <c r="B2299" s="3"/>
      <c r="C2299" s="3"/>
      <c r="D2299" s="3"/>
      <c r="E2299" s="5"/>
    </row>
    <row r="2300" spans="2:5" x14ac:dyDescent="0.25">
      <c r="B2300" s="3"/>
      <c r="C2300" s="3"/>
      <c r="D2300" s="3"/>
      <c r="E2300" s="5"/>
    </row>
    <row r="2301" spans="2:5" x14ac:dyDescent="0.25">
      <c r="B2301" s="3"/>
      <c r="C2301" s="3"/>
      <c r="D2301" s="3"/>
      <c r="E2301" s="5"/>
    </row>
    <row r="2302" spans="2:5" x14ac:dyDescent="0.25">
      <c r="B2302" s="3"/>
      <c r="C2302" s="3"/>
      <c r="D2302" s="3"/>
      <c r="E2302" s="5"/>
    </row>
    <row r="2303" spans="2:5" x14ac:dyDescent="0.25">
      <c r="B2303" s="3"/>
      <c r="C2303" s="3"/>
      <c r="D2303" s="3"/>
      <c r="E2303" s="5"/>
    </row>
    <row r="2304" spans="2:5" x14ac:dyDescent="0.25">
      <c r="B2304" s="3"/>
      <c r="C2304" s="3"/>
      <c r="D2304" s="3"/>
      <c r="E2304" s="5"/>
    </row>
    <row r="2305" spans="2:5" x14ac:dyDescent="0.25">
      <c r="B2305" s="3"/>
      <c r="C2305" s="3"/>
      <c r="D2305" s="3"/>
      <c r="E2305" s="5"/>
    </row>
    <row r="2306" spans="2:5" x14ac:dyDescent="0.25">
      <c r="B2306" s="3"/>
      <c r="C2306" s="3"/>
      <c r="D2306" s="3"/>
      <c r="E2306" s="5"/>
    </row>
    <row r="2307" spans="2:5" x14ac:dyDescent="0.25">
      <c r="B2307" s="3"/>
      <c r="C2307" s="3"/>
      <c r="D2307" s="3"/>
      <c r="E2307" s="5"/>
    </row>
    <row r="2308" spans="2:5" x14ac:dyDescent="0.25">
      <c r="B2308" s="3"/>
      <c r="C2308" s="3"/>
      <c r="D2308" s="3"/>
      <c r="E2308" s="5"/>
    </row>
    <row r="2309" spans="2:5" x14ac:dyDescent="0.25">
      <c r="B2309" s="3"/>
      <c r="C2309" s="3"/>
      <c r="D2309" s="3"/>
      <c r="E2309" s="5"/>
    </row>
    <row r="2310" spans="2:5" x14ac:dyDescent="0.25">
      <c r="B2310" s="3"/>
      <c r="C2310" s="3"/>
      <c r="D2310" s="3"/>
      <c r="E2310" s="5"/>
    </row>
    <row r="2311" spans="2:5" x14ac:dyDescent="0.25">
      <c r="B2311" s="3"/>
      <c r="C2311" s="3"/>
      <c r="D2311" s="3"/>
      <c r="E2311" s="5"/>
    </row>
    <row r="2312" spans="2:5" x14ac:dyDescent="0.25">
      <c r="B2312" s="3"/>
      <c r="C2312" s="3"/>
      <c r="D2312" s="3"/>
      <c r="E2312" s="5"/>
    </row>
    <row r="2313" spans="2:5" x14ac:dyDescent="0.25">
      <c r="B2313" s="3"/>
      <c r="C2313" s="3"/>
      <c r="D2313" s="3"/>
      <c r="E2313" s="5"/>
    </row>
    <row r="2314" spans="2:5" x14ac:dyDescent="0.25">
      <c r="B2314" s="3"/>
      <c r="C2314" s="3"/>
      <c r="D2314" s="3"/>
      <c r="E2314" s="5"/>
    </row>
    <row r="2315" spans="2:5" x14ac:dyDescent="0.25">
      <c r="B2315" s="3"/>
      <c r="C2315" s="3"/>
      <c r="D2315" s="3"/>
      <c r="E2315" s="5"/>
    </row>
    <row r="2316" spans="2:5" x14ac:dyDescent="0.25">
      <c r="B2316" s="3"/>
      <c r="C2316" s="3"/>
      <c r="D2316" s="3"/>
      <c r="E2316" s="5"/>
    </row>
    <row r="2317" spans="2:5" x14ac:dyDescent="0.25">
      <c r="B2317" s="3"/>
      <c r="C2317" s="3"/>
      <c r="D2317" s="3"/>
      <c r="E2317" s="5"/>
    </row>
    <row r="2318" spans="2:5" x14ac:dyDescent="0.25">
      <c r="B2318" s="3"/>
      <c r="C2318" s="3"/>
      <c r="D2318" s="3"/>
      <c r="E2318" s="5"/>
    </row>
    <row r="2319" spans="2:5" x14ac:dyDescent="0.25">
      <c r="B2319" s="3"/>
      <c r="C2319" s="3"/>
      <c r="D2319" s="3"/>
      <c r="E2319" s="5"/>
    </row>
    <row r="2320" spans="2:5" x14ac:dyDescent="0.25">
      <c r="B2320" s="3"/>
      <c r="C2320" s="3"/>
      <c r="D2320" s="3"/>
      <c r="E2320" s="5"/>
    </row>
    <row r="2321" spans="2:5" x14ac:dyDescent="0.25">
      <c r="B2321" s="3"/>
      <c r="C2321" s="3"/>
      <c r="D2321" s="3"/>
      <c r="E2321" s="5"/>
    </row>
    <row r="2322" spans="2:5" x14ac:dyDescent="0.25">
      <c r="B2322" s="3"/>
      <c r="C2322" s="3"/>
      <c r="D2322" s="3"/>
      <c r="E2322" s="5"/>
    </row>
    <row r="2323" spans="2:5" x14ac:dyDescent="0.25">
      <c r="B2323" s="3"/>
      <c r="C2323" s="3"/>
      <c r="D2323" s="3"/>
      <c r="E2323" s="5"/>
    </row>
    <row r="2324" spans="2:5" x14ac:dyDescent="0.25">
      <c r="B2324" s="3"/>
      <c r="C2324" s="3"/>
      <c r="D2324" s="3"/>
      <c r="E2324" s="5"/>
    </row>
    <row r="2325" spans="2:5" x14ac:dyDescent="0.25">
      <c r="B2325" s="3"/>
      <c r="C2325" s="3"/>
      <c r="D2325" s="3"/>
      <c r="E2325" s="5"/>
    </row>
    <row r="2326" spans="2:5" x14ac:dyDescent="0.25">
      <c r="B2326" s="3"/>
      <c r="C2326" s="3"/>
      <c r="D2326" s="3"/>
      <c r="E2326" s="5"/>
    </row>
    <row r="2327" spans="2:5" x14ac:dyDescent="0.25">
      <c r="B2327" s="3"/>
      <c r="C2327" s="3"/>
      <c r="D2327" s="3"/>
      <c r="E2327" s="5"/>
    </row>
    <row r="2328" spans="2:5" x14ac:dyDescent="0.25">
      <c r="B2328" s="3"/>
      <c r="C2328" s="3"/>
      <c r="D2328" s="3"/>
      <c r="E2328" s="5"/>
    </row>
    <row r="2329" spans="2:5" x14ac:dyDescent="0.25">
      <c r="B2329" s="3"/>
      <c r="C2329" s="3"/>
      <c r="D2329" s="3"/>
      <c r="E2329" s="5"/>
    </row>
    <row r="2330" spans="2:5" x14ac:dyDescent="0.25">
      <c r="B2330" s="3"/>
      <c r="C2330" s="3"/>
      <c r="D2330" s="3"/>
      <c r="E2330" s="5"/>
    </row>
    <row r="2331" spans="2:5" x14ac:dyDescent="0.25">
      <c r="B2331" s="3"/>
      <c r="C2331" s="3"/>
      <c r="D2331" s="3"/>
      <c r="E2331" s="5"/>
    </row>
    <row r="2332" spans="2:5" x14ac:dyDescent="0.25">
      <c r="B2332" s="3"/>
      <c r="C2332" s="3"/>
      <c r="D2332" s="3"/>
      <c r="E2332" s="5"/>
    </row>
    <row r="2333" spans="2:5" x14ac:dyDescent="0.25">
      <c r="B2333" s="3"/>
      <c r="C2333" s="3"/>
      <c r="D2333" s="3"/>
      <c r="E2333" s="5"/>
    </row>
    <row r="2334" spans="2:5" x14ac:dyDescent="0.25">
      <c r="B2334" s="3"/>
      <c r="C2334" s="3"/>
      <c r="D2334" s="3"/>
      <c r="E2334" s="5"/>
    </row>
    <row r="2335" spans="2:5" x14ac:dyDescent="0.25">
      <c r="B2335" s="3"/>
      <c r="C2335" s="3"/>
      <c r="D2335" s="3"/>
      <c r="E2335" s="5"/>
    </row>
    <row r="2336" spans="2:5" x14ac:dyDescent="0.25">
      <c r="B2336" s="3"/>
      <c r="C2336" s="3"/>
      <c r="D2336" s="3"/>
      <c r="E2336" s="5"/>
    </row>
    <row r="2337" spans="2:5" x14ac:dyDescent="0.25">
      <c r="B2337" s="3"/>
      <c r="C2337" s="3"/>
      <c r="D2337" s="3"/>
      <c r="E2337" s="5"/>
    </row>
    <row r="2338" spans="2:5" x14ac:dyDescent="0.25">
      <c r="B2338" s="3"/>
      <c r="C2338" s="3"/>
      <c r="D2338" s="3"/>
      <c r="E2338" s="5"/>
    </row>
    <row r="2339" spans="2:5" x14ac:dyDescent="0.25">
      <c r="B2339" s="3"/>
      <c r="C2339" s="3"/>
      <c r="D2339" s="3"/>
      <c r="E2339" s="5"/>
    </row>
    <row r="2340" spans="2:5" x14ac:dyDescent="0.25">
      <c r="B2340" s="3"/>
      <c r="C2340" s="3"/>
      <c r="D2340" s="3"/>
      <c r="E2340" s="5"/>
    </row>
    <row r="2341" spans="2:5" x14ac:dyDescent="0.25">
      <c r="B2341" s="3"/>
      <c r="C2341" s="3"/>
      <c r="D2341" s="3"/>
      <c r="E2341" s="5"/>
    </row>
    <row r="2342" spans="2:5" x14ac:dyDescent="0.25">
      <c r="B2342" s="3"/>
      <c r="C2342" s="3"/>
      <c r="D2342" s="3"/>
      <c r="E2342" s="5"/>
    </row>
    <row r="2343" spans="2:5" x14ac:dyDescent="0.25">
      <c r="B2343" s="3"/>
      <c r="C2343" s="3"/>
      <c r="D2343" s="3"/>
      <c r="E2343" s="5"/>
    </row>
    <row r="2344" spans="2:5" x14ac:dyDescent="0.25">
      <c r="B2344" s="3"/>
      <c r="C2344" s="3"/>
      <c r="D2344" s="3"/>
      <c r="E2344" s="5"/>
    </row>
    <row r="2345" spans="2:5" x14ac:dyDescent="0.25">
      <c r="B2345" s="3"/>
      <c r="C2345" s="3"/>
      <c r="D2345" s="3"/>
      <c r="E2345" s="5"/>
    </row>
    <row r="2346" spans="2:5" x14ac:dyDescent="0.25">
      <c r="B2346" s="3"/>
      <c r="C2346" s="3"/>
      <c r="D2346" s="3"/>
      <c r="E2346" s="5"/>
    </row>
    <row r="2347" spans="2:5" x14ac:dyDescent="0.25">
      <c r="B2347" s="3"/>
      <c r="C2347" s="3"/>
      <c r="D2347" s="3"/>
      <c r="E2347" s="5"/>
    </row>
    <row r="2348" spans="2:5" x14ac:dyDescent="0.25">
      <c r="B2348" s="3"/>
      <c r="C2348" s="3"/>
      <c r="D2348" s="3"/>
      <c r="E2348" s="5"/>
    </row>
    <row r="2349" spans="2:5" x14ac:dyDescent="0.25">
      <c r="B2349" s="3"/>
      <c r="C2349" s="3"/>
      <c r="D2349" s="3"/>
      <c r="E2349" s="5"/>
    </row>
    <row r="2350" spans="2:5" x14ac:dyDescent="0.25">
      <c r="B2350" s="3"/>
      <c r="C2350" s="3"/>
      <c r="D2350" s="3"/>
      <c r="E2350" s="5"/>
    </row>
    <row r="2351" spans="2:5" x14ac:dyDescent="0.25">
      <c r="B2351" s="3"/>
      <c r="C2351" s="3"/>
      <c r="D2351" s="3"/>
      <c r="E2351" s="5"/>
    </row>
    <row r="2352" spans="2:5" x14ac:dyDescent="0.25">
      <c r="B2352" s="3"/>
      <c r="C2352" s="3"/>
      <c r="D2352" s="3"/>
      <c r="E2352" s="5"/>
    </row>
    <row r="2353" spans="2:5" x14ac:dyDescent="0.25">
      <c r="B2353" s="3"/>
      <c r="C2353" s="3"/>
      <c r="D2353" s="3"/>
      <c r="E2353" s="5"/>
    </row>
    <row r="2354" spans="2:5" x14ac:dyDescent="0.25">
      <c r="B2354" s="3"/>
      <c r="C2354" s="3"/>
      <c r="D2354" s="3"/>
      <c r="E2354" s="5"/>
    </row>
    <row r="2355" spans="2:5" x14ac:dyDescent="0.25">
      <c r="B2355" s="3"/>
      <c r="C2355" s="3"/>
      <c r="D2355" s="3"/>
      <c r="E2355" s="5"/>
    </row>
    <row r="2356" spans="2:5" x14ac:dyDescent="0.25">
      <c r="B2356" s="3"/>
      <c r="C2356" s="3"/>
      <c r="D2356" s="3"/>
      <c r="E2356" s="5"/>
    </row>
    <row r="2357" spans="2:5" x14ac:dyDescent="0.25">
      <c r="B2357" s="3"/>
      <c r="C2357" s="3"/>
      <c r="D2357" s="3"/>
      <c r="E2357" s="5"/>
    </row>
    <row r="2358" spans="2:5" x14ac:dyDescent="0.25">
      <c r="B2358" s="3"/>
      <c r="C2358" s="3"/>
      <c r="D2358" s="3"/>
      <c r="E2358" s="5"/>
    </row>
    <row r="2359" spans="2:5" x14ac:dyDescent="0.25">
      <c r="B2359" s="3"/>
      <c r="C2359" s="3"/>
      <c r="D2359" s="3"/>
      <c r="E2359" s="5"/>
    </row>
    <row r="2360" spans="2:5" x14ac:dyDescent="0.25">
      <c r="B2360" s="3"/>
      <c r="C2360" s="3"/>
      <c r="D2360" s="3"/>
      <c r="E2360" s="5"/>
    </row>
    <row r="2361" spans="2:5" x14ac:dyDescent="0.25">
      <c r="B2361" s="3"/>
      <c r="C2361" s="3"/>
      <c r="D2361" s="3"/>
      <c r="E2361" s="5"/>
    </row>
    <row r="2362" spans="2:5" x14ac:dyDescent="0.25">
      <c r="B2362" s="3"/>
      <c r="C2362" s="3"/>
      <c r="D2362" s="3"/>
      <c r="E2362" s="5"/>
    </row>
    <row r="2363" spans="2:5" x14ac:dyDescent="0.25">
      <c r="B2363" s="3"/>
      <c r="C2363" s="3"/>
      <c r="D2363" s="3"/>
      <c r="E2363" s="5"/>
    </row>
    <row r="2364" spans="2:5" x14ac:dyDescent="0.25">
      <c r="B2364" s="3"/>
      <c r="C2364" s="3"/>
      <c r="D2364" s="3"/>
      <c r="E2364" s="5"/>
    </row>
    <row r="2365" spans="2:5" x14ac:dyDescent="0.25">
      <c r="B2365" s="3"/>
      <c r="C2365" s="3"/>
      <c r="D2365" s="3"/>
      <c r="E2365" s="5"/>
    </row>
    <row r="2366" spans="2:5" x14ac:dyDescent="0.25">
      <c r="B2366" s="3"/>
      <c r="C2366" s="3"/>
      <c r="D2366" s="3"/>
      <c r="E2366" s="5"/>
    </row>
    <row r="2367" spans="2:5" x14ac:dyDescent="0.25">
      <c r="B2367" s="3"/>
      <c r="C2367" s="3"/>
      <c r="D2367" s="3"/>
      <c r="E2367" s="5"/>
    </row>
    <row r="2368" spans="2:5" x14ac:dyDescent="0.25">
      <c r="B2368" s="3"/>
      <c r="C2368" s="3"/>
      <c r="D2368" s="3"/>
      <c r="E2368" s="5"/>
    </row>
    <row r="2369" spans="2:5" x14ac:dyDescent="0.25">
      <c r="B2369" s="3"/>
      <c r="C2369" s="3"/>
      <c r="D2369" s="3"/>
      <c r="E2369" s="5"/>
    </row>
    <row r="2370" spans="2:5" x14ac:dyDescent="0.25">
      <c r="B2370" s="3"/>
      <c r="C2370" s="3"/>
      <c r="D2370" s="3"/>
      <c r="E2370" s="5"/>
    </row>
    <row r="2371" spans="2:5" x14ac:dyDescent="0.25">
      <c r="B2371" s="3"/>
      <c r="C2371" s="3"/>
      <c r="D2371" s="3"/>
      <c r="E2371" s="5"/>
    </row>
    <row r="2372" spans="2:5" x14ac:dyDescent="0.25">
      <c r="B2372" s="3"/>
      <c r="C2372" s="3"/>
      <c r="D2372" s="3"/>
      <c r="E2372" s="5"/>
    </row>
    <row r="2373" spans="2:5" x14ac:dyDescent="0.25">
      <c r="B2373" s="3"/>
      <c r="C2373" s="3"/>
      <c r="D2373" s="3"/>
      <c r="E2373" s="5"/>
    </row>
    <row r="2374" spans="2:5" x14ac:dyDescent="0.25">
      <c r="B2374" s="3"/>
      <c r="C2374" s="3"/>
      <c r="D2374" s="3"/>
      <c r="E2374" s="5"/>
    </row>
    <row r="2375" spans="2:5" x14ac:dyDescent="0.25">
      <c r="B2375" s="3"/>
      <c r="C2375" s="3"/>
      <c r="D2375" s="3"/>
      <c r="E2375" s="5"/>
    </row>
    <row r="2376" spans="2:5" x14ac:dyDescent="0.25">
      <c r="B2376" s="3"/>
      <c r="C2376" s="3"/>
      <c r="D2376" s="3"/>
      <c r="E2376" s="5"/>
    </row>
    <row r="2377" spans="2:5" x14ac:dyDescent="0.25">
      <c r="B2377" s="3"/>
      <c r="C2377" s="3"/>
      <c r="D2377" s="3"/>
      <c r="E2377" s="5"/>
    </row>
    <row r="2378" spans="2:5" x14ac:dyDescent="0.25">
      <c r="B2378" s="3"/>
      <c r="C2378" s="3"/>
      <c r="D2378" s="3"/>
      <c r="E2378" s="5"/>
    </row>
    <row r="2379" spans="2:5" x14ac:dyDescent="0.25">
      <c r="B2379" s="3"/>
      <c r="C2379" s="3"/>
      <c r="D2379" s="3"/>
      <c r="E2379" s="5"/>
    </row>
    <row r="2380" spans="2:5" x14ac:dyDescent="0.25">
      <c r="B2380" s="3"/>
      <c r="C2380" s="3"/>
      <c r="D2380" s="3"/>
      <c r="E2380" s="5"/>
    </row>
    <row r="2381" spans="2:5" x14ac:dyDescent="0.25">
      <c r="B2381" s="3"/>
      <c r="C2381" s="3"/>
      <c r="D2381" s="3"/>
      <c r="E2381" s="5"/>
    </row>
    <row r="2382" spans="2:5" x14ac:dyDescent="0.25">
      <c r="B2382" s="3"/>
      <c r="C2382" s="3"/>
      <c r="D2382" s="3"/>
      <c r="E2382" s="5"/>
    </row>
    <row r="2383" spans="2:5" x14ac:dyDescent="0.25">
      <c r="B2383" s="3"/>
      <c r="C2383" s="3"/>
      <c r="D2383" s="3"/>
      <c r="E2383" s="5"/>
    </row>
    <row r="2384" spans="2:5" x14ac:dyDescent="0.25">
      <c r="B2384" s="3"/>
      <c r="C2384" s="3"/>
      <c r="D2384" s="3"/>
      <c r="E2384" s="5"/>
    </row>
    <row r="2385" spans="2:5" x14ac:dyDescent="0.25">
      <c r="B2385" s="3"/>
      <c r="C2385" s="3"/>
      <c r="D2385" s="3"/>
      <c r="E2385" s="5"/>
    </row>
    <row r="2386" spans="2:5" x14ac:dyDescent="0.25">
      <c r="B2386" s="3"/>
      <c r="C2386" s="3"/>
      <c r="D2386" s="3"/>
      <c r="E2386" s="5"/>
    </row>
    <row r="2387" spans="2:5" x14ac:dyDescent="0.25">
      <c r="B2387" s="3"/>
      <c r="C2387" s="3"/>
      <c r="D2387" s="3"/>
      <c r="E2387" s="5"/>
    </row>
    <row r="2388" spans="2:5" x14ac:dyDescent="0.25">
      <c r="B2388" s="3"/>
      <c r="C2388" s="3"/>
      <c r="D2388" s="3"/>
      <c r="E2388" s="5"/>
    </row>
    <row r="2389" spans="2:5" x14ac:dyDescent="0.25">
      <c r="B2389" s="3"/>
      <c r="C2389" s="3"/>
      <c r="D2389" s="3"/>
      <c r="E2389" s="5"/>
    </row>
    <row r="2390" spans="2:5" x14ac:dyDescent="0.25">
      <c r="B2390" s="3"/>
      <c r="C2390" s="3"/>
      <c r="D2390" s="3"/>
      <c r="E2390" s="5"/>
    </row>
    <row r="2391" spans="2:5" x14ac:dyDescent="0.25">
      <c r="B2391" s="3"/>
      <c r="C2391" s="3"/>
      <c r="D2391" s="3"/>
      <c r="E2391" s="5"/>
    </row>
    <row r="2392" spans="2:5" x14ac:dyDescent="0.25">
      <c r="B2392" s="3"/>
      <c r="C2392" s="3"/>
      <c r="D2392" s="3"/>
      <c r="E2392" s="5"/>
    </row>
    <row r="2393" spans="2:5" x14ac:dyDescent="0.25">
      <c r="B2393" s="3"/>
      <c r="C2393" s="3"/>
      <c r="D2393" s="3"/>
      <c r="E2393" s="5"/>
    </row>
    <row r="2394" spans="2:5" x14ac:dyDescent="0.25">
      <c r="B2394" s="3"/>
      <c r="C2394" s="3"/>
      <c r="D2394" s="3"/>
      <c r="E2394" s="5"/>
    </row>
    <row r="2395" spans="2:5" x14ac:dyDescent="0.25">
      <c r="B2395" s="3"/>
      <c r="C2395" s="3"/>
      <c r="D2395" s="3"/>
      <c r="E2395" s="5"/>
    </row>
    <row r="2396" spans="2:5" x14ac:dyDescent="0.25">
      <c r="B2396" s="3"/>
      <c r="C2396" s="3"/>
      <c r="D2396" s="3"/>
      <c r="E2396" s="5"/>
    </row>
    <row r="2397" spans="2:5" x14ac:dyDescent="0.25">
      <c r="B2397" s="3"/>
      <c r="C2397" s="3"/>
      <c r="D2397" s="3"/>
      <c r="E2397" s="5"/>
    </row>
    <row r="2398" spans="2:5" x14ac:dyDescent="0.25">
      <c r="B2398" s="3"/>
      <c r="C2398" s="3"/>
      <c r="D2398" s="3"/>
      <c r="E2398" s="5"/>
    </row>
    <row r="2399" spans="2:5" x14ac:dyDescent="0.25">
      <c r="B2399" s="3"/>
      <c r="C2399" s="3"/>
      <c r="D2399" s="3"/>
      <c r="E2399" s="5"/>
    </row>
    <row r="2400" spans="2:5" x14ac:dyDescent="0.25">
      <c r="B2400" s="3"/>
      <c r="C2400" s="3"/>
      <c r="D2400" s="3"/>
      <c r="E2400" s="5"/>
    </row>
    <row r="2401" spans="2:5" x14ac:dyDescent="0.25">
      <c r="B2401" s="3"/>
      <c r="C2401" s="3"/>
      <c r="D2401" s="3"/>
      <c r="E2401" s="5"/>
    </row>
    <row r="2402" spans="2:5" x14ac:dyDescent="0.25">
      <c r="B2402" s="3"/>
      <c r="C2402" s="3"/>
      <c r="D2402" s="3"/>
      <c r="E2402" s="5"/>
    </row>
    <row r="2403" spans="2:5" x14ac:dyDescent="0.25">
      <c r="B2403" s="3"/>
      <c r="C2403" s="3"/>
      <c r="D2403" s="3"/>
      <c r="E2403" s="5"/>
    </row>
    <row r="2404" spans="2:5" x14ac:dyDescent="0.25">
      <c r="B2404" s="3"/>
      <c r="C2404" s="3"/>
      <c r="D2404" s="3"/>
      <c r="E2404" s="5"/>
    </row>
    <row r="2405" spans="2:5" x14ac:dyDescent="0.25">
      <c r="B2405" s="3"/>
      <c r="C2405" s="3"/>
      <c r="D2405" s="3"/>
      <c r="E2405" s="5"/>
    </row>
    <row r="2406" spans="2:5" x14ac:dyDescent="0.25">
      <c r="B2406" s="3"/>
      <c r="C2406" s="3"/>
      <c r="D2406" s="3"/>
      <c r="E2406" s="5"/>
    </row>
    <row r="2407" spans="2:5" x14ac:dyDescent="0.25">
      <c r="B2407" s="3"/>
      <c r="C2407" s="3"/>
      <c r="D2407" s="3"/>
      <c r="E2407" s="5"/>
    </row>
    <row r="2408" spans="2:5" x14ac:dyDescent="0.25">
      <c r="B2408" s="3"/>
      <c r="C2408" s="3"/>
      <c r="D2408" s="3"/>
      <c r="E2408" s="5"/>
    </row>
    <row r="2409" spans="2:5" x14ac:dyDescent="0.25">
      <c r="B2409" s="3"/>
      <c r="C2409" s="3"/>
      <c r="D2409" s="3"/>
      <c r="E2409" s="5"/>
    </row>
    <row r="2410" spans="2:5" x14ac:dyDescent="0.25">
      <c r="B2410" s="3"/>
      <c r="C2410" s="3"/>
      <c r="D2410" s="3"/>
      <c r="E2410" s="5"/>
    </row>
    <row r="2411" spans="2:5" x14ac:dyDescent="0.25">
      <c r="B2411" s="3"/>
      <c r="C2411" s="3"/>
      <c r="D2411" s="3"/>
      <c r="E2411" s="5"/>
    </row>
    <row r="2412" spans="2:5" x14ac:dyDescent="0.25">
      <c r="B2412" s="3"/>
      <c r="C2412" s="3"/>
      <c r="D2412" s="3"/>
      <c r="E2412" s="5"/>
    </row>
    <row r="2413" spans="2:5" x14ac:dyDescent="0.25">
      <c r="B2413" s="3"/>
      <c r="C2413" s="3"/>
      <c r="D2413" s="3"/>
      <c r="E2413" s="5"/>
    </row>
    <row r="2414" spans="2:5" x14ac:dyDescent="0.25">
      <c r="B2414" s="3"/>
      <c r="C2414" s="3"/>
      <c r="D2414" s="3"/>
      <c r="E2414" s="5"/>
    </row>
    <row r="2415" spans="2:5" x14ac:dyDescent="0.25">
      <c r="B2415" s="3"/>
      <c r="C2415" s="3"/>
      <c r="D2415" s="3"/>
      <c r="E2415" s="5"/>
    </row>
    <row r="2416" spans="2:5" x14ac:dyDescent="0.25">
      <c r="B2416" s="3"/>
      <c r="C2416" s="3"/>
      <c r="D2416" s="3"/>
      <c r="E2416" s="5"/>
    </row>
    <row r="2417" spans="2:5" x14ac:dyDescent="0.25">
      <c r="B2417" s="3"/>
      <c r="C2417" s="3"/>
      <c r="D2417" s="3"/>
      <c r="E2417" s="5"/>
    </row>
    <row r="2418" spans="2:5" x14ac:dyDescent="0.25">
      <c r="B2418" s="3"/>
      <c r="C2418" s="3"/>
      <c r="D2418" s="3"/>
      <c r="E2418" s="5"/>
    </row>
    <row r="2419" spans="2:5" x14ac:dyDescent="0.25">
      <c r="B2419" s="3"/>
      <c r="C2419" s="3"/>
      <c r="D2419" s="3"/>
      <c r="E2419" s="5"/>
    </row>
    <row r="2420" spans="2:5" x14ac:dyDescent="0.25">
      <c r="B2420" s="3"/>
      <c r="C2420" s="3"/>
      <c r="D2420" s="3"/>
      <c r="E2420" s="5"/>
    </row>
    <row r="2421" spans="2:5" x14ac:dyDescent="0.25">
      <c r="B2421" s="3"/>
      <c r="C2421" s="3"/>
      <c r="D2421" s="3"/>
      <c r="E2421" s="5"/>
    </row>
    <row r="2422" spans="2:5" x14ac:dyDescent="0.25">
      <c r="B2422" s="3"/>
      <c r="C2422" s="3"/>
      <c r="D2422" s="3"/>
      <c r="E2422" s="5"/>
    </row>
    <row r="2423" spans="2:5" x14ac:dyDescent="0.25">
      <c r="B2423" s="3"/>
      <c r="C2423" s="3"/>
      <c r="D2423" s="3"/>
      <c r="E2423" s="5"/>
    </row>
    <row r="2424" spans="2:5" x14ac:dyDescent="0.25">
      <c r="B2424" s="3"/>
      <c r="C2424" s="3"/>
      <c r="D2424" s="3"/>
      <c r="E2424" s="5"/>
    </row>
    <row r="2425" spans="2:5" x14ac:dyDescent="0.25">
      <c r="B2425" s="3"/>
      <c r="C2425" s="3"/>
      <c r="D2425" s="3"/>
      <c r="E2425" s="5"/>
    </row>
    <row r="2426" spans="2:5" x14ac:dyDescent="0.25">
      <c r="B2426" s="3"/>
      <c r="C2426" s="3"/>
      <c r="D2426" s="3"/>
      <c r="E2426" s="5"/>
    </row>
    <row r="2427" spans="2:5" x14ac:dyDescent="0.25">
      <c r="B2427" s="3"/>
      <c r="C2427" s="3"/>
      <c r="D2427" s="3"/>
      <c r="E2427" s="5"/>
    </row>
    <row r="2428" spans="2:5" x14ac:dyDescent="0.25">
      <c r="B2428" s="3"/>
      <c r="C2428" s="3"/>
      <c r="D2428" s="3"/>
      <c r="E2428" s="5"/>
    </row>
    <row r="2429" spans="2:5" x14ac:dyDescent="0.25">
      <c r="B2429" s="3"/>
      <c r="C2429" s="3"/>
      <c r="D2429" s="3"/>
      <c r="E2429" s="5"/>
    </row>
    <row r="2430" spans="2:5" x14ac:dyDescent="0.25">
      <c r="B2430" s="3"/>
      <c r="C2430" s="3"/>
      <c r="D2430" s="3"/>
      <c r="E2430" s="5"/>
    </row>
    <row r="2431" spans="2:5" x14ac:dyDescent="0.25">
      <c r="B2431" s="3"/>
      <c r="C2431" s="3"/>
      <c r="D2431" s="3"/>
      <c r="E2431" s="5"/>
    </row>
    <row r="2432" spans="2:5" x14ac:dyDescent="0.25">
      <c r="B2432" s="3"/>
      <c r="C2432" s="3"/>
      <c r="D2432" s="3"/>
      <c r="E2432" s="5"/>
    </row>
    <row r="2433" spans="2:5" x14ac:dyDescent="0.25">
      <c r="B2433" s="3"/>
      <c r="C2433" s="3"/>
      <c r="D2433" s="3"/>
      <c r="E2433" s="5"/>
    </row>
    <row r="2434" spans="2:5" x14ac:dyDescent="0.25">
      <c r="B2434" s="3"/>
      <c r="C2434" s="3"/>
      <c r="D2434" s="3"/>
      <c r="E2434" s="5"/>
    </row>
    <row r="2435" spans="2:5" x14ac:dyDescent="0.25">
      <c r="B2435" s="3"/>
      <c r="C2435" s="3"/>
      <c r="D2435" s="3"/>
      <c r="E2435" s="5"/>
    </row>
    <row r="2436" spans="2:5" x14ac:dyDescent="0.25">
      <c r="B2436" s="3"/>
      <c r="C2436" s="3"/>
      <c r="D2436" s="3"/>
      <c r="E2436" s="5"/>
    </row>
    <row r="2437" spans="2:5" x14ac:dyDescent="0.25">
      <c r="B2437" s="3"/>
      <c r="C2437" s="3"/>
      <c r="D2437" s="3"/>
      <c r="E2437" s="5"/>
    </row>
    <row r="2438" spans="2:5" x14ac:dyDescent="0.25">
      <c r="B2438" s="3"/>
      <c r="C2438" s="3"/>
      <c r="D2438" s="3"/>
      <c r="E2438" s="5"/>
    </row>
    <row r="2439" spans="2:5" x14ac:dyDescent="0.25">
      <c r="B2439" s="3"/>
      <c r="C2439" s="3"/>
      <c r="D2439" s="3"/>
      <c r="E2439" s="5"/>
    </row>
    <row r="2440" spans="2:5" x14ac:dyDescent="0.25">
      <c r="B2440" s="3"/>
      <c r="C2440" s="3"/>
      <c r="D2440" s="3"/>
      <c r="E2440" s="5"/>
    </row>
    <row r="2441" spans="2:5" x14ac:dyDescent="0.25">
      <c r="B2441" s="3"/>
      <c r="C2441" s="3"/>
      <c r="D2441" s="3"/>
      <c r="E2441" s="5"/>
    </row>
    <row r="2442" spans="2:5" x14ac:dyDescent="0.25">
      <c r="B2442" s="3"/>
      <c r="C2442" s="3"/>
      <c r="D2442" s="3"/>
      <c r="E2442" s="5"/>
    </row>
    <row r="2443" spans="2:5" x14ac:dyDescent="0.25">
      <c r="B2443" s="3"/>
      <c r="C2443" s="3"/>
      <c r="D2443" s="3"/>
      <c r="E2443" s="5"/>
    </row>
    <row r="2444" spans="2:5" x14ac:dyDescent="0.25">
      <c r="B2444" s="3"/>
      <c r="C2444" s="3"/>
      <c r="D2444" s="3"/>
      <c r="E2444" s="5"/>
    </row>
    <row r="2445" spans="2:5" x14ac:dyDescent="0.25">
      <c r="B2445" s="3"/>
      <c r="C2445" s="3"/>
      <c r="D2445" s="3"/>
      <c r="E2445" s="5"/>
    </row>
    <row r="2446" spans="2:5" x14ac:dyDescent="0.25">
      <c r="B2446" s="3"/>
      <c r="C2446" s="3"/>
      <c r="D2446" s="3"/>
      <c r="E2446" s="5"/>
    </row>
    <row r="2447" spans="2:5" x14ac:dyDescent="0.25">
      <c r="B2447" s="3"/>
      <c r="C2447" s="3"/>
      <c r="D2447" s="3"/>
      <c r="E2447" s="5"/>
    </row>
    <row r="2448" spans="2:5" x14ac:dyDescent="0.25">
      <c r="B2448" s="3"/>
      <c r="C2448" s="3"/>
      <c r="D2448" s="3"/>
      <c r="E2448" s="5"/>
    </row>
    <row r="2449" spans="2:5" x14ac:dyDescent="0.25">
      <c r="B2449" s="3"/>
      <c r="C2449" s="3"/>
      <c r="D2449" s="3"/>
      <c r="E2449" s="5"/>
    </row>
    <row r="2450" spans="2:5" x14ac:dyDescent="0.25">
      <c r="B2450" s="3"/>
      <c r="C2450" s="3"/>
      <c r="D2450" s="3"/>
      <c r="E2450" s="5"/>
    </row>
    <row r="2451" spans="2:5" x14ac:dyDescent="0.25">
      <c r="B2451" s="3"/>
      <c r="C2451" s="3"/>
      <c r="D2451" s="3"/>
      <c r="E2451" s="5"/>
    </row>
    <row r="2452" spans="2:5" x14ac:dyDescent="0.25">
      <c r="B2452" s="3"/>
      <c r="C2452" s="3"/>
      <c r="D2452" s="3"/>
      <c r="E2452" s="5"/>
    </row>
    <row r="2453" spans="2:5" x14ac:dyDescent="0.25">
      <c r="B2453" s="3"/>
      <c r="C2453" s="3"/>
      <c r="D2453" s="3"/>
      <c r="E2453" s="5"/>
    </row>
    <row r="2454" spans="2:5" x14ac:dyDescent="0.25">
      <c r="B2454" s="3"/>
      <c r="C2454" s="3"/>
      <c r="D2454" s="3"/>
      <c r="E2454" s="5"/>
    </row>
    <row r="2455" spans="2:5" x14ac:dyDescent="0.25">
      <c r="B2455" s="3"/>
      <c r="C2455" s="3"/>
      <c r="D2455" s="3"/>
      <c r="E2455" s="5"/>
    </row>
    <row r="2456" spans="2:5" x14ac:dyDescent="0.25">
      <c r="B2456" s="3"/>
      <c r="C2456" s="3"/>
      <c r="D2456" s="3"/>
      <c r="E2456" s="5"/>
    </row>
    <row r="2457" spans="2:5" x14ac:dyDescent="0.25">
      <c r="B2457" s="3"/>
      <c r="C2457" s="3"/>
      <c r="D2457" s="3"/>
      <c r="E2457" s="5"/>
    </row>
    <row r="2458" spans="2:5" x14ac:dyDescent="0.25">
      <c r="B2458" s="3"/>
      <c r="C2458" s="3"/>
      <c r="D2458" s="3"/>
      <c r="E2458" s="5"/>
    </row>
    <row r="2459" spans="2:5" x14ac:dyDescent="0.25">
      <c r="B2459" s="3"/>
      <c r="C2459" s="3"/>
      <c r="D2459" s="3"/>
      <c r="E2459" s="5"/>
    </row>
    <row r="2460" spans="2:5" x14ac:dyDescent="0.25">
      <c r="B2460" s="3"/>
      <c r="C2460" s="3"/>
      <c r="D2460" s="3"/>
      <c r="E2460" s="5"/>
    </row>
    <row r="2461" spans="2:5" x14ac:dyDescent="0.25">
      <c r="B2461" s="3"/>
      <c r="C2461" s="3"/>
      <c r="D2461" s="3"/>
      <c r="E2461" s="5"/>
    </row>
    <row r="2462" spans="2:5" x14ac:dyDescent="0.25">
      <c r="B2462" s="3"/>
      <c r="C2462" s="3"/>
      <c r="D2462" s="3"/>
      <c r="E2462" s="5"/>
    </row>
    <row r="2463" spans="2:5" x14ac:dyDescent="0.25">
      <c r="B2463" s="3"/>
      <c r="C2463" s="3"/>
      <c r="D2463" s="3"/>
      <c r="E2463" s="5"/>
    </row>
    <row r="2464" spans="2:5" x14ac:dyDescent="0.25">
      <c r="B2464" s="3"/>
      <c r="C2464" s="3"/>
      <c r="D2464" s="3"/>
      <c r="E2464" s="5"/>
    </row>
    <row r="2465" spans="2:5" x14ac:dyDescent="0.25">
      <c r="B2465" s="3"/>
      <c r="C2465" s="3"/>
      <c r="D2465" s="3"/>
      <c r="E2465" s="5"/>
    </row>
    <row r="2466" spans="2:5" x14ac:dyDescent="0.25">
      <c r="B2466" s="3"/>
      <c r="C2466" s="3"/>
      <c r="D2466" s="3"/>
      <c r="E2466" s="5"/>
    </row>
    <row r="2467" spans="2:5" x14ac:dyDescent="0.25">
      <c r="B2467" s="3"/>
      <c r="C2467" s="3"/>
      <c r="D2467" s="3"/>
      <c r="E2467" s="5"/>
    </row>
    <row r="2468" spans="2:5" x14ac:dyDescent="0.25">
      <c r="B2468" s="3"/>
      <c r="C2468" s="3"/>
      <c r="D2468" s="3"/>
      <c r="E2468" s="5"/>
    </row>
    <row r="2469" spans="2:5" x14ac:dyDescent="0.25">
      <c r="B2469" s="3"/>
      <c r="C2469" s="3"/>
      <c r="D2469" s="3"/>
      <c r="E2469" s="5"/>
    </row>
    <row r="2470" spans="2:5" x14ac:dyDescent="0.25">
      <c r="B2470" s="3"/>
      <c r="C2470" s="3"/>
      <c r="D2470" s="3"/>
      <c r="E2470" s="5"/>
    </row>
    <row r="2471" spans="2:5" x14ac:dyDescent="0.25">
      <c r="B2471" s="3"/>
      <c r="C2471" s="3"/>
      <c r="D2471" s="3"/>
      <c r="E2471" s="5"/>
    </row>
    <row r="2472" spans="2:5" x14ac:dyDescent="0.25">
      <c r="B2472" s="3"/>
      <c r="C2472" s="3"/>
      <c r="D2472" s="3"/>
      <c r="E2472" s="5"/>
    </row>
    <row r="2473" spans="2:5" x14ac:dyDescent="0.25">
      <c r="B2473" s="3"/>
      <c r="C2473" s="3"/>
      <c r="D2473" s="3"/>
      <c r="E2473" s="5"/>
    </row>
    <row r="2474" spans="2:5" x14ac:dyDescent="0.25">
      <c r="B2474" s="3"/>
      <c r="C2474" s="3"/>
      <c r="D2474" s="3"/>
      <c r="E2474" s="5"/>
    </row>
    <row r="2475" spans="2:5" x14ac:dyDescent="0.25">
      <c r="B2475" s="3"/>
      <c r="C2475" s="3"/>
      <c r="D2475" s="3"/>
      <c r="E2475" s="5"/>
    </row>
    <row r="2476" spans="2:5" x14ac:dyDescent="0.25">
      <c r="B2476" s="3"/>
      <c r="C2476" s="3"/>
      <c r="D2476" s="3"/>
      <c r="E2476" s="5"/>
    </row>
    <row r="2477" spans="2:5" x14ac:dyDescent="0.25">
      <c r="B2477" s="3"/>
      <c r="C2477" s="3"/>
      <c r="D2477" s="3"/>
      <c r="E2477" s="5"/>
    </row>
    <row r="2478" spans="2:5" x14ac:dyDescent="0.25">
      <c r="B2478" s="3"/>
      <c r="C2478" s="3"/>
      <c r="D2478" s="3"/>
      <c r="E2478" s="5"/>
    </row>
    <row r="2479" spans="2:5" x14ac:dyDescent="0.25">
      <c r="B2479" s="3"/>
      <c r="C2479" s="3"/>
      <c r="D2479" s="3"/>
      <c r="E2479" s="5"/>
    </row>
    <row r="2480" spans="2:5" x14ac:dyDescent="0.25">
      <c r="B2480" s="3"/>
      <c r="C2480" s="3"/>
      <c r="D2480" s="3"/>
      <c r="E2480" s="5"/>
    </row>
    <row r="2481" spans="2:5" x14ac:dyDescent="0.25">
      <c r="B2481" s="3"/>
      <c r="C2481" s="3"/>
      <c r="D2481" s="3"/>
      <c r="E2481" s="5"/>
    </row>
    <row r="2482" spans="2:5" x14ac:dyDescent="0.25">
      <c r="B2482" s="3"/>
      <c r="C2482" s="3"/>
      <c r="D2482" s="3"/>
      <c r="E2482" s="5"/>
    </row>
    <row r="2483" spans="2:5" x14ac:dyDescent="0.25">
      <c r="B2483" s="3"/>
      <c r="C2483" s="3"/>
      <c r="D2483" s="3"/>
      <c r="E2483" s="5"/>
    </row>
    <row r="2484" spans="2:5" x14ac:dyDescent="0.25">
      <c r="B2484" s="3"/>
      <c r="C2484" s="3"/>
      <c r="D2484" s="3"/>
      <c r="E2484" s="5"/>
    </row>
    <row r="2485" spans="2:5" x14ac:dyDescent="0.25">
      <c r="B2485" s="3"/>
      <c r="C2485" s="3"/>
      <c r="D2485" s="3"/>
      <c r="E2485" s="5"/>
    </row>
    <row r="2486" spans="2:5" x14ac:dyDescent="0.25">
      <c r="B2486" s="3"/>
      <c r="C2486" s="3"/>
      <c r="D2486" s="3"/>
      <c r="E2486" s="5"/>
    </row>
    <row r="2487" spans="2:5" x14ac:dyDescent="0.25">
      <c r="B2487" s="3"/>
      <c r="C2487" s="3"/>
      <c r="D2487" s="3"/>
      <c r="E2487" s="5"/>
    </row>
    <row r="2488" spans="2:5" x14ac:dyDescent="0.25">
      <c r="B2488" s="3"/>
      <c r="C2488" s="3"/>
      <c r="D2488" s="3"/>
      <c r="E2488" s="5"/>
    </row>
    <row r="2489" spans="2:5" x14ac:dyDescent="0.25">
      <c r="B2489" s="3"/>
      <c r="C2489" s="3"/>
      <c r="D2489" s="3"/>
      <c r="E2489" s="5"/>
    </row>
    <row r="2490" spans="2:5" x14ac:dyDescent="0.25">
      <c r="B2490" s="3"/>
      <c r="C2490" s="3"/>
      <c r="D2490" s="3"/>
      <c r="E2490" s="5"/>
    </row>
    <row r="2491" spans="2:5" x14ac:dyDescent="0.25">
      <c r="B2491" s="3"/>
      <c r="C2491" s="3"/>
      <c r="D2491" s="3"/>
      <c r="E2491" s="5"/>
    </row>
    <row r="2492" spans="2:5" x14ac:dyDescent="0.25">
      <c r="B2492" s="3"/>
      <c r="C2492" s="3"/>
      <c r="D2492" s="3"/>
      <c r="E2492" s="5"/>
    </row>
    <row r="2493" spans="2:5" x14ac:dyDescent="0.25">
      <c r="B2493" s="3"/>
      <c r="C2493" s="3"/>
      <c r="D2493" s="3"/>
      <c r="E2493" s="5"/>
    </row>
    <row r="2494" spans="2:5" x14ac:dyDescent="0.25">
      <c r="B2494" s="3"/>
      <c r="C2494" s="3"/>
      <c r="D2494" s="3"/>
      <c r="E2494" s="5"/>
    </row>
    <row r="2495" spans="2:5" x14ac:dyDescent="0.25">
      <c r="B2495" s="3"/>
      <c r="C2495" s="3"/>
      <c r="D2495" s="3"/>
      <c r="E2495" s="5"/>
    </row>
    <row r="2496" spans="2:5" x14ac:dyDescent="0.25">
      <c r="B2496" s="3"/>
      <c r="C2496" s="3"/>
      <c r="D2496" s="3"/>
      <c r="E2496" s="5"/>
    </row>
    <row r="2497" spans="2:5" x14ac:dyDescent="0.25">
      <c r="B2497" s="3"/>
      <c r="C2497" s="3"/>
      <c r="D2497" s="3"/>
      <c r="E2497" s="5"/>
    </row>
    <row r="2498" spans="2:5" x14ac:dyDescent="0.25">
      <c r="B2498" s="3"/>
      <c r="C2498" s="3"/>
      <c r="D2498" s="3"/>
      <c r="E2498" s="5"/>
    </row>
    <row r="2499" spans="2:5" x14ac:dyDescent="0.25">
      <c r="B2499" s="3"/>
      <c r="C2499" s="3"/>
      <c r="D2499" s="3"/>
      <c r="E2499" s="5"/>
    </row>
    <row r="2500" spans="2:5" x14ac:dyDescent="0.25">
      <c r="B2500" s="3"/>
      <c r="C2500" s="3"/>
      <c r="D2500" s="3"/>
      <c r="E2500" s="5"/>
    </row>
    <row r="2501" spans="2:5" x14ac:dyDescent="0.25">
      <c r="B2501" s="3"/>
      <c r="C2501" s="3"/>
      <c r="D2501" s="3"/>
      <c r="E2501" s="5"/>
    </row>
    <row r="2502" spans="2:5" x14ac:dyDescent="0.25">
      <c r="B2502" s="3"/>
      <c r="C2502" s="3"/>
      <c r="D2502" s="3"/>
      <c r="E2502" s="5"/>
    </row>
    <row r="2503" spans="2:5" x14ac:dyDescent="0.25">
      <c r="B2503" s="3"/>
      <c r="C2503" s="3"/>
      <c r="D2503" s="3"/>
      <c r="E2503" s="5"/>
    </row>
    <row r="2504" spans="2:5" x14ac:dyDescent="0.25">
      <c r="B2504" s="3"/>
      <c r="C2504" s="3"/>
      <c r="D2504" s="3"/>
      <c r="E2504" s="5"/>
    </row>
    <row r="2505" spans="2:5" x14ac:dyDescent="0.25">
      <c r="B2505" s="3"/>
      <c r="C2505" s="3"/>
      <c r="D2505" s="3"/>
      <c r="E2505" s="5"/>
    </row>
    <row r="2506" spans="2:5" x14ac:dyDescent="0.25">
      <c r="B2506" s="3"/>
      <c r="C2506" s="3"/>
      <c r="D2506" s="3"/>
      <c r="E2506" s="5"/>
    </row>
    <row r="2507" spans="2:5" x14ac:dyDescent="0.25">
      <c r="B2507" s="3"/>
      <c r="C2507" s="3"/>
      <c r="D2507" s="3"/>
      <c r="E2507" s="5"/>
    </row>
    <row r="2508" spans="2:5" x14ac:dyDescent="0.25">
      <c r="B2508" s="3"/>
      <c r="C2508" s="3"/>
      <c r="D2508" s="3"/>
      <c r="E2508" s="5"/>
    </row>
    <row r="2509" spans="2:5" x14ac:dyDescent="0.25">
      <c r="B2509" s="3"/>
      <c r="C2509" s="3"/>
      <c r="D2509" s="3"/>
      <c r="E2509" s="5"/>
    </row>
    <row r="2510" spans="2:5" x14ac:dyDescent="0.25">
      <c r="B2510" s="3"/>
      <c r="C2510" s="3"/>
      <c r="D2510" s="3"/>
      <c r="E2510" s="5"/>
    </row>
    <row r="2511" spans="2:5" x14ac:dyDescent="0.25">
      <c r="B2511" s="3"/>
      <c r="C2511" s="3"/>
      <c r="D2511" s="3"/>
      <c r="E2511" s="5"/>
    </row>
    <row r="2512" spans="2:5" x14ac:dyDescent="0.25">
      <c r="B2512" s="3"/>
      <c r="C2512" s="3"/>
      <c r="D2512" s="3"/>
      <c r="E2512" s="5"/>
    </row>
    <row r="2513" spans="2:5" x14ac:dyDescent="0.25">
      <c r="B2513" s="3"/>
      <c r="C2513" s="3"/>
      <c r="D2513" s="3"/>
      <c r="E2513" s="5"/>
    </row>
    <row r="2514" spans="2:5" x14ac:dyDescent="0.25">
      <c r="B2514" s="3"/>
      <c r="C2514" s="3"/>
      <c r="D2514" s="3"/>
      <c r="E2514" s="5"/>
    </row>
    <row r="2515" spans="2:5" x14ac:dyDescent="0.25">
      <c r="B2515" s="3"/>
      <c r="C2515" s="3"/>
      <c r="D2515" s="3"/>
      <c r="E2515" s="5"/>
    </row>
    <row r="2516" spans="2:5" x14ac:dyDescent="0.25">
      <c r="B2516" s="3"/>
      <c r="C2516" s="3"/>
      <c r="D2516" s="3"/>
      <c r="E2516" s="5"/>
    </row>
    <row r="2517" spans="2:5" x14ac:dyDescent="0.25">
      <c r="B2517" s="3"/>
      <c r="C2517" s="3"/>
      <c r="D2517" s="3"/>
      <c r="E2517" s="5"/>
    </row>
    <row r="2518" spans="2:5" x14ac:dyDescent="0.25">
      <c r="B2518" s="3"/>
      <c r="C2518" s="3"/>
      <c r="D2518" s="3"/>
      <c r="E2518" s="5"/>
    </row>
    <row r="2519" spans="2:5" x14ac:dyDescent="0.25">
      <c r="B2519" s="3"/>
      <c r="C2519" s="3"/>
      <c r="D2519" s="3"/>
      <c r="E2519" s="5"/>
    </row>
    <row r="2520" spans="2:5" x14ac:dyDescent="0.25">
      <c r="B2520" s="3"/>
      <c r="C2520" s="3"/>
      <c r="D2520" s="3"/>
      <c r="E2520" s="5"/>
    </row>
    <row r="2521" spans="2:5" x14ac:dyDescent="0.25">
      <c r="B2521" s="3"/>
      <c r="C2521" s="3"/>
      <c r="D2521" s="3"/>
      <c r="E2521" s="5"/>
    </row>
    <row r="2522" spans="2:5" x14ac:dyDescent="0.25">
      <c r="B2522" s="3"/>
      <c r="C2522" s="3"/>
      <c r="D2522" s="3"/>
      <c r="E2522" s="5"/>
    </row>
    <row r="2523" spans="2:5" x14ac:dyDescent="0.25">
      <c r="B2523" s="3"/>
      <c r="C2523" s="3"/>
      <c r="D2523" s="3"/>
      <c r="E2523" s="5"/>
    </row>
    <row r="2524" spans="2:5" x14ac:dyDescent="0.25">
      <c r="B2524" s="3"/>
      <c r="C2524" s="3"/>
      <c r="D2524" s="3"/>
      <c r="E2524" s="5"/>
    </row>
    <row r="2525" spans="2:5" x14ac:dyDescent="0.25">
      <c r="B2525" s="3"/>
      <c r="C2525" s="3"/>
      <c r="D2525" s="3"/>
      <c r="E2525" s="5"/>
    </row>
    <row r="2526" spans="2:5" x14ac:dyDescent="0.25">
      <c r="B2526" s="3"/>
      <c r="C2526" s="3"/>
      <c r="D2526" s="3"/>
      <c r="E2526" s="5"/>
    </row>
    <row r="2527" spans="2:5" x14ac:dyDescent="0.25">
      <c r="B2527" s="3"/>
      <c r="C2527" s="3"/>
      <c r="D2527" s="3"/>
      <c r="E2527" s="5"/>
    </row>
    <row r="2528" spans="2:5" x14ac:dyDescent="0.25">
      <c r="B2528" s="3"/>
      <c r="C2528" s="3"/>
      <c r="D2528" s="3"/>
      <c r="E2528" s="5"/>
    </row>
    <row r="2529" spans="2:5" x14ac:dyDescent="0.25">
      <c r="B2529" s="3"/>
      <c r="C2529" s="3"/>
      <c r="D2529" s="3"/>
      <c r="E2529" s="5"/>
    </row>
    <row r="2530" spans="2:5" x14ac:dyDescent="0.25">
      <c r="B2530" s="3"/>
      <c r="C2530" s="3"/>
      <c r="D2530" s="3"/>
      <c r="E2530" s="5"/>
    </row>
    <row r="2531" spans="2:5" x14ac:dyDescent="0.25">
      <c r="B2531" s="3"/>
      <c r="C2531" s="3"/>
      <c r="D2531" s="3"/>
      <c r="E2531" s="5"/>
    </row>
    <row r="2532" spans="2:5" x14ac:dyDescent="0.25">
      <c r="B2532" s="3"/>
      <c r="C2532" s="3"/>
      <c r="D2532" s="3"/>
      <c r="E2532" s="5"/>
    </row>
    <row r="2533" spans="2:5" x14ac:dyDescent="0.25">
      <c r="B2533" s="3"/>
      <c r="C2533" s="3"/>
      <c r="D2533" s="3"/>
      <c r="E2533" s="5"/>
    </row>
    <row r="2534" spans="2:5" x14ac:dyDescent="0.25">
      <c r="B2534" s="3"/>
      <c r="C2534" s="3"/>
      <c r="D2534" s="3"/>
      <c r="E2534" s="5"/>
    </row>
    <row r="2535" spans="2:5" x14ac:dyDescent="0.25">
      <c r="B2535" s="3"/>
      <c r="C2535" s="3"/>
      <c r="D2535" s="3"/>
      <c r="E2535" s="5"/>
    </row>
    <row r="2536" spans="2:5" x14ac:dyDescent="0.25">
      <c r="B2536" s="3"/>
      <c r="C2536" s="3"/>
      <c r="D2536" s="3"/>
      <c r="E2536" s="5"/>
    </row>
    <row r="2537" spans="2:5" x14ac:dyDescent="0.25">
      <c r="B2537" s="3"/>
      <c r="C2537" s="3"/>
      <c r="D2537" s="3"/>
      <c r="E2537" s="5"/>
    </row>
    <row r="2538" spans="2:5" x14ac:dyDescent="0.25">
      <c r="B2538" s="3"/>
      <c r="C2538" s="3"/>
      <c r="D2538" s="3"/>
      <c r="E2538" s="5"/>
    </row>
    <row r="2539" spans="2:5" x14ac:dyDescent="0.25">
      <c r="B2539" s="3"/>
      <c r="C2539" s="3"/>
      <c r="D2539" s="3"/>
      <c r="E2539" s="5"/>
    </row>
    <row r="2540" spans="2:5" x14ac:dyDescent="0.25">
      <c r="B2540" s="3"/>
      <c r="C2540" s="3"/>
      <c r="D2540" s="3"/>
      <c r="E2540" s="5"/>
    </row>
    <row r="2541" spans="2:5" x14ac:dyDescent="0.25">
      <c r="B2541" s="3"/>
      <c r="C2541" s="3"/>
      <c r="D2541" s="3"/>
      <c r="E2541" s="5"/>
    </row>
    <row r="2542" spans="2:5" x14ac:dyDescent="0.25">
      <c r="B2542" s="3"/>
      <c r="C2542" s="3"/>
      <c r="D2542" s="3"/>
      <c r="E2542" s="5"/>
    </row>
    <row r="2543" spans="2:5" x14ac:dyDescent="0.25">
      <c r="B2543" s="3"/>
      <c r="C2543" s="3"/>
      <c r="D2543" s="3"/>
      <c r="E2543" s="5"/>
    </row>
    <row r="2544" spans="2:5" x14ac:dyDescent="0.25">
      <c r="B2544" s="3"/>
      <c r="C2544" s="3"/>
      <c r="D2544" s="3"/>
      <c r="E2544" s="5"/>
    </row>
    <row r="2545" spans="2:5" x14ac:dyDescent="0.25">
      <c r="B2545" s="3"/>
      <c r="C2545" s="3"/>
      <c r="D2545" s="3"/>
      <c r="E2545" s="5"/>
    </row>
    <row r="2546" spans="2:5" x14ac:dyDescent="0.25">
      <c r="B2546" s="3"/>
      <c r="C2546" s="3"/>
      <c r="D2546" s="3"/>
      <c r="E2546" s="5"/>
    </row>
    <row r="2547" spans="2:5" x14ac:dyDescent="0.25">
      <c r="B2547" s="3"/>
      <c r="C2547" s="3"/>
      <c r="D2547" s="3"/>
      <c r="E2547" s="5"/>
    </row>
    <row r="2548" spans="2:5" x14ac:dyDescent="0.25">
      <c r="B2548" s="3"/>
      <c r="C2548" s="3"/>
      <c r="D2548" s="3"/>
      <c r="E2548" s="5"/>
    </row>
    <row r="2549" spans="2:5" x14ac:dyDescent="0.25">
      <c r="B2549" s="3"/>
      <c r="C2549" s="3"/>
      <c r="D2549" s="3"/>
      <c r="E2549" s="5"/>
    </row>
    <row r="2550" spans="2:5" x14ac:dyDescent="0.25">
      <c r="B2550" s="3"/>
      <c r="C2550" s="3"/>
      <c r="D2550" s="3"/>
      <c r="E2550" s="5"/>
    </row>
    <row r="2551" spans="2:5" x14ac:dyDescent="0.25">
      <c r="B2551" s="3"/>
      <c r="C2551" s="3"/>
      <c r="D2551" s="3"/>
      <c r="E2551" s="5"/>
    </row>
    <row r="2552" spans="2:5" x14ac:dyDescent="0.25">
      <c r="B2552" s="3"/>
      <c r="C2552" s="3"/>
      <c r="D2552" s="3"/>
      <c r="E2552" s="5"/>
    </row>
    <row r="2553" spans="2:5" x14ac:dyDescent="0.25">
      <c r="B2553" s="3"/>
      <c r="C2553" s="3"/>
      <c r="D2553" s="3"/>
      <c r="E2553" s="5"/>
    </row>
    <row r="2554" spans="2:5" x14ac:dyDescent="0.25">
      <c r="B2554" s="3"/>
      <c r="C2554" s="3"/>
      <c r="D2554" s="3"/>
      <c r="E2554" s="5"/>
    </row>
    <row r="2555" spans="2:5" x14ac:dyDescent="0.25">
      <c r="B2555" s="3"/>
      <c r="C2555" s="3"/>
      <c r="D2555" s="3"/>
      <c r="E2555" s="5"/>
    </row>
    <row r="2556" spans="2:5" x14ac:dyDescent="0.25">
      <c r="B2556" s="3"/>
      <c r="C2556" s="3"/>
      <c r="D2556" s="3"/>
      <c r="E2556" s="5"/>
    </row>
    <row r="2557" spans="2:5" x14ac:dyDescent="0.25">
      <c r="B2557" s="3"/>
      <c r="C2557" s="3"/>
      <c r="D2557" s="3"/>
      <c r="E2557" s="5"/>
    </row>
    <row r="2558" spans="2:5" x14ac:dyDescent="0.25">
      <c r="B2558" s="3"/>
      <c r="C2558" s="3"/>
      <c r="D2558" s="3"/>
      <c r="E2558" s="5"/>
    </row>
    <row r="2559" spans="2:5" x14ac:dyDescent="0.25">
      <c r="B2559" s="3"/>
      <c r="C2559" s="3"/>
      <c r="D2559" s="3"/>
      <c r="E2559" s="5"/>
    </row>
    <row r="2560" spans="2:5" x14ac:dyDescent="0.25">
      <c r="B2560" s="3"/>
      <c r="C2560" s="3"/>
      <c r="D2560" s="3"/>
      <c r="E2560" s="5"/>
    </row>
    <row r="2561" spans="2:5" x14ac:dyDescent="0.25">
      <c r="B2561" s="3"/>
      <c r="C2561" s="3"/>
      <c r="D2561" s="3"/>
      <c r="E2561" s="5"/>
    </row>
    <row r="2562" spans="2:5" x14ac:dyDescent="0.25">
      <c r="B2562" s="3"/>
      <c r="C2562" s="3"/>
      <c r="D2562" s="3"/>
      <c r="E2562" s="5"/>
    </row>
    <row r="2563" spans="2:5" x14ac:dyDescent="0.25">
      <c r="B2563" s="3"/>
      <c r="C2563" s="3"/>
      <c r="D2563" s="3"/>
      <c r="E2563" s="5"/>
    </row>
    <row r="2564" spans="2:5" x14ac:dyDescent="0.25">
      <c r="B2564" s="3"/>
      <c r="C2564" s="3"/>
      <c r="D2564" s="3"/>
      <c r="E2564" s="5"/>
    </row>
    <row r="2565" spans="2:5" x14ac:dyDescent="0.25">
      <c r="B2565" s="3"/>
      <c r="C2565" s="3"/>
      <c r="D2565" s="3"/>
      <c r="E2565" s="5"/>
    </row>
    <row r="2566" spans="2:5" x14ac:dyDescent="0.25">
      <c r="B2566" s="3"/>
      <c r="C2566" s="3"/>
      <c r="D2566" s="3"/>
      <c r="E2566" s="5"/>
    </row>
    <row r="2567" spans="2:5" x14ac:dyDescent="0.25">
      <c r="B2567" s="3"/>
      <c r="C2567" s="3"/>
      <c r="D2567" s="3"/>
      <c r="E2567" s="5"/>
    </row>
    <row r="2568" spans="2:5" x14ac:dyDescent="0.25">
      <c r="B2568" s="3"/>
      <c r="C2568" s="3"/>
      <c r="D2568" s="3"/>
      <c r="E2568" s="5"/>
    </row>
    <row r="2569" spans="2:5" x14ac:dyDescent="0.25">
      <c r="B2569" s="3"/>
      <c r="C2569" s="3"/>
      <c r="D2569" s="3"/>
      <c r="E2569" s="5"/>
    </row>
    <row r="2570" spans="2:5" x14ac:dyDescent="0.25">
      <c r="B2570" s="3"/>
      <c r="C2570" s="3"/>
      <c r="D2570" s="3"/>
      <c r="E2570" s="5"/>
    </row>
    <row r="2571" spans="2:5" x14ac:dyDescent="0.25">
      <c r="B2571" s="3"/>
      <c r="C2571" s="3"/>
      <c r="D2571" s="3"/>
      <c r="E2571" s="5"/>
    </row>
    <row r="2572" spans="2:5" x14ac:dyDescent="0.25">
      <c r="B2572" s="3"/>
      <c r="C2572" s="3"/>
      <c r="D2572" s="3"/>
      <c r="E2572" s="5"/>
    </row>
    <row r="2573" spans="2:5" x14ac:dyDescent="0.25">
      <c r="B2573" s="3"/>
      <c r="C2573" s="3"/>
      <c r="D2573" s="3"/>
      <c r="E2573" s="5"/>
    </row>
    <row r="2574" spans="2:5" x14ac:dyDescent="0.25">
      <c r="B2574" s="3"/>
      <c r="C2574" s="3"/>
      <c r="D2574" s="3"/>
      <c r="E2574" s="5"/>
    </row>
    <row r="2575" spans="2:5" x14ac:dyDescent="0.25">
      <c r="B2575" s="3"/>
      <c r="C2575" s="3"/>
      <c r="D2575" s="3"/>
      <c r="E2575" s="5"/>
    </row>
    <row r="2576" spans="2:5" x14ac:dyDescent="0.25">
      <c r="B2576" s="3"/>
      <c r="C2576" s="3"/>
      <c r="D2576" s="3"/>
      <c r="E2576" s="5"/>
    </row>
    <row r="2577" spans="2:5" x14ac:dyDescent="0.25">
      <c r="B2577" s="3"/>
      <c r="C2577" s="3"/>
      <c r="D2577" s="3"/>
      <c r="E2577" s="5"/>
    </row>
    <row r="2578" spans="2:5" x14ac:dyDescent="0.25">
      <c r="B2578" s="3"/>
      <c r="C2578" s="3"/>
      <c r="D2578" s="3"/>
      <c r="E2578" s="5"/>
    </row>
    <row r="2579" spans="2:5" x14ac:dyDescent="0.25">
      <c r="B2579" s="3"/>
      <c r="C2579" s="3"/>
      <c r="D2579" s="3"/>
      <c r="E2579" s="5"/>
    </row>
    <row r="2580" spans="2:5" x14ac:dyDescent="0.25">
      <c r="B2580" s="3"/>
      <c r="C2580" s="3"/>
      <c r="D2580" s="3"/>
      <c r="E2580" s="5"/>
    </row>
    <row r="2581" spans="2:5" x14ac:dyDescent="0.25">
      <c r="B2581" s="3"/>
      <c r="C2581" s="3"/>
      <c r="D2581" s="3"/>
      <c r="E2581" s="5"/>
    </row>
    <row r="2582" spans="2:5" x14ac:dyDescent="0.25">
      <c r="B2582" s="3"/>
      <c r="C2582" s="3"/>
      <c r="D2582" s="3"/>
      <c r="E2582" s="5"/>
    </row>
    <row r="2583" spans="2:5" x14ac:dyDescent="0.25">
      <c r="B2583" s="3"/>
      <c r="C2583" s="3"/>
      <c r="D2583" s="3"/>
      <c r="E2583" s="5"/>
    </row>
    <row r="2584" spans="2:5" x14ac:dyDescent="0.25">
      <c r="B2584" s="3"/>
      <c r="C2584" s="3"/>
      <c r="D2584" s="3"/>
      <c r="E2584" s="5"/>
    </row>
    <row r="2585" spans="2:5" x14ac:dyDescent="0.25">
      <c r="B2585" s="3"/>
      <c r="C2585" s="3"/>
      <c r="D2585" s="3"/>
      <c r="E2585" s="5"/>
    </row>
    <row r="2586" spans="2:5" x14ac:dyDescent="0.25">
      <c r="B2586" s="3"/>
      <c r="C2586" s="3"/>
      <c r="D2586" s="3"/>
      <c r="E2586" s="5"/>
    </row>
    <row r="2587" spans="2:5" x14ac:dyDescent="0.25">
      <c r="B2587" s="3"/>
      <c r="C2587" s="3"/>
      <c r="D2587" s="3"/>
      <c r="E2587" s="5"/>
    </row>
    <row r="2588" spans="2:5" x14ac:dyDescent="0.25">
      <c r="B2588" s="3"/>
      <c r="C2588" s="3"/>
      <c r="D2588" s="3"/>
      <c r="E2588" s="5"/>
    </row>
    <row r="2589" spans="2:5" x14ac:dyDescent="0.25">
      <c r="B2589" s="3"/>
      <c r="C2589" s="3"/>
      <c r="D2589" s="3"/>
      <c r="E2589" s="5"/>
    </row>
    <row r="2590" spans="2:5" x14ac:dyDescent="0.25">
      <c r="B2590" s="3"/>
      <c r="C2590" s="3"/>
      <c r="D2590" s="3"/>
      <c r="E2590" s="5"/>
    </row>
    <row r="2591" spans="2:5" x14ac:dyDescent="0.25">
      <c r="B2591" s="3"/>
      <c r="C2591" s="3"/>
      <c r="D2591" s="3"/>
      <c r="E2591" s="5"/>
    </row>
    <row r="2592" spans="2:5" x14ac:dyDescent="0.25">
      <c r="B2592" s="3"/>
      <c r="C2592" s="3"/>
      <c r="D2592" s="3"/>
      <c r="E2592" s="5"/>
    </row>
    <row r="2593" spans="2:5" x14ac:dyDescent="0.25">
      <c r="B2593" s="3"/>
      <c r="C2593" s="3"/>
      <c r="D2593" s="3"/>
      <c r="E2593" s="5"/>
    </row>
    <row r="2594" spans="2:5" x14ac:dyDescent="0.25">
      <c r="B2594" s="3"/>
      <c r="C2594" s="3"/>
      <c r="D2594" s="3"/>
      <c r="E2594" s="5"/>
    </row>
    <row r="2595" spans="2:5" x14ac:dyDescent="0.25">
      <c r="B2595" s="3"/>
      <c r="C2595" s="3"/>
      <c r="D2595" s="3"/>
      <c r="E2595" s="5"/>
    </row>
    <row r="2596" spans="2:5" x14ac:dyDescent="0.25">
      <c r="B2596" s="3"/>
      <c r="C2596" s="3"/>
      <c r="D2596" s="3"/>
      <c r="E2596" s="5"/>
    </row>
    <row r="2597" spans="2:5" x14ac:dyDescent="0.25">
      <c r="B2597" s="3"/>
      <c r="C2597" s="3"/>
      <c r="D2597" s="3"/>
      <c r="E2597" s="5"/>
    </row>
    <row r="2598" spans="2:5" x14ac:dyDescent="0.25">
      <c r="B2598" s="3"/>
      <c r="C2598" s="3"/>
      <c r="D2598" s="3"/>
      <c r="E2598" s="5"/>
    </row>
    <row r="2599" spans="2:5" x14ac:dyDescent="0.25">
      <c r="B2599" s="3"/>
      <c r="C2599" s="3"/>
      <c r="D2599" s="3"/>
      <c r="E2599" s="5"/>
    </row>
    <row r="2600" spans="2:5" x14ac:dyDescent="0.25">
      <c r="B2600" s="3"/>
      <c r="C2600" s="3"/>
      <c r="D2600" s="3"/>
      <c r="E2600" s="5"/>
    </row>
    <row r="2601" spans="2:5" x14ac:dyDescent="0.25">
      <c r="B2601" s="3"/>
      <c r="C2601" s="3"/>
      <c r="D2601" s="3"/>
      <c r="E2601" s="5"/>
    </row>
    <row r="2602" spans="2:5" x14ac:dyDescent="0.25">
      <c r="B2602" s="3"/>
      <c r="C2602" s="3"/>
      <c r="D2602" s="3"/>
      <c r="E2602" s="5"/>
    </row>
    <row r="2603" spans="2:5" x14ac:dyDescent="0.25">
      <c r="B2603" s="3"/>
      <c r="C2603" s="3"/>
      <c r="D2603" s="3"/>
      <c r="E2603" s="5"/>
    </row>
    <row r="2604" spans="2:5" x14ac:dyDescent="0.25">
      <c r="B2604" s="3"/>
      <c r="C2604" s="3"/>
      <c r="D2604" s="3"/>
      <c r="E2604" s="5"/>
    </row>
    <row r="2605" spans="2:5" x14ac:dyDescent="0.25">
      <c r="B2605" s="3"/>
      <c r="C2605" s="3"/>
      <c r="D2605" s="3"/>
      <c r="E2605" s="5"/>
    </row>
    <row r="2606" spans="2:5" x14ac:dyDescent="0.25">
      <c r="B2606" s="3"/>
      <c r="C2606" s="3"/>
      <c r="D2606" s="3"/>
      <c r="E2606" s="5"/>
    </row>
    <row r="2607" spans="2:5" x14ac:dyDescent="0.25">
      <c r="B2607" s="3"/>
      <c r="C2607" s="3"/>
      <c r="D2607" s="3"/>
      <c r="E2607" s="5"/>
    </row>
    <row r="2608" spans="2:5" x14ac:dyDescent="0.25">
      <c r="B2608" s="3"/>
      <c r="C2608" s="3"/>
      <c r="D2608" s="3"/>
      <c r="E2608" s="5"/>
    </row>
    <row r="2609" spans="2:5" x14ac:dyDescent="0.25">
      <c r="B2609" s="3"/>
      <c r="C2609" s="3"/>
      <c r="D2609" s="3"/>
      <c r="E2609" s="5"/>
    </row>
    <row r="2610" spans="2:5" x14ac:dyDescent="0.25">
      <c r="B2610" s="3"/>
      <c r="C2610" s="3"/>
      <c r="D2610" s="3"/>
      <c r="E2610" s="5"/>
    </row>
    <row r="2611" spans="2:5" x14ac:dyDescent="0.25">
      <c r="B2611" s="3"/>
      <c r="C2611" s="3"/>
      <c r="D2611" s="3"/>
      <c r="E2611" s="5"/>
    </row>
    <row r="2612" spans="2:5" x14ac:dyDescent="0.25">
      <c r="B2612" s="3"/>
      <c r="C2612" s="3"/>
      <c r="D2612" s="3"/>
      <c r="E2612" s="5"/>
    </row>
    <row r="2613" spans="2:5" x14ac:dyDescent="0.25">
      <c r="B2613" s="3"/>
      <c r="C2613" s="3"/>
      <c r="D2613" s="3"/>
      <c r="E2613" s="5"/>
    </row>
    <row r="2614" spans="2:5" x14ac:dyDescent="0.25">
      <c r="B2614" s="3"/>
      <c r="C2614" s="3"/>
      <c r="D2614" s="3"/>
      <c r="E2614" s="5"/>
    </row>
    <row r="2615" spans="2:5" x14ac:dyDescent="0.25">
      <c r="B2615" s="3"/>
      <c r="C2615" s="3"/>
      <c r="D2615" s="3"/>
      <c r="E2615" s="5"/>
    </row>
    <row r="2616" spans="2:5" x14ac:dyDescent="0.25">
      <c r="B2616" s="3"/>
      <c r="C2616" s="3"/>
      <c r="D2616" s="3"/>
      <c r="E2616" s="5"/>
    </row>
    <row r="2617" spans="2:5" x14ac:dyDescent="0.25">
      <c r="B2617" s="3"/>
      <c r="C2617" s="3"/>
      <c r="D2617" s="3"/>
      <c r="E2617" s="5"/>
    </row>
    <row r="2618" spans="2:5" x14ac:dyDescent="0.25">
      <c r="B2618" s="3"/>
      <c r="C2618" s="3"/>
      <c r="D2618" s="3"/>
      <c r="E2618" s="5"/>
    </row>
    <row r="2619" spans="2:5" x14ac:dyDescent="0.25">
      <c r="B2619" s="3"/>
      <c r="C2619" s="3"/>
      <c r="D2619" s="3"/>
      <c r="E2619" s="5"/>
    </row>
    <row r="2620" spans="2:5" x14ac:dyDescent="0.25">
      <c r="B2620" s="3"/>
      <c r="C2620" s="3"/>
      <c r="D2620" s="3"/>
      <c r="E2620" s="5"/>
    </row>
    <row r="2621" spans="2:5" x14ac:dyDescent="0.25">
      <c r="B2621" s="3"/>
      <c r="C2621" s="3"/>
      <c r="D2621" s="3"/>
      <c r="E2621" s="5"/>
    </row>
    <row r="2622" spans="2:5" x14ac:dyDescent="0.25">
      <c r="B2622" s="3"/>
      <c r="C2622" s="3"/>
      <c r="D2622" s="3"/>
      <c r="E2622" s="5"/>
    </row>
    <row r="2623" spans="2:5" x14ac:dyDescent="0.25">
      <c r="B2623" s="3"/>
      <c r="C2623" s="3"/>
      <c r="D2623" s="3"/>
      <c r="E2623" s="5"/>
    </row>
    <row r="2624" spans="2:5" x14ac:dyDescent="0.25">
      <c r="B2624" s="3"/>
      <c r="C2624" s="3"/>
      <c r="D2624" s="3"/>
      <c r="E2624" s="5"/>
    </row>
    <row r="2625" spans="2:5" x14ac:dyDescent="0.25">
      <c r="B2625" s="3"/>
      <c r="C2625" s="3"/>
      <c r="D2625" s="3"/>
      <c r="E2625" s="5"/>
    </row>
    <row r="2626" spans="2:5" x14ac:dyDescent="0.25">
      <c r="B2626" s="3"/>
      <c r="C2626" s="3"/>
      <c r="D2626" s="3"/>
      <c r="E2626" s="5"/>
    </row>
    <row r="2627" spans="2:5" x14ac:dyDescent="0.25">
      <c r="B2627" s="3"/>
      <c r="C2627" s="3"/>
      <c r="D2627" s="3"/>
      <c r="E2627" s="5"/>
    </row>
    <row r="2628" spans="2:5" x14ac:dyDescent="0.25">
      <c r="B2628" s="3"/>
      <c r="C2628" s="3"/>
      <c r="D2628" s="3"/>
      <c r="E2628" s="5"/>
    </row>
    <row r="2629" spans="2:5" x14ac:dyDescent="0.25">
      <c r="B2629" s="3"/>
      <c r="C2629" s="3"/>
      <c r="D2629" s="3"/>
      <c r="E2629" s="5"/>
    </row>
    <row r="2630" spans="2:5" x14ac:dyDescent="0.25">
      <c r="B2630" s="3"/>
      <c r="C2630" s="3"/>
      <c r="D2630" s="3"/>
      <c r="E2630" s="5"/>
    </row>
    <row r="2631" spans="2:5" x14ac:dyDescent="0.25">
      <c r="B2631" s="3"/>
      <c r="C2631" s="3"/>
      <c r="D2631" s="3"/>
      <c r="E2631" s="5"/>
    </row>
    <row r="2632" spans="2:5" x14ac:dyDescent="0.25">
      <c r="B2632" s="3"/>
      <c r="C2632" s="3"/>
      <c r="D2632" s="3"/>
      <c r="E2632" s="5"/>
    </row>
    <row r="2633" spans="2:5" x14ac:dyDescent="0.25">
      <c r="B2633" s="3"/>
      <c r="C2633" s="3"/>
      <c r="D2633" s="3"/>
      <c r="E2633" s="5"/>
    </row>
    <row r="2634" spans="2:5" x14ac:dyDescent="0.25">
      <c r="B2634" s="3"/>
      <c r="C2634" s="3"/>
      <c r="D2634" s="3"/>
      <c r="E2634" s="5"/>
    </row>
    <row r="2635" spans="2:5" x14ac:dyDescent="0.25">
      <c r="B2635" s="3"/>
      <c r="C2635" s="3"/>
      <c r="D2635" s="3"/>
      <c r="E2635" s="5"/>
    </row>
    <row r="2636" spans="2:5" x14ac:dyDescent="0.25">
      <c r="B2636" s="3"/>
      <c r="C2636" s="3"/>
      <c r="D2636" s="3"/>
      <c r="E2636" s="5"/>
    </row>
    <row r="2637" spans="2:5" x14ac:dyDescent="0.25">
      <c r="B2637" s="3"/>
      <c r="C2637" s="3"/>
      <c r="D2637" s="3"/>
      <c r="E2637" s="5"/>
    </row>
    <row r="2638" spans="2:5" x14ac:dyDescent="0.25">
      <c r="B2638" s="3"/>
      <c r="C2638" s="3"/>
      <c r="D2638" s="3"/>
      <c r="E2638" s="5"/>
    </row>
    <row r="2639" spans="2:5" x14ac:dyDescent="0.25">
      <c r="B2639" s="3"/>
      <c r="C2639" s="3"/>
      <c r="D2639" s="3"/>
      <c r="E2639" s="5"/>
    </row>
    <row r="2640" spans="2:5" x14ac:dyDescent="0.25">
      <c r="B2640" s="3"/>
      <c r="C2640" s="3"/>
      <c r="D2640" s="3"/>
      <c r="E2640" s="5"/>
    </row>
    <row r="2641" spans="2:5" x14ac:dyDescent="0.25">
      <c r="B2641" s="3"/>
      <c r="C2641" s="3"/>
      <c r="D2641" s="3"/>
      <c r="E2641" s="5"/>
    </row>
    <row r="2642" spans="2:5" x14ac:dyDescent="0.25">
      <c r="B2642" s="3"/>
      <c r="C2642" s="3"/>
      <c r="D2642" s="3"/>
      <c r="E2642" s="5"/>
    </row>
    <row r="2643" spans="2:5" x14ac:dyDescent="0.25">
      <c r="B2643" s="3"/>
      <c r="C2643" s="3"/>
      <c r="D2643" s="3"/>
      <c r="E2643" s="5"/>
    </row>
    <row r="2644" spans="2:5" x14ac:dyDescent="0.25">
      <c r="B2644" s="3"/>
      <c r="C2644" s="3"/>
      <c r="D2644" s="3"/>
      <c r="E2644" s="5"/>
    </row>
    <row r="2645" spans="2:5" x14ac:dyDescent="0.25">
      <c r="B2645" s="3"/>
      <c r="C2645" s="3"/>
      <c r="D2645" s="3"/>
      <c r="E2645" s="5"/>
    </row>
    <row r="2646" spans="2:5" x14ac:dyDescent="0.25">
      <c r="B2646" s="3"/>
      <c r="C2646" s="3"/>
      <c r="D2646" s="3"/>
      <c r="E2646" s="5"/>
    </row>
    <row r="2647" spans="2:5" x14ac:dyDescent="0.25">
      <c r="B2647" s="3"/>
      <c r="C2647" s="3"/>
      <c r="D2647" s="3"/>
      <c r="E2647" s="5"/>
    </row>
    <row r="2648" spans="2:5" x14ac:dyDescent="0.25">
      <c r="B2648" s="3"/>
      <c r="C2648" s="3"/>
      <c r="D2648" s="3"/>
      <c r="E2648" s="5"/>
    </row>
    <row r="2649" spans="2:5" x14ac:dyDescent="0.25">
      <c r="B2649" s="3"/>
      <c r="C2649" s="3"/>
      <c r="D2649" s="3"/>
      <c r="E2649" s="5"/>
    </row>
    <row r="2650" spans="2:5" x14ac:dyDescent="0.25">
      <c r="B2650" s="3"/>
      <c r="C2650" s="3"/>
      <c r="D2650" s="3"/>
      <c r="E2650" s="5"/>
    </row>
    <row r="2651" spans="2:5" x14ac:dyDescent="0.25">
      <c r="B2651" s="3"/>
      <c r="C2651" s="3"/>
      <c r="D2651" s="3"/>
      <c r="E2651" s="5"/>
    </row>
    <row r="2652" spans="2:5" x14ac:dyDescent="0.25">
      <c r="B2652" s="3"/>
      <c r="C2652" s="3"/>
      <c r="D2652" s="3"/>
      <c r="E2652" s="5"/>
    </row>
    <row r="2653" spans="2:5" x14ac:dyDescent="0.25">
      <c r="B2653" s="3"/>
      <c r="C2653" s="3"/>
      <c r="D2653" s="3"/>
      <c r="E2653" s="5"/>
    </row>
    <row r="2654" spans="2:5" x14ac:dyDescent="0.25">
      <c r="B2654" s="3"/>
      <c r="C2654" s="3"/>
      <c r="D2654" s="3"/>
      <c r="E2654" s="5"/>
    </row>
    <row r="2655" spans="2:5" x14ac:dyDescent="0.25">
      <c r="B2655" s="3"/>
      <c r="C2655" s="3"/>
      <c r="D2655" s="3"/>
      <c r="E2655" s="5"/>
    </row>
    <row r="2656" spans="2:5" x14ac:dyDescent="0.25">
      <c r="B2656" s="3"/>
      <c r="C2656" s="3"/>
      <c r="D2656" s="3"/>
      <c r="E2656" s="5"/>
    </row>
    <row r="2657" spans="2:5" x14ac:dyDescent="0.25">
      <c r="B2657" s="3"/>
      <c r="C2657" s="3"/>
      <c r="D2657" s="3"/>
      <c r="E2657" s="5"/>
    </row>
    <row r="2658" spans="2:5" x14ac:dyDescent="0.25">
      <c r="B2658" s="3"/>
      <c r="C2658" s="3"/>
      <c r="D2658" s="3"/>
      <c r="E2658" s="5"/>
    </row>
    <row r="2659" spans="2:5" x14ac:dyDescent="0.25">
      <c r="B2659" s="3"/>
      <c r="C2659" s="3"/>
      <c r="D2659" s="3"/>
      <c r="E2659" s="5"/>
    </row>
    <row r="2660" spans="2:5" x14ac:dyDescent="0.25">
      <c r="B2660" s="3"/>
      <c r="C2660" s="3"/>
      <c r="D2660" s="3"/>
      <c r="E2660" s="5"/>
    </row>
    <row r="2661" spans="2:5" x14ac:dyDescent="0.25">
      <c r="B2661" s="3"/>
      <c r="C2661" s="3"/>
      <c r="D2661" s="3"/>
      <c r="E2661" s="5"/>
    </row>
    <row r="2662" spans="2:5" x14ac:dyDescent="0.25">
      <c r="B2662" s="3"/>
      <c r="C2662" s="3"/>
      <c r="D2662" s="3"/>
      <c r="E2662" s="5"/>
    </row>
    <row r="2663" spans="2:5" x14ac:dyDescent="0.25">
      <c r="B2663" s="3"/>
      <c r="C2663" s="3"/>
      <c r="D2663" s="3"/>
      <c r="E2663" s="5"/>
    </row>
    <row r="2664" spans="2:5" x14ac:dyDescent="0.25">
      <c r="B2664" s="3"/>
      <c r="C2664" s="3"/>
      <c r="D2664" s="3"/>
      <c r="E2664" s="5"/>
    </row>
    <row r="2665" spans="2:5" x14ac:dyDescent="0.25">
      <c r="B2665" s="3"/>
      <c r="C2665" s="3"/>
      <c r="D2665" s="3"/>
      <c r="E2665" s="5"/>
    </row>
    <row r="2666" spans="2:5" x14ac:dyDescent="0.25">
      <c r="B2666" s="3"/>
      <c r="C2666" s="3"/>
      <c r="D2666" s="3"/>
      <c r="E2666" s="5"/>
    </row>
    <row r="2667" spans="2:5" x14ac:dyDescent="0.25">
      <c r="B2667" s="3"/>
      <c r="C2667" s="3"/>
      <c r="D2667" s="3"/>
      <c r="E2667" s="5"/>
    </row>
    <row r="2668" spans="2:5" x14ac:dyDescent="0.25">
      <c r="B2668" s="3"/>
      <c r="C2668" s="3"/>
      <c r="D2668" s="3"/>
      <c r="E2668" s="5"/>
    </row>
    <row r="2669" spans="2:5" x14ac:dyDescent="0.25">
      <c r="B2669" s="3"/>
      <c r="C2669" s="3"/>
      <c r="D2669" s="3"/>
      <c r="E2669" s="5"/>
    </row>
    <row r="2670" spans="2:5" x14ac:dyDescent="0.25">
      <c r="B2670" s="3"/>
      <c r="C2670" s="3"/>
      <c r="D2670" s="3"/>
      <c r="E2670" s="5"/>
    </row>
    <row r="2671" spans="2:5" x14ac:dyDescent="0.25">
      <c r="B2671" s="3"/>
      <c r="C2671" s="3"/>
      <c r="D2671" s="3"/>
      <c r="E2671" s="5"/>
    </row>
    <row r="2672" spans="2:5" x14ac:dyDescent="0.25">
      <c r="B2672" s="3"/>
      <c r="C2672" s="3"/>
      <c r="D2672" s="3"/>
      <c r="E2672" s="5"/>
    </row>
    <row r="2673" spans="2:5" x14ac:dyDescent="0.25">
      <c r="B2673" s="3"/>
      <c r="C2673" s="3"/>
      <c r="D2673" s="3"/>
      <c r="E2673" s="5"/>
    </row>
    <row r="2674" spans="2:5" x14ac:dyDescent="0.25">
      <c r="B2674" s="3"/>
      <c r="C2674" s="3"/>
      <c r="D2674" s="3"/>
      <c r="E2674" s="5"/>
    </row>
    <row r="2675" spans="2:5" x14ac:dyDescent="0.25">
      <c r="B2675" s="3"/>
      <c r="C2675" s="3"/>
      <c r="D2675" s="3"/>
      <c r="E2675" s="5"/>
    </row>
    <row r="2676" spans="2:5" x14ac:dyDescent="0.25">
      <c r="B2676" s="3"/>
      <c r="C2676" s="3"/>
      <c r="D2676" s="3"/>
      <c r="E2676" s="5"/>
    </row>
    <row r="2677" spans="2:5" x14ac:dyDescent="0.25">
      <c r="B2677" s="3"/>
      <c r="C2677" s="3"/>
      <c r="D2677" s="3"/>
      <c r="E2677" s="5"/>
    </row>
    <row r="2678" spans="2:5" x14ac:dyDescent="0.25">
      <c r="B2678" s="3"/>
      <c r="C2678" s="3"/>
      <c r="D2678" s="3"/>
      <c r="E2678" s="5"/>
    </row>
    <row r="2679" spans="2:5" x14ac:dyDescent="0.25">
      <c r="B2679" s="3"/>
      <c r="C2679" s="3"/>
      <c r="D2679" s="3"/>
      <c r="E2679" s="5"/>
    </row>
    <row r="2680" spans="2:5" x14ac:dyDescent="0.25">
      <c r="B2680" s="3"/>
      <c r="C2680" s="3"/>
      <c r="D2680" s="3"/>
      <c r="E2680" s="5"/>
    </row>
    <row r="2681" spans="2:5" x14ac:dyDescent="0.25">
      <c r="B2681" s="3"/>
      <c r="C2681" s="3"/>
      <c r="D2681" s="3"/>
      <c r="E2681" s="5"/>
    </row>
    <row r="2682" spans="2:5" x14ac:dyDescent="0.25">
      <c r="B2682" s="3"/>
      <c r="C2682" s="3"/>
      <c r="D2682" s="3"/>
      <c r="E2682" s="5"/>
    </row>
    <row r="2683" spans="2:5" x14ac:dyDescent="0.25">
      <c r="B2683" s="3"/>
      <c r="C2683" s="3"/>
      <c r="D2683" s="3"/>
      <c r="E2683" s="5"/>
    </row>
    <row r="2684" spans="2:5" x14ac:dyDescent="0.25">
      <c r="B2684" s="3"/>
      <c r="C2684" s="3"/>
      <c r="D2684" s="3"/>
      <c r="E2684" s="5"/>
    </row>
    <row r="2685" spans="2:5" x14ac:dyDescent="0.25">
      <c r="B2685" s="3"/>
      <c r="C2685" s="3"/>
      <c r="D2685" s="3"/>
      <c r="E2685" s="5"/>
    </row>
    <row r="2686" spans="2:5" x14ac:dyDescent="0.25">
      <c r="B2686" s="3"/>
      <c r="C2686" s="3"/>
      <c r="D2686" s="3"/>
      <c r="E2686" s="5"/>
    </row>
    <row r="2687" spans="2:5" x14ac:dyDescent="0.25">
      <c r="B2687" s="3"/>
      <c r="C2687" s="3"/>
      <c r="D2687" s="3"/>
      <c r="E2687" s="5"/>
    </row>
    <row r="2688" spans="2:5" x14ac:dyDescent="0.25">
      <c r="B2688" s="3"/>
      <c r="C2688" s="3"/>
      <c r="D2688" s="3"/>
      <c r="E2688" s="5"/>
    </row>
    <row r="2689" spans="2:5" x14ac:dyDescent="0.25">
      <c r="B2689" s="3"/>
      <c r="C2689" s="3"/>
      <c r="D2689" s="3"/>
      <c r="E2689" s="5"/>
    </row>
    <row r="2690" spans="2:5" x14ac:dyDescent="0.25">
      <c r="B2690" s="3"/>
      <c r="C2690" s="3"/>
      <c r="D2690" s="3"/>
      <c r="E2690" s="5"/>
    </row>
    <row r="2691" spans="2:5" x14ac:dyDescent="0.25">
      <c r="B2691" s="3"/>
      <c r="C2691" s="3"/>
      <c r="D2691" s="3"/>
      <c r="E2691" s="5"/>
    </row>
    <row r="2692" spans="2:5" x14ac:dyDescent="0.25">
      <c r="B2692" s="3"/>
      <c r="C2692" s="3"/>
      <c r="D2692" s="3"/>
      <c r="E2692" s="5"/>
    </row>
    <row r="2693" spans="2:5" x14ac:dyDescent="0.25">
      <c r="B2693" s="3"/>
      <c r="C2693" s="3"/>
      <c r="D2693" s="3"/>
      <c r="E2693" s="5"/>
    </row>
    <row r="2694" spans="2:5" x14ac:dyDescent="0.25">
      <c r="B2694" s="3"/>
      <c r="C2694" s="3"/>
      <c r="D2694" s="3"/>
      <c r="E2694" s="5"/>
    </row>
    <row r="2695" spans="2:5" x14ac:dyDescent="0.25">
      <c r="B2695" s="3"/>
      <c r="C2695" s="3"/>
      <c r="D2695" s="3"/>
      <c r="E2695" s="5"/>
    </row>
    <row r="2696" spans="2:5" x14ac:dyDescent="0.25">
      <c r="B2696" s="3"/>
      <c r="C2696" s="3"/>
      <c r="D2696" s="3"/>
      <c r="E2696" s="5"/>
    </row>
    <row r="2697" spans="2:5" x14ac:dyDescent="0.25">
      <c r="B2697" s="3"/>
      <c r="C2697" s="3"/>
      <c r="D2697" s="3"/>
      <c r="E2697" s="5"/>
    </row>
    <row r="2698" spans="2:5" x14ac:dyDescent="0.25">
      <c r="B2698" s="3"/>
      <c r="C2698" s="3"/>
      <c r="D2698" s="3"/>
      <c r="E2698" s="5"/>
    </row>
    <row r="2699" spans="2:5" x14ac:dyDescent="0.25">
      <c r="B2699" s="3"/>
      <c r="C2699" s="3"/>
      <c r="D2699" s="3"/>
      <c r="E2699" s="5"/>
    </row>
    <row r="2700" spans="2:5" x14ac:dyDescent="0.25">
      <c r="B2700" s="3"/>
      <c r="C2700" s="3"/>
      <c r="D2700" s="3"/>
      <c r="E2700" s="5"/>
    </row>
    <row r="2701" spans="2:5" x14ac:dyDescent="0.25">
      <c r="B2701" s="3"/>
      <c r="C2701" s="3"/>
      <c r="D2701" s="3"/>
      <c r="E2701" s="5"/>
    </row>
    <row r="2702" spans="2:5" x14ac:dyDescent="0.25">
      <c r="B2702" s="3"/>
      <c r="C2702" s="3"/>
      <c r="D2702" s="3"/>
      <c r="E2702" s="5"/>
    </row>
    <row r="2703" spans="2:5" x14ac:dyDescent="0.25">
      <c r="B2703" s="3"/>
      <c r="C2703" s="3"/>
      <c r="D2703" s="3"/>
      <c r="E2703" s="5"/>
    </row>
    <row r="2704" spans="2:5" x14ac:dyDescent="0.25">
      <c r="B2704" s="3"/>
      <c r="C2704" s="3"/>
      <c r="D2704" s="3"/>
      <c r="E2704" s="5"/>
    </row>
    <row r="2705" spans="2:5" x14ac:dyDescent="0.25">
      <c r="B2705" s="3"/>
      <c r="C2705" s="3"/>
      <c r="D2705" s="3"/>
      <c r="E2705" s="5"/>
    </row>
    <row r="2706" spans="2:5" x14ac:dyDescent="0.25">
      <c r="B2706" s="3"/>
      <c r="C2706" s="3"/>
      <c r="D2706" s="3"/>
      <c r="E2706" s="5"/>
    </row>
    <row r="2707" spans="2:5" x14ac:dyDescent="0.25">
      <c r="B2707" s="3"/>
      <c r="C2707" s="3"/>
      <c r="D2707" s="3"/>
      <c r="E2707" s="5"/>
    </row>
    <row r="2708" spans="2:5" x14ac:dyDescent="0.25">
      <c r="B2708" s="3"/>
      <c r="C2708" s="3"/>
      <c r="D2708" s="3"/>
      <c r="E2708" s="5"/>
    </row>
    <row r="2709" spans="2:5" x14ac:dyDescent="0.25">
      <c r="B2709" s="3"/>
      <c r="C2709" s="3"/>
      <c r="D2709" s="3"/>
      <c r="E2709" s="5"/>
    </row>
    <row r="2710" spans="2:5" x14ac:dyDescent="0.25">
      <c r="B2710" s="3"/>
      <c r="C2710" s="3"/>
      <c r="D2710" s="3"/>
      <c r="E2710" s="5"/>
    </row>
    <row r="2711" spans="2:5" x14ac:dyDescent="0.25">
      <c r="B2711" s="3"/>
      <c r="C2711" s="3"/>
      <c r="D2711" s="3"/>
      <c r="E2711" s="5"/>
    </row>
    <row r="2712" spans="2:5" x14ac:dyDescent="0.25">
      <c r="B2712" s="3"/>
      <c r="C2712" s="3"/>
      <c r="D2712" s="3"/>
      <c r="E2712" s="5"/>
    </row>
    <row r="2713" spans="2:5" x14ac:dyDescent="0.25">
      <c r="B2713" s="3"/>
      <c r="C2713" s="3"/>
      <c r="D2713" s="3"/>
      <c r="E2713" s="5"/>
    </row>
    <row r="2714" spans="2:5" x14ac:dyDescent="0.25">
      <c r="B2714" s="3"/>
      <c r="C2714" s="3"/>
      <c r="D2714" s="3"/>
      <c r="E2714" s="5"/>
    </row>
    <row r="2715" spans="2:5" x14ac:dyDescent="0.25">
      <c r="B2715" s="3"/>
      <c r="C2715" s="3"/>
      <c r="D2715" s="3"/>
      <c r="E2715" s="5"/>
    </row>
    <row r="2716" spans="2:5" x14ac:dyDescent="0.25">
      <c r="B2716" s="3"/>
      <c r="C2716" s="3"/>
      <c r="D2716" s="3"/>
      <c r="E2716" s="5"/>
    </row>
    <row r="2717" spans="2:5" x14ac:dyDescent="0.25">
      <c r="B2717" s="3"/>
      <c r="C2717" s="3"/>
      <c r="D2717" s="3"/>
      <c r="E2717" s="5"/>
    </row>
    <row r="2718" spans="2:5" x14ac:dyDescent="0.25">
      <c r="B2718" s="3"/>
      <c r="C2718" s="3"/>
      <c r="D2718" s="3"/>
      <c r="E2718" s="5"/>
    </row>
    <row r="2719" spans="2:5" x14ac:dyDescent="0.25">
      <c r="B2719" s="3"/>
      <c r="C2719" s="3"/>
      <c r="D2719" s="3"/>
      <c r="E2719" s="5"/>
    </row>
    <row r="2720" spans="2:5" x14ac:dyDescent="0.25">
      <c r="B2720" s="3"/>
      <c r="C2720" s="3"/>
      <c r="D2720" s="3"/>
      <c r="E2720" s="5"/>
    </row>
    <row r="2721" spans="2:5" x14ac:dyDescent="0.25">
      <c r="B2721" s="3"/>
      <c r="C2721" s="3"/>
      <c r="D2721" s="3"/>
      <c r="E2721" s="5"/>
    </row>
    <row r="2722" spans="2:5" x14ac:dyDescent="0.25">
      <c r="B2722" s="3"/>
      <c r="C2722" s="3"/>
      <c r="D2722" s="3"/>
      <c r="E2722" s="5"/>
    </row>
    <row r="2723" spans="2:5" x14ac:dyDescent="0.25">
      <c r="B2723" s="3"/>
      <c r="C2723" s="3"/>
      <c r="D2723" s="3"/>
      <c r="E2723" s="5"/>
    </row>
    <row r="2724" spans="2:5" x14ac:dyDescent="0.25">
      <c r="B2724" s="3"/>
      <c r="C2724" s="3"/>
      <c r="D2724" s="3"/>
      <c r="E2724" s="5"/>
    </row>
    <row r="2725" spans="2:5" x14ac:dyDescent="0.25">
      <c r="B2725" s="3"/>
      <c r="C2725" s="3"/>
      <c r="D2725" s="3"/>
      <c r="E2725" s="5"/>
    </row>
    <row r="2726" spans="2:5" x14ac:dyDescent="0.25">
      <c r="B2726" s="3"/>
      <c r="C2726" s="3"/>
      <c r="D2726" s="3"/>
      <c r="E2726" s="5"/>
    </row>
    <row r="2727" spans="2:5" x14ac:dyDescent="0.25">
      <c r="B2727" s="3"/>
      <c r="C2727" s="3"/>
      <c r="D2727" s="3"/>
      <c r="E2727" s="5"/>
    </row>
    <row r="2728" spans="2:5" x14ac:dyDescent="0.25">
      <c r="B2728" s="3"/>
      <c r="C2728" s="3"/>
      <c r="D2728" s="3"/>
      <c r="E2728" s="5"/>
    </row>
    <row r="2729" spans="2:5" x14ac:dyDescent="0.25">
      <c r="B2729" s="3"/>
      <c r="C2729" s="3"/>
      <c r="D2729" s="3"/>
      <c r="E2729" s="5"/>
    </row>
    <row r="2730" spans="2:5" x14ac:dyDescent="0.25">
      <c r="B2730" s="3"/>
      <c r="C2730" s="3"/>
      <c r="D2730" s="3"/>
      <c r="E2730" s="5"/>
    </row>
    <row r="2731" spans="2:5" x14ac:dyDescent="0.25">
      <c r="B2731" s="3"/>
      <c r="C2731" s="3"/>
      <c r="D2731" s="3"/>
      <c r="E2731" s="5"/>
    </row>
    <row r="2732" spans="2:5" x14ac:dyDescent="0.25">
      <c r="B2732" s="3"/>
      <c r="C2732" s="3"/>
      <c r="D2732" s="3"/>
      <c r="E2732" s="5"/>
    </row>
    <row r="2733" spans="2:5" x14ac:dyDescent="0.25">
      <c r="B2733" s="3"/>
      <c r="C2733" s="3"/>
      <c r="D2733" s="3"/>
      <c r="E2733" s="5"/>
    </row>
    <row r="2734" spans="2:5" x14ac:dyDescent="0.25">
      <c r="B2734" s="3"/>
      <c r="C2734" s="3"/>
      <c r="D2734" s="3"/>
      <c r="E2734" s="5"/>
    </row>
    <row r="2735" spans="2:5" x14ac:dyDescent="0.25">
      <c r="B2735" s="3"/>
      <c r="C2735" s="3"/>
      <c r="D2735" s="3"/>
      <c r="E2735" s="5"/>
    </row>
    <row r="2736" spans="2:5" x14ac:dyDescent="0.25">
      <c r="B2736" s="3"/>
      <c r="C2736" s="3"/>
      <c r="D2736" s="3"/>
      <c r="E2736" s="5"/>
    </row>
    <row r="2737" spans="2:5" x14ac:dyDescent="0.25">
      <c r="B2737" s="3"/>
      <c r="C2737" s="3"/>
      <c r="D2737" s="3"/>
      <c r="E2737" s="5"/>
    </row>
    <row r="2738" spans="2:5" x14ac:dyDescent="0.25">
      <c r="B2738" s="3"/>
      <c r="C2738" s="3"/>
      <c r="D2738" s="3"/>
      <c r="E2738" s="5"/>
    </row>
    <row r="2739" spans="2:5" x14ac:dyDescent="0.25">
      <c r="B2739" s="3"/>
      <c r="C2739" s="3"/>
      <c r="D2739" s="3"/>
      <c r="E2739" s="5"/>
    </row>
    <row r="2740" spans="2:5" x14ac:dyDescent="0.25">
      <c r="B2740" s="3"/>
      <c r="C2740" s="3"/>
      <c r="D2740" s="3"/>
      <c r="E2740" s="5"/>
    </row>
    <row r="2741" spans="2:5" x14ac:dyDescent="0.25">
      <c r="B2741" s="3"/>
      <c r="C2741" s="3"/>
      <c r="D2741" s="3"/>
      <c r="E2741" s="5"/>
    </row>
    <row r="2742" spans="2:5" x14ac:dyDescent="0.25">
      <c r="B2742" s="3"/>
      <c r="C2742" s="3"/>
      <c r="D2742" s="3"/>
      <c r="E2742" s="5"/>
    </row>
    <row r="2743" spans="2:5" x14ac:dyDescent="0.25">
      <c r="B2743" s="3"/>
      <c r="C2743" s="3"/>
      <c r="D2743" s="3"/>
      <c r="E2743" s="5"/>
    </row>
    <row r="2744" spans="2:5" x14ac:dyDescent="0.25">
      <c r="B2744" s="3"/>
      <c r="C2744" s="3"/>
      <c r="D2744" s="3"/>
      <c r="E2744" s="5"/>
    </row>
    <row r="2745" spans="2:5" x14ac:dyDescent="0.25">
      <c r="B2745" s="3"/>
      <c r="C2745" s="3"/>
      <c r="D2745" s="3"/>
      <c r="E2745" s="5"/>
    </row>
    <row r="2746" spans="2:5" x14ac:dyDescent="0.25">
      <c r="B2746" s="3"/>
      <c r="C2746" s="3"/>
      <c r="D2746" s="3"/>
      <c r="E2746" s="5"/>
    </row>
    <row r="2747" spans="2:5" x14ac:dyDescent="0.25">
      <c r="B2747" s="3"/>
      <c r="C2747" s="3"/>
      <c r="D2747" s="3"/>
      <c r="E2747" s="5"/>
    </row>
    <row r="2748" spans="2:5" x14ac:dyDescent="0.25">
      <c r="B2748" s="3"/>
      <c r="C2748" s="3"/>
      <c r="D2748" s="3"/>
      <c r="E2748" s="5"/>
    </row>
    <row r="2749" spans="2:5" x14ac:dyDescent="0.25">
      <c r="B2749" s="3"/>
      <c r="C2749" s="3"/>
      <c r="D2749" s="3"/>
      <c r="E2749" s="5"/>
    </row>
    <row r="2750" spans="2:5" x14ac:dyDescent="0.25">
      <c r="B2750" s="3"/>
      <c r="C2750" s="3"/>
      <c r="D2750" s="3"/>
      <c r="E2750" s="5"/>
    </row>
    <row r="2751" spans="2:5" x14ac:dyDescent="0.25">
      <c r="B2751" s="3"/>
      <c r="C2751" s="3"/>
      <c r="D2751" s="3"/>
      <c r="E2751" s="5"/>
    </row>
    <row r="2752" spans="2:5" x14ac:dyDescent="0.25">
      <c r="B2752" s="3"/>
      <c r="C2752" s="3"/>
      <c r="D2752" s="3"/>
      <c r="E2752" s="5"/>
    </row>
    <row r="2753" spans="2:5" x14ac:dyDescent="0.25">
      <c r="B2753" s="3"/>
      <c r="C2753" s="3"/>
      <c r="D2753" s="3"/>
      <c r="E2753" s="5"/>
    </row>
    <row r="2754" spans="2:5" x14ac:dyDescent="0.25">
      <c r="B2754" s="3"/>
      <c r="C2754" s="3"/>
      <c r="D2754" s="3"/>
      <c r="E2754" s="5"/>
    </row>
    <row r="2755" spans="2:5" x14ac:dyDescent="0.25">
      <c r="B2755" s="3"/>
      <c r="C2755" s="3"/>
      <c r="D2755" s="3"/>
      <c r="E2755" s="5"/>
    </row>
    <row r="2756" spans="2:5" x14ac:dyDescent="0.25">
      <c r="B2756" s="3"/>
      <c r="C2756" s="3"/>
      <c r="D2756" s="3"/>
      <c r="E2756" s="5"/>
    </row>
    <row r="2757" spans="2:5" x14ac:dyDescent="0.25">
      <c r="B2757" s="3"/>
      <c r="C2757" s="3"/>
      <c r="D2757" s="3"/>
      <c r="E2757" s="5"/>
    </row>
    <row r="2758" spans="2:5" x14ac:dyDescent="0.25">
      <c r="B2758" s="3"/>
      <c r="C2758" s="3"/>
      <c r="D2758" s="3"/>
      <c r="E2758" s="5"/>
    </row>
    <row r="2759" spans="2:5" x14ac:dyDescent="0.25">
      <c r="B2759" s="3"/>
      <c r="C2759" s="3"/>
      <c r="D2759" s="3"/>
      <c r="E2759" s="5"/>
    </row>
    <row r="2760" spans="2:5" x14ac:dyDescent="0.25">
      <c r="B2760" s="3"/>
      <c r="C2760" s="3"/>
      <c r="D2760" s="3"/>
      <c r="E2760" s="5"/>
    </row>
    <row r="2761" spans="2:5" x14ac:dyDescent="0.25">
      <c r="B2761" s="3"/>
      <c r="C2761" s="3"/>
      <c r="D2761" s="3"/>
      <c r="E2761" s="5"/>
    </row>
    <row r="2762" spans="2:5" x14ac:dyDescent="0.25">
      <c r="B2762" s="3"/>
      <c r="C2762" s="3"/>
      <c r="D2762" s="3"/>
      <c r="E2762" s="5"/>
    </row>
    <row r="2763" spans="2:5" x14ac:dyDescent="0.25">
      <c r="B2763" s="3"/>
      <c r="C2763" s="3"/>
      <c r="D2763" s="3"/>
      <c r="E2763" s="5"/>
    </row>
    <row r="2764" spans="2:5" x14ac:dyDescent="0.25">
      <c r="B2764" s="3"/>
      <c r="C2764" s="3"/>
      <c r="D2764" s="3"/>
      <c r="E2764" s="5"/>
    </row>
    <row r="2765" spans="2:5" x14ac:dyDescent="0.25">
      <c r="B2765" s="3"/>
      <c r="C2765" s="3"/>
      <c r="D2765" s="3"/>
      <c r="E2765" s="5"/>
    </row>
    <row r="2766" spans="2:5" x14ac:dyDescent="0.25">
      <c r="B2766" s="3"/>
      <c r="C2766" s="3"/>
      <c r="D2766" s="3"/>
      <c r="E2766" s="5"/>
    </row>
    <row r="2767" spans="2:5" x14ac:dyDescent="0.25">
      <c r="B2767" s="3"/>
      <c r="C2767" s="3"/>
      <c r="D2767" s="3"/>
      <c r="E2767" s="5"/>
    </row>
    <row r="2768" spans="2:5" x14ac:dyDescent="0.25">
      <c r="B2768" s="3"/>
      <c r="C2768" s="3"/>
      <c r="D2768" s="3"/>
      <c r="E2768" s="5"/>
    </row>
    <row r="2769" spans="2:5" x14ac:dyDescent="0.25">
      <c r="B2769" s="3"/>
      <c r="C2769" s="3"/>
      <c r="D2769" s="3"/>
      <c r="E2769" s="5"/>
    </row>
    <row r="2770" spans="2:5" x14ac:dyDescent="0.25">
      <c r="B2770" s="3"/>
      <c r="C2770" s="3"/>
      <c r="D2770" s="3"/>
      <c r="E2770" s="5"/>
    </row>
    <row r="2771" spans="2:5" x14ac:dyDescent="0.25">
      <c r="B2771" s="3"/>
      <c r="C2771" s="3"/>
      <c r="D2771" s="3"/>
      <c r="E2771" s="5"/>
    </row>
    <row r="2772" spans="2:5" x14ac:dyDescent="0.25">
      <c r="B2772" s="3"/>
      <c r="C2772" s="3"/>
      <c r="D2772" s="3"/>
      <c r="E2772" s="5"/>
    </row>
    <row r="2773" spans="2:5" x14ac:dyDescent="0.25">
      <c r="B2773" s="3"/>
      <c r="C2773" s="3"/>
      <c r="D2773" s="3"/>
      <c r="E2773" s="5"/>
    </row>
    <row r="2774" spans="2:5" x14ac:dyDescent="0.25">
      <c r="B2774" s="3"/>
      <c r="C2774" s="3"/>
      <c r="D2774" s="3"/>
      <c r="E2774" s="5"/>
    </row>
    <row r="2775" spans="2:5" x14ac:dyDescent="0.25">
      <c r="B2775" s="3"/>
      <c r="C2775" s="3"/>
      <c r="D2775" s="3"/>
      <c r="E2775" s="5"/>
    </row>
    <row r="2776" spans="2:5" x14ac:dyDescent="0.25">
      <c r="B2776" s="3"/>
      <c r="C2776" s="3"/>
      <c r="D2776" s="3"/>
      <c r="E2776" s="5"/>
    </row>
    <row r="2777" spans="2:5" x14ac:dyDescent="0.25">
      <c r="B2777" s="3"/>
      <c r="C2777" s="3"/>
      <c r="D2777" s="3"/>
      <c r="E2777" s="5"/>
    </row>
    <row r="2778" spans="2:5" x14ac:dyDescent="0.25">
      <c r="B2778" s="3"/>
      <c r="C2778" s="3"/>
      <c r="D2778" s="3"/>
      <c r="E2778" s="5"/>
    </row>
    <row r="2779" spans="2:5" x14ac:dyDescent="0.25">
      <c r="B2779" s="3"/>
      <c r="C2779" s="3"/>
      <c r="D2779" s="3"/>
      <c r="E2779" s="5"/>
    </row>
    <row r="2780" spans="2:5" x14ac:dyDescent="0.25">
      <c r="B2780" s="3"/>
      <c r="C2780" s="3"/>
      <c r="D2780" s="3"/>
      <c r="E2780" s="5"/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B5" sqref="B5:B14"/>
    </sheetView>
  </sheetViews>
  <sheetFormatPr baseColWidth="10" defaultRowHeight="15" x14ac:dyDescent="0.25"/>
  <cols>
    <col min="3" max="3" width="17.42578125" bestFit="1" customWidth="1"/>
  </cols>
  <sheetData>
    <row r="1" spans="1:3" x14ac:dyDescent="0.25">
      <c r="A1" s="1" t="s">
        <v>446</v>
      </c>
      <c r="B1" s="1" t="s">
        <v>447</v>
      </c>
      <c r="C1" s="1" t="s">
        <v>448</v>
      </c>
    </row>
    <row r="2" spans="1:3" x14ac:dyDescent="0.25">
      <c r="A2" t="s">
        <v>449</v>
      </c>
      <c r="B2">
        <f>HEX2DEC(MID(A2,3,2))</f>
        <v>163</v>
      </c>
      <c r="C2" t="s">
        <v>470</v>
      </c>
    </row>
    <row r="3" spans="1:3" x14ac:dyDescent="0.25">
      <c r="A3" t="s">
        <v>450</v>
      </c>
      <c r="B3">
        <f t="shared" ref="B3:B21" si="0">HEX2DEC(MID(A3,3,2))</f>
        <v>165</v>
      </c>
      <c r="C3" t="s">
        <v>471</v>
      </c>
    </row>
    <row r="4" spans="1:3" x14ac:dyDescent="0.25">
      <c r="A4" t="s">
        <v>451</v>
      </c>
      <c r="B4">
        <f t="shared" si="0"/>
        <v>166</v>
      </c>
      <c r="C4" t="s">
        <v>462</v>
      </c>
    </row>
    <row r="5" spans="1:3" x14ac:dyDescent="0.25">
      <c r="A5" t="s">
        <v>452</v>
      </c>
      <c r="B5">
        <f t="shared" si="0"/>
        <v>176</v>
      </c>
      <c r="C5" t="s">
        <v>463</v>
      </c>
    </row>
    <row r="6" spans="1:3" x14ac:dyDescent="0.25">
      <c r="A6" t="s">
        <v>1420</v>
      </c>
      <c r="B6">
        <f t="shared" si="0"/>
        <v>177</v>
      </c>
      <c r="C6" t="s">
        <v>1428</v>
      </c>
    </row>
    <row r="7" spans="1:3" x14ac:dyDescent="0.25">
      <c r="A7" t="s">
        <v>1421</v>
      </c>
      <c r="B7">
        <f t="shared" si="0"/>
        <v>178</v>
      </c>
      <c r="C7" t="s">
        <v>1429</v>
      </c>
    </row>
    <row r="8" spans="1:3" x14ac:dyDescent="0.25">
      <c r="A8" t="s">
        <v>1422</v>
      </c>
      <c r="B8">
        <f t="shared" si="0"/>
        <v>179</v>
      </c>
      <c r="C8" t="s">
        <v>1430</v>
      </c>
    </row>
    <row r="9" spans="1:3" x14ac:dyDescent="0.25">
      <c r="A9" t="s">
        <v>1423</v>
      </c>
      <c r="B9">
        <f t="shared" si="0"/>
        <v>180</v>
      </c>
      <c r="C9" t="s">
        <v>1431</v>
      </c>
    </row>
    <row r="10" spans="1:3" x14ac:dyDescent="0.25">
      <c r="A10" t="s">
        <v>1424</v>
      </c>
      <c r="B10">
        <f t="shared" si="0"/>
        <v>181</v>
      </c>
      <c r="C10" t="s">
        <v>1432</v>
      </c>
    </row>
    <row r="11" spans="1:3" x14ac:dyDescent="0.25">
      <c r="A11" t="s">
        <v>1425</v>
      </c>
      <c r="B11">
        <f t="shared" si="0"/>
        <v>182</v>
      </c>
      <c r="C11" t="s">
        <v>1433</v>
      </c>
    </row>
    <row r="12" spans="1:3" x14ac:dyDescent="0.25">
      <c r="A12" t="s">
        <v>1426</v>
      </c>
      <c r="B12">
        <f t="shared" si="0"/>
        <v>183</v>
      </c>
      <c r="C12" t="s">
        <v>1434</v>
      </c>
    </row>
    <row r="13" spans="1:3" x14ac:dyDescent="0.25">
      <c r="A13" t="s">
        <v>1427</v>
      </c>
      <c r="B13">
        <f t="shared" si="0"/>
        <v>184</v>
      </c>
      <c r="C13" t="s">
        <v>1435</v>
      </c>
    </row>
    <row r="14" spans="1:3" x14ac:dyDescent="0.25">
      <c r="A14" t="s">
        <v>453</v>
      </c>
      <c r="B14">
        <f t="shared" si="0"/>
        <v>185</v>
      </c>
      <c r="C14" t="s">
        <v>464</v>
      </c>
    </row>
    <row r="15" spans="1:3" x14ac:dyDescent="0.25">
      <c r="A15" t="s">
        <v>454</v>
      </c>
      <c r="B15">
        <f t="shared" si="0"/>
        <v>169</v>
      </c>
      <c r="C15" t="s">
        <v>461</v>
      </c>
    </row>
    <row r="16" spans="1:3" x14ac:dyDescent="0.25">
      <c r="A16" t="s">
        <v>455</v>
      </c>
      <c r="B16">
        <f t="shared" si="0"/>
        <v>170</v>
      </c>
      <c r="C16" t="s">
        <v>465</v>
      </c>
    </row>
    <row r="17" spans="1:3" x14ac:dyDescent="0.25">
      <c r="A17" t="s">
        <v>456</v>
      </c>
      <c r="B17">
        <f t="shared" si="0"/>
        <v>172</v>
      </c>
      <c r="C17" t="s">
        <v>472</v>
      </c>
    </row>
    <row r="18" spans="1:3" x14ac:dyDescent="0.25">
      <c r="A18" t="s">
        <v>457</v>
      </c>
      <c r="B18">
        <f t="shared" si="0"/>
        <v>147</v>
      </c>
      <c r="C18" t="s">
        <v>466</v>
      </c>
    </row>
    <row r="19" spans="1:3" x14ac:dyDescent="0.25">
      <c r="A19" t="s">
        <v>458</v>
      </c>
      <c r="B19">
        <f t="shared" si="0"/>
        <v>156</v>
      </c>
      <c r="C19" t="s">
        <v>467</v>
      </c>
    </row>
    <row r="20" spans="1:3" x14ac:dyDescent="0.25">
      <c r="A20" t="s">
        <v>459</v>
      </c>
      <c r="B20">
        <f t="shared" si="0"/>
        <v>150</v>
      </c>
      <c r="C20" t="s">
        <v>468</v>
      </c>
    </row>
    <row r="21" spans="1:3" x14ac:dyDescent="0.25">
      <c r="A21" t="s">
        <v>460</v>
      </c>
      <c r="B21">
        <f t="shared" si="0"/>
        <v>154</v>
      </c>
      <c r="C21" t="s">
        <v>469</v>
      </c>
    </row>
    <row r="22" spans="1:3" x14ac:dyDescent="0.25">
      <c r="A22" s="2" t="s">
        <v>473</v>
      </c>
      <c r="B22" s="2" t="s">
        <v>473</v>
      </c>
      <c r="C22" s="2" t="s">
        <v>473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2</vt:i4>
      </vt:variant>
    </vt:vector>
  </HeadingPairs>
  <TitlesOfParts>
    <vt:vector size="4" baseType="lpstr">
      <vt:lpstr>Log</vt:lpstr>
      <vt:lpstr>Codes</vt:lpstr>
      <vt:lpstr>KdoCodeTab</vt:lpstr>
      <vt:lpstr>KdoWertTab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 Sonnenrein</dc:creator>
  <cp:lastModifiedBy>Fred Sonnenrein</cp:lastModifiedBy>
  <dcterms:created xsi:type="dcterms:W3CDTF">2015-12-05T18:00:47Z</dcterms:created>
  <dcterms:modified xsi:type="dcterms:W3CDTF">2015-12-05T18:44:05Z</dcterms:modified>
</cp:coreProperties>
</file>