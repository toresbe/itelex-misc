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6925"/>
  <workbookPr defaultThemeVersion="153222"/>
  <mc:AlternateContent xmlns:mc="http://schemas.openxmlformats.org/markup-compatibility/2006">
    <mc:Choice Requires="x15">
      <x15ac:absPath xmlns:x15ac="http://schemas.microsoft.com/office/spreadsheetml/2010/11/ac" url="D:\Daten\AvrProgs\TxP2\KommLogs\"/>
    </mc:Choice>
  </mc:AlternateContent>
  <bookViews>
    <workbookView xWindow="0" yWindow="0" windowWidth="25200" windowHeight="12135"/>
  </bookViews>
  <sheets>
    <sheet name="Log" sheetId="1" r:id="rId1"/>
    <sheet name="Codes" sheetId="2" r:id="rId2"/>
  </sheets>
  <definedNames>
    <definedName name="KdoCodeTab">Codes!$C$2:$C$22</definedName>
    <definedName name="KdoWertTab">Codes!$B$2:$B$22</definedName>
  </definedNames>
  <calcPr calcId="17102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4" i="1"/>
  <c r="C5" i="1" l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4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B5" i="1" l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4" i="1"/>
  <c r="B6" i="2" l="1"/>
  <c r="B7" i="2"/>
  <c r="B8" i="2"/>
  <c r="B9" i="2"/>
  <c r="B10" i="2"/>
  <c r="B11" i="2"/>
  <c r="B12" i="2"/>
  <c r="B13" i="2"/>
  <c r="B14" i="2"/>
  <c r="E443" i="1"/>
  <c r="L443" i="1" s="1"/>
  <c r="E444" i="1"/>
  <c r="L444" i="1" s="1"/>
  <c r="E445" i="1"/>
  <c r="L445" i="1" s="1"/>
  <c r="E446" i="1"/>
  <c r="L446" i="1" s="1"/>
  <c r="E447" i="1"/>
  <c r="L447" i="1" s="1"/>
  <c r="E448" i="1"/>
  <c r="L448" i="1" s="1"/>
  <c r="E449" i="1"/>
  <c r="L449" i="1" s="1"/>
  <c r="E450" i="1"/>
  <c r="L450" i="1" s="1"/>
  <c r="E451" i="1"/>
  <c r="L451" i="1" s="1"/>
  <c r="E452" i="1"/>
  <c r="L452" i="1" s="1"/>
  <c r="E453" i="1"/>
  <c r="E454" i="1"/>
  <c r="L454" i="1" s="1"/>
  <c r="E455" i="1"/>
  <c r="L455" i="1" s="1"/>
  <c r="E456" i="1"/>
  <c r="L456" i="1" s="1"/>
  <c r="E457" i="1"/>
  <c r="L457" i="1" s="1"/>
  <c r="E458" i="1"/>
  <c r="L458" i="1" s="1"/>
  <c r="E459" i="1"/>
  <c r="L459" i="1" s="1"/>
  <c r="E460" i="1"/>
  <c r="L460" i="1" s="1"/>
  <c r="E461" i="1"/>
  <c r="L461" i="1" s="1"/>
  <c r="E462" i="1"/>
  <c r="L462" i="1" s="1"/>
  <c r="E463" i="1"/>
  <c r="L463" i="1" s="1"/>
  <c r="E464" i="1"/>
  <c r="L464" i="1"/>
  <c r="E465" i="1"/>
  <c r="L465" i="1" s="1"/>
  <c r="E466" i="1"/>
  <c r="L466" i="1" s="1"/>
  <c r="E467" i="1"/>
  <c r="L467" i="1" s="1"/>
  <c r="E468" i="1"/>
  <c r="L468" i="1" s="1"/>
  <c r="E469" i="1"/>
  <c r="L469" i="1" s="1"/>
  <c r="E470" i="1"/>
  <c r="L470" i="1" s="1"/>
  <c r="E471" i="1"/>
  <c r="L471" i="1" s="1"/>
  <c r="E472" i="1"/>
  <c r="L472" i="1" s="1"/>
  <c r="E473" i="1"/>
  <c r="L473" i="1" s="1"/>
  <c r="E474" i="1"/>
  <c r="L474" i="1" s="1"/>
  <c r="E475" i="1"/>
  <c r="L475" i="1" s="1"/>
  <c r="E476" i="1"/>
  <c r="L476" i="1" s="1"/>
  <c r="E477" i="1"/>
  <c r="E478" i="1"/>
  <c r="L478" i="1" s="1"/>
  <c r="E479" i="1"/>
  <c r="L479" i="1" s="1"/>
  <c r="E480" i="1"/>
  <c r="L480" i="1" s="1"/>
  <c r="E481" i="1"/>
  <c r="L481" i="1" s="1"/>
  <c r="E482" i="1"/>
  <c r="L482" i="1" s="1"/>
  <c r="E483" i="1"/>
  <c r="L483" i="1" s="1"/>
  <c r="E484" i="1"/>
  <c r="L484" i="1" s="1"/>
  <c r="E485" i="1"/>
  <c r="L485" i="1" s="1"/>
  <c r="E486" i="1"/>
  <c r="L486" i="1"/>
  <c r="E487" i="1"/>
  <c r="L487" i="1" s="1"/>
  <c r="E488" i="1"/>
  <c r="L488" i="1" s="1"/>
  <c r="E489" i="1"/>
  <c r="L489" i="1" s="1"/>
  <c r="E490" i="1"/>
  <c r="L490" i="1"/>
  <c r="E491" i="1"/>
  <c r="L491" i="1" s="1"/>
  <c r="E492" i="1"/>
  <c r="L492" i="1"/>
  <c r="E493" i="1"/>
  <c r="L493" i="1" s="1"/>
  <c r="E494" i="1"/>
  <c r="L494" i="1" s="1"/>
  <c r="E495" i="1"/>
  <c r="L495" i="1" s="1"/>
  <c r="E496" i="1"/>
  <c r="L496" i="1" s="1"/>
  <c r="E497" i="1"/>
  <c r="L497" i="1" s="1"/>
  <c r="E498" i="1"/>
  <c r="E499" i="1"/>
  <c r="L499" i="1" s="1"/>
  <c r="E500" i="1"/>
  <c r="L500" i="1" s="1"/>
  <c r="E501" i="1"/>
  <c r="L501" i="1" s="1"/>
  <c r="E502" i="1"/>
  <c r="L502" i="1" s="1"/>
  <c r="E503" i="1"/>
  <c r="L503" i="1" s="1"/>
  <c r="E504" i="1"/>
  <c r="L504" i="1" s="1"/>
  <c r="E505" i="1"/>
  <c r="L505" i="1" s="1"/>
  <c r="E506" i="1"/>
  <c r="L506" i="1" s="1"/>
  <c r="E507" i="1"/>
  <c r="L507" i="1" s="1"/>
  <c r="E508" i="1"/>
  <c r="L508" i="1" s="1"/>
  <c r="E509" i="1"/>
  <c r="L509" i="1" s="1"/>
  <c r="E510" i="1"/>
  <c r="L510" i="1" s="1"/>
  <c r="E511" i="1"/>
  <c r="L511" i="1" s="1"/>
  <c r="E512" i="1"/>
  <c r="L512" i="1" s="1"/>
  <c r="E513" i="1"/>
  <c r="L513" i="1" s="1"/>
  <c r="E514" i="1"/>
  <c r="L514" i="1" s="1"/>
  <c r="E515" i="1"/>
  <c r="L515" i="1" s="1"/>
  <c r="E516" i="1"/>
  <c r="L516" i="1" s="1"/>
  <c r="E517" i="1"/>
  <c r="L517" i="1" s="1"/>
  <c r="E518" i="1"/>
  <c r="L518" i="1" s="1"/>
  <c r="E519" i="1"/>
  <c r="L519" i="1" s="1"/>
  <c r="E520" i="1"/>
  <c r="L520" i="1" s="1"/>
  <c r="E521" i="1"/>
  <c r="L521" i="1" s="1"/>
  <c r="E522" i="1"/>
  <c r="L522" i="1"/>
  <c r="E523" i="1"/>
  <c r="L523" i="1" s="1"/>
  <c r="E524" i="1"/>
  <c r="L524" i="1" s="1"/>
  <c r="E525" i="1"/>
  <c r="L525" i="1" s="1"/>
  <c r="E526" i="1"/>
  <c r="K526" i="1" s="1"/>
  <c r="E527" i="1"/>
  <c r="L527" i="1" s="1"/>
  <c r="E528" i="1"/>
  <c r="L528" i="1" s="1"/>
  <c r="E529" i="1"/>
  <c r="L529" i="1" s="1"/>
  <c r="E530" i="1"/>
  <c r="L530" i="1" s="1"/>
  <c r="E531" i="1"/>
  <c r="L531" i="1" s="1"/>
  <c r="E532" i="1"/>
  <c r="L532" i="1" s="1"/>
  <c r="E533" i="1"/>
  <c r="L533" i="1" s="1"/>
  <c r="E534" i="1"/>
  <c r="L534" i="1" s="1"/>
  <c r="E535" i="1"/>
  <c r="L535" i="1" s="1"/>
  <c r="E536" i="1"/>
  <c r="L536" i="1"/>
  <c r="E537" i="1"/>
  <c r="L537" i="1" s="1"/>
  <c r="E538" i="1"/>
  <c r="L538" i="1" s="1"/>
  <c r="E539" i="1"/>
  <c r="L539" i="1" s="1"/>
  <c r="E540" i="1"/>
  <c r="L540" i="1" s="1"/>
  <c r="E541" i="1"/>
  <c r="L541" i="1" s="1"/>
  <c r="E542" i="1"/>
  <c r="L542" i="1"/>
  <c r="E543" i="1"/>
  <c r="L543" i="1" s="1"/>
  <c r="E544" i="1"/>
  <c r="L544" i="1" s="1"/>
  <c r="E545" i="1"/>
  <c r="L545" i="1" s="1"/>
  <c r="E546" i="1"/>
  <c r="L546" i="1" s="1"/>
  <c r="E547" i="1"/>
  <c r="L547" i="1" s="1"/>
  <c r="E548" i="1"/>
  <c r="L548" i="1" s="1"/>
  <c r="E549" i="1"/>
  <c r="L549" i="1" s="1"/>
  <c r="E550" i="1"/>
  <c r="L550" i="1" s="1"/>
  <c r="E551" i="1"/>
  <c r="L551" i="1" s="1"/>
  <c r="E552" i="1"/>
  <c r="L552" i="1" s="1"/>
  <c r="E553" i="1"/>
  <c r="L553" i="1"/>
  <c r="E554" i="1"/>
  <c r="L554" i="1" s="1"/>
  <c r="E555" i="1"/>
  <c r="L555" i="1" s="1"/>
  <c r="E556" i="1"/>
  <c r="E557" i="1"/>
  <c r="L557" i="1" s="1"/>
  <c r="E558" i="1"/>
  <c r="L558" i="1" s="1"/>
  <c r="E559" i="1"/>
  <c r="L559" i="1" s="1"/>
  <c r="E560" i="1"/>
  <c r="L560" i="1" s="1"/>
  <c r="E561" i="1"/>
  <c r="L561" i="1" s="1"/>
  <c r="E562" i="1"/>
  <c r="L562" i="1" s="1"/>
  <c r="E563" i="1"/>
  <c r="L563" i="1" s="1"/>
  <c r="E564" i="1"/>
  <c r="L564" i="1" s="1"/>
  <c r="E565" i="1"/>
  <c r="L565" i="1" s="1"/>
  <c r="E566" i="1"/>
  <c r="L566" i="1" s="1"/>
  <c r="E567" i="1"/>
  <c r="L567" i="1" s="1"/>
  <c r="E568" i="1"/>
  <c r="L568" i="1" s="1"/>
  <c r="E569" i="1"/>
  <c r="L569" i="1" s="1"/>
  <c r="E570" i="1"/>
  <c r="L570" i="1" s="1"/>
  <c r="E571" i="1"/>
  <c r="L571" i="1" s="1"/>
  <c r="E572" i="1"/>
  <c r="L572" i="1" s="1"/>
  <c r="E573" i="1"/>
  <c r="L573" i="1" s="1"/>
  <c r="E574" i="1"/>
  <c r="L574" i="1" s="1"/>
  <c r="E575" i="1"/>
  <c r="L575" i="1" s="1"/>
  <c r="E576" i="1"/>
  <c r="L576" i="1" s="1"/>
  <c r="E577" i="1"/>
  <c r="L577" i="1" s="1"/>
  <c r="E578" i="1"/>
  <c r="L578" i="1" s="1"/>
  <c r="E579" i="1"/>
  <c r="L579" i="1" s="1"/>
  <c r="E580" i="1"/>
  <c r="L580" i="1" s="1"/>
  <c r="E581" i="1"/>
  <c r="L581" i="1" s="1"/>
  <c r="E582" i="1"/>
  <c r="L582" i="1" s="1"/>
  <c r="E583" i="1"/>
  <c r="L583" i="1" s="1"/>
  <c r="E584" i="1"/>
  <c r="E585" i="1"/>
  <c r="E586" i="1"/>
  <c r="L586" i="1" s="1"/>
  <c r="E587" i="1"/>
  <c r="L587" i="1" s="1"/>
  <c r="E588" i="1"/>
  <c r="L588" i="1" s="1"/>
  <c r="E589" i="1"/>
  <c r="L589" i="1"/>
  <c r="E590" i="1"/>
  <c r="L590" i="1" s="1"/>
  <c r="E591" i="1"/>
  <c r="L591" i="1" s="1"/>
  <c r="E592" i="1"/>
  <c r="L592" i="1" s="1"/>
  <c r="E593" i="1"/>
  <c r="L593" i="1" s="1"/>
  <c r="E594" i="1"/>
  <c r="L594" i="1" s="1"/>
  <c r="E595" i="1"/>
  <c r="L595" i="1"/>
  <c r="E596" i="1"/>
  <c r="L596" i="1" s="1"/>
  <c r="E597" i="1"/>
  <c r="L597" i="1" s="1"/>
  <c r="E598" i="1"/>
  <c r="L598" i="1" s="1"/>
  <c r="E599" i="1"/>
  <c r="L599" i="1" s="1"/>
  <c r="E600" i="1"/>
  <c r="L600" i="1" s="1"/>
  <c r="E601" i="1"/>
  <c r="L601" i="1"/>
  <c r="E602" i="1"/>
  <c r="L602" i="1" s="1"/>
  <c r="E603" i="1"/>
  <c r="E604" i="1"/>
  <c r="L604" i="1" s="1"/>
  <c r="E605" i="1"/>
  <c r="L605" i="1"/>
  <c r="E606" i="1"/>
  <c r="L606" i="1" s="1"/>
  <c r="E607" i="1"/>
  <c r="L607" i="1" s="1"/>
  <c r="E608" i="1"/>
  <c r="L608" i="1" s="1"/>
  <c r="E609" i="1"/>
  <c r="L609" i="1" s="1"/>
  <c r="E610" i="1"/>
  <c r="L610" i="1" s="1"/>
  <c r="E611" i="1"/>
  <c r="L611" i="1"/>
  <c r="E612" i="1"/>
  <c r="L612" i="1" s="1"/>
  <c r="E613" i="1"/>
  <c r="L613" i="1" s="1"/>
  <c r="E614" i="1"/>
  <c r="L614" i="1" s="1"/>
  <c r="E615" i="1"/>
  <c r="E616" i="1"/>
  <c r="L616" i="1" s="1"/>
  <c r="E617" i="1"/>
  <c r="L617" i="1" s="1"/>
  <c r="E618" i="1"/>
  <c r="L618" i="1" s="1"/>
  <c r="E619" i="1"/>
  <c r="L619" i="1" s="1"/>
  <c r="E620" i="1"/>
  <c r="L620" i="1" s="1"/>
  <c r="E621" i="1"/>
  <c r="L621" i="1"/>
  <c r="E622" i="1"/>
  <c r="L622" i="1" s="1"/>
  <c r="E623" i="1"/>
  <c r="L623" i="1" s="1"/>
  <c r="E624" i="1"/>
  <c r="L624" i="1" s="1"/>
  <c r="E625" i="1"/>
  <c r="L625" i="1" s="1"/>
  <c r="E626" i="1"/>
  <c r="L626" i="1" s="1"/>
  <c r="E627" i="1"/>
  <c r="L627" i="1"/>
  <c r="E628" i="1"/>
  <c r="L628" i="1" s="1"/>
  <c r="E629" i="1"/>
  <c r="L629" i="1" s="1"/>
  <c r="E630" i="1"/>
  <c r="L630" i="1" s="1"/>
  <c r="E631" i="1"/>
  <c r="L631" i="1" s="1"/>
  <c r="E632" i="1"/>
  <c r="L632" i="1" s="1"/>
  <c r="E633" i="1"/>
  <c r="L633" i="1" s="1"/>
  <c r="E634" i="1"/>
  <c r="L634" i="1" s="1"/>
  <c r="E635" i="1"/>
  <c r="L635" i="1" s="1"/>
  <c r="E636" i="1"/>
  <c r="L636" i="1" s="1"/>
  <c r="E637" i="1"/>
  <c r="L637" i="1"/>
  <c r="E638" i="1"/>
  <c r="L638" i="1" s="1"/>
  <c r="E639" i="1"/>
  <c r="E640" i="1"/>
  <c r="L640" i="1" s="1"/>
  <c r="E641" i="1"/>
  <c r="L641" i="1" s="1"/>
  <c r="E642" i="1"/>
  <c r="L642" i="1" s="1"/>
  <c r="E643" i="1"/>
  <c r="L643" i="1"/>
  <c r="E644" i="1"/>
  <c r="L644" i="1" s="1"/>
  <c r="E645" i="1"/>
  <c r="L645" i="1" s="1"/>
  <c r="E646" i="1"/>
  <c r="L646" i="1" s="1"/>
  <c r="E647" i="1"/>
  <c r="L647" i="1" s="1"/>
  <c r="E648" i="1"/>
  <c r="L648" i="1" s="1"/>
  <c r="E649" i="1"/>
  <c r="L649" i="1"/>
  <c r="E650" i="1"/>
  <c r="L650" i="1" s="1"/>
  <c r="E651" i="1"/>
  <c r="L651" i="1" s="1"/>
  <c r="E652" i="1"/>
  <c r="E653" i="1"/>
  <c r="L653" i="1" s="1"/>
  <c r="E654" i="1"/>
  <c r="L654" i="1" s="1"/>
  <c r="E655" i="1"/>
  <c r="L655" i="1" s="1"/>
  <c r="E656" i="1"/>
  <c r="L656" i="1" s="1"/>
  <c r="E657" i="1"/>
  <c r="L657" i="1" s="1"/>
  <c r="E658" i="1"/>
  <c r="L658" i="1" s="1"/>
  <c r="E659" i="1"/>
  <c r="L659" i="1" s="1"/>
  <c r="E660" i="1"/>
  <c r="L660" i="1" s="1"/>
  <c r="E661" i="1"/>
  <c r="L661" i="1" s="1"/>
  <c r="E662" i="1"/>
  <c r="L662" i="1" s="1"/>
  <c r="E663" i="1"/>
  <c r="L663" i="1" s="1"/>
  <c r="E664" i="1"/>
  <c r="L664" i="1" s="1"/>
  <c r="E665" i="1"/>
  <c r="L665" i="1" s="1"/>
  <c r="E666" i="1"/>
  <c r="L666" i="1" s="1"/>
  <c r="E667" i="1"/>
  <c r="L667" i="1" s="1"/>
  <c r="E668" i="1"/>
  <c r="L668" i="1" s="1"/>
  <c r="E669" i="1"/>
  <c r="L669" i="1" s="1"/>
  <c r="E670" i="1"/>
  <c r="E671" i="1"/>
  <c r="L671" i="1"/>
  <c r="E672" i="1"/>
  <c r="L672" i="1" s="1"/>
  <c r="E673" i="1"/>
  <c r="L673" i="1" s="1"/>
  <c r="E674" i="1"/>
  <c r="L674" i="1" s="1"/>
  <c r="E675" i="1"/>
  <c r="L675" i="1" s="1"/>
  <c r="E676" i="1"/>
  <c r="L676" i="1" s="1"/>
  <c r="E677" i="1"/>
  <c r="L677" i="1"/>
  <c r="E678" i="1"/>
  <c r="L678" i="1" s="1"/>
  <c r="E679" i="1"/>
  <c r="L679" i="1" s="1"/>
  <c r="E680" i="1"/>
  <c r="L680" i="1" s="1"/>
  <c r="E681" i="1"/>
  <c r="L681" i="1" s="1"/>
  <c r="E682" i="1"/>
  <c r="L682" i="1" s="1"/>
  <c r="E683" i="1"/>
  <c r="L683" i="1" s="1"/>
  <c r="E684" i="1"/>
  <c r="L684" i="1" s="1"/>
  <c r="E685" i="1"/>
  <c r="L685" i="1" s="1"/>
  <c r="E686" i="1"/>
  <c r="L686" i="1" s="1"/>
  <c r="E687" i="1"/>
  <c r="L687" i="1" s="1"/>
  <c r="E688" i="1"/>
  <c r="L688" i="1" s="1"/>
  <c r="E689" i="1"/>
  <c r="L689" i="1" s="1"/>
  <c r="E690" i="1"/>
  <c r="L690" i="1" s="1"/>
  <c r="E691" i="1"/>
  <c r="L691" i="1" s="1"/>
  <c r="E692" i="1"/>
  <c r="L692" i="1" s="1"/>
  <c r="E693" i="1"/>
  <c r="L693" i="1"/>
  <c r="E694" i="1"/>
  <c r="L694" i="1" s="1"/>
  <c r="E695" i="1"/>
  <c r="L695" i="1" s="1"/>
  <c r="E696" i="1"/>
  <c r="E697" i="1"/>
  <c r="L697" i="1" s="1"/>
  <c r="E698" i="1"/>
  <c r="L698" i="1" s="1"/>
  <c r="E699" i="1"/>
  <c r="L699" i="1" s="1"/>
  <c r="E700" i="1"/>
  <c r="L700" i="1" s="1"/>
  <c r="E701" i="1"/>
  <c r="L701" i="1" s="1"/>
  <c r="E702" i="1"/>
  <c r="L702" i="1" s="1"/>
  <c r="E703" i="1"/>
  <c r="L703" i="1" s="1"/>
  <c r="E704" i="1"/>
  <c r="L704" i="1" s="1"/>
  <c r="E705" i="1"/>
  <c r="L705" i="1" s="1"/>
  <c r="E706" i="1"/>
  <c r="L706" i="1" s="1"/>
  <c r="E707" i="1"/>
  <c r="L707" i="1" s="1"/>
  <c r="E708" i="1"/>
  <c r="L708" i="1" s="1"/>
  <c r="E709" i="1"/>
  <c r="L709" i="1" s="1"/>
  <c r="E710" i="1"/>
  <c r="L710" i="1" s="1"/>
  <c r="E711" i="1"/>
  <c r="L711" i="1" s="1"/>
  <c r="E712" i="1"/>
  <c r="L712" i="1" s="1"/>
  <c r="E713" i="1"/>
  <c r="L713" i="1" s="1"/>
  <c r="E714" i="1"/>
  <c r="E715" i="1"/>
  <c r="L715" i="1"/>
  <c r="E716" i="1"/>
  <c r="L716" i="1" s="1"/>
  <c r="E717" i="1"/>
  <c r="L717" i="1" s="1"/>
  <c r="E718" i="1"/>
  <c r="L718" i="1" s="1"/>
  <c r="E719" i="1"/>
  <c r="L719" i="1" s="1"/>
  <c r="E720" i="1"/>
  <c r="L720" i="1" s="1"/>
  <c r="E721" i="1"/>
  <c r="L721" i="1" s="1"/>
  <c r="E722" i="1"/>
  <c r="L722" i="1" s="1"/>
  <c r="E723" i="1"/>
  <c r="L723" i="1" s="1"/>
  <c r="E724" i="1"/>
  <c r="L724" i="1" s="1"/>
  <c r="E725" i="1"/>
  <c r="L725" i="1" s="1"/>
  <c r="E726" i="1"/>
  <c r="L726" i="1" s="1"/>
  <c r="E727" i="1"/>
  <c r="L727" i="1" s="1"/>
  <c r="E728" i="1"/>
  <c r="L728" i="1" s="1"/>
  <c r="E729" i="1"/>
  <c r="L729" i="1"/>
  <c r="E730" i="1"/>
  <c r="L730" i="1" s="1"/>
  <c r="E731" i="1"/>
  <c r="L731" i="1" s="1"/>
  <c r="E732" i="1"/>
  <c r="L732" i="1" s="1"/>
  <c r="E733" i="1"/>
  <c r="E734" i="1"/>
  <c r="L734" i="1" s="1"/>
  <c r="E735" i="1"/>
  <c r="L735" i="1" s="1"/>
  <c r="E736" i="1"/>
  <c r="L736" i="1" s="1"/>
  <c r="E737" i="1"/>
  <c r="L737" i="1" s="1"/>
  <c r="E738" i="1"/>
  <c r="L738" i="1" s="1"/>
  <c r="E739" i="1"/>
  <c r="L739" i="1"/>
  <c r="E740" i="1"/>
  <c r="L740" i="1" s="1"/>
  <c r="E741" i="1"/>
  <c r="L741" i="1" s="1"/>
  <c r="E742" i="1"/>
  <c r="L742" i="1" s="1"/>
  <c r="E743" i="1"/>
  <c r="L743" i="1" s="1"/>
  <c r="E744" i="1"/>
  <c r="L744" i="1" s="1"/>
  <c r="E745" i="1"/>
  <c r="L745" i="1" s="1"/>
  <c r="E746" i="1"/>
  <c r="L746" i="1" s="1"/>
  <c r="E747" i="1"/>
  <c r="L747" i="1" s="1"/>
  <c r="E748" i="1"/>
  <c r="L748" i="1" s="1"/>
  <c r="E749" i="1"/>
  <c r="L749" i="1"/>
  <c r="E750" i="1"/>
  <c r="L750" i="1" s="1"/>
  <c r="E751" i="1"/>
  <c r="L751" i="1" s="1"/>
  <c r="E752" i="1"/>
  <c r="L752" i="1" s="1"/>
  <c r="E753" i="1"/>
  <c r="L753" i="1" s="1"/>
  <c r="E754" i="1"/>
  <c r="L754" i="1" s="1"/>
  <c r="E755" i="1"/>
  <c r="E756" i="1"/>
  <c r="L756" i="1" s="1"/>
  <c r="E757" i="1"/>
  <c r="L757" i="1" s="1"/>
  <c r="E758" i="1"/>
  <c r="L758" i="1" s="1"/>
  <c r="E759" i="1"/>
  <c r="L759" i="1" s="1"/>
  <c r="E760" i="1"/>
  <c r="L760" i="1" s="1"/>
  <c r="E761" i="1"/>
  <c r="L761" i="1" s="1"/>
  <c r="E762" i="1"/>
  <c r="L762" i="1" s="1"/>
  <c r="E763" i="1"/>
  <c r="L763" i="1" s="1"/>
  <c r="E764" i="1"/>
  <c r="L764" i="1" s="1"/>
  <c r="E765" i="1"/>
  <c r="L765" i="1"/>
  <c r="E766" i="1"/>
  <c r="L766" i="1" s="1"/>
  <c r="E767" i="1"/>
  <c r="L767" i="1" s="1"/>
  <c r="E768" i="1"/>
  <c r="L768" i="1" s="1"/>
  <c r="E769" i="1"/>
  <c r="L769" i="1"/>
  <c r="E770" i="1"/>
  <c r="L770" i="1" s="1"/>
  <c r="E771" i="1"/>
  <c r="L771" i="1"/>
  <c r="E772" i="1"/>
  <c r="L772" i="1" s="1"/>
  <c r="E773" i="1"/>
  <c r="L773" i="1" s="1"/>
  <c r="E774" i="1"/>
  <c r="L774" i="1" s="1"/>
  <c r="E775" i="1"/>
  <c r="L775" i="1" s="1"/>
  <c r="E776" i="1"/>
  <c r="L776" i="1" s="1"/>
  <c r="E777" i="1"/>
  <c r="L777" i="1" s="1"/>
  <c r="E778" i="1"/>
  <c r="L778" i="1" s="1"/>
  <c r="E779" i="1"/>
  <c r="L779" i="1" s="1"/>
  <c r="E780" i="1"/>
  <c r="L780" i="1" s="1"/>
  <c r="E781" i="1"/>
  <c r="L781" i="1" s="1"/>
  <c r="E782" i="1"/>
  <c r="L782" i="1" s="1"/>
  <c r="E783" i="1"/>
  <c r="L783" i="1" s="1"/>
  <c r="E784" i="1"/>
  <c r="L784" i="1" s="1"/>
  <c r="E785" i="1"/>
  <c r="L785" i="1" s="1"/>
  <c r="E786" i="1"/>
  <c r="L786" i="1" s="1"/>
  <c r="E787" i="1"/>
  <c r="L787" i="1" s="1"/>
  <c r="E788" i="1"/>
  <c r="L788" i="1" s="1"/>
  <c r="E789" i="1"/>
  <c r="L789" i="1" s="1"/>
  <c r="E790" i="1"/>
  <c r="L790" i="1" s="1"/>
  <c r="E791" i="1"/>
  <c r="L791" i="1" s="1"/>
  <c r="E792" i="1"/>
  <c r="L792" i="1" s="1"/>
  <c r="E793" i="1"/>
  <c r="E794" i="1"/>
  <c r="L794" i="1" s="1"/>
  <c r="E795" i="1"/>
  <c r="L795" i="1" s="1"/>
  <c r="E796" i="1"/>
  <c r="L796" i="1" s="1"/>
  <c r="E797" i="1"/>
  <c r="L797" i="1"/>
  <c r="E798" i="1"/>
  <c r="L798" i="1" s="1"/>
  <c r="E799" i="1"/>
  <c r="L799" i="1" s="1"/>
  <c r="E800" i="1"/>
  <c r="L800" i="1" s="1"/>
  <c r="E801" i="1"/>
  <c r="L801" i="1" s="1"/>
  <c r="E802" i="1"/>
  <c r="L802" i="1" s="1"/>
  <c r="E803" i="1"/>
  <c r="L803" i="1"/>
  <c r="E804" i="1"/>
  <c r="L804" i="1" s="1"/>
  <c r="E805" i="1"/>
  <c r="L805" i="1" s="1"/>
  <c r="E806" i="1"/>
  <c r="L806" i="1" s="1"/>
  <c r="E807" i="1"/>
  <c r="L807" i="1" s="1"/>
  <c r="E808" i="1"/>
  <c r="L808" i="1" s="1"/>
  <c r="E809" i="1"/>
  <c r="E810" i="1"/>
  <c r="L810" i="1" s="1"/>
  <c r="E811" i="1"/>
  <c r="L811" i="1" s="1"/>
  <c r="E812" i="1"/>
  <c r="L812" i="1" s="1"/>
  <c r="E813" i="1"/>
  <c r="L813" i="1" s="1"/>
  <c r="E814" i="1"/>
  <c r="L814" i="1" s="1"/>
  <c r="E815" i="1"/>
  <c r="L815" i="1" s="1"/>
  <c r="E816" i="1"/>
  <c r="L816" i="1" s="1"/>
  <c r="E817" i="1"/>
  <c r="L817" i="1"/>
  <c r="E818" i="1"/>
  <c r="E819" i="1"/>
  <c r="L819" i="1" s="1"/>
  <c r="E820" i="1"/>
  <c r="L820" i="1" s="1"/>
  <c r="E821" i="1"/>
  <c r="L821" i="1" s="1"/>
  <c r="E822" i="1"/>
  <c r="L822" i="1" s="1"/>
  <c r="E823" i="1"/>
  <c r="L823" i="1" s="1"/>
  <c r="E824" i="1"/>
  <c r="L824" i="1" s="1"/>
  <c r="E825" i="1"/>
  <c r="L825" i="1" s="1"/>
  <c r="E826" i="1"/>
  <c r="L826" i="1" s="1"/>
  <c r="E827" i="1"/>
  <c r="L827" i="1" s="1"/>
  <c r="E828" i="1"/>
  <c r="L828" i="1" s="1"/>
  <c r="E829" i="1"/>
  <c r="L829" i="1" s="1"/>
  <c r="E830" i="1"/>
  <c r="L830" i="1" s="1"/>
  <c r="E831" i="1"/>
  <c r="L831" i="1" s="1"/>
  <c r="E832" i="1"/>
  <c r="L832" i="1" s="1"/>
  <c r="E833" i="1"/>
  <c r="L833" i="1" s="1"/>
  <c r="E834" i="1"/>
  <c r="L834" i="1" s="1"/>
  <c r="E835" i="1"/>
  <c r="L835" i="1" s="1"/>
  <c r="E836" i="1"/>
  <c r="L836" i="1" s="1"/>
  <c r="E837" i="1"/>
  <c r="L837" i="1" s="1"/>
  <c r="E838" i="1"/>
  <c r="L838" i="1" s="1"/>
  <c r="E839" i="1"/>
  <c r="L839" i="1" s="1"/>
  <c r="E840" i="1"/>
  <c r="E841" i="1"/>
  <c r="L841" i="1" s="1"/>
  <c r="E842" i="1"/>
  <c r="L842" i="1" s="1"/>
  <c r="E843" i="1"/>
  <c r="L843" i="1" s="1"/>
  <c r="E844" i="1"/>
  <c r="L844" i="1" s="1"/>
  <c r="E845" i="1"/>
  <c r="L845" i="1" s="1"/>
  <c r="E846" i="1"/>
  <c r="L846" i="1" s="1"/>
  <c r="E847" i="1"/>
  <c r="L847" i="1" s="1"/>
  <c r="E848" i="1"/>
  <c r="L848" i="1" s="1"/>
  <c r="E849" i="1"/>
  <c r="L849" i="1" s="1"/>
  <c r="E850" i="1"/>
  <c r="L850" i="1" s="1"/>
  <c r="E851" i="1"/>
  <c r="L851" i="1"/>
  <c r="E852" i="1"/>
  <c r="L852" i="1" s="1"/>
  <c r="E853" i="1"/>
  <c r="L853" i="1" s="1"/>
  <c r="E854" i="1"/>
  <c r="L854" i="1" s="1"/>
  <c r="E855" i="1"/>
  <c r="L855" i="1" s="1"/>
  <c r="E856" i="1"/>
  <c r="L856" i="1" s="1"/>
  <c r="E857" i="1"/>
  <c r="L857" i="1" s="1"/>
  <c r="E858" i="1"/>
  <c r="L858" i="1" s="1"/>
  <c r="E859" i="1"/>
  <c r="L859" i="1" s="1"/>
  <c r="E860" i="1"/>
  <c r="L860" i="1" s="1"/>
  <c r="E861" i="1"/>
  <c r="L861" i="1" s="1"/>
  <c r="E862" i="1"/>
  <c r="E863" i="1"/>
  <c r="L863" i="1" s="1"/>
  <c r="E864" i="1"/>
  <c r="L864" i="1" s="1"/>
  <c r="E865" i="1"/>
  <c r="L865" i="1"/>
  <c r="E866" i="1"/>
  <c r="L866" i="1" s="1"/>
  <c r="E867" i="1"/>
  <c r="L867" i="1" s="1"/>
  <c r="E868" i="1"/>
  <c r="L868" i="1" s="1"/>
  <c r="E869" i="1"/>
  <c r="L869" i="1" s="1"/>
  <c r="E870" i="1"/>
  <c r="L870" i="1" s="1"/>
  <c r="E871" i="1"/>
  <c r="L871" i="1" s="1"/>
  <c r="E872" i="1"/>
  <c r="L872" i="1"/>
  <c r="E873" i="1"/>
  <c r="L873" i="1" s="1"/>
  <c r="E874" i="1"/>
  <c r="L874" i="1"/>
  <c r="E875" i="1"/>
  <c r="L875" i="1" s="1"/>
  <c r="E876" i="1"/>
  <c r="L876" i="1" s="1"/>
  <c r="E877" i="1"/>
  <c r="L877" i="1" s="1"/>
  <c r="E878" i="1"/>
  <c r="L878" i="1"/>
  <c r="E879" i="1"/>
  <c r="L879" i="1" s="1"/>
  <c r="E880" i="1"/>
  <c r="L880" i="1"/>
  <c r="E881" i="1"/>
  <c r="L881" i="1" s="1"/>
  <c r="E882" i="1"/>
  <c r="E883" i="1"/>
  <c r="L883" i="1" s="1"/>
  <c r="E884" i="1"/>
  <c r="L884" i="1" s="1"/>
  <c r="E885" i="1"/>
  <c r="L885" i="1" s="1"/>
  <c r="E886" i="1"/>
  <c r="L886" i="1" s="1"/>
  <c r="E887" i="1"/>
  <c r="L887" i="1" s="1"/>
  <c r="E888" i="1"/>
  <c r="L888" i="1" s="1"/>
  <c r="E889" i="1"/>
  <c r="L889" i="1" s="1"/>
  <c r="E890" i="1"/>
  <c r="L890" i="1" s="1"/>
  <c r="E891" i="1"/>
  <c r="L891" i="1" s="1"/>
  <c r="E892" i="1"/>
  <c r="L892" i="1" s="1"/>
  <c r="E893" i="1"/>
  <c r="L893" i="1" s="1"/>
  <c r="E894" i="1"/>
  <c r="L894" i="1" s="1"/>
  <c r="E895" i="1"/>
  <c r="L895" i="1" s="1"/>
  <c r="E896" i="1"/>
  <c r="L896" i="1" s="1"/>
  <c r="E897" i="1"/>
  <c r="L897" i="1" s="1"/>
  <c r="E898" i="1"/>
  <c r="L898" i="1"/>
  <c r="E899" i="1"/>
  <c r="L899" i="1" s="1"/>
  <c r="E900" i="1"/>
  <c r="L900" i="1" s="1"/>
  <c r="E901" i="1"/>
  <c r="E902" i="1"/>
  <c r="L902" i="1" s="1"/>
  <c r="E903" i="1"/>
  <c r="L903" i="1" s="1"/>
  <c r="E904" i="1"/>
  <c r="L904" i="1" s="1"/>
  <c r="E905" i="1"/>
  <c r="L905" i="1" s="1"/>
  <c r="E906" i="1"/>
  <c r="L906" i="1" s="1"/>
  <c r="E907" i="1"/>
  <c r="L907" i="1" s="1"/>
  <c r="E908" i="1"/>
  <c r="L908" i="1" s="1"/>
  <c r="E909" i="1"/>
  <c r="L909" i="1" s="1"/>
  <c r="E910" i="1"/>
  <c r="L910" i="1" s="1"/>
  <c r="E911" i="1"/>
  <c r="L911" i="1" s="1"/>
  <c r="E912" i="1"/>
  <c r="L912" i="1" s="1"/>
  <c r="E913" i="1"/>
  <c r="L913" i="1" s="1"/>
  <c r="E914" i="1"/>
  <c r="L914" i="1" s="1"/>
  <c r="E915" i="1"/>
  <c r="L915" i="1" s="1"/>
  <c r="E916" i="1"/>
  <c r="L916" i="1" s="1"/>
  <c r="E917" i="1"/>
  <c r="L917" i="1" s="1"/>
  <c r="E918" i="1"/>
  <c r="L918" i="1" s="1"/>
  <c r="E919" i="1"/>
  <c r="L919" i="1" s="1"/>
  <c r="E920" i="1"/>
  <c r="L920" i="1"/>
  <c r="E921" i="1"/>
  <c r="L921" i="1" s="1"/>
  <c r="E922" i="1"/>
  <c r="L922" i="1" s="1"/>
  <c r="E923" i="1"/>
  <c r="E924" i="1"/>
  <c r="L924" i="1" s="1"/>
  <c r="E925" i="1"/>
  <c r="L925" i="1" s="1"/>
  <c r="E926" i="1"/>
  <c r="L926" i="1"/>
  <c r="E927" i="1"/>
  <c r="L927" i="1" s="1"/>
  <c r="E928" i="1"/>
  <c r="L928" i="1" s="1"/>
  <c r="E929" i="1"/>
  <c r="L929" i="1" s="1"/>
  <c r="E930" i="1"/>
  <c r="L930" i="1" s="1"/>
  <c r="E931" i="1"/>
  <c r="L931" i="1" s="1"/>
  <c r="E932" i="1"/>
  <c r="L932" i="1"/>
  <c r="E933" i="1"/>
  <c r="L933" i="1" s="1"/>
  <c r="E934" i="1"/>
  <c r="L934" i="1" s="1"/>
  <c r="E935" i="1"/>
  <c r="L935" i="1" s="1"/>
  <c r="E936" i="1"/>
  <c r="L936" i="1" s="1"/>
  <c r="E937" i="1"/>
  <c r="E938" i="1"/>
  <c r="L938" i="1" s="1"/>
  <c r="E939" i="1"/>
  <c r="L939" i="1" s="1"/>
  <c r="E940" i="1"/>
  <c r="L940" i="1" s="1"/>
  <c r="E941" i="1"/>
  <c r="L941" i="1" s="1"/>
  <c r="E942" i="1"/>
  <c r="L942" i="1"/>
  <c r="E943" i="1"/>
  <c r="L943" i="1" s="1"/>
  <c r="E944" i="1"/>
  <c r="L944" i="1" s="1"/>
  <c r="E945" i="1"/>
  <c r="L945" i="1" s="1"/>
  <c r="E946" i="1"/>
  <c r="L946" i="1" s="1"/>
  <c r="E947" i="1"/>
  <c r="L947" i="1" s="1"/>
  <c r="E948" i="1"/>
  <c r="L948" i="1"/>
  <c r="E949" i="1"/>
  <c r="L949" i="1" s="1"/>
  <c r="E950" i="1"/>
  <c r="L950" i="1" s="1"/>
  <c r="E951" i="1"/>
  <c r="L951" i="1" s="1"/>
  <c r="E952" i="1"/>
  <c r="L952" i="1" s="1"/>
  <c r="E953" i="1"/>
  <c r="L953" i="1" s="1"/>
  <c r="E954" i="1"/>
  <c r="L954" i="1" s="1"/>
  <c r="E955" i="1"/>
  <c r="L955" i="1" s="1"/>
  <c r="E956" i="1"/>
  <c r="L956" i="1"/>
  <c r="E957" i="1"/>
  <c r="L957" i="1" s="1"/>
  <c r="E958" i="1"/>
  <c r="L958" i="1" s="1"/>
  <c r="E959" i="1"/>
  <c r="L959" i="1" s="1"/>
  <c r="E960" i="1"/>
  <c r="L960" i="1" s="1"/>
  <c r="E961" i="1"/>
  <c r="L961" i="1" s="1"/>
  <c r="E962" i="1"/>
  <c r="L962" i="1" s="1"/>
  <c r="E963" i="1"/>
  <c r="L963" i="1" s="1"/>
  <c r="E964" i="1"/>
  <c r="L964" i="1" s="1"/>
  <c r="E965" i="1"/>
  <c r="E966" i="1"/>
  <c r="L966" i="1"/>
  <c r="E967" i="1"/>
  <c r="L967" i="1" s="1"/>
  <c r="E968" i="1"/>
  <c r="L968" i="1" s="1"/>
  <c r="E969" i="1"/>
  <c r="L969" i="1" s="1"/>
  <c r="E970" i="1"/>
  <c r="L970" i="1" s="1"/>
  <c r="E971" i="1"/>
  <c r="L971" i="1" s="1"/>
  <c r="E972" i="1"/>
  <c r="L972" i="1" s="1"/>
  <c r="E973" i="1"/>
  <c r="L973" i="1" s="1"/>
  <c r="E974" i="1"/>
  <c r="L974" i="1" s="1"/>
  <c r="E975" i="1"/>
  <c r="L975" i="1" s="1"/>
  <c r="E976" i="1"/>
  <c r="L976" i="1" s="1"/>
  <c r="E977" i="1"/>
  <c r="L977" i="1" s="1"/>
  <c r="E978" i="1"/>
  <c r="L978" i="1" s="1"/>
  <c r="E979" i="1"/>
  <c r="L979" i="1" s="1"/>
  <c r="E980" i="1"/>
  <c r="L980" i="1" s="1"/>
  <c r="E981" i="1"/>
  <c r="L981" i="1" s="1"/>
  <c r="E982" i="1"/>
  <c r="L982" i="1"/>
  <c r="E983" i="1"/>
  <c r="L983" i="1" s="1"/>
  <c r="E984" i="1"/>
  <c r="L984" i="1" s="1"/>
  <c r="E985" i="1"/>
  <c r="L985" i="1" s="1"/>
  <c r="E986" i="1"/>
  <c r="L986" i="1" s="1"/>
  <c r="E987" i="1"/>
  <c r="L987" i="1" s="1"/>
  <c r="E988" i="1"/>
  <c r="L988" i="1" s="1"/>
  <c r="E989" i="1"/>
  <c r="L989" i="1" s="1"/>
  <c r="E990" i="1"/>
  <c r="L990" i="1" s="1"/>
  <c r="E991" i="1"/>
  <c r="L991" i="1" s="1"/>
  <c r="E992" i="1"/>
  <c r="L992" i="1" s="1"/>
  <c r="E993" i="1"/>
  <c r="E994" i="1"/>
  <c r="L994" i="1"/>
  <c r="E995" i="1"/>
  <c r="L995" i="1" s="1"/>
  <c r="E996" i="1"/>
  <c r="L996" i="1" s="1"/>
  <c r="E997" i="1"/>
  <c r="L997" i="1" s="1"/>
  <c r="E998" i="1"/>
  <c r="L998" i="1" s="1"/>
  <c r="E999" i="1"/>
  <c r="L999" i="1" s="1"/>
  <c r="E1000" i="1"/>
  <c r="L1000" i="1" s="1"/>
  <c r="E1001" i="1"/>
  <c r="L1001" i="1" s="1"/>
  <c r="E1002" i="1"/>
  <c r="L1002" i="1" s="1"/>
  <c r="E1003" i="1"/>
  <c r="L1003" i="1" s="1"/>
  <c r="E1004" i="1"/>
  <c r="L1004" i="1"/>
  <c r="E1005" i="1"/>
  <c r="L1005" i="1" s="1"/>
  <c r="E1006" i="1"/>
  <c r="L1006" i="1" s="1"/>
  <c r="E1007" i="1"/>
  <c r="L1007" i="1" s="1"/>
  <c r="E1008" i="1"/>
  <c r="L1008" i="1" s="1"/>
  <c r="E1009" i="1"/>
  <c r="L1009" i="1" s="1"/>
  <c r="E1010" i="1"/>
  <c r="L1010" i="1"/>
  <c r="E1011" i="1"/>
  <c r="L1011" i="1" s="1"/>
  <c r="E1012" i="1"/>
  <c r="E1013" i="1"/>
  <c r="L1013" i="1" s="1"/>
  <c r="E1014" i="1"/>
  <c r="L1014" i="1" s="1"/>
  <c r="E1015" i="1"/>
  <c r="L1015" i="1" s="1"/>
  <c r="E1016" i="1"/>
  <c r="L1016" i="1" s="1"/>
  <c r="E1017" i="1"/>
  <c r="L1017" i="1" s="1"/>
  <c r="E1018" i="1"/>
  <c r="L1018" i="1"/>
  <c r="E1019" i="1"/>
  <c r="L1019" i="1" s="1"/>
  <c r="E1020" i="1"/>
  <c r="L1020" i="1" s="1"/>
  <c r="E1021" i="1"/>
  <c r="L1021" i="1" s="1"/>
  <c r="E1022" i="1"/>
  <c r="L1022" i="1" s="1"/>
  <c r="E1023" i="1"/>
  <c r="L1023" i="1" s="1"/>
  <c r="E1024" i="1"/>
  <c r="L1024" i="1" s="1"/>
  <c r="E1025" i="1"/>
  <c r="L1025" i="1" s="1"/>
  <c r="E1026" i="1"/>
  <c r="L1026" i="1" s="1"/>
  <c r="E1027" i="1"/>
  <c r="L1027" i="1" s="1"/>
  <c r="E1028" i="1"/>
  <c r="L1028" i="1" s="1"/>
  <c r="E1029" i="1"/>
  <c r="L1029" i="1" s="1"/>
  <c r="E1030" i="1"/>
  <c r="L1030" i="1" s="1"/>
  <c r="E1031" i="1"/>
  <c r="L1031" i="1" s="1"/>
  <c r="E1032" i="1"/>
  <c r="E1033" i="1"/>
  <c r="L1033" i="1" s="1"/>
  <c r="E1034" i="1"/>
  <c r="L1034" i="1" s="1"/>
  <c r="E1035" i="1"/>
  <c r="L1035" i="1" s="1"/>
  <c r="E1036" i="1"/>
  <c r="L1036" i="1" s="1"/>
  <c r="E1037" i="1"/>
  <c r="L1037" i="1" s="1"/>
  <c r="E1038" i="1"/>
  <c r="L1038" i="1" s="1"/>
  <c r="E1039" i="1"/>
  <c r="L1039" i="1" s="1"/>
  <c r="E1040" i="1"/>
  <c r="L1040" i="1"/>
  <c r="E1041" i="1"/>
  <c r="E1042" i="1"/>
  <c r="L1042" i="1" s="1"/>
  <c r="E1043" i="1"/>
  <c r="L1043" i="1" s="1"/>
  <c r="E1044" i="1"/>
  <c r="L1044" i="1" s="1"/>
  <c r="E1045" i="1"/>
  <c r="L1045" i="1" s="1"/>
  <c r="E1046" i="1"/>
  <c r="L1046" i="1"/>
  <c r="E1047" i="1"/>
  <c r="L1047" i="1" s="1"/>
  <c r="E1048" i="1"/>
  <c r="L1048" i="1" s="1"/>
  <c r="E1049" i="1"/>
  <c r="L1049" i="1" s="1"/>
  <c r="E1050" i="1"/>
  <c r="L1050" i="1" s="1"/>
  <c r="E1051" i="1"/>
  <c r="L1051" i="1" s="1"/>
  <c r="E1052" i="1"/>
  <c r="L1052" i="1"/>
  <c r="E1053" i="1"/>
  <c r="L1053" i="1" s="1"/>
  <c r="E1054" i="1"/>
  <c r="L1054" i="1" s="1"/>
  <c r="E1055" i="1"/>
  <c r="E1056" i="1"/>
  <c r="L1056" i="1" s="1"/>
  <c r="E1057" i="1"/>
  <c r="L1057" i="1" s="1"/>
  <c r="E1058" i="1"/>
  <c r="L1058" i="1" s="1"/>
  <c r="E1059" i="1"/>
  <c r="L1059" i="1" s="1"/>
  <c r="E1060" i="1"/>
  <c r="L1060" i="1" s="1"/>
  <c r="E1061" i="1"/>
  <c r="L1061" i="1" s="1"/>
  <c r="E1062" i="1"/>
  <c r="L1062" i="1" s="1"/>
  <c r="E1063" i="1"/>
  <c r="L1063" i="1" s="1"/>
  <c r="E1064" i="1"/>
  <c r="L1064" i="1" s="1"/>
  <c r="E1065" i="1"/>
  <c r="L1065" i="1" s="1"/>
  <c r="E1066" i="1"/>
  <c r="L1066" i="1"/>
  <c r="E1067" i="1"/>
  <c r="L1067" i="1" s="1"/>
  <c r="E1068" i="1"/>
  <c r="L1068" i="1" s="1"/>
  <c r="E1069" i="1"/>
  <c r="L1069" i="1" s="1"/>
  <c r="E1070" i="1"/>
  <c r="L1070" i="1" s="1"/>
  <c r="E1071" i="1"/>
  <c r="E1072" i="1"/>
  <c r="L1072" i="1" s="1"/>
  <c r="E1073" i="1"/>
  <c r="L1073" i="1" s="1"/>
  <c r="E1074" i="1"/>
  <c r="L1074" i="1"/>
  <c r="E1075" i="1"/>
  <c r="E1076" i="1"/>
  <c r="E1077" i="1"/>
  <c r="L1077" i="1" s="1"/>
  <c r="E1078" i="1"/>
  <c r="L1078" i="1" s="1"/>
  <c r="E1079" i="1"/>
  <c r="L1079" i="1" s="1"/>
  <c r="E1080" i="1"/>
  <c r="L1080" i="1" s="1"/>
  <c r="E1081" i="1"/>
  <c r="L1081" i="1" s="1"/>
  <c r="E1082" i="1"/>
  <c r="L1082" i="1" s="1"/>
  <c r="E1083" i="1"/>
  <c r="L1083" i="1" s="1"/>
  <c r="E1084" i="1"/>
  <c r="L1084" i="1" s="1"/>
  <c r="E1085" i="1"/>
  <c r="L1085" i="1" s="1"/>
  <c r="E1086" i="1"/>
  <c r="L1086" i="1" s="1"/>
  <c r="E1087" i="1"/>
  <c r="L1087" i="1" s="1"/>
  <c r="E1088" i="1"/>
  <c r="L1088" i="1" s="1"/>
  <c r="E1089" i="1"/>
  <c r="L1089" i="1" s="1"/>
  <c r="E1090" i="1"/>
  <c r="L1090" i="1"/>
  <c r="E1091" i="1"/>
  <c r="L1091" i="1" s="1"/>
  <c r="E1092" i="1"/>
  <c r="L1092" i="1" s="1"/>
  <c r="E1093" i="1"/>
  <c r="L1093" i="1" s="1"/>
  <c r="E1094" i="1"/>
  <c r="L1094" i="1" s="1"/>
  <c r="E1095" i="1"/>
  <c r="L1095" i="1" s="1"/>
  <c r="E1096" i="1"/>
  <c r="L1096" i="1" s="1"/>
  <c r="E1097" i="1"/>
  <c r="L1097" i="1" s="1"/>
  <c r="E1098" i="1"/>
  <c r="L1098" i="1" s="1"/>
  <c r="E1099" i="1"/>
  <c r="L1099" i="1" s="1"/>
  <c r="E1100" i="1"/>
  <c r="E1101" i="1"/>
  <c r="L1101" i="1" s="1"/>
  <c r="E1102" i="1"/>
  <c r="L1102" i="1" s="1"/>
  <c r="E1103" i="1"/>
  <c r="L1103" i="1" s="1"/>
  <c r="E1104" i="1"/>
  <c r="L1104" i="1" s="1"/>
  <c r="E1105" i="1"/>
  <c r="L1105" i="1" s="1"/>
  <c r="E1106" i="1"/>
  <c r="L1106" i="1"/>
  <c r="E1107" i="1"/>
  <c r="L1107" i="1" s="1"/>
  <c r="E1108" i="1"/>
  <c r="L1108" i="1" s="1"/>
  <c r="E1109" i="1"/>
  <c r="L1109" i="1" s="1"/>
  <c r="E1110" i="1"/>
  <c r="L1110" i="1" s="1"/>
  <c r="E1111" i="1"/>
  <c r="L1111" i="1" s="1"/>
  <c r="E1112" i="1"/>
  <c r="L1112" i="1" s="1"/>
  <c r="E1113" i="1"/>
  <c r="L1113" i="1" s="1"/>
  <c r="E1114" i="1"/>
  <c r="L1114" i="1" s="1"/>
  <c r="E1115" i="1"/>
  <c r="L1115" i="1" s="1"/>
  <c r="E1116" i="1"/>
  <c r="L1116" i="1" s="1"/>
  <c r="E1117" i="1"/>
  <c r="L1117" i="1" s="1"/>
  <c r="E1118" i="1"/>
  <c r="L1118" i="1" s="1"/>
  <c r="E1119" i="1"/>
  <c r="L1119" i="1" s="1"/>
  <c r="E1120" i="1"/>
  <c r="L1120" i="1" s="1"/>
  <c r="E1121" i="1"/>
  <c r="L1121" i="1" s="1"/>
  <c r="E1122" i="1"/>
  <c r="L1122" i="1"/>
  <c r="E1123" i="1"/>
  <c r="L1123" i="1" s="1"/>
  <c r="E1124" i="1"/>
  <c r="L1124" i="1" s="1"/>
  <c r="E1125" i="1"/>
  <c r="L1125" i="1" s="1"/>
  <c r="E1126" i="1"/>
  <c r="E1127" i="1"/>
  <c r="L1127" i="1" s="1"/>
  <c r="E1128" i="1"/>
  <c r="L1128" i="1" s="1"/>
  <c r="E1129" i="1"/>
  <c r="L1129" i="1" s="1"/>
  <c r="E1130" i="1"/>
  <c r="L1130" i="1" s="1"/>
  <c r="E1131" i="1"/>
  <c r="L1131" i="1" s="1"/>
  <c r="E1132" i="1"/>
  <c r="L1132" i="1" s="1"/>
  <c r="E1133" i="1"/>
  <c r="L1133" i="1" s="1"/>
  <c r="E1134" i="1"/>
  <c r="L1134" i="1" s="1"/>
  <c r="E1135" i="1"/>
  <c r="L1135" i="1" s="1"/>
  <c r="E1136" i="1"/>
  <c r="L1136" i="1" s="1"/>
  <c r="E1137" i="1"/>
  <c r="L1137" i="1" s="1"/>
  <c r="E1138" i="1"/>
  <c r="L1138" i="1"/>
  <c r="E1139" i="1"/>
  <c r="L1139" i="1" s="1"/>
  <c r="E1140" i="1"/>
  <c r="L1140" i="1" s="1"/>
  <c r="E1141" i="1"/>
  <c r="L1141" i="1" s="1"/>
  <c r="E1142" i="1"/>
  <c r="L1142" i="1" s="1"/>
  <c r="E1143" i="1"/>
  <c r="L1143" i="1" s="1"/>
  <c r="E1144" i="1"/>
  <c r="L1144" i="1" s="1"/>
  <c r="E1145" i="1"/>
  <c r="L1145" i="1" s="1"/>
  <c r="E1146" i="1"/>
  <c r="E1147" i="1"/>
  <c r="L1147" i="1" s="1"/>
  <c r="E1148" i="1"/>
  <c r="L1148" i="1"/>
  <c r="E1149" i="1"/>
  <c r="L1149" i="1" s="1"/>
  <c r="E1150" i="1"/>
  <c r="L1150" i="1" s="1"/>
  <c r="E1151" i="1"/>
  <c r="L1151" i="1" s="1"/>
  <c r="E1152" i="1"/>
  <c r="L1152" i="1" s="1"/>
  <c r="E1153" i="1"/>
  <c r="L1153" i="1" s="1"/>
  <c r="E1154" i="1"/>
  <c r="L1154" i="1" s="1"/>
  <c r="E1155" i="1"/>
  <c r="L1155" i="1" s="1"/>
  <c r="E1156" i="1"/>
  <c r="L1156" i="1" s="1"/>
  <c r="E1157" i="1"/>
  <c r="L1157" i="1" s="1"/>
  <c r="E1158" i="1"/>
  <c r="L1158" i="1" s="1"/>
  <c r="E1159" i="1"/>
  <c r="E1160" i="1"/>
  <c r="L1160" i="1" s="1"/>
  <c r="E1161" i="1"/>
  <c r="E1162" i="1"/>
  <c r="E1163" i="1"/>
  <c r="E1164" i="1"/>
  <c r="E1165" i="1"/>
  <c r="E1166" i="1"/>
  <c r="L1166" i="1" s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L1197" i="1" s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K1228" i="1" s="1"/>
  <c r="E1229" i="1"/>
  <c r="E1230" i="1"/>
  <c r="E1231" i="1"/>
  <c r="E1232" i="1"/>
  <c r="E1233" i="1"/>
  <c r="E1234" i="1"/>
  <c r="E1235" i="1"/>
  <c r="E1236" i="1"/>
  <c r="L1236" i="1" s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L1267" i="1" s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K1280" i="1" s="1"/>
  <c r="L1280" i="1"/>
  <c r="E1281" i="1"/>
  <c r="E1282" i="1"/>
  <c r="K1282" i="1" s="1"/>
  <c r="E1283" i="1"/>
  <c r="E1284" i="1"/>
  <c r="E1285" i="1"/>
  <c r="E1286" i="1"/>
  <c r="E1287" i="1"/>
  <c r="E1288" i="1"/>
  <c r="E1289" i="1"/>
  <c r="E1290" i="1"/>
  <c r="E1291" i="1"/>
  <c r="L1291" i="1" s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L1304" i="1" s="1"/>
  <c r="E1305" i="1"/>
  <c r="E1306" i="1"/>
  <c r="E1307" i="1"/>
  <c r="E1308" i="1"/>
  <c r="E1309" i="1"/>
  <c r="E1310" i="1"/>
  <c r="E1311" i="1"/>
  <c r="E1312" i="1"/>
  <c r="L1312" i="1" s="1"/>
  <c r="E1313" i="1"/>
  <c r="L1313" i="1" s="1"/>
  <c r="E1314" i="1"/>
  <c r="L1314" i="1"/>
  <c r="E1315" i="1"/>
  <c r="L1315" i="1" s="1"/>
  <c r="E1316" i="1"/>
  <c r="L1316" i="1"/>
  <c r="E1317" i="1"/>
  <c r="L1317" i="1" s="1"/>
  <c r="E1318" i="1"/>
  <c r="L1318" i="1" s="1"/>
  <c r="E1319" i="1"/>
  <c r="L1319" i="1" s="1"/>
  <c r="E1320" i="1"/>
  <c r="L1320" i="1" s="1"/>
  <c r="E1321" i="1"/>
  <c r="E1322" i="1"/>
  <c r="L1322" i="1" s="1"/>
  <c r="E1323" i="1"/>
  <c r="L1323" i="1" s="1"/>
  <c r="E1324" i="1"/>
  <c r="L1324" i="1" s="1"/>
  <c r="E1325" i="1"/>
  <c r="L1325" i="1" s="1"/>
  <c r="E1326" i="1"/>
  <c r="L1326" i="1"/>
  <c r="E1327" i="1"/>
  <c r="L1327" i="1" s="1"/>
  <c r="E1328" i="1"/>
  <c r="L1328" i="1" s="1"/>
  <c r="E1329" i="1"/>
  <c r="L1329" i="1" s="1"/>
  <c r="E1330" i="1"/>
  <c r="L1330" i="1"/>
  <c r="E1331" i="1"/>
  <c r="L1331" i="1" s="1"/>
  <c r="E1332" i="1"/>
  <c r="L1332" i="1"/>
  <c r="E1333" i="1"/>
  <c r="L1333" i="1" s="1"/>
  <c r="E1334" i="1"/>
  <c r="L1334" i="1" s="1"/>
  <c r="E1335" i="1"/>
  <c r="L1335" i="1" s="1"/>
  <c r="E1336" i="1"/>
  <c r="L1336" i="1" s="1"/>
  <c r="E1337" i="1"/>
  <c r="L1337" i="1" s="1"/>
  <c r="E1338" i="1"/>
  <c r="L1338" i="1"/>
  <c r="E1339" i="1"/>
  <c r="L1339" i="1" s="1"/>
  <c r="E1340" i="1"/>
  <c r="L1340" i="1" s="1"/>
  <c r="E1341" i="1"/>
  <c r="L1341" i="1" s="1"/>
  <c r="E1342" i="1"/>
  <c r="L1342" i="1" s="1"/>
  <c r="E1343" i="1"/>
  <c r="L1343" i="1" s="1"/>
  <c r="E1344" i="1"/>
  <c r="L1344" i="1" s="1"/>
  <c r="E1345" i="1"/>
  <c r="L1345" i="1" s="1"/>
  <c r="E1346" i="1"/>
  <c r="L1346" i="1" s="1"/>
  <c r="E1347" i="1"/>
  <c r="E1348" i="1"/>
  <c r="L1348" i="1" s="1"/>
  <c r="E1349" i="1"/>
  <c r="L1349" i="1" s="1"/>
  <c r="E1350" i="1"/>
  <c r="L1350" i="1" s="1"/>
  <c r="E1351" i="1"/>
  <c r="L1351" i="1" s="1"/>
  <c r="E1352" i="1"/>
  <c r="L1352" i="1" s="1"/>
  <c r="E1353" i="1"/>
  <c r="L1353" i="1"/>
  <c r="E1354" i="1"/>
  <c r="L1354" i="1" s="1"/>
  <c r="E1355" i="1"/>
  <c r="L1355" i="1" s="1"/>
  <c r="E1356" i="1"/>
  <c r="L1356" i="1" s="1"/>
  <c r="E1357" i="1"/>
  <c r="L1357" i="1" s="1"/>
  <c r="E1358" i="1"/>
  <c r="L1358" i="1" s="1"/>
  <c r="E1359" i="1"/>
  <c r="L1359" i="1" s="1"/>
  <c r="E1360" i="1"/>
  <c r="L1360" i="1" s="1"/>
  <c r="E1361" i="1"/>
  <c r="L1361" i="1"/>
  <c r="E1362" i="1"/>
  <c r="L1362" i="1" s="1"/>
  <c r="E1363" i="1"/>
  <c r="L1363" i="1"/>
  <c r="E1364" i="1"/>
  <c r="L1364" i="1" s="1"/>
  <c r="E1365" i="1"/>
  <c r="L1365" i="1" s="1"/>
  <c r="E1366" i="1"/>
  <c r="L1366" i="1" s="1"/>
  <c r="E1367" i="1"/>
  <c r="L1367" i="1" s="1"/>
  <c r="E1368" i="1"/>
  <c r="L1368" i="1" s="1"/>
  <c r="E1369" i="1"/>
  <c r="L1369" i="1"/>
  <c r="E1370" i="1"/>
  <c r="L1370" i="1" s="1"/>
  <c r="E1371" i="1"/>
  <c r="L1371" i="1" s="1"/>
  <c r="E1372" i="1"/>
  <c r="L1372" i="1" s="1"/>
  <c r="E1373" i="1"/>
  <c r="E1374" i="1"/>
  <c r="L1374" i="1" s="1"/>
  <c r="E1375" i="1"/>
  <c r="L1375" i="1" s="1"/>
  <c r="E1376" i="1"/>
  <c r="L1376" i="1" s="1"/>
  <c r="E1377" i="1"/>
  <c r="L1377" i="1" s="1"/>
  <c r="E1378" i="1"/>
  <c r="L1378" i="1" s="1"/>
  <c r="E1379" i="1"/>
  <c r="L1379" i="1" s="1"/>
  <c r="E1380" i="1"/>
  <c r="L1380" i="1" s="1"/>
  <c r="E1381" i="1"/>
  <c r="L1381" i="1" s="1"/>
  <c r="E1382" i="1"/>
  <c r="E1383" i="1"/>
  <c r="L1383" i="1" s="1"/>
  <c r="E1384" i="1"/>
  <c r="L1384" i="1" s="1"/>
  <c r="E1385" i="1"/>
  <c r="L1385" i="1" s="1"/>
  <c r="E1386" i="1"/>
  <c r="E1387" i="1"/>
  <c r="L1387" i="1" s="1"/>
  <c r="E1388" i="1"/>
  <c r="E1389" i="1"/>
  <c r="L1389" i="1" s="1"/>
  <c r="E1390" i="1"/>
  <c r="E1391" i="1"/>
  <c r="L1391" i="1" s="1"/>
  <c r="E1392" i="1"/>
  <c r="E1393" i="1"/>
  <c r="K1393" i="1" s="1"/>
  <c r="L1393" i="1"/>
  <c r="E1394" i="1"/>
  <c r="L1394" i="1" s="1"/>
  <c r="K1394" i="1"/>
  <c r="E1395" i="1"/>
  <c r="K1395" i="1"/>
  <c r="L1395" i="1"/>
  <c r="E1396" i="1"/>
  <c r="B3" i="2"/>
  <c r="B4" i="2"/>
  <c r="B5" i="2"/>
  <c r="B15" i="2"/>
  <c r="B16" i="2"/>
  <c r="B17" i="2"/>
  <c r="B18" i="2"/>
  <c r="B19" i="2"/>
  <c r="B20" i="2"/>
  <c r="B21" i="2"/>
  <c r="B2" i="2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" i="1"/>
  <c r="L4" i="1" l="1"/>
  <c r="K1291" i="1"/>
  <c r="M1291" i="1" s="1"/>
  <c r="L1282" i="1"/>
  <c r="L1228" i="1"/>
  <c r="M1228" i="1" s="1"/>
  <c r="L1263" i="1"/>
  <c r="K1263" i="1"/>
  <c r="L1396" i="1"/>
  <c r="K1396" i="1"/>
  <c r="K910" i="1"/>
  <c r="M910" i="1" s="1"/>
  <c r="K1240" i="1"/>
  <c r="L1233" i="1"/>
  <c r="K1084" i="1"/>
  <c r="M1084" i="1" s="1"/>
  <c r="K922" i="1"/>
  <c r="M922" i="1" s="1"/>
  <c r="K836" i="1"/>
  <c r="M836" i="1" s="1"/>
  <c r="K781" i="1"/>
  <c r="M781" i="1" s="1"/>
  <c r="K409" i="1"/>
  <c r="K1392" i="1"/>
  <c r="L1388" i="1"/>
  <c r="K1383" i="1"/>
  <c r="K1351" i="1"/>
  <c r="M1351" i="1" s="1"/>
  <c r="K1120" i="1"/>
  <c r="M1120" i="1" s="1"/>
  <c r="K1043" i="1"/>
  <c r="K1042" i="1"/>
  <c r="M1042" i="1" s="1"/>
  <c r="K1036" i="1"/>
  <c r="K935" i="1"/>
  <c r="K929" i="1"/>
  <c r="M929" i="1" s="1"/>
  <c r="K649" i="1"/>
  <c r="M649" i="1" s="1"/>
  <c r="K641" i="1"/>
  <c r="M641" i="1" s="1"/>
  <c r="K584" i="1"/>
  <c r="K583" i="1"/>
  <c r="M583" i="1" s="1"/>
  <c r="K567" i="1"/>
  <c r="K546" i="1"/>
  <c r="M546" i="1" s="1"/>
  <c r="K516" i="1"/>
  <c r="K515" i="1"/>
  <c r="M515" i="1" s="1"/>
  <c r="K468" i="1"/>
  <c r="M468" i="1" s="1"/>
  <c r="K1251" i="1"/>
  <c r="K777" i="1"/>
  <c r="K362" i="1"/>
  <c r="L270" i="1"/>
  <c r="L266" i="1"/>
  <c r="K432" i="1"/>
  <c r="L424" i="1"/>
  <c r="L420" i="1"/>
  <c r="L416" i="1"/>
  <c r="K410" i="1"/>
  <c r="K400" i="1"/>
  <c r="L396" i="1"/>
  <c r="K388" i="1"/>
  <c r="L378" i="1"/>
  <c r="K374" i="1"/>
  <c r="K364" i="1"/>
  <c r="L360" i="1"/>
  <c r="L340" i="1"/>
  <c r="L336" i="1"/>
  <c r="L332" i="1"/>
  <c r="L328" i="1"/>
  <c r="K312" i="1"/>
  <c r="L300" i="1"/>
  <c r="L296" i="1"/>
  <c r="L292" i="1"/>
  <c r="K288" i="1"/>
  <c r="L282" i="1"/>
  <c r="L278" i="1"/>
  <c r="K274" i="1"/>
  <c r="K266" i="1"/>
  <c r="L262" i="1"/>
  <c r="L258" i="1"/>
  <c r="K252" i="1"/>
  <c r="L248" i="1"/>
  <c r="L240" i="1"/>
  <c r="K236" i="1"/>
  <c r="L232" i="1"/>
  <c r="L228" i="1"/>
  <c r="L224" i="1"/>
  <c r="K220" i="1"/>
  <c r="L214" i="1"/>
  <c r="L208" i="1"/>
  <c r="K196" i="1"/>
  <c r="K186" i="1"/>
  <c r="K182" i="1"/>
  <c r="K178" i="1"/>
  <c r="K170" i="1"/>
  <c r="K106" i="1"/>
  <c r="K1287" i="1"/>
  <c r="K1108" i="1"/>
  <c r="M1108" i="1" s="1"/>
  <c r="K921" i="1"/>
  <c r="K890" i="1"/>
  <c r="M890" i="1" s="1"/>
  <c r="K848" i="1"/>
  <c r="M848" i="1" s="1"/>
  <c r="K842" i="1"/>
  <c r="K835" i="1"/>
  <c r="M835" i="1" s="1"/>
  <c r="K825" i="1"/>
  <c r="K1308" i="1"/>
  <c r="K510" i="1"/>
  <c r="K405" i="1"/>
  <c r="L432" i="1"/>
  <c r="K404" i="1"/>
  <c r="K396" i="1"/>
  <c r="L268" i="1"/>
  <c r="K188" i="1"/>
  <c r="K168" i="1"/>
  <c r="L345" i="1"/>
  <c r="K1368" i="1"/>
  <c r="M1368" i="1" s="1"/>
  <c r="K1357" i="1"/>
  <c r="M1357" i="1" s="1"/>
  <c r="K1354" i="1"/>
  <c r="M1354" i="1" s="1"/>
  <c r="K1197" i="1"/>
  <c r="M1197" i="1" s="1"/>
  <c r="L1193" i="1"/>
  <c r="K1145" i="1"/>
  <c r="K1135" i="1"/>
  <c r="K1052" i="1"/>
  <c r="K946" i="1"/>
  <c r="K758" i="1"/>
  <c r="M758" i="1" s="1"/>
  <c r="K703" i="1"/>
  <c r="K694" i="1"/>
  <c r="M694" i="1" s="1"/>
  <c r="K689" i="1"/>
  <c r="M689" i="1" s="1"/>
  <c r="L254" i="1"/>
  <c r="K202" i="1"/>
  <c r="K524" i="1"/>
  <c r="M524" i="1" s="1"/>
  <c r="K906" i="1"/>
  <c r="K1027" i="1"/>
  <c r="M1027" i="1" s="1"/>
  <c r="K481" i="1"/>
  <c r="M481" i="1" s="1"/>
  <c r="K724" i="1"/>
  <c r="M724" i="1" s="1"/>
  <c r="K801" i="1"/>
  <c r="M801" i="1" s="1"/>
  <c r="K1098" i="1"/>
  <c r="K452" i="1"/>
  <c r="M452" i="1" s="1"/>
  <c r="K566" i="1"/>
  <c r="M566" i="1" s="1"/>
  <c r="K938" i="1"/>
  <c r="K1166" i="1"/>
  <c r="M1166" i="1" s="1"/>
  <c r="K489" i="1"/>
  <c r="M489" i="1" s="1"/>
  <c r="K601" i="1"/>
  <c r="M601" i="1" s="1"/>
  <c r="K1070" i="1"/>
  <c r="M1070" i="1" s="1"/>
  <c r="L426" i="1"/>
  <c r="L422" i="1"/>
  <c r="L418" i="1"/>
  <c r="K414" i="1"/>
  <c r="L412" i="1"/>
  <c r="K398" i="1"/>
  <c r="K394" i="1"/>
  <c r="L390" i="1"/>
  <c r="L386" i="1"/>
  <c r="K384" i="1"/>
  <c r="K380" i="1"/>
  <c r="L372" i="1"/>
  <c r="L362" i="1"/>
  <c r="L358" i="1"/>
  <c r="L346" i="1"/>
  <c r="L342" i="1"/>
  <c r="K334" i="1"/>
  <c r="L330" i="1"/>
  <c r="L326" i="1"/>
  <c r="K322" i="1"/>
  <c r="L320" i="1"/>
  <c r="L316" i="1"/>
  <c r="L314" i="1"/>
  <c r="L310" i="1"/>
  <c r="K308" i="1"/>
  <c r="L306" i="1"/>
  <c r="L304" i="1"/>
  <c r="L298" i="1"/>
  <c r="L290" i="1"/>
  <c r="L286" i="1"/>
  <c r="K284" i="1"/>
  <c r="L280" i="1"/>
  <c r="L272" i="1"/>
  <c r="L260" i="1"/>
  <c r="L256" i="1"/>
  <c r="L250" i="1"/>
  <c r="L244" i="1"/>
  <c r="K238" i="1"/>
  <c r="L226" i="1"/>
  <c r="L218" i="1"/>
  <c r="L216" i="1"/>
  <c r="L212" i="1"/>
  <c r="K210" i="1"/>
  <c r="L206" i="1"/>
  <c r="K200" i="1"/>
  <c r="K198" i="1"/>
  <c r="L188" i="1"/>
  <c r="K184" i="1"/>
  <c r="K172" i="1"/>
  <c r="K1296" i="1"/>
  <c r="K1080" i="1"/>
  <c r="M1080" i="1" s="1"/>
  <c r="L265" i="1"/>
  <c r="K408" i="1"/>
  <c r="L348" i="1"/>
  <c r="L264" i="1"/>
  <c r="L347" i="1"/>
  <c r="L303" i="1"/>
  <c r="L267" i="1"/>
  <c r="L251" i="1"/>
  <c r="K1332" i="1"/>
  <c r="K1331" i="1"/>
  <c r="K1320" i="1"/>
  <c r="K1255" i="1"/>
  <c r="L1240" i="1"/>
  <c r="K1127" i="1"/>
  <c r="K1066" i="1"/>
  <c r="K1062" i="1"/>
  <c r="K982" i="1"/>
  <c r="M982" i="1" s="1"/>
  <c r="K968" i="1"/>
  <c r="M968" i="1" s="1"/>
  <c r="K775" i="1"/>
  <c r="K160" i="1"/>
  <c r="K441" i="1"/>
  <c r="K439" i="1"/>
  <c r="K435" i="1"/>
  <c r="K433" i="1"/>
  <c r="L431" i="1"/>
  <c r="L427" i="1"/>
  <c r="L425" i="1"/>
  <c r="L417" i="1"/>
  <c r="K415" i="1"/>
  <c r="K411" i="1"/>
  <c r="L409" i="1"/>
  <c r="K407" i="1"/>
  <c r="K403" i="1"/>
  <c r="K401" i="1"/>
  <c r="L395" i="1"/>
  <c r="K391" i="1"/>
  <c r="K389" i="1"/>
  <c r="L387" i="1"/>
  <c r="L385" i="1"/>
  <c r="K379" i="1"/>
  <c r="L377" i="1"/>
  <c r="K375" i="1"/>
  <c r="K371" i="1"/>
  <c r="K369" i="1"/>
  <c r="L361" i="1"/>
  <c r="L359" i="1"/>
  <c r="L353" i="1"/>
  <c r="L343" i="1"/>
  <c r="L339" i="1"/>
  <c r="K337" i="1"/>
  <c r="L335" i="1"/>
  <c r="L333" i="1"/>
  <c r="L331" i="1"/>
  <c r="K329" i="1"/>
  <c r="L327" i="1"/>
  <c r="L325" i="1"/>
  <c r="K321" i="1"/>
  <c r="L319" i="1"/>
  <c r="L317" i="1"/>
  <c r="L315" i="1"/>
  <c r="K313" i="1"/>
  <c r="L311" i="1"/>
  <c r="L309" i="1"/>
  <c r="L305" i="1"/>
  <c r="L301" i="1"/>
  <c r="L299" i="1"/>
  <c r="L297" i="1"/>
  <c r="L295" i="1"/>
  <c r="L293" i="1"/>
  <c r="L289" i="1"/>
  <c r="L287" i="1"/>
  <c r="L281" i="1"/>
  <c r="L279" i="1"/>
  <c r="L277" i="1"/>
  <c r="L275" i="1"/>
  <c r="L271" i="1"/>
  <c r="L269" i="1"/>
  <c r="K265" i="1"/>
  <c r="L263" i="1"/>
  <c r="L259" i="1"/>
  <c r="L257" i="1"/>
  <c r="L255" i="1"/>
  <c r="L253" i="1"/>
  <c r="L249" i="1"/>
  <c r="L247" i="1"/>
  <c r="L245" i="1"/>
  <c r="L243" i="1"/>
  <c r="L239" i="1"/>
  <c r="L237" i="1"/>
  <c r="L235" i="1"/>
  <c r="L233" i="1"/>
  <c r="L231" i="1"/>
  <c r="L229" i="1"/>
  <c r="L225" i="1"/>
  <c r="L223" i="1"/>
  <c r="L221" i="1"/>
  <c r="L219" i="1"/>
  <c r="L215" i="1"/>
  <c r="L213" i="1"/>
  <c r="L207" i="1"/>
  <c r="L205" i="1"/>
  <c r="K203" i="1"/>
  <c r="K201" i="1"/>
  <c r="K197" i="1"/>
  <c r="K195" i="1"/>
  <c r="K193" i="1"/>
  <c r="L191" i="1"/>
  <c r="K189" i="1"/>
  <c r="K187" i="1"/>
  <c r="K185" i="1"/>
  <c r="K173" i="1"/>
  <c r="K171" i="1"/>
  <c r="K169" i="1"/>
  <c r="L167" i="1"/>
  <c r="K165" i="1"/>
  <c r="K161" i="1"/>
  <c r="L159" i="1"/>
  <c r="L157" i="1"/>
  <c r="L155" i="1"/>
  <c r="K153" i="1"/>
  <c r="K149" i="1"/>
  <c r="K147" i="1"/>
  <c r="K145" i="1"/>
  <c r="K139" i="1"/>
  <c r="L137" i="1"/>
  <c r="K135" i="1"/>
  <c r="K131" i="1"/>
  <c r="L129" i="1"/>
  <c r="K123" i="1"/>
  <c r="L121" i="1"/>
  <c r="K119" i="1"/>
  <c r="K115" i="1"/>
  <c r="L111" i="1"/>
  <c r="K107" i="1"/>
  <c r="K101" i="1"/>
  <c r="L99" i="1"/>
  <c r="K97" i="1"/>
  <c r="L85" i="1"/>
  <c r="K81" i="1"/>
  <c r="L75" i="1"/>
  <c r="L69" i="1"/>
  <c r="K65" i="1"/>
  <c r="L61" i="1"/>
  <c r="K57" i="1"/>
  <c r="L55" i="1"/>
  <c r="L53" i="1"/>
  <c r="L51" i="1"/>
  <c r="K49" i="1"/>
  <c r="K45" i="1"/>
  <c r="L43" i="1"/>
  <c r="L41" i="1"/>
  <c r="L39" i="1"/>
  <c r="L37" i="1"/>
  <c r="K35" i="1"/>
  <c r="L33" i="1"/>
  <c r="K29" i="1"/>
  <c r="K27" i="1"/>
  <c r="L25" i="1"/>
  <c r="K19" i="1"/>
  <c r="L17" i="1"/>
  <c r="L15" i="1"/>
  <c r="K11" i="1"/>
  <c r="K9" i="1"/>
  <c r="K7" i="1"/>
  <c r="K1389" i="1"/>
  <c r="K1388" i="1"/>
  <c r="K1376" i="1"/>
  <c r="K1370" i="1"/>
  <c r="K1369" i="1"/>
  <c r="M1369" i="1" s="1"/>
  <c r="K1352" i="1"/>
  <c r="K1347" i="1"/>
  <c r="K1346" i="1"/>
  <c r="M1346" i="1" s="1"/>
  <c r="K1339" i="1"/>
  <c r="K1338" i="1"/>
  <c r="K1311" i="1"/>
  <c r="K1303" i="1"/>
  <c r="L1269" i="1"/>
  <c r="K1259" i="1"/>
  <c r="K1208" i="1"/>
  <c r="K1170" i="1"/>
  <c r="K1158" i="1"/>
  <c r="M1158" i="1" s="1"/>
  <c r="K1126" i="1"/>
  <c r="K1121" i="1"/>
  <c r="K1103" i="1"/>
  <c r="M1103" i="1" s="1"/>
  <c r="K1057" i="1"/>
  <c r="K1050" i="1"/>
  <c r="K1033" i="1"/>
  <c r="M1033" i="1" s="1"/>
  <c r="K1014" i="1"/>
  <c r="M1014" i="1" s="1"/>
  <c r="K997" i="1"/>
  <c r="K953" i="1"/>
  <c r="K947" i="1"/>
  <c r="M947" i="1" s="1"/>
  <c r="K942" i="1"/>
  <c r="M942" i="1" s="1"/>
  <c r="K941" i="1"/>
  <c r="M941" i="1" s="1"/>
  <c r="K940" i="1"/>
  <c r="K868" i="1"/>
  <c r="M868" i="1" s="1"/>
  <c r="K854" i="1"/>
  <c r="K796" i="1"/>
  <c r="K776" i="1"/>
  <c r="M776" i="1" s="1"/>
  <c r="K772" i="1"/>
  <c r="K770" i="1"/>
  <c r="M770" i="1" s="1"/>
  <c r="K759" i="1"/>
  <c r="K733" i="1"/>
  <c r="K719" i="1"/>
  <c r="M719" i="1" s="1"/>
  <c r="K675" i="1"/>
  <c r="K657" i="1"/>
  <c r="K167" i="1"/>
  <c r="K163" i="1"/>
  <c r="K1379" i="1"/>
  <c r="M1379" i="1" s="1"/>
  <c r="K1378" i="1"/>
  <c r="K1366" i="1"/>
  <c r="M1366" i="1" s="1"/>
  <c r="K1365" i="1"/>
  <c r="M1365" i="1" s="1"/>
  <c r="K1322" i="1"/>
  <c r="M1322" i="1" s="1"/>
  <c r="K1318" i="1"/>
  <c r="K1300" i="1"/>
  <c r="K1284" i="1"/>
  <c r="K1270" i="1"/>
  <c r="K1269" i="1"/>
  <c r="K1260" i="1"/>
  <c r="L1235" i="1"/>
  <c r="K1195" i="1"/>
  <c r="K1194" i="1"/>
  <c r="K1191" i="1"/>
  <c r="K1182" i="1"/>
  <c r="K1179" i="1"/>
  <c r="K1167" i="1"/>
  <c r="L1163" i="1"/>
  <c r="K1159" i="1"/>
  <c r="K1148" i="1"/>
  <c r="M1148" i="1" s="1"/>
  <c r="K1147" i="1"/>
  <c r="K1128" i="1"/>
  <c r="K1015" i="1"/>
  <c r="M1015" i="1" s="1"/>
  <c r="K1011" i="1"/>
  <c r="M1011" i="1" s="1"/>
  <c r="K1009" i="1"/>
  <c r="M1009" i="1" s="1"/>
  <c r="K1003" i="1"/>
  <c r="M1003" i="1" s="1"/>
  <c r="K998" i="1"/>
  <c r="M998" i="1" s="1"/>
  <c r="K980" i="1"/>
  <c r="M980" i="1" s="1"/>
  <c r="K954" i="1"/>
  <c r="K877" i="1"/>
  <c r="M877" i="1" s="1"/>
  <c r="K872" i="1"/>
  <c r="K869" i="1"/>
  <c r="M869" i="1" s="1"/>
  <c r="K860" i="1"/>
  <c r="K855" i="1"/>
  <c r="M855" i="1" s="1"/>
  <c r="K816" i="1"/>
  <c r="M816" i="1" s="1"/>
  <c r="K783" i="1"/>
  <c r="K734" i="1"/>
  <c r="M734" i="1" s="1"/>
  <c r="K730" i="1"/>
  <c r="M730" i="1" s="1"/>
  <c r="K725" i="1"/>
  <c r="M725" i="1" s="1"/>
  <c r="K721" i="1"/>
  <c r="K682" i="1"/>
  <c r="K670" i="1"/>
  <c r="K668" i="1"/>
  <c r="K667" i="1"/>
  <c r="K166" i="1"/>
  <c r="K164" i="1"/>
  <c r="K162" i="1"/>
  <c r="L158" i="1"/>
  <c r="L152" i="1"/>
  <c r="K150" i="1"/>
  <c r="K146" i="1"/>
  <c r="K144" i="1"/>
  <c r="K142" i="1"/>
  <c r="K140" i="1"/>
  <c r="K138" i="1"/>
  <c r="L132" i="1"/>
  <c r="L126" i="1"/>
  <c r="L124" i="1"/>
  <c r="L120" i="1"/>
  <c r="L112" i="1"/>
  <c r="L96" i="1"/>
  <c r="K94" i="1"/>
  <c r="K88" i="1"/>
  <c r="K86" i="1"/>
  <c r="L80" i="1"/>
  <c r="K70" i="1"/>
  <c r="L64" i="1"/>
  <c r="L58" i="1"/>
  <c r="L54" i="1"/>
  <c r="K48" i="1"/>
  <c r="K42" i="1"/>
  <c r="K40" i="1"/>
  <c r="K38" i="1"/>
  <c r="K32" i="1"/>
  <c r="K30" i="1"/>
  <c r="L24" i="1"/>
  <c r="L22" i="1"/>
  <c r="K18" i="1"/>
  <c r="K16" i="1"/>
  <c r="K1391" i="1"/>
  <c r="K1390" i="1"/>
  <c r="K1374" i="1"/>
  <c r="M1374" i="1" s="1"/>
  <c r="K1373" i="1"/>
  <c r="K1367" i="1"/>
  <c r="K1350" i="1"/>
  <c r="K1349" i="1"/>
  <c r="K1343" i="1"/>
  <c r="K1313" i="1"/>
  <c r="K1307" i="1"/>
  <c r="K1294" i="1"/>
  <c r="L1285" i="1"/>
  <c r="K1275" i="1"/>
  <c r="L1271" i="1"/>
  <c r="K1266" i="1"/>
  <c r="K1264" i="1"/>
  <c r="K1261" i="1"/>
  <c r="L1258" i="1"/>
  <c r="K1243" i="1"/>
  <c r="K1236" i="1"/>
  <c r="K1235" i="1"/>
  <c r="K1196" i="1"/>
  <c r="L1188" i="1"/>
  <c r="L1187" i="1"/>
  <c r="K1187" i="1"/>
  <c r="L1183" i="1"/>
  <c r="K1183" i="1"/>
  <c r="K1176" i="1"/>
  <c r="L1175" i="1"/>
  <c r="K1175" i="1"/>
  <c r="L1171" i="1"/>
  <c r="K1171" i="1"/>
  <c r="L1168" i="1"/>
  <c r="K1163" i="1"/>
  <c r="K1160" i="1"/>
  <c r="K1140" i="1"/>
  <c r="K1095" i="1"/>
  <c r="K1055" i="1"/>
  <c r="K1022" i="1"/>
  <c r="K970" i="1"/>
  <c r="K928" i="1"/>
  <c r="M928" i="1" s="1"/>
  <c r="K903" i="1"/>
  <c r="K867" i="1"/>
  <c r="K856" i="1"/>
  <c r="K834" i="1"/>
  <c r="M834" i="1" s="1"/>
  <c r="K830" i="1"/>
  <c r="K820" i="1"/>
  <c r="K798" i="1"/>
  <c r="M798" i="1" s="1"/>
  <c r="K793" i="1"/>
  <c r="K789" i="1"/>
  <c r="M789" i="1" s="1"/>
  <c r="K746" i="1"/>
  <c r="M746" i="1" s="1"/>
  <c r="K717" i="1"/>
  <c r="K709" i="1"/>
  <c r="M709" i="1" s="1"/>
  <c r="K702" i="1"/>
  <c r="M702" i="1" s="1"/>
  <c r="K683" i="1"/>
  <c r="K655" i="1"/>
  <c r="M655" i="1" s="1"/>
  <c r="K640" i="1"/>
  <c r="K630" i="1"/>
  <c r="M630" i="1" s="1"/>
  <c r="K608" i="1"/>
  <c r="K519" i="1"/>
  <c r="M519" i="1" s="1"/>
  <c r="K503" i="1"/>
  <c r="M503" i="1" s="1"/>
  <c r="K498" i="1"/>
  <c r="K484" i="1"/>
  <c r="M484" i="1" s="1"/>
  <c r="K483" i="1"/>
  <c r="K478" i="1"/>
  <c r="K457" i="1"/>
  <c r="M457" i="1" s="1"/>
  <c r="K1188" i="1"/>
  <c r="L1185" i="1"/>
  <c r="K1181" i="1"/>
  <c r="K1180" i="1"/>
  <c r="K1177" i="1"/>
  <c r="K1173" i="1"/>
  <c r="K1172" i="1"/>
  <c r="L1169" i="1"/>
  <c r="K1168" i="1"/>
  <c r="K1164" i="1"/>
  <c r="K1142" i="1"/>
  <c r="M1142" i="1" s="1"/>
  <c r="K1136" i="1"/>
  <c r="K1122" i="1"/>
  <c r="M1122" i="1" s="1"/>
  <c r="K1099" i="1"/>
  <c r="M1099" i="1" s="1"/>
  <c r="K1088" i="1"/>
  <c r="M1088" i="1" s="1"/>
  <c r="K1074" i="1"/>
  <c r="M1074" i="1" s="1"/>
  <c r="K1064" i="1"/>
  <c r="M1064" i="1" s="1"/>
  <c r="K1059" i="1"/>
  <c r="K1017" i="1"/>
  <c r="K1006" i="1"/>
  <c r="M1006" i="1" s="1"/>
  <c r="K973" i="1"/>
  <c r="K949" i="1"/>
  <c r="M949" i="1" s="1"/>
  <c r="K937" i="1"/>
  <c r="K932" i="1"/>
  <c r="K931" i="1"/>
  <c r="K923" i="1"/>
  <c r="K917" i="1"/>
  <c r="K916" i="1"/>
  <c r="K901" i="1"/>
  <c r="K896" i="1"/>
  <c r="M896" i="1" s="1"/>
  <c r="K891" i="1"/>
  <c r="K878" i="1"/>
  <c r="K866" i="1"/>
  <c r="M866" i="1" s="1"/>
  <c r="K862" i="1"/>
  <c r="K845" i="1"/>
  <c r="K843" i="1"/>
  <c r="M843" i="1" s="1"/>
  <c r="K831" i="1"/>
  <c r="K807" i="1"/>
  <c r="K800" i="1"/>
  <c r="K790" i="1"/>
  <c r="M790" i="1" s="1"/>
  <c r="K766" i="1"/>
  <c r="M766" i="1" s="1"/>
  <c r="K749" i="1"/>
  <c r="K743" i="1"/>
  <c r="K720" i="1"/>
  <c r="K713" i="1"/>
  <c r="K712" i="1"/>
  <c r="M712" i="1" s="1"/>
  <c r="K711" i="1"/>
  <c r="K680" i="1"/>
  <c r="M680" i="1" s="1"/>
  <c r="K678" i="1"/>
  <c r="M678" i="1" s="1"/>
  <c r="K669" i="1"/>
  <c r="M669" i="1" s="1"/>
  <c r="K658" i="1"/>
  <c r="K653" i="1"/>
  <c r="K652" i="1"/>
  <c r="K638" i="1"/>
  <c r="M638" i="1" s="1"/>
  <c r="K637" i="1"/>
  <c r="K564" i="1"/>
  <c r="K558" i="1"/>
  <c r="K553" i="1"/>
  <c r="M553" i="1" s="1"/>
  <c r="K536" i="1"/>
  <c r="M536" i="1" s="1"/>
  <c r="K1353" i="1"/>
  <c r="K1334" i="1"/>
  <c r="M1334" i="1" s="1"/>
  <c r="K1314" i="1"/>
  <c r="K1309" i="1"/>
  <c r="K1297" i="1"/>
  <c r="K1293" i="1"/>
  <c r="K1292" i="1"/>
  <c r="K1272" i="1"/>
  <c r="K1271" i="1"/>
  <c r="L1259" i="1"/>
  <c r="K1258" i="1"/>
  <c r="K1249" i="1"/>
  <c r="K1247" i="1"/>
  <c r="K1246" i="1"/>
  <c r="K1245" i="1"/>
  <c r="K1242" i="1"/>
  <c r="K1241" i="1"/>
  <c r="K1234" i="1"/>
  <c r="K1233" i="1"/>
  <c r="K1230" i="1"/>
  <c r="L1229" i="1"/>
  <c r="K1229" i="1"/>
  <c r="K1227" i="1"/>
  <c r="K1224" i="1"/>
  <c r="K1219" i="1"/>
  <c r="K1217" i="1"/>
  <c r="K1215" i="1"/>
  <c r="K1213" i="1"/>
  <c r="K1211" i="1"/>
  <c r="K1210" i="1"/>
  <c r="K1209" i="1"/>
  <c r="K1205" i="1"/>
  <c r="K1203" i="1"/>
  <c r="K1201" i="1"/>
  <c r="K1200" i="1"/>
  <c r="K1199" i="1"/>
  <c r="K1193" i="1"/>
  <c r="K1190" i="1"/>
  <c r="K1189" i="1"/>
  <c r="K1185" i="1"/>
  <c r="K1169" i="1"/>
  <c r="K1165" i="1"/>
  <c r="K1144" i="1"/>
  <c r="K1131" i="1"/>
  <c r="M1131" i="1" s="1"/>
  <c r="K1130" i="1"/>
  <c r="K1119" i="1"/>
  <c r="M1119" i="1" s="1"/>
  <c r="K1105" i="1"/>
  <c r="M1105" i="1" s="1"/>
  <c r="K1091" i="1"/>
  <c r="M1091" i="1" s="1"/>
  <c r="K1089" i="1"/>
  <c r="K1082" i="1"/>
  <c r="M1082" i="1" s="1"/>
  <c r="K1071" i="1"/>
  <c r="K1054" i="1"/>
  <c r="K1041" i="1"/>
  <c r="K1040" i="1"/>
  <c r="K1035" i="1"/>
  <c r="K1002" i="1"/>
  <c r="M1002" i="1" s="1"/>
  <c r="K1001" i="1"/>
  <c r="M1001" i="1" s="1"/>
  <c r="K1000" i="1"/>
  <c r="K981" i="1"/>
  <c r="K975" i="1"/>
  <c r="K962" i="1"/>
  <c r="K959" i="1"/>
  <c r="K902" i="1"/>
  <c r="K874" i="1"/>
  <c r="K863" i="1"/>
  <c r="K829" i="1"/>
  <c r="K828" i="1"/>
  <c r="K827" i="1"/>
  <c r="M827" i="1" s="1"/>
  <c r="K815" i="1"/>
  <c r="M815" i="1" s="1"/>
  <c r="K808" i="1"/>
  <c r="K802" i="1"/>
  <c r="K791" i="1"/>
  <c r="K762" i="1"/>
  <c r="M762" i="1" s="1"/>
  <c r="K757" i="1"/>
  <c r="K751" i="1"/>
  <c r="M751" i="1" s="1"/>
  <c r="K691" i="1"/>
  <c r="K673" i="1"/>
  <c r="K618" i="1"/>
  <c r="M618" i="1" s="1"/>
  <c r="K586" i="1"/>
  <c r="M586" i="1" s="1"/>
  <c r="K532" i="1"/>
  <c r="K486" i="1"/>
  <c r="K473" i="1"/>
  <c r="M473" i="1" s="1"/>
  <c r="K471" i="1"/>
  <c r="K621" i="1"/>
  <c r="M621" i="1" s="1"/>
  <c r="K615" i="1"/>
  <c r="K612" i="1"/>
  <c r="K581" i="1"/>
  <c r="K577" i="1"/>
  <c r="M577" i="1" s="1"/>
  <c r="K565" i="1"/>
  <c r="K548" i="1"/>
  <c r="M548" i="1" s="1"/>
  <c r="K534" i="1"/>
  <c r="K469" i="1"/>
  <c r="M469" i="1" s="1"/>
  <c r="K453" i="1"/>
  <c r="K1380" i="1"/>
  <c r="M1380" i="1" s="1"/>
  <c r="K1371" i="1"/>
  <c r="M1371" i="1" s="1"/>
  <c r="K1356" i="1"/>
  <c r="K1355" i="1"/>
  <c r="M1355" i="1" s="1"/>
  <c r="K1348" i="1"/>
  <c r="K1333" i="1"/>
  <c r="K1325" i="1"/>
  <c r="M1325" i="1" s="1"/>
  <c r="K1324" i="1"/>
  <c r="K1305" i="1"/>
  <c r="L1303" i="1"/>
  <c r="K1302" i="1"/>
  <c r="K1301" i="1"/>
  <c r="K1289" i="1"/>
  <c r="K1288" i="1"/>
  <c r="K1286" i="1"/>
  <c r="K1285" i="1"/>
  <c r="M1282" i="1"/>
  <c r="K1281" i="1"/>
  <c r="K1278" i="1"/>
  <c r="K1265" i="1"/>
  <c r="K1253" i="1"/>
  <c r="K1157" i="1"/>
  <c r="M1157" i="1" s="1"/>
  <c r="K1133" i="1"/>
  <c r="M1133" i="1" s="1"/>
  <c r="K1124" i="1"/>
  <c r="K1111" i="1"/>
  <c r="K1097" i="1"/>
  <c r="M1097" i="1" s="1"/>
  <c r="K1092" i="1"/>
  <c r="K1079" i="1"/>
  <c r="M1079" i="1" s="1"/>
  <c r="K1072" i="1"/>
  <c r="K1058" i="1"/>
  <c r="K1047" i="1"/>
  <c r="M1047" i="1" s="1"/>
  <c r="K1026" i="1"/>
  <c r="K1025" i="1"/>
  <c r="M1025" i="1" s="1"/>
  <c r="K1024" i="1"/>
  <c r="M1024" i="1" s="1"/>
  <c r="K994" i="1"/>
  <c r="K990" i="1"/>
  <c r="M990" i="1" s="1"/>
  <c r="K958" i="1"/>
  <c r="K957" i="1"/>
  <c r="M957" i="1" s="1"/>
  <c r="K944" i="1"/>
  <c r="M944" i="1" s="1"/>
  <c r="K926" i="1"/>
  <c r="M926" i="1" s="1"/>
  <c r="K911" i="1"/>
  <c r="K905" i="1"/>
  <c r="M905" i="1" s="1"/>
  <c r="K904" i="1"/>
  <c r="K893" i="1"/>
  <c r="M893" i="1" s="1"/>
  <c r="K886" i="1"/>
  <c r="M886" i="1" s="1"/>
  <c r="K851" i="1"/>
  <c r="K840" i="1"/>
  <c r="K839" i="1"/>
  <c r="M839" i="1" s="1"/>
  <c r="K833" i="1"/>
  <c r="K819" i="1"/>
  <c r="M819" i="1" s="1"/>
  <c r="K805" i="1"/>
  <c r="M805" i="1" s="1"/>
  <c r="K799" i="1"/>
  <c r="M799" i="1" s="1"/>
  <c r="K785" i="1"/>
  <c r="K774" i="1"/>
  <c r="M774" i="1" s="1"/>
  <c r="K773" i="1"/>
  <c r="K760" i="1"/>
  <c r="K754" i="1"/>
  <c r="M754" i="1" s="1"/>
  <c r="K741" i="1"/>
  <c r="M741" i="1" s="1"/>
  <c r="K735" i="1"/>
  <c r="K722" i="1"/>
  <c r="M722" i="1" s="1"/>
  <c r="K708" i="1"/>
  <c r="M708" i="1" s="1"/>
  <c r="K707" i="1"/>
  <c r="K665" i="1"/>
  <c r="M665" i="1" s="1"/>
  <c r="K660" i="1"/>
  <c r="K633" i="1"/>
  <c r="M633" i="1" s="1"/>
  <c r="K629" i="1"/>
  <c r="K606" i="1"/>
  <c r="M606" i="1" s="1"/>
  <c r="K605" i="1"/>
  <c r="K589" i="1"/>
  <c r="K571" i="1"/>
  <c r="K556" i="1"/>
  <c r="K539" i="1"/>
  <c r="M539" i="1" s="1"/>
  <c r="L526" i="1"/>
  <c r="M526" i="1" s="1"/>
  <c r="K492" i="1"/>
  <c r="M492" i="1" s="1"/>
  <c r="K480" i="1"/>
  <c r="K464" i="1"/>
  <c r="M464" i="1" s="1"/>
  <c r="K449" i="1"/>
  <c r="K597" i="1"/>
  <c r="M597" i="1" s="1"/>
  <c r="K591" i="1"/>
  <c r="K575" i="1"/>
  <c r="M575" i="1" s="1"/>
  <c r="K563" i="1"/>
  <c r="M563" i="1" s="1"/>
  <c r="K544" i="1"/>
  <c r="M544" i="1" s="1"/>
  <c r="K538" i="1"/>
  <c r="K531" i="1"/>
  <c r="K522" i="1"/>
  <c r="M522" i="1" s="1"/>
  <c r="K504" i="1"/>
  <c r="K490" i="1"/>
  <c r="M490" i="1" s="1"/>
  <c r="K479" i="1"/>
  <c r="K477" i="1"/>
  <c r="K456" i="1"/>
  <c r="K666" i="1"/>
  <c r="M666" i="1" s="1"/>
  <c r="K659" i="1"/>
  <c r="K639" i="1"/>
  <c r="K626" i="1"/>
  <c r="K613" i="1"/>
  <c r="M613" i="1" s="1"/>
  <c r="K607" i="1"/>
  <c r="K593" i="1"/>
  <c r="M593" i="1" s="1"/>
  <c r="K579" i="1"/>
  <c r="K555" i="1"/>
  <c r="K540" i="1"/>
  <c r="M540" i="1" s="1"/>
  <c r="K529" i="1"/>
  <c r="K520" i="1"/>
  <c r="M520" i="1" s="1"/>
  <c r="K506" i="1"/>
  <c r="K488" i="1"/>
  <c r="M488" i="1" s="1"/>
  <c r="K472" i="1"/>
  <c r="M472" i="1" s="1"/>
  <c r="K461" i="1"/>
  <c r="K1117" i="1"/>
  <c r="K1109" i="1"/>
  <c r="K1093" i="1"/>
  <c r="M1093" i="1" s="1"/>
  <c r="K1085" i="1"/>
  <c r="K1077" i="1"/>
  <c r="M1077" i="1" s="1"/>
  <c r="K1075" i="1"/>
  <c r="K1061" i="1"/>
  <c r="M1061" i="1" s="1"/>
  <c r="K1053" i="1"/>
  <c r="K977" i="1"/>
  <c r="K933" i="1"/>
  <c r="M933" i="1" s="1"/>
  <c r="K925" i="1"/>
  <c r="K897" i="1"/>
  <c r="K873" i="1"/>
  <c r="K861" i="1"/>
  <c r="K837" i="1"/>
  <c r="M837" i="1" s="1"/>
  <c r="K821" i="1"/>
  <c r="K811" i="1"/>
  <c r="M811" i="1" s="1"/>
  <c r="K795" i="1"/>
  <c r="M795" i="1" s="1"/>
  <c r="K787" i="1"/>
  <c r="M787" i="1" s="1"/>
  <c r="K779" i="1"/>
  <c r="K763" i="1"/>
  <c r="K755" i="1"/>
  <c r="K747" i="1"/>
  <c r="M747" i="1" s="1"/>
  <c r="K731" i="1"/>
  <c r="M731" i="1" s="1"/>
  <c r="K723" i="1"/>
  <c r="K715" i="1"/>
  <c r="M715" i="1" s="1"/>
  <c r="K714" i="1"/>
  <c r="K698" i="1"/>
  <c r="M698" i="1" s="1"/>
  <c r="K695" i="1"/>
  <c r="K688" i="1"/>
  <c r="M688" i="1" s="1"/>
  <c r="K679" i="1"/>
  <c r="K671" i="1"/>
  <c r="K651" i="1"/>
  <c r="M651" i="1" s="1"/>
  <c r="K643" i="1"/>
  <c r="K635" i="1"/>
  <c r="K619" i="1"/>
  <c r="K611" i="1"/>
  <c r="M611" i="1" s="1"/>
  <c r="K603" i="1"/>
  <c r="K551" i="1"/>
  <c r="K543" i="1"/>
  <c r="M543" i="1" s="1"/>
  <c r="K525" i="1"/>
  <c r="K517" i="1"/>
  <c r="K493" i="1"/>
  <c r="K485" i="1"/>
  <c r="K474" i="1"/>
  <c r="K467" i="1"/>
  <c r="M467" i="1" s="1"/>
  <c r="K466" i="1"/>
  <c r="K458" i="1"/>
  <c r="K450" i="1"/>
  <c r="K340" i="1"/>
  <c r="K320" i="1"/>
  <c r="K314" i="1"/>
  <c r="L410" i="1"/>
  <c r="M1394" i="1"/>
  <c r="K444" i="1"/>
  <c r="M444" i="1" s="1"/>
  <c r="K446" i="1"/>
  <c r="M446" i="1" s="1"/>
  <c r="K448" i="1"/>
  <c r="M448" i="1" s="1"/>
  <c r="K454" i="1"/>
  <c r="M454" i="1" s="1"/>
  <c r="K460" i="1"/>
  <c r="K462" i="1"/>
  <c r="M462" i="1" s="1"/>
  <c r="K470" i="1"/>
  <c r="M470" i="1" s="1"/>
  <c r="K476" i="1"/>
  <c r="M476" i="1" s="1"/>
  <c r="K494" i="1"/>
  <c r="K500" i="1"/>
  <c r="K502" i="1"/>
  <c r="K496" i="1"/>
  <c r="K508" i="1"/>
  <c r="M508" i="1" s="1"/>
  <c r="K512" i="1"/>
  <c r="K514" i="1"/>
  <c r="K518" i="1"/>
  <c r="M518" i="1" s="1"/>
  <c r="K530" i="1"/>
  <c r="K557" i="1"/>
  <c r="K559" i="1"/>
  <c r="K561" i="1"/>
  <c r="M561" i="1" s="1"/>
  <c r="K569" i="1"/>
  <c r="M569" i="1" s="1"/>
  <c r="K573" i="1"/>
  <c r="K587" i="1"/>
  <c r="M587" i="1" s="1"/>
  <c r="K595" i="1"/>
  <c r="K599" i="1"/>
  <c r="K609" i="1"/>
  <c r="M609" i="1" s="1"/>
  <c r="K482" i="1"/>
  <c r="K528" i="1"/>
  <c r="M528" i="1" s="1"/>
  <c r="K623" i="1"/>
  <c r="M623" i="1" s="1"/>
  <c r="K625" i="1"/>
  <c r="M625" i="1" s="1"/>
  <c r="K631" i="1"/>
  <c r="L639" i="1"/>
  <c r="K647" i="1"/>
  <c r="L793" i="1"/>
  <c r="K803" i="1"/>
  <c r="K817" i="1"/>
  <c r="K841" i="1"/>
  <c r="K849" i="1"/>
  <c r="M849" i="1" s="1"/>
  <c r="K857" i="1"/>
  <c r="K859" i="1"/>
  <c r="M859" i="1" s="1"/>
  <c r="K865" i="1"/>
  <c r="L498" i="1"/>
  <c r="K542" i="1"/>
  <c r="L615" i="1"/>
  <c r="K617" i="1"/>
  <c r="K627" i="1"/>
  <c r="K645" i="1"/>
  <c r="M645" i="1" s="1"/>
  <c r="K663" i="1"/>
  <c r="M663" i="1" s="1"/>
  <c r="K687" i="1"/>
  <c r="K699" i="1"/>
  <c r="K727" i="1"/>
  <c r="K745" i="1"/>
  <c r="K753" i="1"/>
  <c r="M753" i="1" s="1"/>
  <c r="K767" i="1"/>
  <c r="M767" i="1" s="1"/>
  <c r="K771" i="1"/>
  <c r="K813" i="1"/>
  <c r="K847" i="1"/>
  <c r="K853" i="1"/>
  <c r="K876" i="1"/>
  <c r="M876" i="1" s="1"/>
  <c r="K880" i="1"/>
  <c r="K884" i="1"/>
  <c r="K888" i="1"/>
  <c r="M888" i="1" s="1"/>
  <c r="K892" i="1"/>
  <c r="M892" i="1" s="1"/>
  <c r="K894" i="1"/>
  <c r="K898" i="1"/>
  <c r="K900" i="1"/>
  <c r="K908" i="1"/>
  <c r="M908" i="1" s="1"/>
  <c r="K912" i="1"/>
  <c r="M912" i="1" s="1"/>
  <c r="K914" i="1"/>
  <c r="K918" i="1"/>
  <c r="M918" i="1" s="1"/>
  <c r="K920" i="1"/>
  <c r="M920" i="1" s="1"/>
  <c r="K924" i="1"/>
  <c r="K930" i="1"/>
  <c r="K934" i="1"/>
  <c r="M934" i="1" s="1"/>
  <c r="K936" i="1"/>
  <c r="M936" i="1" s="1"/>
  <c r="K948" i="1"/>
  <c r="K950" i="1"/>
  <c r="M950" i="1" s="1"/>
  <c r="K952" i="1"/>
  <c r="K956" i="1"/>
  <c r="K960" i="1"/>
  <c r="K964" i="1"/>
  <c r="K966" i="1"/>
  <c r="M966" i="1" s="1"/>
  <c r="K972" i="1"/>
  <c r="M972" i="1" s="1"/>
  <c r="K974" i="1"/>
  <c r="M974" i="1" s="1"/>
  <c r="K976" i="1"/>
  <c r="K978" i="1"/>
  <c r="K984" i="1"/>
  <c r="M984" i="1" s="1"/>
  <c r="K986" i="1"/>
  <c r="K988" i="1"/>
  <c r="M988" i="1" s="1"/>
  <c r="K992" i="1"/>
  <c r="K996" i="1"/>
  <c r="K1008" i="1"/>
  <c r="K1010" i="1"/>
  <c r="K1016" i="1"/>
  <c r="K1018" i="1"/>
  <c r="K1020" i="1"/>
  <c r="K1028" i="1"/>
  <c r="K1030" i="1"/>
  <c r="M1030" i="1" s="1"/>
  <c r="K1034" i="1"/>
  <c r="K1048" i="1"/>
  <c r="K1056" i="1"/>
  <c r="M1056" i="1" s="1"/>
  <c r="K1090" i="1"/>
  <c r="M1090" i="1" s="1"/>
  <c r="K1096" i="1"/>
  <c r="M1096" i="1" s="1"/>
  <c r="K1104" i="1"/>
  <c r="M1104" i="1" s="1"/>
  <c r="K1106" i="1"/>
  <c r="K1112" i="1"/>
  <c r="M1112" i="1" s="1"/>
  <c r="K1114" i="1"/>
  <c r="K1138" i="1"/>
  <c r="M1138" i="1" s="1"/>
  <c r="K1152" i="1"/>
  <c r="K1154" i="1"/>
  <c r="M1154" i="1" s="1"/>
  <c r="L1164" i="1"/>
  <c r="L1172" i="1"/>
  <c r="L1176" i="1"/>
  <c r="L1180" i="1"/>
  <c r="L1182" i="1"/>
  <c r="L1190" i="1"/>
  <c r="L1194" i="1"/>
  <c r="L1196" i="1"/>
  <c r="L1200" i="1"/>
  <c r="L1208" i="1"/>
  <c r="L1210" i="1"/>
  <c r="L1224" i="1"/>
  <c r="L1234" i="1"/>
  <c r="L1242" i="1"/>
  <c r="L1260" i="1"/>
  <c r="L1266" i="1"/>
  <c r="L1300" i="1"/>
  <c r="L1308" i="1"/>
  <c r="K1316" i="1"/>
  <c r="K1330" i="1"/>
  <c r="K1340" i="1"/>
  <c r="K661" i="1"/>
  <c r="K729" i="1"/>
  <c r="M729" i="1" s="1"/>
  <c r="L733" i="1"/>
  <c r="K739" i="1"/>
  <c r="K761" i="1"/>
  <c r="M761" i="1" s="1"/>
  <c r="K765" i="1"/>
  <c r="K769" i="1"/>
  <c r="M769" i="1" s="1"/>
  <c r="K797" i="1"/>
  <c r="M797" i="1" s="1"/>
  <c r="K1038" i="1"/>
  <c r="K1046" i="1"/>
  <c r="M1046" i="1" s="1"/>
  <c r="K1068" i="1"/>
  <c r="M1068" i="1" s="1"/>
  <c r="K1086" i="1"/>
  <c r="M1086" i="1" s="1"/>
  <c r="K1110" i="1"/>
  <c r="K1116" i="1"/>
  <c r="L1126" i="1"/>
  <c r="K1134" i="1"/>
  <c r="L1270" i="1"/>
  <c r="L1272" i="1"/>
  <c r="L1278" i="1"/>
  <c r="L1286" i="1"/>
  <c r="M1286" i="1" s="1"/>
  <c r="L1288" i="1"/>
  <c r="L1294" i="1"/>
  <c r="L1296" i="1"/>
  <c r="L1302" i="1"/>
  <c r="K1304" i="1"/>
  <c r="M1304" i="1" s="1"/>
  <c r="K1326" i="1"/>
  <c r="K1336" i="1"/>
  <c r="M1336" i="1" s="1"/>
  <c r="K1342" i="1"/>
  <c r="M1342" i="1" s="1"/>
  <c r="L1347" i="1"/>
  <c r="K677" i="1"/>
  <c r="K681" i="1"/>
  <c r="M681" i="1" s="1"/>
  <c r="K685" i="1"/>
  <c r="K693" i="1"/>
  <c r="M693" i="1" s="1"/>
  <c r="K697" i="1"/>
  <c r="K701" i="1"/>
  <c r="M701" i="1" s="1"/>
  <c r="K705" i="1"/>
  <c r="M705" i="1" s="1"/>
  <c r="K823" i="1"/>
  <c r="K1060" i="1"/>
  <c r="M1060" i="1" s="1"/>
  <c r="K1094" i="1"/>
  <c r="K1102" i="1"/>
  <c r="K1132" i="1"/>
  <c r="K1150" i="1"/>
  <c r="K1156" i="1"/>
  <c r="M1156" i="1" s="1"/>
  <c r="K1312" i="1"/>
  <c r="K1345" i="1"/>
  <c r="M1345" i="1" s="1"/>
  <c r="K1361" i="1"/>
  <c r="K1375" i="1"/>
  <c r="K1381" i="1"/>
  <c r="K1385" i="1"/>
  <c r="M1385" i="1" s="1"/>
  <c r="K1387" i="1"/>
  <c r="M1387" i="1" s="1"/>
  <c r="L95" i="1"/>
  <c r="L110" i="1"/>
  <c r="L118" i="1"/>
  <c r="K870" i="1"/>
  <c r="M870" i="1" s="1"/>
  <c r="K1044" i="1"/>
  <c r="M1044" i="1" s="1"/>
  <c r="K1078" i="1"/>
  <c r="M1078" i="1" s="1"/>
  <c r="K1118" i="1"/>
  <c r="M1118" i="1" s="1"/>
  <c r="L1264" i="1"/>
  <c r="K1328" i="1"/>
  <c r="K1359" i="1"/>
  <c r="K1363" i="1"/>
  <c r="K1377" i="1"/>
  <c r="L442" i="1"/>
  <c r="L440" i="1"/>
  <c r="L438" i="1"/>
  <c r="L437" i="1"/>
  <c r="L436" i="1"/>
  <c r="L435" i="1"/>
  <c r="L434" i="1"/>
  <c r="L433" i="1"/>
  <c r="L430" i="1"/>
  <c r="L428" i="1"/>
  <c r="L423" i="1"/>
  <c r="L421" i="1"/>
  <c r="L414" i="1"/>
  <c r="L413" i="1"/>
  <c r="L408" i="1"/>
  <c r="L404" i="1"/>
  <c r="L376" i="1"/>
  <c r="L375" i="1"/>
  <c r="L370" i="1"/>
  <c r="L355" i="1"/>
  <c r="K352" i="1"/>
  <c r="K350" i="1"/>
  <c r="L349" i="1"/>
  <c r="K348" i="1"/>
  <c r="K346" i="1"/>
  <c r="K344" i="1"/>
  <c r="K342" i="1"/>
  <c r="L341" i="1"/>
  <c r="K338" i="1"/>
  <c r="K336" i="1"/>
  <c r="K332" i="1"/>
  <c r="K330" i="1"/>
  <c r="K328" i="1"/>
  <c r="K326" i="1"/>
  <c r="K324" i="1"/>
  <c r="L323" i="1"/>
  <c r="K318" i="1"/>
  <c r="K316" i="1"/>
  <c r="K304" i="1"/>
  <c r="K300" i="1"/>
  <c r="K296" i="1"/>
  <c r="K292" i="1"/>
  <c r="L285" i="1"/>
  <c r="L134" i="1"/>
  <c r="L123" i="1"/>
  <c r="L122" i="1"/>
  <c r="L116" i="1"/>
  <c r="L115" i="1"/>
  <c r="L114" i="1"/>
  <c r="L101" i="1"/>
  <c r="L21" i="1"/>
  <c r="L429" i="1"/>
  <c r="L419" i="1"/>
  <c r="L351" i="1"/>
  <c r="L399" i="1"/>
  <c r="L394" i="1"/>
  <c r="L392" i="1"/>
  <c r="L383" i="1"/>
  <c r="L366" i="1"/>
  <c r="L357" i="1"/>
  <c r="L356" i="1"/>
  <c r="L307" i="1"/>
  <c r="L302" i="1"/>
  <c r="L294" i="1"/>
  <c r="L291" i="1"/>
  <c r="L283" i="1"/>
  <c r="L273" i="1"/>
  <c r="L261" i="1"/>
  <c r="L242" i="1"/>
  <c r="L241" i="1"/>
  <c r="L236" i="1"/>
  <c r="L234" i="1"/>
  <c r="L230" i="1"/>
  <c r="L227" i="1"/>
  <c r="L222" i="1"/>
  <c r="L217" i="1"/>
  <c r="L209" i="1"/>
  <c r="K204" i="1"/>
  <c r="L202" i="1"/>
  <c r="L198" i="1"/>
  <c r="L190" i="1"/>
  <c r="L181" i="1"/>
  <c r="K180" i="1"/>
  <c r="L176" i="1"/>
  <c r="L170" i="1"/>
  <c r="L168" i="1"/>
  <c r="L162" i="1"/>
  <c r="L161" i="1"/>
  <c r="L160" i="1"/>
  <c r="L154" i="1"/>
  <c r="L153" i="1"/>
  <c r="L147" i="1"/>
  <c r="L146" i="1"/>
  <c r="L139" i="1"/>
  <c r="L138" i="1"/>
  <c r="L135" i="1"/>
  <c r="L131" i="1"/>
  <c r="L108" i="1"/>
  <c r="L107" i="1"/>
  <c r="L45" i="1"/>
  <c r="L29" i="1"/>
  <c r="L28" i="1"/>
  <c r="L27" i="1"/>
  <c r="L8" i="1"/>
  <c r="K1384" i="1"/>
  <c r="K1267" i="1"/>
  <c r="M1267" i="1" s="1"/>
  <c r="L1261" i="1"/>
  <c r="L1253" i="1"/>
  <c r="L1251" i="1"/>
  <c r="M1251" i="1" s="1"/>
  <c r="L1245" i="1"/>
  <c r="L1243" i="1"/>
  <c r="L1181" i="1"/>
  <c r="L1177" i="1"/>
  <c r="L1173" i="1"/>
  <c r="K1081" i="1"/>
  <c r="L1075" i="1"/>
  <c r="K1073" i="1"/>
  <c r="K1007" i="1"/>
  <c r="K1005" i="1"/>
  <c r="K999" i="1"/>
  <c r="K995" i="1"/>
  <c r="K963" i="1"/>
  <c r="M963" i="1" s="1"/>
  <c r="K961" i="1"/>
  <c r="K955" i="1"/>
  <c r="M955" i="1" s="1"/>
  <c r="K951" i="1"/>
  <c r="K945" i="1"/>
  <c r="K943" i="1"/>
  <c r="K939" i="1"/>
  <c r="K881" i="1"/>
  <c r="K879" i="1"/>
  <c r="K875" i="1"/>
  <c r="M875" i="1" s="1"/>
  <c r="K858" i="1"/>
  <c r="M858" i="1" s="1"/>
  <c r="L105" i="1"/>
  <c r="L103" i="1"/>
  <c r="L98" i="1"/>
  <c r="L97" i="1"/>
  <c r="L90" i="1"/>
  <c r="L88" i="1"/>
  <c r="L87" i="1"/>
  <c r="L73" i="1"/>
  <c r="L57" i="1"/>
  <c r="L56" i="1"/>
  <c r="L49" i="1"/>
  <c r="L47" i="1"/>
  <c r="L31" i="1"/>
  <c r="L23" i="1"/>
  <c r="L20" i="1"/>
  <c r="L19" i="1"/>
  <c r="L11" i="1"/>
  <c r="K1317" i="1"/>
  <c r="K1315" i="1"/>
  <c r="K1155" i="1"/>
  <c r="M1155" i="1" s="1"/>
  <c r="K1153" i="1"/>
  <c r="K1129" i="1"/>
  <c r="K1107" i="1"/>
  <c r="L923" i="1"/>
  <c r="K919" i="1"/>
  <c r="M919" i="1" s="1"/>
  <c r="K915" i="1"/>
  <c r="K913" i="1"/>
  <c r="K909" i="1"/>
  <c r="M909" i="1" s="1"/>
  <c r="K907" i="1"/>
  <c r="K826" i="1"/>
  <c r="K632" i="1"/>
  <c r="K602" i="1"/>
  <c r="M602" i="1" s="1"/>
  <c r="K600" i="1"/>
  <c r="M600" i="1" s="1"/>
  <c r="K598" i="1"/>
  <c r="M598" i="1" s="1"/>
  <c r="K596" i="1"/>
  <c r="K594" i="1"/>
  <c r="M594" i="1" s="1"/>
  <c r="K592" i="1"/>
  <c r="K590" i="1"/>
  <c r="M590" i="1" s="1"/>
  <c r="K588" i="1"/>
  <c r="M588" i="1" s="1"/>
  <c r="K582" i="1"/>
  <c r="M582" i="1" s="1"/>
  <c r="K580" i="1"/>
  <c r="M580" i="1" s="1"/>
  <c r="K578" i="1"/>
  <c r="M578" i="1" s="1"/>
  <c r="K576" i="1"/>
  <c r="M576" i="1" s="1"/>
  <c r="K574" i="1"/>
  <c r="M574" i="1" s="1"/>
  <c r="K572" i="1"/>
  <c r="M572" i="1" s="1"/>
  <c r="K568" i="1"/>
  <c r="K562" i="1"/>
  <c r="K560" i="1"/>
  <c r="M560" i="1" s="1"/>
  <c r="K1372" i="1"/>
  <c r="M1372" i="1" s="1"/>
  <c r="K1364" i="1"/>
  <c r="M1364" i="1" s="1"/>
  <c r="K1362" i="1"/>
  <c r="K1360" i="1"/>
  <c r="M1360" i="1" s="1"/>
  <c r="K1358" i="1"/>
  <c r="M1358" i="1" s="1"/>
  <c r="K1323" i="1"/>
  <c r="M1323" i="1" s="1"/>
  <c r="L1227" i="1"/>
  <c r="L1219" i="1"/>
  <c r="L1215" i="1"/>
  <c r="L1203" i="1"/>
  <c r="K1137" i="1"/>
  <c r="K1113" i="1"/>
  <c r="K1065" i="1"/>
  <c r="K1049" i="1"/>
  <c r="K1031" i="1"/>
  <c r="K1029" i="1"/>
  <c r="K1023" i="1"/>
  <c r="K1021" i="1"/>
  <c r="M1021" i="1" s="1"/>
  <c r="K1019" i="1"/>
  <c r="M1019" i="1" s="1"/>
  <c r="K1013" i="1"/>
  <c r="M1013" i="1" s="1"/>
  <c r="K991" i="1"/>
  <c r="M991" i="1" s="1"/>
  <c r="K989" i="1"/>
  <c r="M989" i="1" s="1"/>
  <c r="K987" i="1"/>
  <c r="K985" i="1"/>
  <c r="K983" i="1"/>
  <c r="K979" i="1"/>
  <c r="M979" i="1" s="1"/>
  <c r="K971" i="1"/>
  <c r="M971" i="1" s="1"/>
  <c r="K969" i="1"/>
  <c r="M969" i="1" s="1"/>
  <c r="K967" i="1"/>
  <c r="M967" i="1" s="1"/>
  <c r="K927" i="1"/>
  <c r="K899" i="1"/>
  <c r="K895" i="1"/>
  <c r="K889" i="1"/>
  <c r="K887" i="1"/>
  <c r="M887" i="1" s="1"/>
  <c r="K885" i="1"/>
  <c r="M885" i="1" s="1"/>
  <c r="K883" i="1"/>
  <c r="M883" i="1" s="1"/>
  <c r="K794" i="1"/>
  <c r="K1344" i="1"/>
  <c r="K1337" i="1"/>
  <c r="M1337" i="1" s="1"/>
  <c r="K1335" i="1"/>
  <c r="M1335" i="1" s="1"/>
  <c r="K1327" i="1"/>
  <c r="M1327" i="1" s="1"/>
  <c r="K1319" i="1"/>
  <c r="L1311" i="1"/>
  <c r="L1297" i="1"/>
  <c r="L1281" i="1"/>
  <c r="L1265" i="1"/>
  <c r="K1151" i="1"/>
  <c r="M1151" i="1" s="1"/>
  <c r="K1149" i="1"/>
  <c r="M1149" i="1" s="1"/>
  <c r="K1141" i="1"/>
  <c r="M1141" i="1" s="1"/>
  <c r="K1125" i="1"/>
  <c r="M1125" i="1" s="1"/>
  <c r="K1101" i="1"/>
  <c r="M1101" i="1" s="1"/>
  <c r="K1087" i="1"/>
  <c r="K1069" i="1"/>
  <c r="K1063" i="1"/>
  <c r="L1055" i="1"/>
  <c r="K1045" i="1"/>
  <c r="M1045" i="1" s="1"/>
  <c r="K1039" i="1"/>
  <c r="K1037" i="1"/>
  <c r="M1037" i="1" s="1"/>
  <c r="K850" i="1"/>
  <c r="K810" i="1"/>
  <c r="M810" i="1" s="1"/>
  <c r="K648" i="1"/>
  <c r="K624" i="1"/>
  <c r="K871" i="1"/>
  <c r="M871" i="1" s="1"/>
  <c r="K846" i="1"/>
  <c r="L840" i="1"/>
  <c r="K838" i="1"/>
  <c r="K822" i="1"/>
  <c r="K814" i="1"/>
  <c r="M814" i="1" s="1"/>
  <c r="K806" i="1"/>
  <c r="K792" i="1"/>
  <c r="K788" i="1"/>
  <c r="K786" i="1"/>
  <c r="M786" i="1" s="1"/>
  <c r="K784" i="1"/>
  <c r="M784" i="1" s="1"/>
  <c r="K782" i="1"/>
  <c r="M782" i="1" s="1"/>
  <c r="K780" i="1"/>
  <c r="M780" i="1" s="1"/>
  <c r="K778" i="1"/>
  <c r="M778" i="1" s="1"/>
  <c r="K768" i="1"/>
  <c r="K764" i="1"/>
  <c r="K756" i="1"/>
  <c r="M756" i="1" s="1"/>
  <c r="K752" i="1"/>
  <c r="K750" i="1"/>
  <c r="K748" i="1"/>
  <c r="K744" i="1"/>
  <c r="M744" i="1" s="1"/>
  <c r="K742" i="1"/>
  <c r="K740" i="1"/>
  <c r="M740" i="1" s="1"/>
  <c r="K738" i="1"/>
  <c r="M738" i="1" s="1"/>
  <c r="K736" i="1"/>
  <c r="M736" i="1" s="1"/>
  <c r="K732" i="1"/>
  <c r="M732" i="1" s="1"/>
  <c r="K728" i="1"/>
  <c r="K726" i="1"/>
  <c r="K718" i="1"/>
  <c r="K716" i="1"/>
  <c r="K706" i="1"/>
  <c r="M706" i="1" s="1"/>
  <c r="K704" i="1"/>
  <c r="M704" i="1" s="1"/>
  <c r="K700" i="1"/>
  <c r="K692" i="1"/>
  <c r="K690" i="1"/>
  <c r="M690" i="1" s="1"/>
  <c r="K686" i="1"/>
  <c r="M686" i="1" s="1"/>
  <c r="K684" i="1"/>
  <c r="K676" i="1"/>
  <c r="M676" i="1" s="1"/>
  <c r="K674" i="1"/>
  <c r="K672" i="1"/>
  <c r="M672" i="1" s="1"/>
  <c r="K664" i="1"/>
  <c r="K662" i="1"/>
  <c r="M662" i="1" s="1"/>
  <c r="K656" i="1"/>
  <c r="K654" i="1"/>
  <c r="M654" i="1" s="1"/>
  <c r="L652" i="1"/>
  <c r="K644" i="1"/>
  <c r="K636" i="1"/>
  <c r="M636" i="1" s="1"/>
  <c r="K628" i="1"/>
  <c r="M628" i="1" s="1"/>
  <c r="K620" i="1"/>
  <c r="K616" i="1"/>
  <c r="K614" i="1"/>
  <c r="M614" i="1" s="1"/>
  <c r="K610" i="1"/>
  <c r="M610" i="1" s="1"/>
  <c r="K604" i="1"/>
  <c r="M604" i="1" s="1"/>
  <c r="K554" i="1"/>
  <c r="M554" i="1" s="1"/>
  <c r="K552" i="1"/>
  <c r="M552" i="1" s="1"/>
  <c r="K550" i="1"/>
  <c r="M550" i="1" s="1"/>
  <c r="K549" i="1"/>
  <c r="K547" i="1"/>
  <c r="M547" i="1" s="1"/>
  <c r="K523" i="1"/>
  <c r="M523" i="1" s="1"/>
  <c r="K521" i="1"/>
  <c r="K513" i="1"/>
  <c r="K511" i="1"/>
  <c r="K509" i="1"/>
  <c r="M509" i="1" s="1"/>
  <c r="K487" i="1"/>
  <c r="M487" i="1" s="1"/>
  <c r="L477" i="1"/>
  <c r="K475" i="1"/>
  <c r="M475" i="1" s="1"/>
  <c r="K465" i="1"/>
  <c r="M465" i="1" s="1"/>
  <c r="K463" i="1"/>
  <c r="K459" i="1"/>
  <c r="M459" i="1" s="1"/>
  <c r="K455" i="1"/>
  <c r="K545" i="1"/>
  <c r="K537" i="1"/>
  <c r="M537" i="1" s="1"/>
  <c r="K535" i="1"/>
  <c r="M535" i="1" s="1"/>
  <c r="K527" i="1"/>
  <c r="M527" i="1" s="1"/>
  <c r="K507" i="1"/>
  <c r="K505" i="1"/>
  <c r="M505" i="1" s="1"/>
  <c r="K501" i="1"/>
  <c r="M501" i="1" s="1"/>
  <c r="L453" i="1"/>
  <c r="K451" i="1"/>
  <c r="M451" i="1" s="1"/>
  <c r="K447" i="1"/>
  <c r="M447" i="1" s="1"/>
  <c r="K445" i="1"/>
  <c r="M445" i="1" s="1"/>
  <c r="K497" i="1"/>
  <c r="M497" i="1" s="1"/>
  <c r="K491" i="1"/>
  <c r="M491" i="1" s="1"/>
  <c r="M1395" i="1"/>
  <c r="M1393" i="1"/>
  <c r="M1280" i="1"/>
  <c r="L1390" i="1"/>
  <c r="K1341" i="1"/>
  <c r="K1329" i="1"/>
  <c r="L1255" i="1"/>
  <c r="L1309" i="1"/>
  <c r="L1301" i="1"/>
  <c r="L1293" i="1"/>
  <c r="L1249" i="1"/>
  <c r="L1241" i="1"/>
  <c r="L1213" i="1"/>
  <c r="L1209" i="1"/>
  <c r="L1205" i="1"/>
  <c r="L1201" i="1"/>
  <c r="L1195" i="1"/>
  <c r="L1191" i="1"/>
  <c r="L1189" i="1"/>
  <c r="L1179" i="1"/>
  <c r="L1167" i="1"/>
  <c r="L1165" i="1"/>
  <c r="K1143" i="1"/>
  <c r="M1143" i="1" s="1"/>
  <c r="K1139" i="1"/>
  <c r="M1139" i="1" s="1"/>
  <c r="K1123" i="1"/>
  <c r="K1115" i="1"/>
  <c r="M1115" i="1" s="1"/>
  <c r="K1083" i="1"/>
  <c r="M1083" i="1" s="1"/>
  <c r="K1067" i="1"/>
  <c r="M1067" i="1" s="1"/>
  <c r="K1051" i="1"/>
  <c r="L1041" i="1"/>
  <c r="L901" i="1"/>
  <c r="L714" i="1"/>
  <c r="L670" i="1"/>
  <c r="K864" i="1"/>
  <c r="M864" i="1" s="1"/>
  <c r="L862" i="1"/>
  <c r="K852" i="1"/>
  <c r="K844" i="1"/>
  <c r="M844" i="1" s="1"/>
  <c r="K832" i="1"/>
  <c r="K824" i="1"/>
  <c r="M824" i="1" s="1"/>
  <c r="K812" i="1"/>
  <c r="K804" i="1"/>
  <c r="M804" i="1" s="1"/>
  <c r="K650" i="1"/>
  <c r="K646" i="1"/>
  <c r="K642" i="1"/>
  <c r="K634" i="1"/>
  <c r="K622" i="1"/>
  <c r="M622" i="1" s="1"/>
  <c r="K541" i="1"/>
  <c r="M541" i="1" s="1"/>
  <c r="K533" i="1"/>
  <c r="K499" i="1"/>
  <c r="K495" i="1"/>
  <c r="M495" i="1" s="1"/>
  <c r="K386" i="1"/>
  <c r="L374" i="1"/>
  <c r="L368" i="1"/>
  <c r="K366" i="1"/>
  <c r="K360" i="1"/>
  <c r="L354" i="1"/>
  <c r="L352" i="1"/>
  <c r="L350" i="1"/>
  <c r="L338" i="1"/>
  <c r="L334" i="1"/>
  <c r="L324" i="1"/>
  <c r="L322" i="1"/>
  <c r="L308" i="1"/>
  <c r="L288" i="1"/>
  <c r="L284" i="1"/>
  <c r="K134" i="1"/>
  <c r="K126" i="1"/>
  <c r="L10" i="1"/>
  <c r="L398" i="1"/>
  <c r="K392" i="1"/>
  <c r="K370" i="1"/>
  <c r="K310" i="1"/>
  <c r="K306" i="1"/>
  <c r="K302" i="1"/>
  <c r="K298" i="1"/>
  <c r="K294" i="1"/>
  <c r="K270" i="1"/>
  <c r="K262" i="1"/>
  <c r="K258" i="1"/>
  <c r="K254" i="1"/>
  <c r="K250" i="1"/>
  <c r="K242" i="1"/>
  <c r="K234" i="1"/>
  <c r="K230" i="1"/>
  <c r="K226" i="1"/>
  <c r="K222" i="1"/>
  <c r="K218" i="1"/>
  <c r="K214" i="1"/>
  <c r="K122" i="1"/>
  <c r="L140" i="1"/>
  <c r="L397" i="1"/>
  <c r="K397" i="1"/>
  <c r="K395" i="1"/>
  <c r="L391" i="1"/>
  <c r="K387" i="1"/>
  <c r="K385" i="1"/>
  <c r="K383" i="1"/>
  <c r="L381" i="1"/>
  <c r="K381" i="1"/>
  <c r="K377" i="1"/>
  <c r="K373" i="1"/>
  <c r="L373" i="1"/>
  <c r="K367" i="1"/>
  <c r="L367" i="1"/>
  <c r="K365" i="1"/>
  <c r="L365" i="1"/>
  <c r="K363" i="1"/>
  <c r="L363" i="1"/>
  <c r="K245" i="1"/>
  <c r="K243" i="1"/>
  <c r="K241" i="1"/>
  <c r="K239" i="1"/>
  <c r="K237" i="1"/>
  <c r="K235" i="1"/>
  <c r="K233" i="1"/>
  <c r="K231" i="1"/>
  <c r="K229" i="1"/>
  <c r="K227" i="1"/>
  <c r="K225" i="1"/>
  <c r="K223" i="1"/>
  <c r="K221" i="1"/>
  <c r="K219" i="1"/>
  <c r="K217" i="1"/>
  <c r="K215" i="1"/>
  <c r="K213" i="1"/>
  <c r="K211" i="1"/>
  <c r="L211" i="1"/>
  <c r="K191" i="1"/>
  <c r="K179" i="1"/>
  <c r="L179" i="1"/>
  <c r="K159" i="1"/>
  <c r="K155" i="1"/>
  <c r="L151" i="1"/>
  <c r="K151" i="1"/>
  <c r="K137" i="1"/>
  <c r="K129" i="1"/>
  <c r="L113" i="1"/>
  <c r="K113" i="1"/>
  <c r="K111" i="1"/>
  <c r="K105" i="1"/>
  <c r="K103" i="1"/>
  <c r="K95" i="1"/>
  <c r="K89" i="1"/>
  <c r="L89" i="1"/>
  <c r="K85" i="1"/>
  <c r="L81" i="1"/>
  <c r="L79" i="1"/>
  <c r="K79" i="1"/>
  <c r="L77" i="1"/>
  <c r="K77" i="1"/>
  <c r="K75" i="1"/>
  <c r="K71" i="1"/>
  <c r="L71" i="1"/>
  <c r="K69" i="1"/>
  <c r="L65" i="1"/>
  <c r="K63" i="1"/>
  <c r="L63" i="1"/>
  <c r="K61" i="1"/>
  <c r="K55" i="1"/>
  <c r="K51" i="1"/>
  <c r="L13" i="1"/>
  <c r="K13" i="1"/>
  <c r="L7" i="1"/>
  <c r="K5" i="1"/>
  <c r="L5" i="1"/>
  <c r="K361" i="1"/>
  <c r="K359" i="1"/>
  <c r="K357" i="1"/>
  <c r="K355" i="1"/>
  <c r="K207" i="1"/>
  <c r="L274" i="1"/>
  <c r="K246" i="1"/>
  <c r="L246" i="1"/>
  <c r="K208" i="1"/>
  <c r="K206" i="1"/>
  <c r="L136" i="1"/>
  <c r="K136" i="1"/>
  <c r="K132" i="1"/>
  <c r="L128" i="1"/>
  <c r="K128" i="1"/>
  <c r="K124" i="1"/>
  <c r="K120" i="1"/>
  <c r="K118" i="1"/>
  <c r="K116" i="1"/>
  <c r="K114" i="1"/>
  <c r="K112" i="1"/>
  <c r="K110" i="1"/>
  <c r="K108" i="1"/>
  <c r="K100" i="1"/>
  <c r="L100" i="1"/>
  <c r="K98" i="1"/>
  <c r="K96" i="1"/>
  <c r="L92" i="1"/>
  <c r="K92" i="1"/>
  <c r="K90" i="1"/>
  <c r="K84" i="1"/>
  <c r="L84" i="1"/>
  <c r="K82" i="1"/>
  <c r="L82" i="1"/>
  <c r="K80" i="1"/>
  <c r="K76" i="1"/>
  <c r="L76" i="1"/>
  <c r="K74" i="1"/>
  <c r="L74" i="1"/>
  <c r="L72" i="1"/>
  <c r="K72" i="1"/>
  <c r="L68" i="1"/>
  <c r="K68" i="1"/>
  <c r="L66" i="1"/>
  <c r="K66" i="1"/>
  <c r="K64" i="1"/>
  <c r="L60" i="1"/>
  <c r="K60" i="1"/>
  <c r="K4" i="1"/>
  <c r="L441" i="1"/>
  <c r="L439" i="1"/>
  <c r="K437" i="1"/>
  <c r="K431" i="1"/>
  <c r="K429" i="1"/>
  <c r="K427" i="1"/>
  <c r="K425" i="1"/>
  <c r="K423" i="1"/>
  <c r="K421" i="1"/>
  <c r="K419" i="1"/>
  <c r="K417" i="1"/>
  <c r="L415" i="1"/>
  <c r="K413" i="1"/>
  <c r="L411" i="1"/>
  <c r="L407" i="1"/>
  <c r="L405" i="1"/>
  <c r="L403" i="1"/>
  <c r="L400" i="1"/>
  <c r="K399" i="1"/>
  <c r="K390" i="1"/>
  <c r="L389" i="1"/>
  <c r="L388" i="1"/>
  <c r="L384" i="1"/>
  <c r="L380" i="1"/>
  <c r="K376" i="1"/>
  <c r="K372" i="1"/>
  <c r="K368" i="1"/>
  <c r="K358" i="1"/>
  <c r="K356" i="1"/>
  <c r="K354" i="1"/>
  <c r="K353" i="1"/>
  <c r="K351" i="1"/>
  <c r="K349" i="1"/>
  <c r="K347" i="1"/>
  <c r="K345" i="1"/>
  <c r="K343" i="1"/>
  <c r="K341" i="1"/>
  <c r="K339" i="1"/>
  <c r="K335" i="1"/>
  <c r="K333" i="1"/>
  <c r="K331" i="1"/>
  <c r="K327" i="1"/>
  <c r="K325" i="1"/>
  <c r="K323" i="1"/>
  <c r="K319" i="1"/>
  <c r="K317" i="1"/>
  <c r="K315" i="1"/>
  <c r="K311" i="1"/>
  <c r="K309" i="1"/>
  <c r="K307" i="1"/>
  <c r="K305" i="1"/>
  <c r="K303" i="1"/>
  <c r="K301" i="1"/>
  <c r="K299" i="1"/>
  <c r="K297" i="1"/>
  <c r="K295" i="1"/>
  <c r="K293" i="1"/>
  <c r="K291" i="1"/>
  <c r="K289" i="1"/>
  <c r="K287" i="1"/>
  <c r="K285" i="1"/>
  <c r="K283" i="1"/>
  <c r="K281" i="1"/>
  <c r="K279" i="1"/>
  <c r="K277" i="1"/>
  <c r="K275" i="1"/>
  <c r="K272" i="1"/>
  <c r="K268" i="1"/>
  <c r="K264" i="1"/>
  <c r="K256" i="1"/>
  <c r="K248" i="1"/>
  <c r="K244" i="1"/>
  <c r="K240" i="1"/>
  <c r="K232" i="1"/>
  <c r="K228" i="1"/>
  <c r="K224" i="1"/>
  <c r="K216" i="1"/>
  <c r="K212" i="1"/>
  <c r="L203" i="1"/>
  <c r="L195" i="1"/>
  <c r="L184" i="1"/>
  <c r="K23" i="1"/>
  <c r="K21" i="1"/>
  <c r="K58" i="1"/>
  <c r="K56" i="1"/>
  <c r="K54" i="1"/>
  <c r="L52" i="1"/>
  <c r="K52" i="1"/>
  <c r="L50" i="1"/>
  <c r="K50" i="1"/>
  <c r="L48" i="1"/>
  <c r="L44" i="1"/>
  <c r="K44" i="1"/>
  <c r="L42" i="1"/>
  <c r="L40" i="1"/>
  <c r="L38" i="1"/>
  <c r="L36" i="1"/>
  <c r="K36" i="1"/>
  <c r="K34" i="1"/>
  <c r="L34" i="1"/>
  <c r="L30" i="1"/>
  <c r="K28" i="1"/>
  <c r="K26" i="1"/>
  <c r="L26" i="1"/>
  <c r="K24" i="1"/>
  <c r="K20" i="1"/>
  <c r="L18" i="1"/>
  <c r="L16" i="1"/>
  <c r="K14" i="1"/>
  <c r="L14" i="1"/>
  <c r="L6" i="1"/>
  <c r="K6" i="1"/>
  <c r="K290" i="1"/>
  <c r="K286" i="1"/>
  <c r="K282" i="1"/>
  <c r="K280" i="1"/>
  <c r="K278" i="1"/>
  <c r="K273" i="1"/>
  <c r="K269" i="1"/>
  <c r="K267" i="1"/>
  <c r="K261" i="1"/>
  <c r="K259" i="1"/>
  <c r="K253" i="1"/>
  <c r="K251" i="1"/>
  <c r="K249" i="1"/>
  <c r="K209" i="1"/>
  <c r="K205" i="1"/>
  <c r="L201" i="1"/>
  <c r="L197" i="1"/>
  <c r="K121" i="1"/>
  <c r="K99" i="1"/>
  <c r="K87" i="1"/>
  <c r="K73" i="1"/>
  <c r="L204" i="1"/>
  <c r="L196" i="1"/>
  <c r="L186" i="1"/>
  <c r="L182" i="1"/>
  <c r="L173" i="1"/>
  <c r="L171" i="1"/>
  <c r="L165" i="1"/>
  <c r="L163" i="1"/>
  <c r="L150" i="1"/>
  <c r="K39" i="1"/>
  <c r="K37" i="1"/>
  <c r="K10" i="1"/>
  <c r="L210" i="1"/>
  <c r="L189" i="1"/>
  <c r="L187" i="1"/>
  <c r="L185" i="1"/>
  <c r="K181" i="1"/>
  <c r="L180" i="1"/>
  <c r="L178" i="1"/>
  <c r="K157" i="1"/>
  <c r="L145" i="1"/>
  <c r="K47" i="1"/>
  <c r="K31" i="1"/>
  <c r="K15" i="1"/>
  <c r="K53" i="1"/>
  <c r="K43" i="1"/>
  <c r="K41" i="1"/>
  <c r="K33" i="1"/>
  <c r="K25" i="1"/>
  <c r="K17" i="1"/>
  <c r="K8" i="1"/>
  <c r="M1245" i="1" l="1"/>
  <c r="M121" i="1"/>
  <c r="M714" i="1"/>
  <c r="M1201" i="1"/>
  <c r="M1278" i="1"/>
  <c r="M380" i="1"/>
  <c r="M652" i="1"/>
  <c r="M1203" i="1"/>
  <c r="M670" i="1"/>
  <c r="M733" i="1"/>
  <c r="M4" i="1"/>
  <c r="M1205" i="1"/>
  <c r="M1311" i="1"/>
  <c r="M1243" i="1"/>
  <c r="M1308" i="1"/>
  <c r="M1208" i="1"/>
  <c r="M1041" i="1"/>
  <c r="M1187" i="1"/>
  <c r="M1235" i="1"/>
  <c r="M339" i="1"/>
  <c r="M347" i="1"/>
  <c r="M1195" i="1"/>
  <c r="M923" i="1"/>
  <c r="M1264" i="1"/>
  <c r="M1163" i="1"/>
  <c r="M1261" i="1"/>
  <c r="M1175" i="1"/>
  <c r="M1269" i="1"/>
  <c r="M342" i="1"/>
  <c r="M1263" i="1"/>
  <c r="K1250" i="1"/>
  <c r="L1250" i="1"/>
  <c r="K1174" i="1"/>
  <c r="L1174" i="1"/>
  <c r="K1207" i="1"/>
  <c r="L1207" i="1"/>
  <c r="K1100" i="1"/>
  <c r="L1100" i="1"/>
  <c r="K1254" i="1"/>
  <c r="L1254" i="1"/>
  <c r="K1256" i="1"/>
  <c r="L1256" i="1"/>
  <c r="K1276" i="1"/>
  <c r="L1276" i="1"/>
  <c r="K1212" i="1"/>
  <c r="L1212" i="1"/>
  <c r="K1012" i="1"/>
  <c r="L1012" i="1"/>
  <c r="K1237" i="1"/>
  <c r="L1237" i="1"/>
  <c r="L312" i="1"/>
  <c r="M312" i="1" s="1"/>
  <c r="L371" i="1"/>
  <c r="M371" i="1" s="1"/>
  <c r="L1287" i="1"/>
  <c r="M1287" i="1" s="1"/>
  <c r="L379" i="1"/>
  <c r="M379" i="1" s="1"/>
  <c r="L321" i="1"/>
  <c r="M321" i="1" s="1"/>
  <c r="L364" i="1"/>
  <c r="M364" i="1" s="1"/>
  <c r="L1292" i="1"/>
  <c r="M1292" i="1" s="1"/>
  <c r="L1211" i="1"/>
  <c r="M1211" i="1" s="1"/>
  <c r="K1186" i="1"/>
  <c r="L1186" i="1"/>
  <c r="K1221" i="1"/>
  <c r="L1221" i="1"/>
  <c r="K1310" i="1"/>
  <c r="L1310" i="1"/>
  <c r="K1306" i="1"/>
  <c r="L1306" i="1"/>
  <c r="K104" i="1"/>
  <c r="L104" i="1"/>
  <c r="K1274" i="1"/>
  <c r="L1274" i="1"/>
  <c r="K1273" i="1"/>
  <c r="L1273" i="1"/>
  <c r="K93" i="1"/>
  <c r="L93" i="1"/>
  <c r="K127" i="1"/>
  <c r="L127" i="1"/>
  <c r="K143" i="1"/>
  <c r="L143" i="1"/>
  <c r="K177" i="1"/>
  <c r="L177" i="1"/>
  <c r="K1223" i="1"/>
  <c r="L1223" i="1"/>
  <c r="K382" i="1"/>
  <c r="L382" i="1"/>
  <c r="L164" i="1"/>
  <c r="M164" i="1" s="1"/>
  <c r="L106" i="1"/>
  <c r="M106" i="1" s="1"/>
  <c r="L1217" i="1"/>
  <c r="M1217" i="1" s="1"/>
  <c r="L1275" i="1"/>
  <c r="M1275" i="1" s="1"/>
  <c r="L1305" i="1"/>
  <c r="M1305" i="1" s="1"/>
  <c r="L220" i="1"/>
  <c r="M220" i="1" s="1"/>
  <c r="L149" i="1"/>
  <c r="M149" i="1" s="1"/>
  <c r="L142" i="1"/>
  <c r="M142" i="1" s="1"/>
  <c r="L169" i="1"/>
  <c r="M169" i="1" s="1"/>
  <c r="L193" i="1"/>
  <c r="M193" i="1" s="1"/>
  <c r="K257" i="1"/>
  <c r="M257" i="1" s="1"/>
  <c r="L166" i="1"/>
  <c r="M166" i="1" s="1"/>
  <c r="L119" i="1"/>
  <c r="M119" i="1" s="1"/>
  <c r="L32" i="1"/>
  <c r="M32" i="1" s="1"/>
  <c r="L584" i="1"/>
  <c r="M584" i="1" s="1"/>
  <c r="L1071" i="1"/>
  <c r="M1071" i="1" s="1"/>
  <c r="L1247" i="1"/>
  <c r="M1247" i="1" s="1"/>
  <c r="L1289" i="1"/>
  <c r="M1289" i="1" s="1"/>
  <c r="L1199" i="1"/>
  <c r="M1199" i="1" s="1"/>
  <c r="L1392" i="1"/>
  <c r="M1392" i="1" s="1"/>
  <c r="L252" i="1"/>
  <c r="M252" i="1" s="1"/>
  <c r="L313" i="1"/>
  <c r="M313" i="1" s="1"/>
  <c r="L329" i="1"/>
  <c r="M329" i="1" s="1"/>
  <c r="L337" i="1"/>
  <c r="M337" i="1" s="1"/>
  <c r="L1373" i="1"/>
  <c r="M1373" i="1" s="1"/>
  <c r="L755" i="1"/>
  <c r="M755" i="1" s="1"/>
  <c r="L1230" i="1"/>
  <c r="M1230" i="1" s="1"/>
  <c r="L1170" i="1"/>
  <c r="M1170" i="1" s="1"/>
  <c r="M1126" i="1"/>
  <c r="K570" i="1"/>
  <c r="M570" i="1" s="1"/>
  <c r="K1206" i="1"/>
  <c r="L1206" i="1"/>
  <c r="K1216" i="1"/>
  <c r="L1216" i="1"/>
  <c r="K1225" i="1"/>
  <c r="L1225" i="1"/>
  <c r="K1321" i="1"/>
  <c r="L1321" i="1"/>
  <c r="K1004" i="1"/>
  <c r="M1004" i="1" s="1"/>
  <c r="K1076" i="1"/>
  <c r="L1076" i="1"/>
  <c r="K1232" i="1"/>
  <c r="L1232" i="1"/>
  <c r="K46" i="1"/>
  <c r="L46" i="1"/>
  <c r="K62" i="1"/>
  <c r="L62" i="1"/>
  <c r="K78" i="1"/>
  <c r="L78" i="1"/>
  <c r="K130" i="1"/>
  <c r="L130" i="1"/>
  <c r="K148" i="1"/>
  <c r="L148" i="1"/>
  <c r="K1231" i="1"/>
  <c r="L1231" i="1"/>
  <c r="K67" i="1"/>
  <c r="L67" i="1"/>
  <c r="K83" i="1"/>
  <c r="L83" i="1"/>
  <c r="K117" i="1"/>
  <c r="L117" i="1"/>
  <c r="K133" i="1"/>
  <c r="L133" i="1"/>
  <c r="K183" i="1"/>
  <c r="L183" i="1"/>
  <c r="K199" i="1"/>
  <c r="L199" i="1"/>
  <c r="K393" i="1"/>
  <c r="L393" i="1"/>
  <c r="K1268" i="1"/>
  <c r="L1268" i="1"/>
  <c r="L276" i="1"/>
  <c r="K276" i="1"/>
  <c r="K402" i="1"/>
  <c r="L402" i="1"/>
  <c r="K710" i="1"/>
  <c r="M710" i="1" s="1"/>
  <c r="K809" i="1"/>
  <c r="L809" i="1"/>
  <c r="K1279" i="1"/>
  <c r="L1279" i="1"/>
  <c r="K1382" i="1"/>
  <c r="L1382" i="1"/>
  <c r="K174" i="1"/>
  <c r="L174" i="1"/>
  <c r="K192" i="1"/>
  <c r="L192" i="1"/>
  <c r="K1032" i="1"/>
  <c r="L1032" i="1"/>
  <c r="L172" i="1"/>
  <c r="M172" i="1" s="1"/>
  <c r="L70" i="1"/>
  <c r="M70" i="1" s="1"/>
  <c r="L86" i="1"/>
  <c r="M86" i="1" s="1"/>
  <c r="L94" i="1"/>
  <c r="M94" i="1" s="1"/>
  <c r="L1159" i="1"/>
  <c r="M1159" i="1" s="1"/>
  <c r="L401" i="1"/>
  <c r="M401" i="1" s="1"/>
  <c r="K818" i="1"/>
  <c r="L818" i="1"/>
  <c r="K737" i="1"/>
  <c r="M737" i="1" s="1"/>
  <c r="K1202" i="1"/>
  <c r="L1202" i="1"/>
  <c r="K1220" i="1"/>
  <c r="L1220" i="1"/>
  <c r="K1238" i="1"/>
  <c r="L1238" i="1"/>
  <c r="K1290" i="1"/>
  <c r="L1290" i="1"/>
  <c r="K696" i="1"/>
  <c r="L696" i="1"/>
  <c r="K1161" i="1"/>
  <c r="L1161" i="1"/>
  <c r="K965" i="1"/>
  <c r="L965" i="1"/>
  <c r="K1244" i="1"/>
  <c r="L1244" i="1"/>
  <c r="K1262" i="1"/>
  <c r="L1262" i="1"/>
  <c r="K1295" i="1"/>
  <c r="L1295" i="1"/>
  <c r="K12" i="1"/>
  <c r="L12" i="1"/>
  <c r="K102" i="1"/>
  <c r="L102" i="1"/>
  <c r="K156" i="1"/>
  <c r="L156" i="1"/>
  <c r="K1257" i="1"/>
  <c r="L1257" i="1"/>
  <c r="K1299" i="1"/>
  <c r="L1299" i="1"/>
  <c r="K1226" i="1"/>
  <c r="L1226" i="1"/>
  <c r="K1283" i="1"/>
  <c r="L1283" i="1"/>
  <c r="L59" i="1"/>
  <c r="K59" i="1"/>
  <c r="K91" i="1"/>
  <c r="L91" i="1"/>
  <c r="K109" i="1"/>
  <c r="L109" i="1"/>
  <c r="K125" i="1"/>
  <c r="L125" i="1"/>
  <c r="K141" i="1"/>
  <c r="L141" i="1"/>
  <c r="K175" i="1"/>
  <c r="L175" i="1"/>
  <c r="L200" i="1"/>
  <c r="M200" i="1" s="1"/>
  <c r="L9" i="1"/>
  <c r="M9" i="1" s="1"/>
  <c r="L1246" i="1"/>
  <c r="M1246" i="1" s="1"/>
  <c r="K247" i="1"/>
  <c r="M247" i="1" s="1"/>
  <c r="K255" i="1"/>
  <c r="M255" i="1" s="1"/>
  <c r="K263" i="1"/>
  <c r="M263" i="1" s="1"/>
  <c r="K271" i="1"/>
  <c r="M271" i="1" s="1"/>
  <c r="K260" i="1"/>
  <c r="M260" i="1" s="1"/>
  <c r="L369" i="1"/>
  <c r="M369" i="1" s="1"/>
  <c r="L603" i="1"/>
  <c r="M603" i="1" s="1"/>
  <c r="M264" i="1"/>
  <c r="K993" i="1"/>
  <c r="L993" i="1"/>
  <c r="K1178" i="1"/>
  <c r="L1178" i="1"/>
  <c r="K1204" i="1"/>
  <c r="L1204" i="1"/>
  <c r="K1214" i="1"/>
  <c r="L1214" i="1"/>
  <c r="K1222" i="1"/>
  <c r="L1222" i="1"/>
  <c r="K585" i="1"/>
  <c r="L585" i="1"/>
  <c r="K1184" i="1"/>
  <c r="L1184" i="1"/>
  <c r="K1239" i="1"/>
  <c r="L1239" i="1"/>
  <c r="K1386" i="1"/>
  <c r="L1386" i="1"/>
  <c r="K1146" i="1"/>
  <c r="L1146" i="1"/>
  <c r="K1198" i="1"/>
  <c r="L1198" i="1"/>
  <c r="K1277" i="1"/>
  <c r="L1277" i="1"/>
  <c r="K1252" i="1"/>
  <c r="L1252" i="1"/>
  <c r="K1162" i="1"/>
  <c r="L1162" i="1"/>
  <c r="K1218" i="1"/>
  <c r="L1218" i="1"/>
  <c r="K1248" i="1"/>
  <c r="L1248" i="1"/>
  <c r="K1192" i="1"/>
  <c r="L1192" i="1"/>
  <c r="L144" i="1"/>
  <c r="M144" i="1" s="1"/>
  <c r="M316" i="1"/>
  <c r="L556" i="1"/>
  <c r="M556" i="1" s="1"/>
  <c r="L1307" i="1"/>
  <c r="M1307" i="1" s="1"/>
  <c r="L937" i="1"/>
  <c r="M937" i="1" s="1"/>
  <c r="L1284" i="1"/>
  <c r="M1284" i="1" s="1"/>
  <c r="K194" i="1"/>
  <c r="L194" i="1"/>
  <c r="K1298" i="1"/>
  <c r="L1298" i="1"/>
  <c r="K406" i="1"/>
  <c r="L406" i="1"/>
  <c r="K882" i="1"/>
  <c r="L882" i="1"/>
  <c r="L238" i="1"/>
  <c r="M238" i="1" s="1"/>
  <c r="M350" i="1"/>
  <c r="M1182" i="1"/>
  <c r="M1396" i="1"/>
  <c r="M314" i="1"/>
  <c r="M338" i="1"/>
  <c r="M432" i="1"/>
  <c r="M1296" i="1"/>
  <c r="M1270" i="1"/>
  <c r="M1183" i="1"/>
  <c r="M1241" i="1"/>
  <c r="M1171" i="1"/>
  <c r="M956" i="1"/>
  <c r="M1390" i="1"/>
  <c r="M1388" i="1"/>
  <c r="M1265" i="1"/>
  <c r="M1258" i="1"/>
  <c r="M482" i="1"/>
  <c r="M924" i="1"/>
  <c r="M400" i="1"/>
  <c r="M1209" i="1"/>
  <c r="M1309" i="1"/>
  <c r="M545" i="1"/>
  <c r="M517" i="1"/>
  <c r="M608" i="1"/>
  <c r="M1087" i="1"/>
  <c r="M1281" i="1"/>
  <c r="M977" i="1"/>
  <c r="M927" i="1"/>
  <c r="M411" i="1"/>
  <c r="M717" i="1"/>
  <c r="M185" i="1"/>
  <c r="M483" i="1"/>
  <c r="M1169" i="1"/>
  <c r="M1189" i="1"/>
  <c r="M1313" i="1"/>
  <c r="M449" i="1"/>
  <c r="M455" i="1"/>
  <c r="M471" i="1"/>
  <c r="M485" i="1"/>
  <c r="M612" i="1"/>
  <c r="M660" i="1"/>
  <c r="M720" i="1"/>
  <c r="M792" i="1"/>
  <c r="M648" i="1"/>
  <c r="M820" i="1"/>
  <c r="M1053" i="1"/>
  <c r="M1063" i="1"/>
  <c r="M1109" i="1"/>
  <c r="M1271" i="1"/>
  <c r="M1348" i="1"/>
  <c r="M889" i="1"/>
  <c r="M897" i="1"/>
  <c r="M973" i="1"/>
  <c r="M1113" i="1"/>
  <c r="M1215" i="1"/>
  <c r="M1233" i="1"/>
  <c r="M558" i="1"/>
  <c r="M913" i="1"/>
  <c r="M1384" i="1"/>
  <c r="M1367" i="1"/>
  <c r="M1038" i="1"/>
  <c r="M773" i="1"/>
  <c r="M743" i="1"/>
  <c r="M653" i="1"/>
  <c r="M1332" i="1"/>
  <c r="M1136" i="1"/>
  <c r="M1028" i="1"/>
  <c r="M996" i="1"/>
  <c r="M964" i="1"/>
  <c r="M948" i="1"/>
  <c r="M916" i="1"/>
  <c r="M884" i="1"/>
  <c r="M863" i="1"/>
  <c r="M831" i="1"/>
  <c r="M745" i="1"/>
  <c r="M727" i="1"/>
  <c r="M711" i="1"/>
  <c r="M617" i="1"/>
  <c r="M857" i="1"/>
  <c r="M841" i="1"/>
  <c r="M825" i="1"/>
  <c r="M793" i="1"/>
  <c r="M514" i="1"/>
  <c r="M460" i="1"/>
  <c r="M639" i="1"/>
  <c r="M1349" i="1"/>
  <c r="M408" i="1"/>
  <c r="M718" i="1"/>
  <c r="M716" i="1"/>
  <c r="M748" i="1"/>
  <c r="M772" i="1"/>
  <c r="M788" i="1"/>
  <c r="M846" i="1"/>
  <c r="M802" i="1"/>
  <c r="M1039" i="1"/>
  <c r="M1343" i="1"/>
  <c r="M891" i="1"/>
  <c r="M899" i="1"/>
  <c r="M931" i="1"/>
  <c r="M975" i="1"/>
  <c r="M983" i="1"/>
  <c r="M1017" i="1"/>
  <c r="M1049" i="1"/>
  <c r="M1137" i="1"/>
  <c r="M1219" i="1"/>
  <c r="M1339" i="1"/>
  <c r="M568" i="1"/>
  <c r="M826" i="1"/>
  <c r="M907" i="1"/>
  <c r="M915" i="1"/>
  <c r="M1059" i="1"/>
  <c r="M1107" i="1"/>
  <c r="M953" i="1"/>
  <c r="M961" i="1"/>
  <c r="M1007" i="1"/>
  <c r="M1073" i="1"/>
  <c r="M1363" i="1"/>
  <c r="M1312" i="1"/>
  <c r="M1132" i="1"/>
  <c r="M1094" i="1"/>
  <c r="M697" i="1"/>
  <c r="M635" i="1"/>
  <c r="M1320" i="1"/>
  <c r="M1110" i="1"/>
  <c r="M845" i="1"/>
  <c r="M739" i="1"/>
  <c r="M1210" i="1"/>
  <c r="M1114" i="1"/>
  <c r="M1098" i="1"/>
  <c r="M1050" i="1"/>
  <c r="M1034" i="1"/>
  <c r="M946" i="1"/>
  <c r="M930" i="1"/>
  <c r="M898" i="1"/>
  <c r="M853" i="1"/>
  <c r="M759" i="1"/>
  <c r="M707" i="1"/>
  <c r="M675" i="1"/>
  <c r="M637" i="1"/>
  <c r="M851" i="1"/>
  <c r="M803" i="1"/>
  <c r="M605" i="1"/>
  <c r="M573" i="1"/>
  <c r="M565" i="1"/>
  <c r="M532" i="1"/>
  <c r="M466" i="1"/>
  <c r="M450" i="1"/>
  <c r="M1229" i="1"/>
  <c r="M658" i="1"/>
  <c r="M726" i="1"/>
  <c r="M1065" i="1"/>
  <c r="M1147" i="1"/>
  <c r="M1352" i="1"/>
  <c r="M1376" i="1"/>
  <c r="M562" i="1"/>
  <c r="M596" i="1"/>
  <c r="M632" i="1"/>
  <c r="M1129" i="1"/>
  <c r="M1315" i="1"/>
  <c r="M939" i="1"/>
  <c r="M1075" i="1"/>
  <c r="M861" i="1"/>
  <c r="M1389" i="1"/>
  <c r="M1381" i="1"/>
  <c r="M1353" i="1"/>
  <c r="M823" i="1"/>
  <c r="M677" i="1"/>
  <c r="M629" i="1"/>
  <c r="M1288" i="1"/>
  <c r="M1134" i="1"/>
  <c r="M1092" i="1"/>
  <c r="M1052" i="1"/>
  <c r="M765" i="1"/>
  <c r="M735" i="1"/>
  <c r="M721" i="1"/>
  <c r="M661" i="1"/>
  <c r="M1340" i="1"/>
  <c r="M1324" i="1"/>
  <c r="M1242" i="1"/>
  <c r="M1234" i="1"/>
  <c r="M1224" i="1"/>
  <c r="M1200" i="1"/>
  <c r="M1168" i="1"/>
  <c r="M1160" i="1"/>
  <c r="M1144" i="1"/>
  <c r="M1128" i="1"/>
  <c r="M1048" i="1"/>
  <c r="M1016" i="1"/>
  <c r="M1008" i="1"/>
  <c r="M1000" i="1"/>
  <c r="M992" i="1"/>
  <c r="M976" i="1"/>
  <c r="M960" i="1"/>
  <c r="M952" i="1"/>
  <c r="M904" i="1"/>
  <c r="M880" i="1"/>
  <c r="M872" i="1"/>
  <c r="M847" i="1"/>
  <c r="M813" i="1"/>
  <c r="M771" i="1"/>
  <c r="M703" i="1"/>
  <c r="M687" i="1"/>
  <c r="M671" i="1"/>
  <c r="M627" i="1"/>
  <c r="M542" i="1"/>
  <c r="M865" i="1"/>
  <c r="M833" i="1"/>
  <c r="M817" i="1"/>
  <c r="M647" i="1"/>
  <c r="M631" i="1"/>
  <c r="M534" i="1"/>
  <c r="M595" i="1"/>
  <c r="M579" i="1"/>
  <c r="M571" i="1"/>
  <c r="M555" i="1"/>
  <c r="M530" i="1"/>
  <c r="M510" i="1"/>
  <c r="M480" i="1"/>
  <c r="M500" i="1"/>
  <c r="M456" i="1"/>
  <c r="M496" i="1"/>
  <c r="M742" i="1"/>
  <c r="M791" i="1"/>
  <c r="M750" i="1"/>
  <c r="M987" i="1"/>
  <c r="M1029" i="1"/>
  <c r="M498" i="1"/>
  <c r="M592" i="1"/>
  <c r="M940" i="1"/>
  <c r="M935" i="1"/>
  <c r="M1036" i="1"/>
  <c r="M320" i="1"/>
  <c r="M165" i="1"/>
  <c r="M196" i="1"/>
  <c r="M269" i="1"/>
  <c r="M184" i="1"/>
  <c r="M309" i="1"/>
  <c r="M262" i="1"/>
  <c r="M1167" i="1"/>
  <c r="M1191" i="1"/>
  <c r="M1293" i="1"/>
  <c r="M1173" i="1"/>
  <c r="M170" i="1"/>
  <c r="M198" i="1"/>
  <c r="M182" i="1"/>
  <c r="M303" i="1"/>
  <c r="M626" i="1"/>
  <c r="M808" i="1"/>
  <c r="M901" i="1"/>
  <c r="M531" i="1"/>
  <c r="M664" i="1"/>
  <c r="M682" i="1"/>
  <c r="M764" i="1"/>
  <c r="M822" i="1"/>
  <c r="M828" i="1"/>
  <c r="M917" i="1"/>
  <c r="M1081" i="1"/>
  <c r="M162" i="1"/>
  <c r="M202" i="1"/>
  <c r="M1102" i="1"/>
  <c r="M673" i="1"/>
  <c r="M657" i="1"/>
  <c r="M1240" i="1"/>
  <c r="M1022" i="1"/>
  <c r="M902" i="1"/>
  <c r="M783" i="1"/>
  <c r="M749" i="1"/>
  <c r="M683" i="1"/>
  <c r="M494" i="1"/>
  <c r="M150" i="1"/>
  <c r="M186" i="1"/>
  <c r="M249" i="1"/>
  <c r="M265" i="1"/>
  <c r="M203" i="1"/>
  <c r="M256" i="1"/>
  <c r="M272" i="1"/>
  <c r="M351" i="1"/>
  <c r="M388" i="1"/>
  <c r="M396" i="1"/>
  <c r="M405" i="1"/>
  <c r="M415" i="1"/>
  <c r="M431" i="1"/>
  <c r="M439" i="1"/>
  <c r="M254" i="1"/>
  <c r="M270" i="1"/>
  <c r="M479" i="1"/>
  <c r="M525" i="1"/>
  <c r="M646" i="1"/>
  <c r="M812" i="1"/>
  <c r="M852" i="1"/>
  <c r="M1123" i="1"/>
  <c r="M1213" i="1"/>
  <c r="M1249" i="1"/>
  <c r="M1329" i="1"/>
  <c r="M453" i="1"/>
  <c r="M529" i="1"/>
  <c r="M461" i="1"/>
  <c r="M477" i="1"/>
  <c r="M511" i="1"/>
  <c r="M644" i="1"/>
  <c r="M684" i="1"/>
  <c r="M692" i="1"/>
  <c r="M700" i="1"/>
  <c r="M806" i="1"/>
  <c r="M830" i="1"/>
  <c r="M854" i="1"/>
  <c r="M624" i="1"/>
  <c r="M850" i="1"/>
  <c r="M1055" i="1"/>
  <c r="M1069" i="1"/>
  <c r="M1085" i="1"/>
  <c r="M1095" i="1"/>
  <c r="M1111" i="1"/>
  <c r="M1303" i="1"/>
  <c r="M1350" i="1"/>
  <c r="M794" i="1"/>
  <c r="M895" i="1"/>
  <c r="M1089" i="1"/>
  <c r="M1227" i="1"/>
  <c r="M1285" i="1"/>
  <c r="M1362" i="1"/>
  <c r="M1370" i="1"/>
  <c r="M1378" i="1"/>
  <c r="M564" i="1"/>
  <c r="M640" i="1"/>
  <c r="M903" i="1"/>
  <c r="M911" i="1"/>
  <c r="M1035" i="1"/>
  <c r="M1317" i="1"/>
  <c r="M860" i="1"/>
  <c r="M879" i="1"/>
  <c r="M943" i="1"/>
  <c r="M951" i="1"/>
  <c r="M959" i="1"/>
  <c r="M997" i="1"/>
  <c r="M1005" i="1"/>
  <c r="M1043" i="1"/>
  <c r="M1121" i="1"/>
  <c r="M1181" i="1"/>
  <c r="M1253" i="1"/>
  <c r="M1331" i="1"/>
  <c r="M138" i="1"/>
  <c r="M146" i="1"/>
  <c r="M167" i="1"/>
  <c r="M409" i="1"/>
  <c r="M1377" i="1"/>
  <c r="M1359" i="1"/>
  <c r="M1328" i="1"/>
  <c r="M1124" i="1"/>
  <c r="M1375" i="1"/>
  <c r="M1361" i="1"/>
  <c r="M1318" i="1"/>
  <c r="M1150" i="1"/>
  <c r="M807" i="1"/>
  <c r="M685" i="1"/>
  <c r="M643" i="1"/>
  <c r="M1326" i="1"/>
  <c r="M1116" i="1"/>
  <c r="M757" i="1"/>
  <c r="M1316" i="1"/>
  <c r="M1300" i="1"/>
  <c r="M1266" i="1"/>
  <c r="M1196" i="1"/>
  <c r="M1188" i="1"/>
  <c r="M1180" i="1"/>
  <c r="M1172" i="1"/>
  <c r="M1164" i="1"/>
  <c r="M1152" i="1"/>
  <c r="M1072" i="1"/>
  <c r="M1040" i="1"/>
  <c r="M1020" i="1"/>
  <c r="M932" i="1"/>
  <c r="M900" i="1"/>
  <c r="M779" i="1"/>
  <c r="M763" i="1"/>
  <c r="M695" i="1"/>
  <c r="M679" i="1"/>
  <c r="M607" i="1"/>
  <c r="M599" i="1"/>
  <c r="M591" i="1"/>
  <c r="M567" i="1"/>
  <c r="M559" i="1"/>
  <c r="M551" i="1"/>
  <c r="M538" i="1"/>
  <c r="M504" i="1"/>
  <c r="M340" i="1"/>
  <c r="M17" i="1"/>
  <c r="M189" i="1"/>
  <c r="M1179" i="1"/>
  <c r="M161" i="1"/>
  <c r="M1176" i="1"/>
  <c r="M197" i="1"/>
  <c r="M403" i="1"/>
  <c r="M214" i="1"/>
  <c r="M499" i="1"/>
  <c r="M642" i="1"/>
  <c r="M832" i="1"/>
  <c r="M1051" i="1"/>
  <c r="M1193" i="1"/>
  <c r="M1301" i="1"/>
  <c r="M616" i="1"/>
  <c r="M656" i="1"/>
  <c r="M674" i="1"/>
  <c r="M800" i="1"/>
  <c r="M1297" i="1"/>
  <c r="M1319" i="1"/>
  <c r="M925" i="1"/>
  <c r="M985" i="1"/>
  <c r="M995" i="1"/>
  <c r="M1177" i="1"/>
  <c r="M348" i="1"/>
  <c r="M414" i="1"/>
  <c r="M1054" i="1"/>
  <c r="M1302" i="1"/>
  <c r="M777" i="1"/>
  <c r="M1338" i="1"/>
  <c r="M1190" i="1"/>
  <c r="M1106" i="1"/>
  <c r="M1058" i="1"/>
  <c r="M958" i="1"/>
  <c r="M894" i="1"/>
  <c r="M878" i="1"/>
  <c r="M699" i="1"/>
  <c r="M667" i="1"/>
  <c r="M516" i="1"/>
  <c r="M506" i="1"/>
  <c r="M478" i="1"/>
  <c r="M145" i="1"/>
  <c r="M163" i="1"/>
  <c r="M173" i="1"/>
  <c r="M188" i="1"/>
  <c r="M251" i="1"/>
  <c r="M259" i="1"/>
  <c r="M267" i="1"/>
  <c r="M275" i="1"/>
  <c r="M299" i="1"/>
  <c r="M407" i="1"/>
  <c r="M425" i="1"/>
  <c r="M533" i="1"/>
  <c r="M634" i="1"/>
  <c r="M650" i="1"/>
  <c r="M796" i="1"/>
  <c r="M862" i="1"/>
  <c r="M1135" i="1"/>
  <c r="M1165" i="1"/>
  <c r="M1255" i="1"/>
  <c r="M1341" i="1"/>
  <c r="M493" i="1"/>
  <c r="M507" i="1"/>
  <c r="M463" i="1"/>
  <c r="M513" i="1"/>
  <c r="M521" i="1"/>
  <c r="M549" i="1"/>
  <c r="M620" i="1"/>
  <c r="M668" i="1"/>
  <c r="M728" i="1"/>
  <c r="M752" i="1"/>
  <c r="M760" i="1"/>
  <c r="M768" i="1"/>
  <c r="M838" i="1"/>
  <c r="M856" i="1"/>
  <c r="M1117" i="1"/>
  <c r="M1127" i="1"/>
  <c r="M1344" i="1"/>
  <c r="M842" i="1"/>
  <c r="M981" i="1"/>
  <c r="M1023" i="1"/>
  <c r="M1031" i="1"/>
  <c r="M1356" i="1"/>
  <c r="M921" i="1"/>
  <c r="M1057" i="1"/>
  <c r="M1153" i="1"/>
  <c r="M873" i="1"/>
  <c r="M881" i="1"/>
  <c r="M945" i="1"/>
  <c r="M999" i="1"/>
  <c r="M1145" i="1"/>
  <c r="M1185" i="1"/>
  <c r="M1259" i="1"/>
  <c r="M1333" i="1"/>
  <c r="M139" i="1"/>
  <c r="M147" i="1"/>
  <c r="M160" i="1"/>
  <c r="M168" i="1"/>
  <c r="M362" i="1"/>
  <c r="M404" i="1"/>
  <c r="M1391" i="1"/>
  <c r="M1383" i="1"/>
  <c r="M829" i="1"/>
  <c r="M713" i="1"/>
  <c r="M1347" i="1"/>
  <c r="M1294" i="1"/>
  <c r="M1272" i="1"/>
  <c r="M1140" i="1"/>
  <c r="M1062" i="1"/>
  <c r="M785" i="1"/>
  <c r="M619" i="1"/>
  <c r="M1330" i="1"/>
  <c r="M1314" i="1"/>
  <c r="M1260" i="1"/>
  <c r="M1236" i="1"/>
  <c r="M1194" i="1"/>
  <c r="M1130" i="1"/>
  <c r="M1066" i="1"/>
  <c r="M1026" i="1"/>
  <c r="M1018" i="1"/>
  <c r="M1010" i="1"/>
  <c r="M994" i="1"/>
  <c r="M986" i="1"/>
  <c r="M978" i="1"/>
  <c r="M970" i="1"/>
  <c r="M962" i="1"/>
  <c r="M954" i="1"/>
  <c r="M938" i="1"/>
  <c r="M914" i="1"/>
  <c r="M906" i="1"/>
  <c r="M874" i="1"/>
  <c r="M821" i="1"/>
  <c r="M775" i="1"/>
  <c r="M723" i="1"/>
  <c r="M691" i="1"/>
  <c r="M659" i="1"/>
  <c r="M615" i="1"/>
  <c r="M867" i="1"/>
  <c r="M589" i="1"/>
  <c r="M581" i="1"/>
  <c r="M557" i="1"/>
  <c r="M512" i="1"/>
  <c r="M502" i="1"/>
  <c r="M486" i="1"/>
  <c r="M474" i="1"/>
  <c r="M458" i="1"/>
  <c r="M410" i="1"/>
  <c r="M322" i="1"/>
  <c r="M53" i="1"/>
  <c r="M284" i="1"/>
  <c r="M310" i="1"/>
  <c r="M346" i="1"/>
  <c r="M292" i="1"/>
  <c r="M300" i="1"/>
  <c r="M308" i="1"/>
  <c r="M352" i="1"/>
  <c r="M10" i="1"/>
  <c r="M281" i="1"/>
  <c r="M319" i="1"/>
  <c r="M343" i="1"/>
  <c r="M354" i="1"/>
  <c r="M419" i="1"/>
  <c r="M326" i="1"/>
  <c r="M334" i="1"/>
  <c r="M33" i="1"/>
  <c r="M180" i="1"/>
  <c r="M204" i="1"/>
  <c r="M273" i="1"/>
  <c r="M435" i="1"/>
  <c r="L35" i="1"/>
  <c r="M35" i="1" s="1"/>
  <c r="K22" i="1"/>
  <c r="M22" i="1" s="1"/>
  <c r="K154" i="1"/>
  <c r="M154" i="1" s="1"/>
  <c r="K158" i="1"/>
  <c r="M158" i="1" s="1"/>
  <c r="K190" i="1"/>
  <c r="M190" i="1" s="1"/>
  <c r="K378" i="1"/>
  <c r="M378" i="1" s="1"/>
  <c r="K412" i="1"/>
  <c r="M412" i="1" s="1"/>
  <c r="K418" i="1"/>
  <c r="M418" i="1" s="1"/>
  <c r="K422" i="1"/>
  <c r="M422" i="1" s="1"/>
  <c r="K426" i="1"/>
  <c r="M426" i="1" s="1"/>
  <c r="M27" i="1"/>
  <c r="M210" i="1"/>
  <c r="M413" i="1"/>
  <c r="M433" i="1"/>
  <c r="M437" i="1"/>
  <c r="M398" i="1"/>
  <c r="M330" i="1"/>
  <c r="K152" i="1"/>
  <c r="M152" i="1" s="1"/>
  <c r="K176" i="1"/>
  <c r="M176" i="1" s="1"/>
  <c r="K416" i="1"/>
  <c r="M416" i="1" s="1"/>
  <c r="K420" i="1"/>
  <c r="M420" i="1" s="1"/>
  <c r="K424" i="1"/>
  <c r="M424" i="1" s="1"/>
  <c r="M11" i="1"/>
  <c r="M19" i="1"/>
  <c r="M23" i="1"/>
  <c r="M25" i="1"/>
  <c r="M29" i="1"/>
  <c r="M178" i="1"/>
  <c r="M187" i="1"/>
  <c r="M201" i="1"/>
  <c r="M278" i="1"/>
  <c r="M21" i="1"/>
  <c r="M195" i="1"/>
  <c r="M268" i="1"/>
  <c r="M384" i="1"/>
  <c r="M389" i="1"/>
  <c r="M258" i="1"/>
  <c r="M266" i="1"/>
  <c r="M296" i="1"/>
  <c r="M304" i="1"/>
  <c r="M324" i="1"/>
  <c r="M328" i="1"/>
  <c r="M332" i="1"/>
  <c r="M336" i="1"/>
  <c r="M840" i="1"/>
  <c r="M325" i="1"/>
  <c r="M333" i="1"/>
  <c r="M429" i="1"/>
  <c r="M246" i="1"/>
  <c r="L344" i="1"/>
  <c r="M344" i="1" s="1"/>
  <c r="M280" i="1"/>
  <c r="M288" i="1"/>
  <c r="M358" i="1"/>
  <c r="M368" i="1"/>
  <c r="M366" i="1"/>
  <c r="M134" i="1"/>
  <c r="M126" i="1"/>
  <c r="M277" i="1"/>
  <c r="M331" i="1"/>
  <c r="M390" i="1"/>
  <c r="M140" i="1"/>
  <c r="M392" i="1"/>
  <c r="M370" i="1"/>
  <c r="M99" i="1"/>
  <c r="M37" i="1"/>
  <c r="L318" i="1"/>
  <c r="M318" i="1" s="1"/>
  <c r="M374" i="1"/>
  <c r="M386" i="1"/>
  <c r="M41" i="1"/>
  <c r="M43" i="1"/>
  <c r="M45" i="1"/>
  <c r="M157" i="1"/>
  <c r="M87" i="1"/>
  <c r="M282" i="1"/>
  <c r="M290" i="1"/>
  <c r="M212" i="1"/>
  <c r="M228" i="1"/>
  <c r="M236" i="1"/>
  <c r="M244" i="1"/>
  <c r="M279" i="1"/>
  <c r="M283" i="1"/>
  <c r="M287" i="1"/>
  <c r="M291" i="1"/>
  <c r="M295" i="1"/>
  <c r="M307" i="1"/>
  <c r="M311" i="1"/>
  <c r="M317" i="1"/>
  <c r="M341" i="1"/>
  <c r="M345" i="1"/>
  <c r="M349" i="1"/>
  <c r="M353" i="1"/>
  <c r="M356" i="1"/>
  <c r="M372" i="1"/>
  <c r="M394" i="1"/>
  <c r="M399" i="1"/>
  <c r="M417" i="1"/>
  <c r="M421" i="1"/>
  <c r="M441" i="1"/>
  <c r="M357" i="1"/>
  <c r="M361" i="1"/>
  <c r="M122" i="1"/>
  <c r="M218" i="1"/>
  <c r="M226" i="1"/>
  <c r="M234" i="1"/>
  <c r="M242" i="1"/>
  <c r="M298" i="1"/>
  <c r="M306" i="1"/>
  <c r="K428" i="1"/>
  <c r="M428" i="1" s="1"/>
  <c r="K434" i="1"/>
  <c r="M434" i="1" s="1"/>
  <c r="K438" i="1"/>
  <c r="M438" i="1" s="1"/>
  <c r="K442" i="1"/>
  <c r="M442" i="1" s="1"/>
  <c r="M171" i="1"/>
  <c r="M209" i="1"/>
  <c r="M253" i="1"/>
  <c r="M261" i="1"/>
  <c r="M286" i="1"/>
  <c r="M8" i="1"/>
  <c r="M15" i="1"/>
  <c r="M31" i="1"/>
  <c r="M47" i="1"/>
  <c r="M181" i="1"/>
  <c r="M39" i="1"/>
  <c r="M73" i="1"/>
  <c r="M205" i="1"/>
  <c r="M216" i="1"/>
  <c r="M224" i="1"/>
  <c r="M232" i="1"/>
  <c r="M240" i="1"/>
  <c r="M248" i="1"/>
  <c r="M285" i="1"/>
  <c r="M289" i="1"/>
  <c r="M293" i="1"/>
  <c r="M297" i="1"/>
  <c r="M301" i="1"/>
  <c r="M305" i="1"/>
  <c r="M315" i="1"/>
  <c r="M323" i="1"/>
  <c r="M327" i="1"/>
  <c r="M335" i="1"/>
  <c r="M376" i="1"/>
  <c r="M423" i="1"/>
  <c r="M427" i="1"/>
  <c r="M153" i="1"/>
  <c r="M207" i="1"/>
  <c r="M355" i="1"/>
  <c r="M359" i="1"/>
  <c r="M213" i="1"/>
  <c r="M215" i="1"/>
  <c r="M217" i="1"/>
  <c r="M219" i="1"/>
  <c r="M221" i="1"/>
  <c r="M223" i="1"/>
  <c r="M225" i="1"/>
  <c r="M227" i="1"/>
  <c r="M229" i="1"/>
  <c r="M231" i="1"/>
  <c r="M233" i="1"/>
  <c r="M235" i="1"/>
  <c r="M237" i="1"/>
  <c r="M239" i="1"/>
  <c r="M241" i="1"/>
  <c r="M243" i="1"/>
  <c r="M245" i="1"/>
  <c r="M222" i="1"/>
  <c r="M230" i="1"/>
  <c r="M250" i="1"/>
  <c r="M294" i="1"/>
  <c r="M302" i="1"/>
  <c r="K443" i="1"/>
  <c r="M443" i="1" s="1"/>
  <c r="K430" i="1"/>
  <c r="M430" i="1" s="1"/>
  <c r="K436" i="1"/>
  <c r="M436" i="1" s="1"/>
  <c r="K440" i="1"/>
  <c r="M440" i="1" s="1"/>
  <c r="M14" i="1"/>
  <c r="M18" i="1"/>
  <c r="M26" i="1"/>
  <c r="M30" i="1"/>
  <c r="M363" i="1"/>
  <c r="M365" i="1"/>
  <c r="M367" i="1"/>
  <c r="M373" i="1"/>
  <c r="M375" i="1"/>
  <c r="M377" i="1"/>
  <c r="M391" i="1"/>
  <c r="M395" i="1"/>
  <c r="M36" i="1"/>
  <c r="M40" i="1"/>
  <c r="M44" i="1"/>
  <c r="M48" i="1"/>
  <c r="M50" i="1"/>
  <c r="M52" i="1"/>
  <c r="M74" i="1"/>
  <c r="M76" i="1"/>
  <c r="M80" i="1"/>
  <c r="M82" i="1"/>
  <c r="M84" i="1"/>
  <c r="M100" i="1"/>
  <c r="M108" i="1"/>
  <c r="M110" i="1"/>
  <c r="M112" i="1"/>
  <c r="M114" i="1"/>
  <c r="M116" i="1"/>
  <c r="M118" i="1"/>
  <c r="M120" i="1"/>
  <c r="M124" i="1"/>
  <c r="M132" i="1"/>
  <c r="M5" i="1"/>
  <c r="M7" i="1"/>
  <c r="M49" i="1"/>
  <c r="M51" i="1"/>
  <c r="M61" i="1"/>
  <c r="M63" i="1"/>
  <c r="M65" i="1"/>
  <c r="M69" i="1"/>
  <c r="M71" i="1"/>
  <c r="M89" i="1"/>
  <c r="M95" i="1"/>
  <c r="M97" i="1"/>
  <c r="M123" i="1"/>
  <c r="M129" i="1"/>
  <c r="M131" i="1"/>
  <c r="M135" i="1"/>
  <c r="M137" i="1"/>
  <c r="M151" i="1"/>
  <c r="M159" i="1"/>
  <c r="M191" i="1"/>
  <c r="M360" i="1"/>
  <c r="M6" i="1"/>
  <c r="M16" i="1"/>
  <c r="M20" i="1"/>
  <c r="M24" i="1"/>
  <c r="M28" i="1"/>
  <c r="M34" i="1"/>
  <c r="M38" i="1"/>
  <c r="M42" i="1"/>
  <c r="M54" i="1"/>
  <c r="M56" i="1"/>
  <c r="M58" i="1"/>
  <c r="M60" i="1"/>
  <c r="M64" i="1"/>
  <c r="M66" i="1"/>
  <c r="M68" i="1"/>
  <c r="M72" i="1"/>
  <c r="M88" i="1"/>
  <c r="M90" i="1"/>
  <c r="M92" i="1"/>
  <c r="M96" i="1"/>
  <c r="M98" i="1"/>
  <c r="M128" i="1"/>
  <c r="M136" i="1"/>
  <c r="M206" i="1"/>
  <c r="M208" i="1"/>
  <c r="M274" i="1"/>
  <c r="M13" i="1"/>
  <c r="M55" i="1"/>
  <c r="M57" i="1"/>
  <c r="M75" i="1"/>
  <c r="M77" i="1"/>
  <c r="M79" i="1"/>
  <c r="M81" i="1"/>
  <c r="M85" i="1"/>
  <c r="M101" i="1"/>
  <c r="M103" i="1"/>
  <c r="M105" i="1"/>
  <c r="M107" i="1"/>
  <c r="M111" i="1"/>
  <c r="M113" i="1"/>
  <c r="M115" i="1"/>
  <c r="M155" i="1"/>
  <c r="M179" i="1"/>
  <c r="M211" i="1"/>
  <c r="M381" i="1"/>
  <c r="M383" i="1"/>
  <c r="M385" i="1"/>
  <c r="M387" i="1"/>
  <c r="M397" i="1"/>
  <c r="M1161" i="1" l="1"/>
  <c r="M393" i="1"/>
  <c r="M143" i="1"/>
  <c r="M1277" i="1"/>
  <c r="M1216" i="1"/>
  <c r="M1223" i="1"/>
  <c r="M1274" i="1"/>
  <c r="M1237" i="1"/>
  <c r="M1212" i="1"/>
  <c r="M1100" i="1"/>
  <c r="M882" i="1"/>
  <c r="M809" i="1"/>
  <c r="M194" i="1"/>
  <c r="M696" i="1"/>
  <c r="M1238" i="1"/>
  <c r="M1202" i="1"/>
  <c r="M818" i="1"/>
  <c r="M1032" i="1"/>
  <c r="M174" i="1"/>
  <c r="M382" i="1"/>
  <c r="M127" i="1"/>
  <c r="M1273" i="1"/>
  <c r="M104" i="1"/>
  <c r="M1276" i="1"/>
  <c r="M1254" i="1"/>
  <c r="M93" i="1"/>
  <c r="M1192" i="1"/>
  <c r="M1279" i="1"/>
  <c r="M276" i="1"/>
  <c r="M117" i="1"/>
  <c r="M67" i="1"/>
  <c r="M78" i="1"/>
  <c r="M46" i="1"/>
  <c r="M1076" i="1"/>
  <c r="M177" i="1"/>
  <c r="M1310" i="1"/>
  <c r="M1225" i="1"/>
  <c r="M1186" i="1"/>
  <c r="M1146" i="1"/>
  <c r="M175" i="1"/>
  <c r="M125" i="1"/>
  <c r="M91" i="1"/>
  <c r="M1283" i="1"/>
  <c r="M1299" i="1"/>
  <c r="M156" i="1"/>
  <c r="M12" i="1"/>
  <c r="M1262" i="1"/>
  <c r="M192" i="1"/>
  <c r="M1382" i="1"/>
  <c r="M402" i="1"/>
  <c r="M199" i="1"/>
  <c r="M133" i="1"/>
  <c r="M130" i="1"/>
  <c r="M62" i="1"/>
  <c r="M1232" i="1"/>
  <c r="M1321" i="1"/>
  <c r="M1306" i="1"/>
  <c r="M1221" i="1"/>
  <c r="M1256" i="1"/>
  <c r="M1174" i="1"/>
  <c r="M59" i="1"/>
  <c r="M1226" i="1"/>
  <c r="M1295" i="1"/>
  <c r="M1290" i="1"/>
  <c r="M1220" i="1"/>
  <c r="M183" i="1"/>
  <c r="M148" i="1"/>
  <c r="M1298" i="1"/>
  <c r="M1248" i="1"/>
  <c r="M1162" i="1"/>
  <c r="M1239" i="1"/>
  <c r="M1214" i="1"/>
  <c r="M1178" i="1"/>
  <c r="M406" i="1"/>
  <c r="M1218" i="1"/>
  <c r="M1252" i="1"/>
  <c r="M1198" i="1"/>
  <c r="M1386" i="1"/>
  <c r="M1184" i="1"/>
  <c r="M1222" i="1"/>
  <c r="M1204" i="1"/>
  <c r="M993" i="1"/>
  <c r="M141" i="1"/>
  <c r="M109" i="1"/>
  <c r="M1257" i="1"/>
  <c r="M102" i="1"/>
  <c r="M1244" i="1"/>
  <c r="M1206" i="1"/>
  <c r="M1012" i="1"/>
  <c r="M1207" i="1"/>
  <c r="M1250" i="1"/>
  <c r="M965" i="1"/>
  <c r="M1268" i="1"/>
  <c r="M83" i="1"/>
  <c r="M1231" i="1"/>
  <c r="M585" i="1"/>
</calcChain>
</file>

<file path=xl/comments1.xml><?xml version="1.0" encoding="utf-8"?>
<comments xmlns="http://schemas.openxmlformats.org/spreadsheetml/2006/main">
  <authors>
    <author>Fred Sonnenrein</author>
  </authors>
  <commentList>
    <comment ref="K2" authorId="0" shapeId="0">
      <text>
        <r>
          <rPr>
            <b/>
            <sz val="9"/>
            <color indexed="81"/>
            <rFont val="Segoe UI"/>
            <charset val="1"/>
          </rPr>
          <t>Fred Sonnenrein:</t>
        </r>
        <r>
          <rPr>
            <sz val="9"/>
            <color indexed="81"/>
            <rFont val="Segoe UI"/>
            <charset val="1"/>
          </rPr>
          <t xml:space="preserve">
Address of module B</t>
        </r>
      </text>
    </comment>
    <comment ref="L2" authorId="0" shapeId="0">
      <text>
        <r>
          <rPr>
            <b/>
            <sz val="9"/>
            <color indexed="81"/>
            <rFont val="Segoe UI"/>
            <charset val="1"/>
          </rPr>
          <t>Fred Sonnenrein:</t>
        </r>
        <r>
          <rPr>
            <sz val="9"/>
            <color indexed="81"/>
            <rFont val="Segoe UI"/>
            <charset val="1"/>
          </rPr>
          <t xml:space="preserve">
Address of module A</t>
        </r>
      </text>
    </comment>
  </commentList>
</comments>
</file>

<file path=xl/sharedStrings.xml><?xml version="1.0" encoding="utf-8"?>
<sst xmlns="http://schemas.openxmlformats.org/spreadsheetml/2006/main" count="1452" uniqueCount="1441">
  <si>
    <t>Terminal log file</t>
  </si>
  <si>
    <t xml:space="preserve">Date: 05.12.2015 - </t>
  </si>
  <si>
    <t>-----------------------------------------------</t>
  </si>
  <si>
    <t>00820d:3E&gt;+9A-</t>
  </si>
  <si>
    <t>End log file</t>
  </si>
  <si>
    <t>Status</t>
  </si>
  <si>
    <t>Hex</t>
  </si>
  <si>
    <t>Dez</t>
  </si>
  <si>
    <t>Code</t>
  </si>
  <si>
    <t>0xA3</t>
  </si>
  <si>
    <t>0xA5</t>
  </si>
  <si>
    <t>0xA6</t>
  </si>
  <si>
    <t>0xB0</t>
  </si>
  <si>
    <t>0xB9</t>
  </si>
  <si>
    <t>0xA9</t>
  </si>
  <si>
    <t>0xAA</t>
  </si>
  <si>
    <t>0xAC</t>
  </si>
  <si>
    <t>0x93</t>
  </si>
  <si>
    <t>0x9C</t>
  </si>
  <si>
    <t>0x96</t>
  </si>
  <si>
    <t>0x9A</t>
  </si>
  <si>
    <t>---Ende</t>
  </si>
  <si>
    <t>02022a:CA&gt;+93-</t>
  </si>
  <si>
    <t>02022f:CA&gt;+96-</t>
  </si>
  <si>
    <t>02082e:CA&gt;+9C-</t>
  </si>
  <si>
    <t>02083d:CA&gt;+9A-</t>
  </si>
  <si>
    <t>02112a:CA&gt;+93-</t>
  </si>
  <si>
    <t>02112f:CA&gt;+96-</t>
  </si>
  <si>
    <t>02128f:3E&gt;+9A-</t>
  </si>
  <si>
    <t>02132b:CA&gt;+9C-</t>
  </si>
  <si>
    <t>02133a:CA&gt;+9A-</t>
  </si>
  <si>
    <t>02171d:CA&gt;+93-</t>
  </si>
  <si>
    <t>02172c:CA&gt;+96-</t>
  </si>
  <si>
    <t>02191f:CA&gt;+9C-</t>
  </si>
  <si>
    <t>02192e:CA&gt;+9A-</t>
  </si>
  <si>
    <t>02262d:CA&gt;+93-</t>
  </si>
  <si>
    <t>02263c:CA&gt;+96-</t>
  </si>
  <si>
    <t>02303a:CA&gt;+9C-</t>
  </si>
  <si>
    <t>02303f:CA&gt;+9A-</t>
  </si>
  <si>
    <t>02342c:CA&gt;+93-</t>
  </si>
  <si>
    <t>02343b:CA&gt;+96-</t>
  </si>
  <si>
    <t>02382e:CA&gt;+9C-</t>
  </si>
  <si>
    <t>02383d:CA&gt;+9A-</t>
  </si>
  <si>
    <t>02412a:CA&gt;+93-</t>
  </si>
  <si>
    <t>02412f:CA&gt;+96-</t>
  </si>
  <si>
    <t>02484d:CA&gt;+A9-</t>
  </si>
  <si>
    <t>02512a:CA&gt;+9C-</t>
  </si>
  <si>
    <t>02513a:CA&gt;+9A-</t>
  </si>
  <si>
    <t>02562d:CA&gt;+93-</t>
  </si>
  <si>
    <t>02563d:CA&gt;+96-</t>
  </si>
  <si>
    <t>02582e:CA&gt;+9C-</t>
  </si>
  <si>
    <t>02583e:CA&gt;+9A-</t>
  </si>
  <si>
    <t>02634f:3E&gt;+9A-</t>
  </si>
  <si>
    <t>02642b:CA&gt;+93-</t>
  </si>
  <si>
    <t>02643b:CA&gt;+96-</t>
  </si>
  <si>
    <t>02682e:CA&gt;+9C-</t>
  </si>
  <si>
    <t>02683e:CA&gt;+9A-</t>
  </si>
  <si>
    <t>02712a:CA&gt;+93-</t>
  </si>
  <si>
    <t>02712f:CA&gt;+96-</t>
  </si>
  <si>
    <t>02791f:CA&gt;+9C-</t>
  </si>
  <si>
    <t>02792f:CA&gt;+9A-</t>
  </si>
  <si>
    <t>02862d:CA&gt;+93-</t>
  </si>
  <si>
    <t>02863d:CA&gt;+96-</t>
  </si>
  <si>
    <t>02942c:CA&gt;+9C-</t>
  </si>
  <si>
    <t>02943b:CA&gt;+9A-</t>
  </si>
  <si>
    <t>03012b:CA&gt;+93-</t>
  </si>
  <si>
    <t>03013a:CA&gt;+96-</t>
  </si>
  <si>
    <t>03032c:CA&gt;+9C-</t>
  </si>
  <si>
    <t>03033b:CA&gt;+9A-</t>
  </si>
  <si>
    <t>03072e:CA&gt;+93-</t>
  </si>
  <si>
    <t>03073e:CA&gt;+96-</t>
  </si>
  <si>
    <t>03112a:CA&gt;+9C-</t>
  </si>
  <si>
    <t>03113a:CA&gt;+9A-</t>
  </si>
  <si>
    <t>03140f:3E&gt;+9A-</t>
  </si>
  <si>
    <t>03162e:CA&gt;+93-</t>
  </si>
  <si>
    <t>03163d:CA&gt;+96-</t>
  </si>
  <si>
    <t>03166d:CA&gt;+A9-</t>
  </si>
  <si>
    <t>03203a:CA&gt;+9C-</t>
  </si>
  <si>
    <t>03204a:CA&gt;+9A-</t>
  </si>
  <si>
    <t>03222c:CA&gt;+93-</t>
  </si>
  <si>
    <t>03224f:CA&gt;+96-</t>
  </si>
  <si>
    <t>03242c:CA&gt;+9C-</t>
  </si>
  <si>
    <t>03243c:CA&gt;+9A-</t>
  </si>
  <si>
    <t>03262d:CA&gt;+93-</t>
  </si>
  <si>
    <t>03263d:CA&gt;+96-</t>
  </si>
  <si>
    <t>03282f:CA&gt;+9C-</t>
  </si>
  <si>
    <t>03283f:CA&gt;+9A-</t>
  </si>
  <si>
    <t>03312b:CA&gt;+93-</t>
  </si>
  <si>
    <t>03313a:CA&gt;+96-</t>
  </si>
  <si>
    <t>03372f:CA&gt;+9C-</t>
  </si>
  <si>
    <t>03373e:CA&gt;+9A-</t>
  </si>
  <si>
    <t>03392f:CA&gt;+93-</t>
  </si>
  <si>
    <t>03393f:CA&gt;+96-</t>
  </si>
  <si>
    <t>03433c:CA&gt;+9C-</t>
  </si>
  <si>
    <t>03434c:CA&gt;+9A-</t>
  </si>
  <si>
    <t>03462e:CA&gt;+93-</t>
  </si>
  <si>
    <t>03463f:CA&gt;+96-</t>
  </si>
  <si>
    <t>03482f:CA&gt;+9C-</t>
  </si>
  <si>
    <t>03483e:CA&gt;+9A-</t>
  </si>
  <si>
    <t>03612b:CA&gt;+93-</t>
  </si>
  <si>
    <t>03613a:CA&gt;+96-</t>
  </si>
  <si>
    <t>03646f:26&gt;-</t>
  </si>
  <si>
    <t>03672f:CA&gt;+9C-</t>
  </si>
  <si>
    <t>03673e:CA&gt;+9A-</t>
  </si>
  <si>
    <t>03693a:CA&gt;+93-</t>
  </si>
  <si>
    <t>03693f:CA&gt;+96-</t>
  </si>
  <si>
    <t>03712b:CA&gt;+9C-</t>
  </si>
  <si>
    <t>03713a:CA&gt;+9A-</t>
  </si>
  <si>
    <t>03762e:CA&gt;+93-</t>
  </si>
  <si>
    <t>03763e:CA&gt;+96-</t>
  </si>
  <si>
    <t>03783a:CA&gt;+9C-</t>
  </si>
  <si>
    <t>03783f:CA&gt;+9A-</t>
  </si>
  <si>
    <t>03823c:CA&gt;+93-</t>
  </si>
  <si>
    <t>03824b:CA&gt;+96-</t>
  </si>
  <si>
    <t>03848d:CA&gt;+A9-</t>
  </si>
  <si>
    <t>03882f:CA&gt;+9C-</t>
  </si>
  <si>
    <t>03883f:CA&gt;+9A-</t>
  </si>
  <si>
    <t>03913b:CA&gt;+93-</t>
  </si>
  <si>
    <t>03914b:CA&gt;+96-</t>
  </si>
  <si>
    <t>03933d:CA&gt;+9C-</t>
  </si>
  <si>
    <t>03934c:CA&gt;+9A-</t>
  </si>
  <si>
    <t>03972f:CA&gt;+93-</t>
  </si>
  <si>
    <t>03973e:CA&gt;+96-</t>
  </si>
  <si>
    <t>04012b:CA&gt;+9C-</t>
  </si>
  <si>
    <t>04013b:CA&gt;+9A-</t>
  </si>
  <si>
    <t>04062e:CA&gt;+93-</t>
  </si>
  <si>
    <t>04063e:CA&gt;+96-</t>
  </si>
  <si>
    <t>04082f:CA&gt;+9C-</t>
  </si>
  <si>
    <t>04083f:CA&gt;+9A-</t>
  </si>
  <si>
    <t>04103b:CA&gt;+93-</t>
  </si>
  <si>
    <t>04104b:CA&gt;+96-</t>
  </si>
  <si>
    <t>04152f:3E&gt;+9A-</t>
  </si>
  <si>
    <t>04183a:CA&gt;+9C-</t>
  </si>
  <si>
    <t>04183f:CA&gt;+9A-</t>
  </si>
  <si>
    <t>04213c:CA&gt;+93-</t>
  </si>
  <si>
    <t>04214b:CA&gt;+96-</t>
  </si>
  <si>
    <t>04272f:CA&gt;+9C-</t>
  </si>
  <si>
    <t>04273f:CA&gt;+9A-</t>
  </si>
  <si>
    <t>04293a:CA&gt;+93-</t>
  </si>
  <si>
    <t>04294a:CA&gt;+96-</t>
  </si>
  <si>
    <t>04333d:CA&gt;+9C-</t>
  </si>
  <si>
    <t>04334d:CA&gt;+9A-</t>
  </si>
  <si>
    <t>04362f:CA&gt;+93-</t>
  </si>
  <si>
    <t>04363f:CA&gt;+96-</t>
  </si>
  <si>
    <t>04384a:CA&gt;+9C-</t>
  </si>
  <si>
    <t>04384f:CA&gt;+9A-</t>
  </si>
  <si>
    <t>04403b:CA&gt;+93-</t>
  </si>
  <si>
    <t>04404b:CA&gt;+96-</t>
  </si>
  <si>
    <t>04443d:CA&gt;+9C-</t>
  </si>
  <si>
    <t>04444d:CA&gt;+9A-</t>
  </si>
  <si>
    <t>04463f:CA&gt;+93-</t>
  </si>
  <si>
    <t>04464f:CA&gt;+96-</t>
  </si>
  <si>
    <t>04484a:CA&gt;+9C-</t>
  </si>
  <si>
    <t>04485a:CA&gt;+9A-</t>
  </si>
  <si>
    <t>04513c:CA&gt;+93-</t>
  </si>
  <si>
    <t>04514c:CA&gt;+96-</t>
  </si>
  <si>
    <t>04530d:CA&gt;+A9-</t>
  </si>
  <si>
    <t>04533d:CA&gt;+9C-</t>
  </si>
  <si>
    <t>04534d:CA&gt;+9A-</t>
  </si>
  <si>
    <t>04659a:3E&gt;+9A-</t>
  </si>
  <si>
    <t>05165a:3E&gt;+9A-</t>
  </si>
  <si>
    <t>05212c:CA&gt;+A9-</t>
  </si>
  <si>
    <t>05298c:CA&gt;+93-</t>
  </si>
  <si>
    <t>05299c:CA&gt;+96-</t>
  </si>
  <si>
    <t>05378b:CA&gt;+9C-</t>
  </si>
  <si>
    <t>05379a:CA&gt;+9A-</t>
  </si>
  <si>
    <t>05398c:CA&gt;+93-</t>
  </si>
  <si>
    <t>05399b:CA&gt;+96-</t>
  </si>
  <si>
    <t>05418e:CA&gt;+9C-</t>
  </si>
  <si>
    <t>05419d:CA&gt;+9A-</t>
  </si>
  <si>
    <t>05535e:CA&gt;+93-</t>
  </si>
  <si>
    <t>05536e:CA&gt;+96-</t>
  </si>
  <si>
    <t>05576b:CA&gt;+9C-</t>
  </si>
  <si>
    <t>05577b:CA&gt;+9A-</t>
  </si>
  <si>
    <t>05596c:CA&gt;+93-</t>
  </si>
  <si>
    <t>05597c:CA&gt;+96-</t>
  </si>
  <si>
    <t>05656a:CA&gt;+9C-</t>
  </si>
  <si>
    <t>05656f:CA&gt;+9A-</t>
  </si>
  <si>
    <t>05671a:3E&gt;+9A-</t>
  </si>
  <si>
    <t>05726e:CA&gt;+93-</t>
  </si>
  <si>
    <t>05727d:CA&gt;+96-</t>
  </si>
  <si>
    <t>05766b:CA&gt;+9C-</t>
  </si>
  <si>
    <t>05767a:CA&gt;+9A-</t>
  </si>
  <si>
    <t>05786c:CA&gt;+93-</t>
  </si>
  <si>
    <t>05787b:CA&gt;+96-</t>
  </si>
  <si>
    <t>05847a:CA&gt;+9C-</t>
  </si>
  <si>
    <t>05847f:CA&gt;+9A-</t>
  </si>
  <si>
    <t>05894b:CA&gt;+A9-</t>
  </si>
  <si>
    <t>06148a:CA&gt;+93-</t>
  </si>
  <si>
    <t>06148f:CA&gt;+96-</t>
  </si>
  <si>
    <t>06177a:3E&gt;+9A-</t>
  </si>
  <si>
    <t>06208d:CA&gt;+9C-</t>
  </si>
  <si>
    <t>06209d:CA&gt;+9A-</t>
  </si>
  <si>
    <t>06228f:CA&gt;+93-</t>
  </si>
  <si>
    <t>06229f:CA&gt;+96-</t>
  </si>
  <si>
    <t>06248a:CA&gt;+9C-</t>
  </si>
  <si>
    <t>06248f:CA&gt;+9A-</t>
  </si>
  <si>
    <t>06355a:CA&gt;+93-</t>
  </si>
  <si>
    <t>06356c:CA&gt;+96-</t>
  </si>
  <si>
    <t>06375b:CA&gt;+9C-</t>
  </si>
  <si>
    <t>06376b:CA&gt;+9A-</t>
  </si>
  <si>
    <t>06415e:CA&gt;+93-</t>
  </si>
  <si>
    <t>06416d:CA&gt;+96-</t>
  </si>
  <si>
    <t>06476c:CA&gt;+9C-</t>
  </si>
  <si>
    <t>06477b:CA&gt;+9A-</t>
  </si>
  <si>
    <t>06570c:CA&gt;+93-</t>
  </si>
  <si>
    <t>06571b:CA&gt;+96-</t>
  </si>
  <si>
    <t>06576b:CA&gt;+A9-</t>
  </si>
  <si>
    <t>06610e:CA&gt;+9C-</t>
  </si>
  <si>
    <t>06611e:CA&gt;+9A-</t>
  </si>
  <si>
    <t>06629f:CA&gt;+93-</t>
  </si>
  <si>
    <t>06630e:CA&gt;+96-</t>
  </si>
  <si>
    <t>06670c:CA&gt;+9C-</t>
  </si>
  <si>
    <t>06671b:CA&gt;+9A-</t>
  </si>
  <si>
    <t>06683a:3E&gt;+9A-</t>
  </si>
  <si>
    <t>06720f:CA&gt;+93-</t>
  </si>
  <si>
    <t>06721e:CA&gt;+96-</t>
  </si>
  <si>
    <t>06761c:CA&gt;+9C-</t>
  </si>
  <si>
    <t>06762b:CA&gt;+9A-</t>
  </si>
  <si>
    <t>06780c:CA&gt;+93-</t>
  </si>
  <si>
    <t>06781c:CA&gt;+96-</t>
  </si>
  <si>
    <t>06820f:CA&gt;+9C-</t>
  </si>
  <si>
    <t>06821f:CA&gt;+9A-</t>
  </si>
  <si>
    <t>06935a:CA&gt;+93-</t>
  </si>
  <si>
    <t>06936a:CA&gt;+96-</t>
  </si>
  <si>
    <t>07014f:CA&gt;+9C-</t>
  </si>
  <si>
    <t>07015e:CA&gt;+9A-</t>
  </si>
  <si>
    <t>07189a:3E&gt;+9A-</t>
  </si>
  <si>
    <t>07258b:CA&gt;+A9-</t>
  </si>
  <si>
    <t>07265c:CA&gt;+93-</t>
  </si>
  <si>
    <t>07266c:CA&gt;+96-</t>
  </si>
  <si>
    <t>07325a:CA&gt;+9C-</t>
  </si>
  <si>
    <t>07325f:CA&gt;+9A-</t>
  </si>
  <si>
    <t>07345b:CA&gt;+93-</t>
  </si>
  <si>
    <t>07346a:CA&gt;+96-</t>
  </si>
  <si>
    <t>07385d:CA&gt;+9C-</t>
  </si>
  <si>
    <t>07386c:CA&gt;+9A-</t>
  </si>
  <si>
    <t>07553b:CA&gt;+93-</t>
  </si>
  <si>
    <t>07554b:CA&gt;+96-</t>
  </si>
  <si>
    <t>07612f:CA&gt;+9C-</t>
  </si>
  <si>
    <t>07613e:CA&gt;+9A-</t>
  </si>
  <si>
    <t>07633a:CA&gt;+93-</t>
  </si>
  <si>
    <t>07634a:CA&gt;+96-</t>
  </si>
  <si>
    <t>07652c:CA&gt;+9C-</t>
  </si>
  <si>
    <t>07653b:CA&gt;+9A-</t>
  </si>
  <si>
    <t>07695a:3E&gt;+9A-</t>
  </si>
  <si>
    <t>07769d:CA&gt;+93-</t>
  </si>
  <si>
    <t>07770c:CA&gt;+96-</t>
  </si>
  <si>
    <t>07789e:CA&gt;+9C-</t>
  </si>
  <si>
    <t>07790d:CA&gt;+9A-</t>
  </si>
  <si>
    <t>07809f:CA&gt;+93-</t>
  </si>
  <si>
    <t>07810f:CA&gt;+96-</t>
  </si>
  <si>
    <t>07889e:CA&gt;+9C-</t>
  </si>
  <si>
    <t>07890d:CA&gt;+9A-</t>
  </si>
  <si>
    <t>07920a:CA&gt;+93-</t>
  </si>
  <si>
    <t>07921a:CA&gt;+96-</t>
  </si>
  <si>
    <t>07940a:CA&gt;+A9-</t>
  </si>
  <si>
    <t>07980d:CA&gt;+9C-</t>
  </si>
  <si>
    <t>07982f:CA&gt;+9A-</t>
  </si>
  <si>
    <t>08020a:CA&gt;+93-</t>
  </si>
  <si>
    <t>08021a:CA&gt;+96-</t>
  </si>
  <si>
    <t>08040b:CA&gt;+9C-</t>
  </si>
  <si>
    <t>08041b:CA&gt;+9A-</t>
  </si>
  <si>
    <t>08069d:CA&gt;+93-</t>
  </si>
  <si>
    <t>08070d:CA&gt;+96-</t>
  </si>
  <si>
    <t>08130b:CA&gt;+9C-</t>
  </si>
  <si>
    <t>08131a:CA&gt;+9A-</t>
  </si>
  <si>
    <t>08170e:CA&gt;+93-</t>
  </si>
  <si>
    <t>08171d:CA&gt;+96-</t>
  </si>
  <si>
    <t>08190f:CA&gt;+9C-</t>
  </si>
  <si>
    <t>08191e:CA&gt;+9A-</t>
  </si>
  <si>
    <t>08201a:3E&gt;+9A-</t>
  </si>
  <si>
    <t>08259d:CA&gt;+93-</t>
  </si>
  <si>
    <t>08260c:CA&gt;+96-</t>
  </si>
  <si>
    <t>08300a:CA&gt;+9C-</t>
  </si>
  <si>
    <t>08300f:CA&gt;+9A-</t>
  </si>
  <si>
    <t>08339c:CA&gt;+93-</t>
  </si>
  <si>
    <t>08340b:CA&gt;+96-</t>
  </si>
  <si>
    <t>08379e:CA&gt;+9C-</t>
  </si>
  <si>
    <t>08380e:CA&gt;+9A-</t>
  </si>
  <si>
    <t>08493f:CA&gt;+93-</t>
  </si>
  <si>
    <t>08494f:CA&gt;+96-</t>
  </si>
  <si>
    <t>08554d:CA&gt;+9C-</t>
  </si>
  <si>
    <t>08555c:CA&gt;+9A-</t>
  </si>
  <si>
    <t>08594f:CA&gt;+93-</t>
  </si>
  <si>
    <t>08595e:CA&gt;+96-</t>
  </si>
  <si>
    <t>08615b:CA&gt;+9C-</t>
  </si>
  <si>
    <t>08616a:CA&gt;+9A-</t>
  </si>
  <si>
    <t>08622a:CA&gt;+A9-</t>
  </si>
  <si>
    <t>08707b:3E&gt;+9A-</t>
  </si>
  <si>
    <t>08719a:CA&gt;+93-</t>
  </si>
  <si>
    <t>08720a:CA&gt;+96-</t>
  </si>
  <si>
    <t>08759e:CA&gt;+9C-</t>
  </si>
  <si>
    <t>08760d:CA&gt;+9A-</t>
  </si>
  <si>
    <t>08778e:CA&gt;+93-</t>
  </si>
  <si>
    <t>08779e:CA&gt;+96-</t>
  </si>
  <si>
    <t>08799a:CA&gt;+9C-</t>
  </si>
  <si>
    <t>08800a:CA&gt;+9A-</t>
  </si>
  <si>
    <t>09010a:CA&gt;+93-</t>
  </si>
  <si>
    <t>09011a:CA&gt;+96-</t>
  </si>
  <si>
    <t>09030b:CA&gt;+9C-</t>
  </si>
  <si>
    <t>09031b:CA&gt;+9A-</t>
  </si>
  <si>
    <t>09069e:CA&gt;+93-</t>
  </si>
  <si>
    <t>09070e:CA&gt;+96-</t>
  </si>
  <si>
    <t>09089f:CA&gt;+9C-</t>
  </si>
  <si>
    <t>09090f:CA&gt;+9A-</t>
  </si>
  <si>
    <t>09159e:CA&gt;+93-</t>
  </si>
  <si>
    <t>09160d:CA&gt;+96-</t>
  </si>
  <si>
    <t>09213b:3E&gt;+9A-</t>
  </si>
  <si>
    <t>09220b:CA&gt;+9C-</t>
  </si>
  <si>
    <t>09221b:CA&gt;+9A-</t>
  </si>
  <si>
    <t>09259e:CA&gt;+93-</t>
  </si>
  <si>
    <t>09260e:CA&gt;+96-</t>
  </si>
  <si>
    <t>09279f:CA&gt;+9C-</t>
  </si>
  <si>
    <t>09280f:CA&gt;+9A-</t>
  </si>
  <si>
    <t>09304a:CA&gt;+A9-</t>
  </si>
  <si>
    <t>09310b:CA&gt;+93-</t>
  </si>
  <si>
    <t>09311a:CA&gt;+96-</t>
  </si>
  <si>
    <t>09370f:CA&gt;+9C-</t>
  </si>
  <si>
    <t>09371e:CA&gt;+9A-</t>
  </si>
  <si>
    <t>09390a:CA&gt;+93-</t>
  </si>
  <si>
    <t>09391a:CA&gt;+96-</t>
  </si>
  <si>
    <t>09430c:CA&gt;+9C-</t>
  </si>
  <si>
    <t>09431c:CA&gt;+9A-</t>
  </si>
  <si>
    <t>09552e:CA&gt;+93-</t>
  </si>
  <si>
    <t>09553d:CA&gt;+96-</t>
  </si>
  <si>
    <t>09573f:CA&gt;+9C-</t>
  </si>
  <si>
    <t>09574f:CA&gt;+9A-</t>
  </si>
  <si>
    <t>09703a:CA&gt;+93-</t>
  </si>
  <si>
    <t>09704a:CA&gt;+96-</t>
  </si>
  <si>
    <t>09719b:3E&gt;+9A-</t>
  </si>
  <si>
    <t>09723c:CA&gt;+9C-</t>
  </si>
  <si>
    <t>09724c:CA&gt;+9A-</t>
  </si>
  <si>
    <t>09743d:CA&gt;+93-</t>
  </si>
  <si>
    <t>09744d:CA&gt;+96-</t>
  </si>
  <si>
    <t>09763e:CA&gt;+9C-</t>
  </si>
  <si>
    <t>09764e:CA&gt;+9A-</t>
  </si>
  <si>
    <t>09804b:CA&gt;+93-</t>
  </si>
  <si>
    <t>09805b:CA&gt;+96-</t>
  </si>
  <si>
    <t>09824c:CA&gt;+9C-</t>
  </si>
  <si>
    <t>09825c:CA&gt;+9A-</t>
  </si>
  <si>
    <t>09853e:CA&gt;+93-</t>
  </si>
  <si>
    <t>09854d:CA&gt;+96-</t>
  </si>
  <si>
    <t>09894b:CA&gt;+9C-</t>
  </si>
  <si>
    <t>09895a:CA&gt;+9A-</t>
  </si>
  <si>
    <t>09914c:CA&gt;+93-</t>
  </si>
  <si>
    <t>09915b:CA&gt;+96-</t>
  </si>
  <si>
    <t>09934d:CA&gt;+9C-</t>
  </si>
  <si>
    <t>09935c:CA&gt;+9A-</t>
  </si>
  <si>
    <t>09953e:CA&gt;+93-</t>
  </si>
  <si>
    <t>09954e:CA&gt;+96-</t>
  </si>
  <si>
    <t>09973f:CA&gt;+9C-</t>
  </si>
  <si>
    <t>09974f:CA&gt;+9A-</t>
  </si>
  <si>
    <t>09986a:CA&gt;+A9-</t>
  </si>
  <si>
    <t>10004c:CA&gt;+93-</t>
  </si>
  <si>
    <t>10005b:CA&gt;+96-</t>
  </si>
  <si>
    <t>10024d:CA&gt;+9C-</t>
  </si>
  <si>
    <t>10025c:CA&gt;+9A-</t>
  </si>
  <si>
    <t>10044e:CA&gt;+93-</t>
  </si>
  <si>
    <t>10045d:CA&gt;+96-</t>
  </si>
  <si>
    <t>10124c:CA&gt;+9C-</t>
  </si>
  <si>
    <t>10125c:CA&gt;+9A-</t>
  </si>
  <si>
    <t>10177a:CA&gt;+93-</t>
  </si>
  <si>
    <t>10177f:CA&gt;+96-</t>
  </si>
  <si>
    <t>10197b:CA&gt;+9C-</t>
  </si>
  <si>
    <t>10198c:CA&gt;+9A-</t>
  </si>
  <si>
    <t>10217c:CA&gt;+93-</t>
  </si>
  <si>
    <t>10218c:CA&gt;+96-</t>
  </si>
  <si>
    <t>10225b:3E&gt;+9A-</t>
  </si>
  <si>
    <t>10256f:CA&gt;+9C-</t>
  </si>
  <si>
    <t>10257e:CA&gt;+9A-</t>
  </si>
  <si>
    <t>10278a:CA&gt;+93-</t>
  </si>
  <si>
    <t>10279a:CA&gt;+96-</t>
  </si>
  <si>
    <t>10297b:CA&gt;+9C-</t>
  </si>
  <si>
    <t>10298b:CA&gt;+9A-</t>
  </si>
  <si>
    <t>10327d:CA&gt;+93-</t>
  </si>
  <si>
    <t>10328d:CA&gt;+96-</t>
  </si>
  <si>
    <t>10387b:CA&gt;+9C-</t>
  </si>
  <si>
    <t>10388b:CA&gt;+9A-</t>
  </si>
  <si>
    <t>10407c:CA&gt;+93-</t>
  </si>
  <si>
    <t>10408b:CA&gt;+96-</t>
  </si>
  <si>
    <t>10447e:CA&gt;+9C-</t>
  </si>
  <si>
    <t>10448d:CA&gt;+9A-</t>
  </si>
  <si>
    <t>10667f:CA&gt;+A9-</t>
  </si>
  <si>
    <t>10731b:3E&gt;+9A-</t>
  </si>
  <si>
    <t>00179f:CA&gt;+93-</t>
  </si>
  <si>
    <t>00180e:CA&gt;+96-</t>
  </si>
  <si>
    <t>00239c:CA&gt;+9C-</t>
  </si>
  <si>
    <t>00240c:CA&gt;+9A-</t>
  </si>
  <si>
    <t>00259d:CA&gt;+93-</t>
  </si>
  <si>
    <t>00260d:CA&gt;+96-</t>
  </si>
  <si>
    <t>00279e:CA&gt;+9C-</t>
  </si>
  <si>
    <t>00280e:CA&gt;+9A-</t>
  </si>
  <si>
    <t>00314d:3E&gt;+9A-</t>
  </si>
  <si>
    <t>00410b:CA&gt;+93-</t>
  </si>
  <si>
    <t>00411a:CA&gt;+96-</t>
  </si>
  <si>
    <t>00427a:CA&gt;+A9-</t>
  </si>
  <si>
    <t>00449c:CA&gt;+9C-</t>
  </si>
  <si>
    <t>00450c:CA&gt;+9A-</t>
  </si>
  <si>
    <t>00489f:CA&gt;+93-</t>
  </si>
  <si>
    <t>00490f:CA&gt;+96-</t>
  </si>
  <si>
    <t>00530c:CA&gt;+9C-</t>
  </si>
  <si>
    <t>00531c:CA&gt;+9A-</t>
  </si>
  <si>
    <t>00559d:CA&gt;+93-</t>
  </si>
  <si>
    <t>00560d:CA&gt;+96-</t>
  </si>
  <si>
    <t>00579e:CA&gt;+9C-</t>
  </si>
  <si>
    <t>00580e:CA&gt;+9A-</t>
  </si>
  <si>
    <t>00600a:CA&gt;+93-</t>
  </si>
  <si>
    <t>00600f:CA&gt;+96-</t>
  </si>
  <si>
    <t>00680f:CA&gt;+9C-</t>
  </si>
  <si>
    <t>00681e:CA&gt;+9A-</t>
  </si>
  <si>
    <t>00764e:CA&gt;+93-</t>
  </si>
  <si>
    <t>00767b:CA&gt;+96-</t>
  </si>
  <si>
    <t>00805b:CA&gt;+9C-</t>
  </si>
  <si>
    <t>00806a:CA&gt;+9A-</t>
  </si>
  <si>
    <t>00825c:CA&gt;+93-</t>
  </si>
  <si>
    <t>00826b:CA&gt;+96-</t>
  </si>
  <si>
    <t>00845d:CA&gt;+9C-</t>
  </si>
  <si>
    <t>00846c:CA&gt;+9A-</t>
  </si>
  <si>
    <t>00865e:CA&gt;+93-</t>
  </si>
  <si>
    <t>00866d:CA&gt;+96-</t>
  </si>
  <si>
    <t>00884f:CA&gt;+9C-</t>
  </si>
  <si>
    <t>00885f:CA&gt;+9A-</t>
  </si>
  <si>
    <t>00915b:CA&gt;+93-</t>
  </si>
  <si>
    <t>00916b:CA&gt;+96-</t>
  </si>
  <si>
    <t>00974f:CA&gt;+9C-</t>
  </si>
  <si>
    <t>00975e:CA&gt;+9A-</t>
  </si>
  <si>
    <t>00995b:CA&gt;+93-</t>
  </si>
  <si>
    <t>00996a:CA&gt;+96-</t>
  </si>
  <si>
    <t>01035d:CA&gt;+9C-</t>
  </si>
  <si>
    <t>01036c:CA&gt;+9A-</t>
  </si>
  <si>
    <t>01109a:CA&gt;+A9-</t>
  </si>
  <si>
    <t>01133c:CA&gt;+93-</t>
  </si>
  <si>
    <t>01134c:CA&gt;+96-</t>
  </si>
  <si>
    <t>01194a:CA&gt;+9C-</t>
  </si>
  <si>
    <t>01195a:CA&gt;+9A-</t>
  </si>
  <si>
    <t>01326d:3E&gt;+9A-</t>
  </si>
  <si>
    <t>01381f:CA&gt;+93-</t>
  </si>
  <si>
    <t>01382f:CA&gt;+96-</t>
  </si>
  <si>
    <t>01422c:CA&gt;+9C-</t>
  </si>
  <si>
    <t>01423c:CA&gt;+9A-</t>
  </si>
  <si>
    <t>01462f:CA&gt;+93-</t>
  </si>
  <si>
    <t>01463e:CA&gt;+96-</t>
  </si>
  <si>
    <t>01502b:CA&gt;+9C-</t>
  </si>
  <si>
    <t>01503b:CA&gt;+9A-</t>
  </si>
  <si>
    <t>01542d:CA&gt;+93-</t>
  </si>
  <si>
    <t>01543d:CA&gt;+96-</t>
  </si>
  <si>
    <t>01642d:CA&gt;+9C-</t>
  </si>
  <si>
    <t>01643d:CA&gt;+9A-</t>
  </si>
  <si>
    <t>01745e:CA&gt;+93-</t>
  </si>
  <si>
    <t>01746d:CA&gt;+96-</t>
  </si>
  <si>
    <t>01791a:CA&gt;+A9-</t>
  </si>
  <si>
    <t>01805c:CA&gt;+9C-</t>
  </si>
  <si>
    <t>01806b:CA&gt;+9A-</t>
  </si>
  <si>
    <t>01825d:CA&gt;+93-</t>
  </si>
  <si>
    <t>01826c:CA&gt;+96-</t>
  </si>
  <si>
    <t>01832d:3E&gt;+9A-</t>
  </si>
  <si>
    <t>01865f:CA&gt;+9C-</t>
  </si>
  <si>
    <t>01866e:CA&gt;+9A-</t>
  </si>
  <si>
    <t>01954e:CA&gt;+93-</t>
  </si>
  <si>
    <t>01955e:CA&gt;+96-</t>
  </si>
  <si>
    <t>01975a:CA&gt;+9C-</t>
  </si>
  <si>
    <t>01976a:CA&gt;+9A-</t>
  </si>
  <si>
    <t>01994b:CA&gt;+93-</t>
  </si>
  <si>
    <t>01995a:CA&gt;+96-</t>
  </si>
  <si>
    <t>02074a:CA&gt;+9C-</t>
  </si>
  <si>
    <t>02075a:CA&gt;+9A-</t>
  </si>
  <si>
    <t>02150f:CA&gt;+93-</t>
  </si>
  <si>
    <t>02151e:CA&gt;+96-</t>
  </si>
  <si>
    <t>02191b:CA&gt;+9C-</t>
  </si>
  <si>
    <t>02192a:CA&gt;+9A-</t>
  </si>
  <si>
    <t>02230d:CA&gt;+93-</t>
  </si>
  <si>
    <t>02231d:CA&gt;+96-</t>
  </si>
  <si>
    <t>02271a:CA&gt;+9C-</t>
  </si>
  <si>
    <t>02272a:CA&gt;+9A-</t>
  </si>
  <si>
    <t>02338d:3E&gt;+9A-</t>
  </si>
  <si>
    <t>02388b:CA&gt;+93-</t>
  </si>
  <si>
    <t>02389a:CA&gt;+96-</t>
  </si>
  <si>
    <t>02448f:CA&gt;+9C-</t>
  </si>
  <si>
    <t>02449e:CA&gt;+9A-</t>
  </si>
  <si>
    <t>02473a:CA&gt;+A9-</t>
  </si>
  <si>
    <t>02488c:CA&gt;+93-</t>
  </si>
  <si>
    <t>02489b:CA&gt;+96-</t>
  </si>
  <si>
    <t>02508d:CA&gt;+9C-</t>
  </si>
  <si>
    <t>02509c:CA&gt;+9A-</t>
  </si>
  <si>
    <t>02543f:CA&gt;+93-</t>
  </si>
  <si>
    <t>02544e:CA&gt;+96-</t>
  </si>
  <si>
    <t>02563f:CA&gt;+9C-</t>
  </si>
  <si>
    <t>02564f:CA&gt;+9A-</t>
  </si>
  <si>
    <t>02584b:CA&gt;+93-</t>
  </si>
  <si>
    <t>02585b:CA&gt;+96-</t>
  </si>
  <si>
    <t>02664a:CA&gt;+9C-</t>
  </si>
  <si>
    <t>02665a:CA&gt;+9A-</t>
  </si>
  <si>
    <t>02694c:CA&gt;+93-</t>
  </si>
  <si>
    <t>02695b:CA&gt;+96-</t>
  </si>
  <si>
    <t>02755a:CA&gt;+9C-</t>
  </si>
  <si>
    <t>02755f:CA&gt;+9A-</t>
  </si>
  <si>
    <t>02844e:3E&gt;+9A-</t>
  </si>
  <si>
    <t>02859a:CA&gt;+93-</t>
  </si>
  <si>
    <t>02860a:CA&gt;+96-</t>
  </si>
  <si>
    <t>02919d:CA&gt;+9C-</t>
  </si>
  <si>
    <t>02920d:CA&gt;+9A-</t>
  </si>
  <si>
    <t>02939e:CA&gt;+93-</t>
  </si>
  <si>
    <t>02940e:CA&gt;+96-</t>
  </si>
  <si>
    <t>02980b:CA&gt;+9C-</t>
  </si>
  <si>
    <t>02981b:CA&gt;+9A-</t>
  </si>
  <si>
    <t>03154f:CA&gt;+A9-</t>
  </si>
  <si>
    <t>03256a:CA&gt;+93-</t>
  </si>
  <si>
    <t>03257a:CA&gt;+96-</t>
  </si>
  <si>
    <t>03276b:CA&gt;+9C-</t>
  </si>
  <si>
    <t>03277b:CA&gt;+9A-</t>
  </si>
  <si>
    <t>03350e:3E&gt;+9A-</t>
  </si>
  <si>
    <t>03356a:CA&gt;+93-</t>
  </si>
  <si>
    <t>03357a:CA&gt;+96-</t>
  </si>
  <si>
    <t>03376b:CA&gt;+9C-</t>
  </si>
  <si>
    <t>03377b:CA&gt;+9A-</t>
  </si>
  <si>
    <t>03456a:CA&gt;+93-</t>
  </si>
  <si>
    <t>03456f:CA&gt;+96-</t>
  </si>
  <si>
    <t>03496d:CA&gt;+9C-</t>
  </si>
  <si>
    <t>03497c:CA&gt;+9A-</t>
  </si>
  <si>
    <t>03516e:CA&gt;+93-</t>
  </si>
  <si>
    <t>03517d:CA&gt;+96-</t>
  </si>
  <si>
    <t>03556a:CA&gt;+9C-</t>
  </si>
  <si>
    <t>03557a:CA&gt;+9A-</t>
  </si>
  <si>
    <t>03605e:CA&gt;+93-</t>
  </si>
  <si>
    <t>03606d:CA&gt;+96-</t>
  </si>
  <si>
    <t>03626f:CA&gt;+9C-</t>
  </si>
  <si>
    <t>03627f:CA&gt;+9A-</t>
  </si>
  <si>
    <t>03647a:CA&gt;+93-</t>
  </si>
  <si>
    <t>03648a:CA&gt;+96-</t>
  </si>
  <si>
    <t>03726f:CA&gt;+9C-</t>
  </si>
  <si>
    <t>03727e:CA&gt;+9A-</t>
  </si>
  <si>
    <t>03756b:CA&gt;+93-</t>
  </si>
  <si>
    <t>03757a:CA&gt;+96-</t>
  </si>
  <si>
    <t>03796d:CA&gt;+9C-</t>
  </si>
  <si>
    <t>03797c:CA&gt;+9A-</t>
  </si>
  <si>
    <t>03836f:CA&gt;+A9-</t>
  </si>
  <si>
    <t>03837f:CA&gt;+93-</t>
  </si>
  <si>
    <t>03838e:CA&gt;+96-</t>
  </si>
  <si>
    <t>03856e:3E&gt;+9A-</t>
  </si>
  <si>
    <t>03876c:CA&gt;+9C-</t>
  </si>
  <si>
    <t>03877b:CA&gt;+9A-</t>
  </si>
  <si>
    <t>03912e:CA&gt;+93-</t>
  </si>
  <si>
    <t>03913e:CA&gt;+96-</t>
  </si>
  <si>
    <t>03973c:CA&gt;+9C-</t>
  </si>
  <si>
    <t>03974c:CA&gt;+9A-</t>
  </si>
  <si>
    <t>04012e:CA&gt;+93-</t>
  </si>
  <si>
    <t>04013e:CA&gt;+96-</t>
  </si>
  <si>
    <t>04032f:CA&gt;+9C-</t>
  </si>
  <si>
    <t>04033f:CA&gt;+9A-</t>
  </si>
  <si>
    <t>04063b:CA&gt;+93-</t>
  </si>
  <si>
    <t>04064a:CA&gt;+96-</t>
  </si>
  <si>
    <t>04082c:CA&gt;+9C-</t>
  </si>
  <si>
    <t>04083c:CA&gt;+9A-</t>
  </si>
  <si>
    <t>04102e:CA&gt;+93-</t>
  </si>
  <si>
    <t>04103d:CA&gt;+96-</t>
  </si>
  <si>
    <t>04182d:CA&gt;+9C-</t>
  </si>
  <si>
    <t>04183d:CA&gt;+9A-</t>
  </si>
  <si>
    <t>04212f:CA&gt;+93-</t>
  </si>
  <si>
    <t>04213e:CA&gt;+96-</t>
  </si>
  <si>
    <t>04272c:CA&gt;+9C-</t>
  </si>
  <si>
    <t>04273c:CA&gt;+9A-</t>
  </si>
  <si>
    <t>04312f:CA&gt;+93-</t>
  </si>
  <si>
    <t>04313e:CA&gt;+96-</t>
  </si>
  <si>
    <t>04333a:CA&gt;+9C-</t>
  </si>
  <si>
    <t>04333f:CA&gt;+9A-</t>
  </si>
  <si>
    <t>04362c:CA&gt;+93+</t>
  </si>
  <si>
    <t>04363a:3E&gt;+9A-</t>
  </si>
  <si>
    <t>04363e:CA&gt;+96-</t>
  </si>
  <si>
    <t>04422f:CA&gt;+9C-</t>
  </si>
  <si>
    <t>04423f:CA&gt;+9A-</t>
  </si>
  <si>
    <t>04443b:CA&gt;+93-</t>
  </si>
  <si>
    <t>04444a:CA&gt;+96-</t>
  </si>
  <si>
    <t>04483d:CA&gt;+9C-</t>
  </si>
  <si>
    <t>04484d:CA&gt;+9A-</t>
  </si>
  <si>
    <t>04518e:CA&gt;+A9-</t>
  </si>
  <si>
    <t>04652b:CA&gt;+93-</t>
  </si>
  <si>
    <t>04653b:CA&gt;+96-</t>
  </si>
  <si>
    <t>04752c:CA&gt;+9C-</t>
  </si>
  <si>
    <t>04753b:CA&gt;+9A-</t>
  </si>
  <si>
    <t>04802f:CA&gt;+93-</t>
  </si>
  <si>
    <t>04803e:CA&gt;+96-</t>
  </si>
  <si>
    <t>04823a:CA&gt;+9C-</t>
  </si>
  <si>
    <t>04823f:CA&gt;+9A-</t>
  </si>
  <si>
    <t>04843b:CA&gt;+93-</t>
  </si>
  <si>
    <t>04844a:CA&gt;+96-</t>
  </si>
  <si>
    <t>04868e:3E&gt;+9A-</t>
  </si>
  <si>
    <t>04923a:CA&gt;+9C-</t>
  </si>
  <si>
    <t>04924a:CA&gt;+9A-</t>
  </si>
  <si>
    <t>04986d:CA&gt;+93-</t>
  </si>
  <si>
    <t>04987d:CA&gt;+96-</t>
  </si>
  <si>
    <t>05007f:CA&gt;+9C-</t>
  </si>
  <si>
    <t>05008f:CA&gt;+9A-</t>
  </si>
  <si>
    <t>05027b:CA&gt;+93-</t>
  </si>
  <si>
    <t>05028a:CA&gt;+96-</t>
  </si>
  <si>
    <t>05047c:CA&gt;+9C-</t>
  </si>
  <si>
    <t>05048b:CA&gt;+9A-</t>
  </si>
  <si>
    <t>05067d:CA&gt;+93-</t>
  </si>
  <si>
    <t>05068c:CA&gt;+96-</t>
  </si>
  <si>
    <t>05108a:CA&gt;+9C-</t>
  </si>
  <si>
    <t>05108f:CA&gt;+9A-</t>
  </si>
  <si>
    <t>05137b:CA&gt;+93-</t>
  </si>
  <si>
    <t>05138a:CA&gt;+96-</t>
  </si>
  <si>
    <t>05200e:CA&gt;+A9-</t>
  </si>
  <si>
    <t>05237b:CA&gt;+9C-</t>
  </si>
  <si>
    <t>05238b:CA&gt;+9A-</t>
  </si>
  <si>
    <t>05374e:3E&gt;+9A-</t>
  </si>
  <si>
    <t>05752c:CA&gt;+93-</t>
  </si>
  <si>
    <t>05753c:CA&gt;+96-</t>
  </si>
  <si>
    <t>05773e:CA&gt;+9C-</t>
  </si>
  <si>
    <t>05774d:CA&gt;+9A-</t>
  </si>
  <si>
    <t>05813b:CA&gt;+93-</t>
  </si>
  <si>
    <t>05814a:CA&gt;+96-</t>
  </si>
  <si>
    <t>05832b:CA&gt;+9C-</t>
  </si>
  <si>
    <t>05833b:CA&gt;+9A-</t>
  </si>
  <si>
    <t>05880e:3E&gt;+9A-</t>
  </si>
  <si>
    <t>05882e:CA&gt;+A9-</t>
  </si>
  <si>
    <t>05903a:CA&gt;+93-</t>
  </si>
  <si>
    <t>05903f:CA&gt;+96-</t>
  </si>
  <si>
    <t>05962e:CA&gt;+9C-</t>
  </si>
  <si>
    <t>05963d:CA&gt;+9A-</t>
  </si>
  <si>
    <t>06052d:CA&gt;+93-</t>
  </si>
  <si>
    <t>06053c:CA&gt;+96-</t>
  </si>
  <si>
    <t>06113b:CA&gt;+9C-</t>
  </si>
  <si>
    <t>06114a:CA&gt;+9A-</t>
  </si>
  <si>
    <t>06203a:CA&gt;+93-</t>
  </si>
  <si>
    <t>06203f:CA&gt;+96-</t>
  </si>
  <si>
    <t>06262d:CA&gt;+9C-</t>
  </si>
  <si>
    <t>06263d:CA&gt;+9A-</t>
  </si>
  <si>
    <t>06386e:3E&gt;+9A-</t>
  </si>
  <si>
    <t>06564d:CA&gt;+A9-</t>
  </si>
  <si>
    <t>06586a:CA&gt;+93-</t>
  </si>
  <si>
    <t>06586f:CA&gt;+96-</t>
  </si>
  <si>
    <t>06665f:CA&gt;+9C-</t>
  </si>
  <si>
    <t>06666e:CA&gt;+9A-</t>
  </si>
  <si>
    <t>06686a:CA&gt;+93-</t>
  </si>
  <si>
    <t>06686f:CA&gt;+96-</t>
  </si>
  <si>
    <t>06706a:CA&gt;+9C-</t>
  </si>
  <si>
    <t>06707a:CA&gt;+9A-</t>
  </si>
  <si>
    <t>06828c:CA&gt;+93-</t>
  </si>
  <si>
    <t>06829c:CA&gt;+96-</t>
  </si>
  <si>
    <t>06868e:CA&gt;+9C-</t>
  </si>
  <si>
    <t>06869e:CA&gt;+9A-</t>
  </si>
  <si>
    <t>06889a:CA&gt;+93-</t>
  </si>
  <si>
    <t>06890a:CA&gt;+96-</t>
  </si>
  <si>
    <t>06892f:3E&gt;+9A-</t>
  </si>
  <si>
    <t>06949d:CA&gt;+9C-</t>
  </si>
  <si>
    <t>06950d:CA&gt;+9A-</t>
  </si>
  <si>
    <t>07246d:CA&gt;+A9-</t>
  </si>
  <si>
    <t>07398f:3E&gt;+9A-</t>
  </si>
  <si>
    <t>07904f:3E&gt;+9A-</t>
  </si>
  <si>
    <t>07928d:CA&gt;+A9-</t>
  </si>
  <si>
    <t>08027e:CA&gt;+93-</t>
  </si>
  <si>
    <t>08028d:CA&gt;+96-</t>
  </si>
  <si>
    <t>08047f:CA&gt;+9C-</t>
  </si>
  <si>
    <t>08048e:CA&gt;+9A-</t>
  </si>
  <si>
    <t>08067a:CA&gt;+93-</t>
  </si>
  <si>
    <t>08068a:CA&gt;+96-</t>
  </si>
  <si>
    <t>08127d:CA&gt;+9C-</t>
  </si>
  <si>
    <t>08128d:CA&gt;+9A-</t>
  </si>
  <si>
    <t>08187c:CA&gt;+93-</t>
  </si>
  <si>
    <t>08188b:CA&gt;+96-</t>
  </si>
  <si>
    <t>08207d:CA&gt;+9C-</t>
  </si>
  <si>
    <t>08208c:CA&gt;+9A-</t>
  </si>
  <si>
    <t>08227e:CA&gt;+93-</t>
  </si>
  <si>
    <t>08228d:CA&gt;+96-</t>
  </si>
  <si>
    <t>08287b:CA&gt;+9C-</t>
  </si>
  <si>
    <t>08288b:CA&gt;+9A-</t>
  </si>
  <si>
    <t>08345f:CA&gt;+93-</t>
  </si>
  <si>
    <t>08346e:CA&gt;+96-</t>
  </si>
  <si>
    <t>08365a:CA&gt;+9C-</t>
  </si>
  <si>
    <t>08366a:CA&gt;+9A-</t>
  </si>
  <si>
    <t>08385b:CA&gt;+93-</t>
  </si>
  <si>
    <t>08386b:CA&gt;+96-</t>
  </si>
  <si>
    <t>08410f:3E&gt;+9A-</t>
  </si>
  <si>
    <t>08445f:CA&gt;+9C-</t>
  </si>
  <si>
    <t>08446e:CA&gt;+9A-</t>
  </si>
  <si>
    <t>08509c:CA&gt;+93-</t>
  </si>
  <si>
    <t>08510c:CA&gt;+96-</t>
  </si>
  <si>
    <t>08529e:CA&gt;+9C-</t>
  </si>
  <si>
    <t>08530d:CA&gt;+9A-</t>
  </si>
  <si>
    <t>08549f:CA&gt;+93-</t>
  </si>
  <si>
    <t>08550f:CA&gt;+96-</t>
  </si>
  <si>
    <t>08609d:CA&gt;+9C-</t>
  </si>
  <si>
    <t>08610d:CA&gt;+9A-</t>
  </si>
  <si>
    <t>08611b:CA&gt;+A9-</t>
  </si>
  <si>
    <t>08667b:CA&gt;+93-</t>
  </si>
  <si>
    <t>08668b:CA&gt;+96-</t>
  </si>
  <si>
    <t>08687c:CA&gt;+9C-</t>
  </si>
  <si>
    <t>08688c:CA&gt;+9A-</t>
  </si>
  <si>
    <t>08707d:CA&gt;+93-</t>
  </si>
  <si>
    <t>08708d:CA&gt;+96-</t>
  </si>
  <si>
    <t>08768a:CA&gt;+9C-</t>
  </si>
  <si>
    <t>08769a:CA&gt;+9A-</t>
  </si>
  <si>
    <t>08817e:CA&gt;+93-</t>
  </si>
  <si>
    <t>08818d:CA&gt;+96-</t>
  </si>
  <si>
    <t>08837f:CA&gt;+9C-</t>
  </si>
  <si>
    <t>08838e:CA&gt;+9A-</t>
  </si>
  <si>
    <t>08858a:CA&gt;+93-</t>
  </si>
  <si>
    <t>08859a:CA&gt;+96-</t>
  </si>
  <si>
    <t>08916f:3E&gt;+9A-</t>
  </si>
  <si>
    <t>08917e:CA&gt;+9C-</t>
  </si>
  <si>
    <t>08918e:CA&gt;+9A-</t>
  </si>
  <si>
    <t>09058a:CA&gt;+93-</t>
  </si>
  <si>
    <t>09059a:CA&gt;+96-</t>
  </si>
  <si>
    <t>09138f:CA&gt;+9C-</t>
  </si>
  <si>
    <t>09139f:CA&gt;+9A-</t>
  </si>
  <si>
    <t>09159a:CA&gt;+93-</t>
  </si>
  <si>
    <t>09160a:CA&gt;+96-</t>
  </si>
  <si>
    <t>09179c:CA&gt;+9C-</t>
  </si>
  <si>
    <t>09180c:CA&gt;+9A-</t>
  </si>
  <si>
    <t>09289c:CA&gt;+93-</t>
  </si>
  <si>
    <t>09290c:CA&gt;+96-</t>
  </si>
  <si>
    <t>09292c:CA&gt;+A9-</t>
  </si>
  <si>
    <t>09329e:CA&gt;+9C-</t>
  </si>
  <si>
    <t>09330e:CA&gt;+9A-</t>
  </si>
  <si>
    <t>09350a:CA&gt;+93-</t>
  </si>
  <si>
    <t>09351a:CA&gt;+96-</t>
  </si>
  <si>
    <t>09410e:CA&gt;+9C-</t>
  </si>
  <si>
    <t>09411e:CA&gt;+9A-</t>
  </si>
  <si>
    <t>09422f:3E&gt;+9A-</t>
  </si>
  <si>
    <t>09697d:CA&gt;+93-</t>
  </si>
  <si>
    <t>09698d:CA&gt;+96-</t>
  </si>
  <si>
    <t>09718f:CA&gt;+9C-</t>
  </si>
  <si>
    <t>09719e:CA&gt;+9A-</t>
  </si>
  <si>
    <t>09737f:CA&gt;+93-</t>
  </si>
  <si>
    <t>09738f:CA&gt;+96-</t>
  </si>
  <si>
    <t>09778c:CA&gt;+9C-</t>
  </si>
  <si>
    <t>09779c:CA&gt;+9A-</t>
  </si>
  <si>
    <t>09798d:CA&gt;+93-</t>
  </si>
  <si>
    <t>09799d:CA&gt;+96-</t>
  </si>
  <si>
    <t>09818e:CA&gt;+9C-</t>
  </si>
  <si>
    <t>09819e:CA&gt;+9A-</t>
  </si>
  <si>
    <t>09928f:3E&gt;+9A-</t>
  </si>
  <si>
    <t>09974c:CA&gt;+A9-</t>
  </si>
  <si>
    <t>10435a:3E&gt;+9A-</t>
  </si>
  <si>
    <t>10570a:3E&gt;+93-</t>
  </si>
  <si>
    <t>10576c:3E&gt;+96-</t>
  </si>
  <si>
    <t>10590b:3E&gt;+9C-</t>
  </si>
  <si>
    <t>10596b:3E&gt;+9A-</t>
  </si>
  <si>
    <t>10656c:CA&gt;+A9-</t>
  </si>
  <si>
    <t>10721b:3E&gt;+93-</t>
  </si>
  <si>
    <t>10727b:3E&gt;+96-</t>
  </si>
  <si>
    <t>10801f:3E&gt;+9C-</t>
  </si>
  <si>
    <t>10807f:3E&gt;+9A-</t>
  </si>
  <si>
    <t>10822a:24&gt;-</t>
  </si>
  <si>
    <t>10828a:3E&gt;+96-</t>
  </si>
  <si>
    <t>10842b:3E&gt;+9C-</t>
  </si>
  <si>
    <t>10848b:3E&gt;+9A-</t>
  </si>
  <si>
    <t>10872c:24&gt;-</t>
  </si>
  <si>
    <t>10878d:3E&gt;+96-</t>
  </si>
  <si>
    <t>10912e:3E&gt;+9C-</t>
  </si>
  <si>
    <t>10918e:3E&gt;+9A-</t>
  </si>
  <si>
    <t>00010b:3E&gt;+93-</t>
  </si>
  <si>
    <t>00016b:3E&gt;+96-</t>
  </si>
  <si>
    <t>00070e:3E&gt;+9C-</t>
  </si>
  <si>
    <t>00076e:3E&gt;+9A-</t>
  </si>
  <si>
    <t>00100f:24&gt;-</t>
  </si>
  <si>
    <t>00107a:3E&gt;+96-</t>
  </si>
  <si>
    <t>00121a:3E&gt;+9C-</t>
  </si>
  <si>
    <t>00127b:3E&gt;+9A-</t>
  </si>
  <si>
    <t>00161c:24&gt;-</t>
  </si>
  <si>
    <t>00167d:3E&gt;+96-</t>
  </si>
  <si>
    <t>00181d:3E&gt;+9C-</t>
  </si>
  <si>
    <t>00187e:3E&gt;+9A-</t>
  </si>
  <si>
    <t>00252b:3E&gt;+93-</t>
  </si>
  <si>
    <t>00258b:3E&gt;+96-</t>
  </si>
  <si>
    <t>00332e:3E&gt;+9C-</t>
  </si>
  <si>
    <t>00338f:3E&gt;+9A-</t>
  </si>
  <si>
    <t>00403c:3E&gt;+93-</t>
  </si>
  <si>
    <t>00409c:3E&gt;+96-</t>
  </si>
  <si>
    <t>00415d:CA&gt;+A9-</t>
  </si>
  <si>
    <t>00423d:3E&gt;+9C-</t>
  </si>
  <si>
    <t>00429d:3E&gt;+9A-</t>
  </si>
  <si>
    <t>00463f:3E&gt;+93-</t>
  </si>
  <si>
    <t>00469f:3E&gt;+96-</t>
  </si>
  <si>
    <t>00504b:3E&gt;+9C-</t>
  </si>
  <si>
    <t>00510b:3E&gt;+9A-</t>
  </si>
  <si>
    <t>00554d:3E&gt;+93-</t>
  </si>
  <si>
    <t>00560d:3E&gt;+96-</t>
  </si>
  <si>
    <t>00574e:3E&gt;+9C-</t>
  </si>
  <si>
    <t>00580e:3E&gt;+9A-</t>
  </si>
  <si>
    <t>00594f:3E&gt;+93-</t>
  </si>
  <si>
    <t>00600f:3E&gt;+96-</t>
  </si>
  <si>
    <t>00615a:3E&gt;+9C-</t>
  </si>
  <si>
    <t>00621a:3E&gt;+9A-</t>
  </si>
  <si>
    <t>00635b:3E&gt;+93-</t>
  </si>
  <si>
    <t>00641b:3E&gt;+96-</t>
  </si>
  <si>
    <t>00655c:3E&gt;+9C-</t>
  </si>
  <si>
    <t>00661c:3E&gt;+9A-</t>
  </si>
  <si>
    <t>00705e:3E&gt;+93-</t>
  </si>
  <si>
    <t>00711f:3E&gt;+96-</t>
  </si>
  <si>
    <t>00725f:3E&gt;+9C-</t>
  </si>
  <si>
    <t>00732a:3E&gt;+9A-</t>
  </si>
  <si>
    <t>00786c:3E&gt;+93-</t>
  </si>
  <si>
    <t>00792c:3E&gt;+96-</t>
  </si>
  <si>
    <t>00806d:3E&gt;+9C-</t>
  </si>
  <si>
    <t>00812d:3E&gt;+9A-</t>
  </si>
  <si>
    <t>00856f:3E&gt;+93-</t>
  </si>
  <si>
    <t>00863a:3E&gt;+96-</t>
  </si>
  <si>
    <t>00877a:3E&gt;+9C-</t>
  </si>
  <si>
    <t>00883b:3E&gt;+9A-</t>
  </si>
  <si>
    <t>00917c:24&gt;-</t>
  </si>
  <si>
    <t>00923d:25&lt;-</t>
  </si>
  <si>
    <t>00957e:3E&gt;+9C-</t>
  </si>
  <si>
    <t>00963f:3E&gt;+9A-</t>
  </si>
  <si>
    <t>01008b:3E&gt;+93-</t>
  </si>
  <si>
    <t>01014b:3E&gt;+96-</t>
  </si>
  <si>
    <t>01028c:3E&gt;+9C-</t>
  </si>
  <si>
    <t>01034c:3E&gt;+9A-</t>
  </si>
  <si>
    <t>01097d:CA&gt;+A9-</t>
  </si>
  <si>
    <t>01159c:3E&gt;+93-</t>
  </si>
  <si>
    <t>01165c:3E&gt;+96-</t>
  </si>
  <si>
    <t>01179d:3E&gt;+9C-</t>
  </si>
  <si>
    <t>01185d:3E&gt;+9A-</t>
  </si>
  <si>
    <t>01219f:3E&gt;+93-</t>
  </si>
  <si>
    <t>01225f:3E&gt;+96-</t>
  </si>
  <si>
    <t>01280c:3E&gt;+9C-</t>
  </si>
  <si>
    <t>01286c:3E&gt;+9A-</t>
  </si>
  <si>
    <t>01318d:3E&gt;+93-</t>
  </si>
  <si>
    <t>01324e:3E&gt;+96-</t>
  </si>
  <si>
    <t>01379a:3E&gt;+9C-</t>
  </si>
  <si>
    <t>01385b:3E&gt;+9A-</t>
  </si>
  <si>
    <t>01399b:3E&gt;+93-</t>
  </si>
  <si>
    <t>01405c:3E&gt;+96-</t>
  </si>
  <si>
    <t>01439d:3E&gt;+9C-</t>
  </si>
  <si>
    <t>01445e:3E&gt;+9A-</t>
  </si>
  <si>
    <t>01487f:3E&gt;+93-</t>
  </si>
  <si>
    <t>01494a:3E&gt;+96-</t>
  </si>
  <si>
    <t>01588e:3E&gt;+9C-</t>
  </si>
  <si>
    <t>01594f:3E&gt;+9A-</t>
  </si>
  <si>
    <t>01659c:3E&gt;+93-</t>
  </si>
  <si>
    <t>01665c:3E&gt;+96-</t>
  </si>
  <si>
    <t>01699e:3E&gt;+9C-</t>
  </si>
  <si>
    <t>01705e:3E&gt;+9A-</t>
  </si>
  <si>
    <t>01719f:3E&gt;+93-</t>
  </si>
  <si>
    <t>01725f:3E&gt;+96-</t>
  </si>
  <si>
    <t>01740a:27&lt;+</t>
  </si>
  <si>
    <t>01746a:3E&gt;+9A-</t>
  </si>
  <si>
    <t>01760b:3E&gt;+93-</t>
  </si>
  <si>
    <t>01766b:3E&gt;+96-</t>
  </si>
  <si>
    <t>01779c:CA&gt;+A9-</t>
  </si>
  <si>
    <t>01780b:3E&gt;+9C-</t>
  </si>
  <si>
    <t>01786c:3E&gt;+9A-</t>
  </si>
  <si>
    <t>01828e:3E&gt;+93-</t>
  </si>
  <si>
    <t>01834e:3E&gt;+96-</t>
  </si>
  <si>
    <t>01848f:3E&gt;+9C-</t>
  </si>
  <si>
    <t>01854f:3E&gt;+9A-</t>
  </si>
  <si>
    <t>01869a:3E&gt;+93-</t>
  </si>
  <si>
    <t>01875a:3E&gt;+96-</t>
  </si>
  <si>
    <t>01949e:3E&gt;+9C-</t>
  </si>
  <si>
    <t>01955e:3E&gt;+9A-</t>
  </si>
  <si>
    <t>02000a:3E&gt;+93-</t>
  </si>
  <si>
    <t>02006a:3E&gt;+96-</t>
  </si>
  <si>
    <t>02020b:27&lt;+</t>
  </si>
  <si>
    <t>02026b:3E&gt;+9A-</t>
  </si>
  <si>
    <t>02080e:24&gt;-</t>
  </si>
  <si>
    <t>02086e:3E&gt;+96-</t>
  </si>
  <si>
    <t>02121a:3E&gt;+9C-</t>
  </si>
  <si>
    <t>02127a:3E&gt;+9A-</t>
  </si>
  <si>
    <t>02169c:3E&gt;+93-</t>
  </si>
  <si>
    <t>02175c:3E&gt;+96-</t>
  </si>
  <si>
    <t>02229f:3E&gt;+9C-</t>
  </si>
  <si>
    <t>02235f:3E&gt;+9A-</t>
  </si>
  <si>
    <t>02250a:3E&gt;+93-</t>
  </si>
  <si>
    <t>02256f:25&lt;-</t>
  </si>
  <si>
    <t>02290c:3E&gt;+9C-</t>
  </si>
  <si>
    <t>02296c:3E&gt;+9A-</t>
  </si>
  <si>
    <t>02340e:3E&gt;+93-</t>
  </si>
  <si>
    <t>02346e:3E&gt;+96-</t>
  </si>
  <si>
    <t>02360f:3E&gt;+9C-</t>
  </si>
  <si>
    <t>02366f:3E&gt;+9A-</t>
  </si>
  <si>
    <t>02381a:3E&gt;+93-</t>
  </si>
  <si>
    <t>02387a:3E&gt;+96-</t>
  </si>
  <si>
    <t>02421c:3E&gt;+9C-</t>
  </si>
  <si>
    <t>02427e:3E&gt;+9A-</t>
  </si>
  <si>
    <t>02441d:3E&gt;+93-</t>
  </si>
  <si>
    <t>02447d:3E&gt;+96-</t>
  </si>
  <si>
    <t>02461c:CA&gt;+A9-</t>
  </si>
  <si>
    <t>02462b:3E&gt;+9C-</t>
  </si>
  <si>
    <t>02467e:3E&gt;+9A-</t>
  </si>
  <si>
    <t>02512a:3E&gt;+93-</t>
  </si>
  <si>
    <t>02518b:3E&gt;+96-</t>
  </si>
  <si>
    <t>02532b:3E&gt;+9C-</t>
  </si>
  <si>
    <t>02538c:3E&gt;+9A-</t>
  </si>
  <si>
    <t>03044c:3E&gt;+9A-</t>
  </si>
  <si>
    <t>03143c:CA&gt;+A9-</t>
  </si>
  <si>
    <t>03444c:CA&gt;+93-</t>
  </si>
  <si>
    <t>03445c:CA&gt;+96-</t>
  </si>
  <si>
    <t>03464e:CA&gt;+9C-</t>
  </si>
  <si>
    <t>03465d:CA&gt;+9A-</t>
  </si>
  <si>
    <t>03504a:CA&gt;+93-</t>
  </si>
  <si>
    <t>03504f:CA&gt;+96-</t>
  </si>
  <si>
    <t>03524c:CA&gt;+9C-</t>
  </si>
  <si>
    <t>03525b:CA&gt;+9A-</t>
  </si>
  <si>
    <t>03550c:3E&gt;+9A-</t>
  </si>
  <si>
    <t>03593f:CA&gt;+93-</t>
  </si>
  <si>
    <t>03594f:CA&gt;+96-</t>
  </si>
  <si>
    <t>03673e:CA&gt;+9C-</t>
  </si>
  <si>
    <t>03674d:CA&gt;+9A-</t>
  </si>
  <si>
    <t>03694a:CA&gt;+93-</t>
  </si>
  <si>
    <t>03694f:CA&gt;+96-</t>
  </si>
  <si>
    <t>03714b:CA&gt;+9C-</t>
  </si>
  <si>
    <t>03715b:CA&gt;+9A-</t>
  </si>
  <si>
    <t>03749d:CA&gt;+93-</t>
  </si>
  <si>
    <t>03750c:CA&gt;+96-</t>
  </si>
  <si>
    <t>03790a:CA&gt;+9C-</t>
  </si>
  <si>
    <t>03790f:CA&gt;+9A-</t>
  </si>
  <si>
    <t>03810b:CA&gt;+93-</t>
  </si>
  <si>
    <t>03811a:CA&gt;+96-</t>
  </si>
  <si>
    <t>03825c:CA&gt;+A9-</t>
  </si>
  <si>
    <t>03870f:CA&gt;+9C-</t>
  </si>
  <si>
    <t>03871e:CA&gt;+9A-</t>
  </si>
  <si>
    <t>03921c:CA&gt;+93-</t>
  </si>
  <si>
    <t>03922b:CA&gt;+96-</t>
  </si>
  <si>
    <t>03960e:CA&gt;+9C-</t>
  </si>
  <si>
    <t>03961d:CA&gt;+9A-</t>
  </si>
  <si>
    <t>03980f:CA&gt;+93-</t>
  </si>
  <si>
    <t>03981f:CA&gt;+96-</t>
  </si>
  <si>
    <t>04041d:CA&gt;+9C-</t>
  </si>
  <si>
    <t>04042c:CA&gt;+9A-</t>
  </si>
  <si>
    <t>04056c:3E&gt;+9A-</t>
  </si>
  <si>
    <t>04092a:CA&gt;+93-</t>
  </si>
  <si>
    <t>04093a:CA&gt;+96-</t>
  </si>
  <si>
    <t>04132d:CA&gt;+9C-</t>
  </si>
  <si>
    <t>04133c:CA&gt;+9A-</t>
  </si>
  <si>
    <t>04151e:CA&gt;+93-</t>
  </si>
  <si>
    <t>04152e:CA&gt;+96-</t>
  </si>
  <si>
    <t>04212b:CA&gt;+9C-</t>
  </si>
  <si>
    <t>04213b:CA&gt;+9A-</t>
  </si>
  <si>
    <t>04251e:CA&gt;+93-</t>
  </si>
  <si>
    <t>04252d:CA&gt;+96-</t>
  </si>
  <si>
    <t>04292a:CA&gt;+9C-</t>
  </si>
  <si>
    <t>04293a:CA&gt;+9A-</t>
  </si>
  <si>
    <t>04311c:CA&gt;+93-</t>
  </si>
  <si>
    <t>04312b:CA&gt;+96-</t>
  </si>
  <si>
    <t>04372f:CA&gt;+9C-</t>
  </si>
  <si>
    <t>04373f:CA&gt;+9A-</t>
  </si>
  <si>
    <t>04404a:CA&gt;+96-</t>
  </si>
  <si>
    <t>04443e:CA&gt;+9C-</t>
  </si>
  <si>
    <t>04464e:CA&gt;+96-</t>
  </si>
  <si>
    <t>04507b:CA&gt;+A9-</t>
  </si>
  <si>
    <t>04523c:CA&gt;+9C-</t>
  </si>
  <si>
    <t>04524c:CA&gt;+9A-</t>
  </si>
  <si>
    <t>04562c:3E&gt;+9A-</t>
  </si>
  <si>
    <t>04566f:CA&gt;+93-</t>
  </si>
  <si>
    <t>04567f:CA&gt;+96-</t>
  </si>
  <si>
    <t>04607b:CA&gt;+9C-</t>
  </si>
  <si>
    <t>04608b:CA&gt;+9A-</t>
  </si>
  <si>
    <t>04627d:CA&gt;+93-</t>
  </si>
  <si>
    <t>04628d:CA&gt;+96-</t>
  </si>
  <si>
    <t>04688a:CA&gt;+9C-</t>
  </si>
  <si>
    <t>04689a:CA&gt;+9A-</t>
  </si>
  <si>
    <t>05068c:3E&gt;+9A-</t>
  </si>
  <si>
    <t>05189a:CA&gt;+A9-</t>
  </si>
  <si>
    <t>05292b:CA&gt;+93-</t>
  </si>
  <si>
    <t>05293b:CA&gt;+96-</t>
  </si>
  <si>
    <t>05574c:3E&gt;+9A-</t>
  </si>
  <si>
    <t>05871a:CA&gt;+A9-</t>
  </si>
  <si>
    <t>06080c:3E&gt;+9A-</t>
  </si>
  <si>
    <t>06552f:CA&gt;+A9-</t>
  </si>
  <si>
    <t>06586c:3E&gt;+9A-</t>
  </si>
  <si>
    <t>06602c:CA&gt;+AA-</t>
  </si>
  <si>
    <t>06603f:3E&gt;+AC-</t>
  </si>
  <si>
    <t>0xB1</t>
  </si>
  <si>
    <t>0xB2</t>
  </si>
  <si>
    <t>0xB3</t>
  </si>
  <si>
    <t>0xB4</t>
  </si>
  <si>
    <t>0xB5</t>
  </si>
  <si>
    <t>0xB6</t>
  </si>
  <si>
    <t>0xB7</t>
  </si>
  <si>
    <t>0xB8</t>
  </si>
  <si>
    <t>00441d:3E&gt;+9A-</t>
  </si>
  <si>
    <t>00455d:3E&gt;+93-</t>
  </si>
  <si>
    <t>00461e:3E&gt;+96-</t>
  </si>
  <si>
    <t>00495f:3E&gt;+9C-</t>
  </si>
  <si>
    <t>00501f:3E&gt;+9A-</t>
  </si>
  <si>
    <t>00516a:3E&gt;+93-</t>
  </si>
  <si>
    <t>00522a:3E&gt;+96-</t>
  </si>
  <si>
    <t>00536b:3E&gt;+9C-</t>
  </si>
  <si>
    <t>00542b:3E&gt;+9A-</t>
  </si>
  <si>
    <t>00584d:3E&gt;+93-</t>
  </si>
  <si>
    <t>00590e:3E&gt;+96-</t>
  </si>
  <si>
    <t>00604e:3E&gt;+9C-</t>
  </si>
  <si>
    <t>00610f:3E&gt;+9A-</t>
  </si>
  <si>
    <t>01116f:3E&gt;+9A-</t>
  </si>
  <si>
    <t>01120e:CA&gt;+A9-</t>
  </si>
  <si>
    <t>01622f:3E&gt;+9A-</t>
  </si>
  <si>
    <t>01661c:CA&gt;+93-</t>
  </si>
  <si>
    <t>01662c:CA&gt;+96-</t>
  </si>
  <si>
    <t>01682d:CA&gt;+9C-</t>
  </si>
  <si>
    <t>01683d:CA&gt;+9A-</t>
  </si>
  <si>
    <t>01802e:CA&gt;+A9-</t>
  </si>
  <si>
    <t>01811f:CA&gt;+93-</t>
  </si>
  <si>
    <t>01812f:CA&gt;+96-</t>
  </si>
  <si>
    <t>01891e:CA&gt;+9C-</t>
  </si>
  <si>
    <t>01892d:CA&gt;+9A-</t>
  </si>
  <si>
    <t>01911f:CA&gt;+93-</t>
  </si>
  <si>
    <t>01912e:CA&gt;+96-</t>
  </si>
  <si>
    <t>01932b:CA&gt;+9C-</t>
  </si>
  <si>
    <t>01933a:CA&gt;+9A-</t>
  </si>
  <si>
    <t>01962c:CA&gt;+93-</t>
  </si>
  <si>
    <t>01963c:CA&gt;+96-</t>
  </si>
  <si>
    <t>02001f:CA&gt;+9C-</t>
  </si>
  <si>
    <t>02002e:CA&gt;+9A-</t>
  </si>
  <si>
    <t>02221c:00&gt;+63+6C+6B+0F+0C+05+0C+28+00+00+00+00+00+00+00+00+</t>
  </si>
  <si>
    <t>03229a:CF&lt;-</t>
  </si>
  <si>
    <t>04378e:43&lt;+80-</t>
  </si>
  <si>
    <t>04379c:42&gt;+1F-</t>
  </si>
  <si>
    <t>04380b:42&gt;+A3-</t>
  </si>
  <si>
    <t>04380f:3E&gt;+A9-</t>
  </si>
  <si>
    <t>04381d:42&gt;+A9-</t>
  </si>
  <si>
    <t>05061f:3E&gt;+A9-</t>
  </si>
  <si>
    <t>05062e:42&gt;+A9-</t>
  </si>
  <si>
    <t>05612d:3E&gt;+A5-</t>
  </si>
  <si>
    <t>05613b:2A&gt;+</t>
  </si>
  <si>
    <t>05744a:3E&gt;+A9-</t>
  </si>
  <si>
    <t>05744e:42&gt;+A9-</t>
  </si>
  <si>
    <t>06425f:3E&gt;+A9-</t>
  </si>
  <si>
    <t>06426e:42&gt;+A9-</t>
  </si>
  <si>
    <t>07107f:3E&gt;+A9-</t>
  </si>
  <si>
    <t>07108d:42&gt;+A9-</t>
  </si>
  <si>
    <t>07789f:3E&gt;+A9-</t>
  </si>
  <si>
    <t>07790d:42&gt;+A9-</t>
  </si>
  <si>
    <t>08471e:3E&gt;+A9-</t>
  </si>
  <si>
    <t>08472d:42&gt;+A9-</t>
  </si>
  <si>
    <t>09153f:3E&gt;+A9-</t>
  </si>
  <si>
    <t>09154e:42&gt;+A9-</t>
  </si>
  <si>
    <t>09521a:42&gt;+93-</t>
  </si>
  <si>
    <t>09522a:42&gt;+96-</t>
  </si>
  <si>
    <t>09541b:42&gt;+9C-</t>
  </si>
  <si>
    <t>09542b:42&gt;+9A-</t>
  </si>
  <si>
    <t>09580e:42&gt;+93-</t>
  </si>
  <si>
    <t>09581d:42&gt;+96-</t>
  </si>
  <si>
    <t>09600f:42&gt;+9C-</t>
  </si>
  <si>
    <t>09601e:42&gt;+9A-</t>
  </si>
  <si>
    <t>09670d:42&gt;+93-</t>
  </si>
  <si>
    <t>09671d:42&gt;+96-</t>
  </si>
  <si>
    <t>09690e:42&gt;+9C-</t>
  </si>
  <si>
    <t>09691e:42&gt;+9A-</t>
  </si>
  <si>
    <t>09711a:42&gt;+93-</t>
  </si>
  <si>
    <t>09712a:42&gt;+96-</t>
  </si>
  <si>
    <t>09751c:42&gt;+9C-</t>
  </si>
  <si>
    <t>09752c:42&gt;+9A-</t>
  </si>
  <si>
    <t>09770e:42&gt;+93-</t>
  </si>
  <si>
    <t>09771d:42&gt;+96-</t>
  </si>
  <si>
    <t>09791f:42&gt;+9C-</t>
  </si>
  <si>
    <t>09792f:42&gt;+9A-</t>
  </si>
  <si>
    <t>09835e:3E&gt;+A9-</t>
  </si>
  <si>
    <t>09836d:42&gt;+A9-</t>
  </si>
  <si>
    <t>09921e:3E&gt;+93-</t>
  </si>
  <si>
    <t>09922e:3E&gt;+96-</t>
  </si>
  <si>
    <t>09941f:3E&gt;+9C-</t>
  </si>
  <si>
    <t>09942f:3E&gt;+9A-</t>
  </si>
  <si>
    <t>10072b:3E&gt;+93-</t>
  </si>
  <si>
    <t>10073b:3E&gt;+96-</t>
  </si>
  <si>
    <t>10091c:3E&gt;+9C-</t>
  </si>
  <si>
    <t>10092c:3E&gt;+9A-</t>
  </si>
  <si>
    <t>10221e:3E&gt;+93-</t>
  </si>
  <si>
    <t>10222e:3E&gt;+96-</t>
  </si>
  <si>
    <t>10301e:3E&gt;+9C-</t>
  </si>
  <si>
    <t>10302d:3E&gt;+9A-</t>
  </si>
  <si>
    <t>10322f:3E&gt;+93-</t>
  </si>
  <si>
    <t>10323f:3E&gt;+96-</t>
  </si>
  <si>
    <t>10342a:3E&gt;+9C-</t>
  </si>
  <si>
    <t>10342f:3E&gt;+9A-</t>
  </si>
  <si>
    <t>10372c:3E&gt;+93-</t>
  </si>
  <si>
    <t>10373c:3E&gt;+96-</t>
  </si>
  <si>
    <t>10411e:3E&gt;+9C-</t>
  </si>
  <si>
    <t>10412e:3E&gt;+9A-</t>
  </si>
  <si>
    <t>10432a:3E&gt;+93-</t>
  </si>
  <si>
    <t>10433a:3E&gt;+96-</t>
  </si>
  <si>
    <t>10491e:3E&gt;+9C-</t>
  </si>
  <si>
    <t>10492d:3E&gt;+9A-</t>
  </si>
  <si>
    <t>10517e:3E&gt;+A9-</t>
  </si>
  <si>
    <t>10518c:42&gt;+A9-</t>
  </si>
  <si>
    <t>10522f:3E&gt;+93-</t>
  </si>
  <si>
    <t>10523f:3E&gt;+96-</t>
  </si>
  <si>
    <t>10542b:3E&gt;+9C-</t>
  </si>
  <si>
    <t>10543a:3E&gt;+9A-</t>
  </si>
  <si>
    <t>10672c:3E&gt;+93-</t>
  </si>
  <si>
    <t>10673c:3E&gt;+96-</t>
  </si>
  <si>
    <t>10691e:3E&gt;+9C-</t>
  </si>
  <si>
    <t>10692d:3E&gt;+9A-</t>
  </si>
  <si>
    <t>10822f:3E&gt;+93-</t>
  </si>
  <si>
    <t>10823f:3E&gt;+96-</t>
  </si>
  <si>
    <t>10843b:3E&gt;+9A-</t>
  </si>
  <si>
    <t>00049f:3E&gt;+93-</t>
  </si>
  <si>
    <t>00050e:3E&gt;+96-</t>
  </si>
  <si>
    <t>00070a:3E&gt;+9C-</t>
  </si>
  <si>
    <t>00070f:3E&gt;+9A-</t>
  </si>
  <si>
    <t>00200c:3E&gt;+93-</t>
  </si>
  <si>
    <t>00201c:3E&gt;+96-</t>
  </si>
  <si>
    <t>00219e:3E&gt;+9C-</t>
  </si>
  <si>
    <t>00220d:3E&gt;+9A-</t>
  </si>
  <si>
    <t>00277a:3E&gt;+A9-</t>
  </si>
  <si>
    <t>00277f:42&gt;+A9-</t>
  </si>
  <si>
    <t>00349f:3E&gt;+93-</t>
  </si>
  <si>
    <t>00350e:3E&gt;+96-</t>
  </si>
  <si>
    <t>00370b:3E&gt;+9C-</t>
  </si>
  <si>
    <t>00371a:3E&gt;+9A-</t>
  </si>
  <si>
    <t>00500d:3E&gt;+93-</t>
  </si>
  <si>
    <t>00501d:3E&gt;+96-</t>
  </si>
  <si>
    <t>00519d:3E&gt;+9C-</t>
  </si>
  <si>
    <t>00520d:3E&gt;+9A-</t>
  </si>
  <si>
    <t>00649f:3E&gt;+93-</t>
  </si>
  <si>
    <t>00650f:25&lt;-</t>
  </si>
  <si>
    <t>00670a:3E&gt;+9C-</t>
  </si>
  <si>
    <t>00671a:3E&gt;+9A-</t>
  </si>
  <si>
    <t>00690c:3E&gt;+93-</t>
  </si>
  <si>
    <t>00691c:3E&gt;+96-</t>
  </si>
  <si>
    <t>00709d:3E&gt;+9C-</t>
  </si>
  <si>
    <t>00710d:3E&gt;+9A-</t>
  </si>
  <si>
    <t>00749f:3E&gt;+93-</t>
  </si>
  <si>
    <t>00750f:3E&gt;+96-</t>
  </si>
  <si>
    <t>00770a:3E&gt;+9C-</t>
  </si>
  <si>
    <t>00771a:3E&gt;+9A-</t>
  </si>
  <si>
    <t>00800d:3E&gt;+93-</t>
  </si>
  <si>
    <t>00801d:3E&gt;+96-</t>
  </si>
  <si>
    <t>00819e:3E&gt;+9C-</t>
  </si>
  <si>
    <t>00820e:3E&gt;+9A-</t>
  </si>
  <si>
    <t>00951a:3E&gt;+93-</t>
  </si>
  <si>
    <t>00952a:3E&gt;+96-</t>
  </si>
  <si>
    <t>00959a:3E&gt;+A9-</t>
  </si>
  <si>
    <t>00959e:42&gt;+A9-</t>
  </si>
  <si>
    <t>01010e:3E&gt;+9C-</t>
  </si>
  <si>
    <t>01011d:3E&gt;+9A-</t>
  </si>
  <si>
    <t>01051a:3E&gt;+93-</t>
  </si>
  <si>
    <t>01052a:3E&gt;+96-</t>
  </si>
  <si>
    <t>01070c:3E&gt;+9C-</t>
  </si>
  <si>
    <t>01071b:3E&gt;+9A-</t>
  </si>
  <si>
    <t>01100d:3E&gt;+93-</t>
  </si>
  <si>
    <t>01101c:3E&gt;+96-</t>
  </si>
  <si>
    <t>01139f:3E&gt;+9C-</t>
  </si>
  <si>
    <t>01140f:3E&gt;+9A-</t>
  </si>
  <si>
    <t>01160b:3E&gt;+93-</t>
  </si>
  <si>
    <t>01161a:3E&gt;+96-</t>
  </si>
  <si>
    <t>01180c:3E&gt;+9C-</t>
  </si>
  <si>
    <t>01181c:3E&gt;+9A-</t>
  </si>
  <si>
    <t>01200d:3E&gt;+93-</t>
  </si>
  <si>
    <t>01201d:3E&gt;+96-</t>
  </si>
  <si>
    <t>01220e:3E&gt;+9C-</t>
  </si>
  <si>
    <t>01221e:3E&gt;+9A-</t>
  </si>
  <si>
    <t>01251a:3E&gt;+93-</t>
  </si>
  <si>
    <t>01252a:3E&gt;+96-</t>
  </si>
  <si>
    <t>01270c:3E&gt;+9C-</t>
  </si>
  <si>
    <t>01271b:3E&gt;+9A-</t>
  </si>
  <si>
    <t>01400d:3E&gt;+93-</t>
  </si>
  <si>
    <t>01401d:3E&gt;+96-</t>
  </si>
  <si>
    <t>01420e:3E&gt;+9C-</t>
  </si>
  <si>
    <t>01421e:3E&gt;+9A-</t>
  </si>
  <si>
    <t>01551a:3E&gt;+93-</t>
  </si>
  <si>
    <t>01552a:3E&gt;+96-</t>
  </si>
  <si>
    <t>01610e:3E&gt;+9C-</t>
  </si>
  <si>
    <t>01611e:3E&gt;+9A-</t>
  </si>
  <si>
    <t>01631a:3E&gt;+93-</t>
  </si>
  <si>
    <t>01632a:3E&gt;+96-</t>
  </si>
  <si>
    <t>01640f:3E&gt;+A9-</t>
  </si>
  <si>
    <t>01641e:42&gt;+A9-</t>
  </si>
  <si>
    <t>01671c:3E&gt;+9C-</t>
  </si>
  <si>
    <t>01672b:3E&gt;+9A-</t>
  </si>
  <si>
    <t>01701d:3E&gt;+93-</t>
  </si>
  <si>
    <t>01702d:3E&gt;+96-</t>
  </si>
  <si>
    <t>01720f:3E&gt;+9C-</t>
  </si>
  <si>
    <t>01721f:3E&gt;+9A-</t>
  </si>
  <si>
    <t>01741b:3E&gt;+93-</t>
  </si>
  <si>
    <t>01742b:3E&gt;+96-</t>
  </si>
  <si>
    <t>01780d:3E&gt;+9C-</t>
  </si>
  <si>
    <t>01781c:3E&gt;+9A-</t>
  </si>
  <si>
    <t>01801e:3E&gt;+93-</t>
  </si>
  <si>
    <t>01802e:3E&gt;+96-</t>
  </si>
  <si>
    <t>01821a:3E&gt;+9C-</t>
  </si>
  <si>
    <t>01821f:3E&gt;+9A-</t>
  </si>
  <si>
    <t>01851b:3E&gt;+93-</t>
  </si>
  <si>
    <t>01852b:3E&gt;+96-</t>
  </si>
  <si>
    <t>01870d:3E&gt;+9C-</t>
  </si>
  <si>
    <t>01871c:3E&gt;+9A-</t>
  </si>
  <si>
    <t>02322f:2A&gt;+</t>
  </si>
  <si>
    <t>02323e:42&gt;+A9-</t>
  </si>
  <si>
    <t>03005a:3E&gt;+A9-</t>
  </si>
  <si>
    <t>03005e:42&gt;+A9-</t>
  </si>
  <si>
    <t>03100b:42&gt;+93-</t>
  </si>
  <si>
    <t>03101a:42&gt;+96-</t>
  </si>
  <si>
    <t>03120d:42&gt;+9C-</t>
  </si>
  <si>
    <t>03121c:42&gt;+9A-</t>
  </si>
  <si>
    <t>03249e:42&gt;+93-</t>
  </si>
  <si>
    <t>03250d:42&gt;+96-</t>
  </si>
  <si>
    <t>03330d:42&gt;+9C-</t>
  </si>
  <si>
    <t>03331d:42&gt;+9A-</t>
  </si>
  <si>
    <t>03350f:42&gt;+93-</t>
  </si>
  <si>
    <t>03351f:42&gt;+96-</t>
  </si>
  <si>
    <t>03371a:42&gt;+9C-</t>
  </si>
  <si>
    <t>03371f:42&gt;+9A-</t>
  </si>
  <si>
    <t>03400b:42&gt;+93-</t>
  </si>
  <si>
    <t>03401b:42&gt;+96-</t>
  </si>
  <si>
    <t>03439e:42&gt;+9C-</t>
  </si>
  <si>
    <t>03440d:42&gt;+9A-</t>
  </si>
  <si>
    <t>03459f:42&gt;+93-</t>
  </si>
  <si>
    <t>03460e:42&gt;+96-</t>
  </si>
  <si>
    <t>03520d:42&gt;+9C-</t>
  </si>
  <si>
    <t>03521c:42&gt;+9A-</t>
  </si>
  <si>
    <t>03549e:42&gt;+93-</t>
  </si>
  <si>
    <t>03550e:42&gt;+96-</t>
  </si>
  <si>
    <t>03570a:42&gt;+9C-</t>
  </si>
  <si>
    <t>03570f:42&gt;+9A-</t>
  </si>
  <si>
    <t>03610c:42&gt;+93-</t>
  </si>
  <si>
    <t>03611c:42&gt;+96-</t>
  </si>
  <si>
    <t>03630d:42&gt;+9C-</t>
  </si>
  <si>
    <t>03631d:42&gt;+9A-</t>
  </si>
  <si>
    <t>03686f:3E&gt;+A9-</t>
  </si>
  <si>
    <t>03687d:42&gt;+A9-</t>
  </si>
  <si>
    <t>03700c:42&gt;+93-</t>
  </si>
  <si>
    <t>03701c:42&gt;+96-</t>
  </si>
  <si>
    <t>03740e:42&gt;+9C-</t>
  </si>
  <si>
    <t>03741e:42&gt;+9A-</t>
  </si>
  <si>
    <t>03780b:42&gt;+93-</t>
  </si>
  <si>
    <t>03781a:42&gt;+96-</t>
  </si>
  <si>
    <t>03820d:42&gt;+9C-</t>
  </si>
  <si>
    <t>03821c:42&gt;+9A-</t>
  </si>
  <si>
    <t>03849f:42&gt;+93-</t>
  </si>
  <si>
    <t>03850f:42&gt;+96-</t>
  </si>
  <si>
    <t>03949f:42&gt;+9C-</t>
  </si>
  <si>
    <t>03950e:42&gt;+9A-</t>
  </si>
  <si>
    <t>04000c:42&gt;+93-</t>
  </si>
  <si>
    <t>04001b:42&gt;+96-</t>
  </si>
  <si>
    <t>04020d:42&gt;+9C-</t>
  </si>
  <si>
    <t>04021c:42&gt;+9A-</t>
  </si>
  <si>
    <t>04080b:42&gt;+93-</t>
  </si>
  <si>
    <t>04081a:42&gt;+96-</t>
  </si>
  <si>
    <t>04120e:42&gt;+9C-</t>
  </si>
  <si>
    <t>04121d:42&gt;+9A-</t>
  </si>
  <si>
    <t>04149f:42&gt;+93-</t>
  </si>
  <si>
    <t>04150f:42&gt;+96-</t>
  </si>
  <si>
    <t>04230e:42&gt;+9C-</t>
  </si>
  <si>
    <t>04231e:42&gt;+9A-</t>
  </si>
  <si>
    <t>04300d:42&gt;+93-</t>
  </si>
  <si>
    <t>04301c:42&gt;+96-</t>
  </si>
  <si>
    <t>04368f:3E&gt;+A9-</t>
  </si>
  <si>
    <t>04369d:42&gt;+A9-</t>
  </si>
  <si>
    <t>04380c:42&gt;+9C-</t>
  </si>
  <si>
    <t>04381b:42&gt;+9A-</t>
  </si>
  <si>
    <t>04449f:42&gt;+93-</t>
  </si>
  <si>
    <t>04450f:42&gt;+96-</t>
  </si>
  <si>
    <t>04470a:42&gt;+9C-</t>
  </si>
  <si>
    <t>04471a:42&gt;+9A-</t>
  </si>
  <si>
    <t>04509d:42&gt;+93-</t>
  </si>
  <si>
    <t>04510d:42&gt;+96-</t>
  </si>
  <si>
    <t>04549f:42&gt;+9C-</t>
  </si>
  <si>
    <t>04550f:42&gt;+9A-</t>
  </si>
  <si>
    <t>04600d:42&gt;+93-</t>
  </si>
  <si>
    <t>04601c:42&gt;+96-</t>
  </si>
  <si>
    <t>04640a:42&gt;+9C-</t>
  </si>
  <si>
    <t>04640f:42&gt;+9A-</t>
  </si>
  <si>
    <t>04660b:42&gt;+93-</t>
  </si>
  <si>
    <t>04661a:42&gt;+96-</t>
  </si>
  <si>
    <t>04680c:42&gt;+9C-</t>
  </si>
  <si>
    <t>04681b:42&gt;+9A-</t>
  </si>
  <si>
    <t>04700d:42&gt;+93-</t>
  </si>
  <si>
    <t>04701c:42&gt;+96-</t>
  </si>
  <si>
    <t>04720f:42&gt;+9C-</t>
  </si>
  <si>
    <t>04721e:42&gt;+9A-</t>
  </si>
  <si>
    <t>04750a:42&gt;+93-</t>
  </si>
  <si>
    <t>04750f:42&gt;+96-</t>
  </si>
  <si>
    <t>04810d:42&gt;+9C-</t>
  </si>
  <si>
    <t>04811c:42&gt;+9A-</t>
  </si>
  <si>
    <t>04830f:42&gt;+93-</t>
  </si>
  <si>
    <t>04831e:42&gt;+96-</t>
  </si>
  <si>
    <t>04871b:42&gt;+9C-</t>
  </si>
  <si>
    <t>04872a:42&gt;+9A-</t>
  </si>
  <si>
    <t>04900d:42&gt;+93-</t>
  </si>
  <si>
    <t>04901d:42&gt;+96-</t>
  </si>
  <si>
    <t>04920e:42&gt;+9C-</t>
  </si>
  <si>
    <t>04921e:42&gt;+9A-</t>
  </si>
  <si>
    <t>05050a:42&gt;+93-</t>
  </si>
  <si>
    <t>05050f:3E&gt;+A9-</t>
  </si>
  <si>
    <t>05051d:42&gt;+96-</t>
  </si>
  <si>
    <t>05052c:42&gt;+A9-</t>
  </si>
  <si>
    <t>05110e:42&gt;+9C-</t>
  </si>
  <si>
    <t>05111d:42&gt;+9A-</t>
  </si>
  <si>
    <t>05130f:42&gt;+93-</t>
  </si>
  <si>
    <t>05131f:42&gt;+96-</t>
  </si>
  <si>
    <t>05150a:42&gt;+9C-</t>
  </si>
  <si>
    <t>05151a:42&gt;+9A-</t>
  </si>
  <si>
    <t>05200d:42&gt;+93-</t>
  </si>
  <si>
    <t>05201d:42&gt;+96-</t>
  </si>
  <si>
    <t>05220e:42&gt;+9C-</t>
  </si>
  <si>
    <t>05221e:42&gt;+9A-</t>
  </si>
  <si>
    <t>05261b:42&gt;+93-</t>
  </si>
  <si>
    <t>05262b:42&gt;+96-</t>
  </si>
  <si>
    <t>05320f:42&gt;+9C-</t>
  </si>
  <si>
    <t>05321f:42&gt;+9A-</t>
  </si>
  <si>
    <t>05351b:42&gt;+93-</t>
  </si>
  <si>
    <t>05352a:42&gt;+96-</t>
  </si>
  <si>
    <t>05371c:42&gt;+9C-</t>
  </si>
  <si>
    <t>05372b:42&gt;+9A-</t>
  </si>
  <si>
    <t>05410f:42&gt;+93-</t>
  </si>
  <si>
    <t>05411e:42&gt;+96-</t>
  </si>
  <si>
    <t>05451b:42&gt;+9C-</t>
  </si>
  <si>
    <t>05452a:42&gt;+9A-</t>
  </si>
  <si>
    <t>05500e:42&gt;+93-</t>
  </si>
  <si>
    <t>05501d:42&gt;+96-</t>
  </si>
  <si>
    <t>05521f:42&gt;+9C-</t>
  </si>
  <si>
    <t>05522f:42&gt;+9A-</t>
  </si>
  <si>
    <t>05541a:42&gt;+93-</t>
  </si>
  <si>
    <t>05541f:42&gt;+96-</t>
  </si>
  <si>
    <t>05621f:42&gt;+9C-</t>
  </si>
  <si>
    <t>05622f:42&gt;+9A-</t>
  </si>
  <si>
    <t>05651b:42&gt;+93-</t>
  </si>
  <si>
    <t>05652b:42&gt;+96-</t>
  </si>
  <si>
    <t>05710f:42&gt;+9C-</t>
  </si>
  <si>
    <t>05711f:42&gt;+9A-</t>
  </si>
  <si>
    <t>05731a:42&gt;+93-</t>
  </si>
  <si>
    <t>05731f:42&gt;+96-</t>
  </si>
  <si>
    <t>05732f:3E&gt;+A9-</t>
  </si>
  <si>
    <t>05733f:42&gt;+A9-</t>
  </si>
  <si>
    <t>05771c:42&gt;+9C-</t>
  </si>
  <si>
    <t>05772c:42&gt;+9A-</t>
  </si>
  <si>
    <t>05800e:42&gt;+93-</t>
  </si>
  <si>
    <t>05801e:42&gt;+96-</t>
  </si>
  <si>
    <t>05820f:42&gt;+9C-</t>
  </si>
  <si>
    <t>05821f:42&gt;+9A-</t>
  </si>
  <si>
    <t>05841a:42&gt;+93-</t>
  </si>
  <si>
    <t>05842a:42&gt;+96-</t>
  </si>
  <si>
    <t>05881d:42&gt;+9C-</t>
  </si>
  <si>
    <t>05882d:42&gt;+9A-</t>
  </si>
  <si>
    <t>05900e:42&gt;+93-</t>
  </si>
  <si>
    <t>05901d:42&gt;+96-</t>
  </si>
  <si>
    <t>05920f:42&gt;+9C-</t>
  </si>
  <si>
    <t>05921e:42&gt;+9A-</t>
  </si>
  <si>
    <t>05951b:42&gt;+93-</t>
  </si>
  <si>
    <t>05952b:42&gt;+96-</t>
  </si>
  <si>
    <t>05971c:42&gt;+9C-</t>
  </si>
  <si>
    <t>05972c:42&gt;+9A-</t>
  </si>
  <si>
    <t>06414f:3E&gt;+A9-</t>
  </si>
  <si>
    <t>06415f:42&gt;+A9-</t>
  </si>
  <si>
    <t>06770e:42&gt;+93-</t>
  </si>
  <si>
    <t>06771d:42&gt;+96-</t>
  </si>
  <si>
    <t>06850c:42&gt;+9C-</t>
  </si>
  <si>
    <t>06851c:42&gt;+9A-</t>
  </si>
  <si>
    <t>06869d:42&gt;+93-</t>
  </si>
  <si>
    <t>06870c:42&gt;+96-</t>
  </si>
  <si>
    <t>06890e:42&gt;+9C-</t>
  </si>
  <si>
    <t>06891e:42&gt;+9A-</t>
  </si>
  <si>
    <t>07096f:3E&gt;+A9-</t>
  </si>
  <si>
    <t>07097f:42&gt;+A9-</t>
  </si>
  <si>
    <t>07189f:42&gt;+93-</t>
  </si>
  <si>
    <t>07190e:42&gt;+96-</t>
  </si>
  <si>
    <t>07230c:42&gt;+9C-</t>
  </si>
  <si>
    <t>07231b:42&gt;+9A-</t>
  </si>
  <si>
    <t>07249c:42&gt;+93-</t>
  </si>
  <si>
    <t>07250c:42&gt;+96-</t>
  </si>
  <si>
    <t>07310a:42&gt;+9C-</t>
  </si>
  <si>
    <t>07311a:42&gt;+9A-</t>
  </si>
  <si>
    <t>07379f:42&gt;+93-</t>
  </si>
  <si>
    <t>07380e:42&gt;+96-</t>
  </si>
  <si>
    <t>07420b:42&gt;+9C-</t>
  </si>
  <si>
    <t>07421a:42&gt;+9A-</t>
  </si>
  <si>
    <t>07439c:42&gt;+93-</t>
  </si>
  <si>
    <t>07440c:42&gt;+96-</t>
  </si>
  <si>
    <t>07499f:42&gt;+9C-</t>
  </si>
  <si>
    <t>07500f:42&gt;+9A-</t>
  </si>
  <si>
    <t>07539c:42&gt;+93-</t>
  </si>
  <si>
    <t>07540c:42&gt;+96-</t>
  </si>
  <si>
    <t>07579e:42&gt;+9C-</t>
  </si>
  <si>
    <t>07580e:42&gt;+9A-</t>
  </si>
  <si>
    <t>07599a:42&gt;+93-</t>
  </si>
  <si>
    <t>07599f:42&gt;+96-</t>
  </si>
  <si>
    <t>07659e:42&gt;+9C-</t>
  </si>
  <si>
    <t>07660d:42&gt;+9A-</t>
  </si>
  <si>
    <t>07698a:42&gt;+93-</t>
  </si>
  <si>
    <t>07699a:42&gt;+96-</t>
  </si>
  <si>
    <t>07738c:42&gt;+9C-</t>
  </si>
  <si>
    <t>07739c:42&gt;+9A-</t>
  </si>
  <si>
    <t>07757e:42&gt;+93-</t>
  </si>
  <si>
    <t>07758d:42&gt;+96-</t>
  </si>
  <si>
    <t>07778e:3E&gt;+A9-</t>
  </si>
  <si>
    <t>07779e:42&gt;+A9-</t>
  </si>
  <si>
    <t>07818b:42&gt;+9C-</t>
  </si>
  <si>
    <t>07819b:42&gt;+9A-</t>
  </si>
  <si>
    <t>07849d:42&gt;+93-</t>
  </si>
  <si>
    <t>07850d:42&gt;+96-</t>
  </si>
  <si>
    <t>07889a:42&gt;+9C-</t>
  </si>
  <si>
    <t>07889f:42&gt;+9A-</t>
  </si>
  <si>
    <t>07909b:42&gt;+93-</t>
  </si>
  <si>
    <t>07910a:42&gt;+96-</t>
  </si>
  <si>
    <t>07969f:42&gt;+9C-</t>
  </si>
  <si>
    <t>07970e:42&gt;+9A-</t>
  </si>
  <si>
    <t>07999a:42&gt;+93-</t>
  </si>
  <si>
    <t>08000a:42&gt;+96-</t>
  </si>
  <si>
    <t>08039c:42&gt;+9C-</t>
  </si>
  <si>
    <t>08040c:42&gt;+9A-</t>
  </si>
  <si>
    <t>08059e:42&gt;+93-</t>
  </si>
  <si>
    <t>08060e:42&gt;+96-</t>
  </si>
  <si>
    <t>08119c:42&gt;+9C-</t>
  </si>
  <si>
    <t>08120b:42&gt;+9A-</t>
  </si>
  <si>
    <t>08460e:3E&gt;+A9-</t>
  </si>
  <si>
    <t>08461e:42&gt;+A9-</t>
  </si>
  <si>
    <t>08814c:42&gt;+93-</t>
  </si>
  <si>
    <t>08815b:42&gt;+96-</t>
  </si>
  <si>
    <t>09142e:3E&gt;+A9-</t>
  </si>
  <si>
    <t>09143e:42&gt;+A9-</t>
  </si>
  <si>
    <t>09824e:3E&gt;+A9-</t>
  </si>
  <si>
    <t>09825d:42&gt;+A9-</t>
  </si>
  <si>
    <t>10124d:42&gt;+AA-</t>
  </si>
  <si>
    <t>10506e:3E&gt;+A9-</t>
  </si>
  <si>
    <t>00265f:3E&gt;+A9-</t>
  </si>
  <si>
    <t>00948a:2A&gt;+</t>
  </si>
  <si>
    <t>01630a:3E&gt;+A9-</t>
  </si>
  <si>
    <t>02311f:3E&gt;+A9-</t>
  </si>
  <si>
    <t>02565c:3E&gt;+AC-</t>
  </si>
  <si>
    <t>R/W</t>
  </si>
  <si>
    <t>Time (sec)</t>
  </si>
  <si>
    <t>Cmd(dec)</t>
  </si>
  <si>
    <t>Cmd type</t>
  </si>
  <si>
    <t>A to B</t>
  </si>
  <si>
    <t>B to A</t>
  </si>
  <si>
    <t>else</t>
  </si>
  <si>
    <t>Heartbeat</t>
  </si>
  <si>
    <t>ActivateCmd</t>
  </si>
  <si>
    <t>DialAck</t>
  </si>
  <si>
    <t>Dial 0</t>
  </si>
  <si>
    <t>Dial 1</t>
  </si>
  <si>
    <t>Dial 2</t>
  </si>
  <si>
    <t>Dial 3</t>
  </si>
  <si>
    <t>Dial 4</t>
  </si>
  <si>
    <t>Dial 5</t>
  </si>
  <si>
    <t>Dial 6</t>
  </si>
  <si>
    <t>Dial 7</t>
  </si>
  <si>
    <t>Dial 8</t>
  </si>
  <si>
    <t>Dial 9</t>
  </si>
  <si>
    <t>ActivateAck</t>
  </si>
  <si>
    <t>MarkCmd</t>
  </si>
  <si>
    <t>SpaceCmd</t>
  </si>
  <si>
    <t>RepSpaceCmd</t>
  </si>
  <si>
    <t>RepMarkCmd</t>
  </si>
  <si>
    <t>DisconnCmd</t>
  </si>
  <si>
    <t>DisconnAck</t>
  </si>
  <si>
    <t>Data</t>
  </si>
  <si>
    <t>Address(dec)</t>
  </si>
  <si>
    <t>First Ack</t>
  </si>
  <si>
    <t>Timediff (ms)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</si>
</sst>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0" borderId="0" xfId="0" quotePrefix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5" fontId="0" fillId="0" borderId="0" xfId="0" applyNumberFormat="1" applyAlignment="1">
      <alignment horizontal="left"/>
    </xf>
    <xf numFmtId="164" fontId="0" fillId="0" borderId="0" xfId="0" applyNumberFormat="1"/>
    <xf numFmtId="0" fontId="1" fillId="2" borderId="0" xfId="0" applyFont="1" applyFill="1"/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0F0F0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780"/>
  <sheetViews>
    <sheetView tabSelected="1" workbookViewId="0"/>
  </sheetViews>
  <sheetFormatPr baseColWidth="10" defaultRowHeight="15" outlineLevelCol="1" x14ac:dyDescent="0.25"/>
  <cols>
    <col min="1" max="1" width="61.5703125" bestFit="1" customWidth="1"/>
    <col min="2" max="3" width="13.85546875" customWidth="1"/>
    <col min="4" max="4" width="12.7109375" customWidth="1"/>
    <col min="5" max="5" width="13" customWidth="1"/>
    <col min="6" max="6" width="11.42578125" customWidth="1" outlineLevel="1"/>
    <col min="7" max="7" width="41.140625" customWidth="1" outlineLevel="1"/>
    <col min="8" max="9" width="11.42578125" customWidth="1" outlineLevel="1"/>
    <col min="10" max="10" width="17.42578125" customWidth="1" outlineLevel="1"/>
    <col min="11" max="13" width="19.85546875" customWidth="1"/>
  </cols>
  <sheetData>
    <row r="1" spans="1:13" x14ac:dyDescent="0.25">
      <c r="A1" s="7" t="s">
        <v>0</v>
      </c>
      <c r="B1" s="4" t="s">
        <v>1411</v>
      </c>
      <c r="C1" s="4" t="s">
        <v>1440</v>
      </c>
      <c r="D1" s="4" t="s">
        <v>1410</v>
      </c>
      <c r="E1" s="4" t="s">
        <v>1438</v>
      </c>
      <c r="F1" s="4" t="s">
        <v>1439</v>
      </c>
      <c r="G1" s="4" t="s">
        <v>1437</v>
      </c>
      <c r="H1" s="4" t="s">
        <v>5</v>
      </c>
      <c r="I1" s="4" t="s">
        <v>1412</v>
      </c>
      <c r="J1" s="4" t="s">
        <v>1413</v>
      </c>
      <c r="K1" s="4" t="s">
        <v>1414</v>
      </c>
      <c r="L1" s="4" t="s">
        <v>1415</v>
      </c>
      <c r="M1" s="4" t="s">
        <v>1416</v>
      </c>
    </row>
    <row r="2" spans="1:13" x14ac:dyDescent="0.25">
      <c r="A2" t="s">
        <v>1</v>
      </c>
      <c r="K2" s="3">
        <v>33</v>
      </c>
      <c r="L2" s="3">
        <v>31</v>
      </c>
    </row>
    <row r="3" spans="1:13" x14ac:dyDescent="0.25">
      <c r="A3" t="s">
        <v>2</v>
      </c>
    </row>
    <row r="4" spans="1:13" x14ac:dyDescent="0.25">
      <c r="A4" t="s">
        <v>1005</v>
      </c>
      <c r="B4" s="6">
        <f>MID(A4,1,5)/1000+(CODE(MID(A4,6,1))-CODE("a"))/6000</f>
        <v>2.2213333333333334</v>
      </c>
      <c r="C4" s="9">
        <f>(B4-B3+IF(B4&gt;B3,0,11))*1000</f>
        <v>2221.3333333333335</v>
      </c>
      <c r="D4" s="8" t="str">
        <f>IF(MID(A4,10,1)="&lt;","R",IF(MID(A4,10,1)="&gt;","W","?"))</f>
        <v>W</v>
      </c>
      <c r="E4" s="3">
        <f>INT(HEX2DEC(MID(A4,8,2))/2)</f>
        <v>0</v>
      </c>
      <c r="F4" s="3" t="str">
        <f>IF(MID(A4,11,1)="+","ack","NACK")</f>
        <v>ack</v>
      </c>
      <c r="G4" s="3" t="str">
        <f>IF(F4="ack",SUBSTITUTE(MID(A4,12,LEN(A4)-12),"+","  "),"")</f>
        <v>63  6C  6B  0F  0C  05  0C  28  00  00  00  00  00  00  00  00</v>
      </c>
      <c r="H4" s="3" t="str">
        <f>IF(MID(A4,10,2)="&lt;+",MID(A4,12,2),"")</f>
        <v/>
      </c>
      <c r="I4" s="3">
        <f>IF(MID(A4,10,2)="&gt;+",HEX2DEC(MID(A4,12,2)),"")</f>
        <v>99</v>
      </c>
      <c r="J4" s="5" t="str">
        <f>IF(E4=0,"Broadcast",IF(H4="",IF(I4="","",IF(I4&lt;128,"Connect "&amp;I4,INDEX(KdoCodeTab,MATCH(I4,KdoWertTab,0)))),"ReadStat "&amp;H4))</f>
        <v>Broadcast</v>
      </c>
      <c r="K4" t="str">
        <f t="shared" ref="K4" si="0">IF(E4=$K$2,J4,"")</f>
        <v/>
      </c>
      <c r="L4" t="str">
        <f t="shared" ref="L4" si="1">IF(E4=$L$2,J4,"")</f>
        <v/>
      </c>
      <c r="M4" t="str">
        <f>IF(K4&amp;L4="",J4,"")</f>
        <v>Broadcast</v>
      </c>
    </row>
    <row r="5" spans="1:13" x14ac:dyDescent="0.25">
      <c r="A5" t="s">
        <v>1006</v>
      </c>
      <c r="B5" s="6">
        <f t="shared" ref="B5:B68" si="2">MID(A5,1,5)/1000+(CODE(MID(A5,6,1))-CODE("a"))/6000</f>
        <v>3.2290000000000001</v>
      </c>
      <c r="C5" s="9">
        <f t="shared" ref="C5:C68" si="3">(B5-B4+IF(B5&gt;B4,0,11))*1000</f>
        <v>1007.6666666666667</v>
      </c>
      <c r="D5" s="8" t="str">
        <f t="shared" ref="D5:D68" si="4">IF(MID(A5,10,1)="&lt;","R",IF(MID(A5,10,1)="&gt;","W","?"))</f>
        <v>R</v>
      </c>
      <c r="E5" s="3">
        <f t="shared" ref="E5:E68" si="5">INT(HEX2DEC(MID(A5,8,2))/2)</f>
        <v>103</v>
      </c>
      <c r="F5" s="3" t="str">
        <f t="shared" ref="F5:F68" si="6">IF(MID(A5,11,1)="+","ack","NACK")</f>
        <v>NACK</v>
      </c>
      <c r="G5" s="3" t="str">
        <f t="shared" ref="G5:G68" si="7">IF(F5="ack",SUBSTITUTE(MID(A5,12,LEN(A5)-12),"+","  "),"")</f>
        <v/>
      </c>
      <c r="H5" s="3" t="str">
        <f t="shared" ref="H5:H68" si="8">IF(MID(A5,10,2)="&lt;+",MID(A5,12,2),"")</f>
        <v/>
      </c>
      <c r="I5" s="3" t="str">
        <f t="shared" ref="I5:I68" si="9">IF(MID(A5,10,2)="&gt;+",HEX2DEC(MID(A5,12,2)),"")</f>
        <v/>
      </c>
      <c r="J5" s="5" t="str">
        <f>IF(E5=0,"Broadcast",IF(H5="",IF(I5="","",IF(I5&lt;128,"Connect "&amp;I5,INDEX(KdoCodeTab,MATCH(I5,KdoWertTab,0)))),"ReadStat "&amp;H5))</f>
        <v/>
      </c>
      <c r="K5" t="str">
        <f t="shared" ref="K5:K68" si="10">IF(E5=$K$2,J5,"")</f>
        <v/>
      </c>
      <c r="L5" t="str">
        <f t="shared" ref="L5:L68" si="11">IF(E5=$L$2,J5,"")</f>
        <v/>
      </c>
      <c r="M5" t="str">
        <f t="shared" ref="M5:M68" si="12">IF(K5&amp;L5="",J5,"")</f>
        <v/>
      </c>
    </row>
    <row r="6" spans="1:13" x14ac:dyDescent="0.25">
      <c r="A6" t="s">
        <v>1007</v>
      </c>
      <c r="B6" s="6">
        <f t="shared" si="2"/>
        <v>4.3786666666666667</v>
      </c>
      <c r="C6" s="9">
        <f t="shared" si="3"/>
        <v>1149.6666666666665</v>
      </c>
      <c r="D6" s="8" t="str">
        <f t="shared" si="4"/>
        <v>R</v>
      </c>
      <c r="E6" s="3">
        <f t="shared" si="5"/>
        <v>33</v>
      </c>
      <c r="F6" s="3" t="str">
        <f t="shared" si="6"/>
        <v>ack</v>
      </c>
      <c r="G6" s="3" t="str">
        <f t="shared" si="7"/>
        <v>80</v>
      </c>
      <c r="H6" s="3" t="str">
        <f t="shared" si="8"/>
        <v>80</v>
      </c>
      <c r="I6" s="3" t="str">
        <f t="shared" si="9"/>
        <v/>
      </c>
      <c r="J6" s="5" t="str">
        <f>IF(E6=0,"Broadcast",IF(H6="",IF(I6="","",IF(I6&lt;128,"Connect "&amp;I6,INDEX(KdoCodeTab,MATCH(I6,KdoWertTab,0)))),"ReadStat "&amp;H6))</f>
        <v>ReadStat 80</v>
      </c>
      <c r="K6" t="str">
        <f t="shared" si="10"/>
        <v>ReadStat 80</v>
      </c>
      <c r="L6" t="str">
        <f t="shared" si="11"/>
        <v/>
      </c>
      <c r="M6" t="str">
        <f t="shared" si="12"/>
        <v/>
      </c>
    </row>
    <row r="7" spans="1:13" x14ac:dyDescent="0.25">
      <c r="A7" t="s">
        <v>1008</v>
      </c>
      <c r="B7" s="6">
        <f t="shared" si="2"/>
        <v>4.3793333333333333</v>
      </c>
      <c r="C7" s="9">
        <f t="shared" si="3"/>
        <v>0.66666666666659324</v>
      </c>
      <c r="D7" s="8" t="str">
        <f t="shared" si="4"/>
        <v>W</v>
      </c>
      <c r="E7" s="3">
        <f t="shared" si="5"/>
        <v>33</v>
      </c>
      <c r="F7" s="3" t="str">
        <f t="shared" si="6"/>
        <v>ack</v>
      </c>
      <c r="G7" s="3" t="str">
        <f t="shared" si="7"/>
        <v>1F</v>
      </c>
      <c r="H7" s="3" t="str">
        <f t="shared" si="8"/>
        <v/>
      </c>
      <c r="I7" s="3">
        <f t="shared" si="9"/>
        <v>31</v>
      </c>
      <c r="J7" s="5" t="str">
        <f>IF(E7=0,"Broadcast",IF(H7="",IF(I7="","",IF(I7&lt;128,"Connect "&amp;I7,INDEX(KdoCodeTab,MATCH(I7,KdoWertTab,0)))),"ReadStat "&amp;H7))</f>
        <v>Connect 31</v>
      </c>
      <c r="K7" t="str">
        <f t="shared" si="10"/>
        <v>Connect 31</v>
      </c>
      <c r="L7" t="str">
        <f t="shared" si="11"/>
        <v/>
      </c>
      <c r="M7" t="str">
        <f t="shared" si="12"/>
        <v/>
      </c>
    </row>
    <row r="8" spans="1:13" x14ac:dyDescent="0.25">
      <c r="A8" t="s">
        <v>1009</v>
      </c>
      <c r="B8" s="6">
        <f t="shared" si="2"/>
        <v>4.3801666666666668</v>
      </c>
      <c r="C8" s="9">
        <f t="shared" si="3"/>
        <v>0.8333333333334636</v>
      </c>
      <c r="D8" s="8" t="str">
        <f t="shared" si="4"/>
        <v>W</v>
      </c>
      <c r="E8" s="3">
        <f t="shared" si="5"/>
        <v>33</v>
      </c>
      <c r="F8" s="3" t="str">
        <f t="shared" si="6"/>
        <v>ack</v>
      </c>
      <c r="G8" s="3" t="str">
        <f t="shared" si="7"/>
        <v>A3</v>
      </c>
      <c r="H8" s="3" t="str">
        <f t="shared" si="8"/>
        <v/>
      </c>
      <c r="I8" s="3">
        <f t="shared" si="9"/>
        <v>163</v>
      </c>
      <c r="J8" s="5" t="str">
        <f>IF(E8=0,"Broadcast",IF(H8="",IF(I8="","",IF(I8&lt;128,"Connect "&amp;I8,INDEX(KdoCodeTab,MATCH(I8,KdoWertTab,0)))),"ReadStat "&amp;H8))</f>
        <v>ActivateCmd</v>
      </c>
      <c r="K8" t="str">
        <f t="shared" si="10"/>
        <v>ActivateCmd</v>
      </c>
      <c r="L8" t="str">
        <f t="shared" si="11"/>
        <v/>
      </c>
      <c r="M8" t="str">
        <f t="shared" si="12"/>
        <v/>
      </c>
    </row>
    <row r="9" spans="1:13" x14ac:dyDescent="0.25">
      <c r="A9" t="s">
        <v>1010</v>
      </c>
      <c r="B9" s="6">
        <f t="shared" si="2"/>
        <v>4.3808333333333334</v>
      </c>
      <c r="C9" s="9">
        <f t="shared" si="3"/>
        <v>0.66666666666659324</v>
      </c>
      <c r="D9" s="8" t="str">
        <f t="shared" si="4"/>
        <v>W</v>
      </c>
      <c r="E9" s="3">
        <f t="shared" si="5"/>
        <v>31</v>
      </c>
      <c r="F9" s="3" t="str">
        <f t="shared" si="6"/>
        <v>ack</v>
      </c>
      <c r="G9" s="3" t="str">
        <f t="shared" si="7"/>
        <v>A9</v>
      </c>
      <c r="H9" s="3" t="str">
        <f t="shared" si="8"/>
        <v/>
      </c>
      <c r="I9" s="3">
        <f t="shared" si="9"/>
        <v>169</v>
      </c>
      <c r="J9" s="5" t="str">
        <f>IF(E9=0,"Broadcast",IF(H9="",IF(I9="","",IF(I9&lt;128,"Connect "&amp;I9,INDEX(KdoCodeTab,MATCH(I9,KdoWertTab,0)))),"ReadStat "&amp;H9))</f>
        <v>Heartbeat</v>
      </c>
      <c r="K9" t="str">
        <f t="shared" si="10"/>
        <v/>
      </c>
      <c r="L9" t="str">
        <f t="shared" si="11"/>
        <v>Heartbeat</v>
      </c>
      <c r="M9" t="str">
        <f t="shared" si="12"/>
        <v/>
      </c>
    </row>
    <row r="10" spans="1:13" x14ac:dyDescent="0.25">
      <c r="A10" t="s">
        <v>1011</v>
      </c>
      <c r="B10" s="6">
        <f t="shared" si="2"/>
        <v>4.3815</v>
      </c>
      <c r="C10" s="9">
        <f t="shared" si="3"/>
        <v>0.66666666666659324</v>
      </c>
      <c r="D10" s="8" t="str">
        <f t="shared" si="4"/>
        <v>W</v>
      </c>
      <c r="E10" s="3">
        <f t="shared" si="5"/>
        <v>33</v>
      </c>
      <c r="F10" s="3" t="str">
        <f t="shared" si="6"/>
        <v>ack</v>
      </c>
      <c r="G10" s="3" t="str">
        <f t="shared" si="7"/>
        <v>A9</v>
      </c>
      <c r="H10" s="3" t="str">
        <f t="shared" si="8"/>
        <v/>
      </c>
      <c r="I10" s="3">
        <f t="shared" si="9"/>
        <v>169</v>
      </c>
      <c r="J10" s="5" t="str">
        <f>IF(E10=0,"Broadcast",IF(H10="",IF(I10="","",IF(I10&lt;128,"Connect "&amp;I10,INDEX(KdoCodeTab,MATCH(I10,KdoWertTab,0)))),"ReadStat "&amp;H10))</f>
        <v>Heartbeat</v>
      </c>
      <c r="K10" t="str">
        <f t="shared" si="10"/>
        <v>Heartbeat</v>
      </c>
      <c r="L10" t="str">
        <f t="shared" si="11"/>
        <v/>
      </c>
      <c r="M10" t="str">
        <f t="shared" si="12"/>
        <v/>
      </c>
    </row>
    <row r="11" spans="1:13" x14ac:dyDescent="0.25">
      <c r="A11" t="s">
        <v>1012</v>
      </c>
      <c r="B11" s="6">
        <f t="shared" si="2"/>
        <v>5.0618333333333334</v>
      </c>
      <c r="C11" s="9">
        <f t="shared" si="3"/>
        <v>680.33333333333348</v>
      </c>
      <c r="D11" s="8" t="str">
        <f t="shared" si="4"/>
        <v>W</v>
      </c>
      <c r="E11" s="3">
        <f t="shared" si="5"/>
        <v>31</v>
      </c>
      <c r="F11" s="3" t="str">
        <f t="shared" si="6"/>
        <v>ack</v>
      </c>
      <c r="G11" s="3" t="str">
        <f t="shared" si="7"/>
        <v>A9</v>
      </c>
      <c r="H11" s="3" t="str">
        <f t="shared" si="8"/>
        <v/>
      </c>
      <c r="I11" s="3">
        <f t="shared" si="9"/>
        <v>169</v>
      </c>
      <c r="J11" s="5" t="str">
        <f>IF(E11=0,"Broadcast",IF(H11="",IF(I11="","",IF(I11&lt;128,"Connect "&amp;I11,INDEX(KdoCodeTab,MATCH(I11,KdoWertTab,0)))),"ReadStat "&amp;H11))</f>
        <v>Heartbeat</v>
      </c>
      <c r="K11" t="str">
        <f t="shared" si="10"/>
        <v/>
      </c>
      <c r="L11" t="str">
        <f t="shared" si="11"/>
        <v>Heartbeat</v>
      </c>
      <c r="M11" t="str">
        <f t="shared" si="12"/>
        <v/>
      </c>
    </row>
    <row r="12" spans="1:13" x14ac:dyDescent="0.25">
      <c r="A12" t="s">
        <v>1013</v>
      </c>
      <c r="B12" s="6">
        <f t="shared" si="2"/>
        <v>5.0626666666666669</v>
      </c>
      <c r="C12" s="9">
        <f t="shared" si="3"/>
        <v>0.8333333333334636</v>
      </c>
      <c r="D12" s="8" t="str">
        <f t="shared" si="4"/>
        <v>W</v>
      </c>
      <c r="E12" s="3">
        <f t="shared" si="5"/>
        <v>33</v>
      </c>
      <c r="F12" s="3" t="str">
        <f t="shared" si="6"/>
        <v>ack</v>
      </c>
      <c r="G12" s="3" t="str">
        <f t="shared" si="7"/>
        <v>A9</v>
      </c>
      <c r="H12" s="3" t="str">
        <f t="shared" si="8"/>
        <v/>
      </c>
      <c r="I12" s="3">
        <f t="shared" si="9"/>
        <v>169</v>
      </c>
      <c r="J12" s="5" t="str">
        <f>IF(E12=0,"Broadcast",IF(H12="",IF(I12="","",IF(I12&lt;128,"Connect "&amp;I12,INDEX(KdoCodeTab,MATCH(I12,KdoWertTab,0)))),"ReadStat "&amp;H12))</f>
        <v>Heartbeat</v>
      </c>
      <c r="K12" t="str">
        <f t="shared" si="10"/>
        <v>Heartbeat</v>
      </c>
      <c r="L12" t="str">
        <f t="shared" si="11"/>
        <v/>
      </c>
      <c r="M12" t="str">
        <f t="shared" si="12"/>
        <v/>
      </c>
    </row>
    <row r="13" spans="1:13" x14ac:dyDescent="0.25">
      <c r="A13" t="s">
        <v>1014</v>
      </c>
      <c r="B13" s="6">
        <f t="shared" si="2"/>
        <v>5.6124999999999998</v>
      </c>
      <c r="C13" s="9">
        <f t="shared" si="3"/>
        <v>549.83333333333292</v>
      </c>
      <c r="D13" s="8" t="str">
        <f t="shared" si="4"/>
        <v>W</v>
      </c>
      <c r="E13" s="3">
        <f t="shared" si="5"/>
        <v>31</v>
      </c>
      <c r="F13" s="3" t="str">
        <f t="shared" si="6"/>
        <v>ack</v>
      </c>
      <c r="G13" s="3" t="str">
        <f t="shared" si="7"/>
        <v>A5</v>
      </c>
      <c r="H13" s="3" t="str">
        <f t="shared" si="8"/>
        <v/>
      </c>
      <c r="I13" s="3">
        <f t="shared" si="9"/>
        <v>165</v>
      </c>
      <c r="J13" s="5" t="str">
        <f>IF(E13=0,"Broadcast",IF(H13="",IF(I13="","",IF(I13&lt;128,"Connect "&amp;I13,INDEX(KdoCodeTab,MATCH(I13,KdoWertTab,0)))),"ReadStat "&amp;H13))</f>
        <v>ActivateAck</v>
      </c>
      <c r="K13" t="str">
        <f t="shared" si="10"/>
        <v/>
      </c>
      <c r="L13" t="str">
        <f t="shared" si="11"/>
        <v>ActivateAck</v>
      </c>
      <c r="M13" t="str">
        <f t="shared" si="12"/>
        <v/>
      </c>
    </row>
    <row r="14" spans="1:13" x14ac:dyDescent="0.25">
      <c r="A14" t="s">
        <v>1015</v>
      </c>
      <c r="B14" s="6">
        <f t="shared" si="2"/>
        <v>5.6131666666666673</v>
      </c>
      <c r="C14" s="9">
        <f t="shared" si="3"/>
        <v>0.66666666666748142</v>
      </c>
      <c r="D14" s="8" t="str">
        <f t="shared" si="4"/>
        <v>W</v>
      </c>
      <c r="E14" s="3">
        <f t="shared" si="5"/>
        <v>21</v>
      </c>
      <c r="F14" s="3" t="str">
        <f t="shared" si="6"/>
        <v>ack</v>
      </c>
      <c r="G14" s="3" t="e">
        <f t="shared" si="7"/>
        <v>#VALUE!</v>
      </c>
      <c r="H14" s="3" t="str">
        <f t="shared" si="8"/>
        <v/>
      </c>
      <c r="I14" s="3">
        <f t="shared" si="9"/>
        <v>0</v>
      </c>
      <c r="J14" s="5" t="str">
        <f>IF(E14=0,"Broadcast",IF(H14="",IF(I14="","",IF(I14&lt;128,"Connect "&amp;I14,INDEX(KdoCodeTab,MATCH(I14,KdoWertTab,0)))),"ReadStat "&amp;H14))</f>
        <v>Connect 0</v>
      </c>
      <c r="K14" t="str">
        <f t="shared" si="10"/>
        <v/>
      </c>
      <c r="L14" t="str">
        <f t="shared" si="11"/>
        <v/>
      </c>
      <c r="M14" t="str">
        <f t="shared" si="12"/>
        <v>Connect 0</v>
      </c>
    </row>
    <row r="15" spans="1:13" x14ac:dyDescent="0.25">
      <c r="A15" t="s">
        <v>1016</v>
      </c>
      <c r="B15" s="6">
        <f t="shared" si="2"/>
        <v>5.7439999999999998</v>
      </c>
      <c r="C15" s="9">
        <f t="shared" si="3"/>
        <v>130.83333333333246</v>
      </c>
      <c r="D15" s="8" t="str">
        <f t="shared" si="4"/>
        <v>W</v>
      </c>
      <c r="E15" s="3">
        <f t="shared" si="5"/>
        <v>31</v>
      </c>
      <c r="F15" s="3" t="str">
        <f t="shared" si="6"/>
        <v>ack</v>
      </c>
      <c r="G15" s="3" t="str">
        <f t="shared" si="7"/>
        <v>A9</v>
      </c>
      <c r="H15" s="3" t="str">
        <f t="shared" si="8"/>
        <v/>
      </c>
      <c r="I15" s="3">
        <f t="shared" si="9"/>
        <v>169</v>
      </c>
      <c r="J15" s="5" t="str">
        <f>IF(E15=0,"Broadcast",IF(H15="",IF(I15="","",IF(I15&lt;128,"Connect "&amp;I15,INDEX(KdoCodeTab,MATCH(I15,KdoWertTab,0)))),"ReadStat "&amp;H15))</f>
        <v>Heartbeat</v>
      </c>
      <c r="K15" t="str">
        <f t="shared" si="10"/>
        <v/>
      </c>
      <c r="L15" t="str">
        <f t="shared" si="11"/>
        <v>Heartbeat</v>
      </c>
      <c r="M15" t="str">
        <f t="shared" si="12"/>
        <v/>
      </c>
    </row>
    <row r="16" spans="1:13" x14ac:dyDescent="0.25">
      <c r="A16" t="s">
        <v>1017</v>
      </c>
      <c r="B16" s="6">
        <f t="shared" si="2"/>
        <v>5.7446666666666664</v>
      </c>
      <c r="C16" s="9">
        <f t="shared" si="3"/>
        <v>0.66666666666659324</v>
      </c>
      <c r="D16" s="8" t="str">
        <f t="shared" si="4"/>
        <v>W</v>
      </c>
      <c r="E16" s="3">
        <f t="shared" si="5"/>
        <v>33</v>
      </c>
      <c r="F16" s="3" t="str">
        <f t="shared" si="6"/>
        <v>ack</v>
      </c>
      <c r="G16" s="3" t="str">
        <f t="shared" si="7"/>
        <v>A9</v>
      </c>
      <c r="H16" s="3" t="str">
        <f t="shared" si="8"/>
        <v/>
      </c>
      <c r="I16" s="3">
        <f t="shared" si="9"/>
        <v>169</v>
      </c>
      <c r="J16" s="5" t="str">
        <f>IF(E16=0,"Broadcast",IF(H16="",IF(I16="","",IF(I16&lt;128,"Connect "&amp;I16,INDEX(KdoCodeTab,MATCH(I16,KdoWertTab,0)))),"ReadStat "&amp;H16))</f>
        <v>Heartbeat</v>
      </c>
      <c r="K16" t="str">
        <f t="shared" si="10"/>
        <v>Heartbeat</v>
      </c>
      <c r="L16" t="str">
        <f t="shared" si="11"/>
        <v/>
      </c>
      <c r="M16" t="str">
        <f t="shared" si="12"/>
        <v/>
      </c>
    </row>
    <row r="17" spans="1:13" x14ac:dyDescent="0.25">
      <c r="A17" t="s">
        <v>1018</v>
      </c>
      <c r="B17" s="6">
        <f t="shared" si="2"/>
        <v>6.4258333333333333</v>
      </c>
      <c r="C17" s="9">
        <f t="shared" si="3"/>
        <v>681.16666666666697</v>
      </c>
      <c r="D17" s="8" t="str">
        <f t="shared" si="4"/>
        <v>W</v>
      </c>
      <c r="E17" s="3">
        <f t="shared" si="5"/>
        <v>31</v>
      </c>
      <c r="F17" s="3" t="str">
        <f t="shared" si="6"/>
        <v>ack</v>
      </c>
      <c r="G17" s="3" t="str">
        <f t="shared" si="7"/>
        <v>A9</v>
      </c>
      <c r="H17" s="3" t="str">
        <f t="shared" si="8"/>
        <v/>
      </c>
      <c r="I17" s="3">
        <f t="shared" si="9"/>
        <v>169</v>
      </c>
      <c r="J17" s="5" t="str">
        <f>IF(E17=0,"Broadcast",IF(H17="",IF(I17="","",IF(I17&lt;128,"Connect "&amp;I17,INDEX(KdoCodeTab,MATCH(I17,KdoWertTab,0)))),"ReadStat "&amp;H17))</f>
        <v>Heartbeat</v>
      </c>
      <c r="K17" t="str">
        <f t="shared" si="10"/>
        <v/>
      </c>
      <c r="L17" t="str">
        <f t="shared" si="11"/>
        <v>Heartbeat</v>
      </c>
      <c r="M17" t="str">
        <f t="shared" si="12"/>
        <v/>
      </c>
    </row>
    <row r="18" spans="1:13" x14ac:dyDescent="0.25">
      <c r="A18" t="s">
        <v>1019</v>
      </c>
      <c r="B18" s="6">
        <f t="shared" si="2"/>
        <v>6.4266666666666667</v>
      </c>
      <c r="C18" s="9">
        <f t="shared" si="3"/>
        <v>0.8333333333334636</v>
      </c>
      <c r="D18" s="8" t="str">
        <f t="shared" si="4"/>
        <v>W</v>
      </c>
      <c r="E18" s="3">
        <f t="shared" si="5"/>
        <v>33</v>
      </c>
      <c r="F18" s="3" t="str">
        <f t="shared" si="6"/>
        <v>ack</v>
      </c>
      <c r="G18" s="3" t="str">
        <f t="shared" si="7"/>
        <v>A9</v>
      </c>
      <c r="H18" s="3" t="str">
        <f t="shared" si="8"/>
        <v/>
      </c>
      <c r="I18" s="3">
        <f t="shared" si="9"/>
        <v>169</v>
      </c>
      <c r="J18" s="5" t="str">
        <f>IF(E18=0,"Broadcast",IF(H18="",IF(I18="","",IF(I18&lt;128,"Connect "&amp;I18,INDEX(KdoCodeTab,MATCH(I18,KdoWertTab,0)))),"ReadStat "&amp;H18))</f>
        <v>Heartbeat</v>
      </c>
      <c r="K18" t="str">
        <f t="shared" si="10"/>
        <v>Heartbeat</v>
      </c>
      <c r="L18" t="str">
        <f t="shared" si="11"/>
        <v/>
      </c>
      <c r="M18" t="str">
        <f t="shared" si="12"/>
        <v/>
      </c>
    </row>
    <row r="19" spans="1:13" x14ac:dyDescent="0.25">
      <c r="A19" t="s">
        <v>1020</v>
      </c>
      <c r="B19" s="6">
        <f t="shared" si="2"/>
        <v>7.1078333333333337</v>
      </c>
      <c r="C19" s="9">
        <f t="shared" si="3"/>
        <v>681.16666666666697</v>
      </c>
      <c r="D19" s="8" t="str">
        <f t="shared" si="4"/>
        <v>W</v>
      </c>
      <c r="E19" s="3">
        <f t="shared" si="5"/>
        <v>31</v>
      </c>
      <c r="F19" s="3" t="str">
        <f t="shared" si="6"/>
        <v>ack</v>
      </c>
      <c r="G19" s="3" t="str">
        <f t="shared" si="7"/>
        <v>A9</v>
      </c>
      <c r="H19" s="3" t="str">
        <f t="shared" si="8"/>
        <v/>
      </c>
      <c r="I19" s="3">
        <f t="shared" si="9"/>
        <v>169</v>
      </c>
      <c r="J19" s="5" t="str">
        <f>IF(E19=0,"Broadcast",IF(H19="",IF(I19="","",IF(I19&lt;128,"Connect "&amp;I19,INDEX(KdoCodeTab,MATCH(I19,KdoWertTab,0)))),"ReadStat "&amp;H19))</f>
        <v>Heartbeat</v>
      </c>
      <c r="K19" t="str">
        <f t="shared" si="10"/>
        <v/>
      </c>
      <c r="L19" t="str">
        <f t="shared" si="11"/>
        <v>Heartbeat</v>
      </c>
      <c r="M19" t="str">
        <f t="shared" si="12"/>
        <v/>
      </c>
    </row>
    <row r="20" spans="1:13" x14ac:dyDescent="0.25">
      <c r="A20" t="s">
        <v>1021</v>
      </c>
      <c r="B20" s="6">
        <f t="shared" si="2"/>
        <v>7.1084999999999994</v>
      </c>
      <c r="C20" s="9">
        <f t="shared" si="3"/>
        <v>0.66666666666570507</v>
      </c>
      <c r="D20" s="8" t="str">
        <f t="shared" si="4"/>
        <v>W</v>
      </c>
      <c r="E20" s="3">
        <f t="shared" si="5"/>
        <v>33</v>
      </c>
      <c r="F20" s="3" t="str">
        <f t="shared" si="6"/>
        <v>ack</v>
      </c>
      <c r="G20" s="3" t="str">
        <f t="shared" si="7"/>
        <v>A9</v>
      </c>
      <c r="H20" s="3" t="str">
        <f t="shared" si="8"/>
        <v/>
      </c>
      <c r="I20" s="3">
        <f t="shared" si="9"/>
        <v>169</v>
      </c>
      <c r="J20" s="5" t="str">
        <f>IF(E20=0,"Broadcast",IF(H20="",IF(I20="","",IF(I20&lt;128,"Connect "&amp;I20,INDEX(KdoCodeTab,MATCH(I20,KdoWertTab,0)))),"ReadStat "&amp;H20))</f>
        <v>Heartbeat</v>
      </c>
      <c r="K20" t="str">
        <f t="shared" si="10"/>
        <v>Heartbeat</v>
      </c>
      <c r="L20" t="str">
        <f t="shared" si="11"/>
        <v/>
      </c>
      <c r="M20" t="str">
        <f t="shared" si="12"/>
        <v/>
      </c>
    </row>
    <row r="21" spans="1:13" x14ac:dyDescent="0.25">
      <c r="A21" t="s">
        <v>1022</v>
      </c>
      <c r="B21" s="6">
        <f t="shared" si="2"/>
        <v>7.7898333333333332</v>
      </c>
      <c r="C21" s="9">
        <f t="shared" si="3"/>
        <v>681.33333333333383</v>
      </c>
      <c r="D21" s="8" t="str">
        <f t="shared" si="4"/>
        <v>W</v>
      </c>
      <c r="E21" s="3">
        <f t="shared" si="5"/>
        <v>31</v>
      </c>
      <c r="F21" s="3" t="str">
        <f t="shared" si="6"/>
        <v>ack</v>
      </c>
      <c r="G21" s="3" t="str">
        <f t="shared" si="7"/>
        <v>A9</v>
      </c>
      <c r="H21" s="3" t="str">
        <f t="shared" si="8"/>
        <v/>
      </c>
      <c r="I21" s="3">
        <f t="shared" si="9"/>
        <v>169</v>
      </c>
      <c r="J21" s="5" t="str">
        <f>IF(E21=0,"Broadcast",IF(H21="",IF(I21="","",IF(I21&lt;128,"Connect "&amp;I21,INDEX(KdoCodeTab,MATCH(I21,KdoWertTab,0)))),"ReadStat "&amp;H21))</f>
        <v>Heartbeat</v>
      </c>
      <c r="K21" t="str">
        <f t="shared" si="10"/>
        <v/>
      </c>
      <c r="L21" t="str">
        <f t="shared" si="11"/>
        <v>Heartbeat</v>
      </c>
      <c r="M21" t="str">
        <f t="shared" si="12"/>
        <v/>
      </c>
    </row>
    <row r="22" spans="1:13" x14ac:dyDescent="0.25">
      <c r="A22" t="s">
        <v>1023</v>
      </c>
      <c r="B22" s="6">
        <f t="shared" si="2"/>
        <v>7.7904999999999998</v>
      </c>
      <c r="C22" s="9">
        <f t="shared" si="3"/>
        <v>0.66666666666659324</v>
      </c>
      <c r="D22" s="8" t="str">
        <f t="shared" si="4"/>
        <v>W</v>
      </c>
      <c r="E22" s="3">
        <f t="shared" si="5"/>
        <v>33</v>
      </c>
      <c r="F22" s="3" t="str">
        <f t="shared" si="6"/>
        <v>ack</v>
      </c>
      <c r="G22" s="3" t="str">
        <f t="shared" si="7"/>
        <v>A9</v>
      </c>
      <c r="H22" s="3" t="str">
        <f t="shared" si="8"/>
        <v/>
      </c>
      <c r="I22" s="3">
        <f t="shared" si="9"/>
        <v>169</v>
      </c>
      <c r="J22" s="5" t="str">
        <f>IF(E22=0,"Broadcast",IF(H22="",IF(I22="","",IF(I22&lt;128,"Connect "&amp;I22,INDEX(KdoCodeTab,MATCH(I22,KdoWertTab,0)))),"ReadStat "&amp;H22))</f>
        <v>Heartbeat</v>
      </c>
      <c r="K22" t="str">
        <f t="shared" si="10"/>
        <v>Heartbeat</v>
      </c>
      <c r="L22" t="str">
        <f t="shared" si="11"/>
        <v/>
      </c>
      <c r="M22" t="str">
        <f t="shared" si="12"/>
        <v/>
      </c>
    </row>
    <row r="23" spans="1:13" x14ac:dyDescent="0.25">
      <c r="A23" t="s">
        <v>1024</v>
      </c>
      <c r="B23" s="6">
        <f t="shared" si="2"/>
        <v>8.4716666666666676</v>
      </c>
      <c r="C23" s="9">
        <f t="shared" si="3"/>
        <v>681.16666666666777</v>
      </c>
      <c r="D23" s="8" t="str">
        <f t="shared" si="4"/>
        <v>W</v>
      </c>
      <c r="E23" s="3">
        <f t="shared" si="5"/>
        <v>31</v>
      </c>
      <c r="F23" s="3" t="str">
        <f t="shared" si="6"/>
        <v>ack</v>
      </c>
      <c r="G23" s="3" t="str">
        <f t="shared" si="7"/>
        <v>A9</v>
      </c>
      <c r="H23" s="3" t="str">
        <f t="shared" si="8"/>
        <v/>
      </c>
      <c r="I23" s="3">
        <f t="shared" si="9"/>
        <v>169</v>
      </c>
      <c r="J23" s="5" t="str">
        <f>IF(E23=0,"Broadcast",IF(H23="",IF(I23="","",IF(I23&lt;128,"Connect "&amp;I23,INDEX(KdoCodeTab,MATCH(I23,KdoWertTab,0)))),"ReadStat "&amp;H23))</f>
        <v>Heartbeat</v>
      </c>
      <c r="K23" t="str">
        <f t="shared" si="10"/>
        <v/>
      </c>
      <c r="L23" t="str">
        <f t="shared" si="11"/>
        <v>Heartbeat</v>
      </c>
      <c r="M23" t="str">
        <f t="shared" si="12"/>
        <v/>
      </c>
    </row>
    <row r="24" spans="1:13" x14ac:dyDescent="0.25">
      <c r="A24" t="s">
        <v>1025</v>
      </c>
      <c r="B24" s="6">
        <f t="shared" si="2"/>
        <v>8.4725000000000001</v>
      </c>
      <c r="C24" s="9">
        <f t="shared" si="3"/>
        <v>0.83333333333257542</v>
      </c>
      <c r="D24" s="8" t="str">
        <f t="shared" si="4"/>
        <v>W</v>
      </c>
      <c r="E24" s="3">
        <f t="shared" si="5"/>
        <v>33</v>
      </c>
      <c r="F24" s="3" t="str">
        <f t="shared" si="6"/>
        <v>ack</v>
      </c>
      <c r="G24" s="3" t="str">
        <f t="shared" si="7"/>
        <v>A9</v>
      </c>
      <c r="H24" s="3" t="str">
        <f t="shared" si="8"/>
        <v/>
      </c>
      <c r="I24" s="3">
        <f t="shared" si="9"/>
        <v>169</v>
      </c>
      <c r="J24" s="5" t="str">
        <f>IF(E24=0,"Broadcast",IF(H24="",IF(I24="","",IF(I24&lt;128,"Connect "&amp;I24,INDEX(KdoCodeTab,MATCH(I24,KdoWertTab,0)))),"ReadStat "&amp;H24))</f>
        <v>Heartbeat</v>
      </c>
      <c r="K24" t="str">
        <f t="shared" si="10"/>
        <v>Heartbeat</v>
      </c>
      <c r="L24" t="str">
        <f t="shared" si="11"/>
        <v/>
      </c>
      <c r="M24" t="str">
        <f t="shared" si="12"/>
        <v/>
      </c>
    </row>
    <row r="25" spans="1:13" x14ac:dyDescent="0.25">
      <c r="A25" t="s">
        <v>1026</v>
      </c>
      <c r="B25" s="6">
        <f t="shared" si="2"/>
        <v>9.153833333333333</v>
      </c>
      <c r="C25" s="9">
        <f t="shared" si="3"/>
        <v>681.33333333333292</v>
      </c>
      <c r="D25" s="8" t="str">
        <f t="shared" si="4"/>
        <v>W</v>
      </c>
      <c r="E25" s="3">
        <f t="shared" si="5"/>
        <v>31</v>
      </c>
      <c r="F25" s="3" t="str">
        <f t="shared" si="6"/>
        <v>ack</v>
      </c>
      <c r="G25" s="3" t="str">
        <f t="shared" si="7"/>
        <v>A9</v>
      </c>
      <c r="H25" s="3" t="str">
        <f t="shared" si="8"/>
        <v/>
      </c>
      <c r="I25" s="3">
        <f t="shared" si="9"/>
        <v>169</v>
      </c>
      <c r="J25" s="5" t="str">
        <f>IF(E25=0,"Broadcast",IF(H25="",IF(I25="","",IF(I25&lt;128,"Connect "&amp;I25,INDEX(KdoCodeTab,MATCH(I25,KdoWertTab,0)))),"ReadStat "&amp;H25))</f>
        <v>Heartbeat</v>
      </c>
      <c r="K25" t="str">
        <f t="shared" si="10"/>
        <v/>
      </c>
      <c r="L25" t="str">
        <f t="shared" si="11"/>
        <v>Heartbeat</v>
      </c>
      <c r="M25" t="str">
        <f t="shared" si="12"/>
        <v/>
      </c>
    </row>
    <row r="26" spans="1:13" x14ac:dyDescent="0.25">
      <c r="A26" t="s">
        <v>1027</v>
      </c>
      <c r="B26" s="6">
        <f t="shared" si="2"/>
        <v>9.1546666666666674</v>
      </c>
      <c r="C26" s="9">
        <f t="shared" si="3"/>
        <v>0.83333333333435178</v>
      </c>
      <c r="D26" s="8" t="str">
        <f t="shared" si="4"/>
        <v>W</v>
      </c>
      <c r="E26" s="3">
        <f t="shared" si="5"/>
        <v>33</v>
      </c>
      <c r="F26" s="3" t="str">
        <f t="shared" si="6"/>
        <v>ack</v>
      </c>
      <c r="G26" s="3" t="str">
        <f t="shared" si="7"/>
        <v>A9</v>
      </c>
      <c r="H26" s="3" t="str">
        <f t="shared" si="8"/>
        <v/>
      </c>
      <c r="I26" s="3">
        <f t="shared" si="9"/>
        <v>169</v>
      </c>
      <c r="J26" s="5" t="str">
        <f>IF(E26=0,"Broadcast",IF(H26="",IF(I26="","",IF(I26&lt;128,"Connect "&amp;I26,INDEX(KdoCodeTab,MATCH(I26,KdoWertTab,0)))),"ReadStat "&amp;H26))</f>
        <v>Heartbeat</v>
      </c>
      <c r="K26" t="str">
        <f t="shared" si="10"/>
        <v>Heartbeat</v>
      </c>
      <c r="L26" t="str">
        <f t="shared" si="11"/>
        <v/>
      </c>
      <c r="M26" t="str">
        <f t="shared" si="12"/>
        <v/>
      </c>
    </row>
    <row r="27" spans="1:13" x14ac:dyDescent="0.25">
      <c r="A27" t="s">
        <v>1028</v>
      </c>
      <c r="B27" s="6">
        <f t="shared" si="2"/>
        <v>9.5210000000000008</v>
      </c>
      <c r="C27" s="9">
        <f t="shared" si="3"/>
        <v>366.33333333333337</v>
      </c>
      <c r="D27" s="8" t="str">
        <f t="shared" si="4"/>
        <v>W</v>
      </c>
      <c r="E27" s="3">
        <f t="shared" si="5"/>
        <v>33</v>
      </c>
      <c r="F27" s="3" t="str">
        <f t="shared" si="6"/>
        <v>ack</v>
      </c>
      <c r="G27" s="3" t="str">
        <f t="shared" si="7"/>
        <v>93</v>
      </c>
      <c r="H27" s="3" t="str">
        <f t="shared" si="8"/>
        <v/>
      </c>
      <c r="I27" s="3">
        <f t="shared" si="9"/>
        <v>147</v>
      </c>
      <c r="J27" s="5" t="str">
        <f>IF(E27=0,"Broadcast",IF(H27="",IF(I27="","",IF(I27&lt;128,"Connect "&amp;I27,INDEX(KdoCodeTab,MATCH(I27,KdoWertTab,0)))),"ReadStat "&amp;H27))</f>
        <v>SpaceCmd</v>
      </c>
      <c r="K27" t="str">
        <f t="shared" si="10"/>
        <v>SpaceCmd</v>
      </c>
      <c r="L27" t="str">
        <f t="shared" si="11"/>
        <v/>
      </c>
      <c r="M27" t="str">
        <f t="shared" si="12"/>
        <v/>
      </c>
    </row>
    <row r="28" spans="1:13" x14ac:dyDescent="0.25">
      <c r="A28" t="s">
        <v>1029</v>
      </c>
      <c r="B28" s="6">
        <f t="shared" si="2"/>
        <v>9.5220000000000002</v>
      </c>
      <c r="C28" s="9">
        <f t="shared" si="3"/>
        <v>0.99999999999944578</v>
      </c>
      <c r="D28" s="8" t="str">
        <f t="shared" si="4"/>
        <v>W</v>
      </c>
      <c r="E28" s="3">
        <f t="shared" si="5"/>
        <v>33</v>
      </c>
      <c r="F28" s="3" t="str">
        <f t="shared" si="6"/>
        <v>ack</v>
      </c>
      <c r="G28" s="3" t="str">
        <f t="shared" si="7"/>
        <v>96</v>
      </c>
      <c r="H28" s="3" t="str">
        <f t="shared" si="8"/>
        <v/>
      </c>
      <c r="I28" s="3">
        <f t="shared" si="9"/>
        <v>150</v>
      </c>
      <c r="J28" s="5" t="str">
        <f>IF(E28=0,"Broadcast",IF(H28="",IF(I28="","",IF(I28&lt;128,"Connect "&amp;I28,INDEX(KdoCodeTab,MATCH(I28,KdoWertTab,0)))),"ReadStat "&amp;H28))</f>
        <v>RepSpaceCmd</v>
      </c>
      <c r="K28" t="str">
        <f t="shared" si="10"/>
        <v>RepSpaceCmd</v>
      </c>
      <c r="L28" t="str">
        <f t="shared" si="11"/>
        <v/>
      </c>
      <c r="M28" t="str">
        <f t="shared" si="12"/>
        <v/>
      </c>
    </row>
    <row r="29" spans="1:13" x14ac:dyDescent="0.25">
      <c r="A29" t="s">
        <v>1030</v>
      </c>
      <c r="B29" s="6">
        <f t="shared" si="2"/>
        <v>9.5411666666666672</v>
      </c>
      <c r="C29" s="9">
        <f t="shared" si="3"/>
        <v>19.166666666666998</v>
      </c>
      <c r="D29" s="8" t="str">
        <f t="shared" si="4"/>
        <v>W</v>
      </c>
      <c r="E29" s="3">
        <f t="shared" si="5"/>
        <v>33</v>
      </c>
      <c r="F29" s="3" t="str">
        <f t="shared" si="6"/>
        <v>ack</v>
      </c>
      <c r="G29" s="3" t="str">
        <f t="shared" si="7"/>
        <v>9C</v>
      </c>
      <c r="H29" s="3" t="str">
        <f t="shared" si="8"/>
        <v/>
      </c>
      <c r="I29" s="3">
        <f t="shared" si="9"/>
        <v>156</v>
      </c>
      <c r="J29" s="5" t="str">
        <f>IF(E29=0,"Broadcast",IF(H29="",IF(I29="","",IF(I29&lt;128,"Connect "&amp;I29,INDEX(KdoCodeTab,MATCH(I29,KdoWertTab,0)))),"ReadStat "&amp;H29))</f>
        <v>MarkCmd</v>
      </c>
      <c r="K29" t="str">
        <f t="shared" si="10"/>
        <v>MarkCmd</v>
      </c>
      <c r="L29" t="str">
        <f t="shared" si="11"/>
        <v/>
      </c>
      <c r="M29" t="str">
        <f t="shared" si="12"/>
        <v/>
      </c>
    </row>
    <row r="30" spans="1:13" x14ac:dyDescent="0.25">
      <c r="A30" t="s">
        <v>1031</v>
      </c>
      <c r="B30" s="6">
        <f t="shared" si="2"/>
        <v>9.5421666666666667</v>
      </c>
      <c r="C30" s="9">
        <f t="shared" si="3"/>
        <v>0.99999999999944578</v>
      </c>
      <c r="D30" s="8" t="str">
        <f t="shared" si="4"/>
        <v>W</v>
      </c>
      <c r="E30" s="3">
        <f t="shared" si="5"/>
        <v>33</v>
      </c>
      <c r="F30" s="3" t="str">
        <f t="shared" si="6"/>
        <v>ack</v>
      </c>
      <c r="G30" s="3" t="str">
        <f t="shared" si="7"/>
        <v>9A</v>
      </c>
      <c r="H30" s="3" t="str">
        <f t="shared" si="8"/>
        <v/>
      </c>
      <c r="I30" s="3">
        <f t="shared" si="9"/>
        <v>154</v>
      </c>
      <c r="J30" s="5" t="str">
        <f>IF(E30=0,"Broadcast",IF(H30="",IF(I30="","",IF(I30&lt;128,"Connect "&amp;I30,INDEX(KdoCodeTab,MATCH(I30,KdoWertTab,0)))),"ReadStat "&amp;H30))</f>
        <v>RepMarkCmd</v>
      </c>
      <c r="K30" t="str">
        <f t="shared" si="10"/>
        <v>RepMarkCmd</v>
      </c>
      <c r="L30" t="str">
        <f t="shared" si="11"/>
        <v/>
      </c>
      <c r="M30" t="str">
        <f t="shared" si="12"/>
        <v/>
      </c>
    </row>
    <row r="31" spans="1:13" x14ac:dyDescent="0.25">
      <c r="A31" t="s">
        <v>1032</v>
      </c>
      <c r="B31" s="6">
        <f t="shared" si="2"/>
        <v>9.5806666666666676</v>
      </c>
      <c r="C31" s="9">
        <f t="shared" si="3"/>
        <v>38.500000000000867</v>
      </c>
      <c r="D31" s="8" t="str">
        <f t="shared" si="4"/>
        <v>W</v>
      </c>
      <c r="E31" s="3">
        <f t="shared" si="5"/>
        <v>33</v>
      </c>
      <c r="F31" s="3" t="str">
        <f t="shared" si="6"/>
        <v>ack</v>
      </c>
      <c r="G31" s="3" t="str">
        <f t="shared" si="7"/>
        <v>93</v>
      </c>
      <c r="H31" s="3" t="str">
        <f t="shared" si="8"/>
        <v/>
      </c>
      <c r="I31" s="3">
        <f t="shared" si="9"/>
        <v>147</v>
      </c>
      <c r="J31" s="5" t="str">
        <f>IF(E31=0,"Broadcast",IF(H31="",IF(I31="","",IF(I31&lt;128,"Connect "&amp;I31,INDEX(KdoCodeTab,MATCH(I31,KdoWertTab,0)))),"ReadStat "&amp;H31))</f>
        <v>SpaceCmd</v>
      </c>
      <c r="K31" t="str">
        <f t="shared" si="10"/>
        <v>SpaceCmd</v>
      </c>
      <c r="L31" t="str">
        <f t="shared" si="11"/>
        <v/>
      </c>
      <c r="M31" t="str">
        <f t="shared" si="12"/>
        <v/>
      </c>
    </row>
    <row r="32" spans="1:13" x14ac:dyDescent="0.25">
      <c r="A32" t="s">
        <v>1033</v>
      </c>
      <c r="B32" s="6">
        <f t="shared" si="2"/>
        <v>9.5815000000000001</v>
      </c>
      <c r="C32" s="9">
        <f t="shared" si="3"/>
        <v>0.83333333333257542</v>
      </c>
      <c r="D32" s="8" t="str">
        <f t="shared" si="4"/>
        <v>W</v>
      </c>
      <c r="E32" s="3">
        <f t="shared" si="5"/>
        <v>33</v>
      </c>
      <c r="F32" s="3" t="str">
        <f t="shared" si="6"/>
        <v>ack</v>
      </c>
      <c r="G32" s="3" t="str">
        <f t="shared" si="7"/>
        <v>96</v>
      </c>
      <c r="H32" s="3" t="str">
        <f t="shared" si="8"/>
        <v/>
      </c>
      <c r="I32" s="3">
        <f t="shared" si="9"/>
        <v>150</v>
      </c>
      <c r="J32" s="5" t="str">
        <f>IF(E32=0,"Broadcast",IF(H32="",IF(I32="","",IF(I32&lt;128,"Connect "&amp;I32,INDEX(KdoCodeTab,MATCH(I32,KdoWertTab,0)))),"ReadStat "&amp;H32))</f>
        <v>RepSpaceCmd</v>
      </c>
      <c r="K32" t="str">
        <f t="shared" si="10"/>
        <v>RepSpaceCmd</v>
      </c>
      <c r="L32" t="str">
        <f t="shared" si="11"/>
        <v/>
      </c>
      <c r="M32" t="str">
        <f t="shared" si="12"/>
        <v/>
      </c>
    </row>
    <row r="33" spans="1:13" x14ac:dyDescent="0.25">
      <c r="A33" t="s">
        <v>1034</v>
      </c>
      <c r="B33" s="6">
        <f t="shared" si="2"/>
        <v>9.6008333333333322</v>
      </c>
      <c r="C33" s="9">
        <f t="shared" si="3"/>
        <v>19.333333333332092</v>
      </c>
      <c r="D33" s="8" t="str">
        <f t="shared" si="4"/>
        <v>W</v>
      </c>
      <c r="E33" s="3">
        <f t="shared" si="5"/>
        <v>33</v>
      </c>
      <c r="F33" s="3" t="str">
        <f t="shared" si="6"/>
        <v>ack</v>
      </c>
      <c r="G33" s="3" t="str">
        <f t="shared" si="7"/>
        <v>9C</v>
      </c>
      <c r="H33" s="3" t="str">
        <f t="shared" si="8"/>
        <v/>
      </c>
      <c r="I33" s="3">
        <f t="shared" si="9"/>
        <v>156</v>
      </c>
      <c r="J33" s="5" t="str">
        <f>IF(E33=0,"Broadcast",IF(H33="",IF(I33="","",IF(I33&lt;128,"Connect "&amp;I33,INDEX(KdoCodeTab,MATCH(I33,KdoWertTab,0)))),"ReadStat "&amp;H33))</f>
        <v>MarkCmd</v>
      </c>
      <c r="K33" t="str">
        <f t="shared" si="10"/>
        <v>MarkCmd</v>
      </c>
      <c r="L33" t="str">
        <f t="shared" si="11"/>
        <v/>
      </c>
      <c r="M33" t="str">
        <f t="shared" si="12"/>
        <v/>
      </c>
    </row>
    <row r="34" spans="1:13" x14ac:dyDescent="0.25">
      <c r="A34" t="s">
        <v>1035</v>
      </c>
      <c r="B34" s="6">
        <f t="shared" si="2"/>
        <v>9.6016666666666683</v>
      </c>
      <c r="C34" s="9">
        <f t="shared" si="3"/>
        <v>0.83333333333612813</v>
      </c>
      <c r="D34" s="8" t="str">
        <f t="shared" si="4"/>
        <v>W</v>
      </c>
      <c r="E34" s="3">
        <f t="shared" si="5"/>
        <v>33</v>
      </c>
      <c r="F34" s="3" t="str">
        <f t="shared" si="6"/>
        <v>ack</v>
      </c>
      <c r="G34" s="3" t="str">
        <f t="shared" si="7"/>
        <v>9A</v>
      </c>
      <c r="H34" s="3" t="str">
        <f t="shared" si="8"/>
        <v/>
      </c>
      <c r="I34" s="3">
        <f t="shared" si="9"/>
        <v>154</v>
      </c>
      <c r="J34" s="5" t="str">
        <f>IF(E34=0,"Broadcast",IF(H34="",IF(I34="","",IF(I34&lt;128,"Connect "&amp;I34,INDEX(KdoCodeTab,MATCH(I34,KdoWertTab,0)))),"ReadStat "&amp;H34))</f>
        <v>RepMarkCmd</v>
      </c>
      <c r="K34" t="str">
        <f t="shared" si="10"/>
        <v>RepMarkCmd</v>
      </c>
      <c r="L34" t="str">
        <f t="shared" si="11"/>
        <v/>
      </c>
      <c r="M34" t="str">
        <f t="shared" si="12"/>
        <v/>
      </c>
    </row>
    <row r="35" spans="1:13" x14ac:dyDescent="0.25">
      <c r="A35" t="s">
        <v>1036</v>
      </c>
      <c r="B35" s="6">
        <f t="shared" si="2"/>
        <v>9.6705000000000005</v>
      </c>
      <c r="C35" s="9">
        <f t="shared" si="3"/>
        <v>68.833333333332192</v>
      </c>
      <c r="D35" s="8" t="str">
        <f t="shared" si="4"/>
        <v>W</v>
      </c>
      <c r="E35" s="3">
        <f t="shared" si="5"/>
        <v>33</v>
      </c>
      <c r="F35" s="3" t="str">
        <f t="shared" si="6"/>
        <v>ack</v>
      </c>
      <c r="G35" s="3" t="str">
        <f t="shared" si="7"/>
        <v>93</v>
      </c>
      <c r="H35" s="3" t="str">
        <f t="shared" si="8"/>
        <v/>
      </c>
      <c r="I35" s="3">
        <f t="shared" si="9"/>
        <v>147</v>
      </c>
      <c r="J35" s="5" t="str">
        <f>IF(E35=0,"Broadcast",IF(H35="",IF(I35="","",IF(I35&lt;128,"Connect "&amp;I35,INDEX(KdoCodeTab,MATCH(I35,KdoWertTab,0)))),"ReadStat "&amp;H35))</f>
        <v>SpaceCmd</v>
      </c>
      <c r="K35" t="str">
        <f t="shared" si="10"/>
        <v>SpaceCmd</v>
      </c>
      <c r="L35" t="str">
        <f t="shared" si="11"/>
        <v/>
      </c>
      <c r="M35" t="str">
        <f t="shared" si="12"/>
        <v/>
      </c>
    </row>
    <row r="36" spans="1:13" x14ac:dyDescent="0.25">
      <c r="A36" t="s">
        <v>1037</v>
      </c>
      <c r="B36" s="6">
        <f t="shared" si="2"/>
        <v>9.6715</v>
      </c>
      <c r="C36" s="9">
        <f t="shared" si="3"/>
        <v>0.99999999999944578</v>
      </c>
      <c r="D36" s="8" t="str">
        <f t="shared" si="4"/>
        <v>W</v>
      </c>
      <c r="E36" s="3">
        <f t="shared" si="5"/>
        <v>33</v>
      </c>
      <c r="F36" s="3" t="str">
        <f t="shared" si="6"/>
        <v>ack</v>
      </c>
      <c r="G36" s="3" t="str">
        <f t="shared" si="7"/>
        <v>96</v>
      </c>
      <c r="H36" s="3" t="str">
        <f t="shared" si="8"/>
        <v/>
      </c>
      <c r="I36" s="3">
        <f t="shared" si="9"/>
        <v>150</v>
      </c>
      <c r="J36" s="5" t="str">
        <f>IF(E36=0,"Broadcast",IF(H36="",IF(I36="","",IF(I36&lt;128,"Connect "&amp;I36,INDEX(KdoCodeTab,MATCH(I36,KdoWertTab,0)))),"ReadStat "&amp;H36))</f>
        <v>RepSpaceCmd</v>
      </c>
      <c r="K36" t="str">
        <f t="shared" si="10"/>
        <v>RepSpaceCmd</v>
      </c>
      <c r="L36" t="str">
        <f t="shared" si="11"/>
        <v/>
      </c>
      <c r="M36" t="str">
        <f t="shared" si="12"/>
        <v/>
      </c>
    </row>
    <row r="37" spans="1:13" x14ac:dyDescent="0.25">
      <c r="A37" t="s">
        <v>1038</v>
      </c>
      <c r="B37" s="6">
        <f t="shared" si="2"/>
        <v>9.690666666666667</v>
      </c>
      <c r="C37" s="9">
        <f t="shared" si="3"/>
        <v>19.166666666666998</v>
      </c>
      <c r="D37" s="8" t="str">
        <f t="shared" si="4"/>
        <v>W</v>
      </c>
      <c r="E37" s="3">
        <f t="shared" si="5"/>
        <v>33</v>
      </c>
      <c r="F37" s="3" t="str">
        <f t="shared" si="6"/>
        <v>ack</v>
      </c>
      <c r="G37" s="3" t="str">
        <f t="shared" si="7"/>
        <v>9C</v>
      </c>
      <c r="H37" s="3" t="str">
        <f t="shared" si="8"/>
        <v/>
      </c>
      <c r="I37" s="3">
        <f t="shared" si="9"/>
        <v>156</v>
      </c>
      <c r="J37" s="5" t="str">
        <f>IF(E37=0,"Broadcast",IF(H37="",IF(I37="","",IF(I37&lt;128,"Connect "&amp;I37,INDEX(KdoCodeTab,MATCH(I37,KdoWertTab,0)))),"ReadStat "&amp;H37))</f>
        <v>MarkCmd</v>
      </c>
      <c r="K37" t="str">
        <f t="shared" si="10"/>
        <v>MarkCmd</v>
      </c>
      <c r="L37" t="str">
        <f t="shared" si="11"/>
        <v/>
      </c>
      <c r="M37" t="str">
        <f t="shared" si="12"/>
        <v/>
      </c>
    </row>
    <row r="38" spans="1:13" x14ac:dyDescent="0.25">
      <c r="A38" t="s">
        <v>1039</v>
      </c>
      <c r="B38" s="6">
        <f t="shared" si="2"/>
        <v>9.6916666666666682</v>
      </c>
      <c r="C38" s="9">
        <f t="shared" si="3"/>
        <v>1.0000000000012221</v>
      </c>
      <c r="D38" s="8" t="str">
        <f t="shared" si="4"/>
        <v>W</v>
      </c>
      <c r="E38" s="3">
        <f t="shared" si="5"/>
        <v>33</v>
      </c>
      <c r="F38" s="3" t="str">
        <f t="shared" si="6"/>
        <v>ack</v>
      </c>
      <c r="G38" s="3" t="str">
        <f t="shared" si="7"/>
        <v>9A</v>
      </c>
      <c r="H38" s="3" t="str">
        <f t="shared" si="8"/>
        <v/>
      </c>
      <c r="I38" s="3">
        <f t="shared" si="9"/>
        <v>154</v>
      </c>
      <c r="J38" s="5" t="str">
        <f>IF(E38=0,"Broadcast",IF(H38="",IF(I38="","",IF(I38&lt;128,"Connect "&amp;I38,INDEX(KdoCodeTab,MATCH(I38,KdoWertTab,0)))),"ReadStat "&amp;H38))</f>
        <v>RepMarkCmd</v>
      </c>
      <c r="K38" t="str">
        <f t="shared" si="10"/>
        <v>RepMarkCmd</v>
      </c>
      <c r="L38" t="str">
        <f t="shared" si="11"/>
        <v/>
      </c>
      <c r="M38" t="str">
        <f t="shared" si="12"/>
        <v/>
      </c>
    </row>
    <row r="39" spans="1:13" x14ac:dyDescent="0.25">
      <c r="A39" t="s">
        <v>1040</v>
      </c>
      <c r="B39" s="6">
        <f t="shared" si="2"/>
        <v>9.7110000000000003</v>
      </c>
      <c r="C39" s="9">
        <f t="shared" si="3"/>
        <v>19.333333333332092</v>
      </c>
      <c r="D39" s="8" t="str">
        <f t="shared" si="4"/>
        <v>W</v>
      </c>
      <c r="E39" s="3">
        <f t="shared" si="5"/>
        <v>33</v>
      </c>
      <c r="F39" s="3" t="str">
        <f t="shared" si="6"/>
        <v>ack</v>
      </c>
      <c r="G39" s="3" t="str">
        <f t="shared" si="7"/>
        <v>93</v>
      </c>
      <c r="H39" s="3" t="str">
        <f t="shared" si="8"/>
        <v/>
      </c>
      <c r="I39" s="3">
        <f t="shared" si="9"/>
        <v>147</v>
      </c>
      <c r="J39" s="5" t="str">
        <f>IF(E39=0,"Broadcast",IF(H39="",IF(I39="","",IF(I39&lt;128,"Connect "&amp;I39,INDEX(KdoCodeTab,MATCH(I39,KdoWertTab,0)))),"ReadStat "&amp;H39))</f>
        <v>SpaceCmd</v>
      </c>
      <c r="K39" t="str">
        <f t="shared" si="10"/>
        <v>SpaceCmd</v>
      </c>
      <c r="L39" t="str">
        <f t="shared" si="11"/>
        <v/>
      </c>
      <c r="M39" t="str">
        <f t="shared" si="12"/>
        <v/>
      </c>
    </row>
    <row r="40" spans="1:13" x14ac:dyDescent="0.25">
      <c r="A40" t="s">
        <v>1041</v>
      </c>
      <c r="B40" s="6">
        <f t="shared" si="2"/>
        <v>9.7119999999999997</v>
      </c>
      <c r="C40" s="9">
        <f t="shared" si="3"/>
        <v>0.99999999999944578</v>
      </c>
      <c r="D40" s="8" t="str">
        <f t="shared" si="4"/>
        <v>W</v>
      </c>
      <c r="E40" s="3">
        <f t="shared" si="5"/>
        <v>33</v>
      </c>
      <c r="F40" s="3" t="str">
        <f t="shared" si="6"/>
        <v>ack</v>
      </c>
      <c r="G40" s="3" t="str">
        <f t="shared" si="7"/>
        <v>96</v>
      </c>
      <c r="H40" s="3" t="str">
        <f t="shared" si="8"/>
        <v/>
      </c>
      <c r="I40" s="3">
        <f t="shared" si="9"/>
        <v>150</v>
      </c>
      <c r="J40" s="5" t="str">
        <f>IF(E40=0,"Broadcast",IF(H40="",IF(I40="","",IF(I40&lt;128,"Connect "&amp;I40,INDEX(KdoCodeTab,MATCH(I40,KdoWertTab,0)))),"ReadStat "&amp;H40))</f>
        <v>RepSpaceCmd</v>
      </c>
      <c r="K40" t="str">
        <f t="shared" si="10"/>
        <v>RepSpaceCmd</v>
      </c>
      <c r="L40" t="str">
        <f t="shared" si="11"/>
        <v/>
      </c>
      <c r="M40" t="str">
        <f t="shared" si="12"/>
        <v/>
      </c>
    </row>
    <row r="41" spans="1:13" x14ac:dyDescent="0.25">
      <c r="A41" t="s">
        <v>1042</v>
      </c>
      <c r="B41" s="6">
        <f t="shared" si="2"/>
        <v>9.7513333333333332</v>
      </c>
      <c r="C41" s="9">
        <f t="shared" si="3"/>
        <v>39.333333333333442</v>
      </c>
      <c r="D41" s="8" t="str">
        <f t="shared" si="4"/>
        <v>W</v>
      </c>
      <c r="E41" s="3">
        <f t="shared" si="5"/>
        <v>33</v>
      </c>
      <c r="F41" s="3" t="str">
        <f t="shared" si="6"/>
        <v>ack</v>
      </c>
      <c r="G41" s="3" t="str">
        <f t="shared" si="7"/>
        <v>9C</v>
      </c>
      <c r="H41" s="3" t="str">
        <f t="shared" si="8"/>
        <v/>
      </c>
      <c r="I41" s="3">
        <f t="shared" si="9"/>
        <v>156</v>
      </c>
      <c r="J41" s="5" t="str">
        <f>IF(E41=0,"Broadcast",IF(H41="",IF(I41="","",IF(I41&lt;128,"Connect "&amp;I41,INDEX(KdoCodeTab,MATCH(I41,KdoWertTab,0)))),"ReadStat "&amp;H41))</f>
        <v>MarkCmd</v>
      </c>
      <c r="K41" t="str">
        <f t="shared" si="10"/>
        <v>MarkCmd</v>
      </c>
      <c r="L41" t="str">
        <f t="shared" si="11"/>
        <v/>
      </c>
      <c r="M41" t="str">
        <f t="shared" si="12"/>
        <v/>
      </c>
    </row>
    <row r="42" spans="1:13" x14ac:dyDescent="0.25">
      <c r="A42" t="s">
        <v>1043</v>
      </c>
      <c r="B42" s="6">
        <f t="shared" si="2"/>
        <v>9.7523333333333344</v>
      </c>
      <c r="C42" s="9">
        <f t="shared" si="3"/>
        <v>1.0000000000012221</v>
      </c>
      <c r="D42" s="8" t="str">
        <f t="shared" si="4"/>
        <v>W</v>
      </c>
      <c r="E42" s="3">
        <f t="shared" si="5"/>
        <v>33</v>
      </c>
      <c r="F42" s="3" t="str">
        <f t="shared" si="6"/>
        <v>ack</v>
      </c>
      <c r="G42" s="3" t="str">
        <f t="shared" si="7"/>
        <v>9A</v>
      </c>
      <c r="H42" s="3" t="str">
        <f t="shared" si="8"/>
        <v/>
      </c>
      <c r="I42" s="3">
        <f t="shared" si="9"/>
        <v>154</v>
      </c>
      <c r="J42" s="5" t="str">
        <f>IF(E42=0,"Broadcast",IF(H42="",IF(I42="","",IF(I42&lt;128,"Connect "&amp;I42,INDEX(KdoCodeTab,MATCH(I42,KdoWertTab,0)))),"ReadStat "&amp;H42))</f>
        <v>RepMarkCmd</v>
      </c>
      <c r="K42" t="str">
        <f t="shared" si="10"/>
        <v>RepMarkCmd</v>
      </c>
      <c r="L42" t="str">
        <f t="shared" si="11"/>
        <v/>
      </c>
      <c r="M42" t="str">
        <f t="shared" si="12"/>
        <v/>
      </c>
    </row>
    <row r="43" spans="1:13" x14ac:dyDescent="0.25">
      <c r="A43" t="s">
        <v>1044</v>
      </c>
      <c r="B43" s="6">
        <f t="shared" si="2"/>
        <v>9.7706666666666671</v>
      </c>
      <c r="C43" s="9">
        <f t="shared" si="3"/>
        <v>18.333333333332646</v>
      </c>
      <c r="D43" s="8" t="str">
        <f t="shared" si="4"/>
        <v>W</v>
      </c>
      <c r="E43" s="3">
        <f t="shared" si="5"/>
        <v>33</v>
      </c>
      <c r="F43" s="3" t="str">
        <f t="shared" si="6"/>
        <v>ack</v>
      </c>
      <c r="G43" s="3" t="str">
        <f t="shared" si="7"/>
        <v>93</v>
      </c>
      <c r="H43" s="3" t="str">
        <f t="shared" si="8"/>
        <v/>
      </c>
      <c r="I43" s="3">
        <f t="shared" si="9"/>
        <v>147</v>
      </c>
      <c r="J43" s="5" t="str">
        <f>IF(E43=0,"Broadcast",IF(H43="",IF(I43="","",IF(I43&lt;128,"Connect "&amp;I43,INDEX(KdoCodeTab,MATCH(I43,KdoWertTab,0)))),"ReadStat "&amp;H43))</f>
        <v>SpaceCmd</v>
      </c>
      <c r="K43" t="str">
        <f t="shared" si="10"/>
        <v>SpaceCmd</v>
      </c>
      <c r="L43" t="str">
        <f t="shared" si="11"/>
        <v/>
      </c>
      <c r="M43" t="str">
        <f t="shared" si="12"/>
        <v/>
      </c>
    </row>
    <row r="44" spans="1:13" x14ac:dyDescent="0.25">
      <c r="A44" t="s">
        <v>1045</v>
      </c>
      <c r="B44" s="6">
        <f t="shared" si="2"/>
        <v>9.7715000000000014</v>
      </c>
      <c r="C44" s="9">
        <f t="shared" si="3"/>
        <v>0.83333333333435178</v>
      </c>
      <c r="D44" s="8" t="str">
        <f t="shared" si="4"/>
        <v>W</v>
      </c>
      <c r="E44" s="3">
        <f t="shared" si="5"/>
        <v>33</v>
      </c>
      <c r="F44" s="3" t="str">
        <f t="shared" si="6"/>
        <v>ack</v>
      </c>
      <c r="G44" s="3" t="str">
        <f t="shared" si="7"/>
        <v>96</v>
      </c>
      <c r="H44" s="3" t="str">
        <f t="shared" si="8"/>
        <v/>
      </c>
      <c r="I44" s="3">
        <f t="shared" si="9"/>
        <v>150</v>
      </c>
      <c r="J44" s="5" t="str">
        <f>IF(E44=0,"Broadcast",IF(H44="",IF(I44="","",IF(I44&lt;128,"Connect "&amp;I44,INDEX(KdoCodeTab,MATCH(I44,KdoWertTab,0)))),"ReadStat "&amp;H44))</f>
        <v>RepSpaceCmd</v>
      </c>
      <c r="K44" t="str">
        <f t="shared" si="10"/>
        <v>RepSpaceCmd</v>
      </c>
      <c r="L44" t="str">
        <f t="shared" si="11"/>
        <v/>
      </c>
      <c r="M44" t="str">
        <f t="shared" si="12"/>
        <v/>
      </c>
    </row>
    <row r="45" spans="1:13" x14ac:dyDescent="0.25">
      <c r="A45" t="s">
        <v>1046</v>
      </c>
      <c r="B45" s="6">
        <f t="shared" si="2"/>
        <v>9.7918333333333329</v>
      </c>
      <c r="C45" s="9">
        <f t="shared" si="3"/>
        <v>20.333333333331538</v>
      </c>
      <c r="D45" s="8" t="str">
        <f t="shared" si="4"/>
        <v>W</v>
      </c>
      <c r="E45" s="3">
        <f t="shared" si="5"/>
        <v>33</v>
      </c>
      <c r="F45" s="3" t="str">
        <f t="shared" si="6"/>
        <v>ack</v>
      </c>
      <c r="G45" s="3" t="str">
        <f t="shared" si="7"/>
        <v>9C</v>
      </c>
      <c r="H45" s="3" t="str">
        <f t="shared" si="8"/>
        <v/>
      </c>
      <c r="I45" s="3">
        <f t="shared" si="9"/>
        <v>156</v>
      </c>
      <c r="J45" s="5" t="str">
        <f>IF(E45=0,"Broadcast",IF(H45="",IF(I45="","",IF(I45&lt;128,"Connect "&amp;I45,INDEX(KdoCodeTab,MATCH(I45,KdoWertTab,0)))),"ReadStat "&amp;H45))</f>
        <v>MarkCmd</v>
      </c>
      <c r="K45" t="str">
        <f t="shared" si="10"/>
        <v>MarkCmd</v>
      </c>
      <c r="L45" t="str">
        <f t="shared" si="11"/>
        <v/>
      </c>
      <c r="M45" t="str">
        <f t="shared" si="12"/>
        <v/>
      </c>
    </row>
    <row r="46" spans="1:13" x14ac:dyDescent="0.25">
      <c r="A46" t="s">
        <v>1047</v>
      </c>
      <c r="B46" s="6">
        <f t="shared" si="2"/>
        <v>9.7928333333333324</v>
      </c>
      <c r="C46" s="9">
        <f t="shared" si="3"/>
        <v>0.99999999999944578</v>
      </c>
      <c r="D46" s="8" t="str">
        <f t="shared" si="4"/>
        <v>W</v>
      </c>
      <c r="E46" s="3">
        <f t="shared" si="5"/>
        <v>33</v>
      </c>
      <c r="F46" s="3" t="str">
        <f t="shared" si="6"/>
        <v>ack</v>
      </c>
      <c r="G46" s="3" t="str">
        <f t="shared" si="7"/>
        <v>9A</v>
      </c>
      <c r="H46" s="3" t="str">
        <f t="shared" si="8"/>
        <v/>
      </c>
      <c r="I46" s="3">
        <f t="shared" si="9"/>
        <v>154</v>
      </c>
      <c r="J46" s="5" t="str">
        <f>IF(E46=0,"Broadcast",IF(H46="",IF(I46="","",IF(I46&lt;128,"Connect "&amp;I46,INDEX(KdoCodeTab,MATCH(I46,KdoWertTab,0)))),"ReadStat "&amp;H46))</f>
        <v>RepMarkCmd</v>
      </c>
      <c r="K46" t="str">
        <f t="shared" si="10"/>
        <v>RepMarkCmd</v>
      </c>
      <c r="L46" t="str">
        <f t="shared" si="11"/>
        <v/>
      </c>
      <c r="M46" t="str">
        <f t="shared" si="12"/>
        <v/>
      </c>
    </row>
    <row r="47" spans="1:13" x14ac:dyDescent="0.25">
      <c r="A47" t="s">
        <v>1048</v>
      </c>
      <c r="B47" s="6">
        <f t="shared" si="2"/>
        <v>9.8356666666666683</v>
      </c>
      <c r="C47" s="9">
        <f t="shared" si="3"/>
        <v>42.833333333335943</v>
      </c>
      <c r="D47" s="8" t="str">
        <f t="shared" si="4"/>
        <v>W</v>
      </c>
      <c r="E47" s="3">
        <f t="shared" si="5"/>
        <v>31</v>
      </c>
      <c r="F47" s="3" t="str">
        <f t="shared" si="6"/>
        <v>ack</v>
      </c>
      <c r="G47" s="3" t="str">
        <f t="shared" si="7"/>
        <v>A9</v>
      </c>
      <c r="H47" s="3" t="str">
        <f t="shared" si="8"/>
        <v/>
      </c>
      <c r="I47" s="3">
        <f t="shared" si="9"/>
        <v>169</v>
      </c>
      <c r="J47" s="5" t="str">
        <f>IF(E47=0,"Broadcast",IF(H47="",IF(I47="","",IF(I47&lt;128,"Connect "&amp;I47,INDEX(KdoCodeTab,MATCH(I47,KdoWertTab,0)))),"ReadStat "&amp;H47))</f>
        <v>Heartbeat</v>
      </c>
      <c r="K47" t="str">
        <f t="shared" si="10"/>
        <v/>
      </c>
      <c r="L47" t="str">
        <f t="shared" si="11"/>
        <v>Heartbeat</v>
      </c>
      <c r="M47" t="str">
        <f t="shared" si="12"/>
        <v/>
      </c>
    </row>
    <row r="48" spans="1:13" x14ac:dyDescent="0.25">
      <c r="A48" t="s">
        <v>1049</v>
      </c>
      <c r="B48" s="6">
        <f t="shared" si="2"/>
        <v>9.8365000000000009</v>
      </c>
      <c r="C48" s="9">
        <f t="shared" si="3"/>
        <v>0.83333333333257542</v>
      </c>
      <c r="D48" s="8" t="str">
        <f t="shared" si="4"/>
        <v>W</v>
      </c>
      <c r="E48" s="3">
        <f t="shared" si="5"/>
        <v>33</v>
      </c>
      <c r="F48" s="3" t="str">
        <f t="shared" si="6"/>
        <v>ack</v>
      </c>
      <c r="G48" s="3" t="str">
        <f t="shared" si="7"/>
        <v>A9</v>
      </c>
      <c r="H48" s="3" t="str">
        <f t="shared" si="8"/>
        <v/>
      </c>
      <c r="I48" s="3">
        <f t="shared" si="9"/>
        <v>169</v>
      </c>
      <c r="J48" s="5" t="str">
        <f>IF(E48=0,"Broadcast",IF(H48="",IF(I48="","",IF(I48&lt;128,"Connect "&amp;I48,INDEX(KdoCodeTab,MATCH(I48,KdoWertTab,0)))),"ReadStat "&amp;H48))</f>
        <v>Heartbeat</v>
      </c>
      <c r="K48" t="str">
        <f t="shared" si="10"/>
        <v>Heartbeat</v>
      </c>
      <c r="L48" t="str">
        <f t="shared" si="11"/>
        <v/>
      </c>
      <c r="M48" t="str">
        <f t="shared" si="12"/>
        <v/>
      </c>
    </row>
    <row r="49" spans="1:13" x14ac:dyDescent="0.25">
      <c r="A49" t="s">
        <v>1050</v>
      </c>
      <c r="B49" s="6">
        <f t="shared" si="2"/>
        <v>9.9216666666666669</v>
      </c>
      <c r="C49" s="9">
        <f t="shared" si="3"/>
        <v>85.166666666665947</v>
      </c>
      <c r="D49" s="8" t="str">
        <f t="shared" si="4"/>
        <v>W</v>
      </c>
      <c r="E49" s="3">
        <f t="shared" si="5"/>
        <v>31</v>
      </c>
      <c r="F49" s="3" t="str">
        <f t="shared" si="6"/>
        <v>ack</v>
      </c>
      <c r="G49" s="3" t="str">
        <f t="shared" si="7"/>
        <v>93</v>
      </c>
      <c r="H49" s="3" t="str">
        <f t="shared" si="8"/>
        <v/>
      </c>
      <c r="I49" s="3">
        <f t="shared" si="9"/>
        <v>147</v>
      </c>
      <c r="J49" s="5" t="str">
        <f>IF(E49=0,"Broadcast",IF(H49="",IF(I49="","",IF(I49&lt;128,"Connect "&amp;I49,INDEX(KdoCodeTab,MATCH(I49,KdoWertTab,0)))),"ReadStat "&amp;H49))</f>
        <v>SpaceCmd</v>
      </c>
      <c r="K49" t="str">
        <f t="shared" si="10"/>
        <v/>
      </c>
      <c r="L49" t="str">
        <f t="shared" si="11"/>
        <v>SpaceCmd</v>
      </c>
      <c r="M49" t="str">
        <f t="shared" si="12"/>
        <v/>
      </c>
    </row>
    <row r="50" spans="1:13" x14ac:dyDescent="0.25">
      <c r="A50" t="s">
        <v>1051</v>
      </c>
      <c r="B50" s="6">
        <f t="shared" si="2"/>
        <v>9.9226666666666681</v>
      </c>
      <c r="C50" s="9">
        <f t="shared" si="3"/>
        <v>1.0000000000012221</v>
      </c>
      <c r="D50" s="8" t="str">
        <f t="shared" si="4"/>
        <v>W</v>
      </c>
      <c r="E50" s="3">
        <f t="shared" si="5"/>
        <v>31</v>
      </c>
      <c r="F50" s="3" t="str">
        <f t="shared" si="6"/>
        <v>ack</v>
      </c>
      <c r="G50" s="3" t="str">
        <f t="shared" si="7"/>
        <v>96</v>
      </c>
      <c r="H50" s="3" t="str">
        <f t="shared" si="8"/>
        <v/>
      </c>
      <c r="I50" s="3">
        <f t="shared" si="9"/>
        <v>150</v>
      </c>
      <c r="J50" s="5" t="str">
        <f>IF(E50=0,"Broadcast",IF(H50="",IF(I50="","",IF(I50&lt;128,"Connect "&amp;I50,INDEX(KdoCodeTab,MATCH(I50,KdoWertTab,0)))),"ReadStat "&amp;H50))</f>
        <v>RepSpaceCmd</v>
      </c>
      <c r="K50" t="str">
        <f t="shared" si="10"/>
        <v/>
      </c>
      <c r="L50" t="str">
        <f t="shared" si="11"/>
        <v>RepSpaceCmd</v>
      </c>
      <c r="M50" t="str">
        <f t="shared" si="12"/>
        <v/>
      </c>
    </row>
    <row r="51" spans="1:13" x14ac:dyDescent="0.25">
      <c r="A51" t="s">
        <v>1052</v>
      </c>
      <c r="B51" s="6">
        <f t="shared" si="2"/>
        <v>9.9418333333333333</v>
      </c>
      <c r="C51" s="9">
        <f t="shared" si="3"/>
        <v>19.166666666665222</v>
      </c>
      <c r="D51" s="8" t="str">
        <f t="shared" si="4"/>
        <v>W</v>
      </c>
      <c r="E51" s="3">
        <f t="shared" si="5"/>
        <v>31</v>
      </c>
      <c r="F51" s="3" t="str">
        <f t="shared" si="6"/>
        <v>ack</v>
      </c>
      <c r="G51" s="3" t="str">
        <f t="shared" si="7"/>
        <v>9C</v>
      </c>
      <c r="H51" s="3" t="str">
        <f t="shared" si="8"/>
        <v/>
      </c>
      <c r="I51" s="3">
        <f t="shared" si="9"/>
        <v>156</v>
      </c>
      <c r="J51" s="5" t="str">
        <f>IF(E51=0,"Broadcast",IF(H51="",IF(I51="","",IF(I51&lt;128,"Connect "&amp;I51,INDEX(KdoCodeTab,MATCH(I51,KdoWertTab,0)))),"ReadStat "&amp;H51))</f>
        <v>MarkCmd</v>
      </c>
      <c r="K51" t="str">
        <f t="shared" si="10"/>
        <v/>
      </c>
      <c r="L51" t="str">
        <f t="shared" si="11"/>
        <v>MarkCmd</v>
      </c>
      <c r="M51" t="str">
        <f t="shared" si="12"/>
        <v/>
      </c>
    </row>
    <row r="52" spans="1:13" x14ac:dyDescent="0.25">
      <c r="A52" t="s">
        <v>1053</v>
      </c>
      <c r="B52" s="6">
        <f t="shared" si="2"/>
        <v>9.9428333333333327</v>
      </c>
      <c r="C52" s="9">
        <f t="shared" si="3"/>
        <v>0.99999999999944578</v>
      </c>
      <c r="D52" s="8" t="str">
        <f t="shared" si="4"/>
        <v>W</v>
      </c>
      <c r="E52" s="3">
        <f t="shared" si="5"/>
        <v>31</v>
      </c>
      <c r="F52" s="3" t="str">
        <f t="shared" si="6"/>
        <v>ack</v>
      </c>
      <c r="G52" s="3" t="str">
        <f t="shared" si="7"/>
        <v>9A</v>
      </c>
      <c r="H52" s="3" t="str">
        <f t="shared" si="8"/>
        <v/>
      </c>
      <c r="I52" s="3">
        <f t="shared" si="9"/>
        <v>154</v>
      </c>
      <c r="J52" s="5" t="str">
        <f>IF(E52=0,"Broadcast",IF(H52="",IF(I52="","",IF(I52&lt;128,"Connect "&amp;I52,INDEX(KdoCodeTab,MATCH(I52,KdoWertTab,0)))),"ReadStat "&amp;H52))</f>
        <v>RepMarkCmd</v>
      </c>
      <c r="K52" t="str">
        <f t="shared" si="10"/>
        <v/>
      </c>
      <c r="L52" t="str">
        <f t="shared" si="11"/>
        <v>RepMarkCmd</v>
      </c>
      <c r="M52" t="str">
        <f t="shared" si="12"/>
        <v/>
      </c>
    </row>
    <row r="53" spans="1:13" x14ac:dyDescent="0.25">
      <c r="A53" t="s">
        <v>1054</v>
      </c>
      <c r="B53" s="6">
        <f t="shared" si="2"/>
        <v>10.072166666666666</v>
      </c>
      <c r="C53" s="9">
        <f t="shared" si="3"/>
        <v>129.33333333333331</v>
      </c>
      <c r="D53" s="8" t="str">
        <f t="shared" si="4"/>
        <v>W</v>
      </c>
      <c r="E53" s="3">
        <f t="shared" si="5"/>
        <v>31</v>
      </c>
      <c r="F53" s="3" t="str">
        <f t="shared" si="6"/>
        <v>ack</v>
      </c>
      <c r="G53" s="3" t="str">
        <f t="shared" si="7"/>
        <v>93</v>
      </c>
      <c r="H53" s="3" t="str">
        <f t="shared" si="8"/>
        <v/>
      </c>
      <c r="I53" s="3">
        <f t="shared" si="9"/>
        <v>147</v>
      </c>
      <c r="J53" s="5" t="str">
        <f>IF(E53=0,"Broadcast",IF(H53="",IF(I53="","",IF(I53&lt;128,"Connect "&amp;I53,INDEX(KdoCodeTab,MATCH(I53,KdoWertTab,0)))),"ReadStat "&amp;H53))</f>
        <v>SpaceCmd</v>
      </c>
      <c r="K53" t="str">
        <f t="shared" si="10"/>
        <v/>
      </c>
      <c r="L53" t="str">
        <f t="shared" si="11"/>
        <v>SpaceCmd</v>
      </c>
      <c r="M53" t="str">
        <f t="shared" si="12"/>
        <v/>
      </c>
    </row>
    <row r="54" spans="1:13" x14ac:dyDescent="0.25">
      <c r="A54" t="s">
        <v>1055</v>
      </c>
      <c r="B54" s="6">
        <f t="shared" si="2"/>
        <v>10.073166666666667</v>
      </c>
      <c r="C54" s="9">
        <f t="shared" si="3"/>
        <v>1.0000000000012221</v>
      </c>
      <c r="D54" s="8" t="str">
        <f t="shared" si="4"/>
        <v>W</v>
      </c>
      <c r="E54" s="3">
        <f t="shared" si="5"/>
        <v>31</v>
      </c>
      <c r="F54" s="3" t="str">
        <f t="shared" si="6"/>
        <v>ack</v>
      </c>
      <c r="G54" s="3" t="str">
        <f t="shared" si="7"/>
        <v>96</v>
      </c>
      <c r="H54" s="3" t="str">
        <f t="shared" si="8"/>
        <v/>
      </c>
      <c r="I54" s="3">
        <f t="shared" si="9"/>
        <v>150</v>
      </c>
      <c r="J54" s="5" t="str">
        <f>IF(E54=0,"Broadcast",IF(H54="",IF(I54="","",IF(I54&lt;128,"Connect "&amp;I54,INDEX(KdoCodeTab,MATCH(I54,KdoWertTab,0)))),"ReadStat "&amp;H54))</f>
        <v>RepSpaceCmd</v>
      </c>
      <c r="K54" t="str">
        <f t="shared" si="10"/>
        <v/>
      </c>
      <c r="L54" t="str">
        <f t="shared" si="11"/>
        <v>RepSpaceCmd</v>
      </c>
      <c r="M54" t="str">
        <f t="shared" si="12"/>
        <v/>
      </c>
    </row>
    <row r="55" spans="1:13" x14ac:dyDescent="0.25">
      <c r="A55" t="s">
        <v>1056</v>
      </c>
      <c r="B55" s="6">
        <f t="shared" si="2"/>
        <v>10.091333333333333</v>
      </c>
      <c r="C55" s="9">
        <f t="shared" si="3"/>
        <v>18.166666666665776</v>
      </c>
      <c r="D55" s="8" t="str">
        <f t="shared" si="4"/>
        <v>W</v>
      </c>
      <c r="E55" s="3">
        <f t="shared" si="5"/>
        <v>31</v>
      </c>
      <c r="F55" s="3" t="str">
        <f t="shared" si="6"/>
        <v>ack</v>
      </c>
      <c r="G55" s="3" t="str">
        <f t="shared" si="7"/>
        <v>9C</v>
      </c>
      <c r="H55" s="3" t="str">
        <f t="shared" si="8"/>
        <v/>
      </c>
      <c r="I55" s="3">
        <f t="shared" si="9"/>
        <v>156</v>
      </c>
      <c r="J55" s="5" t="str">
        <f>IF(E55=0,"Broadcast",IF(H55="",IF(I55="","",IF(I55&lt;128,"Connect "&amp;I55,INDEX(KdoCodeTab,MATCH(I55,KdoWertTab,0)))),"ReadStat "&amp;H55))</f>
        <v>MarkCmd</v>
      </c>
      <c r="K55" t="str">
        <f t="shared" si="10"/>
        <v/>
      </c>
      <c r="L55" t="str">
        <f t="shared" si="11"/>
        <v>MarkCmd</v>
      </c>
      <c r="M55" t="str">
        <f t="shared" si="12"/>
        <v/>
      </c>
    </row>
    <row r="56" spans="1:13" x14ac:dyDescent="0.25">
      <c r="A56" t="s">
        <v>1057</v>
      </c>
      <c r="B56" s="6">
        <f t="shared" si="2"/>
        <v>10.092333333333334</v>
      </c>
      <c r="C56" s="9">
        <f t="shared" si="3"/>
        <v>1.0000000000012221</v>
      </c>
      <c r="D56" s="8" t="str">
        <f t="shared" si="4"/>
        <v>W</v>
      </c>
      <c r="E56" s="3">
        <f t="shared" si="5"/>
        <v>31</v>
      </c>
      <c r="F56" s="3" t="str">
        <f t="shared" si="6"/>
        <v>ack</v>
      </c>
      <c r="G56" s="3" t="str">
        <f t="shared" si="7"/>
        <v>9A</v>
      </c>
      <c r="H56" s="3" t="str">
        <f t="shared" si="8"/>
        <v/>
      </c>
      <c r="I56" s="3">
        <f t="shared" si="9"/>
        <v>154</v>
      </c>
      <c r="J56" s="5" t="str">
        <f>IF(E56=0,"Broadcast",IF(H56="",IF(I56="","",IF(I56&lt;128,"Connect "&amp;I56,INDEX(KdoCodeTab,MATCH(I56,KdoWertTab,0)))),"ReadStat "&amp;H56))</f>
        <v>RepMarkCmd</v>
      </c>
      <c r="K56" t="str">
        <f t="shared" si="10"/>
        <v/>
      </c>
      <c r="L56" t="str">
        <f t="shared" si="11"/>
        <v>RepMarkCmd</v>
      </c>
      <c r="M56" t="str">
        <f t="shared" si="12"/>
        <v/>
      </c>
    </row>
    <row r="57" spans="1:13" x14ac:dyDescent="0.25">
      <c r="A57" t="s">
        <v>1058</v>
      </c>
      <c r="B57" s="6">
        <f t="shared" si="2"/>
        <v>10.221666666666668</v>
      </c>
      <c r="C57" s="9">
        <f t="shared" si="3"/>
        <v>129.33333333333331</v>
      </c>
      <c r="D57" s="8" t="str">
        <f t="shared" si="4"/>
        <v>W</v>
      </c>
      <c r="E57" s="3">
        <f t="shared" si="5"/>
        <v>31</v>
      </c>
      <c r="F57" s="3" t="str">
        <f t="shared" si="6"/>
        <v>ack</v>
      </c>
      <c r="G57" s="3" t="str">
        <f t="shared" si="7"/>
        <v>93</v>
      </c>
      <c r="H57" s="3" t="str">
        <f t="shared" si="8"/>
        <v/>
      </c>
      <c r="I57" s="3">
        <f t="shared" si="9"/>
        <v>147</v>
      </c>
      <c r="J57" s="5" t="str">
        <f>IF(E57=0,"Broadcast",IF(H57="",IF(I57="","",IF(I57&lt;128,"Connect "&amp;I57,INDEX(KdoCodeTab,MATCH(I57,KdoWertTab,0)))),"ReadStat "&amp;H57))</f>
        <v>SpaceCmd</v>
      </c>
      <c r="K57" t="str">
        <f t="shared" si="10"/>
        <v/>
      </c>
      <c r="L57" t="str">
        <f t="shared" si="11"/>
        <v>SpaceCmd</v>
      </c>
      <c r="M57" t="str">
        <f t="shared" si="12"/>
        <v/>
      </c>
    </row>
    <row r="58" spans="1:13" x14ac:dyDescent="0.25">
      <c r="A58" t="s">
        <v>1059</v>
      </c>
      <c r="B58" s="6">
        <f t="shared" si="2"/>
        <v>10.222666666666667</v>
      </c>
      <c r="C58" s="9">
        <f t="shared" si="3"/>
        <v>0.99999999999944578</v>
      </c>
      <c r="D58" s="8" t="str">
        <f t="shared" si="4"/>
        <v>W</v>
      </c>
      <c r="E58" s="3">
        <f t="shared" si="5"/>
        <v>31</v>
      </c>
      <c r="F58" s="3" t="str">
        <f t="shared" si="6"/>
        <v>ack</v>
      </c>
      <c r="G58" s="3" t="str">
        <f t="shared" si="7"/>
        <v>96</v>
      </c>
      <c r="H58" s="3" t="str">
        <f t="shared" si="8"/>
        <v/>
      </c>
      <c r="I58" s="3">
        <f t="shared" si="9"/>
        <v>150</v>
      </c>
      <c r="J58" s="5" t="str">
        <f>IF(E58=0,"Broadcast",IF(H58="",IF(I58="","",IF(I58&lt;128,"Connect "&amp;I58,INDEX(KdoCodeTab,MATCH(I58,KdoWertTab,0)))),"ReadStat "&amp;H58))</f>
        <v>RepSpaceCmd</v>
      </c>
      <c r="K58" t="str">
        <f t="shared" si="10"/>
        <v/>
      </c>
      <c r="L58" t="str">
        <f t="shared" si="11"/>
        <v>RepSpaceCmd</v>
      </c>
      <c r="M58" t="str">
        <f t="shared" si="12"/>
        <v/>
      </c>
    </row>
    <row r="59" spans="1:13" x14ac:dyDescent="0.25">
      <c r="A59" t="s">
        <v>1060</v>
      </c>
      <c r="B59" s="6">
        <f t="shared" si="2"/>
        <v>10.301666666666668</v>
      </c>
      <c r="C59" s="9">
        <f t="shared" si="3"/>
        <v>79.000000000000625</v>
      </c>
      <c r="D59" s="8" t="str">
        <f t="shared" si="4"/>
        <v>W</v>
      </c>
      <c r="E59" s="3">
        <f t="shared" si="5"/>
        <v>31</v>
      </c>
      <c r="F59" s="3" t="str">
        <f t="shared" si="6"/>
        <v>ack</v>
      </c>
      <c r="G59" s="3" t="str">
        <f t="shared" si="7"/>
        <v>9C</v>
      </c>
      <c r="H59" s="3" t="str">
        <f t="shared" si="8"/>
        <v/>
      </c>
      <c r="I59" s="3">
        <f t="shared" si="9"/>
        <v>156</v>
      </c>
      <c r="J59" s="5" t="str">
        <f>IF(E59=0,"Broadcast",IF(H59="",IF(I59="","",IF(I59&lt;128,"Connect "&amp;I59,INDEX(KdoCodeTab,MATCH(I59,KdoWertTab,0)))),"ReadStat "&amp;H59))</f>
        <v>MarkCmd</v>
      </c>
      <c r="K59" t="str">
        <f t="shared" si="10"/>
        <v/>
      </c>
      <c r="L59" t="str">
        <f t="shared" si="11"/>
        <v>MarkCmd</v>
      </c>
      <c r="M59" t="str">
        <f t="shared" si="12"/>
        <v/>
      </c>
    </row>
    <row r="60" spans="1:13" x14ac:dyDescent="0.25">
      <c r="A60" t="s">
        <v>1061</v>
      </c>
      <c r="B60" s="6">
        <f t="shared" si="2"/>
        <v>10.3025</v>
      </c>
      <c r="C60" s="9">
        <f t="shared" si="3"/>
        <v>0.83333333333257542</v>
      </c>
      <c r="D60" s="8" t="str">
        <f t="shared" si="4"/>
        <v>W</v>
      </c>
      <c r="E60" s="3">
        <f t="shared" si="5"/>
        <v>31</v>
      </c>
      <c r="F60" s="3" t="str">
        <f t="shared" si="6"/>
        <v>ack</v>
      </c>
      <c r="G60" s="3" t="str">
        <f t="shared" si="7"/>
        <v>9A</v>
      </c>
      <c r="H60" s="3" t="str">
        <f t="shared" si="8"/>
        <v/>
      </c>
      <c r="I60" s="3">
        <f t="shared" si="9"/>
        <v>154</v>
      </c>
      <c r="J60" s="5" t="str">
        <f>IF(E60=0,"Broadcast",IF(H60="",IF(I60="","",IF(I60&lt;128,"Connect "&amp;I60,INDEX(KdoCodeTab,MATCH(I60,KdoWertTab,0)))),"ReadStat "&amp;H60))</f>
        <v>RepMarkCmd</v>
      </c>
      <c r="K60" t="str">
        <f t="shared" si="10"/>
        <v/>
      </c>
      <c r="L60" t="str">
        <f t="shared" si="11"/>
        <v>RepMarkCmd</v>
      </c>
      <c r="M60" t="str">
        <f t="shared" si="12"/>
        <v/>
      </c>
    </row>
    <row r="61" spans="1:13" x14ac:dyDescent="0.25">
      <c r="A61" t="s">
        <v>1062</v>
      </c>
      <c r="B61" s="6">
        <f t="shared" si="2"/>
        <v>10.322833333333332</v>
      </c>
      <c r="C61" s="9">
        <f t="shared" si="3"/>
        <v>20.333333333331538</v>
      </c>
      <c r="D61" s="8" t="str">
        <f t="shared" si="4"/>
        <v>W</v>
      </c>
      <c r="E61" s="3">
        <f t="shared" si="5"/>
        <v>31</v>
      </c>
      <c r="F61" s="3" t="str">
        <f t="shared" si="6"/>
        <v>ack</v>
      </c>
      <c r="G61" s="3" t="str">
        <f t="shared" si="7"/>
        <v>93</v>
      </c>
      <c r="H61" s="3" t="str">
        <f t="shared" si="8"/>
        <v/>
      </c>
      <c r="I61" s="3">
        <f t="shared" si="9"/>
        <v>147</v>
      </c>
      <c r="J61" s="5" t="str">
        <f>IF(E61=0,"Broadcast",IF(H61="",IF(I61="","",IF(I61&lt;128,"Connect "&amp;I61,INDEX(KdoCodeTab,MATCH(I61,KdoWertTab,0)))),"ReadStat "&amp;H61))</f>
        <v>SpaceCmd</v>
      </c>
      <c r="K61" t="str">
        <f t="shared" si="10"/>
        <v/>
      </c>
      <c r="L61" t="str">
        <f t="shared" si="11"/>
        <v>SpaceCmd</v>
      </c>
      <c r="M61" t="str">
        <f t="shared" si="12"/>
        <v/>
      </c>
    </row>
    <row r="62" spans="1:13" x14ac:dyDescent="0.25">
      <c r="A62" t="s">
        <v>1063</v>
      </c>
      <c r="B62" s="6">
        <f t="shared" si="2"/>
        <v>10.323833333333333</v>
      </c>
      <c r="C62" s="9">
        <f t="shared" si="3"/>
        <v>1.0000000000012221</v>
      </c>
      <c r="D62" s="8" t="str">
        <f t="shared" si="4"/>
        <v>W</v>
      </c>
      <c r="E62" s="3">
        <f t="shared" si="5"/>
        <v>31</v>
      </c>
      <c r="F62" s="3" t="str">
        <f t="shared" si="6"/>
        <v>ack</v>
      </c>
      <c r="G62" s="3" t="str">
        <f t="shared" si="7"/>
        <v>96</v>
      </c>
      <c r="H62" s="3" t="str">
        <f t="shared" si="8"/>
        <v/>
      </c>
      <c r="I62" s="3">
        <f t="shared" si="9"/>
        <v>150</v>
      </c>
      <c r="J62" s="5" t="str">
        <f>IF(E62=0,"Broadcast",IF(H62="",IF(I62="","",IF(I62&lt;128,"Connect "&amp;I62,INDEX(KdoCodeTab,MATCH(I62,KdoWertTab,0)))),"ReadStat "&amp;H62))</f>
        <v>RepSpaceCmd</v>
      </c>
      <c r="K62" t="str">
        <f t="shared" si="10"/>
        <v/>
      </c>
      <c r="L62" t="str">
        <f t="shared" si="11"/>
        <v>RepSpaceCmd</v>
      </c>
      <c r="M62" t="str">
        <f t="shared" si="12"/>
        <v/>
      </c>
    </row>
    <row r="63" spans="1:13" x14ac:dyDescent="0.25">
      <c r="A63" t="s">
        <v>1064</v>
      </c>
      <c r="B63" s="6">
        <f t="shared" si="2"/>
        <v>10.342000000000001</v>
      </c>
      <c r="C63" s="9">
        <f t="shared" si="3"/>
        <v>18.166666666667552</v>
      </c>
      <c r="D63" s="8" t="str">
        <f t="shared" si="4"/>
        <v>W</v>
      </c>
      <c r="E63" s="3">
        <f t="shared" si="5"/>
        <v>31</v>
      </c>
      <c r="F63" s="3" t="str">
        <f t="shared" si="6"/>
        <v>ack</v>
      </c>
      <c r="G63" s="3" t="str">
        <f t="shared" si="7"/>
        <v>9C</v>
      </c>
      <c r="H63" s="3" t="str">
        <f t="shared" si="8"/>
        <v/>
      </c>
      <c r="I63" s="3">
        <f t="shared" si="9"/>
        <v>156</v>
      </c>
      <c r="J63" s="5" t="str">
        <f>IF(E63=0,"Broadcast",IF(H63="",IF(I63="","",IF(I63&lt;128,"Connect "&amp;I63,INDEX(KdoCodeTab,MATCH(I63,KdoWertTab,0)))),"ReadStat "&amp;H63))</f>
        <v>MarkCmd</v>
      </c>
      <c r="K63" t="str">
        <f t="shared" si="10"/>
        <v/>
      </c>
      <c r="L63" t="str">
        <f t="shared" si="11"/>
        <v>MarkCmd</v>
      </c>
      <c r="M63" t="str">
        <f t="shared" si="12"/>
        <v/>
      </c>
    </row>
    <row r="64" spans="1:13" x14ac:dyDescent="0.25">
      <c r="A64" t="s">
        <v>1065</v>
      </c>
      <c r="B64" s="6">
        <f t="shared" si="2"/>
        <v>10.342833333333333</v>
      </c>
      <c r="C64" s="9">
        <f t="shared" si="3"/>
        <v>0.83333333333257542</v>
      </c>
      <c r="D64" s="8" t="str">
        <f t="shared" si="4"/>
        <v>W</v>
      </c>
      <c r="E64" s="3">
        <f t="shared" si="5"/>
        <v>31</v>
      </c>
      <c r="F64" s="3" t="str">
        <f t="shared" si="6"/>
        <v>ack</v>
      </c>
      <c r="G64" s="3" t="str">
        <f t="shared" si="7"/>
        <v>9A</v>
      </c>
      <c r="H64" s="3" t="str">
        <f t="shared" si="8"/>
        <v/>
      </c>
      <c r="I64" s="3">
        <f t="shared" si="9"/>
        <v>154</v>
      </c>
      <c r="J64" s="5" t="str">
        <f>IF(E64=0,"Broadcast",IF(H64="",IF(I64="","",IF(I64&lt;128,"Connect "&amp;I64,INDEX(KdoCodeTab,MATCH(I64,KdoWertTab,0)))),"ReadStat "&amp;H64))</f>
        <v>RepMarkCmd</v>
      </c>
      <c r="K64" t="str">
        <f t="shared" si="10"/>
        <v/>
      </c>
      <c r="L64" t="str">
        <f t="shared" si="11"/>
        <v>RepMarkCmd</v>
      </c>
      <c r="M64" t="str">
        <f t="shared" si="12"/>
        <v/>
      </c>
    </row>
    <row r="65" spans="1:13" x14ac:dyDescent="0.25">
      <c r="A65" t="s">
        <v>1066</v>
      </c>
      <c r="B65" s="6">
        <f t="shared" si="2"/>
        <v>10.372333333333334</v>
      </c>
      <c r="C65" s="9">
        <f t="shared" si="3"/>
        <v>29.500000000000526</v>
      </c>
      <c r="D65" s="8" t="str">
        <f t="shared" si="4"/>
        <v>W</v>
      </c>
      <c r="E65" s="3">
        <f t="shared" si="5"/>
        <v>31</v>
      </c>
      <c r="F65" s="3" t="str">
        <f t="shared" si="6"/>
        <v>ack</v>
      </c>
      <c r="G65" s="3" t="str">
        <f t="shared" si="7"/>
        <v>93</v>
      </c>
      <c r="H65" s="3" t="str">
        <f t="shared" si="8"/>
        <v/>
      </c>
      <c r="I65" s="3">
        <f t="shared" si="9"/>
        <v>147</v>
      </c>
      <c r="J65" s="5" t="str">
        <f>IF(E65=0,"Broadcast",IF(H65="",IF(I65="","",IF(I65&lt;128,"Connect "&amp;I65,INDEX(KdoCodeTab,MATCH(I65,KdoWertTab,0)))),"ReadStat "&amp;H65))</f>
        <v>SpaceCmd</v>
      </c>
      <c r="K65" t="str">
        <f t="shared" si="10"/>
        <v/>
      </c>
      <c r="L65" t="str">
        <f t="shared" si="11"/>
        <v>SpaceCmd</v>
      </c>
      <c r="M65" t="str">
        <f t="shared" si="12"/>
        <v/>
      </c>
    </row>
    <row r="66" spans="1:13" x14ac:dyDescent="0.25">
      <c r="A66" t="s">
        <v>1067</v>
      </c>
      <c r="B66" s="6">
        <f t="shared" si="2"/>
        <v>10.373333333333333</v>
      </c>
      <c r="C66" s="9">
        <f t="shared" si="3"/>
        <v>0.99999999999944578</v>
      </c>
      <c r="D66" s="8" t="str">
        <f t="shared" si="4"/>
        <v>W</v>
      </c>
      <c r="E66" s="3">
        <f t="shared" si="5"/>
        <v>31</v>
      </c>
      <c r="F66" s="3" t="str">
        <f t="shared" si="6"/>
        <v>ack</v>
      </c>
      <c r="G66" s="3" t="str">
        <f t="shared" si="7"/>
        <v>96</v>
      </c>
      <c r="H66" s="3" t="str">
        <f t="shared" si="8"/>
        <v/>
      </c>
      <c r="I66" s="3">
        <f t="shared" si="9"/>
        <v>150</v>
      </c>
      <c r="J66" s="5" t="str">
        <f>IF(E66=0,"Broadcast",IF(H66="",IF(I66="","",IF(I66&lt;128,"Connect "&amp;I66,INDEX(KdoCodeTab,MATCH(I66,KdoWertTab,0)))),"ReadStat "&amp;H66))</f>
        <v>RepSpaceCmd</v>
      </c>
      <c r="K66" t="str">
        <f t="shared" si="10"/>
        <v/>
      </c>
      <c r="L66" t="str">
        <f t="shared" si="11"/>
        <v>RepSpaceCmd</v>
      </c>
      <c r="M66" t="str">
        <f t="shared" si="12"/>
        <v/>
      </c>
    </row>
    <row r="67" spans="1:13" x14ac:dyDescent="0.25">
      <c r="A67" t="s">
        <v>1068</v>
      </c>
      <c r="B67" s="6">
        <f t="shared" si="2"/>
        <v>10.411666666666667</v>
      </c>
      <c r="C67" s="9">
        <f t="shared" si="3"/>
        <v>38.333333333333997</v>
      </c>
      <c r="D67" s="8" t="str">
        <f t="shared" si="4"/>
        <v>W</v>
      </c>
      <c r="E67" s="3">
        <f t="shared" si="5"/>
        <v>31</v>
      </c>
      <c r="F67" s="3" t="str">
        <f t="shared" si="6"/>
        <v>ack</v>
      </c>
      <c r="G67" s="3" t="str">
        <f t="shared" si="7"/>
        <v>9C</v>
      </c>
      <c r="H67" s="3" t="str">
        <f t="shared" si="8"/>
        <v/>
      </c>
      <c r="I67" s="3">
        <f t="shared" si="9"/>
        <v>156</v>
      </c>
      <c r="J67" s="5" t="str">
        <f>IF(E67=0,"Broadcast",IF(H67="",IF(I67="","",IF(I67&lt;128,"Connect "&amp;I67,INDEX(KdoCodeTab,MATCH(I67,KdoWertTab,0)))),"ReadStat "&amp;H67))</f>
        <v>MarkCmd</v>
      </c>
      <c r="K67" t="str">
        <f t="shared" si="10"/>
        <v/>
      </c>
      <c r="L67" t="str">
        <f t="shared" si="11"/>
        <v>MarkCmd</v>
      </c>
      <c r="M67" t="str">
        <f t="shared" si="12"/>
        <v/>
      </c>
    </row>
    <row r="68" spans="1:13" x14ac:dyDescent="0.25">
      <c r="A68" t="s">
        <v>1069</v>
      </c>
      <c r="B68" s="6">
        <f t="shared" si="2"/>
        <v>10.412666666666668</v>
      </c>
      <c r="C68" s="9">
        <f t="shared" si="3"/>
        <v>1.0000000000012221</v>
      </c>
      <c r="D68" s="8" t="str">
        <f t="shared" si="4"/>
        <v>W</v>
      </c>
      <c r="E68" s="3">
        <f t="shared" si="5"/>
        <v>31</v>
      </c>
      <c r="F68" s="3" t="str">
        <f t="shared" si="6"/>
        <v>ack</v>
      </c>
      <c r="G68" s="3" t="str">
        <f t="shared" si="7"/>
        <v>9A</v>
      </c>
      <c r="H68" s="3" t="str">
        <f t="shared" si="8"/>
        <v/>
      </c>
      <c r="I68" s="3">
        <f t="shared" si="9"/>
        <v>154</v>
      </c>
      <c r="J68" s="5" t="str">
        <f>IF(E68=0,"Broadcast",IF(H68="",IF(I68="","",IF(I68&lt;128,"Connect "&amp;I68,INDEX(KdoCodeTab,MATCH(I68,KdoWertTab,0)))),"ReadStat "&amp;H68))</f>
        <v>RepMarkCmd</v>
      </c>
      <c r="K68" t="str">
        <f t="shared" si="10"/>
        <v/>
      </c>
      <c r="L68" t="str">
        <f t="shared" si="11"/>
        <v>RepMarkCmd</v>
      </c>
      <c r="M68" t="str">
        <f t="shared" si="12"/>
        <v/>
      </c>
    </row>
    <row r="69" spans="1:13" x14ac:dyDescent="0.25">
      <c r="A69" t="s">
        <v>1070</v>
      </c>
      <c r="B69" s="6">
        <f t="shared" ref="B69:B132" si="13">MID(A69,1,5)/1000+(CODE(MID(A69,6,1))-CODE("a"))/6000</f>
        <v>10.432</v>
      </c>
      <c r="C69" s="9">
        <f t="shared" ref="C69:C132" si="14">(B69-B68+IF(B69&gt;B68,0,11))*1000</f>
        <v>19.333333333332092</v>
      </c>
      <c r="D69" s="8" t="str">
        <f t="shared" ref="D69:D132" si="15">IF(MID(A69,10,1)="&lt;","R",IF(MID(A69,10,1)="&gt;","W","?"))</f>
        <v>W</v>
      </c>
      <c r="E69" s="3">
        <f t="shared" ref="E69:E132" si="16">INT(HEX2DEC(MID(A69,8,2))/2)</f>
        <v>31</v>
      </c>
      <c r="F69" s="3" t="str">
        <f t="shared" ref="F69:F132" si="17">IF(MID(A69,11,1)="+","ack","NACK")</f>
        <v>ack</v>
      </c>
      <c r="G69" s="3" t="str">
        <f t="shared" ref="G69:G132" si="18">IF(F69="ack",SUBSTITUTE(MID(A69,12,LEN(A69)-12),"+","  "),"")</f>
        <v>93</v>
      </c>
      <c r="H69" s="3" t="str">
        <f t="shared" ref="H69:H132" si="19">IF(MID(A69,10,2)="&lt;+",MID(A69,12,2),"")</f>
        <v/>
      </c>
      <c r="I69" s="3">
        <f t="shared" ref="I69:I132" si="20">IF(MID(A69,10,2)="&gt;+",HEX2DEC(MID(A69,12,2)),"")</f>
        <v>147</v>
      </c>
      <c r="J69" s="5" t="str">
        <f>IF(E69=0,"Broadcast",IF(H69="",IF(I69="","",IF(I69&lt;128,"Connect "&amp;I69,INDEX(KdoCodeTab,MATCH(I69,KdoWertTab,0)))),"ReadStat "&amp;H69))</f>
        <v>SpaceCmd</v>
      </c>
      <c r="K69" t="str">
        <f t="shared" ref="K69:K132" si="21">IF(E69=$K$2,J69,"")</f>
        <v/>
      </c>
      <c r="L69" t="str">
        <f t="shared" ref="L69:L132" si="22">IF(E69=$L$2,J69,"")</f>
        <v>SpaceCmd</v>
      </c>
      <c r="M69" t="str">
        <f t="shared" ref="M69:M132" si="23">IF(K69&amp;L69="",J69,"")</f>
        <v/>
      </c>
    </row>
    <row r="70" spans="1:13" x14ac:dyDescent="0.25">
      <c r="A70" t="s">
        <v>1071</v>
      </c>
      <c r="B70" s="6">
        <f t="shared" si="13"/>
        <v>10.433</v>
      </c>
      <c r="C70" s="9">
        <f t="shared" si="14"/>
        <v>0.99999999999944578</v>
      </c>
      <c r="D70" s="8" t="str">
        <f t="shared" si="15"/>
        <v>W</v>
      </c>
      <c r="E70" s="3">
        <f t="shared" si="16"/>
        <v>31</v>
      </c>
      <c r="F70" s="3" t="str">
        <f t="shared" si="17"/>
        <v>ack</v>
      </c>
      <c r="G70" s="3" t="str">
        <f t="shared" si="18"/>
        <v>96</v>
      </c>
      <c r="H70" s="3" t="str">
        <f t="shared" si="19"/>
        <v/>
      </c>
      <c r="I70" s="3">
        <f t="shared" si="20"/>
        <v>150</v>
      </c>
      <c r="J70" s="5" t="str">
        <f>IF(E70=0,"Broadcast",IF(H70="",IF(I70="","",IF(I70&lt;128,"Connect "&amp;I70,INDEX(KdoCodeTab,MATCH(I70,KdoWertTab,0)))),"ReadStat "&amp;H70))</f>
        <v>RepSpaceCmd</v>
      </c>
      <c r="K70" t="str">
        <f t="shared" si="21"/>
        <v/>
      </c>
      <c r="L70" t="str">
        <f t="shared" si="22"/>
        <v>RepSpaceCmd</v>
      </c>
      <c r="M70" t="str">
        <f t="shared" si="23"/>
        <v/>
      </c>
    </row>
    <row r="71" spans="1:13" x14ac:dyDescent="0.25">
      <c r="A71" t="s">
        <v>1072</v>
      </c>
      <c r="B71" s="6">
        <f t="shared" si="13"/>
        <v>10.491666666666667</v>
      </c>
      <c r="C71" s="9">
        <f t="shared" si="14"/>
        <v>58.666666666667311</v>
      </c>
      <c r="D71" s="8" t="str">
        <f t="shared" si="15"/>
        <v>W</v>
      </c>
      <c r="E71" s="3">
        <f t="shared" si="16"/>
        <v>31</v>
      </c>
      <c r="F71" s="3" t="str">
        <f t="shared" si="17"/>
        <v>ack</v>
      </c>
      <c r="G71" s="3" t="str">
        <f t="shared" si="18"/>
        <v>9C</v>
      </c>
      <c r="H71" s="3" t="str">
        <f t="shared" si="19"/>
        <v/>
      </c>
      <c r="I71" s="3">
        <f t="shared" si="20"/>
        <v>156</v>
      </c>
      <c r="J71" s="5" t="str">
        <f>IF(E71=0,"Broadcast",IF(H71="",IF(I71="","",IF(I71&lt;128,"Connect "&amp;I71,INDEX(KdoCodeTab,MATCH(I71,KdoWertTab,0)))),"ReadStat "&amp;H71))</f>
        <v>MarkCmd</v>
      </c>
      <c r="K71" t="str">
        <f t="shared" si="21"/>
        <v/>
      </c>
      <c r="L71" t="str">
        <f t="shared" si="22"/>
        <v>MarkCmd</v>
      </c>
      <c r="M71" t="str">
        <f t="shared" si="23"/>
        <v/>
      </c>
    </row>
    <row r="72" spans="1:13" x14ac:dyDescent="0.25">
      <c r="A72" t="s">
        <v>1073</v>
      </c>
      <c r="B72" s="6">
        <f t="shared" si="13"/>
        <v>10.492500000000001</v>
      </c>
      <c r="C72" s="9">
        <f t="shared" si="14"/>
        <v>0.83333333333435178</v>
      </c>
      <c r="D72" s="8" t="str">
        <f t="shared" si="15"/>
        <v>W</v>
      </c>
      <c r="E72" s="3">
        <f t="shared" si="16"/>
        <v>31</v>
      </c>
      <c r="F72" s="3" t="str">
        <f t="shared" si="17"/>
        <v>ack</v>
      </c>
      <c r="G72" s="3" t="str">
        <f t="shared" si="18"/>
        <v>9A</v>
      </c>
      <c r="H72" s="3" t="str">
        <f t="shared" si="19"/>
        <v/>
      </c>
      <c r="I72" s="3">
        <f t="shared" si="20"/>
        <v>154</v>
      </c>
      <c r="J72" s="5" t="str">
        <f>IF(E72=0,"Broadcast",IF(H72="",IF(I72="","",IF(I72&lt;128,"Connect "&amp;I72,INDEX(KdoCodeTab,MATCH(I72,KdoWertTab,0)))),"ReadStat "&amp;H72))</f>
        <v>RepMarkCmd</v>
      </c>
      <c r="K72" t="str">
        <f t="shared" si="21"/>
        <v/>
      </c>
      <c r="L72" t="str">
        <f t="shared" si="22"/>
        <v>RepMarkCmd</v>
      </c>
      <c r="M72" t="str">
        <f t="shared" si="23"/>
        <v/>
      </c>
    </row>
    <row r="73" spans="1:13" x14ac:dyDescent="0.25">
      <c r="A73" t="s">
        <v>1074</v>
      </c>
      <c r="B73" s="6">
        <f t="shared" si="13"/>
        <v>10.517666666666667</v>
      </c>
      <c r="C73" s="9">
        <f t="shared" si="14"/>
        <v>25.166666666665449</v>
      </c>
      <c r="D73" s="8" t="str">
        <f t="shared" si="15"/>
        <v>W</v>
      </c>
      <c r="E73" s="3">
        <f t="shared" si="16"/>
        <v>31</v>
      </c>
      <c r="F73" s="3" t="str">
        <f t="shared" si="17"/>
        <v>ack</v>
      </c>
      <c r="G73" s="3" t="str">
        <f t="shared" si="18"/>
        <v>A9</v>
      </c>
      <c r="H73" s="3" t="str">
        <f t="shared" si="19"/>
        <v/>
      </c>
      <c r="I73" s="3">
        <f t="shared" si="20"/>
        <v>169</v>
      </c>
      <c r="J73" s="5" t="str">
        <f>IF(E73=0,"Broadcast",IF(H73="",IF(I73="","",IF(I73&lt;128,"Connect "&amp;I73,INDEX(KdoCodeTab,MATCH(I73,KdoWertTab,0)))),"ReadStat "&amp;H73))</f>
        <v>Heartbeat</v>
      </c>
      <c r="K73" t="str">
        <f t="shared" si="21"/>
        <v/>
      </c>
      <c r="L73" t="str">
        <f t="shared" si="22"/>
        <v>Heartbeat</v>
      </c>
      <c r="M73" t="str">
        <f t="shared" si="23"/>
        <v/>
      </c>
    </row>
    <row r="74" spans="1:13" x14ac:dyDescent="0.25">
      <c r="A74" t="s">
        <v>1075</v>
      </c>
      <c r="B74" s="6">
        <f t="shared" si="13"/>
        <v>10.518333333333334</v>
      </c>
      <c r="C74" s="9">
        <f t="shared" si="14"/>
        <v>0.66666666666748142</v>
      </c>
      <c r="D74" s="8" t="str">
        <f t="shared" si="15"/>
        <v>W</v>
      </c>
      <c r="E74" s="3">
        <f t="shared" si="16"/>
        <v>33</v>
      </c>
      <c r="F74" s="3" t="str">
        <f t="shared" si="17"/>
        <v>ack</v>
      </c>
      <c r="G74" s="3" t="str">
        <f t="shared" si="18"/>
        <v>A9</v>
      </c>
      <c r="H74" s="3" t="str">
        <f t="shared" si="19"/>
        <v/>
      </c>
      <c r="I74" s="3">
        <f t="shared" si="20"/>
        <v>169</v>
      </c>
      <c r="J74" s="5" t="str">
        <f>IF(E74=0,"Broadcast",IF(H74="",IF(I74="","",IF(I74&lt;128,"Connect "&amp;I74,INDEX(KdoCodeTab,MATCH(I74,KdoWertTab,0)))),"ReadStat "&amp;H74))</f>
        <v>Heartbeat</v>
      </c>
      <c r="K74" t="str">
        <f t="shared" si="21"/>
        <v>Heartbeat</v>
      </c>
      <c r="L74" t="str">
        <f t="shared" si="22"/>
        <v/>
      </c>
      <c r="M74" t="str">
        <f t="shared" si="23"/>
        <v/>
      </c>
    </row>
    <row r="75" spans="1:13" x14ac:dyDescent="0.25">
      <c r="A75" t="s">
        <v>1076</v>
      </c>
      <c r="B75" s="6">
        <f t="shared" si="13"/>
        <v>10.522833333333333</v>
      </c>
      <c r="C75" s="9">
        <f t="shared" si="14"/>
        <v>4.4999999999983942</v>
      </c>
      <c r="D75" s="8" t="str">
        <f t="shared" si="15"/>
        <v>W</v>
      </c>
      <c r="E75" s="3">
        <f t="shared" si="16"/>
        <v>31</v>
      </c>
      <c r="F75" s="3" t="str">
        <f t="shared" si="17"/>
        <v>ack</v>
      </c>
      <c r="G75" s="3" t="str">
        <f t="shared" si="18"/>
        <v>93</v>
      </c>
      <c r="H75" s="3" t="str">
        <f t="shared" si="19"/>
        <v/>
      </c>
      <c r="I75" s="3">
        <f t="shared" si="20"/>
        <v>147</v>
      </c>
      <c r="J75" s="5" t="str">
        <f>IF(E75=0,"Broadcast",IF(H75="",IF(I75="","",IF(I75&lt;128,"Connect "&amp;I75,INDEX(KdoCodeTab,MATCH(I75,KdoWertTab,0)))),"ReadStat "&amp;H75))</f>
        <v>SpaceCmd</v>
      </c>
      <c r="K75" t="str">
        <f t="shared" si="21"/>
        <v/>
      </c>
      <c r="L75" t="str">
        <f t="shared" si="22"/>
        <v>SpaceCmd</v>
      </c>
      <c r="M75" t="str">
        <f t="shared" si="23"/>
        <v/>
      </c>
    </row>
    <row r="76" spans="1:13" x14ac:dyDescent="0.25">
      <c r="A76" t="s">
        <v>1077</v>
      </c>
      <c r="B76" s="6">
        <f t="shared" si="13"/>
        <v>10.523833333333332</v>
      </c>
      <c r="C76" s="9">
        <f t="shared" si="14"/>
        <v>0.99999999999944578</v>
      </c>
      <c r="D76" s="8" t="str">
        <f t="shared" si="15"/>
        <v>W</v>
      </c>
      <c r="E76" s="3">
        <f t="shared" si="16"/>
        <v>31</v>
      </c>
      <c r="F76" s="3" t="str">
        <f t="shared" si="17"/>
        <v>ack</v>
      </c>
      <c r="G76" s="3" t="str">
        <f t="shared" si="18"/>
        <v>96</v>
      </c>
      <c r="H76" s="3" t="str">
        <f t="shared" si="19"/>
        <v/>
      </c>
      <c r="I76" s="3">
        <f t="shared" si="20"/>
        <v>150</v>
      </c>
      <c r="J76" s="5" t="str">
        <f>IF(E76=0,"Broadcast",IF(H76="",IF(I76="","",IF(I76&lt;128,"Connect "&amp;I76,INDEX(KdoCodeTab,MATCH(I76,KdoWertTab,0)))),"ReadStat "&amp;H76))</f>
        <v>RepSpaceCmd</v>
      </c>
      <c r="K76" t="str">
        <f t="shared" si="21"/>
        <v/>
      </c>
      <c r="L76" t="str">
        <f t="shared" si="22"/>
        <v>RepSpaceCmd</v>
      </c>
      <c r="M76" t="str">
        <f t="shared" si="23"/>
        <v/>
      </c>
    </row>
    <row r="77" spans="1:13" x14ac:dyDescent="0.25">
      <c r="A77" t="s">
        <v>1078</v>
      </c>
      <c r="B77" s="6">
        <f t="shared" si="13"/>
        <v>10.542166666666667</v>
      </c>
      <c r="C77" s="9">
        <f t="shared" si="14"/>
        <v>18.333333333334423</v>
      </c>
      <c r="D77" s="8" t="str">
        <f t="shared" si="15"/>
        <v>W</v>
      </c>
      <c r="E77" s="3">
        <f t="shared" si="16"/>
        <v>31</v>
      </c>
      <c r="F77" s="3" t="str">
        <f t="shared" si="17"/>
        <v>ack</v>
      </c>
      <c r="G77" s="3" t="str">
        <f t="shared" si="18"/>
        <v>9C</v>
      </c>
      <c r="H77" s="3" t="str">
        <f t="shared" si="19"/>
        <v/>
      </c>
      <c r="I77" s="3">
        <f t="shared" si="20"/>
        <v>156</v>
      </c>
      <c r="J77" s="5" t="str">
        <f>IF(E77=0,"Broadcast",IF(H77="",IF(I77="","",IF(I77&lt;128,"Connect "&amp;I77,INDEX(KdoCodeTab,MATCH(I77,KdoWertTab,0)))),"ReadStat "&amp;H77))</f>
        <v>MarkCmd</v>
      </c>
      <c r="K77" t="str">
        <f t="shared" si="21"/>
        <v/>
      </c>
      <c r="L77" t="str">
        <f t="shared" si="22"/>
        <v>MarkCmd</v>
      </c>
      <c r="M77" t="str">
        <f t="shared" si="23"/>
        <v/>
      </c>
    </row>
    <row r="78" spans="1:13" x14ac:dyDescent="0.25">
      <c r="A78" t="s">
        <v>1079</v>
      </c>
      <c r="B78" s="6">
        <f t="shared" si="13"/>
        <v>10.542999999999999</v>
      </c>
      <c r="C78" s="9">
        <f t="shared" si="14"/>
        <v>0.83333333333257542</v>
      </c>
      <c r="D78" s="8" t="str">
        <f t="shared" si="15"/>
        <v>W</v>
      </c>
      <c r="E78" s="3">
        <f t="shared" si="16"/>
        <v>31</v>
      </c>
      <c r="F78" s="3" t="str">
        <f t="shared" si="17"/>
        <v>ack</v>
      </c>
      <c r="G78" s="3" t="str">
        <f t="shared" si="18"/>
        <v>9A</v>
      </c>
      <c r="H78" s="3" t="str">
        <f t="shared" si="19"/>
        <v/>
      </c>
      <c r="I78" s="3">
        <f t="shared" si="20"/>
        <v>154</v>
      </c>
      <c r="J78" s="5" t="str">
        <f>IF(E78=0,"Broadcast",IF(H78="",IF(I78="","",IF(I78&lt;128,"Connect "&amp;I78,INDEX(KdoCodeTab,MATCH(I78,KdoWertTab,0)))),"ReadStat "&amp;H78))</f>
        <v>RepMarkCmd</v>
      </c>
      <c r="K78" t="str">
        <f t="shared" si="21"/>
        <v/>
      </c>
      <c r="L78" t="str">
        <f t="shared" si="22"/>
        <v>RepMarkCmd</v>
      </c>
      <c r="M78" t="str">
        <f t="shared" si="23"/>
        <v/>
      </c>
    </row>
    <row r="79" spans="1:13" x14ac:dyDescent="0.25">
      <c r="A79" t="s">
        <v>1080</v>
      </c>
      <c r="B79" s="6">
        <f t="shared" si="13"/>
        <v>10.672333333333334</v>
      </c>
      <c r="C79" s="9">
        <f t="shared" si="14"/>
        <v>129.33333333333508</v>
      </c>
      <c r="D79" s="8" t="str">
        <f t="shared" si="15"/>
        <v>W</v>
      </c>
      <c r="E79" s="3">
        <f t="shared" si="16"/>
        <v>31</v>
      </c>
      <c r="F79" s="3" t="str">
        <f t="shared" si="17"/>
        <v>ack</v>
      </c>
      <c r="G79" s="3" t="str">
        <f t="shared" si="18"/>
        <v>93</v>
      </c>
      <c r="H79" s="3" t="str">
        <f t="shared" si="19"/>
        <v/>
      </c>
      <c r="I79" s="3">
        <f t="shared" si="20"/>
        <v>147</v>
      </c>
      <c r="J79" s="5" t="str">
        <f>IF(E79=0,"Broadcast",IF(H79="",IF(I79="","",IF(I79&lt;128,"Connect "&amp;I79,INDEX(KdoCodeTab,MATCH(I79,KdoWertTab,0)))),"ReadStat "&amp;H79))</f>
        <v>SpaceCmd</v>
      </c>
      <c r="K79" t="str">
        <f t="shared" si="21"/>
        <v/>
      </c>
      <c r="L79" t="str">
        <f t="shared" si="22"/>
        <v>SpaceCmd</v>
      </c>
      <c r="M79" t="str">
        <f t="shared" si="23"/>
        <v/>
      </c>
    </row>
    <row r="80" spans="1:13" x14ac:dyDescent="0.25">
      <c r="A80" t="s">
        <v>1081</v>
      </c>
      <c r="B80" s="6">
        <f t="shared" si="13"/>
        <v>10.673333333333334</v>
      </c>
      <c r="C80" s="9">
        <f t="shared" si="14"/>
        <v>0.99999999999944578</v>
      </c>
      <c r="D80" s="8" t="str">
        <f t="shared" si="15"/>
        <v>W</v>
      </c>
      <c r="E80" s="3">
        <f t="shared" si="16"/>
        <v>31</v>
      </c>
      <c r="F80" s="3" t="str">
        <f t="shared" si="17"/>
        <v>ack</v>
      </c>
      <c r="G80" s="3" t="str">
        <f t="shared" si="18"/>
        <v>96</v>
      </c>
      <c r="H80" s="3" t="str">
        <f t="shared" si="19"/>
        <v/>
      </c>
      <c r="I80" s="3">
        <f t="shared" si="20"/>
        <v>150</v>
      </c>
      <c r="J80" s="5" t="str">
        <f>IF(E80=0,"Broadcast",IF(H80="",IF(I80="","",IF(I80&lt;128,"Connect "&amp;I80,INDEX(KdoCodeTab,MATCH(I80,KdoWertTab,0)))),"ReadStat "&amp;H80))</f>
        <v>RepSpaceCmd</v>
      </c>
      <c r="K80" t="str">
        <f t="shared" si="21"/>
        <v/>
      </c>
      <c r="L80" t="str">
        <f t="shared" si="22"/>
        <v>RepSpaceCmd</v>
      </c>
      <c r="M80" t="str">
        <f t="shared" si="23"/>
        <v/>
      </c>
    </row>
    <row r="81" spans="1:13" x14ac:dyDescent="0.25">
      <c r="A81" t="s">
        <v>1082</v>
      </c>
      <c r="B81" s="6">
        <f t="shared" si="13"/>
        <v>10.691666666666668</v>
      </c>
      <c r="C81" s="9">
        <f t="shared" si="14"/>
        <v>18.333333333334423</v>
      </c>
      <c r="D81" s="8" t="str">
        <f t="shared" si="15"/>
        <v>W</v>
      </c>
      <c r="E81" s="3">
        <f t="shared" si="16"/>
        <v>31</v>
      </c>
      <c r="F81" s="3" t="str">
        <f t="shared" si="17"/>
        <v>ack</v>
      </c>
      <c r="G81" s="3" t="str">
        <f t="shared" si="18"/>
        <v>9C</v>
      </c>
      <c r="H81" s="3" t="str">
        <f t="shared" si="19"/>
        <v/>
      </c>
      <c r="I81" s="3">
        <f t="shared" si="20"/>
        <v>156</v>
      </c>
      <c r="J81" s="5" t="str">
        <f>IF(E81=0,"Broadcast",IF(H81="",IF(I81="","",IF(I81&lt;128,"Connect "&amp;I81,INDEX(KdoCodeTab,MATCH(I81,KdoWertTab,0)))),"ReadStat "&amp;H81))</f>
        <v>MarkCmd</v>
      </c>
      <c r="K81" t="str">
        <f t="shared" si="21"/>
        <v/>
      </c>
      <c r="L81" t="str">
        <f t="shared" si="22"/>
        <v>MarkCmd</v>
      </c>
      <c r="M81" t="str">
        <f t="shared" si="23"/>
        <v/>
      </c>
    </row>
    <row r="82" spans="1:13" x14ac:dyDescent="0.25">
      <c r="A82" t="s">
        <v>1083</v>
      </c>
      <c r="B82" s="6">
        <f t="shared" si="13"/>
        <v>10.692500000000001</v>
      </c>
      <c r="C82" s="9">
        <f t="shared" si="14"/>
        <v>0.83333333333257542</v>
      </c>
      <c r="D82" s="8" t="str">
        <f t="shared" si="15"/>
        <v>W</v>
      </c>
      <c r="E82" s="3">
        <f t="shared" si="16"/>
        <v>31</v>
      </c>
      <c r="F82" s="3" t="str">
        <f t="shared" si="17"/>
        <v>ack</v>
      </c>
      <c r="G82" s="3" t="str">
        <f t="shared" si="18"/>
        <v>9A</v>
      </c>
      <c r="H82" s="3" t="str">
        <f t="shared" si="19"/>
        <v/>
      </c>
      <c r="I82" s="3">
        <f t="shared" si="20"/>
        <v>154</v>
      </c>
      <c r="J82" s="5" t="str">
        <f>IF(E82=0,"Broadcast",IF(H82="",IF(I82="","",IF(I82&lt;128,"Connect "&amp;I82,INDEX(KdoCodeTab,MATCH(I82,KdoWertTab,0)))),"ReadStat "&amp;H82))</f>
        <v>RepMarkCmd</v>
      </c>
      <c r="K82" t="str">
        <f t="shared" si="21"/>
        <v/>
      </c>
      <c r="L82" t="str">
        <f t="shared" si="22"/>
        <v>RepMarkCmd</v>
      </c>
      <c r="M82" t="str">
        <f t="shared" si="23"/>
        <v/>
      </c>
    </row>
    <row r="83" spans="1:13" x14ac:dyDescent="0.25">
      <c r="A83" t="s">
        <v>1084</v>
      </c>
      <c r="B83" s="6">
        <f t="shared" si="13"/>
        <v>10.822833333333332</v>
      </c>
      <c r="C83" s="9">
        <f t="shared" si="14"/>
        <v>130.33333333333098</v>
      </c>
      <c r="D83" s="8" t="str">
        <f t="shared" si="15"/>
        <v>W</v>
      </c>
      <c r="E83" s="3">
        <f t="shared" si="16"/>
        <v>31</v>
      </c>
      <c r="F83" s="3" t="str">
        <f t="shared" si="17"/>
        <v>ack</v>
      </c>
      <c r="G83" s="3" t="str">
        <f t="shared" si="18"/>
        <v>93</v>
      </c>
      <c r="H83" s="3" t="str">
        <f t="shared" si="19"/>
        <v/>
      </c>
      <c r="I83" s="3">
        <f t="shared" si="20"/>
        <v>147</v>
      </c>
      <c r="J83" s="5" t="str">
        <f>IF(E83=0,"Broadcast",IF(H83="",IF(I83="","",IF(I83&lt;128,"Connect "&amp;I83,INDEX(KdoCodeTab,MATCH(I83,KdoWertTab,0)))),"ReadStat "&amp;H83))</f>
        <v>SpaceCmd</v>
      </c>
      <c r="K83" t="str">
        <f t="shared" si="21"/>
        <v/>
      </c>
      <c r="L83" t="str">
        <f t="shared" si="22"/>
        <v>SpaceCmd</v>
      </c>
      <c r="M83" t="str">
        <f t="shared" si="23"/>
        <v/>
      </c>
    </row>
    <row r="84" spans="1:13" x14ac:dyDescent="0.25">
      <c r="A84" t="s">
        <v>1085</v>
      </c>
      <c r="B84" s="6">
        <f t="shared" si="13"/>
        <v>10.823833333333333</v>
      </c>
      <c r="C84" s="9">
        <f t="shared" si="14"/>
        <v>1.0000000000012221</v>
      </c>
      <c r="D84" s="8" t="str">
        <f t="shared" si="15"/>
        <v>W</v>
      </c>
      <c r="E84" s="3">
        <f t="shared" si="16"/>
        <v>31</v>
      </c>
      <c r="F84" s="3" t="str">
        <f t="shared" si="17"/>
        <v>ack</v>
      </c>
      <c r="G84" s="3" t="str">
        <f t="shared" si="18"/>
        <v>96</v>
      </c>
      <c r="H84" s="3" t="str">
        <f t="shared" si="19"/>
        <v/>
      </c>
      <c r="I84" s="3">
        <f t="shared" si="20"/>
        <v>150</v>
      </c>
      <c r="J84" s="5" t="str">
        <f>IF(E84=0,"Broadcast",IF(H84="",IF(I84="","",IF(I84&lt;128,"Connect "&amp;I84,INDEX(KdoCodeTab,MATCH(I84,KdoWertTab,0)))),"ReadStat "&amp;H84))</f>
        <v>RepSpaceCmd</v>
      </c>
      <c r="K84" t="str">
        <f t="shared" si="21"/>
        <v/>
      </c>
      <c r="L84" t="str">
        <f t="shared" si="22"/>
        <v>RepSpaceCmd</v>
      </c>
      <c r="M84" t="str">
        <f t="shared" si="23"/>
        <v/>
      </c>
    </row>
    <row r="85" spans="1:13" x14ac:dyDescent="0.25">
      <c r="A85" t="s">
        <v>747</v>
      </c>
      <c r="B85" s="6">
        <f t="shared" si="13"/>
        <v>10.842166666666667</v>
      </c>
      <c r="C85" s="9">
        <f t="shared" si="14"/>
        <v>18.333333333334423</v>
      </c>
      <c r="D85" s="8" t="str">
        <f t="shared" si="15"/>
        <v>W</v>
      </c>
      <c r="E85" s="3">
        <f t="shared" si="16"/>
        <v>31</v>
      </c>
      <c r="F85" s="3" t="str">
        <f t="shared" si="17"/>
        <v>ack</v>
      </c>
      <c r="G85" s="3" t="str">
        <f t="shared" si="18"/>
        <v>9C</v>
      </c>
      <c r="H85" s="3" t="str">
        <f t="shared" si="19"/>
        <v/>
      </c>
      <c r="I85" s="3">
        <f t="shared" si="20"/>
        <v>156</v>
      </c>
      <c r="J85" s="5" t="str">
        <f>IF(E85=0,"Broadcast",IF(H85="",IF(I85="","",IF(I85&lt;128,"Connect "&amp;I85,INDEX(KdoCodeTab,MATCH(I85,KdoWertTab,0)))),"ReadStat "&amp;H85))</f>
        <v>MarkCmd</v>
      </c>
      <c r="K85" t="str">
        <f t="shared" si="21"/>
        <v/>
      </c>
      <c r="L85" t="str">
        <f t="shared" si="22"/>
        <v>MarkCmd</v>
      </c>
      <c r="M85" t="str">
        <f t="shared" si="23"/>
        <v/>
      </c>
    </row>
    <row r="86" spans="1:13" x14ac:dyDescent="0.25">
      <c r="A86" t="s">
        <v>1086</v>
      </c>
      <c r="B86" s="6">
        <f t="shared" si="13"/>
        <v>10.843166666666667</v>
      </c>
      <c r="C86" s="9">
        <f t="shared" si="14"/>
        <v>0.99999999999944578</v>
      </c>
      <c r="D86" s="8" t="str">
        <f t="shared" si="15"/>
        <v>W</v>
      </c>
      <c r="E86" s="3">
        <f t="shared" si="16"/>
        <v>31</v>
      </c>
      <c r="F86" s="3" t="str">
        <f t="shared" si="17"/>
        <v>ack</v>
      </c>
      <c r="G86" s="3" t="str">
        <f t="shared" si="18"/>
        <v>9A</v>
      </c>
      <c r="H86" s="3" t="str">
        <f t="shared" si="19"/>
        <v/>
      </c>
      <c r="I86" s="3">
        <f t="shared" si="20"/>
        <v>154</v>
      </c>
      <c r="J86" s="5" t="str">
        <f>IF(E86=0,"Broadcast",IF(H86="",IF(I86="","",IF(I86&lt;128,"Connect "&amp;I86,INDEX(KdoCodeTab,MATCH(I86,KdoWertTab,0)))),"ReadStat "&amp;H86))</f>
        <v>RepMarkCmd</v>
      </c>
      <c r="K86" t="str">
        <f t="shared" si="21"/>
        <v/>
      </c>
      <c r="L86" t="str">
        <f t="shared" si="22"/>
        <v>RepMarkCmd</v>
      </c>
      <c r="M86" t="str">
        <f t="shared" si="23"/>
        <v/>
      </c>
    </row>
    <row r="87" spans="1:13" x14ac:dyDescent="0.25">
      <c r="A87" t="s">
        <v>1087</v>
      </c>
      <c r="B87" s="6">
        <f t="shared" si="13"/>
        <v>4.9833333333333334E-2</v>
      </c>
      <c r="C87" s="9">
        <f t="shared" si="14"/>
        <v>206.666666666667</v>
      </c>
      <c r="D87" s="8" t="str">
        <f t="shared" si="15"/>
        <v>W</v>
      </c>
      <c r="E87" s="3">
        <f t="shared" si="16"/>
        <v>31</v>
      </c>
      <c r="F87" s="3" t="str">
        <f t="shared" si="17"/>
        <v>ack</v>
      </c>
      <c r="G87" s="3" t="str">
        <f t="shared" si="18"/>
        <v>93</v>
      </c>
      <c r="H87" s="3" t="str">
        <f t="shared" si="19"/>
        <v/>
      </c>
      <c r="I87" s="3">
        <f t="shared" si="20"/>
        <v>147</v>
      </c>
      <c r="J87" s="5" t="str">
        <f>IF(E87=0,"Broadcast",IF(H87="",IF(I87="","",IF(I87&lt;128,"Connect "&amp;I87,INDEX(KdoCodeTab,MATCH(I87,KdoWertTab,0)))),"ReadStat "&amp;H87))</f>
        <v>SpaceCmd</v>
      </c>
      <c r="K87" t="str">
        <f t="shared" si="21"/>
        <v/>
      </c>
      <c r="L87" t="str">
        <f t="shared" si="22"/>
        <v>SpaceCmd</v>
      </c>
      <c r="M87" t="str">
        <f t="shared" si="23"/>
        <v/>
      </c>
    </row>
    <row r="88" spans="1:13" x14ac:dyDescent="0.25">
      <c r="A88" t="s">
        <v>1088</v>
      </c>
      <c r="B88" s="6">
        <f t="shared" si="13"/>
        <v>5.0666666666666672E-2</v>
      </c>
      <c r="C88" s="9">
        <f t="shared" si="14"/>
        <v>0.8333333333333387</v>
      </c>
      <c r="D88" s="8" t="str">
        <f t="shared" si="15"/>
        <v>W</v>
      </c>
      <c r="E88" s="3">
        <f t="shared" si="16"/>
        <v>31</v>
      </c>
      <c r="F88" s="3" t="str">
        <f t="shared" si="17"/>
        <v>ack</v>
      </c>
      <c r="G88" s="3" t="str">
        <f t="shared" si="18"/>
        <v>96</v>
      </c>
      <c r="H88" s="3" t="str">
        <f t="shared" si="19"/>
        <v/>
      </c>
      <c r="I88" s="3">
        <f t="shared" si="20"/>
        <v>150</v>
      </c>
      <c r="J88" s="5" t="str">
        <f>IF(E88=0,"Broadcast",IF(H88="",IF(I88="","",IF(I88&lt;128,"Connect "&amp;I88,INDEX(KdoCodeTab,MATCH(I88,KdoWertTab,0)))),"ReadStat "&amp;H88))</f>
        <v>RepSpaceCmd</v>
      </c>
      <c r="K88" t="str">
        <f t="shared" si="21"/>
        <v/>
      </c>
      <c r="L88" t="str">
        <f t="shared" si="22"/>
        <v>RepSpaceCmd</v>
      </c>
      <c r="M88" t="str">
        <f t="shared" si="23"/>
        <v/>
      </c>
    </row>
    <row r="89" spans="1:13" x14ac:dyDescent="0.25">
      <c r="A89" t="s">
        <v>1089</v>
      </c>
      <c r="B89" s="6">
        <f t="shared" si="13"/>
        <v>7.0000000000000007E-2</v>
      </c>
      <c r="C89" s="9">
        <f t="shared" si="14"/>
        <v>19.333333333333336</v>
      </c>
      <c r="D89" s="8" t="str">
        <f t="shared" si="15"/>
        <v>W</v>
      </c>
      <c r="E89" s="3">
        <f t="shared" si="16"/>
        <v>31</v>
      </c>
      <c r="F89" s="3" t="str">
        <f t="shared" si="17"/>
        <v>ack</v>
      </c>
      <c r="G89" s="3" t="str">
        <f t="shared" si="18"/>
        <v>9C</v>
      </c>
      <c r="H89" s="3" t="str">
        <f t="shared" si="19"/>
        <v/>
      </c>
      <c r="I89" s="3">
        <f t="shared" si="20"/>
        <v>156</v>
      </c>
      <c r="J89" s="5" t="str">
        <f>IF(E89=0,"Broadcast",IF(H89="",IF(I89="","",IF(I89&lt;128,"Connect "&amp;I89,INDEX(KdoCodeTab,MATCH(I89,KdoWertTab,0)))),"ReadStat "&amp;H89))</f>
        <v>MarkCmd</v>
      </c>
      <c r="K89" t="str">
        <f t="shared" si="21"/>
        <v/>
      </c>
      <c r="L89" t="str">
        <f t="shared" si="22"/>
        <v>MarkCmd</v>
      </c>
      <c r="M89" t="str">
        <f t="shared" si="23"/>
        <v/>
      </c>
    </row>
    <row r="90" spans="1:13" x14ac:dyDescent="0.25">
      <c r="A90" t="s">
        <v>1090</v>
      </c>
      <c r="B90" s="6">
        <f t="shared" si="13"/>
        <v>7.0833333333333345E-2</v>
      </c>
      <c r="C90" s="9">
        <f t="shared" si="14"/>
        <v>0.8333333333333387</v>
      </c>
      <c r="D90" s="8" t="str">
        <f t="shared" si="15"/>
        <v>W</v>
      </c>
      <c r="E90" s="3">
        <f t="shared" si="16"/>
        <v>31</v>
      </c>
      <c r="F90" s="3" t="str">
        <f t="shared" si="17"/>
        <v>ack</v>
      </c>
      <c r="G90" s="3" t="str">
        <f t="shared" si="18"/>
        <v>9A</v>
      </c>
      <c r="H90" s="3" t="str">
        <f t="shared" si="19"/>
        <v/>
      </c>
      <c r="I90" s="3">
        <f t="shared" si="20"/>
        <v>154</v>
      </c>
      <c r="J90" s="5" t="str">
        <f>IF(E90=0,"Broadcast",IF(H90="",IF(I90="","",IF(I90&lt;128,"Connect "&amp;I90,INDEX(KdoCodeTab,MATCH(I90,KdoWertTab,0)))),"ReadStat "&amp;H90))</f>
        <v>RepMarkCmd</v>
      </c>
      <c r="K90" t="str">
        <f t="shared" si="21"/>
        <v/>
      </c>
      <c r="L90" t="str">
        <f t="shared" si="22"/>
        <v>RepMarkCmd</v>
      </c>
      <c r="M90" t="str">
        <f t="shared" si="23"/>
        <v/>
      </c>
    </row>
    <row r="91" spans="1:13" x14ac:dyDescent="0.25">
      <c r="A91" t="s">
        <v>1091</v>
      </c>
      <c r="B91" s="6">
        <f t="shared" si="13"/>
        <v>0.20033333333333334</v>
      </c>
      <c r="C91" s="9">
        <f t="shared" si="14"/>
        <v>129.5</v>
      </c>
      <c r="D91" s="8" t="str">
        <f t="shared" si="15"/>
        <v>W</v>
      </c>
      <c r="E91" s="3">
        <f t="shared" si="16"/>
        <v>31</v>
      </c>
      <c r="F91" s="3" t="str">
        <f t="shared" si="17"/>
        <v>ack</v>
      </c>
      <c r="G91" s="3" t="str">
        <f t="shared" si="18"/>
        <v>93</v>
      </c>
      <c r="H91" s="3" t="str">
        <f t="shared" si="19"/>
        <v/>
      </c>
      <c r="I91" s="3">
        <f t="shared" si="20"/>
        <v>147</v>
      </c>
      <c r="J91" s="5" t="str">
        <f>IF(E91=0,"Broadcast",IF(H91="",IF(I91="","",IF(I91&lt;128,"Connect "&amp;I91,INDEX(KdoCodeTab,MATCH(I91,KdoWertTab,0)))),"ReadStat "&amp;H91))</f>
        <v>SpaceCmd</v>
      </c>
      <c r="K91" t="str">
        <f t="shared" si="21"/>
        <v/>
      </c>
      <c r="L91" t="str">
        <f t="shared" si="22"/>
        <v>SpaceCmd</v>
      </c>
      <c r="M91" t="str">
        <f t="shared" si="23"/>
        <v/>
      </c>
    </row>
    <row r="92" spans="1:13" x14ac:dyDescent="0.25">
      <c r="A92" t="s">
        <v>1092</v>
      </c>
      <c r="B92" s="6">
        <f t="shared" si="13"/>
        <v>0.20133333333333334</v>
      </c>
      <c r="C92" s="9">
        <f t="shared" si="14"/>
        <v>1.0000000000000009</v>
      </c>
      <c r="D92" s="8" t="str">
        <f t="shared" si="15"/>
        <v>W</v>
      </c>
      <c r="E92" s="3">
        <f t="shared" si="16"/>
        <v>31</v>
      </c>
      <c r="F92" s="3" t="str">
        <f t="shared" si="17"/>
        <v>ack</v>
      </c>
      <c r="G92" s="3" t="str">
        <f t="shared" si="18"/>
        <v>96</v>
      </c>
      <c r="H92" s="3" t="str">
        <f t="shared" si="19"/>
        <v/>
      </c>
      <c r="I92" s="3">
        <f t="shared" si="20"/>
        <v>150</v>
      </c>
      <c r="J92" s="5" t="str">
        <f>IF(E92=0,"Broadcast",IF(H92="",IF(I92="","",IF(I92&lt;128,"Connect "&amp;I92,INDEX(KdoCodeTab,MATCH(I92,KdoWertTab,0)))),"ReadStat "&amp;H92))</f>
        <v>RepSpaceCmd</v>
      </c>
      <c r="K92" t="str">
        <f t="shared" si="21"/>
        <v/>
      </c>
      <c r="L92" t="str">
        <f t="shared" si="22"/>
        <v>RepSpaceCmd</v>
      </c>
      <c r="M92" t="str">
        <f t="shared" si="23"/>
        <v/>
      </c>
    </row>
    <row r="93" spans="1:13" x14ac:dyDescent="0.25">
      <c r="A93" t="s">
        <v>1093</v>
      </c>
      <c r="B93" s="6">
        <f t="shared" si="13"/>
        <v>0.21966666666666668</v>
      </c>
      <c r="C93" s="9">
        <f t="shared" si="14"/>
        <v>18.333333333333339</v>
      </c>
      <c r="D93" s="8" t="str">
        <f t="shared" si="15"/>
        <v>W</v>
      </c>
      <c r="E93" s="3">
        <f t="shared" si="16"/>
        <v>31</v>
      </c>
      <c r="F93" s="3" t="str">
        <f t="shared" si="17"/>
        <v>ack</v>
      </c>
      <c r="G93" s="3" t="str">
        <f t="shared" si="18"/>
        <v>9C</v>
      </c>
      <c r="H93" s="3" t="str">
        <f t="shared" si="19"/>
        <v/>
      </c>
      <c r="I93" s="3">
        <f t="shared" si="20"/>
        <v>156</v>
      </c>
      <c r="J93" s="5" t="str">
        <f>IF(E93=0,"Broadcast",IF(H93="",IF(I93="","",IF(I93&lt;128,"Connect "&amp;I93,INDEX(KdoCodeTab,MATCH(I93,KdoWertTab,0)))),"ReadStat "&amp;H93))</f>
        <v>MarkCmd</v>
      </c>
      <c r="K93" t="str">
        <f t="shared" si="21"/>
        <v/>
      </c>
      <c r="L93" t="str">
        <f t="shared" si="22"/>
        <v>MarkCmd</v>
      </c>
      <c r="M93" t="str">
        <f t="shared" si="23"/>
        <v/>
      </c>
    </row>
    <row r="94" spans="1:13" x14ac:dyDescent="0.25">
      <c r="A94" t="s">
        <v>1094</v>
      </c>
      <c r="B94" s="6">
        <f t="shared" si="13"/>
        <v>0.2205</v>
      </c>
      <c r="C94" s="9">
        <f t="shared" si="14"/>
        <v>0.83333333333332482</v>
      </c>
      <c r="D94" s="8" t="str">
        <f t="shared" si="15"/>
        <v>W</v>
      </c>
      <c r="E94" s="3">
        <f t="shared" si="16"/>
        <v>31</v>
      </c>
      <c r="F94" s="3" t="str">
        <f t="shared" si="17"/>
        <v>ack</v>
      </c>
      <c r="G94" s="3" t="str">
        <f t="shared" si="18"/>
        <v>9A</v>
      </c>
      <c r="H94" s="3" t="str">
        <f t="shared" si="19"/>
        <v/>
      </c>
      <c r="I94" s="3">
        <f t="shared" si="20"/>
        <v>154</v>
      </c>
      <c r="J94" s="5" t="str">
        <f>IF(E94=0,"Broadcast",IF(H94="",IF(I94="","",IF(I94&lt;128,"Connect "&amp;I94,INDEX(KdoCodeTab,MATCH(I94,KdoWertTab,0)))),"ReadStat "&amp;H94))</f>
        <v>RepMarkCmd</v>
      </c>
      <c r="K94" t="str">
        <f t="shared" si="21"/>
        <v/>
      </c>
      <c r="L94" t="str">
        <f t="shared" si="22"/>
        <v>RepMarkCmd</v>
      </c>
      <c r="M94" t="str">
        <f t="shared" si="23"/>
        <v/>
      </c>
    </row>
    <row r="95" spans="1:13" x14ac:dyDescent="0.25">
      <c r="A95" t="s">
        <v>1095</v>
      </c>
      <c r="B95" s="6">
        <f t="shared" si="13"/>
        <v>0.27700000000000002</v>
      </c>
      <c r="C95" s="9">
        <f t="shared" si="14"/>
        <v>56.500000000000021</v>
      </c>
      <c r="D95" s="8" t="str">
        <f t="shared" si="15"/>
        <v>W</v>
      </c>
      <c r="E95" s="3">
        <f t="shared" si="16"/>
        <v>31</v>
      </c>
      <c r="F95" s="3" t="str">
        <f t="shared" si="17"/>
        <v>ack</v>
      </c>
      <c r="G95" s="3" t="str">
        <f t="shared" si="18"/>
        <v>A9</v>
      </c>
      <c r="H95" s="3" t="str">
        <f t="shared" si="19"/>
        <v/>
      </c>
      <c r="I95" s="3">
        <f t="shared" si="20"/>
        <v>169</v>
      </c>
      <c r="J95" s="5" t="str">
        <f>IF(E95=0,"Broadcast",IF(H95="",IF(I95="","",IF(I95&lt;128,"Connect "&amp;I95,INDEX(KdoCodeTab,MATCH(I95,KdoWertTab,0)))),"ReadStat "&amp;H95))</f>
        <v>Heartbeat</v>
      </c>
      <c r="K95" t="str">
        <f t="shared" si="21"/>
        <v/>
      </c>
      <c r="L95" t="str">
        <f t="shared" si="22"/>
        <v>Heartbeat</v>
      </c>
      <c r="M95" t="str">
        <f t="shared" si="23"/>
        <v/>
      </c>
    </row>
    <row r="96" spans="1:13" x14ac:dyDescent="0.25">
      <c r="A96" t="s">
        <v>1096</v>
      </c>
      <c r="B96" s="6">
        <f t="shared" si="13"/>
        <v>0.27783333333333338</v>
      </c>
      <c r="C96" s="9">
        <f t="shared" si="14"/>
        <v>0.83333333333335258</v>
      </c>
      <c r="D96" s="8" t="str">
        <f t="shared" si="15"/>
        <v>W</v>
      </c>
      <c r="E96" s="3">
        <f t="shared" si="16"/>
        <v>33</v>
      </c>
      <c r="F96" s="3" t="str">
        <f t="shared" si="17"/>
        <v>ack</v>
      </c>
      <c r="G96" s="3" t="str">
        <f t="shared" si="18"/>
        <v>A9</v>
      </c>
      <c r="H96" s="3" t="str">
        <f t="shared" si="19"/>
        <v/>
      </c>
      <c r="I96" s="3">
        <f t="shared" si="20"/>
        <v>169</v>
      </c>
      <c r="J96" s="5" t="str">
        <f>IF(E96=0,"Broadcast",IF(H96="",IF(I96="","",IF(I96&lt;128,"Connect "&amp;I96,INDEX(KdoCodeTab,MATCH(I96,KdoWertTab,0)))),"ReadStat "&amp;H96))</f>
        <v>Heartbeat</v>
      </c>
      <c r="K96" t="str">
        <f t="shared" si="21"/>
        <v>Heartbeat</v>
      </c>
      <c r="L96" t="str">
        <f t="shared" si="22"/>
        <v/>
      </c>
      <c r="M96" t="str">
        <f t="shared" si="23"/>
        <v/>
      </c>
    </row>
    <row r="97" spans="1:13" x14ac:dyDescent="0.25">
      <c r="A97" t="s">
        <v>1097</v>
      </c>
      <c r="B97" s="6">
        <f t="shared" si="13"/>
        <v>0.34983333333333333</v>
      </c>
      <c r="C97" s="9">
        <f t="shared" si="14"/>
        <v>71.999999999999957</v>
      </c>
      <c r="D97" s="8" t="str">
        <f t="shared" si="15"/>
        <v>W</v>
      </c>
      <c r="E97" s="3">
        <f t="shared" si="16"/>
        <v>31</v>
      </c>
      <c r="F97" s="3" t="str">
        <f t="shared" si="17"/>
        <v>ack</v>
      </c>
      <c r="G97" s="3" t="str">
        <f t="shared" si="18"/>
        <v>93</v>
      </c>
      <c r="H97" s="3" t="str">
        <f t="shared" si="19"/>
        <v/>
      </c>
      <c r="I97" s="3">
        <f t="shared" si="20"/>
        <v>147</v>
      </c>
      <c r="J97" s="5" t="str">
        <f>IF(E97=0,"Broadcast",IF(H97="",IF(I97="","",IF(I97&lt;128,"Connect "&amp;I97,INDEX(KdoCodeTab,MATCH(I97,KdoWertTab,0)))),"ReadStat "&amp;H97))</f>
        <v>SpaceCmd</v>
      </c>
      <c r="K97" t="str">
        <f t="shared" si="21"/>
        <v/>
      </c>
      <c r="L97" t="str">
        <f t="shared" si="22"/>
        <v>SpaceCmd</v>
      </c>
      <c r="M97" t="str">
        <f t="shared" si="23"/>
        <v/>
      </c>
    </row>
    <row r="98" spans="1:13" x14ac:dyDescent="0.25">
      <c r="A98" t="s">
        <v>1098</v>
      </c>
      <c r="B98" s="6">
        <f t="shared" si="13"/>
        <v>0.35066666666666663</v>
      </c>
      <c r="C98" s="9">
        <f t="shared" si="14"/>
        <v>0.83333333333329707</v>
      </c>
      <c r="D98" s="8" t="str">
        <f t="shared" si="15"/>
        <v>W</v>
      </c>
      <c r="E98" s="3">
        <f t="shared" si="16"/>
        <v>31</v>
      </c>
      <c r="F98" s="3" t="str">
        <f t="shared" si="17"/>
        <v>ack</v>
      </c>
      <c r="G98" s="3" t="str">
        <f t="shared" si="18"/>
        <v>96</v>
      </c>
      <c r="H98" s="3" t="str">
        <f t="shared" si="19"/>
        <v/>
      </c>
      <c r="I98" s="3">
        <f t="shared" si="20"/>
        <v>150</v>
      </c>
      <c r="J98" s="5" t="str">
        <f>IF(E98=0,"Broadcast",IF(H98="",IF(I98="","",IF(I98&lt;128,"Connect "&amp;I98,INDEX(KdoCodeTab,MATCH(I98,KdoWertTab,0)))),"ReadStat "&amp;H98))</f>
        <v>RepSpaceCmd</v>
      </c>
      <c r="K98" t="str">
        <f t="shared" si="21"/>
        <v/>
      </c>
      <c r="L98" t="str">
        <f t="shared" si="22"/>
        <v>RepSpaceCmd</v>
      </c>
      <c r="M98" t="str">
        <f t="shared" si="23"/>
        <v/>
      </c>
    </row>
    <row r="99" spans="1:13" x14ac:dyDescent="0.25">
      <c r="A99" t="s">
        <v>1099</v>
      </c>
      <c r="B99" s="6">
        <f t="shared" si="13"/>
        <v>0.37016666666666664</v>
      </c>
      <c r="C99" s="9">
        <f t="shared" si="14"/>
        <v>19.500000000000018</v>
      </c>
      <c r="D99" s="8" t="str">
        <f t="shared" si="15"/>
        <v>W</v>
      </c>
      <c r="E99" s="3">
        <f t="shared" si="16"/>
        <v>31</v>
      </c>
      <c r="F99" s="3" t="str">
        <f t="shared" si="17"/>
        <v>ack</v>
      </c>
      <c r="G99" s="3" t="str">
        <f t="shared" si="18"/>
        <v>9C</v>
      </c>
      <c r="H99" s="3" t="str">
        <f t="shared" si="19"/>
        <v/>
      </c>
      <c r="I99" s="3">
        <f t="shared" si="20"/>
        <v>156</v>
      </c>
      <c r="J99" s="5" t="str">
        <f>IF(E99=0,"Broadcast",IF(H99="",IF(I99="","",IF(I99&lt;128,"Connect "&amp;I99,INDEX(KdoCodeTab,MATCH(I99,KdoWertTab,0)))),"ReadStat "&amp;H99))</f>
        <v>MarkCmd</v>
      </c>
      <c r="K99" t="str">
        <f t="shared" si="21"/>
        <v/>
      </c>
      <c r="L99" t="str">
        <f t="shared" si="22"/>
        <v>MarkCmd</v>
      </c>
      <c r="M99" t="str">
        <f t="shared" si="23"/>
        <v/>
      </c>
    </row>
    <row r="100" spans="1:13" x14ac:dyDescent="0.25">
      <c r="A100" t="s">
        <v>1100</v>
      </c>
      <c r="B100" s="6">
        <f t="shared" si="13"/>
        <v>0.371</v>
      </c>
      <c r="C100" s="9">
        <f t="shared" si="14"/>
        <v>0.83333333333335258</v>
      </c>
      <c r="D100" s="8" t="str">
        <f t="shared" si="15"/>
        <v>W</v>
      </c>
      <c r="E100" s="3">
        <f t="shared" si="16"/>
        <v>31</v>
      </c>
      <c r="F100" s="3" t="str">
        <f t="shared" si="17"/>
        <v>ack</v>
      </c>
      <c r="G100" s="3" t="str">
        <f t="shared" si="18"/>
        <v>9A</v>
      </c>
      <c r="H100" s="3" t="str">
        <f t="shared" si="19"/>
        <v/>
      </c>
      <c r="I100" s="3">
        <f t="shared" si="20"/>
        <v>154</v>
      </c>
      <c r="J100" s="5" t="str">
        <f>IF(E100=0,"Broadcast",IF(H100="",IF(I100="","",IF(I100&lt;128,"Connect "&amp;I100,INDEX(KdoCodeTab,MATCH(I100,KdoWertTab,0)))),"ReadStat "&amp;H100))</f>
        <v>RepMarkCmd</v>
      </c>
      <c r="K100" t="str">
        <f t="shared" si="21"/>
        <v/>
      </c>
      <c r="L100" t="str">
        <f t="shared" si="22"/>
        <v>RepMarkCmd</v>
      </c>
      <c r="M100" t="str">
        <f t="shared" si="23"/>
        <v/>
      </c>
    </row>
    <row r="101" spans="1:13" x14ac:dyDescent="0.25">
      <c r="A101" t="s">
        <v>1101</v>
      </c>
      <c r="B101" s="6">
        <f t="shared" si="13"/>
        <v>0.50049999999999994</v>
      </c>
      <c r="C101" s="9">
        <f t="shared" si="14"/>
        <v>129.49999999999994</v>
      </c>
      <c r="D101" s="8" t="str">
        <f t="shared" si="15"/>
        <v>W</v>
      </c>
      <c r="E101" s="3">
        <f t="shared" si="16"/>
        <v>31</v>
      </c>
      <c r="F101" s="3" t="str">
        <f t="shared" si="17"/>
        <v>ack</v>
      </c>
      <c r="G101" s="3" t="str">
        <f t="shared" si="18"/>
        <v>93</v>
      </c>
      <c r="H101" s="3" t="str">
        <f t="shared" si="19"/>
        <v/>
      </c>
      <c r="I101" s="3">
        <f t="shared" si="20"/>
        <v>147</v>
      </c>
      <c r="J101" s="5" t="str">
        <f>IF(E101=0,"Broadcast",IF(H101="",IF(I101="","",IF(I101&lt;128,"Connect "&amp;I101,INDEX(KdoCodeTab,MATCH(I101,KdoWertTab,0)))),"ReadStat "&amp;H101))</f>
        <v>SpaceCmd</v>
      </c>
      <c r="K101" t="str">
        <f t="shared" si="21"/>
        <v/>
      </c>
      <c r="L101" t="str">
        <f t="shared" si="22"/>
        <v>SpaceCmd</v>
      </c>
      <c r="M101" t="str">
        <f t="shared" si="23"/>
        <v/>
      </c>
    </row>
    <row r="102" spans="1:13" x14ac:dyDescent="0.25">
      <c r="A102" t="s">
        <v>1102</v>
      </c>
      <c r="B102" s="6">
        <f t="shared" si="13"/>
        <v>0.50149999999999995</v>
      </c>
      <c r="C102" s="9">
        <f t="shared" si="14"/>
        <v>1.0000000000000009</v>
      </c>
      <c r="D102" s="8" t="str">
        <f t="shared" si="15"/>
        <v>W</v>
      </c>
      <c r="E102" s="3">
        <f t="shared" si="16"/>
        <v>31</v>
      </c>
      <c r="F102" s="3" t="str">
        <f t="shared" si="17"/>
        <v>ack</v>
      </c>
      <c r="G102" s="3" t="str">
        <f t="shared" si="18"/>
        <v>96</v>
      </c>
      <c r="H102" s="3" t="str">
        <f t="shared" si="19"/>
        <v/>
      </c>
      <c r="I102" s="3">
        <f t="shared" si="20"/>
        <v>150</v>
      </c>
      <c r="J102" s="5" t="str">
        <f>IF(E102=0,"Broadcast",IF(H102="",IF(I102="","",IF(I102&lt;128,"Connect "&amp;I102,INDEX(KdoCodeTab,MATCH(I102,KdoWertTab,0)))),"ReadStat "&amp;H102))</f>
        <v>RepSpaceCmd</v>
      </c>
      <c r="K102" t="str">
        <f t="shared" si="21"/>
        <v/>
      </c>
      <c r="L102" t="str">
        <f t="shared" si="22"/>
        <v>RepSpaceCmd</v>
      </c>
      <c r="M102" t="str">
        <f t="shared" si="23"/>
        <v/>
      </c>
    </row>
    <row r="103" spans="1:13" x14ac:dyDescent="0.25">
      <c r="A103" t="s">
        <v>1103</v>
      </c>
      <c r="B103" s="6">
        <f t="shared" si="13"/>
        <v>0.51949999999999996</v>
      </c>
      <c r="C103" s="9">
        <f t="shared" si="14"/>
        <v>18.000000000000014</v>
      </c>
      <c r="D103" s="8" t="str">
        <f t="shared" si="15"/>
        <v>W</v>
      </c>
      <c r="E103" s="3">
        <f t="shared" si="16"/>
        <v>31</v>
      </c>
      <c r="F103" s="3" t="str">
        <f t="shared" si="17"/>
        <v>ack</v>
      </c>
      <c r="G103" s="3" t="str">
        <f t="shared" si="18"/>
        <v>9C</v>
      </c>
      <c r="H103" s="3" t="str">
        <f t="shared" si="19"/>
        <v/>
      </c>
      <c r="I103" s="3">
        <f t="shared" si="20"/>
        <v>156</v>
      </c>
      <c r="J103" s="5" t="str">
        <f>IF(E103=0,"Broadcast",IF(H103="",IF(I103="","",IF(I103&lt;128,"Connect "&amp;I103,INDEX(KdoCodeTab,MATCH(I103,KdoWertTab,0)))),"ReadStat "&amp;H103))</f>
        <v>MarkCmd</v>
      </c>
      <c r="K103" t="str">
        <f t="shared" si="21"/>
        <v/>
      </c>
      <c r="L103" t="str">
        <f t="shared" si="22"/>
        <v>MarkCmd</v>
      </c>
      <c r="M103" t="str">
        <f t="shared" si="23"/>
        <v/>
      </c>
    </row>
    <row r="104" spans="1:13" x14ac:dyDescent="0.25">
      <c r="A104" t="s">
        <v>1104</v>
      </c>
      <c r="B104" s="6">
        <f t="shared" si="13"/>
        <v>0.52049999999999996</v>
      </c>
      <c r="C104" s="9">
        <f t="shared" si="14"/>
        <v>1.0000000000000009</v>
      </c>
      <c r="D104" s="8" t="str">
        <f t="shared" si="15"/>
        <v>W</v>
      </c>
      <c r="E104" s="3">
        <f t="shared" si="16"/>
        <v>31</v>
      </c>
      <c r="F104" s="3" t="str">
        <f t="shared" si="17"/>
        <v>ack</v>
      </c>
      <c r="G104" s="3" t="str">
        <f t="shared" si="18"/>
        <v>9A</v>
      </c>
      <c r="H104" s="3" t="str">
        <f t="shared" si="19"/>
        <v/>
      </c>
      <c r="I104" s="3">
        <f t="shared" si="20"/>
        <v>154</v>
      </c>
      <c r="J104" s="5" t="str">
        <f>IF(E104=0,"Broadcast",IF(H104="",IF(I104="","",IF(I104&lt;128,"Connect "&amp;I104,INDEX(KdoCodeTab,MATCH(I104,KdoWertTab,0)))),"ReadStat "&amp;H104))</f>
        <v>RepMarkCmd</v>
      </c>
      <c r="K104" t="str">
        <f t="shared" si="21"/>
        <v/>
      </c>
      <c r="L104" t="str">
        <f t="shared" si="22"/>
        <v>RepMarkCmd</v>
      </c>
      <c r="M104" t="str">
        <f t="shared" si="23"/>
        <v/>
      </c>
    </row>
    <row r="105" spans="1:13" x14ac:dyDescent="0.25">
      <c r="A105" t="s">
        <v>1105</v>
      </c>
      <c r="B105" s="6">
        <f t="shared" si="13"/>
        <v>0.64983333333333337</v>
      </c>
      <c r="C105" s="9">
        <f t="shared" si="14"/>
        <v>129.3333333333334</v>
      </c>
      <c r="D105" s="8" t="str">
        <f t="shared" si="15"/>
        <v>W</v>
      </c>
      <c r="E105" s="3">
        <f t="shared" si="16"/>
        <v>31</v>
      </c>
      <c r="F105" s="3" t="str">
        <f t="shared" si="17"/>
        <v>ack</v>
      </c>
      <c r="G105" s="3" t="str">
        <f t="shared" si="18"/>
        <v>93</v>
      </c>
      <c r="H105" s="3" t="str">
        <f t="shared" si="19"/>
        <v/>
      </c>
      <c r="I105" s="3">
        <f t="shared" si="20"/>
        <v>147</v>
      </c>
      <c r="J105" s="5" t="str">
        <f>IF(E105=0,"Broadcast",IF(H105="",IF(I105="","",IF(I105&lt;128,"Connect "&amp;I105,INDEX(KdoCodeTab,MATCH(I105,KdoWertTab,0)))),"ReadStat "&amp;H105))</f>
        <v>SpaceCmd</v>
      </c>
      <c r="K105" t="str">
        <f t="shared" si="21"/>
        <v/>
      </c>
      <c r="L105" t="str">
        <f t="shared" si="22"/>
        <v>SpaceCmd</v>
      </c>
      <c r="M105" t="str">
        <f t="shared" si="23"/>
        <v/>
      </c>
    </row>
    <row r="106" spans="1:13" x14ac:dyDescent="0.25">
      <c r="A106" t="s">
        <v>1106</v>
      </c>
      <c r="B106" s="6">
        <f t="shared" si="13"/>
        <v>0.65083333333333337</v>
      </c>
      <c r="C106" s="9">
        <f t="shared" si="14"/>
        <v>1.0000000000000009</v>
      </c>
      <c r="D106" s="8" t="str">
        <f t="shared" si="15"/>
        <v>R</v>
      </c>
      <c r="E106" s="3">
        <f t="shared" si="16"/>
        <v>18</v>
      </c>
      <c r="F106" s="3" t="str">
        <f t="shared" si="17"/>
        <v>NACK</v>
      </c>
      <c r="G106" s="3" t="str">
        <f t="shared" si="18"/>
        <v/>
      </c>
      <c r="H106" s="3" t="str">
        <f t="shared" si="19"/>
        <v/>
      </c>
      <c r="I106" s="3" t="str">
        <f t="shared" si="20"/>
        <v/>
      </c>
      <c r="J106" s="5" t="str">
        <f>IF(E106=0,"Broadcast",IF(H106="",IF(I106="","",IF(I106&lt;128,"Connect "&amp;I106,INDEX(KdoCodeTab,MATCH(I106,KdoWertTab,0)))),"ReadStat "&amp;H106))</f>
        <v/>
      </c>
      <c r="K106" t="str">
        <f t="shared" si="21"/>
        <v/>
      </c>
      <c r="L106" t="str">
        <f t="shared" si="22"/>
        <v/>
      </c>
      <c r="M106" t="str">
        <f t="shared" si="23"/>
        <v/>
      </c>
    </row>
    <row r="107" spans="1:13" x14ac:dyDescent="0.25">
      <c r="A107" t="s">
        <v>1107</v>
      </c>
      <c r="B107" s="6">
        <f t="shared" si="13"/>
        <v>0.67</v>
      </c>
      <c r="C107" s="9">
        <f t="shared" si="14"/>
        <v>19.166666666666664</v>
      </c>
      <c r="D107" s="8" t="str">
        <f t="shared" si="15"/>
        <v>W</v>
      </c>
      <c r="E107" s="3">
        <f t="shared" si="16"/>
        <v>31</v>
      </c>
      <c r="F107" s="3" t="str">
        <f t="shared" si="17"/>
        <v>ack</v>
      </c>
      <c r="G107" s="3" t="str">
        <f t="shared" si="18"/>
        <v>9C</v>
      </c>
      <c r="H107" s="3" t="str">
        <f t="shared" si="19"/>
        <v/>
      </c>
      <c r="I107" s="3">
        <f t="shared" si="20"/>
        <v>156</v>
      </c>
      <c r="J107" s="5" t="str">
        <f>IF(E107=0,"Broadcast",IF(H107="",IF(I107="","",IF(I107&lt;128,"Connect "&amp;I107,INDEX(KdoCodeTab,MATCH(I107,KdoWertTab,0)))),"ReadStat "&amp;H107))</f>
        <v>MarkCmd</v>
      </c>
      <c r="K107" t="str">
        <f t="shared" si="21"/>
        <v/>
      </c>
      <c r="L107" t="str">
        <f t="shared" si="22"/>
        <v>MarkCmd</v>
      </c>
      <c r="M107" t="str">
        <f t="shared" si="23"/>
        <v/>
      </c>
    </row>
    <row r="108" spans="1:13" x14ac:dyDescent="0.25">
      <c r="A108" t="s">
        <v>1108</v>
      </c>
      <c r="B108" s="6">
        <f t="shared" si="13"/>
        <v>0.67100000000000004</v>
      </c>
      <c r="C108" s="9">
        <f t="shared" si="14"/>
        <v>1.0000000000000009</v>
      </c>
      <c r="D108" s="8" t="str">
        <f t="shared" si="15"/>
        <v>W</v>
      </c>
      <c r="E108" s="3">
        <f t="shared" si="16"/>
        <v>31</v>
      </c>
      <c r="F108" s="3" t="str">
        <f t="shared" si="17"/>
        <v>ack</v>
      </c>
      <c r="G108" s="3" t="str">
        <f t="shared" si="18"/>
        <v>9A</v>
      </c>
      <c r="H108" s="3" t="str">
        <f t="shared" si="19"/>
        <v/>
      </c>
      <c r="I108" s="3">
        <f t="shared" si="20"/>
        <v>154</v>
      </c>
      <c r="J108" s="5" t="str">
        <f>IF(E108=0,"Broadcast",IF(H108="",IF(I108="","",IF(I108&lt;128,"Connect "&amp;I108,INDEX(KdoCodeTab,MATCH(I108,KdoWertTab,0)))),"ReadStat "&amp;H108))</f>
        <v>RepMarkCmd</v>
      </c>
      <c r="K108" t="str">
        <f t="shared" si="21"/>
        <v/>
      </c>
      <c r="L108" t="str">
        <f t="shared" si="22"/>
        <v>RepMarkCmd</v>
      </c>
      <c r="M108" t="str">
        <f t="shared" si="23"/>
        <v/>
      </c>
    </row>
    <row r="109" spans="1:13" x14ac:dyDescent="0.25">
      <c r="A109" t="s">
        <v>1109</v>
      </c>
      <c r="B109" s="6">
        <f t="shared" si="13"/>
        <v>0.69033333333333324</v>
      </c>
      <c r="C109" s="9">
        <f t="shared" si="14"/>
        <v>19.333333333333201</v>
      </c>
      <c r="D109" s="8" t="str">
        <f t="shared" si="15"/>
        <v>W</v>
      </c>
      <c r="E109" s="3">
        <f t="shared" si="16"/>
        <v>31</v>
      </c>
      <c r="F109" s="3" t="str">
        <f t="shared" si="17"/>
        <v>ack</v>
      </c>
      <c r="G109" s="3" t="str">
        <f t="shared" si="18"/>
        <v>93</v>
      </c>
      <c r="H109" s="3" t="str">
        <f t="shared" si="19"/>
        <v/>
      </c>
      <c r="I109" s="3">
        <f t="shared" si="20"/>
        <v>147</v>
      </c>
      <c r="J109" s="5" t="str">
        <f>IF(E109=0,"Broadcast",IF(H109="",IF(I109="","",IF(I109&lt;128,"Connect "&amp;I109,INDEX(KdoCodeTab,MATCH(I109,KdoWertTab,0)))),"ReadStat "&amp;H109))</f>
        <v>SpaceCmd</v>
      </c>
      <c r="K109" t="str">
        <f t="shared" si="21"/>
        <v/>
      </c>
      <c r="L109" t="str">
        <f t="shared" si="22"/>
        <v>SpaceCmd</v>
      </c>
      <c r="M109" t="str">
        <f t="shared" si="23"/>
        <v/>
      </c>
    </row>
    <row r="110" spans="1:13" x14ac:dyDescent="0.25">
      <c r="A110" t="s">
        <v>1110</v>
      </c>
      <c r="B110" s="6">
        <f t="shared" si="13"/>
        <v>0.69133333333333324</v>
      </c>
      <c r="C110" s="9">
        <f t="shared" si="14"/>
        <v>1.0000000000000009</v>
      </c>
      <c r="D110" s="8" t="str">
        <f t="shared" si="15"/>
        <v>W</v>
      </c>
      <c r="E110" s="3">
        <f t="shared" si="16"/>
        <v>31</v>
      </c>
      <c r="F110" s="3" t="str">
        <f t="shared" si="17"/>
        <v>ack</v>
      </c>
      <c r="G110" s="3" t="str">
        <f t="shared" si="18"/>
        <v>96</v>
      </c>
      <c r="H110" s="3" t="str">
        <f t="shared" si="19"/>
        <v/>
      </c>
      <c r="I110" s="3">
        <f t="shared" si="20"/>
        <v>150</v>
      </c>
      <c r="J110" s="5" t="str">
        <f>IF(E110=0,"Broadcast",IF(H110="",IF(I110="","",IF(I110&lt;128,"Connect "&amp;I110,INDEX(KdoCodeTab,MATCH(I110,KdoWertTab,0)))),"ReadStat "&amp;H110))</f>
        <v>RepSpaceCmd</v>
      </c>
      <c r="K110" t="str">
        <f t="shared" si="21"/>
        <v/>
      </c>
      <c r="L110" t="str">
        <f t="shared" si="22"/>
        <v>RepSpaceCmd</v>
      </c>
      <c r="M110" t="str">
        <f t="shared" si="23"/>
        <v/>
      </c>
    </row>
    <row r="111" spans="1:13" x14ac:dyDescent="0.25">
      <c r="A111" t="s">
        <v>1111</v>
      </c>
      <c r="B111" s="6">
        <f t="shared" si="13"/>
        <v>0.70949999999999991</v>
      </c>
      <c r="C111" s="9">
        <f t="shared" si="14"/>
        <v>18.166666666666664</v>
      </c>
      <c r="D111" s="8" t="str">
        <f t="shared" si="15"/>
        <v>W</v>
      </c>
      <c r="E111" s="3">
        <f t="shared" si="16"/>
        <v>31</v>
      </c>
      <c r="F111" s="3" t="str">
        <f t="shared" si="17"/>
        <v>ack</v>
      </c>
      <c r="G111" s="3" t="str">
        <f t="shared" si="18"/>
        <v>9C</v>
      </c>
      <c r="H111" s="3" t="str">
        <f t="shared" si="19"/>
        <v/>
      </c>
      <c r="I111" s="3">
        <f t="shared" si="20"/>
        <v>156</v>
      </c>
      <c r="J111" s="5" t="str">
        <f>IF(E111=0,"Broadcast",IF(H111="",IF(I111="","",IF(I111&lt;128,"Connect "&amp;I111,INDEX(KdoCodeTab,MATCH(I111,KdoWertTab,0)))),"ReadStat "&amp;H111))</f>
        <v>MarkCmd</v>
      </c>
      <c r="K111" t="str">
        <f t="shared" si="21"/>
        <v/>
      </c>
      <c r="L111" t="str">
        <f t="shared" si="22"/>
        <v>MarkCmd</v>
      </c>
      <c r="M111" t="str">
        <f t="shared" si="23"/>
        <v/>
      </c>
    </row>
    <row r="112" spans="1:13" x14ac:dyDescent="0.25">
      <c r="A112" t="s">
        <v>1112</v>
      </c>
      <c r="B112" s="6">
        <f t="shared" si="13"/>
        <v>0.71049999999999991</v>
      </c>
      <c r="C112" s="9">
        <f t="shared" si="14"/>
        <v>1.0000000000000009</v>
      </c>
      <c r="D112" s="8" t="str">
        <f t="shared" si="15"/>
        <v>W</v>
      </c>
      <c r="E112" s="3">
        <f t="shared" si="16"/>
        <v>31</v>
      </c>
      <c r="F112" s="3" t="str">
        <f t="shared" si="17"/>
        <v>ack</v>
      </c>
      <c r="G112" s="3" t="str">
        <f t="shared" si="18"/>
        <v>9A</v>
      </c>
      <c r="H112" s="3" t="str">
        <f t="shared" si="19"/>
        <v/>
      </c>
      <c r="I112" s="3">
        <f t="shared" si="20"/>
        <v>154</v>
      </c>
      <c r="J112" s="5" t="str">
        <f>IF(E112=0,"Broadcast",IF(H112="",IF(I112="","",IF(I112&lt;128,"Connect "&amp;I112,INDEX(KdoCodeTab,MATCH(I112,KdoWertTab,0)))),"ReadStat "&amp;H112))</f>
        <v>RepMarkCmd</v>
      </c>
      <c r="K112" t="str">
        <f t="shared" si="21"/>
        <v/>
      </c>
      <c r="L112" t="str">
        <f t="shared" si="22"/>
        <v>RepMarkCmd</v>
      </c>
      <c r="M112" t="str">
        <f t="shared" si="23"/>
        <v/>
      </c>
    </row>
    <row r="113" spans="1:13" x14ac:dyDescent="0.25">
      <c r="A113" t="s">
        <v>1113</v>
      </c>
      <c r="B113" s="6">
        <f t="shared" si="13"/>
        <v>0.74983333333333335</v>
      </c>
      <c r="C113" s="9">
        <f t="shared" si="14"/>
        <v>39.333333333333442</v>
      </c>
      <c r="D113" s="8" t="str">
        <f t="shared" si="15"/>
        <v>W</v>
      </c>
      <c r="E113" s="3">
        <f t="shared" si="16"/>
        <v>31</v>
      </c>
      <c r="F113" s="3" t="str">
        <f t="shared" si="17"/>
        <v>ack</v>
      </c>
      <c r="G113" s="3" t="str">
        <f t="shared" si="18"/>
        <v>93</v>
      </c>
      <c r="H113" s="3" t="str">
        <f t="shared" si="19"/>
        <v/>
      </c>
      <c r="I113" s="3">
        <f t="shared" si="20"/>
        <v>147</v>
      </c>
      <c r="J113" s="5" t="str">
        <f>IF(E113=0,"Broadcast",IF(H113="",IF(I113="","",IF(I113&lt;128,"Connect "&amp;I113,INDEX(KdoCodeTab,MATCH(I113,KdoWertTab,0)))),"ReadStat "&amp;H113))</f>
        <v>SpaceCmd</v>
      </c>
      <c r="K113" t="str">
        <f t="shared" si="21"/>
        <v/>
      </c>
      <c r="L113" t="str">
        <f t="shared" si="22"/>
        <v>SpaceCmd</v>
      </c>
      <c r="M113" t="str">
        <f t="shared" si="23"/>
        <v/>
      </c>
    </row>
    <row r="114" spans="1:13" x14ac:dyDescent="0.25">
      <c r="A114" t="s">
        <v>1114</v>
      </c>
      <c r="B114" s="6">
        <f t="shared" si="13"/>
        <v>0.75083333333333335</v>
      </c>
      <c r="C114" s="9">
        <f t="shared" si="14"/>
        <v>1.0000000000000009</v>
      </c>
      <c r="D114" s="8" t="str">
        <f t="shared" si="15"/>
        <v>W</v>
      </c>
      <c r="E114" s="3">
        <f t="shared" si="16"/>
        <v>31</v>
      </c>
      <c r="F114" s="3" t="str">
        <f t="shared" si="17"/>
        <v>ack</v>
      </c>
      <c r="G114" s="3" t="str">
        <f t="shared" si="18"/>
        <v>96</v>
      </c>
      <c r="H114" s="3" t="str">
        <f t="shared" si="19"/>
        <v/>
      </c>
      <c r="I114" s="3">
        <f t="shared" si="20"/>
        <v>150</v>
      </c>
      <c r="J114" s="5" t="str">
        <f>IF(E114=0,"Broadcast",IF(H114="",IF(I114="","",IF(I114&lt;128,"Connect "&amp;I114,INDEX(KdoCodeTab,MATCH(I114,KdoWertTab,0)))),"ReadStat "&amp;H114))</f>
        <v>RepSpaceCmd</v>
      </c>
      <c r="K114" t="str">
        <f t="shared" si="21"/>
        <v/>
      </c>
      <c r="L114" t="str">
        <f t="shared" si="22"/>
        <v>RepSpaceCmd</v>
      </c>
      <c r="M114" t="str">
        <f t="shared" si="23"/>
        <v/>
      </c>
    </row>
    <row r="115" spans="1:13" x14ac:dyDescent="0.25">
      <c r="A115" t="s">
        <v>1115</v>
      </c>
      <c r="B115" s="6">
        <f t="shared" si="13"/>
        <v>0.77</v>
      </c>
      <c r="C115" s="9">
        <f t="shared" si="14"/>
        <v>19.166666666666664</v>
      </c>
      <c r="D115" s="8" t="str">
        <f t="shared" si="15"/>
        <v>W</v>
      </c>
      <c r="E115" s="3">
        <f t="shared" si="16"/>
        <v>31</v>
      </c>
      <c r="F115" s="3" t="str">
        <f t="shared" si="17"/>
        <v>ack</v>
      </c>
      <c r="G115" s="3" t="str">
        <f t="shared" si="18"/>
        <v>9C</v>
      </c>
      <c r="H115" s="3" t="str">
        <f t="shared" si="19"/>
        <v/>
      </c>
      <c r="I115" s="3">
        <f t="shared" si="20"/>
        <v>156</v>
      </c>
      <c r="J115" s="5" t="str">
        <f>IF(E115=0,"Broadcast",IF(H115="",IF(I115="","",IF(I115&lt;128,"Connect "&amp;I115,INDEX(KdoCodeTab,MATCH(I115,KdoWertTab,0)))),"ReadStat "&amp;H115))</f>
        <v>MarkCmd</v>
      </c>
      <c r="K115" t="str">
        <f t="shared" si="21"/>
        <v/>
      </c>
      <c r="L115" t="str">
        <f t="shared" si="22"/>
        <v>MarkCmd</v>
      </c>
      <c r="M115" t="str">
        <f t="shared" si="23"/>
        <v/>
      </c>
    </row>
    <row r="116" spans="1:13" x14ac:dyDescent="0.25">
      <c r="A116" t="s">
        <v>1116</v>
      </c>
      <c r="B116" s="6">
        <f t="shared" si="13"/>
        <v>0.77100000000000002</v>
      </c>
      <c r="C116" s="9">
        <f t="shared" si="14"/>
        <v>1.0000000000000009</v>
      </c>
      <c r="D116" s="8" t="str">
        <f t="shared" si="15"/>
        <v>W</v>
      </c>
      <c r="E116" s="3">
        <f t="shared" si="16"/>
        <v>31</v>
      </c>
      <c r="F116" s="3" t="str">
        <f t="shared" si="17"/>
        <v>ack</v>
      </c>
      <c r="G116" s="3" t="str">
        <f t="shared" si="18"/>
        <v>9A</v>
      </c>
      <c r="H116" s="3" t="str">
        <f t="shared" si="19"/>
        <v/>
      </c>
      <c r="I116" s="3">
        <f t="shared" si="20"/>
        <v>154</v>
      </c>
      <c r="J116" s="5" t="str">
        <f>IF(E116=0,"Broadcast",IF(H116="",IF(I116="","",IF(I116&lt;128,"Connect "&amp;I116,INDEX(KdoCodeTab,MATCH(I116,KdoWertTab,0)))),"ReadStat "&amp;H116))</f>
        <v>RepMarkCmd</v>
      </c>
      <c r="K116" t="str">
        <f t="shared" si="21"/>
        <v/>
      </c>
      <c r="L116" t="str">
        <f t="shared" si="22"/>
        <v>RepMarkCmd</v>
      </c>
      <c r="M116" t="str">
        <f t="shared" si="23"/>
        <v/>
      </c>
    </row>
    <row r="117" spans="1:13" x14ac:dyDescent="0.25">
      <c r="A117" t="s">
        <v>1117</v>
      </c>
      <c r="B117" s="6">
        <f t="shared" si="13"/>
        <v>0.80049999999999999</v>
      </c>
      <c r="C117" s="9">
        <f t="shared" si="14"/>
        <v>29.499999999999972</v>
      </c>
      <c r="D117" s="8" t="str">
        <f t="shared" si="15"/>
        <v>W</v>
      </c>
      <c r="E117" s="3">
        <f t="shared" si="16"/>
        <v>31</v>
      </c>
      <c r="F117" s="3" t="str">
        <f t="shared" si="17"/>
        <v>ack</v>
      </c>
      <c r="G117" s="3" t="str">
        <f t="shared" si="18"/>
        <v>93</v>
      </c>
      <c r="H117" s="3" t="str">
        <f t="shared" si="19"/>
        <v/>
      </c>
      <c r="I117" s="3">
        <f t="shared" si="20"/>
        <v>147</v>
      </c>
      <c r="J117" s="5" t="str">
        <f>IF(E117=0,"Broadcast",IF(H117="",IF(I117="","",IF(I117&lt;128,"Connect "&amp;I117,INDEX(KdoCodeTab,MATCH(I117,KdoWertTab,0)))),"ReadStat "&amp;H117))</f>
        <v>SpaceCmd</v>
      </c>
      <c r="K117" t="str">
        <f t="shared" si="21"/>
        <v/>
      </c>
      <c r="L117" t="str">
        <f t="shared" si="22"/>
        <v>SpaceCmd</v>
      </c>
      <c r="M117" t="str">
        <f t="shared" si="23"/>
        <v/>
      </c>
    </row>
    <row r="118" spans="1:13" x14ac:dyDescent="0.25">
      <c r="A118" t="s">
        <v>1118</v>
      </c>
      <c r="B118" s="6">
        <f t="shared" si="13"/>
        <v>0.80149999999999999</v>
      </c>
      <c r="C118" s="9">
        <f t="shared" si="14"/>
        <v>1.0000000000000009</v>
      </c>
      <c r="D118" s="8" t="str">
        <f t="shared" si="15"/>
        <v>W</v>
      </c>
      <c r="E118" s="3">
        <f t="shared" si="16"/>
        <v>31</v>
      </c>
      <c r="F118" s="3" t="str">
        <f t="shared" si="17"/>
        <v>ack</v>
      </c>
      <c r="G118" s="3" t="str">
        <f t="shared" si="18"/>
        <v>96</v>
      </c>
      <c r="H118" s="3" t="str">
        <f t="shared" si="19"/>
        <v/>
      </c>
      <c r="I118" s="3">
        <f t="shared" si="20"/>
        <v>150</v>
      </c>
      <c r="J118" s="5" t="str">
        <f>IF(E118=0,"Broadcast",IF(H118="",IF(I118="","",IF(I118&lt;128,"Connect "&amp;I118,INDEX(KdoCodeTab,MATCH(I118,KdoWertTab,0)))),"ReadStat "&amp;H118))</f>
        <v>RepSpaceCmd</v>
      </c>
      <c r="K118" t="str">
        <f t="shared" si="21"/>
        <v/>
      </c>
      <c r="L118" t="str">
        <f t="shared" si="22"/>
        <v>RepSpaceCmd</v>
      </c>
      <c r="M118" t="str">
        <f t="shared" si="23"/>
        <v/>
      </c>
    </row>
    <row r="119" spans="1:13" x14ac:dyDescent="0.25">
      <c r="A119" t="s">
        <v>1119</v>
      </c>
      <c r="B119" s="6">
        <f t="shared" si="13"/>
        <v>0.81966666666666665</v>
      </c>
      <c r="C119" s="9">
        <f t="shared" si="14"/>
        <v>18.166666666666664</v>
      </c>
      <c r="D119" s="8" t="str">
        <f t="shared" si="15"/>
        <v>W</v>
      </c>
      <c r="E119" s="3">
        <f t="shared" si="16"/>
        <v>31</v>
      </c>
      <c r="F119" s="3" t="str">
        <f t="shared" si="17"/>
        <v>ack</v>
      </c>
      <c r="G119" s="3" t="str">
        <f t="shared" si="18"/>
        <v>9C</v>
      </c>
      <c r="H119" s="3" t="str">
        <f t="shared" si="19"/>
        <v/>
      </c>
      <c r="I119" s="3">
        <f t="shared" si="20"/>
        <v>156</v>
      </c>
      <c r="J119" s="5" t="str">
        <f>IF(E119=0,"Broadcast",IF(H119="",IF(I119="","",IF(I119&lt;128,"Connect "&amp;I119,INDEX(KdoCodeTab,MATCH(I119,KdoWertTab,0)))),"ReadStat "&amp;H119))</f>
        <v>MarkCmd</v>
      </c>
      <c r="K119" t="str">
        <f t="shared" si="21"/>
        <v/>
      </c>
      <c r="L119" t="str">
        <f t="shared" si="22"/>
        <v>MarkCmd</v>
      </c>
      <c r="M119" t="str">
        <f t="shared" si="23"/>
        <v/>
      </c>
    </row>
    <row r="120" spans="1:13" x14ac:dyDescent="0.25">
      <c r="A120" t="s">
        <v>1120</v>
      </c>
      <c r="B120" s="6">
        <f t="shared" si="13"/>
        <v>0.82066666666666666</v>
      </c>
      <c r="C120" s="9">
        <f t="shared" si="14"/>
        <v>1.0000000000000009</v>
      </c>
      <c r="D120" s="8" t="str">
        <f t="shared" si="15"/>
        <v>W</v>
      </c>
      <c r="E120" s="3">
        <f t="shared" si="16"/>
        <v>31</v>
      </c>
      <c r="F120" s="3" t="str">
        <f t="shared" si="17"/>
        <v>ack</v>
      </c>
      <c r="G120" s="3" t="str">
        <f t="shared" si="18"/>
        <v>9A</v>
      </c>
      <c r="H120" s="3" t="str">
        <f t="shared" si="19"/>
        <v/>
      </c>
      <c r="I120" s="3">
        <f t="shared" si="20"/>
        <v>154</v>
      </c>
      <c r="J120" s="5" t="str">
        <f>IF(E120=0,"Broadcast",IF(H120="",IF(I120="","",IF(I120&lt;128,"Connect "&amp;I120,INDEX(KdoCodeTab,MATCH(I120,KdoWertTab,0)))),"ReadStat "&amp;H120))</f>
        <v>RepMarkCmd</v>
      </c>
      <c r="K120" t="str">
        <f t="shared" si="21"/>
        <v/>
      </c>
      <c r="L120" t="str">
        <f t="shared" si="22"/>
        <v>RepMarkCmd</v>
      </c>
      <c r="M120" t="str">
        <f t="shared" si="23"/>
        <v/>
      </c>
    </row>
    <row r="121" spans="1:13" x14ac:dyDescent="0.25">
      <c r="A121" t="s">
        <v>1121</v>
      </c>
      <c r="B121" s="6">
        <f t="shared" si="13"/>
        <v>0.95099999999999996</v>
      </c>
      <c r="C121" s="9">
        <f t="shared" si="14"/>
        <v>130.33333333333331</v>
      </c>
      <c r="D121" s="8" t="str">
        <f t="shared" si="15"/>
        <v>W</v>
      </c>
      <c r="E121" s="3">
        <f t="shared" si="16"/>
        <v>31</v>
      </c>
      <c r="F121" s="3" t="str">
        <f t="shared" si="17"/>
        <v>ack</v>
      </c>
      <c r="G121" s="3" t="str">
        <f t="shared" si="18"/>
        <v>93</v>
      </c>
      <c r="H121" s="3" t="str">
        <f t="shared" si="19"/>
        <v/>
      </c>
      <c r="I121" s="3">
        <f t="shared" si="20"/>
        <v>147</v>
      </c>
      <c r="J121" s="5" t="str">
        <f>IF(E121=0,"Broadcast",IF(H121="",IF(I121="","",IF(I121&lt;128,"Connect "&amp;I121,INDEX(KdoCodeTab,MATCH(I121,KdoWertTab,0)))),"ReadStat "&amp;H121))</f>
        <v>SpaceCmd</v>
      </c>
      <c r="K121" t="str">
        <f t="shared" si="21"/>
        <v/>
      </c>
      <c r="L121" t="str">
        <f t="shared" si="22"/>
        <v>SpaceCmd</v>
      </c>
      <c r="M121" t="str">
        <f t="shared" si="23"/>
        <v/>
      </c>
    </row>
    <row r="122" spans="1:13" x14ac:dyDescent="0.25">
      <c r="A122" t="s">
        <v>1122</v>
      </c>
      <c r="B122" s="6">
        <f t="shared" si="13"/>
        <v>0.95199999999999996</v>
      </c>
      <c r="C122" s="9">
        <f t="shared" si="14"/>
        <v>1.0000000000000009</v>
      </c>
      <c r="D122" s="8" t="str">
        <f t="shared" si="15"/>
        <v>W</v>
      </c>
      <c r="E122" s="3">
        <f t="shared" si="16"/>
        <v>31</v>
      </c>
      <c r="F122" s="3" t="str">
        <f t="shared" si="17"/>
        <v>ack</v>
      </c>
      <c r="G122" s="3" t="str">
        <f t="shared" si="18"/>
        <v>96</v>
      </c>
      <c r="H122" s="3" t="str">
        <f t="shared" si="19"/>
        <v/>
      </c>
      <c r="I122" s="3">
        <f t="shared" si="20"/>
        <v>150</v>
      </c>
      <c r="J122" s="5" t="str">
        <f>IF(E122=0,"Broadcast",IF(H122="",IF(I122="","",IF(I122&lt;128,"Connect "&amp;I122,INDEX(KdoCodeTab,MATCH(I122,KdoWertTab,0)))),"ReadStat "&amp;H122))</f>
        <v>RepSpaceCmd</v>
      </c>
      <c r="K122" t="str">
        <f t="shared" si="21"/>
        <v/>
      </c>
      <c r="L122" t="str">
        <f t="shared" si="22"/>
        <v>RepSpaceCmd</v>
      </c>
      <c r="M122" t="str">
        <f t="shared" si="23"/>
        <v/>
      </c>
    </row>
    <row r="123" spans="1:13" x14ac:dyDescent="0.25">
      <c r="A123" t="s">
        <v>1123</v>
      </c>
      <c r="B123" s="6">
        <f t="shared" si="13"/>
        <v>0.95899999999999996</v>
      </c>
      <c r="C123" s="9">
        <f t="shared" si="14"/>
        <v>7.0000000000000062</v>
      </c>
      <c r="D123" s="8" t="str">
        <f t="shared" si="15"/>
        <v>W</v>
      </c>
      <c r="E123" s="3">
        <f t="shared" si="16"/>
        <v>31</v>
      </c>
      <c r="F123" s="3" t="str">
        <f t="shared" si="17"/>
        <v>ack</v>
      </c>
      <c r="G123" s="3" t="str">
        <f t="shared" si="18"/>
        <v>A9</v>
      </c>
      <c r="H123" s="3" t="str">
        <f t="shared" si="19"/>
        <v/>
      </c>
      <c r="I123" s="3">
        <f t="shared" si="20"/>
        <v>169</v>
      </c>
      <c r="J123" s="5" t="str">
        <f>IF(E123=0,"Broadcast",IF(H123="",IF(I123="","",IF(I123&lt;128,"Connect "&amp;I123,INDEX(KdoCodeTab,MATCH(I123,KdoWertTab,0)))),"ReadStat "&amp;H123))</f>
        <v>Heartbeat</v>
      </c>
      <c r="K123" t="str">
        <f t="shared" si="21"/>
        <v/>
      </c>
      <c r="L123" t="str">
        <f t="shared" si="22"/>
        <v>Heartbeat</v>
      </c>
      <c r="M123" t="str">
        <f t="shared" si="23"/>
        <v/>
      </c>
    </row>
    <row r="124" spans="1:13" x14ac:dyDescent="0.25">
      <c r="A124" t="s">
        <v>1124</v>
      </c>
      <c r="B124" s="6">
        <f t="shared" si="13"/>
        <v>0.95966666666666667</v>
      </c>
      <c r="C124" s="9">
        <f t="shared" si="14"/>
        <v>0.66666666666670427</v>
      </c>
      <c r="D124" s="8" t="str">
        <f t="shared" si="15"/>
        <v>W</v>
      </c>
      <c r="E124" s="3">
        <f t="shared" si="16"/>
        <v>33</v>
      </c>
      <c r="F124" s="3" t="str">
        <f t="shared" si="17"/>
        <v>ack</v>
      </c>
      <c r="G124" s="3" t="str">
        <f t="shared" si="18"/>
        <v>A9</v>
      </c>
      <c r="H124" s="3" t="str">
        <f t="shared" si="19"/>
        <v/>
      </c>
      <c r="I124" s="3">
        <f t="shared" si="20"/>
        <v>169</v>
      </c>
      <c r="J124" s="5" t="str">
        <f>IF(E124=0,"Broadcast",IF(H124="",IF(I124="","",IF(I124&lt;128,"Connect "&amp;I124,INDEX(KdoCodeTab,MATCH(I124,KdoWertTab,0)))),"ReadStat "&amp;H124))</f>
        <v>Heartbeat</v>
      </c>
      <c r="K124" t="str">
        <f t="shared" si="21"/>
        <v>Heartbeat</v>
      </c>
      <c r="L124" t="str">
        <f t="shared" si="22"/>
        <v/>
      </c>
      <c r="M124" t="str">
        <f t="shared" si="23"/>
        <v/>
      </c>
    </row>
    <row r="125" spans="1:13" x14ac:dyDescent="0.25">
      <c r="A125" t="s">
        <v>1125</v>
      </c>
      <c r="B125" s="6">
        <f t="shared" si="13"/>
        <v>1.0106666666666666</v>
      </c>
      <c r="C125" s="9">
        <f t="shared" si="14"/>
        <v>50.999999999999936</v>
      </c>
      <c r="D125" s="8" t="str">
        <f t="shared" si="15"/>
        <v>W</v>
      </c>
      <c r="E125" s="3">
        <f t="shared" si="16"/>
        <v>31</v>
      </c>
      <c r="F125" s="3" t="str">
        <f t="shared" si="17"/>
        <v>ack</v>
      </c>
      <c r="G125" s="3" t="str">
        <f t="shared" si="18"/>
        <v>9C</v>
      </c>
      <c r="H125" s="3" t="str">
        <f t="shared" si="19"/>
        <v/>
      </c>
      <c r="I125" s="3">
        <f t="shared" si="20"/>
        <v>156</v>
      </c>
      <c r="J125" s="5" t="str">
        <f>IF(E125=0,"Broadcast",IF(H125="",IF(I125="","",IF(I125&lt;128,"Connect "&amp;I125,INDEX(KdoCodeTab,MATCH(I125,KdoWertTab,0)))),"ReadStat "&amp;H125))</f>
        <v>MarkCmd</v>
      </c>
      <c r="K125" t="str">
        <f t="shared" si="21"/>
        <v/>
      </c>
      <c r="L125" t="str">
        <f t="shared" si="22"/>
        <v>MarkCmd</v>
      </c>
      <c r="M125" t="str">
        <f t="shared" si="23"/>
        <v/>
      </c>
    </row>
    <row r="126" spans="1:13" x14ac:dyDescent="0.25">
      <c r="A126" t="s">
        <v>1126</v>
      </c>
      <c r="B126" s="6">
        <f t="shared" si="13"/>
        <v>1.0114999999999998</v>
      </c>
      <c r="C126" s="9">
        <f t="shared" si="14"/>
        <v>0.83333333333324155</v>
      </c>
      <c r="D126" s="8" t="str">
        <f t="shared" si="15"/>
        <v>W</v>
      </c>
      <c r="E126" s="3">
        <f t="shared" si="16"/>
        <v>31</v>
      </c>
      <c r="F126" s="3" t="str">
        <f t="shared" si="17"/>
        <v>ack</v>
      </c>
      <c r="G126" s="3" t="str">
        <f t="shared" si="18"/>
        <v>9A</v>
      </c>
      <c r="H126" s="3" t="str">
        <f t="shared" si="19"/>
        <v/>
      </c>
      <c r="I126" s="3">
        <f t="shared" si="20"/>
        <v>154</v>
      </c>
      <c r="J126" s="5" t="str">
        <f>IF(E126=0,"Broadcast",IF(H126="",IF(I126="","",IF(I126&lt;128,"Connect "&amp;I126,INDEX(KdoCodeTab,MATCH(I126,KdoWertTab,0)))),"ReadStat "&amp;H126))</f>
        <v>RepMarkCmd</v>
      </c>
      <c r="K126" t="str">
        <f t="shared" si="21"/>
        <v/>
      </c>
      <c r="L126" t="str">
        <f t="shared" si="22"/>
        <v>RepMarkCmd</v>
      </c>
      <c r="M126" t="str">
        <f t="shared" si="23"/>
        <v/>
      </c>
    </row>
    <row r="127" spans="1:13" x14ac:dyDescent="0.25">
      <c r="A127" t="s">
        <v>1127</v>
      </c>
      <c r="B127" s="6">
        <f t="shared" si="13"/>
        <v>1.0509999999999999</v>
      </c>
      <c r="C127" s="9">
        <f t="shared" si="14"/>
        <v>39.500000000000092</v>
      </c>
      <c r="D127" s="8" t="str">
        <f t="shared" si="15"/>
        <v>W</v>
      </c>
      <c r="E127" s="3">
        <f t="shared" si="16"/>
        <v>31</v>
      </c>
      <c r="F127" s="3" t="str">
        <f t="shared" si="17"/>
        <v>ack</v>
      </c>
      <c r="G127" s="3" t="str">
        <f t="shared" si="18"/>
        <v>93</v>
      </c>
      <c r="H127" s="3" t="str">
        <f t="shared" si="19"/>
        <v/>
      </c>
      <c r="I127" s="3">
        <f t="shared" si="20"/>
        <v>147</v>
      </c>
      <c r="J127" s="5" t="str">
        <f>IF(E127=0,"Broadcast",IF(H127="",IF(I127="","",IF(I127&lt;128,"Connect "&amp;I127,INDEX(KdoCodeTab,MATCH(I127,KdoWertTab,0)))),"ReadStat "&amp;H127))</f>
        <v>SpaceCmd</v>
      </c>
      <c r="K127" t="str">
        <f t="shared" si="21"/>
        <v/>
      </c>
      <c r="L127" t="str">
        <f t="shared" si="22"/>
        <v>SpaceCmd</v>
      </c>
      <c r="M127" t="str">
        <f t="shared" si="23"/>
        <v/>
      </c>
    </row>
    <row r="128" spans="1:13" x14ac:dyDescent="0.25">
      <c r="A128" t="s">
        <v>1128</v>
      </c>
      <c r="B128" s="6">
        <f t="shared" si="13"/>
        <v>1.052</v>
      </c>
      <c r="C128" s="9">
        <f t="shared" si="14"/>
        <v>1.0000000000001119</v>
      </c>
      <c r="D128" s="8" t="str">
        <f t="shared" si="15"/>
        <v>W</v>
      </c>
      <c r="E128" s="3">
        <f t="shared" si="16"/>
        <v>31</v>
      </c>
      <c r="F128" s="3" t="str">
        <f t="shared" si="17"/>
        <v>ack</v>
      </c>
      <c r="G128" s="3" t="str">
        <f t="shared" si="18"/>
        <v>96</v>
      </c>
      <c r="H128" s="3" t="str">
        <f t="shared" si="19"/>
        <v/>
      </c>
      <c r="I128" s="3">
        <f t="shared" si="20"/>
        <v>150</v>
      </c>
      <c r="J128" s="5" t="str">
        <f>IF(E128=0,"Broadcast",IF(H128="",IF(I128="","",IF(I128&lt;128,"Connect "&amp;I128,INDEX(KdoCodeTab,MATCH(I128,KdoWertTab,0)))),"ReadStat "&amp;H128))</f>
        <v>RepSpaceCmd</v>
      </c>
      <c r="K128" t="str">
        <f t="shared" si="21"/>
        <v/>
      </c>
      <c r="L128" t="str">
        <f t="shared" si="22"/>
        <v>RepSpaceCmd</v>
      </c>
      <c r="M128" t="str">
        <f t="shared" si="23"/>
        <v/>
      </c>
    </row>
    <row r="129" spans="1:13" x14ac:dyDescent="0.25">
      <c r="A129" t="s">
        <v>1129</v>
      </c>
      <c r="B129" s="6">
        <f t="shared" si="13"/>
        <v>1.0703333333333334</v>
      </c>
      <c r="C129" s="9">
        <f t="shared" si="14"/>
        <v>18.333333333333314</v>
      </c>
      <c r="D129" s="8" t="str">
        <f t="shared" si="15"/>
        <v>W</v>
      </c>
      <c r="E129" s="3">
        <f t="shared" si="16"/>
        <v>31</v>
      </c>
      <c r="F129" s="3" t="str">
        <f t="shared" si="17"/>
        <v>ack</v>
      </c>
      <c r="G129" s="3" t="str">
        <f t="shared" si="18"/>
        <v>9C</v>
      </c>
      <c r="H129" s="3" t="str">
        <f t="shared" si="19"/>
        <v/>
      </c>
      <c r="I129" s="3">
        <f t="shared" si="20"/>
        <v>156</v>
      </c>
      <c r="J129" s="5" t="str">
        <f>IF(E129=0,"Broadcast",IF(H129="",IF(I129="","",IF(I129&lt;128,"Connect "&amp;I129,INDEX(KdoCodeTab,MATCH(I129,KdoWertTab,0)))),"ReadStat "&amp;H129))</f>
        <v>MarkCmd</v>
      </c>
      <c r="K129" t="str">
        <f t="shared" si="21"/>
        <v/>
      </c>
      <c r="L129" t="str">
        <f t="shared" si="22"/>
        <v>MarkCmd</v>
      </c>
      <c r="M129" t="str">
        <f t="shared" si="23"/>
        <v/>
      </c>
    </row>
    <row r="130" spans="1:13" x14ac:dyDescent="0.25">
      <c r="A130" t="s">
        <v>1130</v>
      </c>
      <c r="B130" s="6">
        <f t="shared" si="13"/>
        <v>1.0711666666666666</v>
      </c>
      <c r="C130" s="9">
        <f t="shared" si="14"/>
        <v>0.83333333333324155</v>
      </c>
      <c r="D130" s="8" t="str">
        <f t="shared" si="15"/>
        <v>W</v>
      </c>
      <c r="E130" s="3">
        <f t="shared" si="16"/>
        <v>31</v>
      </c>
      <c r="F130" s="3" t="str">
        <f t="shared" si="17"/>
        <v>ack</v>
      </c>
      <c r="G130" s="3" t="str">
        <f t="shared" si="18"/>
        <v>9A</v>
      </c>
      <c r="H130" s="3" t="str">
        <f t="shared" si="19"/>
        <v/>
      </c>
      <c r="I130" s="3">
        <f t="shared" si="20"/>
        <v>154</v>
      </c>
      <c r="J130" s="5" t="str">
        <f>IF(E130=0,"Broadcast",IF(H130="",IF(I130="","",IF(I130&lt;128,"Connect "&amp;I130,INDEX(KdoCodeTab,MATCH(I130,KdoWertTab,0)))),"ReadStat "&amp;H130))</f>
        <v>RepMarkCmd</v>
      </c>
      <c r="K130" t="str">
        <f t="shared" si="21"/>
        <v/>
      </c>
      <c r="L130" t="str">
        <f t="shared" si="22"/>
        <v>RepMarkCmd</v>
      </c>
      <c r="M130" t="str">
        <f t="shared" si="23"/>
        <v/>
      </c>
    </row>
    <row r="131" spans="1:13" x14ac:dyDescent="0.25">
      <c r="A131" t="s">
        <v>1131</v>
      </c>
      <c r="B131" s="6">
        <f t="shared" si="13"/>
        <v>1.1005</v>
      </c>
      <c r="C131" s="9">
        <f t="shared" si="14"/>
        <v>29.333333333333435</v>
      </c>
      <c r="D131" s="8" t="str">
        <f t="shared" si="15"/>
        <v>W</v>
      </c>
      <c r="E131" s="3">
        <f t="shared" si="16"/>
        <v>31</v>
      </c>
      <c r="F131" s="3" t="str">
        <f t="shared" si="17"/>
        <v>ack</v>
      </c>
      <c r="G131" s="3" t="str">
        <f t="shared" si="18"/>
        <v>93</v>
      </c>
      <c r="H131" s="3" t="str">
        <f t="shared" si="19"/>
        <v/>
      </c>
      <c r="I131" s="3">
        <f t="shared" si="20"/>
        <v>147</v>
      </c>
      <c r="J131" s="5" t="str">
        <f>IF(E131=0,"Broadcast",IF(H131="",IF(I131="","",IF(I131&lt;128,"Connect "&amp;I131,INDEX(KdoCodeTab,MATCH(I131,KdoWertTab,0)))),"ReadStat "&amp;H131))</f>
        <v>SpaceCmd</v>
      </c>
      <c r="K131" t="str">
        <f t="shared" si="21"/>
        <v/>
      </c>
      <c r="L131" t="str">
        <f t="shared" si="22"/>
        <v>SpaceCmd</v>
      </c>
      <c r="M131" t="str">
        <f t="shared" si="23"/>
        <v/>
      </c>
    </row>
    <row r="132" spans="1:13" x14ac:dyDescent="0.25">
      <c r="A132" t="s">
        <v>1132</v>
      </c>
      <c r="B132" s="6">
        <f t="shared" si="13"/>
        <v>1.1013333333333333</v>
      </c>
      <c r="C132" s="9">
        <f t="shared" si="14"/>
        <v>0.83333333333324155</v>
      </c>
      <c r="D132" s="8" t="str">
        <f t="shared" si="15"/>
        <v>W</v>
      </c>
      <c r="E132" s="3">
        <f t="shared" si="16"/>
        <v>31</v>
      </c>
      <c r="F132" s="3" t="str">
        <f t="shared" si="17"/>
        <v>ack</v>
      </c>
      <c r="G132" s="3" t="str">
        <f t="shared" si="18"/>
        <v>96</v>
      </c>
      <c r="H132" s="3" t="str">
        <f t="shared" si="19"/>
        <v/>
      </c>
      <c r="I132" s="3">
        <f t="shared" si="20"/>
        <v>150</v>
      </c>
      <c r="J132" s="5" t="str">
        <f>IF(E132=0,"Broadcast",IF(H132="",IF(I132="","",IF(I132&lt;128,"Connect "&amp;I132,INDEX(KdoCodeTab,MATCH(I132,KdoWertTab,0)))),"ReadStat "&amp;H132))</f>
        <v>RepSpaceCmd</v>
      </c>
      <c r="K132" t="str">
        <f t="shared" si="21"/>
        <v/>
      </c>
      <c r="L132" t="str">
        <f t="shared" si="22"/>
        <v>RepSpaceCmd</v>
      </c>
      <c r="M132" t="str">
        <f t="shared" si="23"/>
        <v/>
      </c>
    </row>
    <row r="133" spans="1:13" x14ac:dyDescent="0.25">
      <c r="A133" t="s">
        <v>1133</v>
      </c>
      <c r="B133" s="6">
        <f t="shared" ref="B133:B196" si="24">MID(A133,1,5)/1000+(CODE(MID(A133,6,1))-CODE("a"))/6000</f>
        <v>1.1398333333333333</v>
      </c>
      <c r="C133" s="9">
        <f t="shared" ref="C133:C196" si="25">(B133-B132+IF(B133&gt;B132,0,11))*1000</f>
        <v>38.499999999999979</v>
      </c>
      <c r="D133" s="8" t="str">
        <f t="shared" ref="D133:D196" si="26">IF(MID(A133,10,1)="&lt;","R",IF(MID(A133,10,1)="&gt;","W","?"))</f>
        <v>W</v>
      </c>
      <c r="E133" s="3">
        <f t="shared" ref="E133:E196" si="27">INT(HEX2DEC(MID(A133,8,2))/2)</f>
        <v>31</v>
      </c>
      <c r="F133" s="3" t="str">
        <f t="shared" ref="F133:F196" si="28">IF(MID(A133,11,1)="+","ack","NACK")</f>
        <v>ack</v>
      </c>
      <c r="G133" s="3" t="str">
        <f t="shared" ref="G133:G196" si="29">IF(F133="ack",SUBSTITUTE(MID(A133,12,LEN(A133)-12),"+","  "),"")</f>
        <v>9C</v>
      </c>
      <c r="H133" s="3" t="str">
        <f t="shared" ref="H133:H196" si="30">IF(MID(A133,10,2)="&lt;+",MID(A133,12,2),"")</f>
        <v/>
      </c>
      <c r="I133" s="3">
        <f t="shared" ref="I133:I196" si="31">IF(MID(A133,10,2)="&gt;+",HEX2DEC(MID(A133,12,2)),"")</f>
        <v>156</v>
      </c>
      <c r="J133" s="5" t="str">
        <f>IF(E133=0,"Broadcast",IF(H133="",IF(I133="","",IF(I133&lt;128,"Connect "&amp;I133,INDEX(KdoCodeTab,MATCH(I133,KdoWertTab,0)))),"ReadStat "&amp;H133))</f>
        <v>MarkCmd</v>
      </c>
      <c r="K133" t="str">
        <f t="shared" ref="K133:K196" si="32">IF(E133=$K$2,J133,"")</f>
        <v/>
      </c>
      <c r="L133" t="str">
        <f t="shared" ref="L133:L196" si="33">IF(E133=$L$2,J133,"")</f>
        <v>MarkCmd</v>
      </c>
      <c r="M133" t="str">
        <f t="shared" ref="M133:M196" si="34">IF(K133&amp;L133="",J133,"")</f>
        <v/>
      </c>
    </row>
    <row r="134" spans="1:13" x14ac:dyDescent="0.25">
      <c r="A134" t="s">
        <v>1134</v>
      </c>
      <c r="B134" s="6">
        <f t="shared" si="24"/>
        <v>1.1408333333333331</v>
      </c>
      <c r="C134" s="9">
        <f t="shared" si="25"/>
        <v>0.99999999999988987</v>
      </c>
      <c r="D134" s="8" t="str">
        <f t="shared" si="26"/>
        <v>W</v>
      </c>
      <c r="E134" s="3">
        <f t="shared" si="27"/>
        <v>31</v>
      </c>
      <c r="F134" s="3" t="str">
        <f t="shared" si="28"/>
        <v>ack</v>
      </c>
      <c r="G134" s="3" t="str">
        <f t="shared" si="29"/>
        <v>9A</v>
      </c>
      <c r="H134" s="3" t="str">
        <f t="shared" si="30"/>
        <v/>
      </c>
      <c r="I134" s="3">
        <f t="shared" si="31"/>
        <v>154</v>
      </c>
      <c r="J134" s="5" t="str">
        <f>IF(E134=0,"Broadcast",IF(H134="",IF(I134="","",IF(I134&lt;128,"Connect "&amp;I134,INDEX(KdoCodeTab,MATCH(I134,KdoWertTab,0)))),"ReadStat "&amp;H134))</f>
        <v>RepMarkCmd</v>
      </c>
      <c r="K134" t="str">
        <f t="shared" si="32"/>
        <v/>
      </c>
      <c r="L134" t="str">
        <f t="shared" si="33"/>
        <v>RepMarkCmd</v>
      </c>
      <c r="M134" t="str">
        <f t="shared" si="34"/>
        <v/>
      </c>
    </row>
    <row r="135" spans="1:13" x14ac:dyDescent="0.25">
      <c r="A135" t="s">
        <v>1135</v>
      </c>
      <c r="B135" s="6">
        <f t="shared" si="24"/>
        <v>1.1601666666666666</v>
      </c>
      <c r="C135" s="9">
        <f t="shared" si="25"/>
        <v>19.333333333333425</v>
      </c>
      <c r="D135" s="8" t="str">
        <f t="shared" si="26"/>
        <v>W</v>
      </c>
      <c r="E135" s="3">
        <f t="shared" si="27"/>
        <v>31</v>
      </c>
      <c r="F135" s="3" t="str">
        <f t="shared" si="28"/>
        <v>ack</v>
      </c>
      <c r="G135" s="3" t="str">
        <f t="shared" si="29"/>
        <v>93</v>
      </c>
      <c r="H135" s="3" t="str">
        <f t="shared" si="30"/>
        <v/>
      </c>
      <c r="I135" s="3">
        <f t="shared" si="31"/>
        <v>147</v>
      </c>
      <c r="J135" s="5" t="str">
        <f>IF(E135=0,"Broadcast",IF(H135="",IF(I135="","",IF(I135&lt;128,"Connect "&amp;I135,INDEX(KdoCodeTab,MATCH(I135,KdoWertTab,0)))),"ReadStat "&amp;H135))</f>
        <v>SpaceCmd</v>
      </c>
      <c r="K135" t="str">
        <f t="shared" si="32"/>
        <v/>
      </c>
      <c r="L135" t="str">
        <f t="shared" si="33"/>
        <v>SpaceCmd</v>
      </c>
      <c r="M135" t="str">
        <f t="shared" si="34"/>
        <v/>
      </c>
    </row>
    <row r="136" spans="1:13" x14ac:dyDescent="0.25">
      <c r="A136" t="s">
        <v>1136</v>
      </c>
      <c r="B136" s="6">
        <f t="shared" si="24"/>
        <v>1.161</v>
      </c>
      <c r="C136" s="9">
        <f t="shared" si="25"/>
        <v>0.8333333333334636</v>
      </c>
      <c r="D136" s="8" t="str">
        <f t="shared" si="26"/>
        <v>W</v>
      </c>
      <c r="E136" s="3">
        <f t="shared" si="27"/>
        <v>31</v>
      </c>
      <c r="F136" s="3" t="str">
        <f t="shared" si="28"/>
        <v>ack</v>
      </c>
      <c r="G136" s="3" t="str">
        <f t="shared" si="29"/>
        <v>96</v>
      </c>
      <c r="H136" s="3" t="str">
        <f t="shared" si="30"/>
        <v/>
      </c>
      <c r="I136" s="3">
        <f t="shared" si="31"/>
        <v>150</v>
      </c>
      <c r="J136" s="5" t="str">
        <f>IF(E136=0,"Broadcast",IF(H136="",IF(I136="","",IF(I136&lt;128,"Connect "&amp;I136,INDEX(KdoCodeTab,MATCH(I136,KdoWertTab,0)))),"ReadStat "&amp;H136))</f>
        <v>RepSpaceCmd</v>
      </c>
      <c r="K136" t="str">
        <f t="shared" si="32"/>
        <v/>
      </c>
      <c r="L136" t="str">
        <f t="shared" si="33"/>
        <v>RepSpaceCmd</v>
      </c>
      <c r="M136" t="str">
        <f t="shared" si="34"/>
        <v/>
      </c>
    </row>
    <row r="137" spans="1:13" x14ac:dyDescent="0.25">
      <c r="A137" t="s">
        <v>1137</v>
      </c>
      <c r="B137" s="6">
        <f t="shared" si="24"/>
        <v>1.1803333333333332</v>
      </c>
      <c r="C137" s="9">
        <f t="shared" si="25"/>
        <v>19.333333333333201</v>
      </c>
      <c r="D137" s="8" t="str">
        <f t="shared" si="26"/>
        <v>W</v>
      </c>
      <c r="E137" s="3">
        <f t="shared" si="27"/>
        <v>31</v>
      </c>
      <c r="F137" s="3" t="str">
        <f t="shared" si="28"/>
        <v>ack</v>
      </c>
      <c r="G137" s="3" t="str">
        <f t="shared" si="29"/>
        <v>9C</v>
      </c>
      <c r="H137" s="3" t="str">
        <f t="shared" si="30"/>
        <v/>
      </c>
      <c r="I137" s="3">
        <f t="shared" si="31"/>
        <v>156</v>
      </c>
      <c r="J137" s="5" t="str">
        <f>IF(E137=0,"Broadcast",IF(H137="",IF(I137="","",IF(I137&lt;128,"Connect "&amp;I137,INDEX(KdoCodeTab,MATCH(I137,KdoWertTab,0)))),"ReadStat "&amp;H137))</f>
        <v>MarkCmd</v>
      </c>
      <c r="K137" t="str">
        <f t="shared" si="32"/>
        <v/>
      </c>
      <c r="L137" t="str">
        <f t="shared" si="33"/>
        <v>MarkCmd</v>
      </c>
      <c r="M137" t="str">
        <f t="shared" si="34"/>
        <v/>
      </c>
    </row>
    <row r="138" spans="1:13" x14ac:dyDescent="0.25">
      <c r="A138" t="s">
        <v>1138</v>
      </c>
      <c r="B138" s="6">
        <f t="shared" si="24"/>
        <v>1.1813333333333333</v>
      </c>
      <c r="C138" s="9">
        <f t="shared" si="25"/>
        <v>1.0000000000001119</v>
      </c>
      <c r="D138" s="8" t="str">
        <f t="shared" si="26"/>
        <v>W</v>
      </c>
      <c r="E138" s="3">
        <f t="shared" si="27"/>
        <v>31</v>
      </c>
      <c r="F138" s="3" t="str">
        <f t="shared" si="28"/>
        <v>ack</v>
      </c>
      <c r="G138" s="3" t="str">
        <f t="shared" si="29"/>
        <v>9A</v>
      </c>
      <c r="H138" s="3" t="str">
        <f t="shared" si="30"/>
        <v/>
      </c>
      <c r="I138" s="3">
        <f t="shared" si="31"/>
        <v>154</v>
      </c>
      <c r="J138" s="5" t="str">
        <f>IF(E138=0,"Broadcast",IF(H138="",IF(I138="","",IF(I138&lt;128,"Connect "&amp;I138,INDEX(KdoCodeTab,MATCH(I138,KdoWertTab,0)))),"ReadStat "&amp;H138))</f>
        <v>RepMarkCmd</v>
      </c>
      <c r="K138" t="str">
        <f t="shared" si="32"/>
        <v/>
      </c>
      <c r="L138" t="str">
        <f t="shared" si="33"/>
        <v>RepMarkCmd</v>
      </c>
      <c r="M138" t="str">
        <f t="shared" si="34"/>
        <v/>
      </c>
    </row>
    <row r="139" spans="1:13" x14ac:dyDescent="0.25">
      <c r="A139" t="s">
        <v>1139</v>
      </c>
      <c r="B139" s="6">
        <f t="shared" si="24"/>
        <v>1.2004999999999999</v>
      </c>
      <c r="C139" s="9">
        <f t="shared" si="25"/>
        <v>19.166666666666554</v>
      </c>
      <c r="D139" s="8" t="str">
        <f t="shared" si="26"/>
        <v>W</v>
      </c>
      <c r="E139" s="3">
        <f t="shared" si="27"/>
        <v>31</v>
      </c>
      <c r="F139" s="3" t="str">
        <f t="shared" si="28"/>
        <v>ack</v>
      </c>
      <c r="G139" s="3" t="str">
        <f t="shared" si="29"/>
        <v>93</v>
      </c>
      <c r="H139" s="3" t="str">
        <f t="shared" si="30"/>
        <v/>
      </c>
      <c r="I139" s="3">
        <f t="shared" si="31"/>
        <v>147</v>
      </c>
      <c r="J139" s="5" t="str">
        <f>IF(E139=0,"Broadcast",IF(H139="",IF(I139="","",IF(I139&lt;128,"Connect "&amp;I139,INDEX(KdoCodeTab,MATCH(I139,KdoWertTab,0)))),"ReadStat "&amp;H139))</f>
        <v>SpaceCmd</v>
      </c>
      <c r="K139" t="str">
        <f t="shared" si="32"/>
        <v/>
      </c>
      <c r="L139" t="str">
        <f t="shared" si="33"/>
        <v>SpaceCmd</v>
      </c>
      <c r="M139" t="str">
        <f t="shared" si="34"/>
        <v/>
      </c>
    </row>
    <row r="140" spans="1:13" x14ac:dyDescent="0.25">
      <c r="A140" t="s">
        <v>1140</v>
      </c>
      <c r="B140" s="6">
        <f t="shared" si="24"/>
        <v>1.2015</v>
      </c>
      <c r="C140" s="9">
        <f t="shared" si="25"/>
        <v>1.0000000000001119</v>
      </c>
      <c r="D140" s="8" t="str">
        <f t="shared" si="26"/>
        <v>W</v>
      </c>
      <c r="E140" s="3">
        <f t="shared" si="27"/>
        <v>31</v>
      </c>
      <c r="F140" s="3" t="str">
        <f t="shared" si="28"/>
        <v>ack</v>
      </c>
      <c r="G140" s="3" t="str">
        <f t="shared" si="29"/>
        <v>96</v>
      </c>
      <c r="H140" s="3" t="str">
        <f t="shared" si="30"/>
        <v/>
      </c>
      <c r="I140" s="3">
        <f t="shared" si="31"/>
        <v>150</v>
      </c>
      <c r="J140" s="5" t="str">
        <f>IF(E140=0,"Broadcast",IF(H140="",IF(I140="","",IF(I140&lt;128,"Connect "&amp;I140,INDEX(KdoCodeTab,MATCH(I140,KdoWertTab,0)))),"ReadStat "&amp;H140))</f>
        <v>RepSpaceCmd</v>
      </c>
      <c r="K140" t="str">
        <f t="shared" si="32"/>
        <v/>
      </c>
      <c r="L140" t="str">
        <f t="shared" si="33"/>
        <v>RepSpaceCmd</v>
      </c>
      <c r="M140" t="str">
        <f t="shared" si="34"/>
        <v/>
      </c>
    </row>
    <row r="141" spans="1:13" x14ac:dyDescent="0.25">
      <c r="A141" t="s">
        <v>1141</v>
      </c>
      <c r="B141" s="6">
        <f t="shared" si="24"/>
        <v>1.2206666666666666</v>
      </c>
      <c r="C141" s="9">
        <f t="shared" si="25"/>
        <v>19.166666666666554</v>
      </c>
      <c r="D141" s="8" t="str">
        <f t="shared" si="26"/>
        <v>W</v>
      </c>
      <c r="E141" s="3">
        <f t="shared" si="27"/>
        <v>31</v>
      </c>
      <c r="F141" s="3" t="str">
        <f t="shared" si="28"/>
        <v>ack</v>
      </c>
      <c r="G141" s="3" t="str">
        <f t="shared" si="29"/>
        <v>9C</v>
      </c>
      <c r="H141" s="3" t="str">
        <f t="shared" si="30"/>
        <v/>
      </c>
      <c r="I141" s="3">
        <f t="shared" si="31"/>
        <v>156</v>
      </c>
      <c r="J141" s="5" t="str">
        <f>IF(E141=0,"Broadcast",IF(H141="",IF(I141="","",IF(I141&lt;128,"Connect "&amp;I141,INDEX(KdoCodeTab,MATCH(I141,KdoWertTab,0)))),"ReadStat "&amp;H141))</f>
        <v>MarkCmd</v>
      </c>
      <c r="K141" t="str">
        <f t="shared" si="32"/>
        <v/>
      </c>
      <c r="L141" t="str">
        <f t="shared" si="33"/>
        <v>MarkCmd</v>
      </c>
      <c r="M141" t="str">
        <f t="shared" si="34"/>
        <v/>
      </c>
    </row>
    <row r="142" spans="1:13" x14ac:dyDescent="0.25">
      <c r="A142" t="s">
        <v>1142</v>
      </c>
      <c r="B142" s="6">
        <f t="shared" si="24"/>
        <v>1.2216666666666667</v>
      </c>
      <c r="C142" s="9">
        <f t="shared" si="25"/>
        <v>1.0000000000001119</v>
      </c>
      <c r="D142" s="8" t="str">
        <f t="shared" si="26"/>
        <v>W</v>
      </c>
      <c r="E142" s="3">
        <f t="shared" si="27"/>
        <v>31</v>
      </c>
      <c r="F142" s="3" t="str">
        <f t="shared" si="28"/>
        <v>ack</v>
      </c>
      <c r="G142" s="3" t="str">
        <f t="shared" si="29"/>
        <v>9A</v>
      </c>
      <c r="H142" s="3" t="str">
        <f t="shared" si="30"/>
        <v/>
      </c>
      <c r="I142" s="3">
        <f t="shared" si="31"/>
        <v>154</v>
      </c>
      <c r="J142" s="5" t="str">
        <f>IF(E142=0,"Broadcast",IF(H142="",IF(I142="","",IF(I142&lt;128,"Connect "&amp;I142,INDEX(KdoCodeTab,MATCH(I142,KdoWertTab,0)))),"ReadStat "&amp;H142))</f>
        <v>RepMarkCmd</v>
      </c>
      <c r="K142" t="str">
        <f t="shared" si="32"/>
        <v/>
      </c>
      <c r="L142" t="str">
        <f t="shared" si="33"/>
        <v>RepMarkCmd</v>
      </c>
      <c r="M142" t="str">
        <f t="shared" si="34"/>
        <v/>
      </c>
    </row>
    <row r="143" spans="1:13" x14ac:dyDescent="0.25">
      <c r="A143" t="s">
        <v>1143</v>
      </c>
      <c r="B143" s="6">
        <f t="shared" si="24"/>
        <v>1.2509999999999999</v>
      </c>
      <c r="C143" s="9">
        <f t="shared" si="25"/>
        <v>29.333333333333211</v>
      </c>
      <c r="D143" s="8" t="str">
        <f t="shared" si="26"/>
        <v>W</v>
      </c>
      <c r="E143" s="3">
        <f t="shared" si="27"/>
        <v>31</v>
      </c>
      <c r="F143" s="3" t="str">
        <f t="shared" si="28"/>
        <v>ack</v>
      </c>
      <c r="G143" s="3" t="str">
        <f t="shared" si="29"/>
        <v>93</v>
      </c>
      <c r="H143" s="3" t="str">
        <f t="shared" si="30"/>
        <v/>
      </c>
      <c r="I143" s="3">
        <f t="shared" si="31"/>
        <v>147</v>
      </c>
      <c r="J143" s="5" t="str">
        <f>IF(E143=0,"Broadcast",IF(H143="",IF(I143="","",IF(I143&lt;128,"Connect "&amp;I143,INDEX(KdoCodeTab,MATCH(I143,KdoWertTab,0)))),"ReadStat "&amp;H143))</f>
        <v>SpaceCmd</v>
      </c>
      <c r="K143" t="str">
        <f t="shared" si="32"/>
        <v/>
      </c>
      <c r="L143" t="str">
        <f t="shared" si="33"/>
        <v>SpaceCmd</v>
      </c>
      <c r="M143" t="str">
        <f t="shared" si="34"/>
        <v/>
      </c>
    </row>
    <row r="144" spans="1:13" x14ac:dyDescent="0.25">
      <c r="A144" t="s">
        <v>1144</v>
      </c>
      <c r="B144" s="6">
        <f t="shared" si="24"/>
        <v>1.252</v>
      </c>
      <c r="C144" s="9">
        <f t="shared" si="25"/>
        <v>1.0000000000001119</v>
      </c>
      <c r="D144" s="8" t="str">
        <f t="shared" si="26"/>
        <v>W</v>
      </c>
      <c r="E144" s="3">
        <f t="shared" si="27"/>
        <v>31</v>
      </c>
      <c r="F144" s="3" t="str">
        <f t="shared" si="28"/>
        <v>ack</v>
      </c>
      <c r="G144" s="3" t="str">
        <f t="shared" si="29"/>
        <v>96</v>
      </c>
      <c r="H144" s="3" t="str">
        <f t="shared" si="30"/>
        <v/>
      </c>
      <c r="I144" s="3">
        <f t="shared" si="31"/>
        <v>150</v>
      </c>
      <c r="J144" s="5" t="str">
        <f>IF(E144=0,"Broadcast",IF(H144="",IF(I144="","",IF(I144&lt;128,"Connect "&amp;I144,INDEX(KdoCodeTab,MATCH(I144,KdoWertTab,0)))),"ReadStat "&amp;H144))</f>
        <v>RepSpaceCmd</v>
      </c>
      <c r="K144" t="str">
        <f t="shared" si="32"/>
        <v/>
      </c>
      <c r="L144" t="str">
        <f t="shared" si="33"/>
        <v>RepSpaceCmd</v>
      </c>
      <c r="M144" t="str">
        <f t="shared" si="34"/>
        <v/>
      </c>
    </row>
    <row r="145" spans="1:13" x14ac:dyDescent="0.25">
      <c r="A145" t="s">
        <v>1145</v>
      </c>
      <c r="B145" s="6">
        <f t="shared" si="24"/>
        <v>1.2703333333333333</v>
      </c>
      <c r="C145" s="9">
        <f t="shared" si="25"/>
        <v>18.333333333333314</v>
      </c>
      <c r="D145" s="8" t="str">
        <f t="shared" si="26"/>
        <v>W</v>
      </c>
      <c r="E145" s="3">
        <f t="shared" si="27"/>
        <v>31</v>
      </c>
      <c r="F145" s="3" t="str">
        <f t="shared" si="28"/>
        <v>ack</v>
      </c>
      <c r="G145" s="3" t="str">
        <f t="shared" si="29"/>
        <v>9C</v>
      </c>
      <c r="H145" s="3" t="str">
        <f t="shared" si="30"/>
        <v/>
      </c>
      <c r="I145" s="3">
        <f t="shared" si="31"/>
        <v>156</v>
      </c>
      <c r="J145" s="5" t="str">
        <f>IF(E145=0,"Broadcast",IF(H145="",IF(I145="","",IF(I145&lt;128,"Connect "&amp;I145,INDEX(KdoCodeTab,MATCH(I145,KdoWertTab,0)))),"ReadStat "&amp;H145))</f>
        <v>MarkCmd</v>
      </c>
      <c r="K145" t="str">
        <f t="shared" si="32"/>
        <v/>
      </c>
      <c r="L145" t="str">
        <f t="shared" si="33"/>
        <v>MarkCmd</v>
      </c>
      <c r="M145" t="str">
        <f t="shared" si="34"/>
        <v/>
      </c>
    </row>
    <row r="146" spans="1:13" x14ac:dyDescent="0.25">
      <c r="A146" t="s">
        <v>1146</v>
      </c>
      <c r="B146" s="6">
        <f t="shared" si="24"/>
        <v>1.2711666666666666</v>
      </c>
      <c r="C146" s="9">
        <f t="shared" si="25"/>
        <v>0.83333333333324155</v>
      </c>
      <c r="D146" s="8" t="str">
        <f t="shared" si="26"/>
        <v>W</v>
      </c>
      <c r="E146" s="3">
        <f t="shared" si="27"/>
        <v>31</v>
      </c>
      <c r="F146" s="3" t="str">
        <f t="shared" si="28"/>
        <v>ack</v>
      </c>
      <c r="G146" s="3" t="str">
        <f t="shared" si="29"/>
        <v>9A</v>
      </c>
      <c r="H146" s="3" t="str">
        <f t="shared" si="30"/>
        <v/>
      </c>
      <c r="I146" s="3">
        <f t="shared" si="31"/>
        <v>154</v>
      </c>
      <c r="J146" s="5" t="str">
        <f>IF(E146=0,"Broadcast",IF(H146="",IF(I146="","",IF(I146&lt;128,"Connect "&amp;I146,INDEX(KdoCodeTab,MATCH(I146,KdoWertTab,0)))),"ReadStat "&amp;H146))</f>
        <v>RepMarkCmd</v>
      </c>
      <c r="K146" t="str">
        <f t="shared" si="32"/>
        <v/>
      </c>
      <c r="L146" t="str">
        <f t="shared" si="33"/>
        <v>RepMarkCmd</v>
      </c>
      <c r="M146" t="str">
        <f t="shared" si="34"/>
        <v/>
      </c>
    </row>
    <row r="147" spans="1:13" x14ac:dyDescent="0.25">
      <c r="A147" t="s">
        <v>1147</v>
      </c>
      <c r="B147" s="6">
        <f t="shared" si="24"/>
        <v>1.4004999999999999</v>
      </c>
      <c r="C147" s="9">
        <f t="shared" si="25"/>
        <v>129.33333333333331</v>
      </c>
      <c r="D147" s="8" t="str">
        <f t="shared" si="26"/>
        <v>W</v>
      </c>
      <c r="E147" s="3">
        <f t="shared" si="27"/>
        <v>31</v>
      </c>
      <c r="F147" s="3" t="str">
        <f t="shared" si="28"/>
        <v>ack</v>
      </c>
      <c r="G147" s="3" t="str">
        <f t="shared" si="29"/>
        <v>93</v>
      </c>
      <c r="H147" s="3" t="str">
        <f t="shared" si="30"/>
        <v/>
      </c>
      <c r="I147" s="3">
        <f t="shared" si="31"/>
        <v>147</v>
      </c>
      <c r="J147" s="5" t="str">
        <f>IF(E147=0,"Broadcast",IF(H147="",IF(I147="","",IF(I147&lt;128,"Connect "&amp;I147,INDEX(KdoCodeTab,MATCH(I147,KdoWertTab,0)))),"ReadStat "&amp;H147))</f>
        <v>SpaceCmd</v>
      </c>
      <c r="K147" t="str">
        <f t="shared" si="32"/>
        <v/>
      </c>
      <c r="L147" t="str">
        <f t="shared" si="33"/>
        <v>SpaceCmd</v>
      </c>
      <c r="M147" t="str">
        <f t="shared" si="34"/>
        <v/>
      </c>
    </row>
    <row r="148" spans="1:13" x14ac:dyDescent="0.25">
      <c r="A148" t="s">
        <v>1148</v>
      </c>
      <c r="B148" s="6">
        <f t="shared" si="24"/>
        <v>1.4015</v>
      </c>
      <c r="C148" s="9">
        <f t="shared" si="25"/>
        <v>1.0000000000001119</v>
      </c>
      <c r="D148" s="8" t="str">
        <f t="shared" si="26"/>
        <v>W</v>
      </c>
      <c r="E148" s="3">
        <f t="shared" si="27"/>
        <v>31</v>
      </c>
      <c r="F148" s="3" t="str">
        <f t="shared" si="28"/>
        <v>ack</v>
      </c>
      <c r="G148" s="3" t="str">
        <f t="shared" si="29"/>
        <v>96</v>
      </c>
      <c r="H148" s="3" t="str">
        <f t="shared" si="30"/>
        <v/>
      </c>
      <c r="I148" s="3">
        <f t="shared" si="31"/>
        <v>150</v>
      </c>
      <c r="J148" s="5" t="str">
        <f>IF(E148=0,"Broadcast",IF(H148="",IF(I148="","",IF(I148&lt;128,"Connect "&amp;I148,INDEX(KdoCodeTab,MATCH(I148,KdoWertTab,0)))),"ReadStat "&amp;H148))</f>
        <v>RepSpaceCmd</v>
      </c>
      <c r="K148" t="str">
        <f t="shared" si="32"/>
        <v/>
      </c>
      <c r="L148" t="str">
        <f t="shared" si="33"/>
        <v>RepSpaceCmd</v>
      </c>
      <c r="M148" t="str">
        <f t="shared" si="34"/>
        <v/>
      </c>
    </row>
    <row r="149" spans="1:13" x14ac:dyDescent="0.25">
      <c r="A149" t="s">
        <v>1149</v>
      </c>
      <c r="B149" s="6">
        <f t="shared" si="24"/>
        <v>1.4206666666666665</v>
      </c>
      <c r="C149" s="9">
        <f t="shared" si="25"/>
        <v>19.166666666666554</v>
      </c>
      <c r="D149" s="8" t="str">
        <f t="shared" si="26"/>
        <v>W</v>
      </c>
      <c r="E149" s="3">
        <f t="shared" si="27"/>
        <v>31</v>
      </c>
      <c r="F149" s="3" t="str">
        <f t="shared" si="28"/>
        <v>ack</v>
      </c>
      <c r="G149" s="3" t="str">
        <f t="shared" si="29"/>
        <v>9C</v>
      </c>
      <c r="H149" s="3" t="str">
        <f t="shared" si="30"/>
        <v/>
      </c>
      <c r="I149" s="3">
        <f t="shared" si="31"/>
        <v>156</v>
      </c>
      <c r="J149" s="5" t="str">
        <f>IF(E149=0,"Broadcast",IF(H149="",IF(I149="","",IF(I149&lt;128,"Connect "&amp;I149,INDEX(KdoCodeTab,MATCH(I149,KdoWertTab,0)))),"ReadStat "&amp;H149))</f>
        <v>MarkCmd</v>
      </c>
      <c r="K149" t="str">
        <f t="shared" si="32"/>
        <v/>
      </c>
      <c r="L149" t="str">
        <f t="shared" si="33"/>
        <v>MarkCmd</v>
      </c>
      <c r="M149" t="str">
        <f t="shared" si="34"/>
        <v/>
      </c>
    </row>
    <row r="150" spans="1:13" x14ac:dyDescent="0.25">
      <c r="A150" t="s">
        <v>1150</v>
      </c>
      <c r="B150" s="6">
        <f t="shared" si="24"/>
        <v>1.4216666666666666</v>
      </c>
      <c r="C150" s="9">
        <f t="shared" si="25"/>
        <v>1.0000000000001119</v>
      </c>
      <c r="D150" s="8" t="str">
        <f t="shared" si="26"/>
        <v>W</v>
      </c>
      <c r="E150" s="3">
        <f t="shared" si="27"/>
        <v>31</v>
      </c>
      <c r="F150" s="3" t="str">
        <f t="shared" si="28"/>
        <v>ack</v>
      </c>
      <c r="G150" s="3" t="str">
        <f t="shared" si="29"/>
        <v>9A</v>
      </c>
      <c r="H150" s="3" t="str">
        <f t="shared" si="30"/>
        <v/>
      </c>
      <c r="I150" s="3">
        <f t="shared" si="31"/>
        <v>154</v>
      </c>
      <c r="J150" s="5" t="str">
        <f>IF(E150=0,"Broadcast",IF(H150="",IF(I150="","",IF(I150&lt;128,"Connect "&amp;I150,INDEX(KdoCodeTab,MATCH(I150,KdoWertTab,0)))),"ReadStat "&amp;H150))</f>
        <v>RepMarkCmd</v>
      </c>
      <c r="K150" t="str">
        <f t="shared" si="32"/>
        <v/>
      </c>
      <c r="L150" t="str">
        <f t="shared" si="33"/>
        <v>RepMarkCmd</v>
      </c>
      <c r="M150" t="str">
        <f t="shared" si="34"/>
        <v/>
      </c>
    </row>
    <row r="151" spans="1:13" x14ac:dyDescent="0.25">
      <c r="A151" t="s">
        <v>1151</v>
      </c>
      <c r="B151" s="6">
        <f t="shared" si="24"/>
        <v>1.5509999999999999</v>
      </c>
      <c r="C151" s="9">
        <f t="shared" si="25"/>
        <v>129.33333333333331</v>
      </c>
      <c r="D151" s="8" t="str">
        <f t="shared" si="26"/>
        <v>W</v>
      </c>
      <c r="E151" s="3">
        <f t="shared" si="27"/>
        <v>31</v>
      </c>
      <c r="F151" s="3" t="str">
        <f t="shared" si="28"/>
        <v>ack</v>
      </c>
      <c r="G151" s="3" t="str">
        <f t="shared" si="29"/>
        <v>93</v>
      </c>
      <c r="H151" s="3" t="str">
        <f t="shared" si="30"/>
        <v/>
      </c>
      <c r="I151" s="3">
        <f t="shared" si="31"/>
        <v>147</v>
      </c>
      <c r="J151" s="5" t="str">
        <f>IF(E151=0,"Broadcast",IF(H151="",IF(I151="","",IF(I151&lt;128,"Connect "&amp;I151,INDEX(KdoCodeTab,MATCH(I151,KdoWertTab,0)))),"ReadStat "&amp;H151))</f>
        <v>SpaceCmd</v>
      </c>
      <c r="K151" t="str">
        <f t="shared" si="32"/>
        <v/>
      </c>
      <c r="L151" t="str">
        <f t="shared" si="33"/>
        <v>SpaceCmd</v>
      </c>
      <c r="M151" t="str">
        <f t="shared" si="34"/>
        <v/>
      </c>
    </row>
    <row r="152" spans="1:13" x14ac:dyDescent="0.25">
      <c r="A152" t="s">
        <v>1152</v>
      </c>
      <c r="B152" s="6">
        <f t="shared" si="24"/>
        <v>1.552</v>
      </c>
      <c r="C152" s="9">
        <f t="shared" si="25"/>
        <v>1.0000000000001119</v>
      </c>
      <c r="D152" s="8" t="str">
        <f t="shared" si="26"/>
        <v>W</v>
      </c>
      <c r="E152" s="3">
        <f t="shared" si="27"/>
        <v>31</v>
      </c>
      <c r="F152" s="3" t="str">
        <f t="shared" si="28"/>
        <v>ack</v>
      </c>
      <c r="G152" s="3" t="str">
        <f t="shared" si="29"/>
        <v>96</v>
      </c>
      <c r="H152" s="3" t="str">
        <f t="shared" si="30"/>
        <v/>
      </c>
      <c r="I152" s="3">
        <f t="shared" si="31"/>
        <v>150</v>
      </c>
      <c r="J152" s="5" t="str">
        <f>IF(E152=0,"Broadcast",IF(H152="",IF(I152="","",IF(I152&lt;128,"Connect "&amp;I152,INDEX(KdoCodeTab,MATCH(I152,KdoWertTab,0)))),"ReadStat "&amp;H152))</f>
        <v>RepSpaceCmd</v>
      </c>
      <c r="K152" t="str">
        <f t="shared" si="32"/>
        <v/>
      </c>
      <c r="L152" t="str">
        <f t="shared" si="33"/>
        <v>RepSpaceCmd</v>
      </c>
      <c r="M152" t="str">
        <f t="shared" si="34"/>
        <v/>
      </c>
    </row>
    <row r="153" spans="1:13" x14ac:dyDescent="0.25">
      <c r="A153" t="s">
        <v>1153</v>
      </c>
      <c r="B153" s="6">
        <f t="shared" si="24"/>
        <v>1.6106666666666667</v>
      </c>
      <c r="C153" s="9">
        <f t="shared" si="25"/>
        <v>58.666666666666643</v>
      </c>
      <c r="D153" s="8" t="str">
        <f t="shared" si="26"/>
        <v>W</v>
      </c>
      <c r="E153" s="3">
        <f t="shared" si="27"/>
        <v>31</v>
      </c>
      <c r="F153" s="3" t="str">
        <f t="shared" si="28"/>
        <v>ack</v>
      </c>
      <c r="G153" s="3" t="str">
        <f t="shared" si="29"/>
        <v>9C</v>
      </c>
      <c r="H153" s="3" t="str">
        <f t="shared" si="30"/>
        <v/>
      </c>
      <c r="I153" s="3">
        <f t="shared" si="31"/>
        <v>156</v>
      </c>
      <c r="J153" s="5" t="str">
        <f>IF(E153=0,"Broadcast",IF(H153="",IF(I153="","",IF(I153&lt;128,"Connect "&amp;I153,INDEX(KdoCodeTab,MATCH(I153,KdoWertTab,0)))),"ReadStat "&amp;H153))</f>
        <v>MarkCmd</v>
      </c>
      <c r="K153" t="str">
        <f t="shared" si="32"/>
        <v/>
      </c>
      <c r="L153" t="str">
        <f t="shared" si="33"/>
        <v>MarkCmd</v>
      </c>
      <c r="M153" t="str">
        <f t="shared" si="34"/>
        <v/>
      </c>
    </row>
    <row r="154" spans="1:13" x14ac:dyDescent="0.25">
      <c r="A154" t="s">
        <v>1154</v>
      </c>
      <c r="B154" s="6">
        <f t="shared" si="24"/>
        <v>1.6116666666666666</v>
      </c>
      <c r="C154" s="9">
        <f t="shared" si="25"/>
        <v>0.99999999999988987</v>
      </c>
      <c r="D154" s="8" t="str">
        <f t="shared" si="26"/>
        <v>W</v>
      </c>
      <c r="E154" s="3">
        <f t="shared" si="27"/>
        <v>31</v>
      </c>
      <c r="F154" s="3" t="str">
        <f t="shared" si="28"/>
        <v>ack</v>
      </c>
      <c r="G154" s="3" t="str">
        <f t="shared" si="29"/>
        <v>9A</v>
      </c>
      <c r="H154" s="3" t="str">
        <f t="shared" si="30"/>
        <v/>
      </c>
      <c r="I154" s="3">
        <f t="shared" si="31"/>
        <v>154</v>
      </c>
      <c r="J154" s="5" t="str">
        <f>IF(E154=0,"Broadcast",IF(H154="",IF(I154="","",IF(I154&lt;128,"Connect "&amp;I154,INDEX(KdoCodeTab,MATCH(I154,KdoWertTab,0)))),"ReadStat "&amp;H154))</f>
        <v>RepMarkCmd</v>
      </c>
      <c r="K154" t="str">
        <f t="shared" si="32"/>
        <v/>
      </c>
      <c r="L154" t="str">
        <f t="shared" si="33"/>
        <v>RepMarkCmd</v>
      </c>
      <c r="M154" t="str">
        <f t="shared" si="34"/>
        <v/>
      </c>
    </row>
    <row r="155" spans="1:13" x14ac:dyDescent="0.25">
      <c r="A155" t="s">
        <v>1155</v>
      </c>
      <c r="B155" s="6">
        <f t="shared" si="24"/>
        <v>1.631</v>
      </c>
      <c r="C155" s="9">
        <f t="shared" si="25"/>
        <v>19.333333333333425</v>
      </c>
      <c r="D155" s="8" t="str">
        <f t="shared" si="26"/>
        <v>W</v>
      </c>
      <c r="E155" s="3">
        <f t="shared" si="27"/>
        <v>31</v>
      </c>
      <c r="F155" s="3" t="str">
        <f t="shared" si="28"/>
        <v>ack</v>
      </c>
      <c r="G155" s="3" t="str">
        <f t="shared" si="29"/>
        <v>93</v>
      </c>
      <c r="H155" s="3" t="str">
        <f t="shared" si="30"/>
        <v/>
      </c>
      <c r="I155" s="3">
        <f t="shared" si="31"/>
        <v>147</v>
      </c>
      <c r="J155" s="5" t="str">
        <f>IF(E155=0,"Broadcast",IF(H155="",IF(I155="","",IF(I155&lt;128,"Connect "&amp;I155,INDEX(KdoCodeTab,MATCH(I155,KdoWertTab,0)))),"ReadStat "&amp;H155))</f>
        <v>SpaceCmd</v>
      </c>
      <c r="K155" t="str">
        <f t="shared" si="32"/>
        <v/>
      </c>
      <c r="L155" t="str">
        <f t="shared" si="33"/>
        <v>SpaceCmd</v>
      </c>
      <c r="M155" t="str">
        <f t="shared" si="34"/>
        <v/>
      </c>
    </row>
    <row r="156" spans="1:13" x14ac:dyDescent="0.25">
      <c r="A156" t="s">
        <v>1156</v>
      </c>
      <c r="B156" s="6">
        <f t="shared" si="24"/>
        <v>1.6319999999999999</v>
      </c>
      <c r="C156" s="9">
        <f t="shared" si="25"/>
        <v>0.99999999999988987</v>
      </c>
      <c r="D156" s="8" t="str">
        <f t="shared" si="26"/>
        <v>W</v>
      </c>
      <c r="E156" s="3">
        <f t="shared" si="27"/>
        <v>31</v>
      </c>
      <c r="F156" s="3" t="str">
        <f t="shared" si="28"/>
        <v>ack</v>
      </c>
      <c r="G156" s="3" t="str">
        <f t="shared" si="29"/>
        <v>96</v>
      </c>
      <c r="H156" s="3" t="str">
        <f t="shared" si="30"/>
        <v/>
      </c>
      <c r="I156" s="3">
        <f t="shared" si="31"/>
        <v>150</v>
      </c>
      <c r="J156" s="5" t="str">
        <f>IF(E156=0,"Broadcast",IF(H156="",IF(I156="","",IF(I156&lt;128,"Connect "&amp;I156,INDEX(KdoCodeTab,MATCH(I156,KdoWertTab,0)))),"ReadStat "&amp;H156))</f>
        <v>RepSpaceCmd</v>
      </c>
      <c r="K156" t="str">
        <f t="shared" si="32"/>
        <v/>
      </c>
      <c r="L156" t="str">
        <f t="shared" si="33"/>
        <v>RepSpaceCmd</v>
      </c>
      <c r="M156" t="str">
        <f t="shared" si="34"/>
        <v/>
      </c>
    </row>
    <row r="157" spans="1:13" x14ac:dyDescent="0.25">
      <c r="A157" t="s">
        <v>1157</v>
      </c>
      <c r="B157" s="6">
        <f t="shared" si="24"/>
        <v>1.6408333333333331</v>
      </c>
      <c r="C157" s="9">
        <f t="shared" si="25"/>
        <v>8.8333333333332487</v>
      </c>
      <c r="D157" s="8" t="str">
        <f t="shared" si="26"/>
        <v>W</v>
      </c>
      <c r="E157" s="3">
        <f t="shared" si="27"/>
        <v>31</v>
      </c>
      <c r="F157" s="3" t="str">
        <f t="shared" si="28"/>
        <v>ack</v>
      </c>
      <c r="G157" s="3" t="str">
        <f t="shared" si="29"/>
        <v>A9</v>
      </c>
      <c r="H157" s="3" t="str">
        <f t="shared" si="30"/>
        <v/>
      </c>
      <c r="I157" s="3">
        <f t="shared" si="31"/>
        <v>169</v>
      </c>
      <c r="J157" s="5" t="str">
        <f>IF(E157=0,"Broadcast",IF(H157="",IF(I157="","",IF(I157&lt;128,"Connect "&amp;I157,INDEX(KdoCodeTab,MATCH(I157,KdoWertTab,0)))),"ReadStat "&amp;H157))</f>
        <v>Heartbeat</v>
      </c>
      <c r="K157" t="str">
        <f t="shared" si="32"/>
        <v/>
      </c>
      <c r="L157" t="str">
        <f t="shared" si="33"/>
        <v>Heartbeat</v>
      </c>
      <c r="M157" t="str">
        <f t="shared" si="34"/>
        <v/>
      </c>
    </row>
    <row r="158" spans="1:13" x14ac:dyDescent="0.25">
      <c r="A158" t="s">
        <v>1158</v>
      </c>
      <c r="B158" s="6">
        <f t="shared" si="24"/>
        <v>1.6416666666666666</v>
      </c>
      <c r="C158" s="9">
        <f t="shared" si="25"/>
        <v>0.8333333333334636</v>
      </c>
      <c r="D158" s="8" t="str">
        <f t="shared" si="26"/>
        <v>W</v>
      </c>
      <c r="E158" s="3">
        <f t="shared" si="27"/>
        <v>33</v>
      </c>
      <c r="F158" s="3" t="str">
        <f t="shared" si="28"/>
        <v>ack</v>
      </c>
      <c r="G158" s="3" t="str">
        <f t="shared" si="29"/>
        <v>A9</v>
      </c>
      <c r="H158" s="3" t="str">
        <f t="shared" si="30"/>
        <v/>
      </c>
      <c r="I158" s="3">
        <f t="shared" si="31"/>
        <v>169</v>
      </c>
      <c r="J158" s="5" t="str">
        <f>IF(E158=0,"Broadcast",IF(H158="",IF(I158="","",IF(I158&lt;128,"Connect "&amp;I158,INDEX(KdoCodeTab,MATCH(I158,KdoWertTab,0)))),"ReadStat "&amp;H158))</f>
        <v>Heartbeat</v>
      </c>
      <c r="K158" t="str">
        <f t="shared" si="32"/>
        <v>Heartbeat</v>
      </c>
      <c r="L158" t="str">
        <f t="shared" si="33"/>
        <v/>
      </c>
      <c r="M158" t="str">
        <f t="shared" si="34"/>
        <v/>
      </c>
    </row>
    <row r="159" spans="1:13" x14ac:dyDescent="0.25">
      <c r="A159" t="s">
        <v>1159</v>
      </c>
      <c r="B159" s="6">
        <f t="shared" si="24"/>
        <v>1.6713333333333333</v>
      </c>
      <c r="C159" s="9">
        <f t="shared" si="25"/>
        <v>29.666666666666728</v>
      </c>
      <c r="D159" s="8" t="str">
        <f t="shared" si="26"/>
        <v>W</v>
      </c>
      <c r="E159" s="3">
        <f t="shared" si="27"/>
        <v>31</v>
      </c>
      <c r="F159" s="3" t="str">
        <f t="shared" si="28"/>
        <v>ack</v>
      </c>
      <c r="G159" s="3" t="str">
        <f t="shared" si="29"/>
        <v>9C</v>
      </c>
      <c r="H159" s="3" t="str">
        <f t="shared" si="30"/>
        <v/>
      </c>
      <c r="I159" s="3">
        <f t="shared" si="31"/>
        <v>156</v>
      </c>
      <c r="J159" s="5" t="str">
        <f>IF(E159=0,"Broadcast",IF(H159="",IF(I159="","",IF(I159&lt;128,"Connect "&amp;I159,INDEX(KdoCodeTab,MATCH(I159,KdoWertTab,0)))),"ReadStat "&amp;H159))</f>
        <v>MarkCmd</v>
      </c>
      <c r="K159" t="str">
        <f t="shared" si="32"/>
        <v/>
      </c>
      <c r="L159" t="str">
        <f t="shared" si="33"/>
        <v>MarkCmd</v>
      </c>
      <c r="M159" t="str">
        <f t="shared" si="34"/>
        <v/>
      </c>
    </row>
    <row r="160" spans="1:13" x14ac:dyDescent="0.25">
      <c r="A160" t="s">
        <v>1160</v>
      </c>
      <c r="B160" s="6">
        <f t="shared" si="24"/>
        <v>1.6721666666666666</v>
      </c>
      <c r="C160" s="9">
        <f t="shared" si="25"/>
        <v>0.83333333333324155</v>
      </c>
      <c r="D160" s="8" t="str">
        <f t="shared" si="26"/>
        <v>W</v>
      </c>
      <c r="E160" s="3">
        <f t="shared" si="27"/>
        <v>31</v>
      </c>
      <c r="F160" s="3" t="str">
        <f t="shared" si="28"/>
        <v>ack</v>
      </c>
      <c r="G160" s="3" t="str">
        <f t="shared" si="29"/>
        <v>9A</v>
      </c>
      <c r="H160" s="3" t="str">
        <f t="shared" si="30"/>
        <v/>
      </c>
      <c r="I160" s="3">
        <f t="shared" si="31"/>
        <v>154</v>
      </c>
      <c r="J160" s="5" t="str">
        <f>IF(E160=0,"Broadcast",IF(H160="",IF(I160="","",IF(I160&lt;128,"Connect "&amp;I160,INDEX(KdoCodeTab,MATCH(I160,KdoWertTab,0)))),"ReadStat "&amp;H160))</f>
        <v>RepMarkCmd</v>
      </c>
      <c r="K160" t="str">
        <f t="shared" si="32"/>
        <v/>
      </c>
      <c r="L160" t="str">
        <f t="shared" si="33"/>
        <v>RepMarkCmd</v>
      </c>
      <c r="M160" t="str">
        <f t="shared" si="34"/>
        <v/>
      </c>
    </row>
    <row r="161" spans="1:13" x14ac:dyDescent="0.25">
      <c r="A161" t="s">
        <v>1161</v>
      </c>
      <c r="B161" s="6">
        <f t="shared" si="24"/>
        <v>1.7015</v>
      </c>
      <c r="C161" s="9">
        <f t="shared" si="25"/>
        <v>29.333333333333435</v>
      </c>
      <c r="D161" s="8" t="str">
        <f t="shared" si="26"/>
        <v>W</v>
      </c>
      <c r="E161" s="3">
        <f t="shared" si="27"/>
        <v>31</v>
      </c>
      <c r="F161" s="3" t="str">
        <f t="shared" si="28"/>
        <v>ack</v>
      </c>
      <c r="G161" s="3" t="str">
        <f t="shared" si="29"/>
        <v>93</v>
      </c>
      <c r="H161" s="3" t="str">
        <f t="shared" si="30"/>
        <v/>
      </c>
      <c r="I161" s="3">
        <f t="shared" si="31"/>
        <v>147</v>
      </c>
      <c r="J161" s="5" t="str">
        <f>IF(E161=0,"Broadcast",IF(H161="",IF(I161="","",IF(I161&lt;128,"Connect "&amp;I161,INDEX(KdoCodeTab,MATCH(I161,KdoWertTab,0)))),"ReadStat "&amp;H161))</f>
        <v>SpaceCmd</v>
      </c>
      <c r="K161" t="str">
        <f t="shared" si="32"/>
        <v/>
      </c>
      <c r="L161" t="str">
        <f t="shared" si="33"/>
        <v>SpaceCmd</v>
      </c>
      <c r="M161" t="str">
        <f t="shared" si="34"/>
        <v/>
      </c>
    </row>
    <row r="162" spans="1:13" x14ac:dyDescent="0.25">
      <c r="A162" t="s">
        <v>1162</v>
      </c>
      <c r="B162" s="6">
        <f t="shared" si="24"/>
        <v>1.7024999999999999</v>
      </c>
      <c r="C162" s="9">
        <f t="shared" si="25"/>
        <v>0.99999999999988987</v>
      </c>
      <c r="D162" s="8" t="str">
        <f t="shared" si="26"/>
        <v>W</v>
      </c>
      <c r="E162" s="3">
        <f t="shared" si="27"/>
        <v>31</v>
      </c>
      <c r="F162" s="3" t="str">
        <f t="shared" si="28"/>
        <v>ack</v>
      </c>
      <c r="G162" s="3" t="str">
        <f t="shared" si="29"/>
        <v>96</v>
      </c>
      <c r="H162" s="3" t="str">
        <f t="shared" si="30"/>
        <v/>
      </c>
      <c r="I162" s="3">
        <f t="shared" si="31"/>
        <v>150</v>
      </c>
      <c r="J162" s="5" t="str">
        <f>IF(E162=0,"Broadcast",IF(H162="",IF(I162="","",IF(I162&lt;128,"Connect "&amp;I162,INDEX(KdoCodeTab,MATCH(I162,KdoWertTab,0)))),"ReadStat "&amp;H162))</f>
        <v>RepSpaceCmd</v>
      </c>
      <c r="K162" t="str">
        <f t="shared" si="32"/>
        <v/>
      </c>
      <c r="L162" t="str">
        <f t="shared" si="33"/>
        <v>RepSpaceCmd</v>
      </c>
      <c r="M162" t="str">
        <f t="shared" si="34"/>
        <v/>
      </c>
    </row>
    <row r="163" spans="1:13" x14ac:dyDescent="0.25">
      <c r="A163" t="s">
        <v>1163</v>
      </c>
      <c r="B163" s="6">
        <f t="shared" si="24"/>
        <v>1.7208333333333332</v>
      </c>
      <c r="C163" s="9">
        <f t="shared" si="25"/>
        <v>18.333333333333314</v>
      </c>
      <c r="D163" s="8" t="str">
        <f t="shared" si="26"/>
        <v>W</v>
      </c>
      <c r="E163" s="3">
        <f t="shared" si="27"/>
        <v>31</v>
      </c>
      <c r="F163" s="3" t="str">
        <f t="shared" si="28"/>
        <v>ack</v>
      </c>
      <c r="G163" s="3" t="str">
        <f t="shared" si="29"/>
        <v>9C</v>
      </c>
      <c r="H163" s="3" t="str">
        <f t="shared" si="30"/>
        <v/>
      </c>
      <c r="I163" s="3">
        <f t="shared" si="31"/>
        <v>156</v>
      </c>
      <c r="J163" s="5" t="str">
        <f>IF(E163=0,"Broadcast",IF(H163="",IF(I163="","",IF(I163&lt;128,"Connect "&amp;I163,INDEX(KdoCodeTab,MATCH(I163,KdoWertTab,0)))),"ReadStat "&amp;H163))</f>
        <v>MarkCmd</v>
      </c>
      <c r="K163" t="str">
        <f t="shared" si="32"/>
        <v/>
      </c>
      <c r="L163" t="str">
        <f t="shared" si="33"/>
        <v>MarkCmd</v>
      </c>
      <c r="M163" t="str">
        <f t="shared" si="34"/>
        <v/>
      </c>
    </row>
    <row r="164" spans="1:13" x14ac:dyDescent="0.25">
      <c r="A164" t="s">
        <v>1164</v>
      </c>
      <c r="B164" s="6">
        <f t="shared" si="24"/>
        <v>1.7218333333333333</v>
      </c>
      <c r="C164" s="9">
        <f t="shared" si="25"/>
        <v>1.0000000000001119</v>
      </c>
      <c r="D164" s="8" t="str">
        <f t="shared" si="26"/>
        <v>W</v>
      </c>
      <c r="E164" s="3">
        <f t="shared" si="27"/>
        <v>31</v>
      </c>
      <c r="F164" s="3" t="str">
        <f t="shared" si="28"/>
        <v>ack</v>
      </c>
      <c r="G164" s="3" t="str">
        <f t="shared" si="29"/>
        <v>9A</v>
      </c>
      <c r="H164" s="3" t="str">
        <f t="shared" si="30"/>
        <v/>
      </c>
      <c r="I164" s="3">
        <f t="shared" si="31"/>
        <v>154</v>
      </c>
      <c r="J164" s="5" t="str">
        <f>IF(E164=0,"Broadcast",IF(H164="",IF(I164="","",IF(I164&lt;128,"Connect "&amp;I164,INDEX(KdoCodeTab,MATCH(I164,KdoWertTab,0)))),"ReadStat "&amp;H164))</f>
        <v>RepMarkCmd</v>
      </c>
      <c r="K164" t="str">
        <f t="shared" si="32"/>
        <v/>
      </c>
      <c r="L164" t="str">
        <f t="shared" si="33"/>
        <v>RepMarkCmd</v>
      </c>
      <c r="M164" t="str">
        <f t="shared" si="34"/>
        <v/>
      </c>
    </row>
    <row r="165" spans="1:13" x14ac:dyDescent="0.25">
      <c r="A165" t="s">
        <v>1165</v>
      </c>
      <c r="B165" s="6">
        <f t="shared" si="24"/>
        <v>1.7411666666666668</v>
      </c>
      <c r="C165" s="9">
        <f t="shared" si="25"/>
        <v>19.333333333333425</v>
      </c>
      <c r="D165" s="8" t="str">
        <f t="shared" si="26"/>
        <v>W</v>
      </c>
      <c r="E165" s="3">
        <f t="shared" si="27"/>
        <v>31</v>
      </c>
      <c r="F165" s="3" t="str">
        <f t="shared" si="28"/>
        <v>ack</v>
      </c>
      <c r="G165" s="3" t="str">
        <f t="shared" si="29"/>
        <v>93</v>
      </c>
      <c r="H165" s="3" t="str">
        <f t="shared" si="30"/>
        <v/>
      </c>
      <c r="I165" s="3">
        <f t="shared" si="31"/>
        <v>147</v>
      </c>
      <c r="J165" s="5" t="str">
        <f>IF(E165=0,"Broadcast",IF(H165="",IF(I165="","",IF(I165&lt;128,"Connect "&amp;I165,INDEX(KdoCodeTab,MATCH(I165,KdoWertTab,0)))),"ReadStat "&amp;H165))</f>
        <v>SpaceCmd</v>
      </c>
      <c r="K165" t="str">
        <f t="shared" si="32"/>
        <v/>
      </c>
      <c r="L165" t="str">
        <f t="shared" si="33"/>
        <v>SpaceCmd</v>
      </c>
      <c r="M165" t="str">
        <f t="shared" si="34"/>
        <v/>
      </c>
    </row>
    <row r="166" spans="1:13" x14ac:dyDescent="0.25">
      <c r="A166" t="s">
        <v>1166</v>
      </c>
      <c r="B166" s="6">
        <f t="shared" si="24"/>
        <v>1.7421666666666666</v>
      </c>
      <c r="C166" s="9">
        <f t="shared" si="25"/>
        <v>0.99999999999988987</v>
      </c>
      <c r="D166" s="8" t="str">
        <f t="shared" si="26"/>
        <v>W</v>
      </c>
      <c r="E166" s="3">
        <f t="shared" si="27"/>
        <v>31</v>
      </c>
      <c r="F166" s="3" t="str">
        <f t="shared" si="28"/>
        <v>ack</v>
      </c>
      <c r="G166" s="3" t="str">
        <f t="shared" si="29"/>
        <v>96</v>
      </c>
      <c r="H166" s="3" t="str">
        <f t="shared" si="30"/>
        <v/>
      </c>
      <c r="I166" s="3">
        <f t="shared" si="31"/>
        <v>150</v>
      </c>
      <c r="J166" s="5" t="str">
        <f>IF(E166=0,"Broadcast",IF(H166="",IF(I166="","",IF(I166&lt;128,"Connect "&amp;I166,INDEX(KdoCodeTab,MATCH(I166,KdoWertTab,0)))),"ReadStat "&amp;H166))</f>
        <v>RepSpaceCmd</v>
      </c>
      <c r="K166" t="str">
        <f t="shared" si="32"/>
        <v/>
      </c>
      <c r="L166" t="str">
        <f t="shared" si="33"/>
        <v>RepSpaceCmd</v>
      </c>
      <c r="M166" t="str">
        <f t="shared" si="34"/>
        <v/>
      </c>
    </row>
    <row r="167" spans="1:13" x14ac:dyDescent="0.25">
      <c r="A167" t="s">
        <v>1167</v>
      </c>
      <c r="B167" s="6">
        <f t="shared" si="24"/>
        <v>1.7805</v>
      </c>
      <c r="C167" s="9">
        <f t="shared" si="25"/>
        <v>38.333333333333329</v>
      </c>
      <c r="D167" s="8" t="str">
        <f t="shared" si="26"/>
        <v>W</v>
      </c>
      <c r="E167" s="3">
        <f t="shared" si="27"/>
        <v>31</v>
      </c>
      <c r="F167" s="3" t="str">
        <f t="shared" si="28"/>
        <v>ack</v>
      </c>
      <c r="G167" s="3" t="str">
        <f t="shared" si="29"/>
        <v>9C</v>
      </c>
      <c r="H167" s="3" t="str">
        <f t="shared" si="30"/>
        <v/>
      </c>
      <c r="I167" s="3">
        <f t="shared" si="31"/>
        <v>156</v>
      </c>
      <c r="J167" s="5" t="str">
        <f>IF(E167=0,"Broadcast",IF(H167="",IF(I167="","",IF(I167&lt;128,"Connect "&amp;I167,INDEX(KdoCodeTab,MATCH(I167,KdoWertTab,0)))),"ReadStat "&amp;H167))</f>
        <v>MarkCmd</v>
      </c>
      <c r="K167" t="str">
        <f t="shared" si="32"/>
        <v/>
      </c>
      <c r="L167" t="str">
        <f t="shared" si="33"/>
        <v>MarkCmd</v>
      </c>
      <c r="M167" t="str">
        <f t="shared" si="34"/>
        <v/>
      </c>
    </row>
    <row r="168" spans="1:13" x14ac:dyDescent="0.25">
      <c r="A168" t="s">
        <v>1168</v>
      </c>
      <c r="B168" s="6">
        <f t="shared" si="24"/>
        <v>1.7813333333333332</v>
      </c>
      <c r="C168" s="9">
        <f t="shared" si="25"/>
        <v>0.83333333333324155</v>
      </c>
      <c r="D168" s="8" t="str">
        <f t="shared" si="26"/>
        <v>W</v>
      </c>
      <c r="E168" s="3">
        <f t="shared" si="27"/>
        <v>31</v>
      </c>
      <c r="F168" s="3" t="str">
        <f t="shared" si="28"/>
        <v>ack</v>
      </c>
      <c r="G168" s="3" t="str">
        <f t="shared" si="29"/>
        <v>9A</v>
      </c>
      <c r="H168" s="3" t="str">
        <f t="shared" si="30"/>
        <v/>
      </c>
      <c r="I168" s="3">
        <f t="shared" si="31"/>
        <v>154</v>
      </c>
      <c r="J168" s="5" t="str">
        <f>IF(E168=0,"Broadcast",IF(H168="",IF(I168="","",IF(I168&lt;128,"Connect "&amp;I168,INDEX(KdoCodeTab,MATCH(I168,KdoWertTab,0)))),"ReadStat "&amp;H168))</f>
        <v>RepMarkCmd</v>
      </c>
      <c r="K168" t="str">
        <f t="shared" si="32"/>
        <v/>
      </c>
      <c r="L168" t="str">
        <f t="shared" si="33"/>
        <v>RepMarkCmd</v>
      </c>
      <c r="M168" t="str">
        <f t="shared" si="34"/>
        <v/>
      </c>
    </row>
    <row r="169" spans="1:13" x14ac:dyDescent="0.25">
      <c r="A169" t="s">
        <v>1169</v>
      </c>
      <c r="B169" s="6">
        <f t="shared" si="24"/>
        <v>1.8016666666666665</v>
      </c>
      <c r="C169" s="9">
        <f t="shared" si="25"/>
        <v>20.333333333333314</v>
      </c>
      <c r="D169" s="8" t="str">
        <f t="shared" si="26"/>
        <v>W</v>
      </c>
      <c r="E169" s="3">
        <f t="shared" si="27"/>
        <v>31</v>
      </c>
      <c r="F169" s="3" t="str">
        <f t="shared" si="28"/>
        <v>ack</v>
      </c>
      <c r="G169" s="3" t="str">
        <f t="shared" si="29"/>
        <v>93</v>
      </c>
      <c r="H169" s="3" t="str">
        <f t="shared" si="30"/>
        <v/>
      </c>
      <c r="I169" s="3">
        <f t="shared" si="31"/>
        <v>147</v>
      </c>
      <c r="J169" s="5" t="str">
        <f>IF(E169=0,"Broadcast",IF(H169="",IF(I169="","",IF(I169&lt;128,"Connect "&amp;I169,INDEX(KdoCodeTab,MATCH(I169,KdoWertTab,0)))),"ReadStat "&amp;H169))</f>
        <v>SpaceCmd</v>
      </c>
      <c r="K169" t="str">
        <f t="shared" si="32"/>
        <v/>
      </c>
      <c r="L169" t="str">
        <f t="shared" si="33"/>
        <v>SpaceCmd</v>
      </c>
      <c r="M169" t="str">
        <f t="shared" si="34"/>
        <v/>
      </c>
    </row>
    <row r="170" spans="1:13" x14ac:dyDescent="0.25">
      <c r="A170" t="s">
        <v>1170</v>
      </c>
      <c r="B170" s="6">
        <f t="shared" si="24"/>
        <v>1.8026666666666666</v>
      </c>
      <c r="C170" s="9">
        <f t="shared" si="25"/>
        <v>1.0000000000001119</v>
      </c>
      <c r="D170" s="8" t="str">
        <f t="shared" si="26"/>
        <v>W</v>
      </c>
      <c r="E170" s="3">
        <f t="shared" si="27"/>
        <v>31</v>
      </c>
      <c r="F170" s="3" t="str">
        <f t="shared" si="28"/>
        <v>ack</v>
      </c>
      <c r="G170" s="3" t="str">
        <f t="shared" si="29"/>
        <v>96</v>
      </c>
      <c r="H170" s="3" t="str">
        <f t="shared" si="30"/>
        <v/>
      </c>
      <c r="I170" s="3">
        <f t="shared" si="31"/>
        <v>150</v>
      </c>
      <c r="J170" s="5" t="str">
        <f>IF(E170=0,"Broadcast",IF(H170="",IF(I170="","",IF(I170&lt;128,"Connect "&amp;I170,INDEX(KdoCodeTab,MATCH(I170,KdoWertTab,0)))),"ReadStat "&amp;H170))</f>
        <v>RepSpaceCmd</v>
      </c>
      <c r="K170" t="str">
        <f t="shared" si="32"/>
        <v/>
      </c>
      <c r="L170" t="str">
        <f t="shared" si="33"/>
        <v>RepSpaceCmd</v>
      </c>
      <c r="M170" t="str">
        <f t="shared" si="34"/>
        <v/>
      </c>
    </row>
    <row r="171" spans="1:13" x14ac:dyDescent="0.25">
      <c r="A171" t="s">
        <v>1171</v>
      </c>
      <c r="B171" s="6">
        <f t="shared" si="24"/>
        <v>1.821</v>
      </c>
      <c r="C171" s="9">
        <f t="shared" si="25"/>
        <v>18.333333333333314</v>
      </c>
      <c r="D171" s="8" t="str">
        <f t="shared" si="26"/>
        <v>W</v>
      </c>
      <c r="E171" s="3">
        <f t="shared" si="27"/>
        <v>31</v>
      </c>
      <c r="F171" s="3" t="str">
        <f t="shared" si="28"/>
        <v>ack</v>
      </c>
      <c r="G171" s="3" t="str">
        <f t="shared" si="29"/>
        <v>9C</v>
      </c>
      <c r="H171" s="3" t="str">
        <f t="shared" si="30"/>
        <v/>
      </c>
      <c r="I171" s="3">
        <f t="shared" si="31"/>
        <v>156</v>
      </c>
      <c r="J171" s="5" t="str">
        <f>IF(E171=0,"Broadcast",IF(H171="",IF(I171="","",IF(I171&lt;128,"Connect "&amp;I171,INDEX(KdoCodeTab,MATCH(I171,KdoWertTab,0)))),"ReadStat "&amp;H171))</f>
        <v>MarkCmd</v>
      </c>
      <c r="K171" t="str">
        <f t="shared" si="32"/>
        <v/>
      </c>
      <c r="L171" t="str">
        <f t="shared" si="33"/>
        <v>MarkCmd</v>
      </c>
      <c r="M171" t="str">
        <f t="shared" si="34"/>
        <v/>
      </c>
    </row>
    <row r="172" spans="1:13" x14ac:dyDescent="0.25">
      <c r="A172" t="s">
        <v>1172</v>
      </c>
      <c r="B172" s="6">
        <f t="shared" si="24"/>
        <v>1.8218333333333332</v>
      </c>
      <c r="C172" s="9">
        <f t="shared" si="25"/>
        <v>0.83333333333324155</v>
      </c>
      <c r="D172" s="8" t="str">
        <f t="shared" si="26"/>
        <v>W</v>
      </c>
      <c r="E172" s="3">
        <f t="shared" si="27"/>
        <v>31</v>
      </c>
      <c r="F172" s="3" t="str">
        <f t="shared" si="28"/>
        <v>ack</v>
      </c>
      <c r="G172" s="3" t="str">
        <f t="shared" si="29"/>
        <v>9A</v>
      </c>
      <c r="H172" s="3" t="str">
        <f t="shared" si="30"/>
        <v/>
      </c>
      <c r="I172" s="3">
        <f t="shared" si="31"/>
        <v>154</v>
      </c>
      <c r="J172" s="5" t="str">
        <f>IF(E172=0,"Broadcast",IF(H172="",IF(I172="","",IF(I172&lt;128,"Connect "&amp;I172,INDEX(KdoCodeTab,MATCH(I172,KdoWertTab,0)))),"ReadStat "&amp;H172))</f>
        <v>RepMarkCmd</v>
      </c>
      <c r="K172" t="str">
        <f t="shared" si="32"/>
        <v/>
      </c>
      <c r="L172" t="str">
        <f t="shared" si="33"/>
        <v>RepMarkCmd</v>
      </c>
      <c r="M172" t="str">
        <f t="shared" si="34"/>
        <v/>
      </c>
    </row>
    <row r="173" spans="1:13" x14ac:dyDescent="0.25">
      <c r="A173" t="s">
        <v>1173</v>
      </c>
      <c r="B173" s="6">
        <f t="shared" si="24"/>
        <v>1.8511666666666666</v>
      </c>
      <c r="C173" s="9">
        <f t="shared" si="25"/>
        <v>29.333333333333435</v>
      </c>
      <c r="D173" s="8" t="str">
        <f t="shared" si="26"/>
        <v>W</v>
      </c>
      <c r="E173" s="3">
        <f t="shared" si="27"/>
        <v>31</v>
      </c>
      <c r="F173" s="3" t="str">
        <f t="shared" si="28"/>
        <v>ack</v>
      </c>
      <c r="G173" s="3" t="str">
        <f t="shared" si="29"/>
        <v>93</v>
      </c>
      <c r="H173" s="3" t="str">
        <f t="shared" si="30"/>
        <v/>
      </c>
      <c r="I173" s="3">
        <f t="shared" si="31"/>
        <v>147</v>
      </c>
      <c r="J173" s="5" t="str">
        <f>IF(E173=0,"Broadcast",IF(H173="",IF(I173="","",IF(I173&lt;128,"Connect "&amp;I173,INDEX(KdoCodeTab,MATCH(I173,KdoWertTab,0)))),"ReadStat "&amp;H173))</f>
        <v>SpaceCmd</v>
      </c>
      <c r="K173" t="str">
        <f t="shared" si="32"/>
        <v/>
      </c>
      <c r="L173" t="str">
        <f t="shared" si="33"/>
        <v>SpaceCmd</v>
      </c>
      <c r="M173" t="str">
        <f t="shared" si="34"/>
        <v/>
      </c>
    </row>
    <row r="174" spans="1:13" x14ac:dyDescent="0.25">
      <c r="A174" t="s">
        <v>1174</v>
      </c>
      <c r="B174" s="6">
        <f t="shared" si="24"/>
        <v>1.8521666666666667</v>
      </c>
      <c r="C174" s="9">
        <f t="shared" si="25"/>
        <v>1.0000000000001119</v>
      </c>
      <c r="D174" s="8" t="str">
        <f t="shared" si="26"/>
        <v>W</v>
      </c>
      <c r="E174" s="3">
        <f t="shared" si="27"/>
        <v>31</v>
      </c>
      <c r="F174" s="3" t="str">
        <f t="shared" si="28"/>
        <v>ack</v>
      </c>
      <c r="G174" s="3" t="str">
        <f t="shared" si="29"/>
        <v>96</v>
      </c>
      <c r="H174" s="3" t="str">
        <f t="shared" si="30"/>
        <v/>
      </c>
      <c r="I174" s="3">
        <f t="shared" si="31"/>
        <v>150</v>
      </c>
      <c r="J174" s="5" t="str">
        <f>IF(E174=0,"Broadcast",IF(H174="",IF(I174="","",IF(I174&lt;128,"Connect "&amp;I174,INDEX(KdoCodeTab,MATCH(I174,KdoWertTab,0)))),"ReadStat "&amp;H174))</f>
        <v>RepSpaceCmd</v>
      </c>
      <c r="K174" t="str">
        <f t="shared" si="32"/>
        <v/>
      </c>
      <c r="L174" t="str">
        <f t="shared" si="33"/>
        <v>RepSpaceCmd</v>
      </c>
      <c r="M174" t="str">
        <f t="shared" si="34"/>
        <v/>
      </c>
    </row>
    <row r="175" spans="1:13" x14ac:dyDescent="0.25">
      <c r="A175" t="s">
        <v>1175</v>
      </c>
      <c r="B175" s="6">
        <f t="shared" si="24"/>
        <v>1.8705000000000001</v>
      </c>
      <c r="C175" s="9">
        <f t="shared" si="25"/>
        <v>18.333333333333314</v>
      </c>
      <c r="D175" s="8" t="str">
        <f t="shared" si="26"/>
        <v>W</v>
      </c>
      <c r="E175" s="3">
        <f t="shared" si="27"/>
        <v>31</v>
      </c>
      <c r="F175" s="3" t="str">
        <f t="shared" si="28"/>
        <v>ack</v>
      </c>
      <c r="G175" s="3" t="str">
        <f t="shared" si="29"/>
        <v>9C</v>
      </c>
      <c r="H175" s="3" t="str">
        <f t="shared" si="30"/>
        <v/>
      </c>
      <c r="I175" s="3">
        <f t="shared" si="31"/>
        <v>156</v>
      </c>
      <c r="J175" s="5" t="str">
        <f>IF(E175=0,"Broadcast",IF(H175="",IF(I175="","",IF(I175&lt;128,"Connect "&amp;I175,INDEX(KdoCodeTab,MATCH(I175,KdoWertTab,0)))),"ReadStat "&amp;H175))</f>
        <v>MarkCmd</v>
      </c>
      <c r="K175" t="str">
        <f t="shared" si="32"/>
        <v/>
      </c>
      <c r="L175" t="str">
        <f t="shared" si="33"/>
        <v>MarkCmd</v>
      </c>
      <c r="M175" t="str">
        <f t="shared" si="34"/>
        <v/>
      </c>
    </row>
    <row r="176" spans="1:13" x14ac:dyDescent="0.25">
      <c r="A176" t="s">
        <v>1176</v>
      </c>
      <c r="B176" s="6">
        <f t="shared" si="24"/>
        <v>1.8713333333333333</v>
      </c>
      <c r="C176" s="9">
        <f t="shared" si="25"/>
        <v>0.83333333333324155</v>
      </c>
      <c r="D176" s="8" t="str">
        <f t="shared" si="26"/>
        <v>W</v>
      </c>
      <c r="E176" s="3">
        <f t="shared" si="27"/>
        <v>31</v>
      </c>
      <c r="F176" s="3" t="str">
        <f t="shared" si="28"/>
        <v>ack</v>
      </c>
      <c r="G176" s="3" t="str">
        <f t="shared" si="29"/>
        <v>9A</v>
      </c>
      <c r="H176" s="3" t="str">
        <f t="shared" si="30"/>
        <v/>
      </c>
      <c r="I176" s="3">
        <f t="shared" si="31"/>
        <v>154</v>
      </c>
      <c r="J176" s="5" t="str">
        <f>IF(E176=0,"Broadcast",IF(H176="",IF(I176="","",IF(I176&lt;128,"Connect "&amp;I176,INDEX(KdoCodeTab,MATCH(I176,KdoWertTab,0)))),"ReadStat "&amp;H176))</f>
        <v>RepMarkCmd</v>
      </c>
      <c r="K176" t="str">
        <f t="shared" si="32"/>
        <v/>
      </c>
      <c r="L176" t="str">
        <f t="shared" si="33"/>
        <v>RepMarkCmd</v>
      </c>
      <c r="M176" t="str">
        <f t="shared" si="34"/>
        <v/>
      </c>
    </row>
    <row r="177" spans="1:13" x14ac:dyDescent="0.25">
      <c r="A177" t="s">
        <v>1177</v>
      </c>
      <c r="B177" s="6">
        <f t="shared" si="24"/>
        <v>2.3228333333333335</v>
      </c>
      <c r="C177" s="9">
        <f t="shared" si="25"/>
        <v>451.50000000000023</v>
      </c>
      <c r="D177" s="8" t="str">
        <f t="shared" si="26"/>
        <v>W</v>
      </c>
      <c r="E177" s="3">
        <f t="shared" si="27"/>
        <v>21</v>
      </c>
      <c r="F177" s="3" t="str">
        <f t="shared" si="28"/>
        <v>ack</v>
      </c>
      <c r="G177" s="3" t="e">
        <f t="shared" si="29"/>
        <v>#VALUE!</v>
      </c>
      <c r="H177" s="3" t="str">
        <f t="shared" si="30"/>
        <v/>
      </c>
      <c r="I177" s="3">
        <f t="shared" si="31"/>
        <v>0</v>
      </c>
      <c r="J177" s="5" t="str">
        <f>IF(E177=0,"Broadcast",IF(H177="",IF(I177="","",IF(I177&lt;128,"Connect "&amp;I177,INDEX(KdoCodeTab,MATCH(I177,KdoWertTab,0)))),"ReadStat "&amp;H177))</f>
        <v>Connect 0</v>
      </c>
      <c r="K177" t="str">
        <f t="shared" si="32"/>
        <v/>
      </c>
      <c r="L177" t="str">
        <f t="shared" si="33"/>
        <v/>
      </c>
      <c r="M177" t="str">
        <f t="shared" si="34"/>
        <v>Connect 0</v>
      </c>
    </row>
    <row r="178" spans="1:13" x14ac:dyDescent="0.25">
      <c r="A178" t="s">
        <v>1178</v>
      </c>
      <c r="B178" s="6">
        <f t="shared" si="24"/>
        <v>2.3236666666666665</v>
      </c>
      <c r="C178" s="9">
        <f t="shared" si="25"/>
        <v>0.83333333333301951</v>
      </c>
      <c r="D178" s="8" t="str">
        <f t="shared" si="26"/>
        <v>W</v>
      </c>
      <c r="E178" s="3">
        <f t="shared" si="27"/>
        <v>33</v>
      </c>
      <c r="F178" s="3" t="str">
        <f t="shared" si="28"/>
        <v>ack</v>
      </c>
      <c r="G178" s="3" t="str">
        <f t="shared" si="29"/>
        <v>A9</v>
      </c>
      <c r="H178" s="3" t="str">
        <f t="shared" si="30"/>
        <v/>
      </c>
      <c r="I178" s="3">
        <f t="shared" si="31"/>
        <v>169</v>
      </c>
      <c r="J178" s="5" t="str">
        <f>IF(E178=0,"Broadcast",IF(H178="",IF(I178="","",IF(I178&lt;128,"Connect "&amp;I178,INDEX(KdoCodeTab,MATCH(I178,KdoWertTab,0)))),"ReadStat "&amp;H178))</f>
        <v>Heartbeat</v>
      </c>
      <c r="K178" t="str">
        <f t="shared" si="32"/>
        <v>Heartbeat</v>
      </c>
      <c r="L178" t="str">
        <f t="shared" si="33"/>
        <v/>
      </c>
      <c r="M178" t="str">
        <f t="shared" si="34"/>
        <v/>
      </c>
    </row>
    <row r="179" spans="1:13" x14ac:dyDescent="0.25">
      <c r="A179" t="s">
        <v>1179</v>
      </c>
      <c r="B179" s="6">
        <f t="shared" si="24"/>
        <v>3.0049999999999999</v>
      </c>
      <c r="C179" s="9">
        <f t="shared" si="25"/>
        <v>681.33333333333337</v>
      </c>
      <c r="D179" s="8" t="str">
        <f t="shared" si="26"/>
        <v>W</v>
      </c>
      <c r="E179" s="3">
        <f t="shared" si="27"/>
        <v>31</v>
      </c>
      <c r="F179" s="3" t="str">
        <f t="shared" si="28"/>
        <v>ack</v>
      </c>
      <c r="G179" s="3" t="str">
        <f t="shared" si="29"/>
        <v>A9</v>
      </c>
      <c r="H179" s="3" t="str">
        <f t="shared" si="30"/>
        <v/>
      </c>
      <c r="I179" s="3">
        <f t="shared" si="31"/>
        <v>169</v>
      </c>
      <c r="J179" s="5" t="str">
        <f>IF(E179=0,"Broadcast",IF(H179="",IF(I179="","",IF(I179&lt;128,"Connect "&amp;I179,INDEX(KdoCodeTab,MATCH(I179,KdoWertTab,0)))),"ReadStat "&amp;H179))</f>
        <v>Heartbeat</v>
      </c>
      <c r="K179" t="str">
        <f t="shared" si="32"/>
        <v/>
      </c>
      <c r="L179" t="str">
        <f t="shared" si="33"/>
        <v>Heartbeat</v>
      </c>
      <c r="M179" t="str">
        <f t="shared" si="34"/>
        <v/>
      </c>
    </row>
    <row r="180" spans="1:13" x14ac:dyDescent="0.25">
      <c r="A180" t="s">
        <v>1180</v>
      </c>
      <c r="B180" s="6">
        <f t="shared" si="24"/>
        <v>3.0056666666666665</v>
      </c>
      <c r="C180" s="9">
        <f t="shared" si="25"/>
        <v>0.66666666666659324</v>
      </c>
      <c r="D180" s="8" t="str">
        <f t="shared" si="26"/>
        <v>W</v>
      </c>
      <c r="E180" s="3">
        <f t="shared" si="27"/>
        <v>33</v>
      </c>
      <c r="F180" s="3" t="str">
        <f t="shared" si="28"/>
        <v>ack</v>
      </c>
      <c r="G180" s="3" t="str">
        <f t="shared" si="29"/>
        <v>A9</v>
      </c>
      <c r="H180" s="3" t="str">
        <f t="shared" si="30"/>
        <v/>
      </c>
      <c r="I180" s="3">
        <f t="shared" si="31"/>
        <v>169</v>
      </c>
      <c r="J180" s="5" t="str">
        <f>IF(E180=0,"Broadcast",IF(H180="",IF(I180="","",IF(I180&lt;128,"Connect "&amp;I180,INDEX(KdoCodeTab,MATCH(I180,KdoWertTab,0)))),"ReadStat "&amp;H180))</f>
        <v>Heartbeat</v>
      </c>
      <c r="K180" t="str">
        <f t="shared" si="32"/>
        <v>Heartbeat</v>
      </c>
      <c r="L180" t="str">
        <f t="shared" si="33"/>
        <v/>
      </c>
      <c r="M180" t="str">
        <f t="shared" si="34"/>
        <v/>
      </c>
    </row>
    <row r="181" spans="1:13" x14ac:dyDescent="0.25">
      <c r="A181" t="s">
        <v>1181</v>
      </c>
      <c r="B181" s="6">
        <f t="shared" si="24"/>
        <v>3.100166666666667</v>
      </c>
      <c r="C181" s="9">
        <f t="shared" si="25"/>
        <v>94.500000000000469</v>
      </c>
      <c r="D181" s="8" t="str">
        <f t="shared" si="26"/>
        <v>W</v>
      </c>
      <c r="E181" s="3">
        <f t="shared" si="27"/>
        <v>33</v>
      </c>
      <c r="F181" s="3" t="str">
        <f t="shared" si="28"/>
        <v>ack</v>
      </c>
      <c r="G181" s="3" t="str">
        <f t="shared" si="29"/>
        <v>93</v>
      </c>
      <c r="H181" s="3" t="str">
        <f t="shared" si="30"/>
        <v/>
      </c>
      <c r="I181" s="3">
        <f t="shared" si="31"/>
        <v>147</v>
      </c>
      <c r="J181" s="5" t="str">
        <f>IF(E181=0,"Broadcast",IF(H181="",IF(I181="","",IF(I181&lt;128,"Connect "&amp;I181,INDEX(KdoCodeTab,MATCH(I181,KdoWertTab,0)))),"ReadStat "&amp;H181))</f>
        <v>SpaceCmd</v>
      </c>
      <c r="K181" t="str">
        <f t="shared" si="32"/>
        <v>SpaceCmd</v>
      </c>
      <c r="L181" t="str">
        <f t="shared" si="33"/>
        <v/>
      </c>
      <c r="M181" t="str">
        <f t="shared" si="34"/>
        <v/>
      </c>
    </row>
    <row r="182" spans="1:13" x14ac:dyDescent="0.25">
      <c r="A182" t="s">
        <v>1182</v>
      </c>
      <c r="B182" s="6">
        <f t="shared" si="24"/>
        <v>3.101</v>
      </c>
      <c r="C182" s="9">
        <f t="shared" si="25"/>
        <v>0.83333333333301951</v>
      </c>
      <c r="D182" s="8" t="str">
        <f t="shared" si="26"/>
        <v>W</v>
      </c>
      <c r="E182" s="3">
        <f t="shared" si="27"/>
        <v>33</v>
      </c>
      <c r="F182" s="3" t="str">
        <f t="shared" si="28"/>
        <v>ack</v>
      </c>
      <c r="G182" s="3" t="str">
        <f t="shared" si="29"/>
        <v>96</v>
      </c>
      <c r="H182" s="3" t="str">
        <f t="shared" si="30"/>
        <v/>
      </c>
      <c r="I182" s="3">
        <f t="shared" si="31"/>
        <v>150</v>
      </c>
      <c r="J182" s="5" t="str">
        <f>IF(E182=0,"Broadcast",IF(H182="",IF(I182="","",IF(I182&lt;128,"Connect "&amp;I182,INDEX(KdoCodeTab,MATCH(I182,KdoWertTab,0)))),"ReadStat "&amp;H182))</f>
        <v>RepSpaceCmd</v>
      </c>
      <c r="K182" t="str">
        <f t="shared" si="32"/>
        <v>RepSpaceCmd</v>
      </c>
      <c r="L182" t="str">
        <f t="shared" si="33"/>
        <v/>
      </c>
      <c r="M182" t="str">
        <f t="shared" si="34"/>
        <v/>
      </c>
    </row>
    <row r="183" spans="1:13" x14ac:dyDescent="0.25">
      <c r="A183" t="s">
        <v>1183</v>
      </c>
      <c r="B183" s="6">
        <f t="shared" si="24"/>
        <v>3.1205000000000003</v>
      </c>
      <c r="C183" s="9">
        <f t="shared" si="25"/>
        <v>19.500000000000295</v>
      </c>
      <c r="D183" s="8" t="str">
        <f t="shared" si="26"/>
        <v>W</v>
      </c>
      <c r="E183" s="3">
        <f t="shared" si="27"/>
        <v>33</v>
      </c>
      <c r="F183" s="3" t="str">
        <f t="shared" si="28"/>
        <v>ack</v>
      </c>
      <c r="G183" s="3" t="str">
        <f t="shared" si="29"/>
        <v>9C</v>
      </c>
      <c r="H183" s="3" t="str">
        <f t="shared" si="30"/>
        <v/>
      </c>
      <c r="I183" s="3">
        <f t="shared" si="31"/>
        <v>156</v>
      </c>
      <c r="J183" s="5" t="str">
        <f>IF(E183=0,"Broadcast",IF(H183="",IF(I183="","",IF(I183&lt;128,"Connect "&amp;I183,INDEX(KdoCodeTab,MATCH(I183,KdoWertTab,0)))),"ReadStat "&amp;H183))</f>
        <v>MarkCmd</v>
      </c>
      <c r="K183" t="str">
        <f t="shared" si="32"/>
        <v>MarkCmd</v>
      </c>
      <c r="L183" t="str">
        <f t="shared" si="33"/>
        <v/>
      </c>
      <c r="M183" t="str">
        <f t="shared" si="34"/>
        <v/>
      </c>
    </row>
    <row r="184" spans="1:13" x14ac:dyDescent="0.25">
      <c r="A184" t="s">
        <v>1184</v>
      </c>
      <c r="B184" s="6">
        <f t="shared" si="24"/>
        <v>3.1213333333333333</v>
      </c>
      <c r="C184" s="9">
        <f t="shared" si="25"/>
        <v>0.83333333333301951</v>
      </c>
      <c r="D184" s="8" t="str">
        <f t="shared" si="26"/>
        <v>W</v>
      </c>
      <c r="E184" s="3">
        <f t="shared" si="27"/>
        <v>33</v>
      </c>
      <c r="F184" s="3" t="str">
        <f t="shared" si="28"/>
        <v>ack</v>
      </c>
      <c r="G184" s="3" t="str">
        <f t="shared" si="29"/>
        <v>9A</v>
      </c>
      <c r="H184" s="3" t="str">
        <f t="shared" si="30"/>
        <v/>
      </c>
      <c r="I184" s="3">
        <f t="shared" si="31"/>
        <v>154</v>
      </c>
      <c r="J184" s="5" t="str">
        <f>IF(E184=0,"Broadcast",IF(H184="",IF(I184="","",IF(I184&lt;128,"Connect "&amp;I184,INDEX(KdoCodeTab,MATCH(I184,KdoWertTab,0)))),"ReadStat "&amp;H184))</f>
        <v>RepMarkCmd</v>
      </c>
      <c r="K184" t="str">
        <f t="shared" si="32"/>
        <v>RepMarkCmd</v>
      </c>
      <c r="L184" t="str">
        <f t="shared" si="33"/>
        <v/>
      </c>
      <c r="M184" t="str">
        <f t="shared" si="34"/>
        <v/>
      </c>
    </row>
    <row r="185" spans="1:13" x14ac:dyDescent="0.25">
      <c r="A185" t="s">
        <v>1185</v>
      </c>
      <c r="B185" s="6">
        <f t="shared" si="24"/>
        <v>3.2496666666666667</v>
      </c>
      <c r="C185" s="9">
        <f t="shared" si="25"/>
        <v>128.3333333333334</v>
      </c>
      <c r="D185" s="8" t="str">
        <f t="shared" si="26"/>
        <v>W</v>
      </c>
      <c r="E185" s="3">
        <f t="shared" si="27"/>
        <v>33</v>
      </c>
      <c r="F185" s="3" t="str">
        <f t="shared" si="28"/>
        <v>ack</v>
      </c>
      <c r="G185" s="3" t="str">
        <f t="shared" si="29"/>
        <v>93</v>
      </c>
      <c r="H185" s="3" t="str">
        <f t="shared" si="30"/>
        <v/>
      </c>
      <c r="I185" s="3">
        <f t="shared" si="31"/>
        <v>147</v>
      </c>
      <c r="J185" s="5" t="str">
        <f>IF(E185=0,"Broadcast",IF(H185="",IF(I185="","",IF(I185&lt;128,"Connect "&amp;I185,INDEX(KdoCodeTab,MATCH(I185,KdoWertTab,0)))),"ReadStat "&amp;H185))</f>
        <v>SpaceCmd</v>
      </c>
      <c r="K185" t="str">
        <f t="shared" si="32"/>
        <v>SpaceCmd</v>
      </c>
      <c r="L185" t="str">
        <f t="shared" si="33"/>
        <v/>
      </c>
      <c r="M185" t="str">
        <f t="shared" si="34"/>
        <v/>
      </c>
    </row>
    <row r="186" spans="1:13" x14ac:dyDescent="0.25">
      <c r="A186" t="s">
        <v>1186</v>
      </c>
      <c r="B186" s="6">
        <f t="shared" si="24"/>
        <v>3.2505000000000002</v>
      </c>
      <c r="C186" s="9">
        <f t="shared" si="25"/>
        <v>0.8333333333334636</v>
      </c>
      <c r="D186" s="8" t="str">
        <f t="shared" si="26"/>
        <v>W</v>
      </c>
      <c r="E186" s="3">
        <f t="shared" si="27"/>
        <v>33</v>
      </c>
      <c r="F186" s="3" t="str">
        <f t="shared" si="28"/>
        <v>ack</v>
      </c>
      <c r="G186" s="3" t="str">
        <f t="shared" si="29"/>
        <v>96</v>
      </c>
      <c r="H186" s="3" t="str">
        <f t="shared" si="30"/>
        <v/>
      </c>
      <c r="I186" s="3">
        <f t="shared" si="31"/>
        <v>150</v>
      </c>
      <c r="J186" s="5" t="str">
        <f>IF(E186=0,"Broadcast",IF(H186="",IF(I186="","",IF(I186&lt;128,"Connect "&amp;I186,INDEX(KdoCodeTab,MATCH(I186,KdoWertTab,0)))),"ReadStat "&amp;H186))</f>
        <v>RepSpaceCmd</v>
      </c>
      <c r="K186" t="str">
        <f t="shared" si="32"/>
        <v>RepSpaceCmd</v>
      </c>
      <c r="L186" t="str">
        <f t="shared" si="33"/>
        <v/>
      </c>
      <c r="M186" t="str">
        <f t="shared" si="34"/>
        <v/>
      </c>
    </row>
    <row r="187" spans="1:13" x14ac:dyDescent="0.25">
      <c r="A187" t="s">
        <v>1187</v>
      </c>
      <c r="B187" s="6">
        <f t="shared" si="24"/>
        <v>3.3305000000000002</v>
      </c>
      <c r="C187" s="9">
        <f t="shared" si="25"/>
        <v>80.000000000000071</v>
      </c>
      <c r="D187" s="8" t="str">
        <f t="shared" si="26"/>
        <v>W</v>
      </c>
      <c r="E187" s="3">
        <f t="shared" si="27"/>
        <v>33</v>
      </c>
      <c r="F187" s="3" t="str">
        <f t="shared" si="28"/>
        <v>ack</v>
      </c>
      <c r="G187" s="3" t="str">
        <f t="shared" si="29"/>
        <v>9C</v>
      </c>
      <c r="H187" s="3" t="str">
        <f t="shared" si="30"/>
        <v/>
      </c>
      <c r="I187" s="3">
        <f t="shared" si="31"/>
        <v>156</v>
      </c>
      <c r="J187" s="5" t="str">
        <f>IF(E187=0,"Broadcast",IF(H187="",IF(I187="","",IF(I187&lt;128,"Connect "&amp;I187,INDEX(KdoCodeTab,MATCH(I187,KdoWertTab,0)))),"ReadStat "&amp;H187))</f>
        <v>MarkCmd</v>
      </c>
      <c r="K187" t="str">
        <f t="shared" si="32"/>
        <v>MarkCmd</v>
      </c>
      <c r="L187" t="str">
        <f t="shared" si="33"/>
        <v/>
      </c>
      <c r="M187" t="str">
        <f t="shared" si="34"/>
        <v/>
      </c>
    </row>
    <row r="188" spans="1:13" x14ac:dyDescent="0.25">
      <c r="A188" t="s">
        <v>1188</v>
      </c>
      <c r="B188" s="6">
        <f t="shared" si="24"/>
        <v>3.3315000000000001</v>
      </c>
      <c r="C188" s="9">
        <f t="shared" si="25"/>
        <v>0.99999999999988987</v>
      </c>
      <c r="D188" s="8" t="str">
        <f t="shared" si="26"/>
        <v>W</v>
      </c>
      <c r="E188" s="3">
        <f t="shared" si="27"/>
        <v>33</v>
      </c>
      <c r="F188" s="3" t="str">
        <f t="shared" si="28"/>
        <v>ack</v>
      </c>
      <c r="G188" s="3" t="str">
        <f t="shared" si="29"/>
        <v>9A</v>
      </c>
      <c r="H188" s="3" t="str">
        <f t="shared" si="30"/>
        <v/>
      </c>
      <c r="I188" s="3">
        <f t="shared" si="31"/>
        <v>154</v>
      </c>
      <c r="J188" s="5" t="str">
        <f>IF(E188=0,"Broadcast",IF(H188="",IF(I188="","",IF(I188&lt;128,"Connect "&amp;I188,INDEX(KdoCodeTab,MATCH(I188,KdoWertTab,0)))),"ReadStat "&amp;H188))</f>
        <v>RepMarkCmd</v>
      </c>
      <c r="K188" t="str">
        <f t="shared" si="32"/>
        <v>RepMarkCmd</v>
      </c>
      <c r="L188" t="str">
        <f t="shared" si="33"/>
        <v/>
      </c>
      <c r="M188" t="str">
        <f t="shared" si="34"/>
        <v/>
      </c>
    </row>
    <row r="189" spans="1:13" x14ac:dyDescent="0.25">
      <c r="A189" t="s">
        <v>1189</v>
      </c>
      <c r="B189" s="6">
        <f t="shared" si="24"/>
        <v>3.3508333333333336</v>
      </c>
      <c r="C189" s="9">
        <f t="shared" si="25"/>
        <v>19.333333333333425</v>
      </c>
      <c r="D189" s="8" t="str">
        <f t="shared" si="26"/>
        <v>W</v>
      </c>
      <c r="E189" s="3">
        <f t="shared" si="27"/>
        <v>33</v>
      </c>
      <c r="F189" s="3" t="str">
        <f t="shared" si="28"/>
        <v>ack</v>
      </c>
      <c r="G189" s="3" t="str">
        <f t="shared" si="29"/>
        <v>93</v>
      </c>
      <c r="H189" s="3" t="str">
        <f t="shared" si="30"/>
        <v/>
      </c>
      <c r="I189" s="3">
        <f t="shared" si="31"/>
        <v>147</v>
      </c>
      <c r="J189" s="5" t="str">
        <f>IF(E189=0,"Broadcast",IF(H189="",IF(I189="","",IF(I189&lt;128,"Connect "&amp;I189,INDEX(KdoCodeTab,MATCH(I189,KdoWertTab,0)))),"ReadStat "&amp;H189))</f>
        <v>SpaceCmd</v>
      </c>
      <c r="K189" t="str">
        <f t="shared" si="32"/>
        <v>SpaceCmd</v>
      </c>
      <c r="L189" t="str">
        <f t="shared" si="33"/>
        <v/>
      </c>
      <c r="M189" t="str">
        <f t="shared" si="34"/>
        <v/>
      </c>
    </row>
    <row r="190" spans="1:13" x14ac:dyDescent="0.25">
      <c r="A190" t="s">
        <v>1190</v>
      </c>
      <c r="B190" s="6">
        <f t="shared" si="24"/>
        <v>3.3518333333333334</v>
      </c>
      <c r="C190" s="9">
        <f t="shared" si="25"/>
        <v>0.99999999999988987</v>
      </c>
      <c r="D190" s="8" t="str">
        <f t="shared" si="26"/>
        <v>W</v>
      </c>
      <c r="E190" s="3">
        <f t="shared" si="27"/>
        <v>33</v>
      </c>
      <c r="F190" s="3" t="str">
        <f t="shared" si="28"/>
        <v>ack</v>
      </c>
      <c r="G190" s="3" t="str">
        <f t="shared" si="29"/>
        <v>96</v>
      </c>
      <c r="H190" s="3" t="str">
        <f t="shared" si="30"/>
        <v/>
      </c>
      <c r="I190" s="3">
        <f t="shared" si="31"/>
        <v>150</v>
      </c>
      <c r="J190" s="5" t="str">
        <f>IF(E190=0,"Broadcast",IF(H190="",IF(I190="","",IF(I190&lt;128,"Connect "&amp;I190,INDEX(KdoCodeTab,MATCH(I190,KdoWertTab,0)))),"ReadStat "&amp;H190))</f>
        <v>RepSpaceCmd</v>
      </c>
      <c r="K190" t="str">
        <f t="shared" si="32"/>
        <v>RepSpaceCmd</v>
      </c>
      <c r="L190" t="str">
        <f t="shared" si="33"/>
        <v/>
      </c>
      <c r="M190" t="str">
        <f t="shared" si="34"/>
        <v/>
      </c>
    </row>
    <row r="191" spans="1:13" x14ac:dyDescent="0.25">
      <c r="A191" t="s">
        <v>1191</v>
      </c>
      <c r="B191" s="6">
        <f t="shared" si="24"/>
        <v>3.371</v>
      </c>
      <c r="C191" s="9">
        <f t="shared" si="25"/>
        <v>19.166666666666554</v>
      </c>
      <c r="D191" s="8" t="str">
        <f t="shared" si="26"/>
        <v>W</v>
      </c>
      <c r="E191" s="3">
        <f t="shared" si="27"/>
        <v>33</v>
      </c>
      <c r="F191" s="3" t="str">
        <f t="shared" si="28"/>
        <v>ack</v>
      </c>
      <c r="G191" s="3" t="str">
        <f t="shared" si="29"/>
        <v>9C</v>
      </c>
      <c r="H191" s="3" t="str">
        <f t="shared" si="30"/>
        <v/>
      </c>
      <c r="I191" s="3">
        <f t="shared" si="31"/>
        <v>156</v>
      </c>
      <c r="J191" s="5" t="str">
        <f>IF(E191=0,"Broadcast",IF(H191="",IF(I191="","",IF(I191&lt;128,"Connect "&amp;I191,INDEX(KdoCodeTab,MATCH(I191,KdoWertTab,0)))),"ReadStat "&amp;H191))</f>
        <v>MarkCmd</v>
      </c>
      <c r="K191" t="str">
        <f t="shared" si="32"/>
        <v>MarkCmd</v>
      </c>
      <c r="L191" t="str">
        <f t="shared" si="33"/>
        <v/>
      </c>
      <c r="M191" t="str">
        <f t="shared" si="34"/>
        <v/>
      </c>
    </row>
    <row r="192" spans="1:13" x14ac:dyDescent="0.25">
      <c r="A192" t="s">
        <v>1192</v>
      </c>
      <c r="B192" s="6">
        <f t="shared" si="24"/>
        <v>3.3718333333333335</v>
      </c>
      <c r="C192" s="9">
        <f t="shared" si="25"/>
        <v>0.8333333333334636</v>
      </c>
      <c r="D192" s="8" t="str">
        <f t="shared" si="26"/>
        <v>W</v>
      </c>
      <c r="E192" s="3">
        <f t="shared" si="27"/>
        <v>33</v>
      </c>
      <c r="F192" s="3" t="str">
        <f t="shared" si="28"/>
        <v>ack</v>
      </c>
      <c r="G192" s="3" t="str">
        <f t="shared" si="29"/>
        <v>9A</v>
      </c>
      <c r="H192" s="3" t="str">
        <f t="shared" si="30"/>
        <v/>
      </c>
      <c r="I192" s="3">
        <f t="shared" si="31"/>
        <v>154</v>
      </c>
      <c r="J192" s="5" t="str">
        <f>IF(E192=0,"Broadcast",IF(H192="",IF(I192="","",IF(I192&lt;128,"Connect "&amp;I192,INDEX(KdoCodeTab,MATCH(I192,KdoWertTab,0)))),"ReadStat "&amp;H192))</f>
        <v>RepMarkCmd</v>
      </c>
      <c r="K192" t="str">
        <f t="shared" si="32"/>
        <v>RepMarkCmd</v>
      </c>
      <c r="L192" t="str">
        <f t="shared" si="33"/>
        <v/>
      </c>
      <c r="M192" t="str">
        <f t="shared" si="34"/>
        <v/>
      </c>
    </row>
    <row r="193" spans="1:13" x14ac:dyDescent="0.25">
      <c r="A193" t="s">
        <v>1193</v>
      </c>
      <c r="B193" s="6">
        <f t="shared" si="24"/>
        <v>3.4001666666666668</v>
      </c>
      <c r="C193" s="9">
        <f t="shared" si="25"/>
        <v>28.333333333333321</v>
      </c>
      <c r="D193" s="8" t="str">
        <f t="shared" si="26"/>
        <v>W</v>
      </c>
      <c r="E193" s="3">
        <f t="shared" si="27"/>
        <v>33</v>
      </c>
      <c r="F193" s="3" t="str">
        <f t="shared" si="28"/>
        <v>ack</v>
      </c>
      <c r="G193" s="3" t="str">
        <f t="shared" si="29"/>
        <v>93</v>
      </c>
      <c r="H193" s="3" t="str">
        <f t="shared" si="30"/>
        <v/>
      </c>
      <c r="I193" s="3">
        <f t="shared" si="31"/>
        <v>147</v>
      </c>
      <c r="J193" s="5" t="str">
        <f>IF(E193=0,"Broadcast",IF(H193="",IF(I193="","",IF(I193&lt;128,"Connect "&amp;I193,INDEX(KdoCodeTab,MATCH(I193,KdoWertTab,0)))),"ReadStat "&amp;H193))</f>
        <v>SpaceCmd</v>
      </c>
      <c r="K193" t="str">
        <f t="shared" si="32"/>
        <v>SpaceCmd</v>
      </c>
      <c r="L193" t="str">
        <f t="shared" si="33"/>
        <v/>
      </c>
      <c r="M193" t="str">
        <f t="shared" si="34"/>
        <v/>
      </c>
    </row>
    <row r="194" spans="1:13" x14ac:dyDescent="0.25">
      <c r="A194" t="s">
        <v>1194</v>
      </c>
      <c r="B194" s="6">
        <f t="shared" si="24"/>
        <v>3.4011666666666667</v>
      </c>
      <c r="C194" s="9">
        <f t="shared" si="25"/>
        <v>0.99999999999988987</v>
      </c>
      <c r="D194" s="8" t="str">
        <f t="shared" si="26"/>
        <v>W</v>
      </c>
      <c r="E194" s="3">
        <f t="shared" si="27"/>
        <v>33</v>
      </c>
      <c r="F194" s="3" t="str">
        <f t="shared" si="28"/>
        <v>ack</v>
      </c>
      <c r="G194" s="3" t="str">
        <f t="shared" si="29"/>
        <v>96</v>
      </c>
      <c r="H194" s="3" t="str">
        <f t="shared" si="30"/>
        <v/>
      </c>
      <c r="I194" s="3">
        <f t="shared" si="31"/>
        <v>150</v>
      </c>
      <c r="J194" s="5" t="str">
        <f>IF(E194=0,"Broadcast",IF(H194="",IF(I194="","",IF(I194&lt;128,"Connect "&amp;I194,INDEX(KdoCodeTab,MATCH(I194,KdoWertTab,0)))),"ReadStat "&amp;H194))</f>
        <v>RepSpaceCmd</v>
      </c>
      <c r="K194" t="str">
        <f t="shared" si="32"/>
        <v>RepSpaceCmd</v>
      </c>
      <c r="L194" t="str">
        <f t="shared" si="33"/>
        <v/>
      </c>
      <c r="M194" t="str">
        <f t="shared" si="34"/>
        <v/>
      </c>
    </row>
    <row r="195" spans="1:13" x14ac:dyDescent="0.25">
      <c r="A195" t="s">
        <v>1195</v>
      </c>
      <c r="B195" s="6">
        <f t="shared" si="24"/>
        <v>3.4396666666666667</v>
      </c>
      <c r="C195" s="9">
        <f t="shared" si="25"/>
        <v>38.499999999999979</v>
      </c>
      <c r="D195" s="8" t="str">
        <f t="shared" si="26"/>
        <v>W</v>
      </c>
      <c r="E195" s="3">
        <f t="shared" si="27"/>
        <v>33</v>
      </c>
      <c r="F195" s="3" t="str">
        <f t="shared" si="28"/>
        <v>ack</v>
      </c>
      <c r="G195" s="3" t="str">
        <f t="shared" si="29"/>
        <v>9C</v>
      </c>
      <c r="H195" s="3" t="str">
        <f t="shared" si="30"/>
        <v/>
      </c>
      <c r="I195" s="3">
        <f t="shared" si="31"/>
        <v>156</v>
      </c>
      <c r="J195" s="5" t="str">
        <f>IF(E195=0,"Broadcast",IF(H195="",IF(I195="","",IF(I195&lt;128,"Connect "&amp;I195,INDEX(KdoCodeTab,MATCH(I195,KdoWertTab,0)))),"ReadStat "&amp;H195))</f>
        <v>MarkCmd</v>
      </c>
      <c r="K195" t="str">
        <f t="shared" si="32"/>
        <v>MarkCmd</v>
      </c>
      <c r="L195" t="str">
        <f t="shared" si="33"/>
        <v/>
      </c>
      <c r="M195" t="str">
        <f t="shared" si="34"/>
        <v/>
      </c>
    </row>
    <row r="196" spans="1:13" x14ac:dyDescent="0.25">
      <c r="A196" t="s">
        <v>1196</v>
      </c>
      <c r="B196" s="6">
        <f t="shared" si="24"/>
        <v>3.4405000000000001</v>
      </c>
      <c r="C196" s="9">
        <f t="shared" si="25"/>
        <v>0.8333333333334636</v>
      </c>
      <c r="D196" s="8" t="str">
        <f t="shared" si="26"/>
        <v>W</v>
      </c>
      <c r="E196" s="3">
        <f t="shared" si="27"/>
        <v>33</v>
      </c>
      <c r="F196" s="3" t="str">
        <f t="shared" si="28"/>
        <v>ack</v>
      </c>
      <c r="G196" s="3" t="str">
        <f t="shared" si="29"/>
        <v>9A</v>
      </c>
      <c r="H196" s="3" t="str">
        <f t="shared" si="30"/>
        <v/>
      </c>
      <c r="I196" s="3">
        <f t="shared" si="31"/>
        <v>154</v>
      </c>
      <c r="J196" s="5" t="str">
        <f>IF(E196=0,"Broadcast",IF(H196="",IF(I196="","",IF(I196&lt;128,"Connect "&amp;I196,INDEX(KdoCodeTab,MATCH(I196,KdoWertTab,0)))),"ReadStat "&amp;H196))</f>
        <v>RepMarkCmd</v>
      </c>
      <c r="K196" t="str">
        <f t="shared" si="32"/>
        <v>RepMarkCmd</v>
      </c>
      <c r="L196" t="str">
        <f t="shared" si="33"/>
        <v/>
      </c>
      <c r="M196" t="str">
        <f t="shared" si="34"/>
        <v/>
      </c>
    </row>
    <row r="197" spans="1:13" x14ac:dyDescent="0.25">
      <c r="A197" t="s">
        <v>1197</v>
      </c>
      <c r="B197" s="6">
        <f t="shared" ref="B197:B260" si="35">MID(A197,1,5)/1000+(CODE(MID(A197,6,1))-CODE("a"))/6000</f>
        <v>3.4598333333333335</v>
      </c>
      <c r="C197" s="9">
        <f t="shared" ref="C197:C260" si="36">(B197-B196+IF(B197&gt;B196,0,11))*1000</f>
        <v>19.333333333333425</v>
      </c>
      <c r="D197" s="8" t="str">
        <f t="shared" ref="D197:D260" si="37">IF(MID(A197,10,1)="&lt;","R",IF(MID(A197,10,1)="&gt;","W","?"))</f>
        <v>W</v>
      </c>
      <c r="E197" s="3">
        <f t="shared" ref="E197:E260" si="38">INT(HEX2DEC(MID(A197,8,2))/2)</f>
        <v>33</v>
      </c>
      <c r="F197" s="3" t="str">
        <f t="shared" ref="F197:F260" si="39">IF(MID(A197,11,1)="+","ack","NACK")</f>
        <v>ack</v>
      </c>
      <c r="G197" s="3" t="str">
        <f t="shared" ref="G197:G260" si="40">IF(F197="ack",SUBSTITUTE(MID(A197,12,LEN(A197)-12),"+","  "),"")</f>
        <v>93</v>
      </c>
      <c r="H197" s="3" t="str">
        <f t="shared" ref="H197:H260" si="41">IF(MID(A197,10,2)="&lt;+",MID(A197,12,2),"")</f>
        <v/>
      </c>
      <c r="I197" s="3">
        <f t="shared" ref="I197:I260" si="42">IF(MID(A197,10,2)="&gt;+",HEX2DEC(MID(A197,12,2)),"")</f>
        <v>147</v>
      </c>
      <c r="J197" s="5" t="str">
        <f>IF(E197=0,"Broadcast",IF(H197="",IF(I197="","",IF(I197&lt;128,"Connect "&amp;I197,INDEX(KdoCodeTab,MATCH(I197,KdoWertTab,0)))),"ReadStat "&amp;H197))</f>
        <v>SpaceCmd</v>
      </c>
      <c r="K197" t="str">
        <f t="shared" ref="K197:K260" si="43">IF(E197=$K$2,J197,"")</f>
        <v>SpaceCmd</v>
      </c>
      <c r="L197" t="str">
        <f t="shared" ref="L197:L260" si="44">IF(E197=$L$2,J197,"")</f>
        <v/>
      </c>
      <c r="M197" t="str">
        <f t="shared" ref="M197:M260" si="45">IF(K197&amp;L197="",J197,"")</f>
        <v/>
      </c>
    </row>
    <row r="198" spans="1:13" x14ac:dyDescent="0.25">
      <c r="A198" t="s">
        <v>1198</v>
      </c>
      <c r="B198" s="6">
        <f t="shared" si="35"/>
        <v>3.4606666666666666</v>
      </c>
      <c r="C198" s="9">
        <f t="shared" si="36"/>
        <v>0.83333333333301951</v>
      </c>
      <c r="D198" s="8" t="str">
        <f t="shared" si="37"/>
        <v>W</v>
      </c>
      <c r="E198" s="3">
        <f t="shared" si="38"/>
        <v>33</v>
      </c>
      <c r="F198" s="3" t="str">
        <f t="shared" si="39"/>
        <v>ack</v>
      </c>
      <c r="G198" s="3" t="str">
        <f t="shared" si="40"/>
        <v>96</v>
      </c>
      <c r="H198" s="3" t="str">
        <f t="shared" si="41"/>
        <v/>
      </c>
      <c r="I198" s="3">
        <f t="shared" si="42"/>
        <v>150</v>
      </c>
      <c r="J198" s="5" t="str">
        <f>IF(E198=0,"Broadcast",IF(H198="",IF(I198="","",IF(I198&lt;128,"Connect "&amp;I198,INDEX(KdoCodeTab,MATCH(I198,KdoWertTab,0)))),"ReadStat "&amp;H198))</f>
        <v>RepSpaceCmd</v>
      </c>
      <c r="K198" t="str">
        <f t="shared" si="43"/>
        <v>RepSpaceCmd</v>
      </c>
      <c r="L198" t="str">
        <f t="shared" si="44"/>
        <v/>
      </c>
      <c r="M198" t="str">
        <f t="shared" si="45"/>
        <v/>
      </c>
    </row>
    <row r="199" spans="1:13" x14ac:dyDescent="0.25">
      <c r="A199" t="s">
        <v>1199</v>
      </c>
      <c r="B199" s="6">
        <f t="shared" si="35"/>
        <v>3.5205000000000002</v>
      </c>
      <c r="C199" s="9">
        <f t="shared" si="36"/>
        <v>59.833333333333627</v>
      </c>
      <c r="D199" s="8" t="str">
        <f t="shared" si="37"/>
        <v>W</v>
      </c>
      <c r="E199" s="3">
        <f t="shared" si="38"/>
        <v>33</v>
      </c>
      <c r="F199" s="3" t="str">
        <f t="shared" si="39"/>
        <v>ack</v>
      </c>
      <c r="G199" s="3" t="str">
        <f t="shared" si="40"/>
        <v>9C</v>
      </c>
      <c r="H199" s="3" t="str">
        <f t="shared" si="41"/>
        <v/>
      </c>
      <c r="I199" s="3">
        <f t="shared" si="42"/>
        <v>156</v>
      </c>
      <c r="J199" s="5" t="str">
        <f>IF(E199=0,"Broadcast",IF(H199="",IF(I199="","",IF(I199&lt;128,"Connect "&amp;I199,INDEX(KdoCodeTab,MATCH(I199,KdoWertTab,0)))),"ReadStat "&amp;H199))</f>
        <v>MarkCmd</v>
      </c>
      <c r="K199" t="str">
        <f t="shared" si="43"/>
        <v>MarkCmd</v>
      </c>
      <c r="L199" t="str">
        <f t="shared" si="44"/>
        <v/>
      </c>
      <c r="M199" t="str">
        <f t="shared" si="45"/>
        <v/>
      </c>
    </row>
    <row r="200" spans="1:13" x14ac:dyDescent="0.25">
      <c r="A200" t="s">
        <v>1200</v>
      </c>
      <c r="B200" s="6">
        <f t="shared" si="35"/>
        <v>3.5213333333333332</v>
      </c>
      <c r="C200" s="9">
        <f t="shared" si="36"/>
        <v>0.83333333333301951</v>
      </c>
      <c r="D200" s="8" t="str">
        <f t="shared" si="37"/>
        <v>W</v>
      </c>
      <c r="E200" s="3">
        <f t="shared" si="38"/>
        <v>33</v>
      </c>
      <c r="F200" s="3" t="str">
        <f t="shared" si="39"/>
        <v>ack</v>
      </c>
      <c r="G200" s="3" t="str">
        <f t="shared" si="40"/>
        <v>9A</v>
      </c>
      <c r="H200" s="3" t="str">
        <f t="shared" si="41"/>
        <v/>
      </c>
      <c r="I200" s="3">
        <f t="shared" si="42"/>
        <v>154</v>
      </c>
      <c r="J200" s="5" t="str">
        <f>IF(E200=0,"Broadcast",IF(H200="",IF(I200="","",IF(I200&lt;128,"Connect "&amp;I200,INDEX(KdoCodeTab,MATCH(I200,KdoWertTab,0)))),"ReadStat "&amp;H200))</f>
        <v>RepMarkCmd</v>
      </c>
      <c r="K200" t="str">
        <f t="shared" si="43"/>
        <v>RepMarkCmd</v>
      </c>
      <c r="L200" t="str">
        <f t="shared" si="44"/>
        <v/>
      </c>
      <c r="M200" t="str">
        <f t="shared" si="45"/>
        <v/>
      </c>
    </row>
    <row r="201" spans="1:13" x14ac:dyDescent="0.25">
      <c r="A201" t="s">
        <v>1201</v>
      </c>
      <c r="B201" s="6">
        <f t="shared" si="35"/>
        <v>3.5496666666666665</v>
      </c>
      <c r="C201" s="9">
        <f t="shared" si="36"/>
        <v>28.333333333333321</v>
      </c>
      <c r="D201" s="8" t="str">
        <f t="shared" si="37"/>
        <v>W</v>
      </c>
      <c r="E201" s="3">
        <f t="shared" si="38"/>
        <v>33</v>
      </c>
      <c r="F201" s="3" t="str">
        <f t="shared" si="39"/>
        <v>ack</v>
      </c>
      <c r="G201" s="3" t="str">
        <f t="shared" si="40"/>
        <v>93</v>
      </c>
      <c r="H201" s="3" t="str">
        <f t="shared" si="41"/>
        <v/>
      </c>
      <c r="I201" s="3">
        <f t="shared" si="42"/>
        <v>147</v>
      </c>
      <c r="J201" s="5" t="str">
        <f>IF(E201=0,"Broadcast",IF(H201="",IF(I201="","",IF(I201&lt;128,"Connect "&amp;I201,INDEX(KdoCodeTab,MATCH(I201,KdoWertTab,0)))),"ReadStat "&amp;H201))</f>
        <v>SpaceCmd</v>
      </c>
      <c r="K201" t="str">
        <f t="shared" si="43"/>
        <v>SpaceCmd</v>
      </c>
      <c r="L201" t="str">
        <f t="shared" si="44"/>
        <v/>
      </c>
      <c r="M201" t="str">
        <f t="shared" si="45"/>
        <v/>
      </c>
    </row>
    <row r="202" spans="1:13" x14ac:dyDescent="0.25">
      <c r="A202" t="s">
        <v>1202</v>
      </c>
      <c r="B202" s="6">
        <f t="shared" si="35"/>
        <v>3.5506666666666664</v>
      </c>
      <c r="C202" s="9">
        <f t="shared" si="36"/>
        <v>0.99999999999988987</v>
      </c>
      <c r="D202" s="8" t="str">
        <f t="shared" si="37"/>
        <v>W</v>
      </c>
      <c r="E202" s="3">
        <f t="shared" si="38"/>
        <v>33</v>
      </c>
      <c r="F202" s="3" t="str">
        <f t="shared" si="39"/>
        <v>ack</v>
      </c>
      <c r="G202" s="3" t="str">
        <f t="shared" si="40"/>
        <v>96</v>
      </c>
      <c r="H202" s="3" t="str">
        <f t="shared" si="41"/>
        <v/>
      </c>
      <c r="I202" s="3">
        <f t="shared" si="42"/>
        <v>150</v>
      </c>
      <c r="J202" s="5" t="str">
        <f>IF(E202=0,"Broadcast",IF(H202="",IF(I202="","",IF(I202&lt;128,"Connect "&amp;I202,INDEX(KdoCodeTab,MATCH(I202,KdoWertTab,0)))),"ReadStat "&amp;H202))</f>
        <v>RepSpaceCmd</v>
      </c>
      <c r="K202" t="str">
        <f t="shared" si="43"/>
        <v>RepSpaceCmd</v>
      </c>
      <c r="L202" t="str">
        <f t="shared" si="44"/>
        <v/>
      </c>
      <c r="M202" t="str">
        <f t="shared" si="45"/>
        <v/>
      </c>
    </row>
    <row r="203" spans="1:13" x14ac:dyDescent="0.25">
      <c r="A203" t="s">
        <v>1203</v>
      </c>
      <c r="B203" s="6">
        <f t="shared" si="35"/>
        <v>3.57</v>
      </c>
      <c r="C203" s="9">
        <f t="shared" si="36"/>
        <v>19.333333333333425</v>
      </c>
      <c r="D203" s="8" t="str">
        <f t="shared" si="37"/>
        <v>W</v>
      </c>
      <c r="E203" s="3">
        <f t="shared" si="38"/>
        <v>33</v>
      </c>
      <c r="F203" s="3" t="str">
        <f t="shared" si="39"/>
        <v>ack</v>
      </c>
      <c r="G203" s="3" t="str">
        <f t="shared" si="40"/>
        <v>9C</v>
      </c>
      <c r="H203" s="3" t="str">
        <f t="shared" si="41"/>
        <v/>
      </c>
      <c r="I203" s="3">
        <f t="shared" si="42"/>
        <v>156</v>
      </c>
      <c r="J203" s="5" t="str">
        <f>IF(E203=0,"Broadcast",IF(H203="",IF(I203="","",IF(I203&lt;128,"Connect "&amp;I203,INDEX(KdoCodeTab,MATCH(I203,KdoWertTab,0)))),"ReadStat "&amp;H203))</f>
        <v>MarkCmd</v>
      </c>
      <c r="K203" t="str">
        <f t="shared" si="43"/>
        <v>MarkCmd</v>
      </c>
      <c r="L203" t="str">
        <f t="shared" si="44"/>
        <v/>
      </c>
      <c r="M203" t="str">
        <f t="shared" si="45"/>
        <v/>
      </c>
    </row>
    <row r="204" spans="1:13" x14ac:dyDescent="0.25">
      <c r="A204" t="s">
        <v>1204</v>
      </c>
      <c r="B204" s="6">
        <f t="shared" si="35"/>
        <v>3.5708333333333333</v>
      </c>
      <c r="C204" s="9">
        <f t="shared" si="36"/>
        <v>0.8333333333334636</v>
      </c>
      <c r="D204" s="8" t="str">
        <f t="shared" si="37"/>
        <v>W</v>
      </c>
      <c r="E204" s="3">
        <f t="shared" si="38"/>
        <v>33</v>
      </c>
      <c r="F204" s="3" t="str">
        <f t="shared" si="39"/>
        <v>ack</v>
      </c>
      <c r="G204" s="3" t="str">
        <f t="shared" si="40"/>
        <v>9A</v>
      </c>
      <c r="H204" s="3" t="str">
        <f t="shared" si="41"/>
        <v/>
      </c>
      <c r="I204" s="3">
        <f t="shared" si="42"/>
        <v>154</v>
      </c>
      <c r="J204" s="5" t="str">
        <f>IF(E204=0,"Broadcast",IF(H204="",IF(I204="","",IF(I204&lt;128,"Connect "&amp;I204,INDEX(KdoCodeTab,MATCH(I204,KdoWertTab,0)))),"ReadStat "&amp;H204))</f>
        <v>RepMarkCmd</v>
      </c>
      <c r="K204" t="str">
        <f t="shared" si="43"/>
        <v>RepMarkCmd</v>
      </c>
      <c r="L204" t="str">
        <f t="shared" si="44"/>
        <v/>
      </c>
      <c r="M204" t="str">
        <f t="shared" si="45"/>
        <v/>
      </c>
    </row>
    <row r="205" spans="1:13" x14ac:dyDescent="0.25">
      <c r="A205" t="s">
        <v>1205</v>
      </c>
      <c r="B205" s="6">
        <f t="shared" si="35"/>
        <v>3.6103333333333332</v>
      </c>
      <c r="C205" s="9">
        <f t="shared" si="36"/>
        <v>39.499999999999872</v>
      </c>
      <c r="D205" s="8" t="str">
        <f t="shared" si="37"/>
        <v>W</v>
      </c>
      <c r="E205" s="3">
        <f t="shared" si="38"/>
        <v>33</v>
      </c>
      <c r="F205" s="3" t="str">
        <f t="shared" si="39"/>
        <v>ack</v>
      </c>
      <c r="G205" s="3" t="str">
        <f t="shared" si="40"/>
        <v>93</v>
      </c>
      <c r="H205" s="3" t="str">
        <f t="shared" si="41"/>
        <v/>
      </c>
      <c r="I205" s="3">
        <f t="shared" si="42"/>
        <v>147</v>
      </c>
      <c r="J205" s="5" t="str">
        <f>IF(E205=0,"Broadcast",IF(H205="",IF(I205="","",IF(I205&lt;128,"Connect "&amp;I205,INDEX(KdoCodeTab,MATCH(I205,KdoWertTab,0)))),"ReadStat "&amp;H205))</f>
        <v>SpaceCmd</v>
      </c>
      <c r="K205" t="str">
        <f t="shared" si="43"/>
        <v>SpaceCmd</v>
      </c>
      <c r="L205" t="str">
        <f t="shared" si="44"/>
        <v/>
      </c>
      <c r="M205" t="str">
        <f t="shared" si="45"/>
        <v/>
      </c>
    </row>
    <row r="206" spans="1:13" x14ac:dyDescent="0.25">
      <c r="A206" t="s">
        <v>1206</v>
      </c>
      <c r="B206" s="6">
        <f t="shared" si="35"/>
        <v>3.6113333333333335</v>
      </c>
      <c r="C206" s="9">
        <f t="shared" si="36"/>
        <v>1.000000000000334</v>
      </c>
      <c r="D206" s="8" t="str">
        <f t="shared" si="37"/>
        <v>W</v>
      </c>
      <c r="E206" s="3">
        <f t="shared" si="38"/>
        <v>33</v>
      </c>
      <c r="F206" s="3" t="str">
        <f t="shared" si="39"/>
        <v>ack</v>
      </c>
      <c r="G206" s="3" t="str">
        <f t="shared" si="40"/>
        <v>96</v>
      </c>
      <c r="H206" s="3" t="str">
        <f t="shared" si="41"/>
        <v/>
      </c>
      <c r="I206" s="3">
        <f t="shared" si="42"/>
        <v>150</v>
      </c>
      <c r="J206" s="5" t="str">
        <f>IF(E206=0,"Broadcast",IF(H206="",IF(I206="","",IF(I206&lt;128,"Connect "&amp;I206,INDEX(KdoCodeTab,MATCH(I206,KdoWertTab,0)))),"ReadStat "&amp;H206))</f>
        <v>RepSpaceCmd</v>
      </c>
      <c r="K206" t="str">
        <f t="shared" si="43"/>
        <v>RepSpaceCmd</v>
      </c>
      <c r="L206" t="str">
        <f t="shared" si="44"/>
        <v/>
      </c>
      <c r="M206" t="str">
        <f t="shared" si="45"/>
        <v/>
      </c>
    </row>
    <row r="207" spans="1:13" x14ac:dyDescent="0.25">
      <c r="A207" t="s">
        <v>1207</v>
      </c>
      <c r="B207" s="6">
        <f t="shared" si="35"/>
        <v>3.6305000000000001</v>
      </c>
      <c r="C207" s="9">
        <f t="shared" si="36"/>
        <v>19.166666666666554</v>
      </c>
      <c r="D207" s="8" t="str">
        <f t="shared" si="37"/>
        <v>W</v>
      </c>
      <c r="E207" s="3">
        <f t="shared" si="38"/>
        <v>33</v>
      </c>
      <c r="F207" s="3" t="str">
        <f t="shared" si="39"/>
        <v>ack</v>
      </c>
      <c r="G207" s="3" t="str">
        <f t="shared" si="40"/>
        <v>9C</v>
      </c>
      <c r="H207" s="3" t="str">
        <f t="shared" si="41"/>
        <v/>
      </c>
      <c r="I207" s="3">
        <f t="shared" si="42"/>
        <v>156</v>
      </c>
      <c r="J207" s="5" t="str">
        <f>IF(E207=0,"Broadcast",IF(H207="",IF(I207="","",IF(I207&lt;128,"Connect "&amp;I207,INDEX(KdoCodeTab,MATCH(I207,KdoWertTab,0)))),"ReadStat "&amp;H207))</f>
        <v>MarkCmd</v>
      </c>
      <c r="K207" t="str">
        <f t="shared" si="43"/>
        <v>MarkCmd</v>
      </c>
      <c r="L207" t="str">
        <f t="shared" si="44"/>
        <v/>
      </c>
      <c r="M207" t="str">
        <f t="shared" si="45"/>
        <v/>
      </c>
    </row>
    <row r="208" spans="1:13" x14ac:dyDescent="0.25">
      <c r="A208" t="s">
        <v>1208</v>
      </c>
      <c r="B208" s="6">
        <f t="shared" si="35"/>
        <v>3.6315</v>
      </c>
      <c r="C208" s="9">
        <f t="shared" si="36"/>
        <v>0.99999999999988987</v>
      </c>
      <c r="D208" s="8" t="str">
        <f t="shared" si="37"/>
        <v>W</v>
      </c>
      <c r="E208" s="3">
        <f t="shared" si="38"/>
        <v>33</v>
      </c>
      <c r="F208" s="3" t="str">
        <f t="shared" si="39"/>
        <v>ack</v>
      </c>
      <c r="G208" s="3" t="str">
        <f t="shared" si="40"/>
        <v>9A</v>
      </c>
      <c r="H208" s="3" t="str">
        <f t="shared" si="41"/>
        <v/>
      </c>
      <c r="I208" s="3">
        <f t="shared" si="42"/>
        <v>154</v>
      </c>
      <c r="J208" s="5" t="str">
        <f>IF(E208=0,"Broadcast",IF(H208="",IF(I208="","",IF(I208&lt;128,"Connect "&amp;I208,INDEX(KdoCodeTab,MATCH(I208,KdoWertTab,0)))),"ReadStat "&amp;H208))</f>
        <v>RepMarkCmd</v>
      </c>
      <c r="K208" t="str">
        <f t="shared" si="43"/>
        <v>RepMarkCmd</v>
      </c>
      <c r="L208" t="str">
        <f t="shared" si="44"/>
        <v/>
      </c>
      <c r="M208" t="str">
        <f t="shared" si="45"/>
        <v/>
      </c>
    </row>
    <row r="209" spans="1:13" x14ac:dyDescent="0.25">
      <c r="A209" t="s">
        <v>1209</v>
      </c>
      <c r="B209" s="6">
        <f t="shared" si="35"/>
        <v>3.6868333333333334</v>
      </c>
      <c r="C209" s="9">
        <f t="shared" si="36"/>
        <v>55.333333333333456</v>
      </c>
      <c r="D209" s="8" t="str">
        <f t="shared" si="37"/>
        <v>W</v>
      </c>
      <c r="E209" s="3">
        <f t="shared" si="38"/>
        <v>31</v>
      </c>
      <c r="F209" s="3" t="str">
        <f t="shared" si="39"/>
        <v>ack</v>
      </c>
      <c r="G209" s="3" t="str">
        <f t="shared" si="40"/>
        <v>A9</v>
      </c>
      <c r="H209" s="3" t="str">
        <f t="shared" si="41"/>
        <v/>
      </c>
      <c r="I209" s="3">
        <f t="shared" si="42"/>
        <v>169</v>
      </c>
      <c r="J209" s="5" t="str">
        <f>IF(E209=0,"Broadcast",IF(H209="",IF(I209="","",IF(I209&lt;128,"Connect "&amp;I209,INDEX(KdoCodeTab,MATCH(I209,KdoWertTab,0)))),"ReadStat "&amp;H209))</f>
        <v>Heartbeat</v>
      </c>
      <c r="K209" t="str">
        <f t="shared" si="43"/>
        <v/>
      </c>
      <c r="L209" t="str">
        <f t="shared" si="44"/>
        <v>Heartbeat</v>
      </c>
      <c r="M209" t="str">
        <f t="shared" si="45"/>
        <v/>
      </c>
    </row>
    <row r="210" spans="1:13" x14ac:dyDescent="0.25">
      <c r="A210" t="s">
        <v>1210</v>
      </c>
      <c r="B210" s="6">
        <f t="shared" si="35"/>
        <v>3.6875</v>
      </c>
      <c r="C210" s="9">
        <f t="shared" si="36"/>
        <v>0.66666666666659324</v>
      </c>
      <c r="D210" s="8" t="str">
        <f t="shared" si="37"/>
        <v>W</v>
      </c>
      <c r="E210" s="3">
        <f t="shared" si="38"/>
        <v>33</v>
      </c>
      <c r="F210" s="3" t="str">
        <f t="shared" si="39"/>
        <v>ack</v>
      </c>
      <c r="G210" s="3" t="str">
        <f t="shared" si="40"/>
        <v>A9</v>
      </c>
      <c r="H210" s="3" t="str">
        <f t="shared" si="41"/>
        <v/>
      </c>
      <c r="I210" s="3">
        <f t="shared" si="42"/>
        <v>169</v>
      </c>
      <c r="J210" s="5" t="str">
        <f>IF(E210=0,"Broadcast",IF(H210="",IF(I210="","",IF(I210&lt;128,"Connect "&amp;I210,INDEX(KdoCodeTab,MATCH(I210,KdoWertTab,0)))),"ReadStat "&amp;H210))</f>
        <v>Heartbeat</v>
      </c>
      <c r="K210" t="str">
        <f t="shared" si="43"/>
        <v>Heartbeat</v>
      </c>
      <c r="L210" t="str">
        <f t="shared" si="44"/>
        <v/>
      </c>
      <c r="M210" t="str">
        <f t="shared" si="45"/>
        <v/>
      </c>
    </row>
    <row r="211" spans="1:13" x14ac:dyDescent="0.25">
      <c r="A211" t="s">
        <v>1211</v>
      </c>
      <c r="B211" s="6">
        <f t="shared" si="35"/>
        <v>3.7003333333333335</v>
      </c>
      <c r="C211" s="9">
        <f t="shared" si="36"/>
        <v>12.833333333333474</v>
      </c>
      <c r="D211" s="8" t="str">
        <f t="shared" si="37"/>
        <v>W</v>
      </c>
      <c r="E211" s="3">
        <f t="shared" si="38"/>
        <v>33</v>
      </c>
      <c r="F211" s="3" t="str">
        <f t="shared" si="39"/>
        <v>ack</v>
      </c>
      <c r="G211" s="3" t="str">
        <f t="shared" si="40"/>
        <v>93</v>
      </c>
      <c r="H211" s="3" t="str">
        <f t="shared" si="41"/>
        <v/>
      </c>
      <c r="I211" s="3">
        <f t="shared" si="42"/>
        <v>147</v>
      </c>
      <c r="J211" s="5" t="str">
        <f>IF(E211=0,"Broadcast",IF(H211="",IF(I211="","",IF(I211&lt;128,"Connect "&amp;I211,INDEX(KdoCodeTab,MATCH(I211,KdoWertTab,0)))),"ReadStat "&amp;H211))</f>
        <v>SpaceCmd</v>
      </c>
      <c r="K211" t="str">
        <f t="shared" si="43"/>
        <v>SpaceCmd</v>
      </c>
      <c r="L211" t="str">
        <f t="shared" si="44"/>
        <v/>
      </c>
      <c r="M211" t="str">
        <f t="shared" si="45"/>
        <v/>
      </c>
    </row>
    <row r="212" spans="1:13" x14ac:dyDescent="0.25">
      <c r="A212" t="s">
        <v>1212</v>
      </c>
      <c r="B212" s="6">
        <f t="shared" si="35"/>
        <v>3.7013333333333334</v>
      </c>
      <c r="C212" s="9">
        <f t="shared" si="36"/>
        <v>0.99999999999988987</v>
      </c>
      <c r="D212" s="8" t="str">
        <f t="shared" si="37"/>
        <v>W</v>
      </c>
      <c r="E212" s="3">
        <f t="shared" si="38"/>
        <v>33</v>
      </c>
      <c r="F212" s="3" t="str">
        <f t="shared" si="39"/>
        <v>ack</v>
      </c>
      <c r="G212" s="3" t="str">
        <f t="shared" si="40"/>
        <v>96</v>
      </c>
      <c r="H212" s="3" t="str">
        <f t="shared" si="41"/>
        <v/>
      </c>
      <c r="I212" s="3">
        <f t="shared" si="42"/>
        <v>150</v>
      </c>
      <c r="J212" s="5" t="str">
        <f>IF(E212=0,"Broadcast",IF(H212="",IF(I212="","",IF(I212&lt;128,"Connect "&amp;I212,INDEX(KdoCodeTab,MATCH(I212,KdoWertTab,0)))),"ReadStat "&amp;H212))</f>
        <v>RepSpaceCmd</v>
      </c>
      <c r="K212" t="str">
        <f t="shared" si="43"/>
        <v>RepSpaceCmd</v>
      </c>
      <c r="L212" t="str">
        <f t="shared" si="44"/>
        <v/>
      </c>
      <c r="M212" t="str">
        <f t="shared" si="45"/>
        <v/>
      </c>
    </row>
    <row r="213" spans="1:13" x14ac:dyDescent="0.25">
      <c r="A213" t="s">
        <v>1213</v>
      </c>
      <c r="B213" s="6">
        <f t="shared" si="35"/>
        <v>3.7406666666666668</v>
      </c>
      <c r="C213" s="9">
        <f t="shared" si="36"/>
        <v>39.333333333333442</v>
      </c>
      <c r="D213" s="8" t="str">
        <f t="shared" si="37"/>
        <v>W</v>
      </c>
      <c r="E213" s="3">
        <f t="shared" si="38"/>
        <v>33</v>
      </c>
      <c r="F213" s="3" t="str">
        <f t="shared" si="39"/>
        <v>ack</v>
      </c>
      <c r="G213" s="3" t="str">
        <f t="shared" si="40"/>
        <v>9C</v>
      </c>
      <c r="H213" s="3" t="str">
        <f t="shared" si="41"/>
        <v/>
      </c>
      <c r="I213" s="3">
        <f t="shared" si="42"/>
        <v>156</v>
      </c>
      <c r="J213" s="5" t="str">
        <f>IF(E213=0,"Broadcast",IF(H213="",IF(I213="","",IF(I213&lt;128,"Connect "&amp;I213,INDEX(KdoCodeTab,MATCH(I213,KdoWertTab,0)))),"ReadStat "&amp;H213))</f>
        <v>MarkCmd</v>
      </c>
      <c r="K213" t="str">
        <f t="shared" si="43"/>
        <v>MarkCmd</v>
      </c>
      <c r="L213" t="str">
        <f t="shared" si="44"/>
        <v/>
      </c>
      <c r="M213" t="str">
        <f t="shared" si="45"/>
        <v/>
      </c>
    </row>
    <row r="214" spans="1:13" x14ac:dyDescent="0.25">
      <c r="A214" t="s">
        <v>1214</v>
      </c>
      <c r="B214" s="6">
        <f t="shared" si="35"/>
        <v>3.7416666666666667</v>
      </c>
      <c r="C214" s="9">
        <f t="shared" si="36"/>
        <v>0.99999999999988987</v>
      </c>
      <c r="D214" s="8" t="str">
        <f t="shared" si="37"/>
        <v>W</v>
      </c>
      <c r="E214" s="3">
        <f t="shared" si="38"/>
        <v>33</v>
      </c>
      <c r="F214" s="3" t="str">
        <f t="shared" si="39"/>
        <v>ack</v>
      </c>
      <c r="G214" s="3" t="str">
        <f t="shared" si="40"/>
        <v>9A</v>
      </c>
      <c r="H214" s="3" t="str">
        <f t="shared" si="41"/>
        <v/>
      </c>
      <c r="I214" s="3">
        <f t="shared" si="42"/>
        <v>154</v>
      </c>
      <c r="J214" s="5" t="str">
        <f>IF(E214=0,"Broadcast",IF(H214="",IF(I214="","",IF(I214&lt;128,"Connect "&amp;I214,INDEX(KdoCodeTab,MATCH(I214,KdoWertTab,0)))),"ReadStat "&amp;H214))</f>
        <v>RepMarkCmd</v>
      </c>
      <c r="K214" t="str">
        <f t="shared" si="43"/>
        <v>RepMarkCmd</v>
      </c>
      <c r="L214" t="str">
        <f t="shared" si="44"/>
        <v/>
      </c>
      <c r="M214" t="str">
        <f t="shared" si="45"/>
        <v/>
      </c>
    </row>
    <row r="215" spans="1:13" x14ac:dyDescent="0.25">
      <c r="A215" t="s">
        <v>1215</v>
      </c>
      <c r="B215" s="6">
        <f t="shared" si="35"/>
        <v>3.7801666666666667</v>
      </c>
      <c r="C215" s="9">
        <f t="shared" si="36"/>
        <v>38.499999999999979</v>
      </c>
      <c r="D215" s="8" t="str">
        <f t="shared" si="37"/>
        <v>W</v>
      </c>
      <c r="E215" s="3">
        <f t="shared" si="38"/>
        <v>33</v>
      </c>
      <c r="F215" s="3" t="str">
        <f t="shared" si="39"/>
        <v>ack</v>
      </c>
      <c r="G215" s="3" t="str">
        <f t="shared" si="40"/>
        <v>93</v>
      </c>
      <c r="H215" s="3" t="str">
        <f t="shared" si="41"/>
        <v/>
      </c>
      <c r="I215" s="3">
        <f t="shared" si="42"/>
        <v>147</v>
      </c>
      <c r="J215" s="5" t="str">
        <f>IF(E215=0,"Broadcast",IF(H215="",IF(I215="","",IF(I215&lt;128,"Connect "&amp;I215,INDEX(KdoCodeTab,MATCH(I215,KdoWertTab,0)))),"ReadStat "&amp;H215))</f>
        <v>SpaceCmd</v>
      </c>
      <c r="K215" t="str">
        <f t="shared" si="43"/>
        <v>SpaceCmd</v>
      </c>
      <c r="L215" t="str">
        <f t="shared" si="44"/>
        <v/>
      </c>
      <c r="M215" t="str">
        <f t="shared" si="45"/>
        <v/>
      </c>
    </row>
    <row r="216" spans="1:13" x14ac:dyDescent="0.25">
      <c r="A216" t="s">
        <v>1216</v>
      </c>
      <c r="B216" s="6">
        <f t="shared" si="35"/>
        <v>3.7810000000000001</v>
      </c>
      <c r="C216" s="9">
        <f t="shared" si="36"/>
        <v>0.8333333333334636</v>
      </c>
      <c r="D216" s="8" t="str">
        <f t="shared" si="37"/>
        <v>W</v>
      </c>
      <c r="E216" s="3">
        <f t="shared" si="38"/>
        <v>33</v>
      </c>
      <c r="F216" s="3" t="str">
        <f t="shared" si="39"/>
        <v>ack</v>
      </c>
      <c r="G216" s="3" t="str">
        <f t="shared" si="40"/>
        <v>96</v>
      </c>
      <c r="H216" s="3" t="str">
        <f t="shared" si="41"/>
        <v/>
      </c>
      <c r="I216" s="3">
        <f t="shared" si="42"/>
        <v>150</v>
      </c>
      <c r="J216" s="5" t="str">
        <f>IF(E216=0,"Broadcast",IF(H216="",IF(I216="","",IF(I216&lt;128,"Connect "&amp;I216,INDEX(KdoCodeTab,MATCH(I216,KdoWertTab,0)))),"ReadStat "&amp;H216))</f>
        <v>RepSpaceCmd</v>
      </c>
      <c r="K216" t="str">
        <f t="shared" si="43"/>
        <v>RepSpaceCmd</v>
      </c>
      <c r="L216" t="str">
        <f t="shared" si="44"/>
        <v/>
      </c>
      <c r="M216" t="str">
        <f t="shared" si="45"/>
        <v/>
      </c>
    </row>
    <row r="217" spans="1:13" x14ac:dyDescent="0.25">
      <c r="A217" t="s">
        <v>1217</v>
      </c>
      <c r="B217" s="6">
        <f t="shared" si="35"/>
        <v>3.8205</v>
      </c>
      <c r="C217" s="9">
        <f t="shared" si="36"/>
        <v>39.499999999999872</v>
      </c>
      <c r="D217" s="8" t="str">
        <f t="shared" si="37"/>
        <v>W</v>
      </c>
      <c r="E217" s="3">
        <f t="shared" si="38"/>
        <v>33</v>
      </c>
      <c r="F217" s="3" t="str">
        <f t="shared" si="39"/>
        <v>ack</v>
      </c>
      <c r="G217" s="3" t="str">
        <f t="shared" si="40"/>
        <v>9C</v>
      </c>
      <c r="H217" s="3" t="str">
        <f t="shared" si="41"/>
        <v/>
      </c>
      <c r="I217" s="3">
        <f t="shared" si="42"/>
        <v>156</v>
      </c>
      <c r="J217" s="5" t="str">
        <f>IF(E217=0,"Broadcast",IF(H217="",IF(I217="","",IF(I217&lt;128,"Connect "&amp;I217,INDEX(KdoCodeTab,MATCH(I217,KdoWertTab,0)))),"ReadStat "&amp;H217))</f>
        <v>MarkCmd</v>
      </c>
      <c r="K217" t="str">
        <f t="shared" si="43"/>
        <v>MarkCmd</v>
      </c>
      <c r="L217" t="str">
        <f t="shared" si="44"/>
        <v/>
      </c>
      <c r="M217" t="str">
        <f t="shared" si="45"/>
        <v/>
      </c>
    </row>
    <row r="218" spans="1:13" x14ac:dyDescent="0.25">
      <c r="A218" t="s">
        <v>1218</v>
      </c>
      <c r="B218" s="6">
        <f t="shared" si="35"/>
        <v>3.8213333333333335</v>
      </c>
      <c r="C218" s="9">
        <f t="shared" si="36"/>
        <v>0.8333333333334636</v>
      </c>
      <c r="D218" s="8" t="str">
        <f t="shared" si="37"/>
        <v>W</v>
      </c>
      <c r="E218" s="3">
        <f t="shared" si="38"/>
        <v>33</v>
      </c>
      <c r="F218" s="3" t="str">
        <f t="shared" si="39"/>
        <v>ack</v>
      </c>
      <c r="G218" s="3" t="str">
        <f t="shared" si="40"/>
        <v>9A</v>
      </c>
      <c r="H218" s="3" t="str">
        <f t="shared" si="41"/>
        <v/>
      </c>
      <c r="I218" s="3">
        <f t="shared" si="42"/>
        <v>154</v>
      </c>
      <c r="J218" s="5" t="str">
        <f>IF(E218=0,"Broadcast",IF(H218="",IF(I218="","",IF(I218&lt;128,"Connect "&amp;I218,INDEX(KdoCodeTab,MATCH(I218,KdoWertTab,0)))),"ReadStat "&amp;H218))</f>
        <v>RepMarkCmd</v>
      </c>
      <c r="K218" t="str">
        <f t="shared" si="43"/>
        <v>RepMarkCmd</v>
      </c>
      <c r="L218" t="str">
        <f t="shared" si="44"/>
        <v/>
      </c>
      <c r="M218" t="str">
        <f t="shared" si="45"/>
        <v/>
      </c>
    </row>
    <row r="219" spans="1:13" x14ac:dyDescent="0.25">
      <c r="A219" t="s">
        <v>1219</v>
      </c>
      <c r="B219" s="6">
        <f t="shared" si="35"/>
        <v>3.8498333333333337</v>
      </c>
      <c r="C219" s="9">
        <f t="shared" si="36"/>
        <v>28.500000000000192</v>
      </c>
      <c r="D219" s="8" t="str">
        <f t="shared" si="37"/>
        <v>W</v>
      </c>
      <c r="E219" s="3">
        <f t="shared" si="38"/>
        <v>33</v>
      </c>
      <c r="F219" s="3" t="str">
        <f t="shared" si="39"/>
        <v>ack</v>
      </c>
      <c r="G219" s="3" t="str">
        <f t="shared" si="40"/>
        <v>93</v>
      </c>
      <c r="H219" s="3" t="str">
        <f t="shared" si="41"/>
        <v/>
      </c>
      <c r="I219" s="3">
        <f t="shared" si="42"/>
        <v>147</v>
      </c>
      <c r="J219" s="5" t="str">
        <f>IF(E219=0,"Broadcast",IF(H219="",IF(I219="","",IF(I219&lt;128,"Connect "&amp;I219,INDEX(KdoCodeTab,MATCH(I219,KdoWertTab,0)))),"ReadStat "&amp;H219))</f>
        <v>SpaceCmd</v>
      </c>
      <c r="K219" t="str">
        <f t="shared" si="43"/>
        <v>SpaceCmd</v>
      </c>
      <c r="L219" t="str">
        <f t="shared" si="44"/>
        <v/>
      </c>
      <c r="M219" t="str">
        <f t="shared" si="45"/>
        <v/>
      </c>
    </row>
    <row r="220" spans="1:13" x14ac:dyDescent="0.25">
      <c r="A220" t="s">
        <v>1220</v>
      </c>
      <c r="B220" s="6">
        <f t="shared" si="35"/>
        <v>3.8508333333333336</v>
      </c>
      <c r="C220" s="9">
        <f t="shared" si="36"/>
        <v>0.99999999999988987</v>
      </c>
      <c r="D220" s="8" t="str">
        <f t="shared" si="37"/>
        <v>W</v>
      </c>
      <c r="E220" s="3">
        <f t="shared" si="38"/>
        <v>33</v>
      </c>
      <c r="F220" s="3" t="str">
        <f t="shared" si="39"/>
        <v>ack</v>
      </c>
      <c r="G220" s="3" t="str">
        <f t="shared" si="40"/>
        <v>96</v>
      </c>
      <c r="H220" s="3" t="str">
        <f t="shared" si="41"/>
        <v/>
      </c>
      <c r="I220" s="3">
        <f t="shared" si="42"/>
        <v>150</v>
      </c>
      <c r="J220" s="5" t="str">
        <f>IF(E220=0,"Broadcast",IF(H220="",IF(I220="","",IF(I220&lt;128,"Connect "&amp;I220,INDEX(KdoCodeTab,MATCH(I220,KdoWertTab,0)))),"ReadStat "&amp;H220))</f>
        <v>RepSpaceCmd</v>
      </c>
      <c r="K220" t="str">
        <f t="shared" si="43"/>
        <v>RepSpaceCmd</v>
      </c>
      <c r="L220" t="str">
        <f t="shared" si="44"/>
        <v/>
      </c>
      <c r="M220" t="str">
        <f t="shared" si="45"/>
        <v/>
      </c>
    </row>
    <row r="221" spans="1:13" x14ac:dyDescent="0.25">
      <c r="A221" t="s">
        <v>1221</v>
      </c>
      <c r="B221" s="6">
        <f t="shared" si="35"/>
        <v>3.9498333333333333</v>
      </c>
      <c r="C221" s="9">
        <f t="shared" si="36"/>
        <v>98.999999999999758</v>
      </c>
      <c r="D221" s="8" t="str">
        <f t="shared" si="37"/>
        <v>W</v>
      </c>
      <c r="E221" s="3">
        <f t="shared" si="38"/>
        <v>33</v>
      </c>
      <c r="F221" s="3" t="str">
        <f t="shared" si="39"/>
        <v>ack</v>
      </c>
      <c r="G221" s="3" t="str">
        <f t="shared" si="40"/>
        <v>9C</v>
      </c>
      <c r="H221" s="3" t="str">
        <f t="shared" si="41"/>
        <v/>
      </c>
      <c r="I221" s="3">
        <f t="shared" si="42"/>
        <v>156</v>
      </c>
      <c r="J221" s="5" t="str">
        <f>IF(E221=0,"Broadcast",IF(H221="",IF(I221="","",IF(I221&lt;128,"Connect "&amp;I221,INDEX(KdoCodeTab,MATCH(I221,KdoWertTab,0)))),"ReadStat "&amp;H221))</f>
        <v>MarkCmd</v>
      </c>
      <c r="K221" t="str">
        <f t="shared" si="43"/>
        <v>MarkCmd</v>
      </c>
      <c r="L221" t="str">
        <f t="shared" si="44"/>
        <v/>
      </c>
      <c r="M221" t="str">
        <f t="shared" si="45"/>
        <v/>
      </c>
    </row>
    <row r="222" spans="1:13" x14ac:dyDescent="0.25">
      <c r="A222" t="s">
        <v>1222</v>
      </c>
      <c r="B222" s="6">
        <f t="shared" si="35"/>
        <v>3.9506666666666668</v>
      </c>
      <c r="C222" s="9">
        <f t="shared" si="36"/>
        <v>0.8333333333334636</v>
      </c>
      <c r="D222" s="8" t="str">
        <f t="shared" si="37"/>
        <v>W</v>
      </c>
      <c r="E222" s="3">
        <f t="shared" si="38"/>
        <v>33</v>
      </c>
      <c r="F222" s="3" t="str">
        <f t="shared" si="39"/>
        <v>ack</v>
      </c>
      <c r="G222" s="3" t="str">
        <f t="shared" si="40"/>
        <v>9A</v>
      </c>
      <c r="H222" s="3" t="str">
        <f t="shared" si="41"/>
        <v/>
      </c>
      <c r="I222" s="3">
        <f t="shared" si="42"/>
        <v>154</v>
      </c>
      <c r="J222" s="5" t="str">
        <f>IF(E222=0,"Broadcast",IF(H222="",IF(I222="","",IF(I222&lt;128,"Connect "&amp;I222,INDEX(KdoCodeTab,MATCH(I222,KdoWertTab,0)))),"ReadStat "&amp;H222))</f>
        <v>RepMarkCmd</v>
      </c>
      <c r="K222" t="str">
        <f t="shared" si="43"/>
        <v>RepMarkCmd</v>
      </c>
      <c r="L222" t="str">
        <f t="shared" si="44"/>
        <v/>
      </c>
      <c r="M222" t="str">
        <f t="shared" si="45"/>
        <v/>
      </c>
    </row>
    <row r="223" spans="1:13" x14ac:dyDescent="0.25">
      <c r="A223" t="s">
        <v>1223</v>
      </c>
      <c r="B223" s="6">
        <f t="shared" si="35"/>
        <v>4.0003333333333337</v>
      </c>
      <c r="C223" s="9">
        <f t="shared" si="36"/>
        <v>49.66666666666697</v>
      </c>
      <c r="D223" s="8" t="str">
        <f t="shared" si="37"/>
        <v>W</v>
      </c>
      <c r="E223" s="3">
        <f t="shared" si="38"/>
        <v>33</v>
      </c>
      <c r="F223" s="3" t="str">
        <f t="shared" si="39"/>
        <v>ack</v>
      </c>
      <c r="G223" s="3" t="str">
        <f t="shared" si="40"/>
        <v>93</v>
      </c>
      <c r="H223" s="3" t="str">
        <f t="shared" si="41"/>
        <v/>
      </c>
      <c r="I223" s="3">
        <f t="shared" si="42"/>
        <v>147</v>
      </c>
      <c r="J223" s="5" t="str">
        <f>IF(E223=0,"Broadcast",IF(H223="",IF(I223="","",IF(I223&lt;128,"Connect "&amp;I223,INDEX(KdoCodeTab,MATCH(I223,KdoWertTab,0)))),"ReadStat "&amp;H223))</f>
        <v>SpaceCmd</v>
      </c>
      <c r="K223" t="str">
        <f t="shared" si="43"/>
        <v>SpaceCmd</v>
      </c>
      <c r="L223" t="str">
        <f t="shared" si="44"/>
        <v/>
      </c>
      <c r="M223" t="str">
        <f t="shared" si="45"/>
        <v/>
      </c>
    </row>
    <row r="224" spans="1:13" x14ac:dyDescent="0.25">
      <c r="A224" t="s">
        <v>1224</v>
      </c>
      <c r="B224" s="6">
        <f t="shared" si="35"/>
        <v>4.0011666666666672</v>
      </c>
      <c r="C224" s="9">
        <f t="shared" si="36"/>
        <v>0.8333333333334636</v>
      </c>
      <c r="D224" s="8" t="str">
        <f t="shared" si="37"/>
        <v>W</v>
      </c>
      <c r="E224" s="3">
        <f t="shared" si="38"/>
        <v>33</v>
      </c>
      <c r="F224" s="3" t="str">
        <f t="shared" si="39"/>
        <v>ack</v>
      </c>
      <c r="G224" s="3" t="str">
        <f t="shared" si="40"/>
        <v>96</v>
      </c>
      <c r="H224" s="3" t="str">
        <f t="shared" si="41"/>
        <v/>
      </c>
      <c r="I224" s="3">
        <f t="shared" si="42"/>
        <v>150</v>
      </c>
      <c r="J224" s="5" t="str">
        <f>IF(E224=0,"Broadcast",IF(H224="",IF(I224="","",IF(I224&lt;128,"Connect "&amp;I224,INDEX(KdoCodeTab,MATCH(I224,KdoWertTab,0)))),"ReadStat "&amp;H224))</f>
        <v>RepSpaceCmd</v>
      </c>
      <c r="K224" t="str">
        <f t="shared" si="43"/>
        <v>RepSpaceCmd</v>
      </c>
      <c r="L224" t="str">
        <f t="shared" si="44"/>
        <v/>
      </c>
      <c r="M224" t="str">
        <f t="shared" si="45"/>
        <v/>
      </c>
    </row>
    <row r="225" spans="1:13" x14ac:dyDescent="0.25">
      <c r="A225" t="s">
        <v>1225</v>
      </c>
      <c r="B225" s="6">
        <f t="shared" si="35"/>
        <v>4.0204999999999993</v>
      </c>
      <c r="C225" s="9">
        <f t="shared" si="36"/>
        <v>19.333333333332092</v>
      </c>
      <c r="D225" s="8" t="str">
        <f t="shared" si="37"/>
        <v>W</v>
      </c>
      <c r="E225" s="3">
        <f t="shared" si="38"/>
        <v>33</v>
      </c>
      <c r="F225" s="3" t="str">
        <f t="shared" si="39"/>
        <v>ack</v>
      </c>
      <c r="G225" s="3" t="str">
        <f t="shared" si="40"/>
        <v>9C</v>
      </c>
      <c r="H225" s="3" t="str">
        <f t="shared" si="41"/>
        <v/>
      </c>
      <c r="I225" s="3">
        <f t="shared" si="42"/>
        <v>156</v>
      </c>
      <c r="J225" s="5" t="str">
        <f>IF(E225=0,"Broadcast",IF(H225="",IF(I225="","",IF(I225&lt;128,"Connect "&amp;I225,INDEX(KdoCodeTab,MATCH(I225,KdoWertTab,0)))),"ReadStat "&amp;H225))</f>
        <v>MarkCmd</v>
      </c>
      <c r="K225" t="str">
        <f t="shared" si="43"/>
        <v>MarkCmd</v>
      </c>
      <c r="L225" t="str">
        <f t="shared" si="44"/>
        <v/>
      </c>
      <c r="M225" t="str">
        <f t="shared" si="45"/>
        <v/>
      </c>
    </row>
    <row r="226" spans="1:13" x14ac:dyDescent="0.25">
      <c r="A226" t="s">
        <v>1226</v>
      </c>
      <c r="B226" s="6">
        <f t="shared" si="35"/>
        <v>4.0213333333333336</v>
      </c>
      <c r="C226" s="9">
        <f t="shared" si="36"/>
        <v>0.83333333333435178</v>
      </c>
      <c r="D226" s="8" t="str">
        <f t="shared" si="37"/>
        <v>W</v>
      </c>
      <c r="E226" s="3">
        <f t="shared" si="38"/>
        <v>33</v>
      </c>
      <c r="F226" s="3" t="str">
        <f t="shared" si="39"/>
        <v>ack</v>
      </c>
      <c r="G226" s="3" t="str">
        <f t="shared" si="40"/>
        <v>9A</v>
      </c>
      <c r="H226" s="3" t="str">
        <f t="shared" si="41"/>
        <v/>
      </c>
      <c r="I226" s="3">
        <f t="shared" si="42"/>
        <v>154</v>
      </c>
      <c r="J226" s="5" t="str">
        <f>IF(E226=0,"Broadcast",IF(H226="",IF(I226="","",IF(I226&lt;128,"Connect "&amp;I226,INDEX(KdoCodeTab,MATCH(I226,KdoWertTab,0)))),"ReadStat "&amp;H226))</f>
        <v>RepMarkCmd</v>
      </c>
      <c r="K226" t="str">
        <f t="shared" si="43"/>
        <v>RepMarkCmd</v>
      </c>
      <c r="L226" t="str">
        <f t="shared" si="44"/>
        <v/>
      </c>
      <c r="M226" t="str">
        <f t="shared" si="45"/>
        <v/>
      </c>
    </row>
    <row r="227" spans="1:13" x14ac:dyDescent="0.25">
      <c r="A227" t="s">
        <v>1227</v>
      </c>
      <c r="B227" s="6">
        <f t="shared" si="35"/>
        <v>4.0801666666666669</v>
      </c>
      <c r="C227" s="9">
        <f t="shared" si="36"/>
        <v>58.833333333333293</v>
      </c>
      <c r="D227" s="8" t="str">
        <f t="shared" si="37"/>
        <v>W</v>
      </c>
      <c r="E227" s="3">
        <f t="shared" si="38"/>
        <v>33</v>
      </c>
      <c r="F227" s="3" t="str">
        <f t="shared" si="39"/>
        <v>ack</v>
      </c>
      <c r="G227" s="3" t="str">
        <f t="shared" si="40"/>
        <v>93</v>
      </c>
      <c r="H227" s="3" t="str">
        <f t="shared" si="41"/>
        <v/>
      </c>
      <c r="I227" s="3">
        <f t="shared" si="42"/>
        <v>147</v>
      </c>
      <c r="J227" s="5" t="str">
        <f>IF(E227=0,"Broadcast",IF(H227="",IF(I227="","",IF(I227&lt;128,"Connect "&amp;I227,INDEX(KdoCodeTab,MATCH(I227,KdoWertTab,0)))),"ReadStat "&amp;H227))</f>
        <v>SpaceCmd</v>
      </c>
      <c r="K227" t="str">
        <f t="shared" si="43"/>
        <v>SpaceCmd</v>
      </c>
      <c r="L227" t="str">
        <f t="shared" si="44"/>
        <v/>
      </c>
      <c r="M227" t="str">
        <f t="shared" si="45"/>
        <v/>
      </c>
    </row>
    <row r="228" spans="1:13" x14ac:dyDescent="0.25">
      <c r="A228" t="s">
        <v>1228</v>
      </c>
      <c r="B228" s="6">
        <f t="shared" si="35"/>
        <v>4.0810000000000004</v>
      </c>
      <c r="C228" s="9">
        <f t="shared" si="36"/>
        <v>0.8333333333334636</v>
      </c>
      <c r="D228" s="8" t="str">
        <f t="shared" si="37"/>
        <v>W</v>
      </c>
      <c r="E228" s="3">
        <f t="shared" si="38"/>
        <v>33</v>
      </c>
      <c r="F228" s="3" t="str">
        <f t="shared" si="39"/>
        <v>ack</v>
      </c>
      <c r="G228" s="3" t="str">
        <f t="shared" si="40"/>
        <v>96</v>
      </c>
      <c r="H228" s="3" t="str">
        <f t="shared" si="41"/>
        <v/>
      </c>
      <c r="I228" s="3">
        <f t="shared" si="42"/>
        <v>150</v>
      </c>
      <c r="J228" s="5" t="str">
        <f>IF(E228=0,"Broadcast",IF(H228="",IF(I228="","",IF(I228&lt;128,"Connect "&amp;I228,INDEX(KdoCodeTab,MATCH(I228,KdoWertTab,0)))),"ReadStat "&amp;H228))</f>
        <v>RepSpaceCmd</v>
      </c>
      <c r="K228" t="str">
        <f t="shared" si="43"/>
        <v>RepSpaceCmd</v>
      </c>
      <c r="L228" t="str">
        <f t="shared" si="44"/>
        <v/>
      </c>
      <c r="M228" t="str">
        <f t="shared" si="45"/>
        <v/>
      </c>
    </row>
    <row r="229" spans="1:13" x14ac:dyDescent="0.25">
      <c r="A229" t="s">
        <v>1229</v>
      </c>
      <c r="B229" s="6">
        <f t="shared" si="35"/>
        <v>4.1206666666666667</v>
      </c>
      <c r="C229" s="9">
        <f t="shared" si="36"/>
        <v>39.666666666666295</v>
      </c>
      <c r="D229" s="8" t="str">
        <f t="shared" si="37"/>
        <v>W</v>
      </c>
      <c r="E229" s="3">
        <f t="shared" si="38"/>
        <v>33</v>
      </c>
      <c r="F229" s="3" t="str">
        <f t="shared" si="39"/>
        <v>ack</v>
      </c>
      <c r="G229" s="3" t="str">
        <f t="shared" si="40"/>
        <v>9C</v>
      </c>
      <c r="H229" s="3" t="str">
        <f t="shared" si="41"/>
        <v/>
      </c>
      <c r="I229" s="3">
        <f t="shared" si="42"/>
        <v>156</v>
      </c>
      <c r="J229" s="5" t="str">
        <f>IF(E229=0,"Broadcast",IF(H229="",IF(I229="","",IF(I229&lt;128,"Connect "&amp;I229,INDEX(KdoCodeTab,MATCH(I229,KdoWertTab,0)))),"ReadStat "&amp;H229))</f>
        <v>MarkCmd</v>
      </c>
      <c r="K229" t="str">
        <f t="shared" si="43"/>
        <v>MarkCmd</v>
      </c>
      <c r="L229" t="str">
        <f t="shared" si="44"/>
        <v/>
      </c>
      <c r="M229" t="str">
        <f t="shared" si="45"/>
        <v/>
      </c>
    </row>
    <row r="230" spans="1:13" x14ac:dyDescent="0.25">
      <c r="A230" t="s">
        <v>1230</v>
      </c>
      <c r="B230" s="6">
        <f t="shared" si="35"/>
        <v>4.1215000000000002</v>
      </c>
      <c r="C230" s="9">
        <f t="shared" si="36"/>
        <v>0.8333333333334636</v>
      </c>
      <c r="D230" s="8" t="str">
        <f t="shared" si="37"/>
        <v>W</v>
      </c>
      <c r="E230" s="3">
        <f t="shared" si="38"/>
        <v>33</v>
      </c>
      <c r="F230" s="3" t="str">
        <f t="shared" si="39"/>
        <v>ack</v>
      </c>
      <c r="G230" s="3" t="str">
        <f t="shared" si="40"/>
        <v>9A</v>
      </c>
      <c r="H230" s="3" t="str">
        <f t="shared" si="41"/>
        <v/>
      </c>
      <c r="I230" s="3">
        <f t="shared" si="42"/>
        <v>154</v>
      </c>
      <c r="J230" s="5" t="str">
        <f>IF(E230=0,"Broadcast",IF(H230="",IF(I230="","",IF(I230&lt;128,"Connect "&amp;I230,INDEX(KdoCodeTab,MATCH(I230,KdoWertTab,0)))),"ReadStat "&amp;H230))</f>
        <v>RepMarkCmd</v>
      </c>
      <c r="K230" t="str">
        <f t="shared" si="43"/>
        <v>RepMarkCmd</v>
      </c>
      <c r="L230" t="str">
        <f t="shared" si="44"/>
        <v/>
      </c>
      <c r="M230" t="str">
        <f t="shared" si="45"/>
        <v/>
      </c>
    </row>
    <row r="231" spans="1:13" x14ac:dyDescent="0.25">
      <c r="A231" t="s">
        <v>1231</v>
      </c>
      <c r="B231" s="6">
        <f t="shared" si="35"/>
        <v>4.1498333333333335</v>
      </c>
      <c r="C231" s="9">
        <f t="shared" si="36"/>
        <v>28.333333333333321</v>
      </c>
      <c r="D231" s="8" t="str">
        <f t="shared" si="37"/>
        <v>W</v>
      </c>
      <c r="E231" s="3">
        <f t="shared" si="38"/>
        <v>33</v>
      </c>
      <c r="F231" s="3" t="str">
        <f t="shared" si="39"/>
        <v>ack</v>
      </c>
      <c r="G231" s="3" t="str">
        <f t="shared" si="40"/>
        <v>93</v>
      </c>
      <c r="H231" s="3" t="str">
        <f t="shared" si="41"/>
        <v/>
      </c>
      <c r="I231" s="3">
        <f t="shared" si="42"/>
        <v>147</v>
      </c>
      <c r="J231" s="5" t="str">
        <f>IF(E231=0,"Broadcast",IF(H231="",IF(I231="","",IF(I231&lt;128,"Connect "&amp;I231,INDEX(KdoCodeTab,MATCH(I231,KdoWertTab,0)))),"ReadStat "&amp;H231))</f>
        <v>SpaceCmd</v>
      </c>
      <c r="K231" t="str">
        <f t="shared" si="43"/>
        <v>SpaceCmd</v>
      </c>
      <c r="L231" t="str">
        <f t="shared" si="44"/>
        <v/>
      </c>
      <c r="M231" t="str">
        <f t="shared" si="45"/>
        <v/>
      </c>
    </row>
    <row r="232" spans="1:13" x14ac:dyDescent="0.25">
      <c r="A232" t="s">
        <v>1232</v>
      </c>
      <c r="B232" s="6">
        <f t="shared" si="35"/>
        <v>4.1508333333333338</v>
      </c>
      <c r="C232" s="9">
        <f t="shared" si="36"/>
        <v>1.000000000000334</v>
      </c>
      <c r="D232" s="8" t="str">
        <f t="shared" si="37"/>
        <v>W</v>
      </c>
      <c r="E232" s="3">
        <f t="shared" si="38"/>
        <v>33</v>
      </c>
      <c r="F232" s="3" t="str">
        <f t="shared" si="39"/>
        <v>ack</v>
      </c>
      <c r="G232" s="3" t="str">
        <f t="shared" si="40"/>
        <v>96</v>
      </c>
      <c r="H232" s="3" t="str">
        <f t="shared" si="41"/>
        <v/>
      </c>
      <c r="I232" s="3">
        <f t="shared" si="42"/>
        <v>150</v>
      </c>
      <c r="J232" s="5" t="str">
        <f>IF(E232=0,"Broadcast",IF(H232="",IF(I232="","",IF(I232&lt;128,"Connect "&amp;I232,INDEX(KdoCodeTab,MATCH(I232,KdoWertTab,0)))),"ReadStat "&amp;H232))</f>
        <v>RepSpaceCmd</v>
      </c>
      <c r="K232" t="str">
        <f t="shared" si="43"/>
        <v>RepSpaceCmd</v>
      </c>
      <c r="L232" t="str">
        <f t="shared" si="44"/>
        <v/>
      </c>
      <c r="M232" t="str">
        <f t="shared" si="45"/>
        <v/>
      </c>
    </row>
    <row r="233" spans="1:13" x14ac:dyDescent="0.25">
      <c r="A233" t="s">
        <v>1233</v>
      </c>
      <c r="B233" s="6">
        <f t="shared" si="35"/>
        <v>4.230666666666667</v>
      </c>
      <c r="C233" s="9">
        <f t="shared" si="36"/>
        <v>79.833333333333201</v>
      </c>
      <c r="D233" s="8" t="str">
        <f t="shared" si="37"/>
        <v>W</v>
      </c>
      <c r="E233" s="3">
        <f t="shared" si="38"/>
        <v>33</v>
      </c>
      <c r="F233" s="3" t="str">
        <f t="shared" si="39"/>
        <v>ack</v>
      </c>
      <c r="G233" s="3" t="str">
        <f t="shared" si="40"/>
        <v>9C</v>
      </c>
      <c r="H233" s="3" t="str">
        <f t="shared" si="41"/>
        <v/>
      </c>
      <c r="I233" s="3">
        <f t="shared" si="42"/>
        <v>156</v>
      </c>
      <c r="J233" s="5" t="str">
        <f>IF(E233=0,"Broadcast",IF(H233="",IF(I233="","",IF(I233&lt;128,"Connect "&amp;I233,INDEX(KdoCodeTab,MATCH(I233,KdoWertTab,0)))),"ReadStat "&amp;H233))</f>
        <v>MarkCmd</v>
      </c>
      <c r="K233" t="str">
        <f t="shared" si="43"/>
        <v>MarkCmd</v>
      </c>
      <c r="L233" t="str">
        <f t="shared" si="44"/>
        <v/>
      </c>
      <c r="M233" t="str">
        <f t="shared" si="45"/>
        <v/>
      </c>
    </row>
    <row r="234" spans="1:13" x14ac:dyDescent="0.25">
      <c r="A234" t="s">
        <v>1234</v>
      </c>
      <c r="B234" s="6">
        <f t="shared" si="35"/>
        <v>4.2316666666666665</v>
      </c>
      <c r="C234" s="9">
        <f t="shared" si="36"/>
        <v>0.99999999999944578</v>
      </c>
      <c r="D234" s="8" t="str">
        <f t="shared" si="37"/>
        <v>W</v>
      </c>
      <c r="E234" s="3">
        <f t="shared" si="38"/>
        <v>33</v>
      </c>
      <c r="F234" s="3" t="str">
        <f t="shared" si="39"/>
        <v>ack</v>
      </c>
      <c r="G234" s="3" t="str">
        <f t="shared" si="40"/>
        <v>9A</v>
      </c>
      <c r="H234" s="3" t="str">
        <f t="shared" si="41"/>
        <v/>
      </c>
      <c r="I234" s="3">
        <f t="shared" si="42"/>
        <v>154</v>
      </c>
      <c r="J234" s="5" t="str">
        <f>IF(E234=0,"Broadcast",IF(H234="",IF(I234="","",IF(I234&lt;128,"Connect "&amp;I234,INDEX(KdoCodeTab,MATCH(I234,KdoWertTab,0)))),"ReadStat "&amp;H234))</f>
        <v>RepMarkCmd</v>
      </c>
      <c r="K234" t="str">
        <f t="shared" si="43"/>
        <v>RepMarkCmd</v>
      </c>
      <c r="L234" t="str">
        <f t="shared" si="44"/>
        <v/>
      </c>
      <c r="M234" t="str">
        <f t="shared" si="45"/>
        <v/>
      </c>
    </row>
    <row r="235" spans="1:13" x14ac:dyDescent="0.25">
      <c r="A235" t="s">
        <v>1235</v>
      </c>
      <c r="B235" s="6">
        <f t="shared" si="35"/>
        <v>4.3004999999999995</v>
      </c>
      <c r="C235" s="9">
        <f t="shared" si="36"/>
        <v>68.833333333333087</v>
      </c>
      <c r="D235" s="8" t="str">
        <f t="shared" si="37"/>
        <v>W</v>
      </c>
      <c r="E235" s="3">
        <f t="shared" si="38"/>
        <v>33</v>
      </c>
      <c r="F235" s="3" t="str">
        <f t="shared" si="39"/>
        <v>ack</v>
      </c>
      <c r="G235" s="3" t="str">
        <f t="shared" si="40"/>
        <v>93</v>
      </c>
      <c r="H235" s="3" t="str">
        <f t="shared" si="41"/>
        <v/>
      </c>
      <c r="I235" s="3">
        <f t="shared" si="42"/>
        <v>147</v>
      </c>
      <c r="J235" s="5" t="str">
        <f>IF(E235=0,"Broadcast",IF(H235="",IF(I235="","",IF(I235&lt;128,"Connect "&amp;I235,INDEX(KdoCodeTab,MATCH(I235,KdoWertTab,0)))),"ReadStat "&amp;H235))</f>
        <v>SpaceCmd</v>
      </c>
      <c r="K235" t="str">
        <f t="shared" si="43"/>
        <v>SpaceCmd</v>
      </c>
      <c r="L235" t="str">
        <f t="shared" si="44"/>
        <v/>
      </c>
      <c r="M235" t="str">
        <f t="shared" si="45"/>
        <v/>
      </c>
    </row>
    <row r="236" spans="1:13" x14ac:dyDescent="0.25">
      <c r="A236" t="s">
        <v>1236</v>
      </c>
      <c r="B236" s="6">
        <f t="shared" si="35"/>
        <v>4.3013333333333339</v>
      </c>
      <c r="C236" s="9">
        <f t="shared" si="36"/>
        <v>0.83333333333435178</v>
      </c>
      <c r="D236" s="8" t="str">
        <f t="shared" si="37"/>
        <v>W</v>
      </c>
      <c r="E236" s="3">
        <f t="shared" si="38"/>
        <v>33</v>
      </c>
      <c r="F236" s="3" t="str">
        <f t="shared" si="39"/>
        <v>ack</v>
      </c>
      <c r="G236" s="3" t="str">
        <f t="shared" si="40"/>
        <v>96</v>
      </c>
      <c r="H236" s="3" t="str">
        <f t="shared" si="41"/>
        <v/>
      </c>
      <c r="I236" s="3">
        <f t="shared" si="42"/>
        <v>150</v>
      </c>
      <c r="J236" s="5" t="str">
        <f>IF(E236=0,"Broadcast",IF(H236="",IF(I236="","",IF(I236&lt;128,"Connect "&amp;I236,INDEX(KdoCodeTab,MATCH(I236,KdoWertTab,0)))),"ReadStat "&amp;H236))</f>
        <v>RepSpaceCmd</v>
      </c>
      <c r="K236" t="str">
        <f t="shared" si="43"/>
        <v>RepSpaceCmd</v>
      </c>
      <c r="L236" t="str">
        <f t="shared" si="44"/>
        <v/>
      </c>
      <c r="M236" t="str">
        <f t="shared" si="45"/>
        <v/>
      </c>
    </row>
    <row r="237" spans="1:13" x14ac:dyDescent="0.25">
      <c r="A237" t="s">
        <v>1237</v>
      </c>
      <c r="B237" s="6">
        <f t="shared" si="35"/>
        <v>4.3688333333333338</v>
      </c>
      <c r="C237" s="9">
        <f t="shared" si="36"/>
        <v>67.499999999999886</v>
      </c>
      <c r="D237" s="8" t="str">
        <f t="shared" si="37"/>
        <v>W</v>
      </c>
      <c r="E237" s="3">
        <f t="shared" si="38"/>
        <v>31</v>
      </c>
      <c r="F237" s="3" t="str">
        <f t="shared" si="39"/>
        <v>ack</v>
      </c>
      <c r="G237" s="3" t="str">
        <f t="shared" si="40"/>
        <v>A9</v>
      </c>
      <c r="H237" s="3" t="str">
        <f t="shared" si="41"/>
        <v/>
      </c>
      <c r="I237" s="3">
        <f t="shared" si="42"/>
        <v>169</v>
      </c>
      <c r="J237" s="5" t="str">
        <f>IF(E237=0,"Broadcast",IF(H237="",IF(I237="","",IF(I237&lt;128,"Connect "&amp;I237,INDEX(KdoCodeTab,MATCH(I237,KdoWertTab,0)))),"ReadStat "&amp;H237))</f>
        <v>Heartbeat</v>
      </c>
      <c r="K237" t="str">
        <f t="shared" si="43"/>
        <v/>
      </c>
      <c r="L237" t="str">
        <f t="shared" si="44"/>
        <v>Heartbeat</v>
      </c>
      <c r="M237" t="str">
        <f t="shared" si="45"/>
        <v/>
      </c>
    </row>
    <row r="238" spans="1:13" x14ac:dyDescent="0.25">
      <c r="A238" t="s">
        <v>1238</v>
      </c>
      <c r="B238" s="6">
        <f t="shared" si="35"/>
        <v>4.3694999999999995</v>
      </c>
      <c r="C238" s="9">
        <f t="shared" si="36"/>
        <v>0.66666666666570507</v>
      </c>
      <c r="D238" s="8" t="str">
        <f t="shared" si="37"/>
        <v>W</v>
      </c>
      <c r="E238" s="3">
        <f t="shared" si="38"/>
        <v>33</v>
      </c>
      <c r="F238" s="3" t="str">
        <f t="shared" si="39"/>
        <v>ack</v>
      </c>
      <c r="G238" s="3" t="str">
        <f t="shared" si="40"/>
        <v>A9</v>
      </c>
      <c r="H238" s="3" t="str">
        <f t="shared" si="41"/>
        <v/>
      </c>
      <c r="I238" s="3">
        <f t="shared" si="42"/>
        <v>169</v>
      </c>
      <c r="J238" s="5" t="str">
        <f>IF(E238=0,"Broadcast",IF(H238="",IF(I238="","",IF(I238&lt;128,"Connect "&amp;I238,INDEX(KdoCodeTab,MATCH(I238,KdoWertTab,0)))),"ReadStat "&amp;H238))</f>
        <v>Heartbeat</v>
      </c>
      <c r="K238" t="str">
        <f t="shared" si="43"/>
        <v>Heartbeat</v>
      </c>
      <c r="L238" t="str">
        <f t="shared" si="44"/>
        <v/>
      </c>
      <c r="M238" t="str">
        <f t="shared" si="45"/>
        <v/>
      </c>
    </row>
    <row r="239" spans="1:13" x14ac:dyDescent="0.25">
      <c r="A239" t="s">
        <v>1239</v>
      </c>
      <c r="B239" s="6">
        <f t="shared" si="35"/>
        <v>4.3803333333333336</v>
      </c>
      <c r="C239" s="9">
        <f t="shared" si="36"/>
        <v>10.833333333334139</v>
      </c>
      <c r="D239" s="8" t="str">
        <f t="shared" si="37"/>
        <v>W</v>
      </c>
      <c r="E239" s="3">
        <f t="shared" si="38"/>
        <v>33</v>
      </c>
      <c r="F239" s="3" t="str">
        <f t="shared" si="39"/>
        <v>ack</v>
      </c>
      <c r="G239" s="3" t="str">
        <f t="shared" si="40"/>
        <v>9C</v>
      </c>
      <c r="H239" s="3" t="str">
        <f t="shared" si="41"/>
        <v/>
      </c>
      <c r="I239" s="3">
        <f t="shared" si="42"/>
        <v>156</v>
      </c>
      <c r="J239" s="5" t="str">
        <f>IF(E239=0,"Broadcast",IF(H239="",IF(I239="","",IF(I239&lt;128,"Connect "&amp;I239,INDEX(KdoCodeTab,MATCH(I239,KdoWertTab,0)))),"ReadStat "&amp;H239))</f>
        <v>MarkCmd</v>
      </c>
      <c r="K239" t="str">
        <f t="shared" si="43"/>
        <v>MarkCmd</v>
      </c>
      <c r="L239" t="str">
        <f t="shared" si="44"/>
        <v/>
      </c>
      <c r="M239" t="str">
        <f t="shared" si="45"/>
        <v/>
      </c>
    </row>
    <row r="240" spans="1:13" x14ac:dyDescent="0.25">
      <c r="A240" t="s">
        <v>1240</v>
      </c>
      <c r="B240" s="6">
        <f t="shared" si="35"/>
        <v>4.3811666666666671</v>
      </c>
      <c r="C240" s="9">
        <f t="shared" si="36"/>
        <v>0.8333333333334636</v>
      </c>
      <c r="D240" s="8" t="str">
        <f t="shared" si="37"/>
        <v>W</v>
      </c>
      <c r="E240" s="3">
        <f t="shared" si="38"/>
        <v>33</v>
      </c>
      <c r="F240" s="3" t="str">
        <f t="shared" si="39"/>
        <v>ack</v>
      </c>
      <c r="G240" s="3" t="str">
        <f t="shared" si="40"/>
        <v>9A</v>
      </c>
      <c r="H240" s="3" t="str">
        <f t="shared" si="41"/>
        <v/>
      </c>
      <c r="I240" s="3">
        <f t="shared" si="42"/>
        <v>154</v>
      </c>
      <c r="J240" s="5" t="str">
        <f>IF(E240=0,"Broadcast",IF(H240="",IF(I240="","",IF(I240&lt;128,"Connect "&amp;I240,INDEX(KdoCodeTab,MATCH(I240,KdoWertTab,0)))),"ReadStat "&amp;H240))</f>
        <v>RepMarkCmd</v>
      </c>
      <c r="K240" t="str">
        <f t="shared" si="43"/>
        <v>RepMarkCmd</v>
      </c>
      <c r="L240" t="str">
        <f t="shared" si="44"/>
        <v/>
      </c>
      <c r="M240" t="str">
        <f t="shared" si="45"/>
        <v/>
      </c>
    </row>
    <row r="241" spans="1:13" x14ac:dyDescent="0.25">
      <c r="A241" t="s">
        <v>1241</v>
      </c>
      <c r="B241" s="6">
        <f t="shared" si="35"/>
        <v>4.4498333333333333</v>
      </c>
      <c r="C241" s="9">
        <f t="shared" si="36"/>
        <v>68.666666666666202</v>
      </c>
      <c r="D241" s="8" t="str">
        <f t="shared" si="37"/>
        <v>W</v>
      </c>
      <c r="E241" s="3">
        <f t="shared" si="38"/>
        <v>33</v>
      </c>
      <c r="F241" s="3" t="str">
        <f t="shared" si="39"/>
        <v>ack</v>
      </c>
      <c r="G241" s="3" t="str">
        <f t="shared" si="40"/>
        <v>93</v>
      </c>
      <c r="H241" s="3" t="str">
        <f t="shared" si="41"/>
        <v/>
      </c>
      <c r="I241" s="3">
        <f t="shared" si="42"/>
        <v>147</v>
      </c>
      <c r="J241" s="5" t="str">
        <f>IF(E241=0,"Broadcast",IF(H241="",IF(I241="","",IF(I241&lt;128,"Connect "&amp;I241,INDEX(KdoCodeTab,MATCH(I241,KdoWertTab,0)))),"ReadStat "&amp;H241))</f>
        <v>SpaceCmd</v>
      </c>
      <c r="K241" t="str">
        <f t="shared" si="43"/>
        <v>SpaceCmd</v>
      </c>
      <c r="L241" t="str">
        <f t="shared" si="44"/>
        <v/>
      </c>
      <c r="M241" t="str">
        <f t="shared" si="45"/>
        <v/>
      </c>
    </row>
    <row r="242" spans="1:13" x14ac:dyDescent="0.25">
      <c r="A242" t="s">
        <v>1242</v>
      </c>
      <c r="B242" s="6">
        <f t="shared" si="35"/>
        <v>4.4508333333333336</v>
      </c>
      <c r="C242" s="9">
        <f t="shared" si="36"/>
        <v>1.000000000000334</v>
      </c>
      <c r="D242" s="8" t="str">
        <f t="shared" si="37"/>
        <v>W</v>
      </c>
      <c r="E242" s="3">
        <f t="shared" si="38"/>
        <v>33</v>
      </c>
      <c r="F242" s="3" t="str">
        <f t="shared" si="39"/>
        <v>ack</v>
      </c>
      <c r="G242" s="3" t="str">
        <f t="shared" si="40"/>
        <v>96</v>
      </c>
      <c r="H242" s="3" t="str">
        <f t="shared" si="41"/>
        <v/>
      </c>
      <c r="I242" s="3">
        <f t="shared" si="42"/>
        <v>150</v>
      </c>
      <c r="J242" s="5" t="str">
        <f>IF(E242=0,"Broadcast",IF(H242="",IF(I242="","",IF(I242&lt;128,"Connect "&amp;I242,INDEX(KdoCodeTab,MATCH(I242,KdoWertTab,0)))),"ReadStat "&amp;H242))</f>
        <v>RepSpaceCmd</v>
      </c>
      <c r="K242" t="str">
        <f t="shared" si="43"/>
        <v>RepSpaceCmd</v>
      </c>
      <c r="L242" t="str">
        <f t="shared" si="44"/>
        <v/>
      </c>
      <c r="M242" t="str">
        <f t="shared" si="45"/>
        <v/>
      </c>
    </row>
    <row r="243" spans="1:13" x14ac:dyDescent="0.25">
      <c r="A243" t="s">
        <v>1243</v>
      </c>
      <c r="B243" s="6">
        <f t="shared" si="35"/>
        <v>4.47</v>
      </c>
      <c r="C243" s="9">
        <f t="shared" si="36"/>
        <v>19.16666666666611</v>
      </c>
      <c r="D243" s="8" t="str">
        <f t="shared" si="37"/>
        <v>W</v>
      </c>
      <c r="E243" s="3">
        <f t="shared" si="38"/>
        <v>33</v>
      </c>
      <c r="F243" s="3" t="str">
        <f t="shared" si="39"/>
        <v>ack</v>
      </c>
      <c r="G243" s="3" t="str">
        <f t="shared" si="40"/>
        <v>9C</v>
      </c>
      <c r="H243" s="3" t="str">
        <f t="shared" si="41"/>
        <v/>
      </c>
      <c r="I243" s="3">
        <f t="shared" si="42"/>
        <v>156</v>
      </c>
      <c r="J243" s="5" t="str">
        <f>IF(E243=0,"Broadcast",IF(H243="",IF(I243="","",IF(I243&lt;128,"Connect "&amp;I243,INDEX(KdoCodeTab,MATCH(I243,KdoWertTab,0)))),"ReadStat "&amp;H243))</f>
        <v>MarkCmd</v>
      </c>
      <c r="K243" t="str">
        <f t="shared" si="43"/>
        <v>MarkCmd</v>
      </c>
      <c r="L243" t="str">
        <f t="shared" si="44"/>
        <v/>
      </c>
      <c r="M243" t="str">
        <f t="shared" si="45"/>
        <v/>
      </c>
    </row>
    <row r="244" spans="1:13" x14ac:dyDescent="0.25">
      <c r="A244" t="s">
        <v>1244</v>
      </c>
      <c r="B244" s="6">
        <f t="shared" si="35"/>
        <v>4.4710000000000001</v>
      </c>
      <c r="C244" s="9">
        <f t="shared" si="36"/>
        <v>1.000000000000334</v>
      </c>
      <c r="D244" s="8" t="str">
        <f t="shared" si="37"/>
        <v>W</v>
      </c>
      <c r="E244" s="3">
        <f t="shared" si="38"/>
        <v>33</v>
      </c>
      <c r="F244" s="3" t="str">
        <f t="shared" si="39"/>
        <v>ack</v>
      </c>
      <c r="G244" s="3" t="str">
        <f t="shared" si="40"/>
        <v>9A</v>
      </c>
      <c r="H244" s="3" t="str">
        <f t="shared" si="41"/>
        <v/>
      </c>
      <c r="I244" s="3">
        <f t="shared" si="42"/>
        <v>154</v>
      </c>
      <c r="J244" s="5" t="str">
        <f>IF(E244=0,"Broadcast",IF(H244="",IF(I244="","",IF(I244&lt;128,"Connect "&amp;I244,INDEX(KdoCodeTab,MATCH(I244,KdoWertTab,0)))),"ReadStat "&amp;H244))</f>
        <v>RepMarkCmd</v>
      </c>
      <c r="K244" t="str">
        <f t="shared" si="43"/>
        <v>RepMarkCmd</v>
      </c>
      <c r="L244" t="str">
        <f t="shared" si="44"/>
        <v/>
      </c>
      <c r="M244" t="str">
        <f t="shared" si="45"/>
        <v/>
      </c>
    </row>
    <row r="245" spans="1:13" x14ac:dyDescent="0.25">
      <c r="A245" t="s">
        <v>1245</v>
      </c>
      <c r="B245" s="6">
        <f t="shared" si="35"/>
        <v>4.5095000000000001</v>
      </c>
      <c r="C245" s="9">
        <f t="shared" si="36"/>
        <v>38.499999999999979</v>
      </c>
      <c r="D245" s="8" t="str">
        <f t="shared" si="37"/>
        <v>W</v>
      </c>
      <c r="E245" s="3">
        <f t="shared" si="38"/>
        <v>33</v>
      </c>
      <c r="F245" s="3" t="str">
        <f t="shared" si="39"/>
        <v>ack</v>
      </c>
      <c r="G245" s="3" t="str">
        <f t="shared" si="40"/>
        <v>93</v>
      </c>
      <c r="H245" s="3" t="str">
        <f t="shared" si="41"/>
        <v/>
      </c>
      <c r="I245" s="3">
        <f t="shared" si="42"/>
        <v>147</v>
      </c>
      <c r="J245" s="5" t="str">
        <f>IF(E245=0,"Broadcast",IF(H245="",IF(I245="","",IF(I245&lt;128,"Connect "&amp;I245,INDEX(KdoCodeTab,MATCH(I245,KdoWertTab,0)))),"ReadStat "&amp;H245))</f>
        <v>SpaceCmd</v>
      </c>
      <c r="K245" t="str">
        <f t="shared" si="43"/>
        <v>SpaceCmd</v>
      </c>
      <c r="L245" t="str">
        <f t="shared" si="44"/>
        <v/>
      </c>
      <c r="M245" t="str">
        <f t="shared" si="45"/>
        <v/>
      </c>
    </row>
    <row r="246" spans="1:13" x14ac:dyDescent="0.25">
      <c r="A246" t="s">
        <v>1246</v>
      </c>
      <c r="B246" s="6">
        <f t="shared" si="35"/>
        <v>4.5104999999999995</v>
      </c>
      <c r="C246" s="9">
        <f t="shared" si="36"/>
        <v>0.99999999999944578</v>
      </c>
      <c r="D246" s="8" t="str">
        <f t="shared" si="37"/>
        <v>W</v>
      </c>
      <c r="E246" s="3">
        <f t="shared" si="38"/>
        <v>33</v>
      </c>
      <c r="F246" s="3" t="str">
        <f t="shared" si="39"/>
        <v>ack</v>
      </c>
      <c r="G246" s="3" t="str">
        <f t="shared" si="40"/>
        <v>96</v>
      </c>
      <c r="H246" s="3" t="str">
        <f t="shared" si="41"/>
        <v/>
      </c>
      <c r="I246" s="3">
        <f t="shared" si="42"/>
        <v>150</v>
      </c>
      <c r="J246" s="5" t="str">
        <f>IF(E246=0,"Broadcast",IF(H246="",IF(I246="","",IF(I246&lt;128,"Connect "&amp;I246,INDEX(KdoCodeTab,MATCH(I246,KdoWertTab,0)))),"ReadStat "&amp;H246))</f>
        <v>RepSpaceCmd</v>
      </c>
      <c r="K246" t="str">
        <f t="shared" si="43"/>
        <v>RepSpaceCmd</v>
      </c>
      <c r="L246" t="str">
        <f t="shared" si="44"/>
        <v/>
      </c>
      <c r="M246" t="str">
        <f t="shared" si="45"/>
        <v/>
      </c>
    </row>
    <row r="247" spans="1:13" x14ac:dyDescent="0.25">
      <c r="A247" t="s">
        <v>1247</v>
      </c>
      <c r="B247" s="6">
        <f t="shared" si="35"/>
        <v>4.5498333333333338</v>
      </c>
      <c r="C247" s="9">
        <f t="shared" si="36"/>
        <v>39.33333333333433</v>
      </c>
      <c r="D247" s="8" t="str">
        <f t="shared" si="37"/>
        <v>W</v>
      </c>
      <c r="E247" s="3">
        <f t="shared" si="38"/>
        <v>33</v>
      </c>
      <c r="F247" s="3" t="str">
        <f t="shared" si="39"/>
        <v>ack</v>
      </c>
      <c r="G247" s="3" t="str">
        <f t="shared" si="40"/>
        <v>9C</v>
      </c>
      <c r="H247" s="3" t="str">
        <f t="shared" si="41"/>
        <v/>
      </c>
      <c r="I247" s="3">
        <f t="shared" si="42"/>
        <v>156</v>
      </c>
      <c r="J247" s="5" t="str">
        <f>IF(E247=0,"Broadcast",IF(H247="",IF(I247="","",IF(I247&lt;128,"Connect "&amp;I247,INDEX(KdoCodeTab,MATCH(I247,KdoWertTab,0)))),"ReadStat "&amp;H247))</f>
        <v>MarkCmd</v>
      </c>
      <c r="K247" t="str">
        <f t="shared" si="43"/>
        <v>MarkCmd</v>
      </c>
      <c r="L247" t="str">
        <f t="shared" si="44"/>
        <v/>
      </c>
      <c r="M247" t="str">
        <f t="shared" si="45"/>
        <v/>
      </c>
    </row>
    <row r="248" spans="1:13" x14ac:dyDescent="0.25">
      <c r="A248" t="s">
        <v>1248</v>
      </c>
      <c r="B248" s="6">
        <f t="shared" si="35"/>
        <v>4.5508333333333333</v>
      </c>
      <c r="C248" s="9">
        <f t="shared" si="36"/>
        <v>0.99999999999944578</v>
      </c>
      <c r="D248" s="8" t="str">
        <f t="shared" si="37"/>
        <v>W</v>
      </c>
      <c r="E248" s="3">
        <f t="shared" si="38"/>
        <v>33</v>
      </c>
      <c r="F248" s="3" t="str">
        <f t="shared" si="39"/>
        <v>ack</v>
      </c>
      <c r="G248" s="3" t="str">
        <f t="shared" si="40"/>
        <v>9A</v>
      </c>
      <c r="H248" s="3" t="str">
        <f t="shared" si="41"/>
        <v/>
      </c>
      <c r="I248" s="3">
        <f t="shared" si="42"/>
        <v>154</v>
      </c>
      <c r="J248" s="5" t="str">
        <f>IF(E248=0,"Broadcast",IF(H248="",IF(I248="","",IF(I248&lt;128,"Connect "&amp;I248,INDEX(KdoCodeTab,MATCH(I248,KdoWertTab,0)))),"ReadStat "&amp;H248))</f>
        <v>RepMarkCmd</v>
      </c>
      <c r="K248" t="str">
        <f t="shared" si="43"/>
        <v>RepMarkCmd</v>
      </c>
      <c r="L248" t="str">
        <f t="shared" si="44"/>
        <v/>
      </c>
      <c r="M248" t="str">
        <f t="shared" si="45"/>
        <v/>
      </c>
    </row>
    <row r="249" spans="1:13" x14ac:dyDescent="0.25">
      <c r="A249" t="s">
        <v>1249</v>
      </c>
      <c r="B249" s="6">
        <f t="shared" si="35"/>
        <v>4.6004999999999994</v>
      </c>
      <c r="C249" s="9">
        <f t="shared" si="36"/>
        <v>49.666666666666082</v>
      </c>
      <c r="D249" s="8" t="str">
        <f t="shared" si="37"/>
        <v>W</v>
      </c>
      <c r="E249" s="3">
        <f t="shared" si="38"/>
        <v>33</v>
      </c>
      <c r="F249" s="3" t="str">
        <f t="shared" si="39"/>
        <v>ack</v>
      </c>
      <c r="G249" s="3" t="str">
        <f t="shared" si="40"/>
        <v>93</v>
      </c>
      <c r="H249" s="3" t="str">
        <f t="shared" si="41"/>
        <v/>
      </c>
      <c r="I249" s="3">
        <f t="shared" si="42"/>
        <v>147</v>
      </c>
      <c r="J249" s="5" t="str">
        <f>IF(E249=0,"Broadcast",IF(H249="",IF(I249="","",IF(I249&lt;128,"Connect "&amp;I249,INDEX(KdoCodeTab,MATCH(I249,KdoWertTab,0)))),"ReadStat "&amp;H249))</f>
        <v>SpaceCmd</v>
      </c>
      <c r="K249" t="str">
        <f t="shared" si="43"/>
        <v>SpaceCmd</v>
      </c>
      <c r="L249" t="str">
        <f t="shared" si="44"/>
        <v/>
      </c>
      <c r="M249" t="str">
        <f t="shared" si="45"/>
        <v/>
      </c>
    </row>
    <row r="250" spans="1:13" x14ac:dyDescent="0.25">
      <c r="A250" t="s">
        <v>1250</v>
      </c>
      <c r="B250" s="6">
        <f t="shared" si="35"/>
        <v>4.6013333333333337</v>
      </c>
      <c r="C250" s="9">
        <f t="shared" si="36"/>
        <v>0.83333333333435178</v>
      </c>
      <c r="D250" s="8" t="str">
        <f t="shared" si="37"/>
        <v>W</v>
      </c>
      <c r="E250" s="3">
        <f t="shared" si="38"/>
        <v>33</v>
      </c>
      <c r="F250" s="3" t="str">
        <f t="shared" si="39"/>
        <v>ack</v>
      </c>
      <c r="G250" s="3" t="str">
        <f t="shared" si="40"/>
        <v>96</v>
      </c>
      <c r="H250" s="3" t="str">
        <f t="shared" si="41"/>
        <v/>
      </c>
      <c r="I250" s="3">
        <f t="shared" si="42"/>
        <v>150</v>
      </c>
      <c r="J250" s="5" t="str">
        <f>IF(E250=0,"Broadcast",IF(H250="",IF(I250="","",IF(I250&lt;128,"Connect "&amp;I250,INDEX(KdoCodeTab,MATCH(I250,KdoWertTab,0)))),"ReadStat "&amp;H250))</f>
        <v>RepSpaceCmd</v>
      </c>
      <c r="K250" t="str">
        <f t="shared" si="43"/>
        <v>RepSpaceCmd</v>
      </c>
      <c r="L250" t="str">
        <f t="shared" si="44"/>
        <v/>
      </c>
      <c r="M250" t="str">
        <f t="shared" si="45"/>
        <v/>
      </c>
    </row>
    <row r="251" spans="1:13" x14ac:dyDescent="0.25">
      <c r="A251" t="s">
        <v>1251</v>
      </c>
      <c r="B251" s="6">
        <f t="shared" si="35"/>
        <v>4.6399999999999997</v>
      </c>
      <c r="C251" s="9">
        <f t="shared" si="36"/>
        <v>38.666666666665961</v>
      </c>
      <c r="D251" s="8" t="str">
        <f t="shared" si="37"/>
        <v>W</v>
      </c>
      <c r="E251" s="3">
        <f t="shared" si="38"/>
        <v>33</v>
      </c>
      <c r="F251" s="3" t="str">
        <f t="shared" si="39"/>
        <v>ack</v>
      </c>
      <c r="G251" s="3" t="str">
        <f t="shared" si="40"/>
        <v>9C</v>
      </c>
      <c r="H251" s="3" t="str">
        <f t="shared" si="41"/>
        <v/>
      </c>
      <c r="I251" s="3">
        <f t="shared" si="42"/>
        <v>156</v>
      </c>
      <c r="J251" s="5" t="str">
        <f>IF(E251=0,"Broadcast",IF(H251="",IF(I251="","",IF(I251&lt;128,"Connect "&amp;I251,INDEX(KdoCodeTab,MATCH(I251,KdoWertTab,0)))),"ReadStat "&amp;H251))</f>
        <v>MarkCmd</v>
      </c>
      <c r="K251" t="str">
        <f t="shared" si="43"/>
        <v>MarkCmd</v>
      </c>
      <c r="L251" t="str">
        <f t="shared" si="44"/>
        <v/>
      </c>
      <c r="M251" t="str">
        <f t="shared" si="45"/>
        <v/>
      </c>
    </row>
    <row r="252" spans="1:13" x14ac:dyDescent="0.25">
      <c r="A252" t="s">
        <v>1252</v>
      </c>
      <c r="B252" s="6">
        <f t="shared" si="35"/>
        <v>4.6408333333333331</v>
      </c>
      <c r="C252" s="9">
        <f t="shared" si="36"/>
        <v>0.8333333333334636</v>
      </c>
      <c r="D252" s="8" t="str">
        <f t="shared" si="37"/>
        <v>W</v>
      </c>
      <c r="E252" s="3">
        <f t="shared" si="38"/>
        <v>33</v>
      </c>
      <c r="F252" s="3" t="str">
        <f t="shared" si="39"/>
        <v>ack</v>
      </c>
      <c r="G252" s="3" t="str">
        <f t="shared" si="40"/>
        <v>9A</v>
      </c>
      <c r="H252" s="3" t="str">
        <f t="shared" si="41"/>
        <v/>
      </c>
      <c r="I252" s="3">
        <f t="shared" si="42"/>
        <v>154</v>
      </c>
      <c r="J252" s="5" t="str">
        <f>IF(E252=0,"Broadcast",IF(H252="",IF(I252="","",IF(I252&lt;128,"Connect "&amp;I252,INDEX(KdoCodeTab,MATCH(I252,KdoWertTab,0)))),"ReadStat "&amp;H252))</f>
        <v>RepMarkCmd</v>
      </c>
      <c r="K252" t="str">
        <f t="shared" si="43"/>
        <v>RepMarkCmd</v>
      </c>
      <c r="L252" t="str">
        <f t="shared" si="44"/>
        <v/>
      </c>
      <c r="M252" t="str">
        <f t="shared" si="45"/>
        <v/>
      </c>
    </row>
    <row r="253" spans="1:13" x14ac:dyDescent="0.25">
      <c r="A253" t="s">
        <v>1253</v>
      </c>
      <c r="B253" s="6">
        <f t="shared" si="35"/>
        <v>4.660166666666667</v>
      </c>
      <c r="C253" s="9">
        <f t="shared" si="36"/>
        <v>19.333333333333869</v>
      </c>
      <c r="D253" s="8" t="str">
        <f t="shared" si="37"/>
        <v>W</v>
      </c>
      <c r="E253" s="3">
        <f t="shared" si="38"/>
        <v>33</v>
      </c>
      <c r="F253" s="3" t="str">
        <f t="shared" si="39"/>
        <v>ack</v>
      </c>
      <c r="G253" s="3" t="str">
        <f t="shared" si="40"/>
        <v>93</v>
      </c>
      <c r="H253" s="3" t="str">
        <f t="shared" si="41"/>
        <v/>
      </c>
      <c r="I253" s="3">
        <f t="shared" si="42"/>
        <v>147</v>
      </c>
      <c r="J253" s="5" t="str">
        <f>IF(E253=0,"Broadcast",IF(H253="",IF(I253="","",IF(I253&lt;128,"Connect "&amp;I253,INDEX(KdoCodeTab,MATCH(I253,KdoWertTab,0)))),"ReadStat "&amp;H253))</f>
        <v>SpaceCmd</v>
      </c>
      <c r="K253" t="str">
        <f t="shared" si="43"/>
        <v>SpaceCmd</v>
      </c>
      <c r="L253" t="str">
        <f t="shared" si="44"/>
        <v/>
      </c>
      <c r="M253" t="str">
        <f t="shared" si="45"/>
        <v/>
      </c>
    </row>
    <row r="254" spans="1:13" x14ac:dyDescent="0.25">
      <c r="A254" t="s">
        <v>1254</v>
      </c>
      <c r="B254" s="6">
        <f t="shared" si="35"/>
        <v>4.6609999999999996</v>
      </c>
      <c r="C254" s="9">
        <f t="shared" si="36"/>
        <v>0.83333333333257542</v>
      </c>
      <c r="D254" s="8" t="str">
        <f t="shared" si="37"/>
        <v>W</v>
      </c>
      <c r="E254" s="3">
        <f t="shared" si="38"/>
        <v>33</v>
      </c>
      <c r="F254" s="3" t="str">
        <f t="shared" si="39"/>
        <v>ack</v>
      </c>
      <c r="G254" s="3" t="str">
        <f t="shared" si="40"/>
        <v>96</v>
      </c>
      <c r="H254" s="3" t="str">
        <f t="shared" si="41"/>
        <v/>
      </c>
      <c r="I254" s="3">
        <f t="shared" si="42"/>
        <v>150</v>
      </c>
      <c r="J254" s="5" t="str">
        <f>IF(E254=0,"Broadcast",IF(H254="",IF(I254="","",IF(I254&lt;128,"Connect "&amp;I254,INDEX(KdoCodeTab,MATCH(I254,KdoWertTab,0)))),"ReadStat "&amp;H254))</f>
        <v>RepSpaceCmd</v>
      </c>
      <c r="K254" t="str">
        <f t="shared" si="43"/>
        <v>RepSpaceCmd</v>
      </c>
      <c r="L254" t="str">
        <f t="shared" si="44"/>
        <v/>
      </c>
      <c r="M254" t="str">
        <f t="shared" si="45"/>
        <v/>
      </c>
    </row>
    <row r="255" spans="1:13" x14ac:dyDescent="0.25">
      <c r="A255" t="s">
        <v>1255</v>
      </c>
      <c r="B255" s="6">
        <f t="shared" si="35"/>
        <v>4.6803333333333335</v>
      </c>
      <c r="C255" s="9">
        <f t="shared" si="36"/>
        <v>19.333333333333869</v>
      </c>
      <c r="D255" s="8" t="str">
        <f t="shared" si="37"/>
        <v>W</v>
      </c>
      <c r="E255" s="3">
        <f t="shared" si="38"/>
        <v>33</v>
      </c>
      <c r="F255" s="3" t="str">
        <f t="shared" si="39"/>
        <v>ack</v>
      </c>
      <c r="G255" s="3" t="str">
        <f t="shared" si="40"/>
        <v>9C</v>
      </c>
      <c r="H255" s="3" t="str">
        <f t="shared" si="41"/>
        <v/>
      </c>
      <c r="I255" s="3">
        <f t="shared" si="42"/>
        <v>156</v>
      </c>
      <c r="J255" s="5" t="str">
        <f>IF(E255=0,"Broadcast",IF(H255="",IF(I255="","",IF(I255&lt;128,"Connect "&amp;I255,INDEX(KdoCodeTab,MATCH(I255,KdoWertTab,0)))),"ReadStat "&amp;H255))</f>
        <v>MarkCmd</v>
      </c>
      <c r="K255" t="str">
        <f t="shared" si="43"/>
        <v>MarkCmd</v>
      </c>
      <c r="L255" t="str">
        <f t="shared" si="44"/>
        <v/>
      </c>
      <c r="M255" t="str">
        <f t="shared" si="45"/>
        <v/>
      </c>
    </row>
    <row r="256" spans="1:13" x14ac:dyDescent="0.25">
      <c r="A256" t="s">
        <v>1256</v>
      </c>
      <c r="B256" s="6">
        <f t="shared" si="35"/>
        <v>4.6811666666666669</v>
      </c>
      <c r="C256" s="9">
        <f t="shared" si="36"/>
        <v>0.8333333333334636</v>
      </c>
      <c r="D256" s="8" t="str">
        <f t="shared" si="37"/>
        <v>W</v>
      </c>
      <c r="E256" s="3">
        <f t="shared" si="38"/>
        <v>33</v>
      </c>
      <c r="F256" s="3" t="str">
        <f t="shared" si="39"/>
        <v>ack</v>
      </c>
      <c r="G256" s="3" t="str">
        <f t="shared" si="40"/>
        <v>9A</v>
      </c>
      <c r="H256" s="3" t="str">
        <f t="shared" si="41"/>
        <v/>
      </c>
      <c r="I256" s="3">
        <f t="shared" si="42"/>
        <v>154</v>
      </c>
      <c r="J256" s="5" t="str">
        <f>IF(E256=0,"Broadcast",IF(H256="",IF(I256="","",IF(I256&lt;128,"Connect "&amp;I256,INDEX(KdoCodeTab,MATCH(I256,KdoWertTab,0)))),"ReadStat "&amp;H256))</f>
        <v>RepMarkCmd</v>
      </c>
      <c r="K256" t="str">
        <f t="shared" si="43"/>
        <v>RepMarkCmd</v>
      </c>
      <c r="L256" t="str">
        <f t="shared" si="44"/>
        <v/>
      </c>
      <c r="M256" t="str">
        <f t="shared" si="45"/>
        <v/>
      </c>
    </row>
    <row r="257" spans="1:13" x14ac:dyDescent="0.25">
      <c r="A257" t="s">
        <v>1257</v>
      </c>
      <c r="B257" s="6">
        <f t="shared" si="35"/>
        <v>4.7004999999999999</v>
      </c>
      <c r="C257" s="9">
        <f t="shared" si="36"/>
        <v>19.33333333333298</v>
      </c>
      <c r="D257" s="8" t="str">
        <f t="shared" si="37"/>
        <v>W</v>
      </c>
      <c r="E257" s="3">
        <f t="shared" si="38"/>
        <v>33</v>
      </c>
      <c r="F257" s="3" t="str">
        <f t="shared" si="39"/>
        <v>ack</v>
      </c>
      <c r="G257" s="3" t="str">
        <f t="shared" si="40"/>
        <v>93</v>
      </c>
      <c r="H257" s="3" t="str">
        <f t="shared" si="41"/>
        <v/>
      </c>
      <c r="I257" s="3">
        <f t="shared" si="42"/>
        <v>147</v>
      </c>
      <c r="J257" s="5" t="str">
        <f>IF(E257=0,"Broadcast",IF(H257="",IF(I257="","",IF(I257&lt;128,"Connect "&amp;I257,INDEX(KdoCodeTab,MATCH(I257,KdoWertTab,0)))),"ReadStat "&amp;H257))</f>
        <v>SpaceCmd</v>
      </c>
      <c r="K257" t="str">
        <f t="shared" si="43"/>
        <v>SpaceCmd</v>
      </c>
      <c r="L257" t="str">
        <f t="shared" si="44"/>
        <v/>
      </c>
      <c r="M257" t="str">
        <f t="shared" si="45"/>
        <v/>
      </c>
    </row>
    <row r="258" spans="1:13" x14ac:dyDescent="0.25">
      <c r="A258" t="s">
        <v>1258</v>
      </c>
      <c r="B258" s="6">
        <f t="shared" si="35"/>
        <v>4.7013333333333334</v>
      </c>
      <c r="C258" s="9">
        <f t="shared" si="36"/>
        <v>0.8333333333334636</v>
      </c>
      <c r="D258" s="8" t="str">
        <f t="shared" si="37"/>
        <v>W</v>
      </c>
      <c r="E258" s="3">
        <f t="shared" si="38"/>
        <v>33</v>
      </c>
      <c r="F258" s="3" t="str">
        <f t="shared" si="39"/>
        <v>ack</v>
      </c>
      <c r="G258" s="3" t="str">
        <f t="shared" si="40"/>
        <v>96</v>
      </c>
      <c r="H258" s="3" t="str">
        <f t="shared" si="41"/>
        <v/>
      </c>
      <c r="I258" s="3">
        <f t="shared" si="42"/>
        <v>150</v>
      </c>
      <c r="J258" s="5" t="str">
        <f>IF(E258=0,"Broadcast",IF(H258="",IF(I258="","",IF(I258&lt;128,"Connect "&amp;I258,INDEX(KdoCodeTab,MATCH(I258,KdoWertTab,0)))),"ReadStat "&amp;H258))</f>
        <v>RepSpaceCmd</v>
      </c>
      <c r="K258" t="str">
        <f t="shared" si="43"/>
        <v>RepSpaceCmd</v>
      </c>
      <c r="L258" t="str">
        <f t="shared" si="44"/>
        <v/>
      </c>
      <c r="M258" t="str">
        <f t="shared" si="45"/>
        <v/>
      </c>
    </row>
    <row r="259" spans="1:13" x14ac:dyDescent="0.25">
      <c r="A259" t="s">
        <v>1259</v>
      </c>
      <c r="B259" s="6">
        <f t="shared" si="35"/>
        <v>4.7208333333333332</v>
      </c>
      <c r="C259" s="9">
        <f t="shared" si="36"/>
        <v>19.499999999999851</v>
      </c>
      <c r="D259" s="8" t="str">
        <f t="shared" si="37"/>
        <v>W</v>
      </c>
      <c r="E259" s="3">
        <f t="shared" si="38"/>
        <v>33</v>
      </c>
      <c r="F259" s="3" t="str">
        <f t="shared" si="39"/>
        <v>ack</v>
      </c>
      <c r="G259" s="3" t="str">
        <f t="shared" si="40"/>
        <v>9C</v>
      </c>
      <c r="H259" s="3" t="str">
        <f t="shared" si="41"/>
        <v/>
      </c>
      <c r="I259" s="3">
        <f t="shared" si="42"/>
        <v>156</v>
      </c>
      <c r="J259" s="5" t="str">
        <f>IF(E259=0,"Broadcast",IF(H259="",IF(I259="","",IF(I259&lt;128,"Connect "&amp;I259,INDEX(KdoCodeTab,MATCH(I259,KdoWertTab,0)))),"ReadStat "&amp;H259))</f>
        <v>MarkCmd</v>
      </c>
      <c r="K259" t="str">
        <f t="shared" si="43"/>
        <v>MarkCmd</v>
      </c>
      <c r="L259" t="str">
        <f t="shared" si="44"/>
        <v/>
      </c>
      <c r="M259" t="str">
        <f t="shared" si="45"/>
        <v/>
      </c>
    </row>
    <row r="260" spans="1:13" x14ac:dyDescent="0.25">
      <c r="A260" t="s">
        <v>1260</v>
      </c>
      <c r="B260" s="6">
        <f t="shared" si="35"/>
        <v>4.7216666666666667</v>
      </c>
      <c r="C260" s="9">
        <f t="shared" si="36"/>
        <v>0.8333333333334636</v>
      </c>
      <c r="D260" s="8" t="str">
        <f t="shared" si="37"/>
        <v>W</v>
      </c>
      <c r="E260" s="3">
        <f t="shared" si="38"/>
        <v>33</v>
      </c>
      <c r="F260" s="3" t="str">
        <f t="shared" si="39"/>
        <v>ack</v>
      </c>
      <c r="G260" s="3" t="str">
        <f t="shared" si="40"/>
        <v>9A</v>
      </c>
      <c r="H260" s="3" t="str">
        <f t="shared" si="41"/>
        <v/>
      </c>
      <c r="I260" s="3">
        <f t="shared" si="42"/>
        <v>154</v>
      </c>
      <c r="J260" s="5" t="str">
        <f>IF(E260=0,"Broadcast",IF(H260="",IF(I260="","",IF(I260&lt;128,"Connect "&amp;I260,INDEX(KdoCodeTab,MATCH(I260,KdoWertTab,0)))),"ReadStat "&amp;H260))</f>
        <v>RepMarkCmd</v>
      </c>
      <c r="K260" t="str">
        <f t="shared" si="43"/>
        <v>RepMarkCmd</v>
      </c>
      <c r="L260" t="str">
        <f t="shared" si="44"/>
        <v/>
      </c>
      <c r="M260" t="str">
        <f t="shared" si="45"/>
        <v/>
      </c>
    </row>
    <row r="261" spans="1:13" x14ac:dyDescent="0.25">
      <c r="A261" t="s">
        <v>1261</v>
      </c>
      <c r="B261" s="6">
        <f t="shared" ref="B261:B324" si="46">MID(A261,1,5)/1000+(CODE(MID(A261,6,1))-CODE("a"))/6000</f>
        <v>4.75</v>
      </c>
      <c r="C261" s="9">
        <f t="shared" ref="C261:C324" si="47">(B261-B260+IF(B261&gt;B260,0,11))*1000</f>
        <v>28.333333333333321</v>
      </c>
      <c r="D261" s="8" t="str">
        <f t="shared" ref="D261:D324" si="48">IF(MID(A261,10,1)="&lt;","R",IF(MID(A261,10,1)="&gt;","W","?"))</f>
        <v>W</v>
      </c>
      <c r="E261" s="3">
        <f t="shared" ref="E261:E324" si="49">INT(HEX2DEC(MID(A261,8,2))/2)</f>
        <v>33</v>
      </c>
      <c r="F261" s="3" t="str">
        <f t="shared" ref="F261:F324" si="50">IF(MID(A261,11,1)="+","ack","NACK")</f>
        <v>ack</v>
      </c>
      <c r="G261" s="3" t="str">
        <f t="shared" ref="G261:G324" si="51">IF(F261="ack",SUBSTITUTE(MID(A261,12,LEN(A261)-12),"+","  "),"")</f>
        <v>93</v>
      </c>
      <c r="H261" s="3" t="str">
        <f t="shared" ref="H261:H324" si="52">IF(MID(A261,10,2)="&lt;+",MID(A261,12,2),"")</f>
        <v/>
      </c>
      <c r="I261" s="3">
        <f t="shared" ref="I261:I324" si="53">IF(MID(A261,10,2)="&gt;+",HEX2DEC(MID(A261,12,2)),"")</f>
        <v>147</v>
      </c>
      <c r="J261" s="5" t="str">
        <f>IF(E261=0,"Broadcast",IF(H261="",IF(I261="","",IF(I261&lt;128,"Connect "&amp;I261,INDEX(KdoCodeTab,MATCH(I261,KdoWertTab,0)))),"ReadStat "&amp;H261))</f>
        <v>SpaceCmd</v>
      </c>
      <c r="K261" t="str">
        <f t="shared" ref="K261:K324" si="54">IF(E261=$K$2,J261,"")</f>
        <v>SpaceCmd</v>
      </c>
      <c r="L261" t="str">
        <f t="shared" ref="L261:L324" si="55">IF(E261=$L$2,J261,"")</f>
        <v/>
      </c>
      <c r="M261" t="str">
        <f t="shared" ref="M261:M324" si="56">IF(K261&amp;L261="",J261,"")</f>
        <v/>
      </c>
    </row>
    <row r="262" spans="1:13" x14ac:dyDescent="0.25">
      <c r="A262" t="s">
        <v>1262</v>
      </c>
      <c r="B262" s="6">
        <f t="shared" si="46"/>
        <v>4.7508333333333335</v>
      </c>
      <c r="C262" s="9">
        <f t="shared" si="47"/>
        <v>0.8333333333334636</v>
      </c>
      <c r="D262" s="8" t="str">
        <f t="shared" si="48"/>
        <v>W</v>
      </c>
      <c r="E262" s="3">
        <f t="shared" si="49"/>
        <v>33</v>
      </c>
      <c r="F262" s="3" t="str">
        <f t="shared" si="50"/>
        <v>ack</v>
      </c>
      <c r="G262" s="3" t="str">
        <f t="shared" si="51"/>
        <v>96</v>
      </c>
      <c r="H262" s="3" t="str">
        <f t="shared" si="52"/>
        <v/>
      </c>
      <c r="I262" s="3">
        <f t="shared" si="53"/>
        <v>150</v>
      </c>
      <c r="J262" s="5" t="str">
        <f>IF(E262=0,"Broadcast",IF(H262="",IF(I262="","",IF(I262&lt;128,"Connect "&amp;I262,INDEX(KdoCodeTab,MATCH(I262,KdoWertTab,0)))),"ReadStat "&amp;H262))</f>
        <v>RepSpaceCmd</v>
      </c>
      <c r="K262" t="str">
        <f t="shared" si="54"/>
        <v>RepSpaceCmd</v>
      </c>
      <c r="L262" t="str">
        <f t="shared" si="55"/>
        <v/>
      </c>
      <c r="M262" t="str">
        <f t="shared" si="56"/>
        <v/>
      </c>
    </row>
    <row r="263" spans="1:13" x14ac:dyDescent="0.25">
      <c r="A263" t="s">
        <v>1263</v>
      </c>
      <c r="B263" s="6">
        <f t="shared" si="46"/>
        <v>4.8104999999999993</v>
      </c>
      <c r="C263" s="9">
        <f t="shared" si="47"/>
        <v>59.666666666665868</v>
      </c>
      <c r="D263" s="8" t="str">
        <f t="shared" si="48"/>
        <v>W</v>
      </c>
      <c r="E263" s="3">
        <f t="shared" si="49"/>
        <v>33</v>
      </c>
      <c r="F263" s="3" t="str">
        <f t="shared" si="50"/>
        <v>ack</v>
      </c>
      <c r="G263" s="3" t="str">
        <f t="shared" si="51"/>
        <v>9C</v>
      </c>
      <c r="H263" s="3" t="str">
        <f t="shared" si="52"/>
        <v/>
      </c>
      <c r="I263" s="3">
        <f t="shared" si="53"/>
        <v>156</v>
      </c>
      <c r="J263" s="5" t="str">
        <f>IF(E263=0,"Broadcast",IF(H263="",IF(I263="","",IF(I263&lt;128,"Connect "&amp;I263,INDEX(KdoCodeTab,MATCH(I263,KdoWertTab,0)))),"ReadStat "&amp;H263))</f>
        <v>MarkCmd</v>
      </c>
      <c r="K263" t="str">
        <f t="shared" si="54"/>
        <v>MarkCmd</v>
      </c>
      <c r="L263" t="str">
        <f t="shared" si="55"/>
        <v/>
      </c>
      <c r="M263" t="str">
        <f t="shared" si="56"/>
        <v/>
      </c>
    </row>
    <row r="264" spans="1:13" x14ac:dyDescent="0.25">
      <c r="A264" t="s">
        <v>1264</v>
      </c>
      <c r="B264" s="6">
        <f t="shared" si="46"/>
        <v>4.8113333333333337</v>
      </c>
      <c r="C264" s="9">
        <f t="shared" si="47"/>
        <v>0.83333333333435178</v>
      </c>
      <c r="D264" s="8" t="str">
        <f t="shared" si="48"/>
        <v>W</v>
      </c>
      <c r="E264" s="3">
        <f t="shared" si="49"/>
        <v>33</v>
      </c>
      <c r="F264" s="3" t="str">
        <f t="shared" si="50"/>
        <v>ack</v>
      </c>
      <c r="G264" s="3" t="str">
        <f t="shared" si="51"/>
        <v>9A</v>
      </c>
      <c r="H264" s="3" t="str">
        <f t="shared" si="52"/>
        <v/>
      </c>
      <c r="I264" s="3">
        <f t="shared" si="53"/>
        <v>154</v>
      </c>
      <c r="J264" s="5" t="str">
        <f>IF(E264=0,"Broadcast",IF(H264="",IF(I264="","",IF(I264&lt;128,"Connect "&amp;I264,INDEX(KdoCodeTab,MATCH(I264,KdoWertTab,0)))),"ReadStat "&amp;H264))</f>
        <v>RepMarkCmd</v>
      </c>
      <c r="K264" t="str">
        <f t="shared" si="54"/>
        <v>RepMarkCmd</v>
      </c>
      <c r="L264" t="str">
        <f t="shared" si="55"/>
        <v/>
      </c>
      <c r="M264" t="str">
        <f t="shared" si="56"/>
        <v/>
      </c>
    </row>
    <row r="265" spans="1:13" x14ac:dyDescent="0.25">
      <c r="A265" t="s">
        <v>1265</v>
      </c>
      <c r="B265" s="6">
        <f t="shared" si="46"/>
        <v>4.8308333333333335</v>
      </c>
      <c r="C265" s="9">
        <f t="shared" si="47"/>
        <v>19.499999999999851</v>
      </c>
      <c r="D265" s="8" t="str">
        <f t="shared" si="48"/>
        <v>W</v>
      </c>
      <c r="E265" s="3">
        <f t="shared" si="49"/>
        <v>33</v>
      </c>
      <c r="F265" s="3" t="str">
        <f t="shared" si="50"/>
        <v>ack</v>
      </c>
      <c r="G265" s="3" t="str">
        <f t="shared" si="51"/>
        <v>93</v>
      </c>
      <c r="H265" s="3" t="str">
        <f t="shared" si="52"/>
        <v/>
      </c>
      <c r="I265" s="3">
        <f t="shared" si="53"/>
        <v>147</v>
      </c>
      <c r="J265" s="5" t="str">
        <f>IF(E265=0,"Broadcast",IF(H265="",IF(I265="","",IF(I265&lt;128,"Connect "&amp;I265,INDEX(KdoCodeTab,MATCH(I265,KdoWertTab,0)))),"ReadStat "&amp;H265))</f>
        <v>SpaceCmd</v>
      </c>
      <c r="K265" t="str">
        <f t="shared" si="54"/>
        <v>SpaceCmd</v>
      </c>
      <c r="L265" t="str">
        <f t="shared" si="55"/>
        <v/>
      </c>
      <c r="M265" t="str">
        <f t="shared" si="56"/>
        <v/>
      </c>
    </row>
    <row r="266" spans="1:13" x14ac:dyDescent="0.25">
      <c r="A266" t="s">
        <v>1266</v>
      </c>
      <c r="B266" s="6">
        <f t="shared" si="46"/>
        <v>4.831666666666667</v>
      </c>
      <c r="C266" s="9">
        <f t="shared" si="47"/>
        <v>0.8333333333334636</v>
      </c>
      <c r="D266" s="8" t="str">
        <f t="shared" si="48"/>
        <v>W</v>
      </c>
      <c r="E266" s="3">
        <f t="shared" si="49"/>
        <v>33</v>
      </c>
      <c r="F266" s="3" t="str">
        <f t="shared" si="50"/>
        <v>ack</v>
      </c>
      <c r="G266" s="3" t="str">
        <f t="shared" si="51"/>
        <v>96</v>
      </c>
      <c r="H266" s="3" t="str">
        <f t="shared" si="52"/>
        <v/>
      </c>
      <c r="I266" s="3">
        <f t="shared" si="53"/>
        <v>150</v>
      </c>
      <c r="J266" s="5" t="str">
        <f>IF(E266=0,"Broadcast",IF(H266="",IF(I266="","",IF(I266&lt;128,"Connect "&amp;I266,INDEX(KdoCodeTab,MATCH(I266,KdoWertTab,0)))),"ReadStat "&amp;H266))</f>
        <v>RepSpaceCmd</v>
      </c>
      <c r="K266" t="str">
        <f t="shared" si="54"/>
        <v>RepSpaceCmd</v>
      </c>
      <c r="L266" t="str">
        <f t="shared" si="55"/>
        <v/>
      </c>
      <c r="M266" t="str">
        <f t="shared" si="56"/>
        <v/>
      </c>
    </row>
    <row r="267" spans="1:13" x14ac:dyDescent="0.25">
      <c r="A267" t="s">
        <v>1267</v>
      </c>
      <c r="B267" s="6">
        <f t="shared" si="46"/>
        <v>4.8711666666666673</v>
      </c>
      <c r="C267" s="9">
        <f t="shared" si="47"/>
        <v>39.500000000000313</v>
      </c>
      <c r="D267" s="8" t="str">
        <f t="shared" si="48"/>
        <v>W</v>
      </c>
      <c r="E267" s="3">
        <f t="shared" si="49"/>
        <v>33</v>
      </c>
      <c r="F267" s="3" t="str">
        <f t="shared" si="50"/>
        <v>ack</v>
      </c>
      <c r="G267" s="3" t="str">
        <f t="shared" si="51"/>
        <v>9C</v>
      </c>
      <c r="H267" s="3" t="str">
        <f t="shared" si="52"/>
        <v/>
      </c>
      <c r="I267" s="3">
        <f t="shared" si="53"/>
        <v>156</v>
      </c>
      <c r="J267" s="5" t="str">
        <f>IF(E267=0,"Broadcast",IF(H267="",IF(I267="","",IF(I267&lt;128,"Connect "&amp;I267,INDEX(KdoCodeTab,MATCH(I267,KdoWertTab,0)))),"ReadStat "&amp;H267))</f>
        <v>MarkCmd</v>
      </c>
      <c r="K267" t="str">
        <f t="shared" si="54"/>
        <v>MarkCmd</v>
      </c>
      <c r="L267" t="str">
        <f t="shared" si="55"/>
        <v/>
      </c>
      <c r="M267" t="str">
        <f t="shared" si="56"/>
        <v/>
      </c>
    </row>
    <row r="268" spans="1:13" x14ac:dyDescent="0.25">
      <c r="A268" t="s">
        <v>1268</v>
      </c>
      <c r="B268" s="6">
        <f t="shared" si="46"/>
        <v>4.8719999999999999</v>
      </c>
      <c r="C268" s="9">
        <f t="shared" si="47"/>
        <v>0.83333333333257542</v>
      </c>
      <c r="D268" s="8" t="str">
        <f t="shared" si="48"/>
        <v>W</v>
      </c>
      <c r="E268" s="3">
        <f t="shared" si="49"/>
        <v>33</v>
      </c>
      <c r="F268" s="3" t="str">
        <f t="shared" si="50"/>
        <v>ack</v>
      </c>
      <c r="G268" s="3" t="str">
        <f t="shared" si="51"/>
        <v>9A</v>
      </c>
      <c r="H268" s="3" t="str">
        <f t="shared" si="52"/>
        <v/>
      </c>
      <c r="I268" s="3">
        <f t="shared" si="53"/>
        <v>154</v>
      </c>
      <c r="J268" s="5" t="str">
        <f>IF(E268=0,"Broadcast",IF(H268="",IF(I268="","",IF(I268&lt;128,"Connect "&amp;I268,INDEX(KdoCodeTab,MATCH(I268,KdoWertTab,0)))),"ReadStat "&amp;H268))</f>
        <v>RepMarkCmd</v>
      </c>
      <c r="K268" t="str">
        <f t="shared" si="54"/>
        <v>RepMarkCmd</v>
      </c>
      <c r="L268" t="str">
        <f t="shared" si="55"/>
        <v/>
      </c>
      <c r="M268" t="str">
        <f t="shared" si="56"/>
        <v/>
      </c>
    </row>
    <row r="269" spans="1:13" x14ac:dyDescent="0.25">
      <c r="A269" t="s">
        <v>1269</v>
      </c>
      <c r="B269" s="6">
        <f t="shared" si="46"/>
        <v>4.9005000000000001</v>
      </c>
      <c r="C269" s="9">
        <f t="shared" si="47"/>
        <v>28.500000000000192</v>
      </c>
      <c r="D269" s="8" t="str">
        <f t="shared" si="48"/>
        <v>W</v>
      </c>
      <c r="E269" s="3">
        <f t="shared" si="49"/>
        <v>33</v>
      </c>
      <c r="F269" s="3" t="str">
        <f t="shared" si="50"/>
        <v>ack</v>
      </c>
      <c r="G269" s="3" t="str">
        <f t="shared" si="51"/>
        <v>93</v>
      </c>
      <c r="H269" s="3" t="str">
        <f t="shared" si="52"/>
        <v/>
      </c>
      <c r="I269" s="3">
        <f t="shared" si="53"/>
        <v>147</v>
      </c>
      <c r="J269" s="5" t="str">
        <f>IF(E269=0,"Broadcast",IF(H269="",IF(I269="","",IF(I269&lt;128,"Connect "&amp;I269,INDEX(KdoCodeTab,MATCH(I269,KdoWertTab,0)))),"ReadStat "&amp;H269))</f>
        <v>SpaceCmd</v>
      </c>
      <c r="K269" t="str">
        <f t="shared" si="54"/>
        <v>SpaceCmd</v>
      </c>
      <c r="L269" t="str">
        <f t="shared" si="55"/>
        <v/>
      </c>
      <c r="M269" t="str">
        <f t="shared" si="56"/>
        <v/>
      </c>
    </row>
    <row r="270" spans="1:13" x14ac:dyDescent="0.25">
      <c r="A270" t="s">
        <v>1270</v>
      </c>
      <c r="B270" s="6">
        <f t="shared" si="46"/>
        <v>4.9014999999999995</v>
      </c>
      <c r="C270" s="9">
        <f t="shared" si="47"/>
        <v>0.99999999999944578</v>
      </c>
      <c r="D270" s="8" t="str">
        <f t="shared" si="48"/>
        <v>W</v>
      </c>
      <c r="E270" s="3">
        <f t="shared" si="49"/>
        <v>33</v>
      </c>
      <c r="F270" s="3" t="str">
        <f t="shared" si="50"/>
        <v>ack</v>
      </c>
      <c r="G270" s="3" t="str">
        <f t="shared" si="51"/>
        <v>96</v>
      </c>
      <c r="H270" s="3" t="str">
        <f t="shared" si="52"/>
        <v/>
      </c>
      <c r="I270" s="3">
        <f t="shared" si="53"/>
        <v>150</v>
      </c>
      <c r="J270" s="5" t="str">
        <f>IF(E270=0,"Broadcast",IF(H270="",IF(I270="","",IF(I270&lt;128,"Connect "&amp;I270,INDEX(KdoCodeTab,MATCH(I270,KdoWertTab,0)))),"ReadStat "&amp;H270))</f>
        <v>RepSpaceCmd</v>
      </c>
      <c r="K270" t="str">
        <f t="shared" si="54"/>
        <v>RepSpaceCmd</v>
      </c>
      <c r="L270" t="str">
        <f t="shared" si="55"/>
        <v/>
      </c>
      <c r="M270" t="str">
        <f t="shared" si="56"/>
        <v/>
      </c>
    </row>
    <row r="271" spans="1:13" x14ac:dyDescent="0.25">
      <c r="A271" t="s">
        <v>1271</v>
      </c>
      <c r="B271" s="6">
        <f t="shared" si="46"/>
        <v>4.9206666666666665</v>
      </c>
      <c r="C271" s="9">
        <f t="shared" si="47"/>
        <v>19.166666666666998</v>
      </c>
      <c r="D271" s="8" t="str">
        <f t="shared" si="48"/>
        <v>W</v>
      </c>
      <c r="E271" s="3">
        <f t="shared" si="49"/>
        <v>33</v>
      </c>
      <c r="F271" s="3" t="str">
        <f t="shared" si="50"/>
        <v>ack</v>
      </c>
      <c r="G271" s="3" t="str">
        <f t="shared" si="51"/>
        <v>9C</v>
      </c>
      <c r="H271" s="3" t="str">
        <f t="shared" si="52"/>
        <v/>
      </c>
      <c r="I271" s="3">
        <f t="shared" si="53"/>
        <v>156</v>
      </c>
      <c r="J271" s="5" t="str">
        <f>IF(E271=0,"Broadcast",IF(H271="",IF(I271="","",IF(I271&lt;128,"Connect "&amp;I271,INDEX(KdoCodeTab,MATCH(I271,KdoWertTab,0)))),"ReadStat "&amp;H271))</f>
        <v>MarkCmd</v>
      </c>
      <c r="K271" t="str">
        <f t="shared" si="54"/>
        <v>MarkCmd</v>
      </c>
      <c r="L271" t="str">
        <f t="shared" si="55"/>
        <v/>
      </c>
      <c r="M271" t="str">
        <f t="shared" si="56"/>
        <v/>
      </c>
    </row>
    <row r="272" spans="1:13" x14ac:dyDescent="0.25">
      <c r="A272" t="s">
        <v>1272</v>
      </c>
      <c r="B272" s="6">
        <f t="shared" si="46"/>
        <v>4.9216666666666669</v>
      </c>
      <c r="C272" s="9">
        <f t="shared" si="47"/>
        <v>1.000000000000334</v>
      </c>
      <c r="D272" s="8" t="str">
        <f t="shared" si="48"/>
        <v>W</v>
      </c>
      <c r="E272" s="3">
        <f t="shared" si="49"/>
        <v>33</v>
      </c>
      <c r="F272" s="3" t="str">
        <f t="shared" si="50"/>
        <v>ack</v>
      </c>
      <c r="G272" s="3" t="str">
        <f t="shared" si="51"/>
        <v>9A</v>
      </c>
      <c r="H272" s="3" t="str">
        <f t="shared" si="52"/>
        <v/>
      </c>
      <c r="I272" s="3">
        <f t="shared" si="53"/>
        <v>154</v>
      </c>
      <c r="J272" s="5" t="str">
        <f>IF(E272=0,"Broadcast",IF(H272="",IF(I272="","",IF(I272&lt;128,"Connect "&amp;I272,INDEX(KdoCodeTab,MATCH(I272,KdoWertTab,0)))),"ReadStat "&amp;H272))</f>
        <v>RepMarkCmd</v>
      </c>
      <c r="K272" t="str">
        <f t="shared" si="54"/>
        <v>RepMarkCmd</v>
      </c>
      <c r="L272" t="str">
        <f t="shared" si="55"/>
        <v/>
      </c>
      <c r="M272" t="str">
        <f t="shared" si="56"/>
        <v/>
      </c>
    </row>
    <row r="273" spans="1:13" x14ac:dyDescent="0.25">
      <c r="A273" t="s">
        <v>1273</v>
      </c>
      <c r="B273" s="6">
        <f t="shared" si="46"/>
        <v>5.05</v>
      </c>
      <c r="C273" s="9">
        <f t="shared" si="47"/>
        <v>128.33333333333297</v>
      </c>
      <c r="D273" s="8" t="str">
        <f t="shared" si="48"/>
        <v>W</v>
      </c>
      <c r="E273" s="3">
        <f t="shared" si="49"/>
        <v>33</v>
      </c>
      <c r="F273" s="3" t="str">
        <f t="shared" si="50"/>
        <v>ack</v>
      </c>
      <c r="G273" s="3" t="str">
        <f t="shared" si="51"/>
        <v>93</v>
      </c>
      <c r="H273" s="3" t="str">
        <f t="shared" si="52"/>
        <v/>
      </c>
      <c r="I273" s="3">
        <f t="shared" si="53"/>
        <v>147</v>
      </c>
      <c r="J273" s="5" t="str">
        <f>IF(E273=0,"Broadcast",IF(H273="",IF(I273="","",IF(I273&lt;128,"Connect "&amp;I273,INDEX(KdoCodeTab,MATCH(I273,KdoWertTab,0)))),"ReadStat "&amp;H273))</f>
        <v>SpaceCmd</v>
      </c>
      <c r="K273" t="str">
        <f t="shared" si="54"/>
        <v>SpaceCmd</v>
      </c>
      <c r="L273" t="str">
        <f t="shared" si="55"/>
        <v/>
      </c>
      <c r="M273" t="str">
        <f t="shared" si="56"/>
        <v/>
      </c>
    </row>
    <row r="274" spans="1:13" x14ac:dyDescent="0.25">
      <c r="A274" t="s">
        <v>1274</v>
      </c>
      <c r="B274" s="6">
        <f t="shared" si="46"/>
        <v>5.0508333333333333</v>
      </c>
      <c r="C274" s="9">
        <f t="shared" si="47"/>
        <v>0.8333333333334636</v>
      </c>
      <c r="D274" s="8" t="str">
        <f t="shared" si="48"/>
        <v>W</v>
      </c>
      <c r="E274" s="3">
        <f t="shared" si="49"/>
        <v>31</v>
      </c>
      <c r="F274" s="3" t="str">
        <f t="shared" si="50"/>
        <v>ack</v>
      </c>
      <c r="G274" s="3" t="str">
        <f t="shared" si="51"/>
        <v>A9</v>
      </c>
      <c r="H274" s="3" t="str">
        <f t="shared" si="52"/>
        <v/>
      </c>
      <c r="I274" s="3">
        <f t="shared" si="53"/>
        <v>169</v>
      </c>
      <c r="J274" s="5" t="str">
        <f>IF(E274=0,"Broadcast",IF(H274="",IF(I274="","",IF(I274&lt;128,"Connect "&amp;I274,INDEX(KdoCodeTab,MATCH(I274,KdoWertTab,0)))),"ReadStat "&amp;H274))</f>
        <v>Heartbeat</v>
      </c>
      <c r="K274" t="str">
        <f t="shared" si="54"/>
        <v/>
      </c>
      <c r="L274" t="str">
        <f t="shared" si="55"/>
        <v>Heartbeat</v>
      </c>
      <c r="M274" t="str">
        <f t="shared" si="56"/>
        <v/>
      </c>
    </row>
    <row r="275" spans="1:13" x14ac:dyDescent="0.25">
      <c r="A275" t="s">
        <v>1275</v>
      </c>
      <c r="B275" s="6">
        <f t="shared" si="46"/>
        <v>5.0514999999999999</v>
      </c>
      <c r="C275" s="9">
        <f t="shared" si="47"/>
        <v>0.66666666666659324</v>
      </c>
      <c r="D275" s="8" t="str">
        <f t="shared" si="48"/>
        <v>W</v>
      </c>
      <c r="E275" s="3">
        <f t="shared" si="49"/>
        <v>33</v>
      </c>
      <c r="F275" s="3" t="str">
        <f t="shared" si="50"/>
        <v>ack</v>
      </c>
      <c r="G275" s="3" t="str">
        <f t="shared" si="51"/>
        <v>96</v>
      </c>
      <c r="H275" s="3" t="str">
        <f t="shared" si="52"/>
        <v/>
      </c>
      <c r="I275" s="3">
        <f t="shared" si="53"/>
        <v>150</v>
      </c>
      <c r="J275" s="5" t="str">
        <f>IF(E275=0,"Broadcast",IF(H275="",IF(I275="","",IF(I275&lt;128,"Connect "&amp;I275,INDEX(KdoCodeTab,MATCH(I275,KdoWertTab,0)))),"ReadStat "&amp;H275))</f>
        <v>RepSpaceCmd</v>
      </c>
      <c r="K275" t="str">
        <f t="shared" si="54"/>
        <v>RepSpaceCmd</v>
      </c>
      <c r="L275" t="str">
        <f t="shared" si="55"/>
        <v/>
      </c>
      <c r="M275" t="str">
        <f t="shared" si="56"/>
        <v/>
      </c>
    </row>
    <row r="276" spans="1:13" x14ac:dyDescent="0.25">
      <c r="A276" t="s">
        <v>1276</v>
      </c>
      <c r="B276" s="6">
        <f t="shared" si="46"/>
        <v>5.0523333333333333</v>
      </c>
      <c r="C276" s="9">
        <f t="shared" si="47"/>
        <v>0.8333333333334636</v>
      </c>
      <c r="D276" s="8" t="str">
        <f t="shared" si="48"/>
        <v>W</v>
      </c>
      <c r="E276" s="3">
        <f t="shared" si="49"/>
        <v>33</v>
      </c>
      <c r="F276" s="3" t="str">
        <f t="shared" si="50"/>
        <v>ack</v>
      </c>
      <c r="G276" s="3" t="str">
        <f t="shared" si="51"/>
        <v>A9</v>
      </c>
      <c r="H276" s="3" t="str">
        <f t="shared" si="52"/>
        <v/>
      </c>
      <c r="I276" s="3">
        <f t="shared" si="53"/>
        <v>169</v>
      </c>
      <c r="J276" s="5" t="str">
        <f>IF(E276=0,"Broadcast",IF(H276="",IF(I276="","",IF(I276&lt;128,"Connect "&amp;I276,INDEX(KdoCodeTab,MATCH(I276,KdoWertTab,0)))),"ReadStat "&amp;H276))</f>
        <v>Heartbeat</v>
      </c>
      <c r="K276" t="str">
        <f t="shared" si="54"/>
        <v>Heartbeat</v>
      </c>
      <c r="L276" t="str">
        <f t="shared" si="55"/>
        <v/>
      </c>
      <c r="M276" t="str">
        <f t="shared" si="56"/>
        <v/>
      </c>
    </row>
    <row r="277" spans="1:13" x14ac:dyDescent="0.25">
      <c r="A277" t="s">
        <v>1277</v>
      </c>
      <c r="B277" s="6">
        <f t="shared" si="46"/>
        <v>5.1106666666666669</v>
      </c>
      <c r="C277" s="9">
        <f t="shared" si="47"/>
        <v>58.33333333333357</v>
      </c>
      <c r="D277" s="8" t="str">
        <f t="shared" si="48"/>
        <v>W</v>
      </c>
      <c r="E277" s="3">
        <f t="shared" si="49"/>
        <v>33</v>
      </c>
      <c r="F277" s="3" t="str">
        <f t="shared" si="50"/>
        <v>ack</v>
      </c>
      <c r="G277" s="3" t="str">
        <f t="shared" si="51"/>
        <v>9C</v>
      </c>
      <c r="H277" s="3" t="str">
        <f t="shared" si="52"/>
        <v/>
      </c>
      <c r="I277" s="3">
        <f t="shared" si="53"/>
        <v>156</v>
      </c>
      <c r="J277" s="5" t="str">
        <f>IF(E277=0,"Broadcast",IF(H277="",IF(I277="","",IF(I277&lt;128,"Connect "&amp;I277,INDEX(KdoCodeTab,MATCH(I277,KdoWertTab,0)))),"ReadStat "&amp;H277))</f>
        <v>MarkCmd</v>
      </c>
      <c r="K277" t="str">
        <f t="shared" si="54"/>
        <v>MarkCmd</v>
      </c>
      <c r="L277" t="str">
        <f t="shared" si="55"/>
        <v/>
      </c>
      <c r="M277" t="str">
        <f t="shared" si="56"/>
        <v/>
      </c>
    </row>
    <row r="278" spans="1:13" x14ac:dyDescent="0.25">
      <c r="A278" t="s">
        <v>1278</v>
      </c>
      <c r="B278" s="6">
        <f t="shared" si="46"/>
        <v>5.1114999999999995</v>
      </c>
      <c r="C278" s="9">
        <f t="shared" si="47"/>
        <v>0.83333333333257542</v>
      </c>
      <c r="D278" s="8" t="str">
        <f t="shared" si="48"/>
        <v>W</v>
      </c>
      <c r="E278" s="3">
        <f t="shared" si="49"/>
        <v>33</v>
      </c>
      <c r="F278" s="3" t="str">
        <f t="shared" si="50"/>
        <v>ack</v>
      </c>
      <c r="G278" s="3" t="str">
        <f t="shared" si="51"/>
        <v>9A</v>
      </c>
      <c r="H278" s="3" t="str">
        <f t="shared" si="52"/>
        <v/>
      </c>
      <c r="I278" s="3">
        <f t="shared" si="53"/>
        <v>154</v>
      </c>
      <c r="J278" s="5" t="str">
        <f>IF(E278=0,"Broadcast",IF(H278="",IF(I278="","",IF(I278&lt;128,"Connect "&amp;I278,INDEX(KdoCodeTab,MATCH(I278,KdoWertTab,0)))),"ReadStat "&amp;H278))</f>
        <v>RepMarkCmd</v>
      </c>
      <c r="K278" t="str">
        <f t="shared" si="54"/>
        <v>RepMarkCmd</v>
      </c>
      <c r="L278" t="str">
        <f t="shared" si="55"/>
        <v/>
      </c>
      <c r="M278" t="str">
        <f t="shared" si="56"/>
        <v/>
      </c>
    </row>
    <row r="279" spans="1:13" x14ac:dyDescent="0.25">
      <c r="A279" t="s">
        <v>1279</v>
      </c>
      <c r="B279" s="6">
        <f t="shared" si="46"/>
        <v>5.1308333333333334</v>
      </c>
      <c r="C279" s="9">
        <f t="shared" si="47"/>
        <v>19.333333333333869</v>
      </c>
      <c r="D279" s="8" t="str">
        <f t="shared" si="48"/>
        <v>W</v>
      </c>
      <c r="E279" s="3">
        <f t="shared" si="49"/>
        <v>33</v>
      </c>
      <c r="F279" s="3" t="str">
        <f t="shared" si="50"/>
        <v>ack</v>
      </c>
      <c r="G279" s="3" t="str">
        <f t="shared" si="51"/>
        <v>93</v>
      </c>
      <c r="H279" s="3" t="str">
        <f t="shared" si="52"/>
        <v/>
      </c>
      <c r="I279" s="3">
        <f t="shared" si="53"/>
        <v>147</v>
      </c>
      <c r="J279" s="5" t="str">
        <f>IF(E279=0,"Broadcast",IF(H279="",IF(I279="","",IF(I279&lt;128,"Connect "&amp;I279,INDEX(KdoCodeTab,MATCH(I279,KdoWertTab,0)))),"ReadStat "&amp;H279))</f>
        <v>SpaceCmd</v>
      </c>
      <c r="K279" t="str">
        <f t="shared" si="54"/>
        <v>SpaceCmd</v>
      </c>
      <c r="L279" t="str">
        <f t="shared" si="55"/>
        <v/>
      </c>
      <c r="M279" t="str">
        <f t="shared" si="56"/>
        <v/>
      </c>
    </row>
    <row r="280" spans="1:13" x14ac:dyDescent="0.25">
      <c r="A280" t="s">
        <v>1280</v>
      </c>
      <c r="B280" s="6">
        <f t="shared" si="46"/>
        <v>5.1318333333333337</v>
      </c>
      <c r="C280" s="9">
        <f t="shared" si="47"/>
        <v>1.000000000000334</v>
      </c>
      <c r="D280" s="8" t="str">
        <f t="shared" si="48"/>
        <v>W</v>
      </c>
      <c r="E280" s="3">
        <f t="shared" si="49"/>
        <v>33</v>
      </c>
      <c r="F280" s="3" t="str">
        <f t="shared" si="50"/>
        <v>ack</v>
      </c>
      <c r="G280" s="3" t="str">
        <f t="shared" si="51"/>
        <v>96</v>
      </c>
      <c r="H280" s="3" t="str">
        <f t="shared" si="52"/>
        <v/>
      </c>
      <c r="I280" s="3">
        <f t="shared" si="53"/>
        <v>150</v>
      </c>
      <c r="J280" s="5" t="str">
        <f>IF(E280=0,"Broadcast",IF(H280="",IF(I280="","",IF(I280&lt;128,"Connect "&amp;I280,INDEX(KdoCodeTab,MATCH(I280,KdoWertTab,0)))),"ReadStat "&amp;H280))</f>
        <v>RepSpaceCmd</v>
      </c>
      <c r="K280" t="str">
        <f t="shared" si="54"/>
        <v>RepSpaceCmd</v>
      </c>
      <c r="L280" t="str">
        <f t="shared" si="55"/>
        <v/>
      </c>
      <c r="M280" t="str">
        <f t="shared" si="56"/>
        <v/>
      </c>
    </row>
    <row r="281" spans="1:13" x14ac:dyDescent="0.25">
      <c r="A281" t="s">
        <v>1281</v>
      </c>
      <c r="B281" s="6">
        <f t="shared" si="46"/>
        <v>5.15</v>
      </c>
      <c r="C281" s="9">
        <f t="shared" si="47"/>
        <v>18.166666666666664</v>
      </c>
      <c r="D281" s="8" t="str">
        <f t="shared" si="48"/>
        <v>W</v>
      </c>
      <c r="E281" s="3">
        <f t="shared" si="49"/>
        <v>33</v>
      </c>
      <c r="F281" s="3" t="str">
        <f t="shared" si="50"/>
        <v>ack</v>
      </c>
      <c r="G281" s="3" t="str">
        <f t="shared" si="51"/>
        <v>9C</v>
      </c>
      <c r="H281" s="3" t="str">
        <f t="shared" si="52"/>
        <v/>
      </c>
      <c r="I281" s="3">
        <f t="shared" si="53"/>
        <v>156</v>
      </c>
      <c r="J281" s="5" t="str">
        <f>IF(E281=0,"Broadcast",IF(H281="",IF(I281="","",IF(I281&lt;128,"Connect "&amp;I281,INDEX(KdoCodeTab,MATCH(I281,KdoWertTab,0)))),"ReadStat "&amp;H281))</f>
        <v>MarkCmd</v>
      </c>
      <c r="K281" t="str">
        <f t="shared" si="54"/>
        <v>MarkCmd</v>
      </c>
      <c r="L281" t="str">
        <f t="shared" si="55"/>
        <v/>
      </c>
      <c r="M281" t="str">
        <f t="shared" si="56"/>
        <v/>
      </c>
    </row>
    <row r="282" spans="1:13" x14ac:dyDescent="0.25">
      <c r="A282" t="s">
        <v>1282</v>
      </c>
      <c r="B282" s="6">
        <f t="shared" si="46"/>
        <v>5.1509999999999998</v>
      </c>
      <c r="C282" s="9">
        <f t="shared" si="47"/>
        <v>0.99999999999944578</v>
      </c>
      <c r="D282" s="8" t="str">
        <f t="shared" si="48"/>
        <v>W</v>
      </c>
      <c r="E282" s="3">
        <f t="shared" si="49"/>
        <v>33</v>
      </c>
      <c r="F282" s="3" t="str">
        <f t="shared" si="50"/>
        <v>ack</v>
      </c>
      <c r="G282" s="3" t="str">
        <f t="shared" si="51"/>
        <v>9A</v>
      </c>
      <c r="H282" s="3" t="str">
        <f t="shared" si="52"/>
        <v/>
      </c>
      <c r="I282" s="3">
        <f t="shared" si="53"/>
        <v>154</v>
      </c>
      <c r="J282" s="5" t="str">
        <f>IF(E282=0,"Broadcast",IF(H282="",IF(I282="","",IF(I282&lt;128,"Connect "&amp;I282,INDEX(KdoCodeTab,MATCH(I282,KdoWertTab,0)))),"ReadStat "&amp;H282))</f>
        <v>RepMarkCmd</v>
      </c>
      <c r="K282" t="str">
        <f t="shared" si="54"/>
        <v>RepMarkCmd</v>
      </c>
      <c r="L282" t="str">
        <f t="shared" si="55"/>
        <v/>
      </c>
      <c r="M282" t="str">
        <f t="shared" si="56"/>
        <v/>
      </c>
    </row>
    <row r="283" spans="1:13" x14ac:dyDescent="0.25">
      <c r="A283" t="s">
        <v>1283</v>
      </c>
      <c r="B283" s="6">
        <f t="shared" si="46"/>
        <v>5.2004999999999999</v>
      </c>
      <c r="C283" s="9">
        <f t="shared" si="47"/>
        <v>49.500000000000099</v>
      </c>
      <c r="D283" s="8" t="str">
        <f t="shared" si="48"/>
        <v>W</v>
      </c>
      <c r="E283" s="3">
        <f t="shared" si="49"/>
        <v>33</v>
      </c>
      <c r="F283" s="3" t="str">
        <f t="shared" si="50"/>
        <v>ack</v>
      </c>
      <c r="G283" s="3" t="str">
        <f t="shared" si="51"/>
        <v>93</v>
      </c>
      <c r="H283" s="3" t="str">
        <f t="shared" si="52"/>
        <v/>
      </c>
      <c r="I283" s="3">
        <f t="shared" si="53"/>
        <v>147</v>
      </c>
      <c r="J283" s="5" t="str">
        <f>IF(E283=0,"Broadcast",IF(H283="",IF(I283="","",IF(I283&lt;128,"Connect "&amp;I283,INDEX(KdoCodeTab,MATCH(I283,KdoWertTab,0)))),"ReadStat "&amp;H283))</f>
        <v>SpaceCmd</v>
      </c>
      <c r="K283" t="str">
        <f t="shared" si="54"/>
        <v>SpaceCmd</v>
      </c>
      <c r="L283" t="str">
        <f t="shared" si="55"/>
        <v/>
      </c>
      <c r="M283" t="str">
        <f t="shared" si="56"/>
        <v/>
      </c>
    </row>
    <row r="284" spans="1:13" x14ac:dyDescent="0.25">
      <c r="A284" t="s">
        <v>1284</v>
      </c>
      <c r="B284" s="6">
        <f t="shared" si="46"/>
        <v>5.2014999999999993</v>
      </c>
      <c r="C284" s="9">
        <f t="shared" si="47"/>
        <v>0.99999999999944578</v>
      </c>
      <c r="D284" s="8" t="str">
        <f t="shared" si="48"/>
        <v>W</v>
      </c>
      <c r="E284" s="3">
        <f t="shared" si="49"/>
        <v>33</v>
      </c>
      <c r="F284" s="3" t="str">
        <f t="shared" si="50"/>
        <v>ack</v>
      </c>
      <c r="G284" s="3" t="str">
        <f t="shared" si="51"/>
        <v>96</v>
      </c>
      <c r="H284" s="3" t="str">
        <f t="shared" si="52"/>
        <v/>
      </c>
      <c r="I284" s="3">
        <f t="shared" si="53"/>
        <v>150</v>
      </c>
      <c r="J284" s="5" t="str">
        <f>IF(E284=0,"Broadcast",IF(H284="",IF(I284="","",IF(I284&lt;128,"Connect "&amp;I284,INDEX(KdoCodeTab,MATCH(I284,KdoWertTab,0)))),"ReadStat "&amp;H284))</f>
        <v>RepSpaceCmd</v>
      </c>
      <c r="K284" t="str">
        <f t="shared" si="54"/>
        <v>RepSpaceCmd</v>
      </c>
      <c r="L284" t="str">
        <f t="shared" si="55"/>
        <v/>
      </c>
      <c r="M284" t="str">
        <f t="shared" si="56"/>
        <v/>
      </c>
    </row>
    <row r="285" spans="1:13" x14ac:dyDescent="0.25">
      <c r="A285" t="s">
        <v>1285</v>
      </c>
      <c r="B285" s="6">
        <f t="shared" si="46"/>
        <v>5.2206666666666663</v>
      </c>
      <c r="C285" s="9">
        <f t="shared" si="47"/>
        <v>19.166666666666998</v>
      </c>
      <c r="D285" s="8" t="str">
        <f t="shared" si="48"/>
        <v>W</v>
      </c>
      <c r="E285" s="3">
        <f t="shared" si="49"/>
        <v>33</v>
      </c>
      <c r="F285" s="3" t="str">
        <f t="shared" si="50"/>
        <v>ack</v>
      </c>
      <c r="G285" s="3" t="str">
        <f t="shared" si="51"/>
        <v>9C</v>
      </c>
      <c r="H285" s="3" t="str">
        <f t="shared" si="52"/>
        <v/>
      </c>
      <c r="I285" s="3">
        <f t="shared" si="53"/>
        <v>156</v>
      </c>
      <c r="J285" s="5" t="str">
        <f>IF(E285=0,"Broadcast",IF(H285="",IF(I285="","",IF(I285&lt;128,"Connect "&amp;I285,INDEX(KdoCodeTab,MATCH(I285,KdoWertTab,0)))),"ReadStat "&amp;H285))</f>
        <v>MarkCmd</v>
      </c>
      <c r="K285" t="str">
        <f t="shared" si="54"/>
        <v>MarkCmd</v>
      </c>
      <c r="L285" t="str">
        <f t="shared" si="55"/>
        <v/>
      </c>
      <c r="M285" t="str">
        <f t="shared" si="56"/>
        <v/>
      </c>
    </row>
    <row r="286" spans="1:13" x14ac:dyDescent="0.25">
      <c r="A286" t="s">
        <v>1286</v>
      </c>
      <c r="B286" s="6">
        <f t="shared" si="46"/>
        <v>5.2216666666666667</v>
      </c>
      <c r="C286" s="9">
        <f t="shared" si="47"/>
        <v>1.000000000000334</v>
      </c>
      <c r="D286" s="8" t="str">
        <f t="shared" si="48"/>
        <v>W</v>
      </c>
      <c r="E286" s="3">
        <f t="shared" si="49"/>
        <v>33</v>
      </c>
      <c r="F286" s="3" t="str">
        <f t="shared" si="50"/>
        <v>ack</v>
      </c>
      <c r="G286" s="3" t="str">
        <f t="shared" si="51"/>
        <v>9A</v>
      </c>
      <c r="H286" s="3" t="str">
        <f t="shared" si="52"/>
        <v/>
      </c>
      <c r="I286" s="3">
        <f t="shared" si="53"/>
        <v>154</v>
      </c>
      <c r="J286" s="5" t="str">
        <f>IF(E286=0,"Broadcast",IF(H286="",IF(I286="","",IF(I286&lt;128,"Connect "&amp;I286,INDEX(KdoCodeTab,MATCH(I286,KdoWertTab,0)))),"ReadStat "&amp;H286))</f>
        <v>RepMarkCmd</v>
      </c>
      <c r="K286" t="str">
        <f t="shared" si="54"/>
        <v>RepMarkCmd</v>
      </c>
      <c r="L286" t="str">
        <f t="shared" si="55"/>
        <v/>
      </c>
      <c r="M286" t="str">
        <f t="shared" si="56"/>
        <v/>
      </c>
    </row>
    <row r="287" spans="1:13" x14ac:dyDescent="0.25">
      <c r="A287" t="s">
        <v>1287</v>
      </c>
      <c r="B287" s="6">
        <f t="shared" si="46"/>
        <v>5.261166666666667</v>
      </c>
      <c r="C287" s="9">
        <f t="shared" si="47"/>
        <v>39.500000000000313</v>
      </c>
      <c r="D287" s="8" t="str">
        <f t="shared" si="48"/>
        <v>W</v>
      </c>
      <c r="E287" s="3">
        <f t="shared" si="49"/>
        <v>33</v>
      </c>
      <c r="F287" s="3" t="str">
        <f t="shared" si="50"/>
        <v>ack</v>
      </c>
      <c r="G287" s="3" t="str">
        <f t="shared" si="51"/>
        <v>93</v>
      </c>
      <c r="H287" s="3" t="str">
        <f t="shared" si="52"/>
        <v/>
      </c>
      <c r="I287" s="3">
        <f t="shared" si="53"/>
        <v>147</v>
      </c>
      <c r="J287" s="5" t="str">
        <f>IF(E287=0,"Broadcast",IF(H287="",IF(I287="","",IF(I287&lt;128,"Connect "&amp;I287,INDEX(KdoCodeTab,MATCH(I287,KdoWertTab,0)))),"ReadStat "&amp;H287))</f>
        <v>SpaceCmd</v>
      </c>
      <c r="K287" t="str">
        <f t="shared" si="54"/>
        <v>SpaceCmd</v>
      </c>
      <c r="L287" t="str">
        <f t="shared" si="55"/>
        <v/>
      </c>
      <c r="M287" t="str">
        <f t="shared" si="56"/>
        <v/>
      </c>
    </row>
    <row r="288" spans="1:13" x14ac:dyDescent="0.25">
      <c r="A288" t="s">
        <v>1288</v>
      </c>
      <c r="B288" s="6">
        <f t="shared" si="46"/>
        <v>5.2621666666666664</v>
      </c>
      <c r="C288" s="9">
        <f t="shared" si="47"/>
        <v>0.99999999999944578</v>
      </c>
      <c r="D288" s="8" t="str">
        <f t="shared" si="48"/>
        <v>W</v>
      </c>
      <c r="E288" s="3">
        <f t="shared" si="49"/>
        <v>33</v>
      </c>
      <c r="F288" s="3" t="str">
        <f t="shared" si="50"/>
        <v>ack</v>
      </c>
      <c r="G288" s="3" t="str">
        <f t="shared" si="51"/>
        <v>96</v>
      </c>
      <c r="H288" s="3" t="str">
        <f t="shared" si="52"/>
        <v/>
      </c>
      <c r="I288" s="3">
        <f t="shared" si="53"/>
        <v>150</v>
      </c>
      <c r="J288" s="5" t="str">
        <f>IF(E288=0,"Broadcast",IF(H288="",IF(I288="","",IF(I288&lt;128,"Connect "&amp;I288,INDEX(KdoCodeTab,MATCH(I288,KdoWertTab,0)))),"ReadStat "&amp;H288))</f>
        <v>RepSpaceCmd</v>
      </c>
      <c r="K288" t="str">
        <f t="shared" si="54"/>
        <v>RepSpaceCmd</v>
      </c>
      <c r="L288" t="str">
        <f t="shared" si="55"/>
        <v/>
      </c>
      <c r="M288" t="str">
        <f t="shared" si="56"/>
        <v/>
      </c>
    </row>
    <row r="289" spans="1:13" x14ac:dyDescent="0.25">
      <c r="A289" t="s">
        <v>1289</v>
      </c>
      <c r="B289" s="6">
        <f t="shared" si="46"/>
        <v>5.3208333333333337</v>
      </c>
      <c r="C289" s="9">
        <f t="shared" si="47"/>
        <v>58.666666666667311</v>
      </c>
      <c r="D289" s="8" t="str">
        <f t="shared" si="48"/>
        <v>W</v>
      </c>
      <c r="E289" s="3">
        <f t="shared" si="49"/>
        <v>33</v>
      </c>
      <c r="F289" s="3" t="str">
        <f t="shared" si="50"/>
        <v>ack</v>
      </c>
      <c r="G289" s="3" t="str">
        <f t="shared" si="51"/>
        <v>9C</v>
      </c>
      <c r="H289" s="3" t="str">
        <f t="shared" si="52"/>
        <v/>
      </c>
      <c r="I289" s="3">
        <f t="shared" si="53"/>
        <v>156</v>
      </c>
      <c r="J289" s="5" t="str">
        <f>IF(E289=0,"Broadcast",IF(H289="",IF(I289="","",IF(I289&lt;128,"Connect "&amp;I289,INDEX(KdoCodeTab,MATCH(I289,KdoWertTab,0)))),"ReadStat "&amp;H289))</f>
        <v>MarkCmd</v>
      </c>
      <c r="K289" t="str">
        <f t="shared" si="54"/>
        <v>MarkCmd</v>
      </c>
      <c r="L289" t="str">
        <f t="shared" si="55"/>
        <v/>
      </c>
      <c r="M289" t="str">
        <f t="shared" si="56"/>
        <v/>
      </c>
    </row>
    <row r="290" spans="1:13" x14ac:dyDescent="0.25">
      <c r="A290" t="s">
        <v>1290</v>
      </c>
      <c r="B290" s="6">
        <f t="shared" si="46"/>
        <v>5.3218333333333332</v>
      </c>
      <c r="C290" s="9">
        <f t="shared" si="47"/>
        <v>0.99999999999944578</v>
      </c>
      <c r="D290" s="8" t="str">
        <f t="shared" si="48"/>
        <v>W</v>
      </c>
      <c r="E290" s="3">
        <f t="shared" si="49"/>
        <v>33</v>
      </c>
      <c r="F290" s="3" t="str">
        <f t="shared" si="50"/>
        <v>ack</v>
      </c>
      <c r="G290" s="3" t="str">
        <f t="shared" si="51"/>
        <v>9A</v>
      </c>
      <c r="H290" s="3" t="str">
        <f t="shared" si="52"/>
        <v/>
      </c>
      <c r="I290" s="3">
        <f t="shared" si="53"/>
        <v>154</v>
      </c>
      <c r="J290" s="5" t="str">
        <f>IF(E290=0,"Broadcast",IF(H290="",IF(I290="","",IF(I290&lt;128,"Connect "&amp;I290,INDEX(KdoCodeTab,MATCH(I290,KdoWertTab,0)))),"ReadStat "&amp;H290))</f>
        <v>RepMarkCmd</v>
      </c>
      <c r="K290" t="str">
        <f t="shared" si="54"/>
        <v>RepMarkCmd</v>
      </c>
      <c r="L290" t="str">
        <f t="shared" si="55"/>
        <v/>
      </c>
      <c r="M290" t="str">
        <f t="shared" si="56"/>
        <v/>
      </c>
    </row>
    <row r="291" spans="1:13" x14ac:dyDescent="0.25">
      <c r="A291" t="s">
        <v>1291</v>
      </c>
      <c r="B291" s="6">
        <f t="shared" si="46"/>
        <v>5.3511666666666668</v>
      </c>
      <c r="C291" s="9">
        <f t="shared" si="47"/>
        <v>29.333333333333655</v>
      </c>
      <c r="D291" s="8" t="str">
        <f t="shared" si="48"/>
        <v>W</v>
      </c>
      <c r="E291" s="3">
        <f t="shared" si="49"/>
        <v>33</v>
      </c>
      <c r="F291" s="3" t="str">
        <f t="shared" si="50"/>
        <v>ack</v>
      </c>
      <c r="G291" s="3" t="str">
        <f t="shared" si="51"/>
        <v>93</v>
      </c>
      <c r="H291" s="3" t="str">
        <f t="shared" si="52"/>
        <v/>
      </c>
      <c r="I291" s="3">
        <f t="shared" si="53"/>
        <v>147</v>
      </c>
      <c r="J291" s="5" t="str">
        <f>IF(E291=0,"Broadcast",IF(H291="",IF(I291="","",IF(I291&lt;128,"Connect "&amp;I291,INDEX(KdoCodeTab,MATCH(I291,KdoWertTab,0)))),"ReadStat "&amp;H291))</f>
        <v>SpaceCmd</v>
      </c>
      <c r="K291" t="str">
        <f t="shared" si="54"/>
        <v>SpaceCmd</v>
      </c>
      <c r="L291" t="str">
        <f t="shared" si="55"/>
        <v/>
      </c>
      <c r="M291" t="str">
        <f t="shared" si="56"/>
        <v/>
      </c>
    </row>
    <row r="292" spans="1:13" x14ac:dyDescent="0.25">
      <c r="A292" t="s">
        <v>1292</v>
      </c>
      <c r="B292" s="6">
        <f t="shared" si="46"/>
        <v>5.3520000000000003</v>
      </c>
      <c r="C292" s="9">
        <f t="shared" si="47"/>
        <v>0.8333333333334636</v>
      </c>
      <c r="D292" s="8" t="str">
        <f t="shared" si="48"/>
        <v>W</v>
      </c>
      <c r="E292" s="3">
        <f t="shared" si="49"/>
        <v>33</v>
      </c>
      <c r="F292" s="3" t="str">
        <f t="shared" si="50"/>
        <v>ack</v>
      </c>
      <c r="G292" s="3" t="str">
        <f t="shared" si="51"/>
        <v>96</v>
      </c>
      <c r="H292" s="3" t="str">
        <f t="shared" si="52"/>
        <v/>
      </c>
      <c r="I292" s="3">
        <f t="shared" si="53"/>
        <v>150</v>
      </c>
      <c r="J292" s="5" t="str">
        <f>IF(E292=0,"Broadcast",IF(H292="",IF(I292="","",IF(I292&lt;128,"Connect "&amp;I292,INDEX(KdoCodeTab,MATCH(I292,KdoWertTab,0)))),"ReadStat "&amp;H292))</f>
        <v>RepSpaceCmd</v>
      </c>
      <c r="K292" t="str">
        <f t="shared" si="54"/>
        <v>RepSpaceCmd</v>
      </c>
      <c r="L292" t="str">
        <f t="shared" si="55"/>
        <v/>
      </c>
      <c r="M292" t="str">
        <f t="shared" si="56"/>
        <v/>
      </c>
    </row>
    <row r="293" spans="1:13" x14ac:dyDescent="0.25">
      <c r="A293" t="s">
        <v>1293</v>
      </c>
      <c r="B293" s="6">
        <f t="shared" si="46"/>
        <v>5.3713333333333342</v>
      </c>
      <c r="C293" s="9">
        <f t="shared" si="47"/>
        <v>19.333333333333869</v>
      </c>
      <c r="D293" s="8" t="str">
        <f t="shared" si="48"/>
        <v>W</v>
      </c>
      <c r="E293" s="3">
        <f t="shared" si="49"/>
        <v>33</v>
      </c>
      <c r="F293" s="3" t="str">
        <f t="shared" si="50"/>
        <v>ack</v>
      </c>
      <c r="G293" s="3" t="str">
        <f t="shared" si="51"/>
        <v>9C</v>
      </c>
      <c r="H293" s="3" t="str">
        <f t="shared" si="52"/>
        <v/>
      </c>
      <c r="I293" s="3">
        <f t="shared" si="53"/>
        <v>156</v>
      </c>
      <c r="J293" s="5" t="str">
        <f>IF(E293=0,"Broadcast",IF(H293="",IF(I293="","",IF(I293&lt;128,"Connect "&amp;I293,INDEX(KdoCodeTab,MATCH(I293,KdoWertTab,0)))),"ReadStat "&amp;H293))</f>
        <v>MarkCmd</v>
      </c>
      <c r="K293" t="str">
        <f t="shared" si="54"/>
        <v>MarkCmd</v>
      </c>
      <c r="L293" t="str">
        <f t="shared" si="55"/>
        <v/>
      </c>
      <c r="M293" t="str">
        <f t="shared" si="56"/>
        <v/>
      </c>
    </row>
    <row r="294" spans="1:13" x14ac:dyDescent="0.25">
      <c r="A294" t="s">
        <v>1294</v>
      </c>
      <c r="B294" s="6">
        <f t="shared" si="46"/>
        <v>5.3721666666666668</v>
      </c>
      <c r="C294" s="9">
        <f t="shared" si="47"/>
        <v>0.83333333333257542</v>
      </c>
      <c r="D294" s="8" t="str">
        <f t="shared" si="48"/>
        <v>W</v>
      </c>
      <c r="E294" s="3">
        <f t="shared" si="49"/>
        <v>33</v>
      </c>
      <c r="F294" s="3" t="str">
        <f t="shared" si="50"/>
        <v>ack</v>
      </c>
      <c r="G294" s="3" t="str">
        <f t="shared" si="51"/>
        <v>9A</v>
      </c>
      <c r="H294" s="3" t="str">
        <f t="shared" si="52"/>
        <v/>
      </c>
      <c r="I294" s="3">
        <f t="shared" si="53"/>
        <v>154</v>
      </c>
      <c r="J294" s="5" t="str">
        <f>IF(E294=0,"Broadcast",IF(H294="",IF(I294="","",IF(I294&lt;128,"Connect "&amp;I294,INDEX(KdoCodeTab,MATCH(I294,KdoWertTab,0)))),"ReadStat "&amp;H294))</f>
        <v>RepMarkCmd</v>
      </c>
      <c r="K294" t="str">
        <f t="shared" si="54"/>
        <v>RepMarkCmd</v>
      </c>
      <c r="L294" t="str">
        <f t="shared" si="55"/>
        <v/>
      </c>
      <c r="M294" t="str">
        <f t="shared" si="56"/>
        <v/>
      </c>
    </row>
    <row r="295" spans="1:13" x14ac:dyDescent="0.25">
      <c r="A295" t="s">
        <v>1295</v>
      </c>
      <c r="B295" s="6">
        <f t="shared" si="46"/>
        <v>5.4108333333333336</v>
      </c>
      <c r="C295" s="9">
        <f t="shared" si="47"/>
        <v>38.666666666666849</v>
      </c>
      <c r="D295" s="8" t="str">
        <f t="shared" si="48"/>
        <v>W</v>
      </c>
      <c r="E295" s="3">
        <f t="shared" si="49"/>
        <v>33</v>
      </c>
      <c r="F295" s="3" t="str">
        <f t="shared" si="50"/>
        <v>ack</v>
      </c>
      <c r="G295" s="3" t="str">
        <f t="shared" si="51"/>
        <v>93</v>
      </c>
      <c r="H295" s="3" t="str">
        <f t="shared" si="52"/>
        <v/>
      </c>
      <c r="I295" s="3">
        <f t="shared" si="53"/>
        <v>147</v>
      </c>
      <c r="J295" s="5" t="str">
        <f>IF(E295=0,"Broadcast",IF(H295="",IF(I295="","",IF(I295&lt;128,"Connect "&amp;I295,INDEX(KdoCodeTab,MATCH(I295,KdoWertTab,0)))),"ReadStat "&amp;H295))</f>
        <v>SpaceCmd</v>
      </c>
      <c r="K295" t="str">
        <f t="shared" si="54"/>
        <v>SpaceCmd</v>
      </c>
      <c r="L295" t="str">
        <f t="shared" si="55"/>
        <v/>
      </c>
      <c r="M295" t="str">
        <f t="shared" si="56"/>
        <v/>
      </c>
    </row>
    <row r="296" spans="1:13" x14ac:dyDescent="0.25">
      <c r="A296" t="s">
        <v>1296</v>
      </c>
      <c r="B296" s="6">
        <f t="shared" si="46"/>
        <v>5.4116666666666662</v>
      </c>
      <c r="C296" s="9">
        <f t="shared" si="47"/>
        <v>0.83333333333257542</v>
      </c>
      <c r="D296" s="8" t="str">
        <f t="shared" si="48"/>
        <v>W</v>
      </c>
      <c r="E296" s="3">
        <f t="shared" si="49"/>
        <v>33</v>
      </c>
      <c r="F296" s="3" t="str">
        <f t="shared" si="50"/>
        <v>ack</v>
      </c>
      <c r="G296" s="3" t="str">
        <f t="shared" si="51"/>
        <v>96</v>
      </c>
      <c r="H296" s="3" t="str">
        <f t="shared" si="52"/>
        <v/>
      </c>
      <c r="I296" s="3">
        <f t="shared" si="53"/>
        <v>150</v>
      </c>
      <c r="J296" s="5" t="str">
        <f>IF(E296=0,"Broadcast",IF(H296="",IF(I296="","",IF(I296&lt;128,"Connect "&amp;I296,INDEX(KdoCodeTab,MATCH(I296,KdoWertTab,0)))),"ReadStat "&amp;H296))</f>
        <v>RepSpaceCmd</v>
      </c>
      <c r="K296" t="str">
        <f t="shared" si="54"/>
        <v>RepSpaceCmd</v>
      </c>
      <c r="L296" t="str">
        <f t="shared" si="55"/>
        <v/>
      </c>
      <c r="M296" t="str">
        <f t="shared" si="56"/>
        <v/>
      </c>
    </row>
    <row r="297" spans="1:13" x14ac:dyDescent="0.25">
      <c r="A297" t="s">
        <v>1297</v>
      </c>
      <c r="B297" s="6">
        <f t="shared" si="46"/>
        <v>5.4511666666666665</v>
      </c>
      <c r="C297" s="9">
        <f t="shared" si="47"/>
        <v>39.500000000000313</v>
      </c>
      <c r="D297" s="8" t="str">
        <f t="shared" si="48"/>
        <v>W</v>
      </c>
      <c r="E297" s="3">
        <f t="shared" si="49"/>
        <v>33</v>
      </c>
      <c r="F297" s="3" t="str">
        <f t="shared" si="50"/>
        <v>ack</v>
      </c>
      <c r="G297" s="3" t="str">
        <f t="shared" si="51"/>
        <v>9C</v>
      </c>
      <c r="H297" s="3" t="str">
        <f t="shared" si="52"/>
        <v/>
      </c>
      <c r="I297" s="3">
        <f t="shared" si="53"/>
        <v>156</v>
      </c>
      <c r="J297" s="5" t="str">
        <f>IF(E297=0,"Broadcast",IF(H297="",IF(I297="","",IF(I297&lt;128,"Connect "&amp;I297,INDEX(KdoCodeTab,MATCH(I297,KdoWertTab,0)))),"ReadStat "&amp;H297))</f>
        <v>MarkCmd</v>
      </c>
      <c r="K297" t="str">
        <f t="shared" si="54"/>
        <v>MarkCmd</v>
      </c>
      <c r="L297" t="str">
        <f t="shared" si="55"/>
        <v/>
      </c>
      <c r="M297" t="str">
        <f t="shared" si="56"/>
        <v/>
      </c>
    </row>
    <row r="298" spans="1:13" x14ac:dyDescent="0.25">
      <c r="A298" t="s">
        <v>1298</v>
      </c>
      <c r="B298" s="6">
        <f t="shared" si="46"/>
        <v>5.452</v>
      </c>
      <c r="C298" s="9">
        <f t="shared" si="47"/>
        <v>0.8333333333334636</v>
      </c>
      <c r="D298" s="8" t="str">
        <f t="shared" si="48"/>
        <v>W</v>
      </c>
      <c r="E298" s="3">
        <f t="shared" si="49"/>
        <v>33</v>
      </c>
      <c r="F298" s="3" t="str">
        <f t="shared" si="50"/>
        <v>ack</v>
      </c>
      <c r="G298" s="3" t="str">
        <f t="shared" si="51"/>
        <v>9A</v>
      </c>
      <c r="H298" s="3" t="str">
        <f t="shared" si="52"/>
        <v/>
      </c>
      <c r="I298" s="3">
        <f t="shared" si="53"/>
        <v>154</v>
      </c>
      <c r="J298" s="5" t="str">
        <f>IF(E298=0,"Broadcast",IF(H298="",IF(I298="","",IF(I298&lt;128,"Connect "&amp;I298,INDEX(KdoCodeTab,MATCH(I298,KdoWertTab,0)))),"ReadStat "&amp;H298))</f>
        <v>RepMarkCmd</v>
      </c>
      <c r="K298" t="str">
        <f t="shared" si="54"/>
        <v>RepMarkCmd</v>
      </c>
      <c r="L298" t="str">
        <f t="shared" si="55"/>
        <v/>
      </c>
      <c r="M298" t="str">
        <f t="shared" si="56"/>
        <v/>
      </c>
    </row>
    <row r="299" spans="1:13" x14ac:dyDescent="0.25">
      <c r="A299" t="s">
        <v>1299</v>
      </c>
      <c r="B299" s="6">
        <f t="shared" si="46"/>
        <v>5.5006666666666666</v>
      </c>
      <c r="C299" s="9">
        <f t="shared" si="47"/>
        <v>48.666666666666636</v>
      </c>
      <c r="D299" s="8" t="str">
        <f t="shared" si="48"/>
        <v>W</v>
      </c>
      <c r="E299" s="3">
        <f t="shared" si="49"/>
        <v>33</v>
      </c>
      <c r="F299" s="3" t="str">
        <f t="shared" si="50"/>
        <v>ack</v>
      </c>
      <c r="G299" s="3" t="str">
        <f t="shared" si="51"/>
        <v>93</v>
      </c>
      <c r="H299" s="3" t="str">
        <f t="shared" si="52"/>
        <v/>
      </c>
      <c r="I299" s="3">
        <f t="shared" si="53"/>
        <v>147</v>
      </c>
      <c r="J299" s="5" t="str">
        <f>IF(E299=0,"Broadcast",IF(H299="",IF(I299="","",IF(I299&lt;128,"Connect "&amp;I299,INDEX(KdoCodeTab,MATCH(I299,KdoWertTab,0)))),"ReadStat "&amp;H299))</f>
        <v>SpaceCmd</v>
      </c>
      <c r="K299" t="str">
        <f t="shared" si="54"/>
        <v>SpaceCmd</v>
      </c>
      <c r="L299" t="str">
        <f t="shared" si="55"/>
        <v/>
      </c>
      <c r="M299" t="str">
        <f t="shared" si="56"/>
        <v/>
      </c>
    </row>
    <row r="300" spans="1:13" x14ac:dyDescent="0.25">
      <c r="A300" t="s">
        <v>1300</v>
      </c>
      <c r="B300" s="6">
        <f t="shared" si="46"/>
        <v>5.5015000000000001</v>
      </c>
      <c r="C300" s="9">
        <f t="shared" si="47"/>
        <v>0.8333333333334636</v>
      </c>
      <c r="D300" s="8" t="str">
        <f t="shared" si="48"/>
        <v>W</v>
      </c>
      <c r="E300" s="3">
        <f t="shared" si="49"/>
        <v>33</v>
      </c>
      <c r="F300" s="3" t="str">
        <f t="shared" si="50"/>
        <v>ack</v>
      </c>
      <c r="G300" s="3" t="str">
        <f t="shared" si="51"/>
        <v>96</v>
      </c>
      <c r="H300" s="3" t="str">
        <f t="shared" si="52"/>
        <v/>
      </c>
      <c r="I300" s="3">
        <f t="shared" si="53"/>
        <v>150</v>
      </c>
      <c r="J300" s="5" t="str">
        <f>IF(E300=0,"Broadcast",IF(H300="",IF(I300="","",IF(I300&lt;128,"Connect "&amp;I300,INDEX(KdoCodeTab,MATCH(I300,KdoWertTab,0)))),"ReadStat "&amp;H300))</f>
        <v>RepSpaceCmd</v>
      </c>
      <c r="K300" t="str">
        <f t="shared" si="54"/>
        <v>RepSpaceCmd</v>
      </c>
      <c r="L300" t="str">
        <f t="shared" si="55"/>
        <v/>
      </c>
      <c r="M300" t="str">
        <f t="shared" si="56"/>
        <v/>
      </c>
    </row>
    <row r="301" spans="1:13" x14ac:dyDescent="0.25">
      <c r="A301" t="s">
        <v>1301</v>
      </c>
      <c r="B301" s="6">
        <f t="shared" si="46"/>
        <v>5.5218333333333334</v>
      </c>
      <c r="C301" s="9">
        <f t="shared" si="47"/>
        <v>20.333333333333314</v>
      </c>
      <c r="D301" s="8" t="str">
        <f t="shared" si="48"/>
        <v>W</v>
      </c>
      <c r="E301" s="3">
        <f t="shared" si="49"/>
        <v>33</v>
      </c>
      <c r="F301" s="3" t="str">
        <f t="shared" si="50"/>
        <v>ack</v>
      </c>
      <c r="G301" s="3" t="str">
        <f t="shared" si="51"/>
        <v>9C</v>
      </c>
      <c r="H301" s="3" t="str">
        <f t="shared" si="52"/>
        <v/>
      </c>
      <c r="I301" s="3">
        <f t="shared" si="53"/>
        <v>156</v>
      </c>
      <c r="J301" s="5" t="str">
        <f>IF(E301=0,"Broadcast",IF(H301="",IF(I301="","",IF(I301&lt;128,"Connect "&amp;I301,INDEX(KdoCodeTab,MATCH(I301,KdoWertTab,0)))),"ReadStat "&amp;H301))</f>
        <v>MarkCmd</v>
      </c>
      <c r="K301" t="str">
        <f t="shared" si="54"/>
        <v>MarkCmd</v>
      </c>
      <c r="L301" t="str">
        <f t="shared" si="55"/>
        <v/>
      </c>
      <c r="M301" t="str">
        <f t="shared" si="56"/>
        <v/>
      </c>
    </row>
    <row r="302" spans="1:13" x14ac:dyDescent="0.25">
      <c r="A302" t="s">
        <v>1302</v>
      </c>
      <c r="B302" s="6">
        <f t="shared" si="46"/>
        <v>5.5228333333333337</v>
      </c>
      <c r="C302" s="9">
        <f t="shared" si="47"/>
        <v>1.000000000000334</v>
      </c>
      <c r="D302" s="8" t="str">
        <f t="shared" si="48"/>
        <v>W</v>
      </c>
      <c r="E302" s="3">
        <f t="shared" si="49"/>
        <v>33</v>
      </c>
      <c r="F302" s="3" t="str">
        <f t="shared" si="50"/>
        <v>ack</v>
      </c>
      <c r="G302" s="3" t="str">
        <f t="shared" si="51"/>
        <v>9A</v>
      </c>
      <c r="H302" s="3" t="str">
        <f t="shared" si="52"/>
        <v/>
      </c>
      <c r="I302" s="3">
        <f t="shared" si="53"/>
        <v>154</v>
      </c>
      <c r="J302" s="5" t="str">
        <f>IF(E302=0,"Broadcast",IF(H302="",IF(I302="","",IF(I302&lt;128,"Connect "&amp;I302,INDEX(KdoCodeTab,MATCH(I302,KdoWertTab,0)))),"ReadStat "&amp;H302))</f>
        <v>RepMarkCmd</v>
      </c>
      <c r="K302" t="str">
        <f t="shared" si="54"/>
        <v>RepMarkCmd</v>
      </c>
      <c r="L302" t="str">
        <f t="shared" si="55"/>
        <v/>
      </c>
      <c r="M302" t="str">
        <f t="shared" si="56"/>
        <v/>
      </c>
    </row>
    <row r="303" spans="1:13" x14ac:dyDescent="0.25">
      <c r="A303" t="s">
        <v>1303</v>
      </c>
      <c r="B303" s="6">
        <f t="shared" si="46"/>
        <v>5.5410000000000004</v>
      </c>
      <c r="C303" s="9">
        <f t="shared" si="47"/>
        <v>18.166666666666664</v>
      </c>
      <c r="D303" s="8" t="str">
        <f t="shared" si="48"/>
        <v>W</v>
      </c>
      <c r="E303" s="3">
        <f t="shared" si="49"/>
        <v>33</v>
      </c>
      <c r="F303" s="3" t="str">
        <f t="shared" si="50"/>
        <v>ack</v>
      </c>
      <c r="G303" s="3" t="str">
        <f t="shared" si="51"/>
        <v>93</v>
      </c>
      <c r="H303" s="3" t="str">
        <f t="shared" si="52"/>
        <v/>
      </c>
      <c r="I303" s="3">
        <f t="shared" si="53"/>
        <v>147</v>
      </c>
      <c r="J303" s="5" t="str">
        <f>IF(E303=0,"Broadcast",IF(H303="",IF(I303="","",IF(I303&lt;128,"Connect "&amp;I303,INDEX(KdoCodeTab,MATCH(I303,KdoWertTab,0)))),"ReadStat "&amp;H303))</f>
        <v>SpaceCmd</v>
      </c>
      <c r="K303" t="str">
        <f t="shared" si="54"/>
        <v>SpaceCmd</v>
      </c>
      <c r="L303" t="str">
        <f t="shared" si="55"/>
        <v/>
      </c>
      <c r="M303" t="str">
        <f t="shared" si="56"/>
        <v/>
      </c>
    </row>
    <row r="304" spans="1:13" x14ac:dyDescent="0.25">
      <c r="A304" t="s">
        <v>1304</v>
      </c>
      <c r="B304" s="6">
        <f t="shared" si="46"/>
        <v>5.5418333333333338</v>
      </c>
      <c r="C304" s="9">
        <f t="shared" si="47"/>
        <v>0.8333333333334636</v>
      </c>
      <c r="D304" s="8" t="str">
        <f t="shared" si="48"/>
        <v>W</v>
      </c>
      <c r="E304" s="3">
        <f t="shared" si="49"/>
        <v>33</v>
      </c>
      <c r="F304" s="3" t="str">
        <f t="shared" si="50"/>
        <v>ack</v>
      </c>
      <c r="G304" s="3" t="str">
        <f t="shared" si="51"/>
        <v>96</v>
      </c>
      <c r="H304" s="3" t="str">
        <f t="shared" si="52"/>
        <v/>
      </c>
      <c r="I304" s="3">
        <f t="shared" si="53"/>
        <v>150</v>
      </c>
      <c r="J304" s="5" t="str">
        <f>IF(E304=0,"Broadcast",IF(H304="",IF(I304="","",IF(I304&lt;128,"Connect "&amp;I304,INDEX(KdoCodeTab,MATCH(I304,KdoWertTab,0)))),"ReadStat "&amp;H304))</f>
        <v>RepSpaceCmd</v>
      </c>
      <c r="K304" t="str">
        <f t="shared" si="54"/>
        <v>RepSpaceCmd</v>
      </c>
      <c r="L304" t="str">
        <f t="shared" si="55"/>
        <v/>
      </c>
      <c r="M304" t="str">
        <f t="shared" si="56"/>
        <v/>
      </c>
    </row>
    <row r="305" spans="1:13" x14ac:dyDescent="0.25">
      <c r="A305" t="s">
        <v>1305</v>
      </c>
      <c r="B305" s="6">
        <f t="shared" si="46"/>
        <v>5.6218333333333339</v>
      </c>
      <c r="C305" s="9">
        <f t="shared" si="47"/>
        <v>80.000000000000071</v>
      </c>
      <c r="D305" s="8" t="str">
        <f t="shared" si="48"/>
        <v>W</v>
      </c>
      <c r="E305" s="3">
        <f t="shared" si="49"/>
        <v>33</v>
      </c>
      <c r="F305" s="3" t="str">
        <f t="shared" si="50"/>
        <v>ack</v>
      </c>
      <c r="G305" s="3" t="str">
        <f t="shared" si="51"/>
        <v>9C</v>
      </c>
      <c r="H305" s="3" t="str">
        <f t="shared" si="52"/>
        <v/>
      </c>
      <c r="I305" s="3">
        <f t="shared" si="53"/>
        <v>156</v>
      </c>
      <c r="J305" s="5" t="str">
        <f>IF(E305=0,"Broadcast",IF(H305="",IF(I305="","",IF(I305&lt;128,"Connect "&amp;I305,INDEX(KdoCodeTab,MATCH(I305,KdoWertTab,0)))),"ReadStat "&amp;H305))</f>
        <v>MarkCmd</v>
      </c>
      <c r="K305" t="str">
        <f t="shared" si="54"/>
        <v>MarkCmd</v>
      </c>
      <c r="L305" t="str">
        <f t="shared" si="55"/>
        <v/>
      </c>
      <c r="M305" t="str">
        <f t="shared" si="56"/>
        <v/>
      </c>
    </row>
    <row r="306" spans="1:13" x14ac:dyDescent="0.25">
      <c r="A306" t="s">
        <v>1306</v>
      </c>
      <c r="B306" s="6">
        <f t="shared" si="46"/>
        <v>5.6228333333333333</v>
      </c>
      <c r="C306" s="9">
        <f t="shared" si="47"/>
        <v>0.99999999999944578</v>
      </c>
      <c r="D306" s="8" t="str">
        <f t="shared" si="48"/>
        <v>W</v>
      </c>
      <c r="E306" s="3">
        <f t="shared" si="49"/>
        <v>33</v>
      </c>
      <c r="F306" s="3" t="str">
        <f t="shared" si="50"/>
        <v>ack</v>
      </c>
      <c r="G306" s="3" t="str">
        <f t="shared" si="51"/>
        <v>9A</v>
      </c>
      <c r="H306" s="3" t="str">
        <f t="shared" si="52"/>
        <v/>
      </c>
      <c r="I306" s="3">
        <f t="shared" si="53"/>
        <v>154</v>
      </c>
      <c r="J306" s="5" t="str">
        <f>IF(E306=0,"Broadcast",IF(H306="",IF(I306="","",IF(I306&lt;128,"Connect "&amp;I306,INDEX(KdoCodeTab,MATCH(I306,KdoWertTab,0)))),"ReadStat "&amp;H306))</f>
        <v>RepMarkCmd</v>
      </c>
      <c r="K306" t="str">
        <f t="shared" si="54"/>
        <v>RepMarkCmd</v>
      </c>
      <c r="L306" t="str">
        <f t="shared" si="55"/>
        <v/>
      </c>
      <c r="M306" t="str">
        <f t="shared" si="56"/>
        <v/>
      </c>
    </row>
    <row r="307" spans="1:13" x14ac:dyDescent="0.25">
      <c r="A307" t="s">
        <v>1307</v>
      </c>
      <c r="B307" s="6">
        <f t="shared" si="46"/>
        <v>5.6511666666666667</v>
      </c>
      <c r="C307" s="9">
        <f t="shared" si="47"/>
        <v>28.333333333333321</v>
      </c>
      <c r="D307" s="8" t="str">
        <f t="shared" si="48"/>
        <v>W</v>
      </c>
      <c r="E307" s="3">
        <f t="shared" si="49"/>
        <v>33</v>
      </c>
      <c r="F307" s="3" t="str">
        <f t="shared" si="50"/>
        <v>ack</v>
      </c>
      <c r="G307" s="3" t="str">
        <f t="shared" si="51"/>
        <v>93</v>
      </c>
      <c r="H307" s="3" t="str">
        <f t="shared" si="52"/>
        <v/>
      </c>
      <c r="I307" s="3">
        <f t="shared" si="53"/>
        <v>147</v>
      </c>
      <c r="J307" s="5" t="str">
        <f>IF(E307=0,"Broadcast",IF(H307="",IF(I307="","",IF(I307&lt;128,"Connect "&amp;I307,INDEX(KdoCodeTab,MATCH(I307,KdoWertTab,0)))),"ReadStat "&amp;H307))</f>
        <v>SpaceCmd</v>
      </c>
      <c r="K307" t="str">
        <f t="shared" si="54"/>
        <v>SpaceCmd</v>
      </c>
      <c r="L307" t="str">
        <f t="shared" si="55"/>
        <v/>
      </c>
      <c r="M307" t="str">
        <f t="shared" si="56"/>
        <v/>
      </c>
    </row>
    <row r="308" spans="1:13" x14ac:dyDescent="0.25">
      <c r="A308" t="s">
        <v>1308</v>
      </c>
      <c r="B308" s="6">
        <f t="shared" si="46"/>
        <v>5.652166666666667</v>
      </c>
      <c r="C308" s="9">
        <f t="shared" si="47"/>
        <v>1.000000000000334</v>
      </c>
      <c r="D308" s="8" t="str">
        <f t="shared" si="48"/>
        <v>W</v>
      </c>
      <c r="E308" s="3">
        <f t="shared" si="49"/>
        <v>33</v>
      </c>
      <c r="F308" s="3" t="str">
        <f t="shared" si="50"/>
        <v>ack</v>
      </c>
      <c r="G308" s="3" t="str">
        <f t="shared" si="51"/>
        <v>96</v>
      </c>
      <c r="H308" s="3" t="str">
        <f t="shared" si="52"/>
        <v/>
      </c>
      <c r="I308" s="3">
        <f t="shared" si="53"/>
        <v>150</v>
      </c>
      <c r="J308" s="5" t="str">
        <f>IF(E308=0,"Broadcast",IF(H308="",IF(I308="","",IF(I308&lt;128,"Connect "&amp;I308,INDEX(KdoCodeTab,MATCH(I308,KdoWertTab,0)))),"ReadStat "&amp;H308))</f>
        <v>RepSpaceCmd</v>
      </c>
      <c r="K308" t="str">
        <f t="shared" si="54"/>
        <v>RepSpaceCmd</v>
      </c>
      <c r="L308" t="str">
        <f t="shared" si="55"/>
        <v/>
      </c>
      <c r="M308" t="str">
        <f t="shared" si="56"/>
        <v/>
      </c>
    </row>
    <row r="309" spans="1:13" x14ac:dyDescent="0.25">
      <c r="A309" t="s">
        <v>1309</v>
      </c>
      <c r="B309" s="6">
        <f t="shared" si="46"/>
        <v>5.7108333333333334</v>
      </c>
      <c r="C309" s="9">
        <f t="shared" si="47"/>
        <v>58.666666666666423</v>
      </c>
      <c r="D309" s="8" t="str">
        <f t="shared" si="48"/>
        <v>W</v>
      </c>
      <c r="E309" s="3">
        <f t="shared" si="49"/>
        <v>33</v>
      </c>
      <c r="F309" s="3" t="str">
        <f t="shared" si="50"/>
        <v>ack</v>
      </c>
      <c r="G309" s="3" t="str">
        <f t="shared" si="51"/>
        <v>9C</v>
      </c>
      <c r="H309" s="3" t="str">
        <f t="shared" si="52"/>
        <v/>
      </c>
      <c r="I309" s="3">
        <f t="shared" si="53"/>
        <v>156</v>
      </c>
      <c r="J309" s="5" t="str">
        <f>IF(E309=0,"Broadcast",IF(H309="",IF(I309="","",IF(I309&lt;128,"Connect "&amp;I309,INDEX(KdoCodeTab,MATCH(I309,KdoWertTab,0)))),"ReadStat "&amp;H309))</f>
        <v>MarkCmd</v>
      </c>
      <c r="K309" t="str">
        <f t="shared" si="54"/>
        <v>MarkCmd</v>
      </c>
      <c r="L309" t="str">
        <f t="shared" si="55"/>
        <v/>
      </c>
      <c r="M309" t="str">
        <f t="shared" si="56"/>
        <v/>
      </c>
    </row>
    <row r="310" spans="1:13" x14ac:dyDescent="0.25">
      <c r="A310" t="s">
        <v>1310</v>
      </c>
      <c r="B310" s="6">
        <f t="shared" si="46"/>
        <v>5.7118333333333338</v>
      </c>
      <c r="C310" s="9">
        <f t="shared" si="47"/>
        <v>1.000000000000334</v>
      </c>
      <c r="D310" s="8" t="str">
        <f t="shared" si="48"/>
        <v>W</v>
      </c>
      <c r="E310" s="3">
        <f t="shared" si="49"/>
        <v>33</v>
      </c>
      <c r="F310" s="3" t="str">
        <f t="shared" si="50"/>
        <v>ack</v>
      </c>
      <c r="G310" s="3" t="str">
        <f t="shared" si="51"/>
        <v>9A</v>
      </c>
      <c r="H310" s="3" t="str">
        <f t="shared" si="52"/>
        <v/>
      </c>
      <c r="I310" s="3">
        <f t="shared" si="53"/>
        <v>154</v>
      </c>
      <c r="J310" s="5" t="str">
        <f>IF(E310=0,"Broadcast",IF(H310="",IF(I310="","",IF(I310&lt;128,"Connect "&amp;I310,INDEX(KdoCodeTab,MATCH(I310,KdoWertTab,0)))),"ReadStat "&amp;H310))</f>
        <v>RepMarkCmd</v>
      </c>
      <c r="K310" t="str">
        <f t="shared" si="54"/>
        <v>RepMarkCmd</v>
      </c>
      <c r="L310" t="str">
        <f t="shared" si="55"/>
        <v/>
      </c>
      <c r="M310" t="str">
        <f t="shared" si="56"/>
        <v/>
      </c>
    </row>
    <row r="311" spans="1:13" x14ac:dyDescent="0.25">
      <c r="A311" t="s">
        <v>1311</v>
      </c>
      <c r="B311" s="6">
        <f t="shared" si="46"/>
        <v>5.7309999999999999</v>
      </c>
      <c r="C311" s="9">
        <f t="shared" si="47"/>
        <v>19.16666666666611</v>
      </c>
      <c r="D311" s="8" t="str">
        <f t="shared" si="48"/>
        <v>W</v>
      </c>
      <c r="E311" s="3">
        <f t="shared" si="49"/>
        <v>33</v>
      </c>
      <c r="F311" s="3" t="str">
        <f t="shared" si="50"/>
        <v>ack</v>
      </c>
      <c r="G311" s="3" t="str">
        <f t="shared" si="51"/>
        <v>93</v>
      </c>
      <c r="H311" s="3" t="str">
        <f t="shared" si="52"/>
        <v/>
      </c>
      <c r="I311" s="3">
        <f t="shared" si="53"/>
        <v>147</v>
      </c>
      <c r="J311" s="5" t="str">
        <f>IF(E311=0,"Broadcast",IF(H311="",IF(I311="","",IF(I311&lt;128,"Connect "&amp;I311,INDEX(KdoCodeTab,MATCH(I311,KdoWertTab,0)))),"ReadStat "&amp;H311))</f>
        <v>SpaceCmd</v>
      </c>
      <c r="K311" t="str">
        <f t="shared" si="54"/>
        <v>SpaceCmd</v>
      </c>
      <c r="L311" t="str">
        <f t="shared" si="55"/>
        <v/>
      </c>
      <c r="M311" t="str">
        <f t="shared" si="56"/>
        <v/>
      </c>
    </row>
    <row r="312" spans="1:13" x14ac:dyDescent="0.25">
      <c r="A312" t="s">
        <v>1312</v>
      </c>
      <c r="B312" s="6">
        <f t="shared" si="46"/>
        <v>5.7318333333333333</v>
      </c>
      <c r="C312" s="9">
        <f t="shared" si="47"/>
        <v>0.8333333333334636</v>
      </c>
      <c r="D312" s="8" t="str">
        <f t="shared" si="48"/>
        <v>W</v>
      </c>
      <c r="E312" s="3">
        <f t="shared" si="49"/>
        <v>33</v>
      </c>
      <c r="F312" s="3" t="str">
        <f t="shared" si="50"/>
        <v>ack</v>
      </c>
      <c r="G312" s="3" t="str">
        <f t="shared" si="51"/>
        <v>96</v>
      </c>
      <c r="H312" s="3" t="str">
        <f t="shared" si="52"/>
        <v/>
      </c>
      <c r="I312" s="3">
        <f t="shared" si="53"/>
        <v>150</v>
      </c>
      <c r="J312" s="5" t="str">
        <f>IF(E312=0,"Broadcast",IF(H312="",IF(I312="","",IF(I312&lt;128,"Connect "&amp;I312,INDEX(KdoCodeTab,MATCH(I312,KdoWertTab,0)))),"ReadStat "&amp;H312))</f>
        <v>RepSpaceCmd</v>
      </c>
      <c r="K312" t="str">
        <f t="shared" si="54"/>
        <v>RepSpaceCmd</v>
      </c>
      <c r="L312" t="str">
        <f t="shared" si="55"/>
        <v/>
      </c>
      <c r="M312" t="str">
        <f t="shared" si="56"/>
        <v/>
      </c>
    </row>
    <row r="313" spans="1:13" x14ac:dyDescent="0.25">
      <c r="A313" t="s">
        <v>1313</v>
      </c>
      <c r="B313" s="6">
        <f t="shared" si="46"/>
        <v>5.7328333333333337</v>
      </c>
      <c r="C313" s="9">
        <f t="shared" si="47"/>
        <v>1.000000000000334</v>
      </c>
      <c r="D313" s="8" t="str">
        <f t="shared" si="48"/>
        <v>W</v>
      </c>
      <c r="E313" s="3">
        <f t="shared" si="49"/>
        <v>31</v>
      </c>
      <c r="F313" s="3" t="str">
        <f t="shared" si="50"/>
        <v>ack</v>
      </c>
      <c r="G313" s="3" t="str">
        <f t="shared" si="51"/>
        <v>A9</v>
      </c>
      <c r="H313" s="3" t="str">
        <f t="shared" si="52"/>
        <v/>
      </c>
      <c r="I313" s="3">
        <f t="shared" si="53"/>
        <v>169</v>
      </c>
      <c r="J313" s="5" t="str">
        <f>IF(E313=0,"Broadcast",IF(H313="",IF(I313="","",IF(I313&lt;128,"Connect "&amp;I313,INDEX(KdoCodeTab,MATCH(I313,KdoWertTab,0)))),"ReadStat "&amp;H313))</f>
        <v>Heartbeat</v>
      </c>
      <c r="K313" t="str">
        <f t="shared" si="54"/>
        <v/>
      </c>
      <c r="L313" t="str">
        <f t="shared" si="55"/>
        <v>Heartbeat</v>
      </c>
      <c r="M313" t="str">
        <f t="shared" si="56"/>
        <v/>
      </c>
    </row>
    <row r="314" spans="1:13" x14ac:dyDescent="0.25">
      <c r="A314" t="s">
        <v>1314</v>
      </c>
      <c r="B314" s="6">
        <f t="shared" si="46"/>
        <v>5.7338333333333331</v>
      </c>
      <c r="C314" s="9">
        <f t="shared" si="47"/>
        <v>0.99999999999944578</v>
      </c>
      <c r="D314" s="8" t="str">
        <f t="shared" si="48"/>
        <v>W</v>
      </c>
      <c r="E314" s="3">
        <f t="shared" si="49"/>
        <v>33</v>
      </c>
      <c r="F314" s="3" t="str">
        <f t="shared" si="50"/>
        <v>ack</v>
      </c>
      <c r="G314" s="3" t="str">
        <f t="shared" si="51"/>
        <v>A9</v>
      </c>
      <c r="H314" s="3" t="str">
        <f t="shared" si="52"/>
        <v/>
      </c>
      <c r="I314" s="3">
        <f t="shared" si="53"/>
        <v>169</v>
      </c>
      <c r="J314" s="5" t="str">
        <f>IF(E314=0,"Broadcast",IF(H314="",IF(I314="","",IF(I314&lt;128,"Connect "&amp;I314,INDEX(KdoCodeTab,MATCH(I314,KdoWertTab,0)))),"ReadStat "&amp;H314))</f>
        <v>Heartbeat</v>
      </c>
      <c r="K314" t="str">
        <f t="shared" si="54"/>
        <v>Heartbeat</v>
      </c>
      <c r="L314" t="str">
        <f t="shared" si="55"/>
        <v/>
      </c>
      <c r="M314" t="str">
        <f t="shared" si="56"/>
        <v/>
      </c>
    </row>
    <row r="315" spans="1:13" x14ac:dyDescent="0.25">
      <c r="A315" t="s">
        <v>1315</v>
      </c>
      <c r="B315" s="6">
        <f t="shared" si="46"/>
        <v>5.7713333333333336</v>
      </c>
      <c r="C315" s="9">
        <f t="shared" si="47"/>
        <v>37.500000000000533</v>
      </c>
      <c r="D315" s="8" t="str">
        <f t="shared" si="48"/>
        <v>W</v>
      </c>
      <c r="E315" s="3">
        <f t="shared" si="49"/>
        <v>33</v>
      </c>
      <c r="F315" s="3" t="str">
        <f t="shared" si="50"/>
        <v>ack</v>
      </c>
      <c r="G315" s="3" t="str">
        <f t="shared" si="51"/>
        <v>9C</v>
      </c>
      <c r="H315" s="3" t="str">
        <f t="shared" si="52"/>
        <v/>
      </c>
      <c r="I315" s="3">
        <f t="shared" si="53"/>
        <v>156</v>
      </c>
      <c r="J315" s="5" t="str">
        <f>IF(E315=0,"Broadcast",IF(H315="",IF(I315="","",IF(I315&lt;128,"Connect "&amp;I315,INDEX(KdoCodeTab,MATCH(I315,KdoWertTab,0)))),"ReadStat "&amp;H315))</f>
        <v>MarkCmd</v>
      </c>
      <c r="K315" t="str">
        <f t="shared" si="54"/>
        <v>MarkCmd</v>
      </c>
      <c r="L315" t="str">
        <f t="shared" si="55"/>
        <v/>
      </c>
      <c r="M315" t="str">
        <f t="shared" si="56"/>
        <v/>
      </c>
    </row>
    <row r="316" spans="1:13" x14ac:dyDescent="0.25">
      <c r="A316" t="s">
        <v>1316</v>
      </c>
      <c r="B316" s="6">
        <f t="shared" si="46"/>
        <v>5.772333333333334</v>
      </c>
      <c r="C316" s="9">
        <f t="shared" si="47"/>
        <v>1.000000000000334</v>
      </c>
      <c r="D316" s="8" t="str">
        <f t="shared" si="48"/>
        <v>W</v>
      </c>
      <c r="E316" s="3">
        <f t="shared" si="49"/>
        <v>33</v>
      </c>
      <c r="F316" s="3" t="str">
        <f t="shared" si="50"/>
        <v>ack</v>
      </c>
      <c r="G316" s="3" t="str">
        <f t="shared" si="51"/>
        <v>9A</v>
      </c>
      <c r="H316" s="3" t="str">
        <f t="shared" si="52"/>
        <v/>
      </c>
      <c r="I316" s="3">
        <f t="shared" si="53"/>
        <v>154</v>
      </c>
      <c r="J316" s="5" t="str">
        <f>IF(E316=0,"Broadcast",IF(H316="",IF(I316="","",IF(I316&lt;128,"Connect "&amp;I316,INDEX(KdoCodeTab,MATCH(I316,KdoWertTab,0)))),"ReadStat "&amp;H316))</f>
        <v>RepMarkCmd</v>
      </c>
      <c r="K316" t="str">
        <f t="shared" si="54"/>
        <v>RepMarkCmd</v>
      </c>
      <c r="L316" t="str">
        <f t="shared" si="55"/>
        <v/>
      </c>
      <c r="M316" t="str">
        <f t="shared" si="56"/>
        <v/>
      </c>
    </row>
    <row r="317" spans="1:13" x14ac:dyDescent="0.25">
      <c r="A317" t="s">
        <v>1317</v>
      </c>
      <c r="B317" s="6">
        <f t="shared" si="46"/>
        <v>5.8006666666666664</v>
      </c>
      <c r="C317" s="9">
        <f t="shared" si="47"/>
        <v>28.333333333332433</v>
      </c>
      <c r="D317" s="8" t="str">
        <f t="shared" si="48"/>
        <v>W</v>
      </c>
      <c r="E317" s="3">
        <f t="shared" si="49"/>
        <v>33</v>
      </c>
      <c r="F317" s="3" t="str">
        <f t="shared" si="50"/>
        <v>ack</v>
      </c>
      <c r="G317" s="3" t="str">
        <f t="shared" si="51"/>
        <v>93</v>
      </c>
      <c r="H317" s="3" t="str">
        <f t="shared" si="52"/>
        <v/>
      </c>
      <c r="I317" s="3">
        <f t="shared" si="53"/>
        <v>147</v>
      </c>
      <c r="J317" s="5" t="str">
        <f>IF(E317=0,"Broadcast",IF(H317="",IF(I317="","",IF(I317&lt;128,"Connect "&amp;I317,INDEX(KdoCodeTab,MATCH(I317,KdoWertTab,0)))),"ReadStat "&amp;H317))</f>
        <v>SpaceCmd</v>
      </c>
      <c r="K317" t="str">
        <f t="shared" si="54"/>
        <v>SpaceCmd</v>
      </c>
      <c r="L317" t="str">
        <f t="shared" si="55"/>
        <v/>
      </c>
      <c r="M317" t="str">
        <f t="shared" si="56"/>
        <v/>
      </c>
    </row>
    <row r="318" spans="1:13" x14ac:dyDescent="0.25">
      <c r="A318" t="s">
        <v>1318</v>
      </c>
      <c r="B318" s="6">
        <f t="shared" si="46"/>
        <v>5.8016666666666667</v>
      </c>
      <c r="C318" s="9">
        <f t="shared" si="47"/>
        <v>1.000000000000334</v>
      </c>
      <c r="D318" s="8" t="str">
        <f t="shared" si="48"/>
        <v>W</v>
      </c>
      <c r="E318" s="3">
        <f t="shared" si="49"/>
        <v>33</v>
      </c>
      <c r="F318" s="3" t="str">
        <f t="shared" si="50"/>
        <v>ack</v>
      </c>
      <c r="G318" s="3" t="str">
        <f t="shared" si="51"/>
        <v>96</v>
      </c>
      <c r="H318" s="3" t="str">
        <f t="shared" si="52"/>
        <v/>
      </c>
      <c r="I318" s="3">
        <f t="shared" si="53"/>
        <v>150</v>
      </c>
      <c r="J318" s="5" t="str">
        <f>IF(E318=0,"Broadcast",IF(H318="",IF(I318="","",IF(I318&lt;128,"Connect "&amp;I318,INDEX(KdoCodeTab,MATCH(I318,KdoWertTab,0)))),"ReadStat "&amp;H318))</f>
        <v>RepSpaceCmd</v>
      </c>
      <c r="K318" t="str">
        <f t="shared" si="54"/>
        <v>RepSpaceCmd</v>
      </c>
      <c r="L318" t="str">
        <f t="shared" si="55"/>
        <v/>
      </c>
      <c r="M318" t="str">
        <f t="shared" si="56"/>
        <v/>
      </c>
    </row>
    <row r="319" spans="1:13" x14ac:dyDescent="0.25">
      <c r="A319" t="s">
        <v>1319</v>
      </c>
      <c r="B319" s="6">
        <f t="shared" si="46"/>
        <v>5.8208333333333337</v>
      </c>
      <c r="C319" s="9">
        <f t="shared" si="47"/>
        <v>19.166666666666998</v>
      </c>
      <c r="D319" s="8" t="str">
        <f t="shared" si="48"/>
        <v>W</v>
      </c>
      <c r="E319" s="3">
        <f t="shared" si="49"/>
        <v>33</v>
      </c>
      <c r="F319" s="3" t="str">
        <f t="shared" si="50"/>
        <v>ack</v>
      </c>
      <c r="G319" s="3" t="str">
        <f t="shared" si="51"/>
        <v>9C</v>
      </c>
      <c r="H319" s="3" t="str">
        <f t="shared" si="52"/>
        <v/>
      </c>
      <c r="I319" s="3">
        <f t="shared" si="53"/>
        <v>156</v>
      </c>
      <c r="J319" s="5" t="str">
        <f>IF(E319=0,"Broadcast",IF(H319="",IF(I319="","",IF(I319&lt;128,"Connect "&amp;I319,INDEX(KdoCodeTab,MATCH(I319,KdoWertTab,0)))),"ReadStat "&amp;H319))</f>
        <v>MarkCmd</v>
      </c>
      <c r="K319" t="str">
        <f t="shared" si="54"/>
        <v>MarkCmd</v>
      </c>
      <c r="L319" t="str">
        <f t="shared" si="55"/>
        <v/>
      </c>
      <c r="M319" t="str">
        <f t="shared" si="56"/>
        <v/>
      </c>
    </row>
    <row r="320" spans="1:13" x14ac:dyDescent="0.25">
      <c r="A320" t="s">
        <v>1320</v>
      </c>
      <c r="B320" s="6">
        <f t="shared" si="46"/>
        <v>5.8218333333333332</v>
      </c>
      <c r="C320" s="9">
        <f t="shared" si="47"/>
        <v>0.99999999999944578</v>
      </c>
      <c r="D320" s="8" t="str">
        <f t="shared" si="48"/>
        <v>W</v>
      </c>
      <c r="E320" s="3">
        <f t="shared" si="49"/>
        <v>33</v>
      </c>
      <c r="F320" s="3" t="str">
        <f t="shared" si="50"/>
        <v>ack</v>
      </c>
      <c r="G320" s="3" t="str">
        <f t="shared" si="51"/>
        <v>9A</v>
      </c>
      <c r="H320" s="3" t="str">
        <f t="shared" si="52"/>
        <v/>
      </c>
      <c r="I320" s="3">
        <f t="shared" si="53"/>
        <v>154</v>
      </c>
      <c r="J320" s="5" t="str">
        <f>IF(E320=0,"Broadcast",IF(H320="",IF(I320="","",IF(I320&lt;128,"Connect "&amp;I320,INDEX(KdoCodeTab,MATCH(I320,KdoWertTab,0)))),"ReadStat "&amp;H320))</f>
        <v>RepMarkCmd</v>
      </c>
      <c r="K320" t="str">
        <f t="shared" si="54"/>
        <v>RepMarkCmd</v>
      </c>
      <c r="L320" t="str">
        <f t="shared" si="55"/>
        <v/>
      </c>
      <c r="M320" t="str">
        <f t="shared" si="56"/>
        <v/>
      </c>
    </row>
    <row r="321" spans="1:13" x14ac:dyDescent="0.25">
      <c r="A321" t="s">
        <v>1321</v>
      </c>
      <c r="B321" s="6">
        <f t="shared" si="46"/>
        <v>5.8410000000000002</v>
      </c>
      <c r="C321" s="9">
        <f t="shared" si="47"/>
        <v>19.166666666666998</v>
      </c>
      <c r="D321" s="8" t="str">
        <f t="shared" si="48"/>
        <v>W</v>
      </c>
      <c r="E321" s="3">
        <f t="shared" si="49"/>
        <v>33</v>
      </c>
      <c r="F321" s="3" t="str">
        <f t="shared" si="50"/>
        <v>ack</v>
      </c>
      <c r="G321" s="3" t="str">
        <f t="shared" si="51"/>
        <v>93</v>
      </c>
      <c r="H321" s="3" t="str">
        <f t="shared" si="52"/>
        <v/>
      </c>
      <c r="I321" s="3">
        <f t="shared" si="53"/>
        <v>147</v>
      </c>
      <c r="J321" s="5" t="str">
        <f>IF(E321=0,"Broadcast",IF(H321="",IF(I321="","",IF(I321&lt;128,"Connect "&amp;I321,INDEX(KdoCodeTab,MATCH(I321,KdoWertTab,0)))),"ReadStat "&amp;H321))</f>
        <v>SpaceCmd</v>
      </c>
      <c r="K321" t="str">
        <f t="shared" si="54"/>
        <v>SpaceCmd</v>
      </c>
      <c r="L321" t="str">
        <f t="shared" si="55"/>
        <v/>
      </c>
      <c r="M321" t="str">
        <f t="shared" si="56"/>
        <v/>
      </c>
    </row>
    <row r="322" spans="1:13" x14ac:dyDescent="0.25">
      <c r="A322" t="s">
        <v>1322</v>
      </c>
      <c r="B322" s="6">
        <f t="shared" si="46"/>
        <v>5.8419999999999996</v>
      </c>
      <c r="C322" s="9">
        <f t="shared" si="47"/>
        <v>0.99999999999944578</v>
      </c>
      <c r="D322" s="8" t="str">
        <f t="shared" si="48"/>
        <v>W</v>
      </c>
      <c r="E322" s="3">
        <f t="shared" si="49"/>
        <v>33</v>
      </c>
      <c r="F322" s="3" t="str">
        <f t="shared" si="50"/>
        <v>ack</v>
      </c>
      <c r="G322" s="3" t="str">
        <f t="shared" si="51"/>
        <v>96</v>
      </c>
      <c r="H322" s="3" t="str">
        <f t="shared" si="52"/>
        <v/>
      </c>
      <c r="I322" s="3">
        <f t="shared" si="53"/>
        <v>150</v>
      </c>
      <c r="J322" s="5" t="str">
        <f>IF(E322=0,"Broadcast",IF(H322="",IF(I322="","",IF(I322&lt;128,"Connect "&amp;I322,INDEX(KdoCodeTab,MATCH(I322,KdoWertTab,0)))),"ReadStat "&amp;H322))</f>
        <v>RepSpaceCmd</v>
      </c>
      <c r="K322" t="str">
        <f t="shared" si="54"/>
        <v>RepSpaceCmd</v>
      </c>
      <c r="L322" t="str">
        <f t="shared" si="55"/>
        <v/>
      </c>
      <c r="M322" t="str">
        <f t="shared" si="56"/>
        <v/>
      </c>
    </row>
    <row r="323" spans="1:13" x14ac:dyDescent="0.25">
      <c r="A323" t="s">
        <v>1323</v>
      </c>
      <c r="B323" s="6">
        <f t="shared" si="46"/>
        <v>5.8815</v>
      </c>
      <c r="C323" s="9">
        <f t="shared" si="47"/>
        <v>39.500000000000313</v>
      </c>
      <c r="D323" s="8" t="str">
        <f t="shared" si="48"/>
        <v>W</v>
      </c>
      <c r="E323" s="3">
        <f t="shared" si="49"/>
        <v>33</v>
      </c>
      <c r="F323" s="3" t="str">
        <f t="shared" si="50"/>
        <v>ack</v>
      </c>
      <c r="G323" s="3" t="str">
        <f t="shared" si="51"/>
        <v>9C</v>
      </c>
      <c r="H323" s="3" t="str">
        <f t="shared" si="52"/>
        <v/>
      </c>
      <c r="I323" s="3">
        <f t="shared" si="53"/>
        <v>156</v>
      </c>
      <c r="J323" s="5" t="str">
        <f>IF(E323=0,"Broadcast",IF(H323="",IF(I323="","",IF(I323&lt;128,"Connect "&amp;I323,INDEX(KdoCodeTab,MATCH(I323,KdoWertTab,0)))),"ReadStat "&amp;H323))</f>
        <v>MarkCmd</v>
      </c>
      <c r="K323" t="str">
        <f t="shared" si="54"/>
        <v>MarkCmd</v>
      </c>
      <c r="L323" t="str">
        <f t="shared" si="55"/>
        <v/>
      </c>
      <c r="M323" t="str">
        <f t="shared" si="56"/>
        <v/>
      </c>
    </row>
    <row r="324" spans="1:13" x14ac:dyDescent="0.25">
      <c r="A324" t="s">
        <v>1324</v>
      </c>
      <c r="B324" s="6">
        <f t="shared" si="46"/>
        <v>5.8824999999999994</v>
      </c>
      <c r="C324" s="9">
        <f t="shared" si="47"/>
        <v>0.99999999999944578</v>
      </c>
      <c r="D324" s="8" t="str">
        <f t="shared" si="48"/>
        <v>W</v>
      </c>
      <c r="E324" s="3">
        <f t="shared" si="49"/>
        <v>33</v>
      </c>
      <c r="F324" s="3" t="str">
        <f t="shared" si="50"/>
        <v>ack</v>
      </c>
      <c r="G324" s="3" t="str">
        <f t="shared" si="51"/>
        <v>9A</v>
      </c>
      <c r="H324" s="3" t="str">
        <f t="shared" si="52"/>
        <v/>
      </c>
      <c r="I324" s="3">
        <f t="shared" si="53"/>
        <v>154</v>
      </c>
      <c r="J324" s="5" t="str">
        <f>IF(E324=0,"Broadcast",IF(H324="",IF(I324="","",IF(I324&lt;128,"Connect "&amp;I324,INDEX(KdoCodeTab,MATCH(I324,KdoWertTab,0)))),"ReadStat "&amp;H324))</f>
        <v>RepMarkCmd</v>
      </c>
      <c r="K324" t="str">
        <f t="shared" si="54"/>
        <v>RepMarkCmd</v>
      </c>
      <c r="L324" t="str">
        <f t="shared" si="55"/>
        <v/>
      </c>
      <c r="M324" t="str">
        <f t="shared" si="56"/>
        <v/>
      </c>
    </row>
    <row r="325" spans="1:13" x14ac:dyDescent="0.25">
      <c r="A325" t="s">
        <v>1325</v>
      </c>
      <c r="B325" s="6">
        <f t="shared" ref="B325:B388" si="57">MID(A325,1,5)/1000+(CODE(MID(A325,6,1))-CODE("a"))/6000</f>
        <v>5.9006666666666669</v>
      </c>
      <c r="C325" s="9">
        <f t="shared" ref="C325:C388" si="58">(B325-B324+IF(B325&gt;B324,0,11))*1000</f>
        <v>18.166666666667552</v>
      </c>
      <c r="D325" s="8" t="str">
        <f t="shared" ref="D325:D388" si="59">IF(MID(A325,10,1)="&lt;","R",IF(MID(A325,10,1)="&gt;","W","?"))</f>
        <v>W</v>
      </c>
      <c r="E325" s="3">
        <f t="shared" ref="E325:E388" si="60">INT(HEX2DEC(MID(A325,8,2))/2)</f>
        <v>33</v>
      </c>
      <c r="F325" s="3" t="str">
        <f t="shared" ref="F325:F388" si="61">IF(MID(A325,11,1)="+","ack","NACK")</f>
        <v>ack</v>
      </c>
      <c r="G325" s="3" t="str">
        <f t="shared" ref="G325:G388" si="62">IF(F325="ack",SUBSTITUTE(MID(A325,12,LEN(A325)-12),"+","  "),"")</f>
        <v>93</v>
      </c>
      <c r="H325" s="3" t="str">
        <f t="shared" ref="H325:H388" si="63">IF(MID(A325,10,2)="&lt;+",MID(A325,12,2),"")</f>
        <v/>
      </c>
      <c r="I325" s="3">
        <f t="shared" ref="I325:I388" si="64">IF(MID(A325,10,2)="&gt;+",HEX2DEC(MID(A325,12,2)),"")</f>
        <v>147</v>
      </c>
      <c r="J325" s="5" t="str">
        <f>IF(E325=0,"Broadcast",IF(H325="",IF(I325="","",IF(I325&lt;128,"Connect "&amp;I325,INDEX(KdoCodeTab,MATCH(I325,KdoWertTab,0)))),"ReadStat "&amp;H325))</f>
        <v>SpaceCmd</v>
      </c>
      <c r="K325" t="str">
        <f t="shared" ref="K325:K388" si="65">IF(E325=$K$2,J325,"")</f>
        <v>SpaceCmd</v>
      </c>
      <c r="L325" t="str">
        <f t="shared" ref="L325:L388" si="66">IF(E325=$L$2,J325,"")</f>
        <v/>
      </c>
      <c r="M325" t="str">
        <f t="shared" ref="M325:M388" si="67">IF(K325&amp;L325="",J325,"")</f>
        <v/>
      </c>
    </row>
    <row r="326" spans="1:13" x14ac:dyDescent="0.25">
      <c r="A326" t="s">
        <v>1326</v>
      </c>
      <c r="B326" s="6">
        <f t="shared" si="57"/>
        <v>5.9014999999999995</v>
      </c>
      <c r="C326" s="9">
        <f t="shared" si="58"/>
        <v>0.83333333333257542</v>
      </c>
      <c r="D326" s="8" t="str">
        <f t="shared" si="59"/>
        <v>W</v>
      </c>
      <c r="E326" s="3">
        <f t="shared" si="60"/>
        <v>33</v>
      </c>
      <c r="F326" s="3" t="str">
        <f t="shared" si="61"/>
        <v>ack</v>
      </c>
      <c r="G326" s="3" t="str">
        <f t="shared" si="62"/>
        <v>96</v>
      </c>
      <c r="H326" s="3" t="str">
        <f t="shared" si="63"/>
        <v/>
      </c>
      <c r="I326" s="3">
        <f t="shared" si="64"/>
        <v>150</v>
      </c>
      <c r="J326" s="5" t="str">
        <f>IF(E326=0,"Broadcast",IF(H326="",IF(I326="","",IF(I326&lt;128,"Connect "&amp;I326,INDEX(KdoCodeTab,MATCH(I326,KdoWertTab,0)))),"ReadStat "&amp;H326))</f>
        <v>RepSpaceCmd</v>
      </c>
      <c r="K326" t="str">
        <f t="shared" si="65"/>
        <v>RepSpaceCmd</v>
      </c>
      <c r="L326" t="str">
        <f t="shared" si="66"/>
        <v/>
      </c>
      <c r="M326" t="str">
        <f t="shared" si="67"/>
        <v/>
      </c>
    </row>
    <row r="327" spans="1:13" x14ac:dyDescent="0.25">
      <c r="A327" t="s">
        <v>1327</v>
      </c>
      <c r="B327" s="6">
        <f t="shared" si="57"/>
        <v>5.9208333333333334</v>
      </c>
      <c r="C327" s="9">
        <f t="shared" si="58"/>
        <v>19.333333333333869</v>
      </c>
      <c r="D327" s="8" t="str">
        <f t="shared" si="59"/>
        <v>W</v>
      </c>
      <c r="E327" s="3">
        <f t="shared" si="60"/>
        <v>33</v>
      </c>
      <c r="F327" s="3" t="str">
        <f t="shared" si="61"/>
        <v>ack</v>
      </c>
      <c r="G327" s="3" t="str">
        <f t="shared" si="62"/>
        <v>9C</v>
      </c>
      <c r="H327" s="3" t="str">
        <f t="shared" si="63"/>
        <v/>
      </c>
      <c r="I327" s="3">
        <f t="shared" si="64"/>
        <v>156</v>
      </c>
      <c r="J327" s="5" t="str">
        <f>IF(E327=0,"Broadcast",IF(H327="",IF(I327="","",IF(I327&lt;128,"Connect "&amp;I327,INDEX(KdoCodeTab,MATCH(I327,KdoWertTab,0)))),"ReadStat "&amp;H327))</f>
        <v>MarkCmd</v>
      </c>
      <c r="K327" t="str">
        <f t="shared" si="65"/>
        <v>MarkCmd</v>
      </c>
      <c r="L327" t="str">
        <f t="shared" si="66"/>
        <v/>
      </c>
      <c r="M327" t="str">
        <f t="shared" si="67"/>
        <v/>
      </c>
    </row>
    <row r="328" spans="1:13" x14ac:dyDescent="0.25">
      <c r="A328" t="s">
        <v>1328</v>
      </c>
      <c r="B328" s="6">
        <f t="shared" si="57"/>
        <v>5.9216666666666669</v>
      </c>
      <c r="C328" s="9">
        <f t="shared" si="58"/>
        <v>0.8333333333334636</v>
      </c>
      <c r="D328" s="8" t="str">
        <f t="shared" si="59"/>
        <v>W</v>
      </c>
      <c r="E328" s="3">
        <f t="shared" si="60"/>
        <v>33</v>
      </c>
      <c r="F328" s="3" t="str">
        <f t="shared" si="61"/>
        <v>ack</v>
      </c>
      <c r="G328" s="3" t="str">
        <f t="shared" si="62"/>
        <v>9A</v>
      </c>
      <c r="H328" s="3" t="str">
        <f t="shared" si="63"/>
        <v/>
      </c>
      <c r="I328" s="3">
        <f t="shared" si="64"/>
        <v>154</v>
      </c>
      <c r="J328" s="5" t="str">
        <f>IF(E328=0,"Broadcast",IF(H328="",IF(I328="","",IF(I328&lt;128,"Connect "&amp;I328,INDEX(KdoCodeTab,MATCH(I328,KdoWertTab,0)))),"ReadStat "&amp;H328))</f>
        <v>RepMarkCmd</v>
      </c>
      <c r="K328" t="str">
        <f t="shared" si="65"/>
        <v>RepMarkCmd</v>
      </c>
      <c r="L328" t="str">
        <f t="shared" si="66"/>
        <v/>
      </c>
      <c r="M328" t="str">
        <f t="shared" si="67"/>
        <v/>
      </c>
    </row>
    <row r="329" spans="1:13" x14ac:dyDescent="0.25">
      <c r="A329" t="s">
        <v>1329</v>
      </c>
      <c r="B329" s="6">
        <f t="shared" si="57"/>
        <v>5.9511666666666665</v>
      </c>
      <c r="C329" s="9">
        <f t="shared" si="58"/>
        <v>29.499999999999638</v>
      </c>
      <c r="D329" s="8" t="str">
        <f t="shared" si="59"/>
        <v>W</v>
      </c>
      <c r="E329" s="3">
        <f t="shared" si="60"/>
        <v>33</v>
      </c>
      <c r="F329" s="3" t="str">
        <f t="shared" si="61"/>
        <v>ack</v>
      </c>
      <c r="G329" s="3" t="str">
        <f t="shared" si="62"/>
        <v>93</v>
      </c>
      <c r="H329" s="3" t="str">
        <f t="shared" si="63"/>
        <v/>
      </c>
      <c r="I329" s="3">
        <f t="shared" si="64"/>
        <v>147</v>
      </c>
      <c r="J329" s="5" t="str">
        <f>IF(E329=0,"Broadcast",IF(H329="",IF(I329="","",IF(I329&lt;128,"Connect "&amp;I329,INDEX(KdoCodeTab,MATCH(I329,KdoWertTab,0)))),"ReadStat "&amp;H329))</f>
        <v>SpaceCmd</v>
      </c>
      <c r="K329" t="str">
        <f t="shared" si="65"/>
        <v>SpaceCmd</v>
      </c>
      <c r="L329" t="str">
        <f t="shared" si="66"/>
        <v/>
      </c>
      <c r="M329" t="str">
        <f t="shared" si="67"/>
        <v/>
      </c>
    </row>
    <row r="330" spans="1:13" x14ac:dyDescent="0.25">
      <c r="A330" t="s">
        <v>1330</v>
      </c>
      <c r="B330" s="6">
        <f t="shared" si="57"/>
        <v>5.9521666666666668</v>
      </c>
      <c r="C330" s="9">
        <f t="shared" si="58"/>
        <v>1.000000000000334</v>
      </c>
      <c r="D330" s="8" t="str">
        <f t="shared" si="59"/>
        <v>W</v>
      </c>
      <c r="E330" s="3">
        <f t="shared" si="60"/>
        <v>33</v>
      </c>
      <c r="F330" s="3" t="str">
        <f t="shared" si="61"/>
        <v>ack</v>
      </c>
      <c r="G330" s="3" t="str">
        <f t="shared" si="62"/>
        <v>96</v>
      </c>
      <c r="H330" s="3" t="str">
        <f t="shared" si="63"/>
        <v/>
      </c>
      <c r="I330" s="3">
        <f t="shared" si="64"/>
        <v>150</v>
      </c>
      <c r="J330" s="5" t="str">
        <f>IF(E330=0,"Broadcast",IF(H330="",IF(I330="","",IF(I330&lt;128,"Connect "&amp;I330,INDEX(KdoCodeTab,MATCH(I330,KdoWertTab,0)))),"ReadStat "&amp;H330))</f>
        <v>RepSpaceCmd</v>
      </c>
      <c r="K330" t="str">
        <f t="shared" si="65"/>
        <v>RepSpaceCmd</v>
      </c>
      <c r="L330" t="str">
        <f t="shared" si="66"/>
        <v/>
      </c>
      <c r="M330" t="str">
        <f t="shared" si="67"/>
        <v/>
      </c>
    </row>
    <row r="331" spans="1:13" x14ac:dyDescent="0.25">
      <c r="A331" t="s">
        <v>1331</v>
      </c>
      <c r="B331" s="6">
        <f t="shared" si="57"/>
        <v>5.9713333333333338</v>
      </c>
      <c r="C331" s="9">
        <f t="shared" si="58"/>
        <v>19.166666666666998</v>
      </c>
      <c r="D331" s="8" t="str">
        <f t="shared" si="59"/>
        <v>W</v>
      </c>
      <c r="E331" s="3">
        <f t="shared" si="60"/>
        <v>33</v>
      </c>
      <c r="F331" s="3" t="str">
        <f t="shared" si="61"/>
        <v>ack</v>
      </c>
      <c r="G331" s="3" t="str">
        <f t="shared" si="62"/>
        <v>9C</v>
      </c>
      <c r="H331" s="3" t="str">
        <f t="shared" si="63"/>
        <v/>
      </c>
      <c r="I331" s="3">
        <f t="shared" si="64"/>
        <v>156</v>
      </c>
      <c r="J331" s="5" t="str">
        <f>IF(E331=0,"Broadcast",IF(H331="",IF(I331="","",IF(I331&lt;128,"Connect "&amp;I331,INDEX(KdoCodeTab,MATCH(I331,KdoWertTab,0)))),"ReadStat "&amp;H331))</f>
        <v>MarkCmd</v>
      </c>
      <c r="K331" t="str">
        <f t="shared" si="65"/>
        <v>MarkCmd</v>
      </c>
      <c r="L331" t="str">
        <f t="shared" si="66"/>
        <v/>
      </c>
      <c r="M331" t="str">
        <f t="shared" si="67"/>
        <v/>
      </c>
    </row>
    <row r="332" spans="1:13" x14ac:dyDescent="0.25">
      <c r="A332" t="s">
        <v>1332</v>
      </c>
      <c r="B332" s="6">
        <f t="shared" si="57"/>
        <v>5.9723333333333342</v>
      </c>
      <c r="C332" s="9">
        <f t="shared" si="58"/>
        <v>1.000000000000334</v>
      </c>
      <c r="D332" s="8" t="str">
        <f t="shared" si="59"/>
        <v>W</v>
      </c>
      <c r="E332" s="3">
        <f t="shared" si="60"/>
        <v>33</v>
      </c>
      <c r="F332" s="3" t="str">
        <f t="shared" si="61"/>
        <v>ack</v>
      </c>
      <c r="G332" s="3" t="str">
        <f t="shared" si="62"/>
        <v>9A</v>
      </c>
      <c r="H332" s="3" t="str">
        <f t="shared" si="63"/>
        <v/>
      </c>
      <c r="I332" s="3">
        <f t="shared" si="64"/>
        <v>154</v>
      </c>
      <c r="J332" s="5" t="str">
        <f>IF(E332=0,"Broadcast",IF(H332="",IF(I332="","",IF(I332&lt;128,"Connect "&amp;I332,INDEX(KdoCodeTab,MATCH(I332,KdoWertTab,0)))),"ReadStat "&amp;H332))</f>
        <v>RepMarkCmd</v>
      </c>
      <c r="K332" t="str">
        <f t="shared" si="65"/>
        <v>RepMarkCmd</v>
      </c>
      <c r="L332" t="str">
        <f t="shared" si="66"/>
        <v/>
      </c>
      <c r="M332" t="str">
        <f t="shared" si="67"/>
        <v/>
      </c>
    </row>
    <row r="333" spans="1:13" x14ac:dyDescent="0.25">
      <c r="A333" t="s">
        <v>1333</v>
      </c>
      <c r="B333" s="6">
        <f t="shared" si="57"/>
        <v>6.4148333333333332</v>
      </c>
      <c r="C333" s="9">
        <f t="shared" si="58"/>
        <v>442.49999999999898</v>
      </c>
      <c r="D333" s="8" t="str">
        <f t="shared" si="59"/>
        <v>W</v>
      </c>
      <c r="E333" s="3">
        <f t="shared" si="60"/>
        <v>31</v>
      </c>
      <c r="F333" s="3" t="str">
        <f t="shared" si="61"/>
        <v>ack</v>
      </c>
      <c r="G333" s="3" t="str">
        <f t="shared" si="62"/>
        <v>A9</v>
      </c>
      <c r="H333" s="3" t="str">
        <f t="shared" si="63"/>
        <v/>
      </c>
      <c r="I333" s="3">
        <f t="shared" si="64"/>
        <v>169</v>
      </c>
      <c r="J333" s="5" t="str">
        <f>IF(E333=0,"Broadcast",IF(H333="",IF(I333="","",IF(I333&lt;128,"Connect "&amp;I333,INDEX(KdoCodeTab,MATCH(I333,KdoWertTab,0)))),"ReadStat "&amp;H333))</f>
        <v>Heartbeat</v>
      </c>
      <c r="K333" t="str">
        <f t="shared" si="65"/>
        <v/>
      </c>
      <c r="L333" t="str">
        <f t="shared" si="66"/>
        <v>Heartbeat</v>
      </c>
      <c r="M333" t="str">
        <f t="shared" si="67"/>
        <v/>
      </c>
    </row>
    <row r="334" spans="1:13" x14ac:dyDescent="0.25">
      <c r="A334" t="s">
        <v>1334</v>
      </c>
      <c r="B334" s="6">
        <f t="shared" si="57"/>
        <v>6.4158333333333335</v>
      </c>
      <c r="C334" s="9">
        <f t="shared" si="58"/>
        <v>1.000000000000334</v>
      </c>
      <c r="D334" s="8" t="str">
        <f t="shared" si="59"/>
        <v>W</v>
      </c>
      <c r="E334" s="3">
        <f t="shared" si="60"/>
        <v>33</v>
      </c>
      <c r="F334" s="3" t="str">
        <f t="shared" si="61"/>
        <v>ack</v>
      </c>
      <c r="G334" s="3" t="str">
        <f t="shared" si="62"/>
        <v>A9</v>
      </c>
      <c r="H334" s="3" t="str">
        <f t="shared" si="63"/>
        <v/>
      </c>
      <c r="I334" s="3">
        <f t="shared" si="64"/>
        <v>169</v>
      </c>
      <c r="J334" s="5" t="str">
        <f>IF(E334=0,"Broadcast",IF(H334="",IF(I334="","",IF(I334&lt;128,"Connect "&amp;I334,INDEX(KdoCodeTab,MATCH(I334,KdoWertTab,0)))),"ReadStat "&amp;H334))</f>
        <v>Heartbeat</v>
      </c>
      <c r="K334" t="str">
        <f t="shared" si="65"/>
        <v>Heartbeat</v>
      </c>
      <c r="L334" t="str">
        <f t="shared" si="66"/>
        <v/>
      </c>
      <c r="M334" t="str">
        <f t="shared" si="67"/>
        <v/>
      </c>
    </row>
    <row r="335" spans="1:13" x14ac:dyDescent="0.25">
      <c r="A335" t="s">
        <v>1335</v>
      </c>
      <c r="B335" s="6">
        <f t="shared" si="57"/>
        <v>6.7706666666666662</v>
      </c>
      <c r="C335" s="9">
        <f t="shared" si="58"/>
        <v>354.83333333333269</v>
      </c>
      <c r="D335" s="8" t="str">
        <f t="shared" si="59"/>
        <v>W</v>
      </c>
      <c r="E335" s="3">
        <f t="shared" si="60"/>
        <v>33</v>
      </c>
      <c r="F335" s="3" t="str">
        <f t="shared" si="61"/>
        <v>ack</v>
      </c>
      <c r="G335" s="3" t="str">
        <f t="shared" si="62"/>
        <v>93</v>
      </c>
      <c r="H335" s="3" t="str">
        <f t="shared" si="63"/>
        <v/>
      </c>
      <c r="I335" s="3">
        <f t="shared" si="64"/>
        <v>147</v>
      </c>
      <c r="J335" s="5" t="str">
        <f>IF(E335=0,"Broadcast",IF(H335="",IF(I335="","",IF(I335&lt;128,"Connect "&amp;I335,INDEX(KdoCodeTab,MATCH(I335,KdoWertTab,0)))),"ReadStat "&amp;H335))</f>
        <v>SpaceCmd</v>
      </c>
      <c r="K335" t="str">
        <f t="shared" si="65"/>
        <v>SpaceCmd</v>
      </c>
      <c r="L335" t="str">
        <f t="shared" si="66"/>
        <v/>
      </c>
      <c r="M335" t="str">
        <f t="shared" si="67"/>
        <v/>
      </c>
    </row>
    <row r="336" spans="1:13" x14ac:dyDescent="0.25">
      <c r="A336" t="s">
        <v>1336</v>
      </c>
      <c r="B336" s="6">
        <f t="shared" si="57"/>
        <v>6.7714999999999996</v>
      </c>
      <c r="C336" s="9">
        <f t="shared" si="58"/>
        <v>0.8333333333334636</v>
      </c>
      <c r="D336" s="8" t="str">
        <f t="shared" si="59"/>
        <v>W</v>
      </c>
      <c r="E336" s="3">
        <f t="shared" si="60"/>
        <v>33</v>
      </c>
      <c r="F336" s="3" t="str">
        <f t="shared" si="61"/>
        <v>ack</v>
      </c>
      <c r="G336" s="3" t="str">
        <f t="shared" si="62"/>
        <v>96</v>
      </c>
      <c r="H336" s="3" t="str">
        <f t="shared" si="63"/>
        <v/>
      </c>
      <c r="I336" s="3">
        <f t="shared" si="64"/>
        <v>150</v>
      </c>
      <c r="J336" s="5" t="str">
        <f>IF(E336=0,"Broadcast",IF(H336="",IF(I336="","",IF(I336&lt;128,"Connect "&amp;I336,INDEX(KdoCodeTab,MATCH(I336,KdoWertTab,0)))),"ReadStat "&amp;H336))</f>
        <v>RepSpaceCmd</v>
      </c>
      <c r="K336" t="str">
        <f t="shared" si="65"/>
        <v>RepSpaceCmd</v>
      </c>
      <c r="L336" t="str">
        <f t="shared" si="66"/>
        <v/>
      </c>
      <c r="M336" t="str">
        <f t="shared" si="67"/>
        <v/>
      </c>
    </row>
    <row r="337" spans="1:13" x14ac:dyDescent="0.25">
      <c r="A337" t="s">
        <v>1337</v>
      </c>
      <c r="B337" s="6">
        <f t="shared" si="57"/>
        <v>6.8503333333333334</v>
      </c>
      <c r="C337" s="9">
        <f t="shared" si="58"/>
        <v>78.833333333333755</v>
      </c>
      <c r="D337" s="8" t="str">
        <f t="shared" si="59"/>
        <v>W</v>
      </c>
      <c r="E337" s="3">
        <f t="shared" si="60"/>
        <v>33</v>
      </c>
      <c r="F337" s="3" t="str">
        <f t="shared" si="61"/>
        <v>ack</v>
      </c>
      <c r="G337" s="3" t="str">
        <f t="shared" si="62"/>
        <v>9C</v>
      </c>
      <c r="H337" s="3" t="str">
        <f t="shared" si="63"/>
        <v/>
      </c>
      <c r="I337" s="3">
        <f t="shared" si="64"/>
        <v>156</v>
      </c>
      <c r="J337" s="5" t="str">
        <f>IF(E337=0,"Broadcast",IF(H337="",IF(I337="","",IF(I337&lt;128,"Connect "&amp;I337,INDEX(KdoCodeTab,MATCH(I337,KdoWertTab,0)))),"ReadStat "&amp;H337))</f>
        <v>MarkCmd</v>
      </c>
      <c r="K337" t="str">
        <f t="shared" si="65"/>
        <v>MarkCmd</v>
      </c>
      <c r="L337" t="str">
        <f t="shared" si="66"/>
        <v/>
      </c>
      <c r="M337" t="str">
        <f t="shared" si="67"/>
        <v/>
      </c>
    </row>
    <row r="338" spans="1:13" x14ac:dyDescent="0.25">
      <c r="A338" t="s">
        <v>1338</v>
      </c>
      <c r="B338" s="6">
        <f t="shared" si="57"/>
        <v>6.8513333333333337</v>
      </c>
      <c r="C338" s="9">
        <f t="shared" si="58"/>
        <v>1.000000000000334</v>
      </c>
      <c r="D338" s="8" t="str">
        <f t="shared" si="59"/>
        <v>W</v>
      </c>
      <c r="E338" s="3">
        <f t="shared" si="60"/>
        <v>33</v>
      </c>
      <c r="F338" s="3" t="str">
        <f t="shared" si="61"/>
        <v>ack</v>
      </c>
      <c r="G338" s="3" t="str">
        <f t="shared" si="62"/>
        <v>9A</v>
      </c>
      <c r="H338" s="3" t="str">
        <f t="shared" si="63"/>
        <v/>
      </c>
      <c r="I338" s="3">
        <f t="shared" si="64"/>
        <v>154</v>
      </c>
      <c r="J338" s="5" t="str">
        <f>IF(E338=0,"Broadcast",IF(H338="",IF(I338="","",IF(I338&lt;128,"Connect "&amp;I338,INDEX(KdoCodeTab,MATCH(I338,KdoWertTab,0)))),"ReadStat "&amp;H338))</f>
        <v>RepMarkCmd</v>
      </c>
      <c r="K338" t="str">
        <f t="shared" si="65"/>
        <v>RepMarkCmd</v>
      </c>
      <c r="L338" t="str">
        <f t="shared" si="66"/>
        <v/>
      </c>
      <c r="M338" t="str">
        <f t="shared" si="67"/>
        <v/>
      </c>
    </row>
    <row r="339" spans="1:13" x14ac:dyDescent="0.25">
      <c r="A339" t="s">
        <v>1339</v>
      </c>
      <c r="B339" s="6">
        <f t="shared" si="57"/>
        <v>6.8694999999999995</v>
      </c>
      <c r="C339" s="9">
        <f t="shared" si="58"/>
        <v>18.166666666665776</v>
      </c>
      <c r="D339" s="8" t="str">
        <f t="shared" si="59"/>
        <v>W</v>
      </c>
      <c r="E339" s="3">
        <f t="shared" si="60"/>
        <v>33</v>
      </c>
      <c r="F339" s="3" t="str">
        <f t="shared" si="61"/>
        <v>ack</v>
      </c>
      <c r="G339" s="3" t="str">
        <f t="shared" si="62"/>
        <v>93</v>
      </c>
      <c r="H339" s="3" t="str">
        <f t="shared" si="63"/>
        <v/>
      </c>
      <c r="I339" s="3">
        <f t="shared" si="64"/>
        <v>147</v>
      </c>
      <c r="J339" s="5" t="str">
        <f>IF(E339=0,"Broadcast",IF(H339="",IF(I339="","",IF(I339&lt;128,"Connect "&amp;I339,INDEX(KdoCodeTab,MATCH(I339,KdoWertTab,0)))),"ReadStat "&amp;H339))</f>
        <v>SpaceCmd</v>
      </c>
      <c r="K339" t="str">
        <f t="shared" si="65"/>
        <v>SpaceCmd</v>
      </c>
      <c r="L339" t="str">
        <f t="shared" si="66"/>
        <v/>
      </c>
      <c r="M339" t="str">
        <f t="shared" si="67"/>
        <v/>
      </c>
    </row>
    <row r="340" spans="1:13" x14ac:dyDescent="0.25">
      <c r="A340" t="s">
        <v>1340</v>
      </c>
      <c r="B340" s="6">
        <f t="shared" si="57"/>
        <v>6.8703333333333338</v>
      </c>
      <c r="C340" s="9">
        <f t="shared" si="58"/>
        <v>0.83333333333435178</v>
      </c>
      <c r="D340" s="8" t="str">
        <f t="shared" si="59"/>
        <v>W</v>
      </c>
      <c r="E340" s="3">
        <f t="shared" si="60"/>
        <v>33</v>
      </c>
      <c r="F340" s="3" t="str">
        <f t="shared" si="61"/>
        <v>ack</v>
      </c>
      <c r="G340" s="3" t="str">
        <f t="shared" si="62"/>
        <v>96</v>
      </c>
      <c r="H340" s="3" t="str">
        <f t="shared" si="63"/>
        <v/>
      </c>
      <c r="I340" s="3">
        <f t="shared" si="64"/>
        <v>150</v>
      </c>
      <c r="J340" s="5" t="str">
        <f>IF(E340=0,"Broadcast",IF(H340="",IF(I340="","",IF(I340&lt;128,"Connect "&amp;I340,INDEX(KdoCodeTab,MATCH(I340,KdoWertTab,0)))),"ReadStat "&amp;H340))</f>
        <v>RepSpaceCmd</v>
      </c>
      <c r="K340" t="str">
        <f t="shared" si="65"/>
        <v>RepSpaceCmd</v>
      </c>
      <c r="L340" t="str">
        <f t="shared" si="66"/>
        <v/>
      </c>
      <c r="M340" t="str">
        <f t="shared" si="67"/>
        <v/>
      </c>
    </row>
    <row r="341" spans="1:13" x14ac:dyDescent="0.25">
      <c r="A341" t="s">
        <v>1341</v>
      </c>
      <c r="B341" s="6">
        <f t="shared" si="57"/>
        <v>6.8906666666666663</v>
      </c>
      <c r="C341" s="9">
        <f t="shared" si="58"/>
        <v>20.333333333332426</v>
      </c>
      <c r="D341" s="8" t="str">
        <f t="shared" si="59"/>
        <v>W</v>
      </c>
      <c r="E341" s="3">
        <f t="shared" si="60"/>
        <v>33</v>
      </c>
      <c r="F341" s="3" t="str">
        <f t="shared" si="61"/>
        <v>ack</v>
      </c>
      <c r="G341" s="3" t="str">
        <f t="shared" si="62"/>
        <v>9C</v>
      </c>
      <c r="H341" s="3" t="str">
        <f t="shared" si="63"/>
        <v/>
      </c>
      <c r="I341" s="3">
        <f t="shared" si="64"/>
        <v>156</v>
      </c>
      <c r="J341" s="5" t="str">
        <f>IF(E341=0,"Broadcast",IF(H341="",IF(I341="","",IF(I341&lt;128,"Connect "&amp;I341,INDEX(KdoCodeTab,MATCH(I341,KdoWertTab,0)))),"ReadStat "&amp;H341))</f>
        <v>MarkCmd</v>
      </c>
      <c r="K341" t="str">
        <f t="shared" si="65"/>
        <v>MarkCmd</v>
      </c>
      <c r="L341" t="str">
        <f t="shared" si="66"/>
        <v/>
      </c>
      <c r="M341" t="str">
        <f t="shared" si="67"/>
        <v/>
      </c>
    </row>
    <row r="342" spans="1:13" x14ac:dyDescent="0.25">
      <c r="A342" t="s">
        <v>1342</v>
      </c>
      <c r="B342" s="6">
        <f t="shared" si="57"/>
        <v>6.8916666666666666</v>
      </c>
      <c r="C342" s="9">
        <f t="shared" si="58"/>
        <v>1.000000000000334</v>
      </c>
      <c r="D342" s="8" t="str">
        <f t="shared" si="59"/>
        <v>W</v>
      </c>
      <c r="E342" s="3">
        <f t="shared" si="60"/>
        <v>33</v>
      </c>
      <c r="F342" s="3" t="str">
        <f t="shared" si="61"/>
        <v>ack</v>
      </c>
      <c r="G342" s="3" t="str">
        <f t="shared" si="62"/>
        <v>9A</v>
      </c>
      <c r="H342" s="3" t="str">
        <f t="shared" si="63"/>
        <v/>
      </c>
      <c r="I342" s="3">
        <f t="shared" si="64"/>
        <v>154</v>
      </c>
      <c r="J342" s="5" t="str">
        <f>IF(E342=0,"Broadcast",IF(H342="",IF(I342="","",IF(I342&lt;128,"Connect "&amp;I342,INDEX(KdoCodeTab,MATCH(I342,KdoWertTab,0)))),"ReadStat "&amp;H342))</f>
        <v>RepMarkCmd</v>
      </c>
      <c r="K342" t="str">
        <f t="shared" si="65"/>
        <v>RepMarkCmd</v>
      </c>
      <c r="L342" t="str">
        <f t="shared" si="66"/>
        <v/>
      </c>
      <c r="M342" t="str">
        <f t="shared" si="67"/>
        <v/>
      </c>
    </row>
    <row r="343" spans="1:13" x14ac:dyDescent="0.25">
      <c r="A343" t="s">
        <v>1343</v>
      </c>
      <c r="B343" s="6">
        <f t="shared" si="57"/>
        <v>7.0968333333333335</v>
      </c>
      <c r="C343" s="9">
        <f t="shared" si="58"/>
        <v>205.16666666666694</v>
      </c>
      <c r="D343" s="8" t="str">
        <f t="shared" si="59"/>
        <v>W</v>
      </c>
      <c r="E343" s="3">
        <f t="shared" si="60"/>
        <v>31</v>
      </c>
      <c r="F343" s="3" t="str">
        <f t="shared" si="61"/>
        <v>ack</v>
      </c>
      <c r="G343" s="3" t="str">
        <f t="shared" si="62"/>
        <v>A9</v>
      </c>
      <c r="H343" s="3" t="str">
        <f t="shared" si="63"/>
        <v/>
      </c>
      <c r="I343" s="3">
        <f t="shared" si="64"/>
        <v>169</v>
      </c>
      <c r="J343" s="5" t="str">
        <f>IF(E343=0,"Broadcast",IF(H343="",IF(I343="","",IF(I343&lt;128,"Connect "&amp;I343,INDEX(KdoCodeTab,MATCH(I343,KdoWertTab,0)))),"ReadStat "&amp;H343))</f>
        <v>Heartbeat</v>
      </c>
      <c r="K343" t="str">
        <f t="shared" si="65"/>
        <v/>
      </c>
      <c r="L343" t="str">
        <f t="shared" si="66"/>
        <v>Heartbeat</v>
      </c>
      <c r="M343" t="str">
        <f t="shared" si="67"/>
        <v/>
      </c>
    </row>
    <row r="344" spans="1:13" x14ac:dyDescent="0.25">
      <c r="A344" t="s">
        <v>1344</v>
      </c>
      <c r="B344" s="6">
        <f t="shared" si="57"/>
        <v>7.0978333333333339</v>
      </c>
      <c r="C344" s="9">
        <f t="shared" si="58"/>
        <v>1.000000000000334</v>
      </c>
      <c r="D344" s="8" t="str">
        <f t="shared" si="59"/>
        <v>W</v>
      </c>
      <c r="E344" s="3">
        <f t="shared" si="60"/>
        <v>33</v>
      </c>
      <c r="F344" s="3" t="str">
        <f t="shared" si="61"/>
        <v>ack</v>
      </c>
      <c r="G344" s="3" t="str">
        <f t="shared" si="62"/>
        <v>A9</v>
      </c>
      <c r="H344" s="3" t="str">
        <f t="shared" si="63"/>
        <v/>
      </c>
      <c r="I344" s="3">
        <f t="shared" si="64"/>
        <v>169</v>
      </c>
      <c r="J344" s="5" t="str">
        <f>IF(E344=0,"Broadcast",IF(H344="",IF(I344="","",IF(I344&lt;128,"Connect "&amp;I344,INDEX(KdoCodeTab,MATCH(I344,KdoWertTab,0)))),"ReadStat "&amp;H344))</f>
        <v>Heartbeat</v>
      </c>
      <c r="K344" t="str">
        <f t="shared" si="65"/>
        <v>Heartbeat</v>
      </c>
      <c r="L344" t="str">
        <f t="shared" si="66"/>
        <v/>
      </c>
      <c r="M344" t="str">
        <f t="shared" si="67"/>
        <v/>
      </c>
    </row>
    <row r="345" spans="1:13" x14ac:dyDescent="0.25">
      <c r="A345" t="s">
        <v>1345</v>
      </c>
      <c r="B345" s="6">
        <f t="shared" si="57"/>
        <v>7.1898333333333335</v>
      </c>
      <c r="C345" s="9">
        <f t="shared" si="58"/>
        <v>91.999999999999631</v>
      </c>
      <c r="D345" s="8" t="str">
        <f t="shared" si="59"/>
        <v>W</v>
      </c>
      <c r="E345" s="3">
        <f t="shared" si="60"/>
        <v>33</v>
      </c>
      <c r="F345" s="3" t="str">
        <f t="shared" si="61"/>
        <v>ack</v>
      </c>
      <c r="G345" s="3" t="str">
        <f t="shared" si="62"/>
        <v>93</v>
      </c>
      <c r="H345" s="3" t="str">
        <f t="shared" si="63"/>
        <v/>
      </c>
      <c r="I345" s="3">
        <f t="shared" si="64"/>
        <v>147</v>
      </c>
      <c r="J345" s="5" t="str">
        <f>IF(E345=0,"Broadcast",IF(H345="",IF(I345="","",IF(I345&lt;128,"Connect "&amp;I345,INDEX(KdoCodeTab,MATCH(I345,KdoWertTab,0)))),"ReadStat "&amp;H345))</f>
        <v>SpaceCmd</v>
      </c>
      <c r="K345" t="str">
        <f t="shared" si="65"/>
        <v>SpaceCmd</v>
      </c>
      <c r="L345" t="str">
        <f t="shared" si="66"/>
        <v/>
      </c>
      <c r="M345" t="str">
        <f t="shared" si="67"/>
        <v/>
      </c>
    </row>
    <row r="346" spans="1:13" x14ac:dyDescent="0.25">
      <c r="A346" t="s">
        <v>1346</v>
      </c>
      <c r="B346" s="6">
        <f t="shared" si="57"/>
        <v>7.190666666666667</v>
      </c>
      <c r="C346" s="9">
        <f t="shared" si="58"/>
        <v>0.8333333333334636</v>
      </c>
      <c r="D346" s="8" t="str">
        <f t="shared" si="59"/>
        <v>W</v>
      </c>
      <c r="E346" s="3">
        <f t="shared" si="60"/>
        <v>33</v>
      </c>
      <c r="F346" s="3" t="str">
        <f t="shared" si="61"/>
        <v>ack</v>
      </c>
      <c r="G346" s="3" t="str">
        <f t="shared" si="62"/>
        <v>96</v>
      </c>
      <c r="H346" s="3" t="str">
        <f t="shared" si="63"/>
        <v/>
      </c>
      <c r="I346" s="3">
        <f t="shared" si="64"/>
        <v>150</v>
      </c>
      <c r="J346" s="5" t="str">
        <f>IF(E346=0,"Broadcast",IF(H346="",IF(I346="","",IF(I346&lt;128,"Connect "&amp;I346,INDEX(KdoCodeTab,MATCH(I346,KdoWertTab,0)))),"ReadStat "&amp;H346))</f>
        <v>RepSpaceCmd</v>
      </c>
      <c r="K346" t="str">
        <f t="shared" si="65"/>
        <v>RepSpaceCmd</v>
      </c>
      <c r="L346" t="str">
        <f t="shared" si="66"/>
        <v/>
      </c>
      <c r="M346" t="str">
        <f t="shared" si="67"/>
        <v/>
      </c>
    </row>
    <row r="347" spans="1:13" x14ac:dyDescent="0.25">
      <c r="A347" t="s">
        <v>1347</v>
      </c>
      <c r="B347" s="6">
        <f t="shared" si="57"/>
        <v>7.2303333333333342</v>
      </c>
      <c r="C347" s="9">
        <f t="shared" si="58"/>
        <v>39.666666666667183</v>
      </c>
      <c r="D347" s="8" t="str">
        <f t="shared" si="59"/>
        <v>W</v>
      </c>
      <c r="E347" s="3">
        <f t="shared" si="60"/>
        <v>33</v>
      </c>
      <c r="F347" s="3" t="str">
        <f t="shared" si="61"/>
        <v>ack</v>
      </c>
      <c r="G347" s="3" t="str">
        <f t="shared" si="62"/>
        <v>9C</v>
      </c>
      <c r="H347" s="3" t="str">
        <f t="shared" si="63"/>
        <v/>
      </c>
      <c r="I347" s="3">
        <f t="shared" si="64"/>
        <v>156</v>
      </c>
      <c r="J347" s="5" t="str">
        <f>IF(E347=0,"Broadcast",IF(H347="",IF(I347="","",IF(I347&lt;128,"Connect "&amp;I347,INDEX(KdoCodeTab,MATCH(I347,KdoWertTab,0)))),"ReadStat "&amp;H347))</f>
        <v>MarkCmd</v>
      </c>
      <c r="K347" t="str">
        <f t="shared" si="65"/>
        <v>MarkCmd</v>
      </c>
      <c r="L347" t="str">
        <f t="shared" si="66"/>
        <v/>
      </c>
      <c r="M347" t="str">
        <f t="shared" si="67"/>
        <v/>
      </c>
    </row>
    <row r="348" spans="1:13" x14ac:dyDescent="0.25">
      <c r="A348" t="s">
        <v>1348</v>
      </c>
      <c r="B348" s="6">
        <f t="shared" si="57"/>
        <v>7.2311666666666667</v>
      </c>
      <c r="C348" s="9">
        <f t="shared" si="58"/>
        <v>0.83333333333257542</v>
      </c>
      <c r="D348" s="8" t="str">
        <f t="shared" si="59"/>
        <v>W</v>
      </c>
      <c r="E348" s="3">
        <f t="shared" si="60"/>
        <v>33</v>
      </c>
      <c r="F348" s="3" t="str">
        <f t="shared" si="61"/>
        <v>ack</v>
      </c>
      <c r="G348" s="3" t="str">
        <f t="shared" si="62"/>
        <v>9A</v>
      </c>
      <c r="H348" s="3" t="str">
        <f t="shared" si="63"/>
        <v/>
      </c>
      <c r="I348" s="3">
        <f t="shared" si="64"/>
        <v>154</v>
      </c>
      <c r="J348" s="5" t="str">
        <f>IF(E348=0,"Broadcast",IF(H348="",IF(I348="","",IF(I348&lt;128,"Connect "&amp;I348,INDEX(KdoCodeTab,MATCH(I348,KdoWertTab,0)))),"ReadStat "&amp;H348))</f>
        <v>RepMarkCmd</v>
      </c>
      <c r="K348" t="str">
        <f t="shared" si="65"/>
        <v>RepMarkCmd</v>
      </c>
      <c r="L348" t="str">
        <f t="shared" si="66"/>
        <v/>
      </c>
      <c r="M348" t="str">
        <f t="shared" si="67"/>
        <v/>
      </c>
    </row>
    <row r="349" spans="1:13" x14ac:dyDescent="0.25">
      <c r="A349" t="s">
        <v>1349</v>
      </c>
      <c r="B349" s="6">
        <f t="shared" si="57"/>
        <v>7.2493333333333334</v>
      </c>
      <c r="C349" s="9">
        <f t="shared" si="58"/>
        <v>18.166666666666664</v>
      </c>
      <c r="D349" s="8" t="str">
        <f t="shared" si="59"/>
        <v>W</v>
      </c>
      <c r="E349" s="3">
        <f t="shared" si="60"/>
        <v>33</v>
      </c>
      <c r="F349" s="3" t="str">
        <f t="shared" si="61"/>
        <v>ack</v>
      </c>
      <c r="G349" s="3" t="str">
        <f t="shared" si="62"/>
        <v>93</v>
      </c>
      <c r="H349" s="3" t="str">
        <f t="shared" si="63"/>
        <v/>
      </c>
      <c r="I349" s="3">
        <f t="shared" si="64"/>
        <v>147</v>
      </c>
      <c r="J349" s="5" t="str">
        <f>IF(E349=0,"Broadcast",IF(H349="",IF(I349="","",IF(I349&lt;128,"Connect "&amp;I349,INDEX(KdoCodeTab,MATCH(I349,KdoWertTab,0)))),"ReadStat "&amp;H349))</f>
        <v>SpaceCmd</v>
      </c>
      <c r="K349" t="str">
        <f t="shared" si="65"/>
        <v>SpaceCmd</v>
      </c>
      <c r="L349" t="str">
        <f t="shared" si="66"/>
        <v/>
      </c>
      <c r="M349" t="str">
        <f t="shared" si="67"/>
        <v/>
      </c>
    </row>
    <row r="350" spans="1:13" x14ac:dyDescent="0.25">
      <c r="A350" t="s">
        <v>1350</v>
      </c>
      <c r="B350" s="6">
        <f t="shared" si="57"/>
        <v>7.2503333333333337</v>
      </c>
      <c r="C350" s="9">
        <f t="shared" si="58"/>
        <v>1.000000000000334</v>
      </c>
      <c r="D350" s="8" t="str">
        <f t="shared" si="59"/>
        <v>W</v>
      </c>
      <c r="E350" s="3">
        <f t="shared" si="60"/>
        <v>33</v>
      </c>
      <c r="F350" s="3" t="str">
        <f t="shared" si="61"/>
        <v>ack</v>
      </c>
      <c r="G350" s="3" t="str">
        <f t="shared" si="62"/>
        <v>96</v>
      </c>
      <c r="H350" s="3" t="str">
        <f t="shared" si="63"/>
        <v/>
      </c>
      <c r="I350" s="3">
        <f t="shared" si="64"/>
        <v>150</v>
      </c>
      <c r="J350" s="5" t="str">
        <f>IF(E350=0,"Broadcast",IF(H350="",IF(I350="","",IF(I350&lt;128,"Connect "&amp;I350,INDEX(KdoCodeTab,MATCH(I350,KdoWertTab,0)))),"ReadStat "&amp;H350))</f>
        <v>RepSpaceCmd</v>
      </c>
      <c r="K350" t="str">
        <f t="shared" si="65"/>
        <v>RepSpaceCmd</v>
      </c>
      <c r="L350" t="str">
        <f t="shared" si="66"/>
        <v/>
      </c>
      <c r="M350" t="str">
        <f t="shared" si="67"/>
        <v/>
      </c>
    </row>
    <row r="351" spans="1:13" x14ac:dyDescent="0.25">
      <c r="A351" t="s">
        <v>1351</v>
      </c>
      <c r="B351" s="6">
        <f t="shared" si="57"/>
        <v>7.31</v>
      </c>
      <c r="C351" s="9">
        <f t="shared" si="58"/>
        <v>59.666666666665868</v>
      </c>
      <c r="D351" s="8" t="str">
        <f t="shared" si="59"/>
        <v>W</v>
      </c>
      <c r="E351" s="3">
        <f t="shared" si="60"/>
        <v>33</v>
      </c>
      <c r="F351" s="3" t="str">
        <f t="shared" si="61"/>
        <v>ack</v>
      </c>
      <c r="G351" s="3" t="str">
        <f t="shared" si="62"/>
        <v>9C</v>
      </c>
      <c r="H351" s="3" t="str">
        <f t="shared" si="63"/>
        <v/>
      </c>
      <c r="I351" s="3">
        <f t="shared" si="64"/>
        <v>156</v>
      </c>
      <c r="J351" s="5" t="str">
        <f>IF(E351=0,"Broadcast",IF(H351="",IF(I351="","",IF(I351&lt;128,"Connect "&amp;I351,INDEX(KdoCodeTab,MATCH(I351,KdoWertTab,0)))),"ReadStat "&amp;H351))</f>
        <v>MarkCmd</v>
      </c>
      <c r="K351" t="str">
        <f t="shared" si="65"/>
        <v>MarkCmd</v>
      </c>
      <c r="L351" t="str">
        <f t="shared" si="66"/>
        <v/>
      </c>
      <c r="M351" t="str">
        <f t="shared" si="67"/>
        <v/>
      </c>
    </row>
    <row r="352" spans="1:13" x14ac:dyDescent="0.25">
      <c r="A352" t="s">
        <v>1352</v>
      </c>
      <c r="B352" s="6">
        <f t="shared" si="57"/>
        <v>7.3109999999999999</v>
      </c>
      <c r="C352" s="9">
        <f t="shared" si="58"/>
        <v>1.000000000000334</v>
      </c>
      <c r="D352" s="8" t="str">
        <f t="shared" si="59"/>
        <v>W</v>
      </c>
      <c r="E352" s="3">
        <f t="shared" si="60"/>
        <v>33</v>
      </c>
      <c r="F352" s="3" t="str">
        <f t="shared" si="61"/>
        <v>ack</v>
      </c>
      <c r="G352" s="3" t="str">
        <f t="shared" si="62"/>
        <v>9A</v>
      </c>
      <c r="H352" s="3" t="str">
        <f t="shared" si="63"/>
        <v/>
      </c>
      <c r="I352" s="3">
        <f t="shared" si="64"/>
        <v>154</v>
      </c>
      <c r="J352" s="5" t="str">
        <f>IF(E352=0,"Broadcast",IF(H352="",IF(I352="","",IF(I352&lt;128,"Connect "&amp;I352,INDEX(KdoCodeTab,MATCH(I352,KdoWertTab,0)))),"ReadStat "&amp;H352))</f>
        <v>RepMarkCmd</v>
      </c>
      <c r="K352" t="str">
        <f t="shared" si="65"/>
        <v>RepMarkCmd</v>
      </c>
      <c r="L352" t="str">
        <f t="shared" si="66"/>
        <v/>
      </c>
      <c r="M352" t="str">
        <f t="shared" si="67"/>
        <v/>
      </c>
    </row>
    <row r="353" spans="1:13" x14ac:dyDescent="0.25">
      <c r="A353" t="s">
        <v>1353</v>
      </c>
      <c r="B353" s="6">
        <f t="shared" si="57"/>
        <v>7.379833333333333</v>
      </c>
      <c r="C353" s="9">
        <f t="shared" si="58"/>
        <v>68.833333333333087</v>
      </c>
      <c r="D353" s="8" t="str">
        <f t="shared" si="59"/>
        <v>W</v>
      </c>
      <c r="E353" s="3">
        <f t="shared" si="60"/>
        <v>33</v>
      </c>
      <c r="F353" s="3" t="str">
        <f t="shared" si="61"/>
        <v>ack</v>
      </c>
      <c r="G353" s="3" t="str">
        <f t="shared" si="62"/>
        <v>93</v>
      </c>
      <c r="H353" s="3" t="str">
        <f t="shared" si="63"/>
        <v/>
      </c>
      <c r="I353" s="3">
        <f t="shared" si="64"/>
        <v>147</v>
      </c>
      <c r="J353" s="5" t="str">
        <f>IF(E353=0,"Broadcast",IF(H353="",IF(I353="","",IF(I353&lt;128,"Connect "&amp;I353,INDEX(KdoCodeTab,MATCH(I353,KdoWertTab,0)))),"ReadStat "&amp;H353))</f>
        <v>SpaceCmd</v>
      </c>
      <c r="K353" t="str">
        <f t="shared" si="65"/>
        <v>SpaceCmd</v>
      </c>
      <c r="L353" t="str">
        <f t="shared" si="66"/>
        <v/>
      </c>
      <c r="M353" t="str">
        <f t="shared" si="67"/>
        <v/>
      </c>
    </row>
    <row r="354" spans="1:13" x14ac:dyDescent="0.25">
      <c r="A354" t="s">
        <v>1354</v>
      </c>
      <c r="B354" s="6">
        <f t="shared" si="57"/>
        <v>7.3806666666666665</v>
      </c>
      <c r="C354" s="9">
        <f t="shared" si="58"/>
        <v>0.8333333333334636</v>
      </c>
      <c r="D354" s="8" t="str">
        <f t="shared" si="59"/>
        <v>W</v>
      </c>
      <c r="E354" s="3">
        <f t="shared" si="60"/>
        <v>33</v>
      </c>
      <c r="F354" s="3" t="str">
        <f t="shared" si="61"/>
        <v>ack</v>
      </c>
      <c r="G354" s="3" t="str">
        <f t="shared" si="62"/>
        <v>96</v>
      </c>
      <c r="H354" s="3" t="str">
        <f t="shared" si="63"/>
        <v/>
      </c>
      <c r="I354" s="3">
        <f t="shared" si="64"/>
        <v>150</v>
      </c>
      <c r="J354" s="5" t="str">
        <f>IF(E354=0,"Broadcast",IF(H354="",IF(I354="","",IF(I354&lt;128,"Connect "&amp;I354,INDEX(KdoCodeTab,MATCH(I354,KdoWertTab,0)))),"ReadStat "&amp;H354))</f>
        <v>RepSpaceCmd</v>
      </c>
      <c r="K354" t="str">
        <f t="shared" si="65"/>
        <v>RepSpaceCmd</v>
      </c>
      <c r="L354" t="str">
        <f t="shared" si="66"/>
        <v/>
      </c>
      <c r="M354" t="str">
        <f t="shared" si="67"/>
        <v/>
      </c>
    </row>
    <row r="355" spans="1:13" x14ac:dyDescent="0.25">
      <c r="A355" t="s">
        <v>1355</v>
      </c>
      <c r="B355" s="6">
        <f t="shared" si="57"/>
        <v>7.4201666666666668</v>
      </c>
      <c r="C355" s="9">
        <f t="shared" si="58"/>
        <v>39.500000000000313</v>
      </c>
      <c r="D355" s="8" t="str">
        <f t="shared" si="59"/>
        <v>W</v>
      </c>
      <c r="E355" s="3">
        <f t="shared" si="60"/>
        <v>33</v>
      </c>
      <c r="F355" s="3" t="str">
        <f t="shared" si="61"/>
        <v>ack</v>
      </c>
      <c r="G355" s="3" t="str">
        <f t="shared" si="62"/>
        <v>9C</v>
      </c>
      <c r="H355" s="3" t="str">
        <f t="shared" si="63"/>
        <v/>
      </c>
      <c r="I355" s="3">
        <f t="shared" si="64"/>
        <v>156</v>
      </c>
      <c r="J355" s="5" t="str">
        <f>IF(E355=0,"Broadcast",IF(H355="",IF(I355="","",IF(I355&lt;128,"Connect "&amp;I355,INDEX(KdoCodeTab,MATCH(I355,KdoWertTab,0)))),"ReadStat "&amp;H355))</f>
        <v>MarkCmd</v>
      </c>
      <c r="K355" t="str">
        <f t="shared" si="65"/>
        <v>MarkCmd</v>
      </c>
      <c r="L355" t="str">
        <f t="shared" si="66"/>
        <v/>
      </c>
      <c r="M355" t="str">
        <f t="shared" si="67"/>
        <v/>
      </c>
    </row>
    <row r="356" spans="1:13" x14ac:dyDescent="0.25">
      <c r="A356" t="s">
        <v>1356</v>
      </c>
      <c r="B356" s="6">
        <f t="shared" si="57"/>
        <v>7.4210000000000003</v>
      </c>
      <c r="C356" s="9">
        <f t="shared" si="58"/>
        <v>0.8333333333334636</v>
      </c>
      <c r="D356" s="8" t="str">
        <f t="shared" si="59"/>
        <v>W</v>
      </c>
      <c r="E356" s="3">
        <f t="shared" si="60"/>
        <v>33</v>
      </c>
      <c r="F356" s="3" t="str">
        <f t="shared" si="61"/>
        <v>ack</v>
      </c>
      <c r="G356" s="3" t="str">
        <f t="shared" si="62"/>
        <v>9A</v>
      </c>
      <c r="H356" s="3" t="str">
        <f t="shared" si="63"/>
        <v/>
      </c>
      <c r="I356" s="3">
        <f t="shared" si="64"/>
        <v>154</v>
      </c>
      <c r="J356" s="5" t="str">
        <f>IF(E356=0,"Broadcast",IF(H356="",IF(I356="","",IF(I356&lt;128,"Connect "&amp;I356,INDEX(KdoCodeTab,MATCH(I356,KdoWertTab,0)))),"ReadStat "&amp;H356))</f>
        <v>RepMarkCmd</v>
      </c>
      <c r="K356" t="str">
        <f t="shared" si="65"/>
        <v>RepMarkCmd</v>
      </c>
      <c r="L356" t="str">
        <f t="shared" si="66"/>
        <v/>
      </c>
      <c r="M356" t="str">
        <f t="shared" si="67"/>
        <v/>
      </c>
    </row>
    <row r="357" spans="1:13" x14ac:dyDescent="0.25">
      <c r="A357" t="s">
        <v>1357</v>
      </c>
      <c r="B357" s="6">
        <f t="shared" si="57"/>
        <v>7.4393333333333338</v>
      </c>
      <c r="C357" s="9">
        <f t="shared" si="58"/>
        <v>18.333333333333535</v>
      </c>
      <c r="D357" s="8" t="str">
        <f t="shared" si="59"/>
        <v>W</v>
      </c>
      <c r="E357" s="3">
        <f t="shared" si="60"/>
        <v>33</v>
      </c>
      <c r="F357" s="3" t="str">
        <f t="shared" si="61"/>
        <v>ack</v>
      </c>
      <c r="G357" s="3" t="str">
        <f t="shared" si="62"/>
        <v>93</v>
      </c>
      <c r="H357" s="3" t="str">
        <f t="shared" si="63"/>
        <v/>
      </c>
      <c r="I357" s="3">
        <f t="shared" si="64"/>
        <v>147</v>
      </c>
      <c r="J357" s="5" t="str">
        <f>IF(E357=0,"Broadcast",IF(H357="",IF(I357="","",IF(I357&lt;128,"Connect "&amp;I357,INDEX(KdoCodeTab,MATCH(I357,KdoWertTab,0)))),"ReadStat "&amp;H357))</f>
        <v>SpaceCmd</v>
      </c>
      <c r="K357" t="str">
        <f t="shared" si="65"/>
        <v>SpaceCmd</v>
      </c>
      <c r="L357" t="str">
        <f t="shared" si="66"/>
        <v/>
      </c>
      <c r="M357" t="str">
        <f t="shared" si="67"/>
        <v/>
      </c>
    </row>
    <row r="358" spans="1:13" x14ac:dyDescent="0.25">
      <c r="A358" t="s">
        <v>1358</v>
      </c>
      <c r="B358" s="6">
        <f t="shared" si="57"/>
        <v>7.4403333333333341</v>
      </c>
      <c r="C358" s="9">
        <f t="shared" si="58"/>
        <v>1.000000000000334</v>
      </c>
      <c r="D358" s="8" t="str">
        <f t="shared" si="59"/>
        <v>W</v>
      </c>
      <c r="E358" s="3">
        <f t="shared" si="60"/>
        <v>33</v>
      </c>
      <c r="F358" s="3" t="str">
        <f t="shared" si="61"/>
        <v>ack</v>
      </c>
      <c r="G358" s="3" t="str">
        <f t="shared" si="62"/>
        <v>96</v>
      </c>
      <c r="H358" s="3" t="str">
        <f t="shared" si="63"/>
        <v/>
      </c>
      <c r="I358" s="3">
        <f t="shared" si="64"/>
        <v>150</v>
      </c>
      <c r="J358" s="5" t="str">
        <f>IF(E358=0,"Broadcast",IF(H358="",IF(I358="","",IF(I358&lt;128,"Connect "&amp;I358,INDEX(KdoCodeTab,MATCH(I358,KdoWertTab,0)))),"ReadStat "&amp;H358))</f>
        <v>RepSpaceCmd</v>
      </c>
      <c r="K358" t="str">
        <f t="shared" si="65"/>
        <v>RepSpaceCmd</v>
      </c>
      <c r="L358" t="str">
        <f t="shared" si="66"/>
        <v/>
      </c>
      <c r="M358" t="str">
        <f t="shared" si="67"/>
        <v/>
      </c>
    </row>
    <row r="359" spans="1:13" x14ac:dyDescent="0.25">
      <c r="A359" t="s">
        <v>1359</v>
      </c>
      <c r="B359" s="6">
        <f t="shared" si="57"/>
        <v>7.4998333333333331</v>
      </c>
      <c r="C359" s="9">
        <f t="shared" si="58"/>
        <v>59.499999999998998</v>
      </c>
      <c r="D359" s="8" t="str">
        <f t="shared" si="59"/>
        <v>W</v>
      </c>
      <c r="E359" s="3">
        <f t="shared" si="60"/>
        <v>33</v>
      </c>
      <c r="F359" s="3" t="str">
        <f t="shared" si="61"/>
        <v>ack</v>
      </c>
      <c r="G359" s="3" t="str">
        <f t="shared" si="62"/>
        <v>9C</v>
      </c>
      <c r="H359" s="3" t="str">
        <f t="shared" si="63"/>
        <v/>
      </c>
      <c r="I359" s="3">
        <f t="shared" si="64"/>
        <v>156</v>
      </c>
      <c r="J359" s="5" t="str">
        <f>IF(E359=0,"Broadcast",IF(H359="",IF(I359="","",IF(I359&lt;128,"Connect "&amp;I359,INDEX(KdoCodeTab,MATCH(I359,KdoWertTab,0)))),"ReadStat "&amp;H359))</f>
        <v>MarkCmd</v>
      </c>
      <c r="K359" t="str">
        <f t="shared" si="65"/>
        <v>MarkCmd</v>
      </c>
      <c r="L359" t="str">
        <f t="shared" si="66"/>
        <v/>
      </c>
      <c r="M359" t="str">
        <f t="shared" si="67"/>
        <v/>
      </c>
    </row>
    <row r="360" spans="1:13" x14ac:dyDescent="0.25">
      <c r="A360" t="s">
        <v>1360</v>
      </c>
      <c r="B360" s="6">
        <f t="shared" si="57"/>
        <v>7.5008333333333335</v>
      </c>
      <c r="C360" s="9">
        <f t="shared" si="58"/>
        <v>1.000000000000334</v>
      </c>
      <c r="D360" s="8" t="str">
        <f t="shared" si="59"/>
        <v>W</v>
      </c>
      <c r="E360" s="3">
        <f t="shared" si="60"/>
        <v>33</v>
      </c>
      <c r="F360" s="3" t="str">
        <f t="shared" si="61"/>
        <v>ack</v>
      </c>
      <c r="G360" s="3" t="str">
        <f t="shared" si="62"/>
        <v>9A</v>
      </c>
      <c r="H360" s="3" t="str">
        <f t="shared" si="63"/>
        <v/>
      </c>
      <c r="I360" s="3">
        <f t="shared" si="64"/>
        <v>154</v>
      </c>
      <c r="J360" s="5" t="str">
        <f>IF(E360=0,"Broadcast",IF(H360="",IF(I360="","",IF(I360&lt;128,"Connect "&amp;I360,INDEX(KdoCodeTab,MATCH(I360,KdoWertTab,0)))),"ReadStat "&amp;H360))</f>
        <v>RepMarkCmd</v>
      </c>
      <c r="K360" t="str">
        <f t="shared" si="65"/>
        <v>RepMarkCmd</v>
      </c>
      <c r="L360" t="str">
        <f t="shared" si="66"/>
        <v/>
      </c>
      <c r="M360" t="str">
        <f t="shared" si="67"/>
        <v/>
      </c>
    </row>
    <row r="361" spans="1:13" x14ac:dyDescent="0.25">
      <c r="A361" t="s">
        <v>1361</v>
      </c>
      <c r="B361" s="6">
        <f t="shared" si="57"/>
        <v>7.5393333333333334</v>
      </c>
      <c r="C361" s="9">
        <f t="shared" si="58"/>
        <v>38.499999999999979</v>
      </c>
      <c r="D361" s="8" t="str">
        <f t="shared" si="59"/>
        <v>W</v>
      </c>
      <c r="E361" s="3">
        <f t="shared" si="60"/>
        <v>33</v>
      </c>
      <c r="F361" s="3" t="str">
        <f t="shared" si="61"/>
        <v>ack</v>
      </c>
      <c r="G361" s="3" t="str">
        <f t="shared" si="62"/>
        <v>93</v>
      </c>
      <c r="H361" s="3" t="str">
        <f t="shared" si="63"/>
        <v/>
      </c>
      <c r="I361" s="3">
        <f t="shared" si="64"/>
        <v>147</v>
      </c>
      <c r="J361" s="5" t="str">
        <f>IF(E361=0,"Broadcast",IF(H361="",IF(I361="","",IF(I361&lt;128,"Connect "&amp;I361,INDEX(KdoCodeTab,MATCH(I361,KdoWertTab,0)))),"ReadStat "&amp;H361))</f>
        <v>SpaceCmd</v>
      </c>
      <c r="K361" t="str">
        <f t="shared" si="65"/>
        <v>SpaceCmd</v>
      </c>
      <c r="L361" t="str">
        <f t="shared" si="66"/>
        <v/>
      </c>
      <c r="M361" t="str">
        <f t="shared" si="67"/>
        <v/>
      </c>
    </row>
    <row r="362" spans="1:13" x14ac:dyDescent="0.25">
      <c r="A362" t="s">
        <v>1362</v>
      </c>
      <c r="B362" s="6">
        <f t="shared" si="57"/>
        <v>7.5403333333333338</v>
      </c>
      <c r="C362" s="9">
        <f t="shared" si="58"/>
        <v>1.000000000000334</v>
      </c>
      <c r="D362" s="8" t="str">
        <f t="shared" si="59"/>
        <v>W</v>
      </c>
      <c r="E362" s="3">
        <f t="shared" si="60"/>
        <v>33</v>
      </c>
      <c r="F362" s="3" t="str">
        <f t="shared" si="61"/>
        <v>ack</v>
      </c>
      <c r="G362" s="3" t="str">
        <f t="shared" si="62"/>
        <v>96</v>
      </c>
      <c r="H362" s="3" t="str">
        <f t="shared" si="63"/>
        <v/>
      </c>
      <c r="I362" s="3">
        <f t="shared" si="64"/>
        <v>150</v>
      </c>
      <c r="J362" s="5" t="str">
        <f>IF(E362=0,"Broadcast",IF(H362="",IF(I362="","",IF(I362&lt;128,"Connect "&amp;I362,INDEX(KdoCodeTab,MATCH(I362,KdoWertTab,0)))),"ReadStat "&amp;H362))</f>
        <v>RepSpaceCmd</v>
      </c>
      <c r="K362" t="str">
        <f t="shared" si="65"/>
        <v>RepSpaceCmd</v>
      </c>
      <c r="L362" t="str">
        <f t="shared" si="66"/>
        <v/>
      </c>
      <c r="M362" t="str">
        <f t="shared" si="67"/>
        <v/>
      </c>
    </row>
    <row r="363" spans="1:13" x14ac:dyDescent="0.25">
      <c r="A363" t="s">
        <v>1363</v>
      </c>
      <c r="B363" s="6">
        <f t="shared" si="57"/>
        <v>7.5796666666666663</v>
      </c>
      <c r="C363" s="9">
        <f t="shared" si="58"/>
        <v>39.333333333332554</v>
      </c>
      <c r="D363" s="8" t="str">
        <f t="shared" si="59"/>
        <v>W</v>
      </c>
      <c r="E363" s="3">
        <f t="shared" si="60"/>
        <v>33</v>
      </c>
      <c r="F363" s="3" t="str">
        <f t="shared" si="61"/>
        <v>ack</v>
      </c>
      <c r="G363" s="3" t="str">
        <f t="shared" si="62"/>
        <v>9C</v>
      </c>
      <c r="H363" s="3" t="str">
        <f t="shared" si="63"/>
        <v/>
      </c>
      <c r="I363" s="3">
        <f t="shared" si="64"/>
        <v>156</v>
      </c>
      <c r="J363" s="5" t="str">
        <f>IF(E363=0,"Broadcast",IF(H363="",IF(I363="","",IF(I363&lt;128,"Connect "&amp;I363,INDEX(KdoCodeTab,MATCH(I363,KdoWertTab,0)))),"ReadStat "&amp;H363))</f>
        <v>MarkCmd</v>
      </c>
      <c r="K363" t="str">
        <f t="shared" si="65"/>
        <v>MarkCmd</v>
      </c>
      <c r="L363" t="str">
        <f t="shared" si="66"/>
        <v/>
      </c>
      <c r="M363" t="str">
        <f t="shared" si="67"/>
        <v/>
      </c>
    </row>
    <row r="364" spans="1:13" x14ac:dyDescent="0.25">
      <c r="A364" t="s">
        <v>1364</v>
      </c>
      <c r="B364" s="6">
        <f t="shared" si="57"/>
        <v>7.5806666666666667</v>
      </c>
      <c r="C364" s="9">
        <f t="shared" si="58"/>
        <v>1.000000000000334</v>
      </c>
      <c r="D364" s="8" t="str">
        <f t="shared" si="59"/>
        <v>W</v>
      </c>
      <c r="E364" s="3">
        <f t="shared" si="60"/>
        <v>33</v>
      </c>
      <c r="F364" s="3" t="str">
        <f t="shared" si="61"/>
        <v>ack</v>
      </c>
      <c r="G364" s="3" t="str">
        <f t="shared" si="62"/>
        <v>9A</v>
      </c>
      <c r="H364" s="3" t="str">
        <f t="shared" si="63"/>
        <v/>
      </c>
      <c r="I364" s="3">
        <f t="shared" si="64"/>
        <v>154</v>
      </c>
      <c r="J364" s="5" t="str">
        <f>IF(E364=0,"Broadcast",IF(H364="",IF(I364="","",IF(I364&lt;128,"Connect "&amp;I364,INDEX(KdoCodeTab,MATCH(I364,KdoWertTab,0)))),"ReadStat "&amp;H364))</f>
        <v>RepMarkCmd</v>
      </c>
      <c r="K364" t="str">
        <f t="shared" si="65"/>
        <v>RepMarkCmd</v>
      </c>
      <c r="L364" t="str">
        <f t="shared" si="66"/>
        <v/>
      </c>
      <c r="M364" t="str">
        <f t="shared" si="67"/>
        <v/>
      </c>
    </row>
    <row r="365" spans="1:13" x14ac:dyDescent="0.25">
      <c r="A365" t="s">
        <v>1365</v>
      </c>
      <c r="B365" s="6">
        <f t="shared" si="57"/>
        <v>7.5990000000000002</v>
      </c>
      <c r="C365" s="9">
        <f t="shared" si="58"/>
        <v>18.333333333333535</v>
      </c>
      <c r="D365" s="8" t="str">
        <f t="shared" si="59"/>
        <v>W</v>
      </c>
      <c r="E365" s="3">
        <f t="shared" si="60"/>
        <v>33</v>
      </c>
      <c r="F365" s="3" t="str">
        <f t="shared" si="61"/>
        <v>ack</v>
      </c>
      <c r="G365" s="3" t="str">
        <f t="shared" si="62"/>
        <v>93</v>
      </c>
      <c r="H365" s="3" t="str">
        <f t="shared" si="63"/>
        <v/>
      </c>
      <c r="I365" s="3">
        <f t="shared" si="64"/>
        <v>147</v>
      </c>
      <c r="J365" s="5" t="str">
        <f>IF(E365=0,"Broadcast",IF(H365="",IF(I365="","",IF(I365&lt;128,"Connect "&amp;I365,INDEX(KdoCodeTab,MATCH(I365,KdoWertTab,0)))),"ReadStat "&amp;H365))</f>
        <v>SpaceCmd</v>
      </c>
      <c r="K365" t="str">
        <f t="shared" si="65"/>
        <v>SpaceCmd</v>
      </c>
      <c r="L365" t="str">
        <f t="shared" si="66"/>
        <v/>
      </c>
      <c r="M365" t="str">
        <f t="shared" si="67"/>
        <v/>
      </c>
    </row>
    <row r="366" spans="1:13" x14ac:dyDescent="0.25">
      <c r="A366" t="s">
        <v>1366</v>
      </c>
      <c r="B366" s="6">
        <f t="shared" si="57"/>
        <v>7.5998333333333337</v>
      </c>
      <c r="C366" s="9">
        <f t="shared" si="58"/>
        <v>0.8333333333334636</v>
      </c>
      <c r="D366" s="8" t="str">
        <f t="shared" si="59"/>
        <v>W</v>
      </c>
      <c r="E366" s="3">
        <f t="shared" si="60"/>
        <v>33</v>
      </c>
      <c r="F366" s="3" t="str">
        <f t="shared" si="61"/>
        <v>ack</v>
      </c>
      <c r="G366" s="3" t="str">
        <f t="shared" si="62"/>
        <v>96</v>
      </c>
      <c r="H366" s="3" t="str">
        <f t="shared" si="63"/>
        <v/>
      </c>
      <c r="I366" s="3">
        <f t="shared" si="64"/>
        <v>150</v>
      </c>
      <c r="J366" s="5" t="str">
        <f>IF(E366=0,"Broadcast",IF(H366="",IF(I366="","",IF(I366&lt;128,"Connect "&amp;I366,INDEX(KdoCodeTab,MATCH(I366,KdoWertTab,0)))),"ReadStat "&amp;H366))</f>
        <v>RepSpaceCmd</v>
      </c>
      <c r="K366" t="str">
        <f t="shared" si="65"/>
        <v>RepSpaceCmd</v>
      </c>
      <c r="L366" t="str">
        <f t="shared" si="66"/>
        <v/>
      </c>
      <c r="M366" t="str">
        <f t="shared" si="67"/>
        <v/>
      </c>
    </row>
    <row r="367" spans="1:13" x14ac:dyDescent="0.25">
      <c r="A367" t="s">
        <v>1367</v>
      </c>
      <c r="B367" s="6">
        <f t="shared" si="57"/>
        <v>7.6596666666666664</v>
      </c>
      <c r="C367" s="9">
        <f t="shared" si="58"/>
        <v>59.833333333332739</v>
      </c>
      <c r="D367" s="8" t="str">
        <f t="shared" si="59"/>
        <v>W</v>
      </c>
      <c r="E367" s="3">
        <f t="shared" si="60"/>
        <v>33</v>
      </c>
      <c r="F367" s="3" t="str">
        <f t="shared" si="61"/>
        <v>ack</v>
      </c>
      <c r="G367" s="3" t="str">
        <f t="shared" si="62"/>
        <v>9C</v>
      </c>
      <c r="H367" s="3" t="str">
        <f t="shared" si="63"/>
        <v/>
      </c>
      <c r="I367" s="3">
        <f t="shared" si="64"/>
        <v>156</v>
      </c>
      <c r="J367" s="5" t="str">
        <f>IF(E367=0,"Broadcast",IF(H367="",IF(I367="","",IF(I367&lt;128,"Connect "&amp;I367,INDEX(KdoCodeTab,MATCH(I367,KdoWertTab,0)))),"ReadStat "&amp;H367))</f>
        <v>MarkCmd</v>
      </c>
      <c r="K367" t="str">
        <f t="shared" si="65"/>
        <v>MarkCmd</v>
      </c>
      <c r="L367" t="str">
        <f t="shared" si="66"/>
        <v/>
      </c>
      <c r="M367" t="str">
        <f t="shared" si="67"/>
        <v/>
      </c>
    </row>
    <row r="368" spans="1:13" x14ac:dyDescent="0.25">
      <c r="A368" t="s">
        <v>1368</v>
      </c>
      <c r="B368" s="6">
        <f t="shared" si="57"/>
        <v>7.6604999999999999</v>
      </c>
      <c r="C368" s="9">
        <f t="shared" si="58"/>
        <v>0.8333333333334636</v>
      </c>
      <c r="D368" s="8" t="str">
        <f t="shared" si="59"/>
        <v>W</v>
      </c>
      <c r="E368" s="3">
        <f t="shared" si="60"/>
        <v>33</v>
      </c>
      <c r="F368" s="3" t="str">
        <f t="shared" si="61"/>
        <v>ack</v>
      </c>
      <c r="G368" s="3" t="str">
        <f t="shared" si="62"/>
        <v>9A</v>
      </c>
      <c r="H368" s="3" t="str">
        <f t="shared" si="63"/>
        <v/>
      </c>
      <c r="I368" s="3">
        <f t="shared" si="64"/>
        <v>154</v>
      </c>
      <c r="J368" s="5" t="str">
        <f>IF(E368=0,"Broadcast",IF(H368="",IF(I368="","",IF(I368&lt;128,"Connect "&amp;I368,INDEX(KdoCodeTab,MATCH(I368,KdoWertTab,0)))),"ReadStat "&amp;H368))</f>
        <v>RepMarkCmd</v>
      </c>
      <c r="K368" t="str">
        <f t="shared" si="65"/>
        <v>RepMarkCmd</v>
      </c>
      <c r="L368" t="str">
        <f t="shared" si="66"/>
        <v/>
      </c>
      <c r="M368" t="str">
        <f t="shared" si="67"/>
        <v/>
      </c>
    </row>
    <row r="369" spans="1:13" x14ac:dyDescent="0.25">
      <c r="A369" t="s">
        <v>1369</v>
      </c>
      <c r="B369" s="6">
        <f t="shared" si="57"/>
        <v>7.6980000000000004</v>
      </c>
      <c r="C369" s="9">
        <f t="shared" si="58"/>
        <v>37.500000000000533</v>
      </c>
      <c r="D369" s="8" t="str">
        <f t="shared" si="59"/>
        <v>W</v>
      </c>
      <c r="E369" s="3">
        <f t="shared" si="60"/>
        <v>33</v>
      </c>
      <c r="F369" s="3" t="str">
        <f t="shared" si="61"/>
        <v>ack</v>
      </c>
      <c r="G369" s="3" t="str">
        <f t="shared" si="62"/>
        <v>93</v>
      </c>
      <c r="H369" s="3" t="str">
        <f t="shared" si="63"/>
        <v/>
      </c>
      <c r="I369" s="3">
        <f t="shared" si="64"/>
        <v>147</v>
      </c>
      <c r="J369" s="5" t="str">
        <f>IF(E369=0,"Broadcast",IF(H369="",IF(I369="","",IF(I369&lt;128,"Connect "&amp;I369,INDEX(KdoCodeTab,MATCH(I369,KdoWertTab,0)))),"ReadStat "&amp;H369))</f>
        <v>SpaceCmd</v>
      </c>
      <c r="K369" t="str">
        <f t="shared" si="65"/>
        <v>SpaceCmd</v>
      </c>
      <c r="L369" t="str">
        <f t="shared" si="66"/>
        <v/>
      </c>
      <c r="M369" t="str">
        <f t="shared" si="67"/>
        <v/>
      </c>
    </row>
    <row r="370" spans="1:13" x14ac:dyDescent="0.25">
      <c r="A370" t="s">
        <v>1370</v>
      </c>
      <c r="B370" s="6">
        <f t="shared" si="57"/>
        <v>7.6989999999999998</v>
      </c>
      <c r="C370" s="9">
        <f t="shared" si="58"/>
        <v>0.99999999999944578</v>
      </c>
      <c r="D370" s="8" t="str">
        <f t="shared" si="59"/>
        <v>W</v>
      </c>
      <c r="E370" s="3">
        <f t="shared" si="60"/>
        <v>33</v>
      </c>
      <c r="F370" s="3" t="str">
        <f t="shared" si="61"/>
        <v>ack</v>
      </c>
      <c r="G370" s="3" t="str">
        <f t="shared" si="62"/>
        <v>96</v>
      </c>
      <c r="H370" s="3" t="str">
        <f t="shared" si="63"/>
        <v/>
      </c>
      <c r="I370" s="3">
        <f t="shared" si="64"/>
        <v>150</v>
      </c>
      <c r="J370" s="5" t="str">
        <f>IF(E370=0,"Broadcast",IF(H370="",IF(I370="","",IF(I370&lt;128,"Connect "&amp;I370,INDEX(KdoCodeTab,MATCH(I370,KdoWertTab,0)))),"ReadStat "&amp;H370))</f>
        <v>RepSpaceCmd</v>
      </c>
      <c r="K370" t="str">
        <f t="shared" si="65"/>
        <v>RepSpaceCmd</v>
      </c>
      <c r="L370" t="str">
        <f t="shared" si="66"/>
        <v/>
      </c>
      <c r="M370" t="str">
        <f t="shared" si="67"/>
        <v/>
      </c>
    </row>
    <row r="371" spans="1:13" x14ac:dyDescent="0.25">
      <c r="A371" t="s">
        <v>1371</v>
      </c>
      <c r="B371" s="6">
        <f t="shared" si="57"/>
        <v>7.7383333333333342</v>
      </c>
      <c r="C371" s="9">
        <f t="shared" si="58"/>
        <v>39.33333333333433</v>
      </c>
      <c r="D371" s="8" t="str">
        <f t="shared" si="59"/>
        <v>W</v>
      </c>
      <c r="E371" s="3">
        <f t="shared" si="60"/>
        <v>33</v>
      </c>
      <c r="F371" s="3" t="str">
        <f t="shared" si="61"/>
        <v>ack</v>
      </c>
      <c r="G371" s="3" t="str">
        <f t="shared" si="62"/>
        <v>9C</v>
      </c>
      <c r="H371" s="3" t="str">
        <f t="shared" si="63"/>
        <v/>
      </c>
      <c r="I371" s="3">
        <f t="shared" si="64"/>
        <v>156</v>
      </c>
      <c r="J371" s="5" t="str">
        <f>IF(E371=0,"Broadcast",IF(H371="",IF(I371="","",IF(I371&lt;128,"Connect "&amp;I371,INDEX(KdoCodeTab,MATCH(I371,KdoWertTab,0)))),"ReadStat "&amp;H371))</f>
        <v>MarkCmd</v>
      </c>
      <c r="K371" t="str">
        <f t="shared" si="65"/>
        <v>MarkCmd</v>
      </c>
      <c r="L371" t="str">
        <f t="shared" si="66"/>
        <v/>
      </c>
      <c r="M371" t="str">
        <f t="shared" si="67"/>
        <v/>
      </c>
    </row>
    <row r="372" spans="1:13" x14ac:dyDescent="0.25">
      <c r="A372" t="s">
        <v>1372</v>
      </c>
      <c r="B372" s="6">
        <f t="shared" si="57"/>
        <v>7.7393333333333336</v>
      </c>
      <c r="C372" s="9">
        <f t="shared" si="58"/>
        <v>0.99999999999944578</v>
      </c>
      <c r="D372" s="8" t="str">
        <f t="shared" si="59"/>
        <v>W</v>
      </c>
      <c r="E372" s="3">
        <f t="shared" si="60"/>
        <v>33</v>
      </c>
      <c r="F372" s="3" t="str">
        <f t="shared" si="61"/>
        <v>ack</v>
      </c>
      <c r="G372" s="3" t="str">
        <f t="shared" si="62"/>
        <v>9A</v>
      </c>
      <c r="H372" s="3" t="str">
        <f t="shared" si="63"/>
        <v/>
      </c>
      <c r="I372" s="3">
        <f t="shared" si="64"/>
        <v>154</v>
      </c>
      <c r="J372" s="5" t="str">
        <f>IF(E372=0,"Broadcast",IF(H372="",IF(I372="","",IF(I372&lt;128,"Connect "&amp;I372,INDEX(KdoCodeTab,MATCH(I372,KdoWertTab,0)))),"ReadStat "&amp;H372))</f>
        <v>RepMarkCmd</v>
      </c>
      <c r="K372" t="str">
        <f t="shared" si="65"/>
        <v>RepMarkCmd</v>
      </c>
      <c r="L372" t="str">
        <f t="shared" si="66"/>
        <v/>
      </c>
      <c r="M372" t="str">
        <f t="shared" si="67"/>
        <v/>
      </c>
    </row>
    <row r="373" spans="1:13" x14ac:dyDescent="0.25">
      <c r="A373" t="s">
        <v>1373</v>
      </c>
      <c r="B373" s="6">
        <f t="shared" si="57"/>
        <v>7.7576666666666663</v>
      </c>
      <c r="C373" s="9">
        <f t="shared" si="58"/>
        <v>18.333333333332646</v>
      </c>
      <c r="D373" s="8" t="str">
        <f t="shared" si="59"/>
        <v>W</v>
      </c>
      <c r="E373" s="3">
        <f t="shared" si="60"/>
        <v>33</v>
      </c>
      <c r="F373" s="3" t="str">
        <f t="shared" si="61"/>
        <v>ack</v>
      </c>
      <c r="G373" s="3" t="str">
        <f t="shared" si="62"/>
        <v>93</v>
      </c>
      <c r="H373" s="3" t="str">
        <f t="shared" si="63"/>
        <v/>
      </c>
      <c r="I373" s="3">
        <f t="shared" si="64"/>
        <v>147</v>
      </c>
      <c r="J373" s="5" t="str">
        <f>IF(E373=0,"Broadcast",IF(H373="",IF(I373="","",IF(I373&lt;128,"Connect "&amp;I373,INDEX(KdoCodeTab,MATCH(I373,KdoWertTab,0)))),"ReadStat "&amp;H373))</f>
        <v>SpaceCmd</v>
      </c>
      <c r="K373" t="str">
        <f t="shared" si="65"/>
        <v>SpaceCmd</v>
      </c>
      <c r="L373" t="str">
        <f t="shared" si="66"/>
        <v/>
      </c>
      <c r="M373" t="str">
        <f t="shared" si="67"/>
        <v/>
      </c>
    </row>
    <row r="374" spans="1:13" x14ac:dyDescent="0.25">
      <c r="A374" t="s">
        <v>1374</v>
      </c>
      <c r="B374" s="6">
        <f t="shared" si="57"/>
        <v>7.7584999999999997</v>
      </c>
      <c r="C374" s="9">
        <f t="shared" si="58"/>
        <v>0.8333333333334636</v>
      </c>
      <c r="D374" s="8" t="str">
        <f t="shared" si="59"/>
        <v>W</v>
      </c>
      <c r="E374" s="3">
        <f t="shared" si="60"/>
        <v>33</v>
      </c>
      <c r="F374" s="3" t="str">
        <f t="shared" si="61"/>
        <v>ack</v>
      </c>
      <c r="G374" s="3" t="str">
        <f t="shared" si="62"/>
        <v>96</v>
      </c>
      <c r="H374" s="3" t="str">
        <f t="shared" si="63"/>
        <v/>
      </c>
      <c r="I374" s="3">
        <f t="shared" si="64"/>
        <v>150</v>
      </c>
      <c r="J374" s="5" t="str">
        <f>IF(E374=0,"Broadcast",IF(H374="",IF(I374="","",IF(I374&lt;128,"Connect "&amp;I374,INDEX(KdoCodeTab,MATCH(I374,KdoWertTab,0)))),"ReadStat "&amp;H374))</f>
        <v>RepSpaceCmd</v>
      </c>
      <c r="K374" t="str">
        <f t="shared" si="65"/>
        <v>RepSpaceCmd</v>
      </c>
      <c r="L374" t="str">
        <f t="shared" si="66"/>
        <v/>
      </c>
      <c r="M374" t="str">
        <f t="shared" si="67"/>
        <v/>
      </c>
    </row>
    <row r="375" spans="1:13" x14ac:dyDescent="0.25">
      <c r="A375" t="s">
        <v>1375</v>
      </c>
      <c r="B375" s="6">
        <f t="shared" si="57"/>
        <v>7.7786666666666662</v>
      </c>
      <c r="C375" s="9">
        <f t="shared" si="58"/>
        <v>20.166666666666444</v>
      </c>
      <c r="D375" s="8" t="str">
        <f t="shared" si="59"/>
        <v>W</v>
      </c>
      <c r="E375" s="3">
        <f t="shared" si="60"/>
        <v>31</v>
      </c>
      <c r="F375" s="3" t="str">
        <f t="shared" si="61"/>
        <v>ack</v>
      </c>
      <c r="G375" s="3" t="str">
        <f t="shared" si="62"/>
        <v>A9</v>
      </c>
      <c r="H375" s="3" t="str">
        <f t="shared" si="63"/>
        <v/>
      </c>
      <c r="I375" s="3">
        <f t="shared" si="64"/>
        <v>169</v>
      </c>
      <c r="J375" s="5" t="str">
        <f>IF(E375=0,"Broadcast",IF(H375="",IF(I375="","",IF(I375&lt;128,"Connect "&amp;I375,INDEX(KdoCodeTab,MATCH(I375,KdoWertTab,0)))),"ReadStat "&amp;H375))</f>
        <v>Heartbeat</v>
      </c>
      <c r="K375" t="str">
        <f t="shared" si="65"/>
        <v/>
      </c>
      <c r="L375" t="str">
        <f t="shared" si="66"/>
        <v>Heartbeat</v>
      </c>
      <c r="M375" t="str">
        <f t="shared" si="67"/>
        <v/>
      </c>
    </row>
    <row r="376" spans="1:13" x14ac:dyDescent="0.25">
      <c r="A376" t="s">
        <v>1376</v>
      </c>
      <c r="B376" s="6">
        <f t="shared" si="57"/>
        <v>7.7796666666666665</v>
      </c>
      <c r="C376" s="9">
        <f t="shared" si="58"/>
        <v>1.000000000000334</v>
      </c>
      <c r="D376" s="8" t="str">
        <f t="shared" si="59"/>
        <v>W</v>
      </c>
      <c r="E376" s="3">
        <f t="shared" si="60"/>
        <v>33</v>
      </c>
      <c r="F376" s="3" t="str">
        <f t="shared" si="61"/>
        <v>ack</v>
      </c>
      <c r="G376" s="3" t="str">
        <f t="shared" si="62"/>
        <v>A9</v>
      </c>
      <c r="H376" s="3" t="str">
        <f t="shared" si="63"/>
        <v/>
      </c>
      <c r="I376" s="3">
        <f t="shared" si="64"/>
        <v>169</v>
      </c>
      <c r="J376" s="5" t="str">
        <f>IF(E376=0,"Broadcast",IF(H376="",IF(I376="","",IF(I376&lt;128,"Connect "&amp;I376,INDEX(KdoCodeTab,MATCH(I376,KdoWertTab,0)))),"ReadStat "&amp;H376))</f>
        <v>Heartbeat</v>
      </c>
      <c r="K376" t="str">
        <f t="shared" si="65"/>
        <v>Heartbeat</v>
      </c>
      <c r="L376" t="str">
        <f t="shared" si="66"/>
        <v/>
      </c>
      <c r="M376" t="str">
        <f t="shared" si="67"/>
        <v/>
      </c>
    </row>
    <row r="377" spans="1:13" x14ac:dyDescent="0.25">
      <c r="A377" t="s">
        <v>1377</v>
      </c>
      <c r="B377" s="6">
        <f t="shared" si="57"/>
        <v>7.8181666666666665</v>
      </c>
      <c r="C377" s="9">
        <f t="shared" si="58"/>
        <v>38.499999999999979</v>
      </c>
      <c r="D377" s="8" t="str">
        <f t="shared" si="59"/>
        <v>W</v>
      </c>
      <c r="E377" s="3">
        <f t="shared" si="60"/>
        <v>33</v>
      </c>
      <c r="F377" s="3" t="str">
        <f t="shared" si="61"/>
        <v>ack</v>
      </c>
      <c r="G377" s="3" t="str">
        <f t="shared" si="62"/>
        <v>9C</v>
      </c>
      <c r="H377" s="3" t="str">
        <f t="shared" si="63"/>
        <v/>
      </c>
      <c r="I377" s="3">
        <f t="shared" si="64"/>
        <v>156</v>
      </c>
      <c r="J377" s="5" t="str">
        <f>IF(E377=0,"Broadcast",IF(H377="",IF(I377="","",IF(I377&lt;128,"Connect "&amp;I377,INDEX(KdoCodeTab,MATCH(I377,KdoWertTab,0)))),"ReadStat "&amp;H377))</f>
        <v>MarkCmd</v>
      </c>
      <c r="K377" t="str">
        <f t="shared" si="65"/>
        <v>MarkCmd</v>
      </c>
      <c r="L377" t="str">
        <f t="shared" si="66"/>
        <v/>
      </c>
      <c r="M377" t="str">
        <f t="shared" si="67"/>
        <v/>
      </c>
    </row>
    <row r="378" spans="1:13" x14ac:dyDescent="0.25">
      <c r="A378" t="s">
        <v>1378</v>
      </c>
      <c r="B378" s="6">
        <f t="shared" si="57"/>
        <v>7.8191666666666668</v>
      </c>
      <c r="C378" s="9">
        <f t="shared" si="58"/>
        <v>1.000000000000334</v>
      </c>
      <c r="D378" s="8" t="str">
        <f t="shared" si="59"/>
        <v>W</v>
      </c>
      <c r="E378" s="3">
        <f t="shared" si="60"/>
        <v>33</v>
      </c>
      <c r="F378" s="3" t="str">
        <f t="shared" si="61"/>
        <v>ack</v>
      </c>
      <c r="G378" s="3" t="str">
        <f t="shared" si="62"/>
        <v>9A</v>
      </c>
      <c r="H378" s="3" t="str">
        <f t="shared" si="63"/>
        <v/>
      </c>
      <c r="I378" s="3">
        <f t="shared" si="64"/>
        <v>154</v>
      </c>
      <c r="J378" s="5" t="str">
        <f>IF(E378=0,"Broadcast",IF(H378="",IF(I378="","",IF(I378&lt;128,"Connect "&amp;I378,INDEX(KdoCodeTab,MATCH(I378,KdoWertTab,0)))),"ReadStat "&amp;H378))</f>
        <v>RepMarkCmd</v>
      </c>
      <c r="K378" t="str">
        <f t="shared" si="65"/>
        <v>RepMarkCmd</v>
      </c>
      <c r="L378" t="str">
        <f t="shared" si="66"/>
        <v/>
      </c>
      <c r="M378" t="str">
        <f t="shared" si="67"/>
        <v/>
      </c>
    </row>
    <row r="379" spans="1:13" x14ac:dyDescent="0.25">
      <c r="A379" t="s">
        <v>1379</v>
      </c>
      <c r="B379" s="6">
        <f t="shared" si="57"/>
        <v>7.8494999999999999</v>
      </c>
      <c r="C379" s="9">
        <f t="shared" si="58"/>
        <v>30.333333333333101</v>
      </c>
      <c r="D379" s="8" t="str">
        <f t="shared" si="59"/>
        <v>W</v>
      </c>
      <c r="E379" s="3">
        <f t="shared" si="60"/>
        <v>33</v>
      </c>
      <c r="F379" s="3" t="str">
        <f t="shared" si="61"/>
        <v>ack</v>
      </c>
      <c r="G379" s="3" t="str">
        <f t="shared" si="62"/>
        <v>93</v>
      </c>
      <c r="H379" s="3" t="str">
        <f t="shared" si="63"/>
        <v/>
      </c>
      <c r="I379" s="3">
        <f t="shared" si="64"/>
        <v>147</v>
      </c>
      <c r="J379" s="5" t="str">
        <f>IF(E379=0,"Broadcast",IF(H379="",IF(I379="","",IF(I379&lt;128,"Connect "&amp;I379,INDEX(KdoCodeTab,MATCH(I379,KdoWertTab,0)))),"ReadStat "&amp;H379))</f>
        <v>SpaceCmd</v>
      </c>
      <c r="K379" t="str">
        <f t="shared" si="65"/>
        <v>SpaceCmd</v>
      </c>
      <c r="L379" t="str">
        <f t="shared" si="66"/>
        <v/>
      </c>
      <c r="M379" t="str">
        <f t="shared" si="67"/>
        <v/>
      </c>
    </row>
    <row r="380" spans="1:13" x14ac:dyDescent="0.25">
      <c r="A380" t="s">
        <v>1380</v>
      </c>
      <c r="B380" s="6">
        <f t="shared" si="57"/>
        <v>7.8504999999999994</v>
      </c>
      <c r="C380" s="9">
        <f t="shared" si="58"/>
        <v>0.99999999999944578</v>
      </c>
      <c r="D380" s="8" t="str">
        <f t="shared" si="59"/>
        <v>W</v>
      </c>
      <c r="E380" s="3">
        <f t="shared" si="60"/>
        <v>33</v>
      </c>
      <c r="F380" s="3" t="str">
        <f t="shared" si="61"/>
        <v>ack</v>
      </c>
      <c r="G380" s="3" t="str">
        <f t="shared" si="62"/>
        <v>96</v>
      </c>
      <c r="H380" s="3" t="str">
        <f t="shared" si="63"/>
        <v/>
      </c>
      <c r="I380" s="3">
        <f t="shared" si="64"/>
        <v>150</v>
      </c>
      <c r="J380" s="5" t="str">
        <f>IF(E380=0,"Broadcast",IF(H380="",IF(I380="","",IF(I380&lt;128,"Connect "&amp;I380,INDEX(KdoCodeTab,MATCH(I380,KdoWertTab,0)))),"ReadStat "&amp;H380))</f>
        <v>RepSpaceCmd</v>
      </c>
      <c r="K380" t="str">
        <f t="shared" si="65"/>
        <v>RepSpaceCmd</v>
      </c>
      <c r="L380" t="str">
        <f t="shared" si="66"/>
        <v/>
      </c>
      <c r="M380" t="str">
        <f t="shared" si="67"/>
        <v/>
      </c>
    </row>
    <row r="381" spans="1:13" x14ac:dyDescent="0.25">
      <c r="A381" t="s">
        <v>1381</v>
      </c>
      <c r="B381" s="6">
        <f t="shared" si="57"/>
        <v>7.8890000000000002</v>
      </c>
      <c r="C381" s="9">
        <f t="shared" si="58"/>
        <v>38.500000000000867</v>
      </c>
      <c r="D381" s="8" t="str">
        <f t="shared" si="59"/>
        <v>W</v>
      </c>
      <c r="E381" s="3">
        <f t="shared" si="60"/>
        <v>33</v>
      </c>
      <c r="F381" s="3" t="str">
        <f t="shared" si="61"/>
        <v>ack</v>
      </c>
      <c r="G381" s="3" t="str">
        <f t="shared" si="62"/>
        <v>9C</v>
      </c>
      <c r="H381" s="3" t="str">
        <f t="shared" si="63"/>
        <v/>
      </c>
      <c r="I381" s="3">
        <f t="shared" si="64"/>
        <v>156</v>
      </c>
      <c r="J381" s="5" t="str">
        <f>IF(E381=0,"Broadcast",IF(H381="",IF(I381="","",IF(I381&lt;128,"Connect "&amp;I381,INDEX(KdoCodeTab,MATCH(I381,KdoWertTab,0)))),"ReadStat "&amp;H381))</f>
        <v>MarkCmd</v>
      </c>
      <c r="K381" t="str">
        <f t="shared" si="65"/>
        <v>MarkCmd</v>
      </c>
      <c r="L381" t="str">
        <f t="shared" si="66"/>
        <v/>
      </c>
      <c r="M381" t="str">
        <f t="shared" si="67"/>
        <v/>
      </c>
    </row>
    <row r="382" spans="1:13" x14ac:dyDescent="0.25">
      <c r="A382" t="s">
        <v>1382</v>
      </c>
      <c r="B382" s="6">
        <f t="shared" si="57"/>
        <v>7.8898333333333337</v>
      </c>
      <c r="C382" s="9">
        <f t="shared" si="58"/>
        <v>0.8333333333334636</v>
      </c>
      <c r="D382" s="8" t="str">
        <f t="shared" si="59"/>
        <v>W</v>
      </c>
      <c r="E382" s="3">
        <f t="shared" si="60"/>
        <v>33</v>
      </c>
      <c r="F382" s="3" t="str">
        <f t="shared" si="61"/>
        <v>ack</v>
      </c>
      <c r="G382" s="3" t="str">
        <f t="shared" si="62"/>
        <v>9A</v>
      </c>
      <c r="H382" s="3" t="str">
        <f t="shared" si="63"/>
        <v/>
      </c>
      <c r="I382" s="3">
        <f t="shared" si="64"/>
        <v>154</v>
      </c>
      <c r="J382" s="5" t="str">
        <f>IF(E382=0,"Broadcast",IF(H382="",IF(I382="","",IF(I382&lt;128,"Connect "&amp;I382,INDEX(KdoCodeTab,MATCH(I382,KdoWertTab,0)))),"ReadStat "&amp;H382))</f>
        <v>RepMarkCmd</v>
      </c>
      <c r="K382" t="str">
        <f t="shared" si="65"/>
        <v>RepMarkCmd</v>
      </c>
      <c r="L382" t="str">
        <f t="shared" si="66"/>
        <v/>
      </c>
      <c r="M382" t="str">
        <f t="shared" si="67"/>
        <v/>
      </c>
    </row>
    <row r="383" spans="1:13" x14ac:dyDescent="0.25">
      <c r="A383" t="s">
        <v>1383</v>
      </c>
      <c r="B383" s="6">
        <f t="shared" si="57"/>
        <v>7.9091666666666667</v>
      </c>
      <c r="C383" s="9">
        <f t="shared" si="58"/>
        <v>19.33333333333298</v>
      </c>
      <c r="D383" s="8" t="str">
        <f t="shared" si="59"/>
        <v>W</v>
      </c>
      <c r="E383" s="3">
        <f t="shared" si="60"/>
        <v>33</v>
      </c>
      <c r="F383" s="3" t="str">
        <f t="shared" si="61"/>
        <v>ack</v>
      </c>
      <c r="G383" s="3" t="str">
        <f t="shared" si="62"/>
        <v>93</v>
      </c>
      <c r="H383" s="3" t="str">
        <f t="shared" si="63"/>
        <v/>
      </c>
      <c r="I383" s="3">
        <f t="shared" si="64"/>
        <v>147</v>
      </c>
      <c r="J383" s="5" t="str">
        <f>IF(E383=0,"Broadcast",IF(H383="",IF(I383="","",IF(I383&lt;128,"Connect "&amp;I383,INDEX(KdoCodeTab,MATCH(I383,KdoWertTab,0)))),"ReadStat "&amp;H383))</f>
        <v>SpaceCmd</v>
      </c>
      <c r="K383" t="str">
        <f t="shared" si="65"/>
        <v>SpaceCmd</v>
      </c>
      <c r="L383" t="str">
        <f t="shared" si="66"/>
        <v/>
      </c>
      <c r="M383" t="str">
        <f t="shared" si="67"/>
        <v/>
      </c>
    </row>
    <row r="384" spans="1:13" x14ac:dyDescent="0.25">
      <c r="A384" t="s">
        <v>1384</v>
      </c>
      <c r="B384" s="6">
        <f t="shared" si="57"/>
        <v>7.91</v>
      </c>
      <c r="C384" s="9">
        <f t="shared" si="58"/>
        <v>0.8333333333334636</v>
      </c>
      <c r="D384" s="8" t="str">
        <f t="shared" si="59"/>
        <v>W</v>
      </c>
      <c r="E384" s="3">
        <f t="shared" si="60"/>
        <v>33</v>
      </c>
      <c r="F384" s="3" t="str">
        <f t="shared" si="61"/>
        <v>ack</v>
      </c>
      <c r="G384" s="3" t="str">
        <f t="shared" si="62"/>
        <v>96</v>
      </c>
      <c r="H384" s="3" t="str">
        <f t="shared" si="63"/>
        <v/>
      </c>
      <c r="I384" s="3">
        <f t="shared" si="64"/>
        <v>150</v>
      </c>
      <c r="J384" s="5" t="str">
        <f>IF(E384=0,"Broadcast",IF(H384="",IF(I384="","",IF(I384&lt;128,"Connect "&amp;I384,INDEX(KdoCodeTab,MATCH(I384,KdoWertTab,0)))),"ReadStat "&amp;H384))</f>
        <v>RepSpaceCmd</v>
      </c>
      <c r="K384" t="str">
        <f t="shared" si="65"/>
        <v>RepSpaceCmd</v>
      </c>
      <c r="L384" t="str">
        <f t="shared" si="66"/>
        <v/>
      </c>
      <c r="M384" t="str">
        <f t="shared" si="67"/>
        <v/>
      </c>
    </row>
    <row r="385" spans="1:13" x14ac:dyDescent="0.25">
      <c r="A385" t="s">
        <v>1385</v>
      </c>
      <c r="B385" s="6">
        <f t="shared" si="57"/>
        <v>7.9698333333333338</v>
      </c>
      <c r="C385" s="9">
        <f t="shared" si="58"/>
        <v>59.833333333333627</v>
      </c>
      <c r="D385" s="8" t="str">
        <f t="shared" si="59"/>
        <v>W</v>
      </c>
      <c r="E385" s="3">
        <f t="shared" si="60"/>
        <v>33</v>
      </c>
      <c r="F385" s="3" t="str">
        <f t="shared" si="61"/>
        <v>ack</v>
      </c>
      <c r="G385" s="3" t="str">
        <f t="shared" si="62"/>
        <v>9C</v>
      </c>
      <c r="H385" s="3" t="str">
        <f t="shared" si="63"/>
        <v/>
      </c>
      <c r="I385" s="3">
        <f t="shared" si="64"/>
        <v>156</v>
      </c>
      <c r="J385" s="5" t="str">
        <f>IF(E385=0,"Broadcast",IF(H385="",IF(I385="","",IF(I385&lt;128,"Connect "&amp;I385,INDEX(KdoCodeTab,MATCH(I385,KdoWertTab,0)))),"ReadStat "&amp;H385))</f>
        <v>MarkCmd</v>
      </c>
      <c r="K385" t="str">
        <f t="shared" si="65"/>
        <v>MarkCmd</v>
      </c>
      <c r="L385" t="str">
        <f t="shared" si="66"/>
        <v/>
      </c>
      <c r="M385" t="str">
        <f t="shared" si="67"/>
        <v/>
      </c>
    </row>
    <row r="386" spans="1:13" x14ac:dyDescent="0.25">
      <c r="A386" t="s">
        <v>1386</v>
      </c>
      <c r="B386" s="6">
        <f t="shared" si="57"/>
        <v>7.9706666666666663</v>
      </c>
      <c r="C386" s="9">
        <f t="shared" si="58"/>
        <v>0.83333333333257542</v>
      </c>
      <c r="D386" s="8" t="str">
        <f t="shared" si="59"/>
        <v>W</v>
      </c>
      <c r="E386" s="3">
        <f t="shared" si="60"/>
        <v>33</v>
      </c>
      <c r="F386" s="3" t="str">
        <f t="shared" si="61"/>
        <v>ack</v>
      </c>
      <c r="G386" s="3" t="str">
        <f t="shared" si="62"/>
        <v>9A</v>
      </c>
      <c r="H386" s="3" t="str">
        <f t="shared" si="63"/>
        <v/>
      </c>
      <c r="I386" s="3">
        <f t="shared" si="64"/>
        <v>154</v>
      </c>
      <c r="J386" s="5" t="str">
        <f>IF(E386=0,"Broadcast",IF(H386="",IF(I386="","",IF(I386&lt;128,"Connect "&amp;I386,INDEX(KdoCodeTab,MATCH(I386,KdoWertTab,0)))),"ReadStat "&amp;H386))</f>
        <v>RepMarkCmd</v>
      </c>
      <c r="K386" t="str">
        <f t="shared" si="65"/>
        <v>RepMarkCmd</v>
      </c>
      <c r="L386" t="str">
        <f t="shared" si="66"/>
        <v/>
      </c>
      <c r="M386" t="str">
        <f t="shared" si="67"/>
        <v/>
      </c>
    </row>
    <row r="387" spans="1:13" x14ac:dyDescent="0.25">
      <c r="A387" t="s">
        <v>1387</v>
      </c>
      <c r="B387" s="6">
        <f t="shared" si="57"/>
        <v>7.9989999999999997</v>
      </c>
      <c r="C387" s="9">
        <f t="shared" si="58"/>
        <v>28.333333333333321</v>
      </c>
      <c r="D387" s="8" t="str">
        <f t="shared" si="59"/>
        <v>W</v>
      </c>
      <c r="E387" s="3">
        <f t="shared" si="60"/>
        <v>33</v>
      </c>
      <c r="F387" s="3" t="str">
        <f t="shared" si="61"/>
        <v>ack</v>
      </c>
      <c r="G387" s="3" t="str">
        <f t="shared" si="62"/>
        <v>93</v>
      </c>
      <c r="H387" s="3" t="str">
        <f t="shared" si="63"/>
        <v/>
      </c>
      <c r="I387" s="3">
        <f t="shared" si="64"/>
        <v>147</v>
      </c>
      <c r="J387" s="5" t="str">
        <f>IF(E387=0,"Broadcast",IF(H387="",IF(I387="","",IF(I387&lt;128,"Connect "&amp;I387,INDEX(KdoCodeTab,MATCH(I387,KdoWertTab,0)))),"ReadStat "&amp;H387))</f>
        <v>SpaceCmd</v>
      </c>
      <c r="K387" t="str">
        <f t="shared" si="65"/>
        <v>SpaceCmd</v>
      </c>
      <c r="L387" t="str">
        <f t="shared" si="66"/>
        <v/>
      </c>
      <c r="M387" t="str">
        <f t="shared" si="67"/>
        <v/>
      </c>
    </row>
    <row r="388" spans="1:13" x14ac:dyDescent="0.25">
      <c r="A388" t="s">
        <v>1388</v>
      </c>
      <c r="B388" s="6">
        <f t="shared" si="57"/>
        <v>8</v>
      </c>
      <c r="C388" s="9">
        <f t="shared" si="58"/>
        <v>1.000000000000334</v>
      </c>
      <c r="D388" s="8" t="str">
        <f t="shared" si="59"/>
        <v>W</v>
      </c>
      <c r="E388" s="3">
        <f t="shared" si="60"/>
        <v>33</v>
      </c>
      <c r="F388" s="3" t="str">
        <f t="shared" si="61"/>
        <v>ack</v>
      </c>
      <c r="G388" s="3" t="str">
        <f t="shared" si="62"/>
        <v>96</v>
      </c>
      <c r="H388" s="3" t="str">
        <f t="shared" si="63"/>
        <v/>
      </c>
      <c r="I388" s="3">
        <f t="shared" si="64"/>
        <v>150</v>
      </c>
      <c r="J388" s="5" t="str">
        <f>IF(E388=0,"Broadcast",IF(H388="",IF(I388="","",IF(I388&lt;128,"Connect "&amp;I388,INDEX(KdoCodeTab,MATCH(I388,KdoWertTab,0)))),"ReadStat "&amp;H388))</f>
        <v>RepSpaceCmd</v>
      </c>
      <c r="K388" t="str">
        <f t="shared" si="65"/>
        <v>RepSpaceCmd</v>
      </c>
      <c r="L388" t="str">
        <f t="shared" si="66"/>
        <v/>
      </c>
      <c r="M388" t="str">
        <f t="shared" si="67"/>
        <v/>
      </c>
    </row>
    <row r="389" spans="1:13" x14ac:dyDescent="0.25">
      <c r="A389" t="s">
        <v>1389</v>
      </c>
      <c r="B389" s="6">
        <f t="shared" ref="B389:B452" si="68">MID(A389,1,5)/1000+(CODE(MID(A389,6,1))-CODE("a"))/6000</f>
        <v>8.0393333333333334</v>
      </c>
      <c r="C389" s="9">
        <f t="shared" ref="C389:C452" si="69">(B389-B388+IF(B389&gt;B388,0,11))*1000</f>
        <v>39.333333333333442</v>
      </c>
      <c r="D389" s="8" t="str">
        <f t="shared" ref="D389:D452" si="70">IF(MID(A389,10,1)="&lt;","R",IF(MID(A389,10,1)="&gt;","W","?"))</f>
        <v>W</v>
      </c>
      <c r="E389" s="3">
        <f t="shared" ref="E389:E452" si="71">INT(HEX2DEC(MID(A389,8,2))/2)</f>
        <v>33</v>
      </c>
      <c r="F389" s="3" t="str">
        <f t="shared" ref="F389:F452" si="72">IF(MID(A389,11,1)="+","ack","NACK")</f>
        <v>ack</v>
      </c>
      <c r="G389" s="3" t="str">
        <f t="shared" ref="G389:G452" si="73">IF(F389="ack",SUBSTITUTE(MID(A389,12,LEN(A389)-12),"+","  "),"")</f>
        <v>9C</v>
      </c>
      <c r="H389" s="3" t="str">
        <f t="shared" ref="H389:H452" si="74">IF(MID(A389,10,2)="&lt;+",MID(A389,12,2),"")</f>
        <v/>
      </c>
      <c r="I389" s="3">
        <f t="shared" ref="I389:I452" si="75">IF(MID(A389,10,2)="&gt;+",HEX2DEC(MID(A389,12,2)),"")</f>
        <v>156</v>
      </c>
      <c r="J389" s="5" t="str">
        <f>IF(E389=0,"Broadcast",IF(H389="",IF(I389="","",IF(I389&lt;128,"Connect "&amp;I389,INDEX(KdoCodeTab,MATCH(I389,KdoWertTab,0)))),"ReadStat "&amp;H389))</f>
        <v>MarkCmd</v>
      </c>
      <c r="K389" t="str">
        <f t="shared" ref="K389:K442" si="76">IF(E389=$K$2,J389,"")</f>
        <v>MarkCmd</v>
      </c>
      <c r="L389" t="str">
        <f t="shared" ref="L389:L442" si="77">IF(E389=$L$2,J389,"")</f>
        <v/>
      </c>
      <c r="M389" t="str">
        <f t="shared" ref="M389:M442" si="78">IF(K389&amp;L389="",J389,"")</f>
        <v/>
      </c>
    </row>
    <row r="390" spans="1:13" x14ac:dyDescent="0.25">
      <c r="A390" t="s">
        <v>1390</v>
      </c>
      <c r="B390" s="6">
        <f t="shared" si="68"/>
        <v>8.0403333333333329</v>
      </c>
      <c r="C390" s="9">
        <f t="shared" si="69"/>
        <v>0.99999999999944578</v>
      </c>
      <c r="D390" s="8" t="str">
        <f t="shared" si="70"/>
        <v>W</v>
      </c>
      <c r="E390" s="3">
        <f t="shared" si="71"/>
        <v>33</v>
      </c>
      <c r="F390" s="3" t="str">
        <f t="shared" si="72"/>
        <v>ack</v>
      </c>
      <c r="G390" s="3" t="str">
        <f t="shared" si="73"/>
        <v>9A</v>
      </c>
      <c r="H390" s="3" t="str">
        <f t="shared" si="74"/>
        <v/>
      </c>
      <c r="I390" s="3">
        <f t="shared" si="75"/>
        <v>154</v>
      </c>
      <c r="J390" s="5" t="str">
        <f>IF(E390=0,"Broadcast",IF(H390="",IF(I390="","",IF(I390&lt;128,"Connect "&amp;I390,INDEX(KdoCodeTab,MATCH(I390,KdoWertTab,0)))),"ReadStat "&amp;H390))</f>
        <v>RepMarkCmd</v>
      </c>
      <c r="K390" t="str">
        <f t="shared" si="76"/>
        <v>RepMarkCmd</v>
      </c>
      <c r="L390" t="str">
        <f t="shared" si="77"/>
        <v/>
      </c>
      <c r="M390" t="str">
        <f t="shared" si="78"/>
        <v/>
      </c>
    </row>
    <row r="391" spans="1:13" x14ac:dyDescent="0.25">
      <c r="A391" t="s">
        <v>1391</v>
      </c>
      <c r="B391" s="6">
        <f t="shared" si="68"/>
        <v>8.0596666666666668</v>
      </c>
      <c r="C391" s="9">
        <f t="shared" si="69"/>
        <v>19.333333333333869</v>
      </c>
      <c r="D391" s="8" t="str">
        <f t="shared" si="70"/>
        <v>W</v>
      </c>
      <c r="E391" s="3">
        <f t="shared" si="71"/>
        <v>33</v>
      </c>
      <c r="F391" s="3" t="str">
        <f t="shared" si="72"/>
        <v>ack</v>
      </c>
      <c r="G391" s="3" t="str">
        <f t="shared" si="73"/>
        <v>93</v>
      </c>
      <c r="H391" s="3" t="str">
        <f t="shared" si="74"/>
        <v/>
      </c>
      <c r="I391" s="3">
        <f t="shared" si="75"/>
        <v>147</v>
      </c>
      <c r="J391" s="5" t="str">
        <f>IF(E391=0,"Broadcast",IF(H391="",IF(I391="","",IF(I391&lt;128,"Connect "&amp;I391,INDEX(KdoCodeTab,MATCH(I391,KdoWertTab,0)))),"ReadStat "&amp;H391))</f>
        <v>SpaceCmd</v>
      </c>
      <c r="K391" t="str">
        <f t="shared" si="76"/>
        <v>SpaceCmd</v>
      </c>
      <c r="L391" t="str">
        <f t="shared" si="77"/>
        <v/>
      </c>
      <c r="M391" t="str">
        <f t="shared" si="78"/>
        <v/>
      </c>
    </row>
    <row r="392" spans="1:13" x14ac:dyDescent="0.25">
      <c r="A392" t="s">
        <v>1392</v>
      </c>
      <c r="B392" s="6">
        <f t="shared" si="68"/>
        <v>8.060666666666668</v>
      </c>
      <c r="C392" s="9">
        <f t="shared" si="69"/>
        <v>1.0000000000012221</v>
      </c>
      <c r="D392" s="8" t="str">
        <f t="shared" si="70"/>
        <v>W</v>
      </c>
      <c r="E392" s="3">
        <f t="shared" si="71"/>
        <v>33</v>
      </c>
      <c r="F392" s="3" t="str">
        <f t="shared" si="72"/>
        <v>ack</v>
      </c>
      <c r="G392" s="3" t="str">
        <f t="shared" si="73"/>
        <v>96</v>
      </c>
      <c r="H392" s="3" t="str">
        <f t="shared" si="74"/>
        <v/>
      </c>
      <c r="I392" s="3">
        <f t="shared" si="75"/>
        <v>150</v>
      </c>
      <c r="J392" s="5" t="str">
        <f>IF(E392=0,"Broadcast",IF(H392="",IF(I392="","",IF(I392&lt;128,"Connect "&amp;I392,INDEX(KdoCodeTab,MATCH(I392,KdoWertTab,0)))),"ReadStat "&amp;H392))</f>
        <v>RepSpaceCmd</v>
      </c>
      <c r="K392" t="str">
        <f t="shared" si="76"/>
        <v>RepSpaceCmd</v>
      </c>
      <c r="L392" t="str">
        <f t="shared" si="77"/>
        <v/>
      </c>
      <c r="M392" t="str">
        <f t="shared" si="78"/>
        <v/>
      </c>
    </row>
    <row r="393" spans="1:13" x14ac:dyDescent="0.25">
      <c r="A393" t="s">
        <v>1393</v>
      </c>
      <c r="B393" s="6">
        <f t="shared" si="68"/>
        <v>8.1193333333333335</v>
      </c>
      <c r="C393" s="9">
        <f t="shared" si="69"/>
        <v>58.666666666665535</v>
      </c>
      <c r="D393" s="8" t="str">
        <f t="shared" si="70"/>
        <v>W</v>
      </c>
      <c r="E393" s="3">
        <f t="shared" si="71"/>
        <v>33</v>
      </c>
      <c r="F393" s="3" t="str">
        <f t="shared" si="72"/>
        <v>ack</v>
      </c>
      <c r="G393" s="3" t="str">
        <f t="shared" si="73"/>
        <v>9C</v>
      </c>
      <c r="H393" s="3" t="str">
        <f t="shared" si="74"/>
        <v/>
      </c>
      <c r="I393" s="3">
        <f t="shared" si="75"/>
        <v>156</v>
      </c>
      <c r="J393" s="5" t="str">
        <f>IF(E393=0,"Broadcast",IF(H393="",IF(I393="","",IF(I393&lt;128,"Connect "&amp;I393,INDEX(KdoCodeTab,MATCH(I393,KdoWertTab,0)))),"ReadStat "&amp;H393))</f>
        <v>MarkCmd</v>
      </c>
      <c r="K393" t="str">
        <f t="shared" si="76"/>
        <v>MarkCmd</v>
      </c>
      <c r="L393" t="str">
        <f t="shared" si="77"/>
        <v/>
      </c>
      <c r="M393" t="str">
        <f t="shared" si="78"/>
        <v/>
      </c>
    </row>
    <row r="394" spans="1:13" x14ac:dyDescent="0.25">
      <c r="A394" t="s">
        <v>1394</v>
      </c>
      <c r="B394" s="6">
        <f t="shared" si="68"/>
        <v>8.1201666666666661</v>
      </c>
      <c r="C394" s="9">
        <f t="shared" si="69"/>
        <v>0.83333333333257542</v>
      </c>
      <c r="D394" s="8" t="str">
        <f t="shared" si="70"/>
        <v>W</v>
      </c>
      <c r="E394" s="3">
        <f t="shared" si="71"/>
        <v>33</v>
      </c>
      <c r="F394" s="3" t="str">
        <f t="shared" si="72"/>
        <v>ack</v>
      </c>
      <c r="G394" s="3" t="str">
        <f t="shared" si="73"/>
        <v>9A</v>
      </c>
      <c r="H394" s="3" t="str">
        <f t="shared" si="74"/>
        <v/>
      </c>
      <c r="I394" s="3">
        <f t="shared" si="75"/>
        <v>154</v>
      </c>
      <c r="J394" s="5" t="str">
        <f>IF(E394=0,"Broadcast",IF(H394="",IF(I394="","",IF(I394&lt;128,"Connect "&amp;I394,INDEX(KdoCodeTab,MATCH(I394,KdoWertTab,0)))),"ReadStat "&amp;H394))</f>
        <v>RepMarkCmd</v>
      </c>
      <c r="K394" t="str">
        <f t="shared" si="76"/>
        <v>RepMarkCmd</v>
      </c>
      <c r="L394" t="str">
        <f t="shared" si="77"/>
        <v/>
      </c>
      <c r="M394" t="str">
        <f t="shared" si="78"/>
        <v/>
      </c>
    </row>
    <row r="395" spans="1:13" x14ac:dyDescent="0.25">
      <c r="A395" t="s">
        <v>1395</v>
      </c>
      <c r="B395" s="6">
        <f t="shared" si="68"/>
        <v>8.4606666666666683</v>
      </c>
      <c r="C395" s="9">
        <f t="shared" si="69"/>
        <v>340.50000000000227</v>
      </c>
      <c r="D395" s="8" t="str">
        <f t="shared" si="70"/>
        <v>W</v>
      </c>
      <c r="E395" s="3">
        <f t="shared" si="71"/>
        <v>31</v>
      </c>
      <c r="F395" s="3" t="str">
        <f t="shared" si="72"/>
        <v>ack</v>
      </c>
      <c r="G395" s="3" t="str">
        <f t="shared" si="73"/>
        <v>A9</v>
      </c>
      <c r="H395" s="3" t="str">
        <f t="shared" si="74"/>
        <v/>
      </c>
      <c r="I395" s="3">
        <f t="shared" si="75"/>
        <v>169</v>
      </c>
      <c r="J395" s="5" t="str">
        <f>IF(E395=0,"Broadcast",IF(H395="",IF(I395="","",IF(I395&lt;128,"Connect "&amp;I395,INDEX(KdoCodeTab,MATCH(I395,KdoWertTab,0)))),"ReadStat "&amp;H395))</f>
        <v>Heartbeat</v>
      </c>
      <c r="K395" t="str">
        <f t="shared" si="76"/>
        <v/>
      </c>
      <c r="L395" t="str">
        <f t="shared" si="77"/>
        <v>Heartbeat</v>
      </c>
      <c r="M395" t="str">
        <f t="shared" si="78"/>
        <v/>
      </c>
    </row>
    <row r="396" spans="1:13" x14ac:dyDescent="0.25">
      <c r="A396" t="s">
        <v>1396</v>
      </c>
      <c r="B396" s="6">
        <f t="shared" si="68"/>
        <v>8.4616666666666678</v>
      </c>
      <c r="C396" s="9">
        <f t="shared" si="69"/>
        <v>0.99999999999944578</v>
      </c>
      <c r="D396" s="8" t="str">
        <f t="shared" si="70"/>
        <v>W</v>
      </c>
      <c r="E396" s="3">
        <f t="shared" si="71"/>
        <v>33</v>
      </c>
      <c r="F396" s="3" t="str">
        <f t="shared" si="72"/>
        <v>ack</v>
      </c>
      <c r="G396" s="3" t="str">
        <f t="shared" si="73"/>
        <v>A9</v>
      </c>
      <c r="H396" s="3" t="str">
        <f t="shared" si="74"/>
        <v/>
      </c>
      <c r="I396" s="3">
        <f t="shared" si="75"/>
        <v>169</v>
      </c>
      <c r="J396" s="5" t="str">
        <f>IF(E396=0,"Broadcast",IF(H396="",IF(I396="","",IF(I396&lt;128,"Connect "&amp;I396,INDEX(KdoCodeTab,MATCH(I396,KdoWertTab,0)))),"ReadStat "&amp;H396))</f>
        <v>Heartbeat</v>
      </c>
      <c r="K396" t="str">
        <f t="shared" si="76"/>
        <v>Heartbeat</v>
      </c>
      <c r="L396" t="str">
        <f t="shared" si="77"/>
        <v/>
      </c>
      <c r="M396" t="str">
        <f t="shared" si="78"/>
        <v/>
      </c>
    </row>
    <row r="397" spans="1:13" x14ac:dyDescent="0.25">
      <c r="A397" t="s">
        <v>1397</v>
      </c>
      <c r="B397" s="6">
        <f t="shared" si="68"/>
        <v>8.8143333333333338</v>
      </c>
      <c r="C397" s="9">
        <f t="shared" si="69"/>
        <v>352.666666666666</v>
      </c>
      <c r="D397" s="8" t="str">
        <f t="shared" si="70"/>
        <v>W</v>
      </c>
      <c r="E397" s="3">
        <f t="shared" si="71"/>
        <v>33</v>
      </c>
      <c r="F397" s="3" t="str">
        <f t="shared" si="72"/>
        <v>ack</v>
      </c>
      <c r="G397" s="3" t="str">
        <f t="shared" si="73"/>
        <v>93</v>
      </c>
      <c r="H397" s="3" t="str">
        <f t="shared" si="74"/>
        <v/>
      </c>
      <c r="I397" s="3">
        <f t="shared" si="75"/>
        <v>147</v>
      </c>
      <c r="J397" s="5" t="str">
        <f>IF(E397=0,"Broadcast",IF(H397="",IF(I397="","",IF(I397&lt;128,"Connect "&amp;I397,INDEX(KdoCodeTab,MATCH(I397,KdoWertTab,0)))),"ReadStat "&amp;H397))</f>
        <v>SpaceCmd</v>
      </c>
      <c r="K397" t="str">
        <f t="shared" si="76"/>
        <v>SpaceCmd</v>
      </c>
      <c r="L397" t="str">
        <f t="shared" si="77"/>
        <v/>
      </c>
      <c r="M397" t="str">
        <f t="shared" si="78"/>
        <v/>
      </c>
    </row>
    <row r="398" spans="1:13" x14ac:dyDescent="0.25">
      <c r="A398" t="s">
        <v>1398</v>
      </c>
      <c r="B398" s="6">
        <f t="shared" si="68"/>
        <v>8.8151666666666664</v>
      </c>
      <c r="C398" s="9">
        <f t="shared" si="69"/>
        <v>0.83333333333257542</v>
      </c>
      <c r="D398" s="8" t="str">
        <f t="shared" si="70"/>
        <v>W</v>
      </c>
      <c r="E398" s="3">
        <f t="shared" si="71"/>
        <v>33</v>
      </c>
      <c r="F398" s="3" t="str">
        <f t="shared" si="72"/>
        <v>ack</v>
      </c>
      <c r="G398" s="3" t="str">
        <f t="shared" si="73"/>
        <v>96</v>
      </c>
      <c r="H398" s="3" t="str">
        <f t="shared" si="74"/>
        <v/>
      </c>
      <c r="I398" s="3">
        <f t="shared" si="75"/>
        <v>150</v>
      </c>
      <c r="J398" s="5" t="str">
        <f>IF(E398=0,"Broadcast",IF(H398="",IF(I398="","",IF(I398&lt;128,"Connect "&amp;I398,INDEX(KdoCodeTab,MATCH(I398,KdoWertTab,0)))),"ReadStat "&amp;H398))</f>
        <v>RepSpaceCmd</v>
      </c>
      <c r="K398" t="str">
        <f t="shared" si="76"/>
        <v>RepSpaceCmd</v>
      </c>
      <c r="L398" t="str">
        <f t="shared" si="77"/>
        <v/>
      </c>
      <c r="M398" t="str">
        <f t="shared" si="78"/>
        <v/>
      </c>
    </row>
    <row r="399" spans="1:13" x14ac:dyDescent="0.25">
      <c r="A399" t="s">
        <v>1399</v>
      </c>
      <c r="B399" s="6">
        <f t="shared" si="68"/>
        <v>9.1426666666666669</v>
      </c>
      <c r="C399" s="9">
        <f t="shared" si="69"/>
        <v>327.50000000000057</v>
      </c>
      <c r="D399" s="8" t="str">
        <f t="shared" si="70"/>
        <v>W</v>
      </c>
      <c r="E399" s="3">
        <f t="shared" si="71"/>
        <v>31</v>
      </c>
      <c r="F399" s="3" t="str">
        <f t="shared" si="72"/>
        <v>ack</v>
      </c>
      <c r="G399" s="3" t="str">
        <f t="shared" si="73"/>
        <v>A9</v>
      </c>
      <c r="H399" s="3" t="str">
        <f t="shared" si="74"/>
        <v/>
      </c>
      <c r="I399" s="3">
        <f t="shared" si="75"/>
        <v>169</v>
      </c>
      <c r="J399" s="5" t="str">
        <f>IF(E399=0,"Broadcast",IF(H399="",IF(I399="","",IF(I399&lt;128,"Connect "&amp;I399,INDEX(KdoCodeTab,MATCH(I399,KdoWertTab,0)))),"ReadStat "&amp;H399))</f>
        <v>Heartbeat</v>
      </c>
      <c r="K399" t="str">
        <f t="shared" si="76"/>
        <v/>
      </c>
      <c r="L399" t="str">
        <f t="shared" si="77"/>
        <v>Heartbeat</v>
      </c>
      <c r="M399" t="str">
        <f t="shared" si="78"/>
        <v/>
      </c>
    </row>
    <row r="400" spans="1:13" x14ac:dyDescent="0.25">
      <c r="A400" t="s">
        <v>1400</v>
      </c>
      <c r="B400" s="6">
        <f t="shared" si="68"/>
        <v>9.1436666666666682</v>
      </c>
      <c r="C400" s="9">
        <f t="shared" si="69"/>
        <v>1.0000000000012221</v>
      </c>
      <c r="D400" s="8" t="str">
        <f t="shared" si="70"/>
        <v>W</v>
      </c>
      <c r="E400" s="3">
        <f t="shared" si="71"/>
        <v>33</v>
      </c>
      <c r="F400" s="3" t="str">
        <f t="shared" si="72"/>
        <v>ack</v>
      </c>
      <c r="G400" s="3" t="str">
        <f t="shared" si="73"/>
        <v>A9</v>
      </c>
      <c r="H400" s="3" t="str">
        <f t="shared" si="74"/>
        <v/>
      </c>
      <c r="I400" s="3">
        <f t="shared" si="75"/>
        <v>169</v>
      </c>
      <c r="J400" s="5" t="str">
        <f>IF(E400=0,"Broadcast",IF(H400="",IF(I400="","",IF(I400&lt;128,"Connect "&amp;I400,INDEX(KdoCodeTab,MATCH(I400,KdoWertTab,0)))),"ReadStat "&amp;H400))</f>
        <v>Heartbeat</v>
      </c>
      <c r="K400" t="str">
        <f t="shared" si="76"/>
        <v>Heartbeat</v>
      </c>
      <c r="L400" t="str">
        <f t="shared" si="77"/>
        <v/>
      </c>
      <c r="M400" t="str">
        <f t="shared" si="78"/>
        <v/>
      </c>
    </row>
    <row r="401" spans="1:13" x14ac:dyDescent="0.25">
      <c r="A401" t="s">
        <v>1401</v>
      </c>
      <c r="B401" s="6">
        <f t="shared" si="68"/>
        <v>9.8246666666666673</v>
      </c>
      <c r="C401" s="9">
        <f t="shared" si="69"/>
        <v>680.9999999999992</v>
      </c>
      <c r="D401" s="8" t="str">
        <f t="shared" si="70"/>
        <v>W</v>
      </c>
      <c r="E401" s="3">
        <f t="shared" si="71"/>
        <v>31</v>
      </c>
      <c r="F401" s="3" t="str">
        <f t="shared" si="72"/>
        <v>ack</v>
      </c>
      <c r="G401" s="3" t="str">
        <f t="shared" si="73"/>
        <v>A9</v>
      </c>
      <c r="H401" s="3" t="str">
        <f t="shared" si="74"/>
        <v/>
      </c>
      <c r="I401" s="3">
        <f t="shared" si="75"/>
        <v>169</v>
      </c>
      <c r="J401" s="5" t="str">
        <f>IF(E401=0,"Broadcast",IF(H401="",IF(I401="","",IF(I401&lt;128,"Connect "&amp;I401,INDEX(KdoCodeTab,MATCH(I401,KdoWertTab,0)))),"ReadStat "&amp;H401))</f>
        <v>Heartbeat</v>
      </c>
      <c r="K401" t="str">
        <f t="shared" si="76"/>
        <v/>
      </c>
      <c r="L401" t="str">
        <f t="shared" si="77"/>
        <v>Heartbeat</v>
      </c>
      <c r="M401" t="str">
        <f t="shared" si="78"/>
        <v/>
      </c>
    </row>
    <row r="402" spans="1:13" x14ac:dyDescent="0.25">
      <c r="A402" t="s">
        <v>1402</v>
      </c>
      <c r="B402" s="6">
        <f t="shared" si="68"/>
        <v>9.8254999999999999</v>
      </c>
      <c r="C402" s="9">
        <f t="shared" si="69"/>
        <v>0.83333333333257542</v>
      </c>
      <c r="D402" s="8" t="str">
        <f t="shared" si="70"/>
        <v>W</v>
      </c>
      <c r="E402" s="3">
        <f t="shared" si="71"/>
        <v>33</v>
      </c>
      <c r="F402" s="3" t="str">
        <f t="shared" si="72"/>
        <v>ack</v>
      </c>
      <c r="G402" s="3" t="str">
        <f t="shared" si="73"/>
        <v>A9</v>
      </c>
      <c r="H402" s="3" t="str">
        <f t="shared" si="74"/>
        <v/>
      </c>
      <c r="I402" s="3">
        <f t="shared" si="75"/>
        <v>169</v>
      </c>
      <c r="J402" s="5" t="str">
        <f>IF(E402=0,"Broadcast",IF(H402="",IF(I402="","",IF(I402&lt;128,"Connect "&amp;I402,INDEX(KdoCodeTab,MATCH(I402,KdoWertTab,0)))),"ReadStat "&amp;H402))</f>
        <v>Heartbeat</v>
      </c>
      <c r="K402" t="str">
        <f t="shared" si="76"/>
        <v>Heartbeat</v>
      </c>
      <c r="L402" t="str">
        <f t="shared" si="77"/>
        <v/>
      </c>
      <c r="M402" t="str">
        <f t="shared" si="78"/>
        <v/>
      </c>
    </row>
    <row r="403" spans="1:13" x14ac:dyDescent="0.25">
      <c r="A403" t="s">
        <v>1403</v>
      </c>
      <c r="B403" s="6">
        <f t="shared" si="68"/>
        <v>10.124500000000001</v>
      </c>
      <c r="C403" s="9">
        <f t="shared" si="69"/>
        <v>299.00000000000125</v>
      </c>
      <c r="D403" s="8" t="str">
        <f t="shared" si="70"/>
        <v>W</v>
      </c>
      <c r="E403" s="3">
        <f t="shared" si="71"/>
        <v>33</v>
      </c>
      <c r="F403" s="3" t="str">
        <f t="shared" si="72"/>
        <v>ack</v>
      </c>
      <c r="G403" s="3" t="str">
        <f t="shared" si="73"/>
        <v>AA</v>
      </c>
      <c r="H403" s="3" t="str">
        <f t="shared" si="74"/>
        <v/>
      </c>
      <c r="I403" s="3">
        <f t="shared" si="75"/>
        <v>170</v>
      </c>
      <c r="J403" s="5" t="str">
        <f>IF(E403=0,"Broadcast",IF(H403="",IF(I403="","",IF(I403&lt;128,"Connect "&amp;I403,INDEX(KdoCodeTab,MATCH(I403,KdoWertTab,0)))),"ReadStat "&amp;H403))</f>
        <v>DisconnCmd</v>
      </c>
      <c r="K403" t="str">
        <f t="shared" si="76"/>
        <v>DisconnCmd</v>
      </c>
      <c r="L403" t="str">
        <f t="shared" si="77"/>
        <v/>
      </c>
      <c r="M403" t="str">
        <f t="shared" si="78"/>
        <v/>
      </c>
    </row>
    <row r="404" spans="1:13" x14ac:dyDescent="0.25">
      <c r="A404" t="s">
        <v>1404</v>
      </c>
      <c r="B404" s="6">
        <f t="shared" si="68"/>
        <v>10.506666666666668</v>
      </c>
      <c r="C404" s="9">
        <f t="shared" si="69"/>
        <v>382.16666666666652</v>
      </c>
      <c r="D404" s="8" t="str">
        <f t="shared" si="70"/>
        <v>W</v>
      </c>
      <c r="E404" s="3">
        <f t="shared" si="71"/>
        <v>31</v>
      </c>
      <c r="F404" s="3" t="str">
        <f t="shared" si="72"/>
        <v>ack</v>
      </c>
      <c r="G404" s="3" t="str">
        <f t="shared" si="73"/>
        <v>A9</v>
      </c>
      <c r="H404" s="3" t="str">
        <f t="shared" si="74"/>
        <v/>
      </c>
      <c r="I404" s="3">
        <f t="shared" si="75"/>
        <v>169</v>
      </c>
      <c r="J404" s="5" t="str">
        <f>IF(E404=0,"Broadcast",IF(H404="",IF(I404="","",IF(I404&lt;128,"Connect "&amp;I404,INDEX(KdoCodeTab,MATCH(I404,KdoWertTab,0)))),"ReadStat "&amp;H404))</f>
        <v>Heartbeat</v>
      </c>
      <c r="K404" t="str">
        <f t="shared" si="76"/>
        <v/>
      </c>
      <c r="L404" t="str">
        <f t="shared" si="77"/>
        <v>Heartbeat</v>
      </c>
      <c r="M404" t="str">
        <f t="shared" si="78"/>
        <v/>
      </c>
    </row>
    <row r="405" spans="1:13" x14ac:dyDescent="0.25">
      <c r="A405" t="s">
        <v>1405</v>
      </c>
      <c r="B405" s="6">
        <f t="shared" si="68"/>
        <v>0.26583333333333337</v>
      </c>
      <c r="C405" s="9">
        <f t="shared" si="69"/>
        <v>759.16666666666538</v>
      </c>
      <c r="D405" s="8" t="str">
        <f t="shared" si="70"/>
        <v>W</v>
      </c>
      <c r="E405" s="3">
        <f t="shared" si="71"/>
        <v>31</v>
      </c>
      <c r="F405" s="3" t="str">
        <f t="shared" si="72"/>
        <v>ack</v>
      </c>
      <c r="G405" s="3" t="str">
        <f t="shared" si="73"/>
        <v>A9</v>
      </c>
      <c r="H405" s="3" t="str">
        <f t="shared" si="74"/>
        <v/>
      </c>
      <c r="I405" s="3">
        <f t="shared" si="75"/>
        <v>169</v>
      </c>
      <c r="J405" s="5" t="str">
        <f>IF(E405=0,"Broadcast",IF(H405="",IF(I405="","",IF(I405&lt;128,"Connect "&amp;I405,INDEX(KdoCodeTab,MATCH(I405,KdoWertTab,0)))),"ReadStat "&amp;H405))</f>
        <v>Heartbeat</v>
      </c>
      <c r="K405" t="str">
        <f t="shared" si="76"/>
        <v/>
      </c>
      <c r="L405" t="str">
        <f t="shared" si="77"/>
        <v>Heartbeat</v>
      </c>
      <c r="M405" t="str">
        <f t="shared" si="78"/>
        <v/>
      </c>
    </row>
    <row r="406" spans="1:13" x14ac:dyDescent="0.25">
      <c r="A406" t="s">
        <v>1406</v>
      </c>
      <c r="B406" s="6">
        <f t="shared" si="68"/>
        <v>0.94799999999999995</v>
      </c>
      <c r="C406" s="9">
        <f t="shared" si="69"/>
        <v>682.16666666666663</v>
      </c>
      <c r="D406" s="8" t="str">
        <f t="shared" si="70"/>
        <v>W</v>
      </c>
      <c r="E406" s="3">
        <f t="shared" si="71"/>
        <v>21</v>
      </c>
      <c r="F406" s="3" t="str">
        <f t="shared" si="72"/>
        <v>ack</v>
      </c>
      <c r="G406" s="3" t="e">
        <f t="shared" si="73"/>
        <v>#VALUE!</v>
      </c>
      <c r="H406" s="3" t="str">
        <f t="shared" si="74"/>
        <v/>
      </c>
      <c r="I406" s="3">
        <f t="shared" si="75"/>
        <v>0</v>
      </c>
      <c r="J406" s="5" t="str">
        <f>IF(E406=0,"Broadcast",IF(H406="",IF(I406="","",IF(I406&lt;128,"Connect "&amp;I406,INDEX(KdoCodeTab,MATCH(I406,KdoWertTab,0)))),"ReadStat "&amp;H406))</f>
        <v>Connect 0</v>
      </c>
      <c r="K406" t="str">
        <f t="shared" si="76"/>
        <v/>
      </c>
      <c r="L406" t="str">
        <f t="shared" si="77"/>
        <v/>
      </c>
      <c r="M406" t="str">
        <f t="shared" si="78"/>
        <v>Connect 0</v>
      </c>
    </row>
    <row r="407" spans="1:13" x14ac:dyDescent="0.25">
      <c r="A407" t="s">
        <v>1407</v>
      </c>
      <c r="B407" s="6">
        <f t="shared" si="68"/>
        <v>1.63</v>
      </c>
      <c r="C407" s="9">
        <f t="shared" si="69"/>
        <v>681.99999999999989</v>
      </c>
      <c r="D407" s="8" t="str">
        <f t="shared" si="70"/>
        <v>W</v>
      </c>
      <c r="E407" s="3">
        <f t="shared" si="71"/>
        <v>31</v>
      </c>
      <c r="F407" s="3" t="str">
        <f t="shared" si="72"/>
        <v>ack</v>
      </c>
      <c r="G407" s="3" t="str">
        <f t="shared" si="73"/>
        <v>A9</v>
      </c>
      <c r="H407" s="3" t="str">
        <f t="shared" si="74"/>
        <v/>
      </c>
      <c r="I407" s="3">
        <f t="shared" si="75"/>
        <v>169</v>
      </c>
      <c r="J407" s="5" t="str">
        <f>IF(E407=0,"Broadcast",IF(H407="",IF(I407="","",IF(I407&lt;128,"Connect "&amp;I407,INDEX(KdoCodeTab,MATCH(I407,KdoWertTab,0)))),"ReadStat "&amp;H407))</f>
        <v>Heartbeat</v>
      </c>
      <c r="K407" t="str">
        <f t="shared" si="76"/>
        <v/>
      </c>
      <c r="L407" t="str">
        <f t="shared" si="77"/>
        <v>Heartbeat</v>
      </c>
      <c r="M407" t="str">
        <f t="shared" si="78"/>
        <v/>
      </c>
    </row>
    <row r="408" spans="1:13" x14ac:dyDescent="0.25">
      <c r="A408" t="s">
        <v>1408</v>
      </c>
      <c r="B408" s="6">
        <f t="shared" si="68"/>
        <v>2.3118333333333334</v>
      </c>
      <c r="C408" s="9">
        <f t="shared" si="69"/>
        <v>681.83333333333348</v>
      </c>
      <c r="D408" s="8" t="str">
        <f t="shared" si="70"/>
        <v>W</v>
      </c>
      <c r="E408" s="3">
        <f t="shared" si="71"/>
        <v>31</v>
      </c>
      <c r="F408" s="3" t="str">
        <f t="shared" si="72"/>
        <v>ack</v>
      </c>
      <c r="G408" s="3" t="str">
        <f t="shared" si="73"/>
        <v>A9</v>
      </c>
      <c r="H408" s="3" t="str">
        <f t="shared" si="74"/>
        <v/>
      </c>
      <c r="I408" s="3">
        <f t="shared" si="75"/>
        <v>169</v>
      </c>
      <c r="J408" s="5" t="str">
        <f>IF(E408=0,"Broadcast",IF(H408="",IF(I408="","",IF(I408&lt;128,"Connect "&amp;I408,INDEX(KdoCodeTab,MATCH(I408,KdoWertTab,0)))),"ReadStat "&amp;H408))</f>
        <v>Heartbeat</v>
      </c>
      <c r="K408" t="str">
        <f t="shared" si="76"/>
        <v/>
      </c>
      <c r="L408" t="str">
        <f t="shared" si="77"/>
        <v>Heartbeat</v>
      </c>
      <c r="M408" t="str">
        <f t="shared" si="78"/>
        <v/>
      </c>
    </row>
    <row r="409" spans="1:13" x14ac:dyDescent="0.25">
      <c r="A409" t="s">
        <v>1409</v>
      </c>
      <c r="B409" s="6">
        <f t="shared" si="68"/>
        <v>2.5653333333333332</v>
      </c>
      <c r="C409" s="9">
        <f t="shared" si="69"/>
        <v>253.49999999999983</v>
      </c>
      <c r="D409" s="8" t="str">
        <f t="shared" si="70"/>
        <v>W</v>
      </c>
      <c r="E409" s="3">
        <f t="shared" si="71"/>
        <v>31</v>
      </c>
      <c r="F409" s="3" t="str">
        <f t="shared" si="72"/>
        <v>ack</v>
      </c>
      <c r="G409" s="3" t="str">
        <f t="shared" si="73"/>
        <v>AC</v>
      </c>
      <c r="H409" s="3" t="str">
        <f t="shared" si="74"/>
        <v/>
      </c>
      <c r="I409" s="3">
        <f t="shared" si="75"/>
        <v>172</v>
      </c>
      <c r="J409" s="5" t="str">
        <f>IF(E409=0,"Broadcast",IF(H409="",IF(I409="","",IF(I409&lt;128,"Connect "&amp;I409,INDEX(KdoCodeTab,MATCH(I409,KdoWertTab,0)))),"ReadStat "&amp;H409))</f>
        <v>DisconnAck</v>
      </c>
      <c r="K409" t="str">
        <f t="shared" si="76"/>
        <v/>
      </c>
      <c r="L409" t="str">
        <f t="shared" si="77"/>
        <v>DisconnAck</v>
      </c>
      <c r="M409" t="str">
        <f t="shared" si="78"/>
        <v/>
      </c>
    </row>
    <row r="410" spans="1:13" x14ac:dyDescent="0.25">
      <c r="B410" s="6" t="e">
        <f t="shared" si="68"/>
        <v>#VALUE!</v>
      </c>
      <c r="C410" s="9" t="e">
        <f t="shared" si="69"/>
        <v>#VALUE!</v>
      </c>
      <c r="D410" s="8" t="str">
        <f t="shared" si="70"/>
        <v>?</v>
      </c>
      <c r="E410" s="3">
        <f t="shared" si="71"/>
        <v>0</v>
      </c>
      <c r="F410" s="3" t="str">
        <f t="shared" si="72"/>
        <v>NACK</v>
      </c>
      <c r="G410" s="3" t="str">
        <f t="shared" si="73"/>
        <v/>
      </c>
      <c r="H410" s="3" t="str">
        <f t="shared" si="74"/>
        <v/>
      </c>
      <c r="I410" s="3" t="str">
        <f t="shared" si="75"/>
        <v/>
      </c>
      <c r="J410" s="5" t="str">
        <f>IF(E410=0,"Broadcast",IF(H410="",IF(I410="","",IF(I410&lt;128,"Connect "&amp;I410,INDEX(KdoCodeTab,MATCH(I410,KdoWertTab,0)))),"ReadStat "&amp;H410))</f>
        <v>Broadcast</v>
      </c>
      <c r="K410" t="str">
        <f t="shared" si="76"/>
        <v/>
      </c>
      <c r="L410" t="str">
        <f t="shared" si="77"/>
        <v/>
      </c>
      <c r="M410" t="str">
        <f t="shared" si="78"/>
        <v>Broadcast</v>
      </c>
    </row>
    <row r="411" spans="1:13" x14ac:dyDescent="0.25">
      <c r="A411" t="s">
        <v>2</v>
      </c>
      <c r="B411" s="6" t="e">
        <f t="shared" si="68"/>
        <v>#VALUE!</v>
      </c>
      <c r="C411" s="9" t="e">
        <f t="shared" si="69"/>
        <v>#VALUE!</v>
      </c>
      <c r="D411" s="8" t="str">
        <f t="shared" si="70"/>
        <v>?</v>
      </c>
      <c r="E411" s="3" t="e">
        <f t="shared" si="71"/>
        <v>#NUM!</v>
      </c>
      <c r="F411" s="3" t="str">
        <f t="shared" si="72"/>
        <v>NACK</v>
      </c>
      <c r="G411" s="3" t="str">
        <f t="shared" si="73"/>
        <v/>
      </c>
      <c r="H411" s="3" t="str">
        <f t="shared" si="74"/>
        <v/>
      </c>
      <c r="I411" s="3" t="str">
        <f t="shared" si="75"/>
        <v/>
      </c>
      <c r="J411" s="5" t="e">
        <f>IF(E411=0,"Broadcast",IF(H411="",IF(I411="","",IF(I411&lt;128,"Connect "&amp;I411,INDEX(KdoCodeTab,MATCH(I411,KdoWertTab,0)))),"ReadStat "&amp;H411))</f>
        <v>#NUM!</v>
      </c>
      <c r="K411" t="e">
        <f t="shared" si="76"/>
        <v>#NUM!</v>
      </c>
      <c r="L411" t="e">
        <f t="shared" si="77"/>
        <v>#NUM!</v>
      </c>
      <c r="M411" t="e">
        <f t="shared" si="78"/>
        <v>#NUM!</v>
      </c>
    </row>
    <row r="412" spans="1:13" x14ac:dyDescent="0.25">
      <c r="A412" t="s">
        <v>1</v>
      </c>
      <c r="B412" s="6" t="e">
        <f t="shared" si="68"/>
        <v>#VALUE!</v>
      </c>
      <c r="C412" s="9" t="e">
        <f t="shared" si="69"/>
        <v>#VALUE!</v>
      </c>
      <c r="D412" s="8" t="str">
        <f t="shared" si="70"/>
        <v>?</v>
      </c>
      <c r="E412" s="3" t="e">
        <f t="shared" si="71"/>
        <v>#NUM!</v>
      </c>
      <c r="F412" s="3" t="str">
        <f t="shared" si="72"/>
        <v>NACK</v>
      </c>
      <c r="G412" s="3" t="str">
        <f t="shared" si="73"/>
        <v/>
      </c>
      <c r="H412" s="3" t="str">
        <f t="shared" si="74"/>
        <v/>
      </c>
      <c r="I412" s="3" t="str">
        <f t="shared" si="75"/>
        <v/>
      </c>
      <c r="J412" s="5" t="e">
        <f>IF(E412=0,"Broadcast",IF(H412="",IF(I412="","",IF(I412&lt;128,"Connect "&amp;I412,INDEX(KdoCodeTab,MATCH(I412,KdoWertTab,0)))),"ReadStat "&amp;H412))</f>
        <v>#NUM!</v>
      </c>
      <c r="K412" t="e">
        <f t="shared" si="76"/>
        <v>#NUM!</v>
      </c>
      <c r="L412" t="e">
        <f t="shared" si="77"/>
        <v>#NUM!</v>
      </c>
      <c r="M412" t="e">
        <f t="shared" si="78"/>
        <v>#NUM!</v>
      </c>
    </row>
    <row r="413" spans="1:13" x14ac:dyDescent="0.25">
      <c r="A413" t="s">
        <v>4</v>
      </c>
      <c r="B413" s="6" t="e">
        <f t="shared" si="68"/>
        <v>#VALUE!</v>
      </c>
      <c r="C413" s="9" t="e">
        <f t="shared" si="69"/>
        <v>#VALUE!</v>
      </c>
      <c r="D413" s="8" t="str">
        <f t="shared" si="70"/>
        <v>?</v>
      </c>
      <c r="E413" s="3" t="e">
        <f t="shared" si="71"/>
        <v>#NUM!</v>
      </c>
      <c r="F413" s="3" t="str">
        <f t="shared" si="72"/>
        <v>NACK</v>
      </c>
      <c r="G413" s="3" t="str">
        <f t="shared" si="73"/>
        <v/>
      </c>
      <c r="H413" s="3" t="str">
        <f t="shared" si="74"/>
        <v/>
      </c>
      <c r="I413" s="3" t="str">
        <f t="shared" si="75"/>
        <v/>
      </c>
      <c r="J413" s="5" t="e">
        <f>IF(E413=0,"Broadcast",IF(H413="",IF(I413="","",IF(I413&lt;128,"Connect "&amp;I413,INDEX(KdoCodeTab,MATCH(I413,KdoWertTab,0)))),"ReadStat "&amp;H413))</f>
        <v>#NUM!</v>
      </c>
      <c r="K413" t="e">
        <f t="shared" si="76"/>
        <v>#NUM!</v>
      </c>
      <c r="L413" t="e">
        <f t="shared" si="77"/>
        <v>#NUM!</v>
      </c>
      <c r="M413" t="e">
        <f t="shared" si="78"/>
        <v>#NUM!</v>
      </c>
    </row>
    <row r="414" spans="1:13" x14ac:dyDescent="0.25">
      <c r="A414" t="s">
        <v>972</v>
      </c>
      <c r="B414" s="6">
        <f t="shared" si="68"/>
        <v>0.4415</v>
      </c>
      <c r="C414" s="9" t="e">
        <f t="shared" si="69"/>
        <v>#VALUE!</v>
      </c>
      <c r="D414" s="8" t="str">
        <f t="shared" si="70"/>
        <v>W</v>
      </c>
      <c r="E414" s="3">
        <f t="shared" si="71"/>
        <v>31</v>
      </c>
      <c r="F414" s="3" t="str">
        <f t="shared" si="72"/>
        <v>ack</v>
      </c>
      <c r="G414" s="3" t="str">
        <f t="shared" si="73"/>
        <v>9A</v>
      </c>
      <c r="H414" s="3" t="str">
        <f t="shared" si="74"/>
        <v/>
      </c>
      <c r="I414" s="3">
        <f t="shared" si="75"/>
        <v>154</v>
      </c>
      <c r="J414" s="5" t="str">
        <f>IF(E414=0,"Broadcast",IF(H414="",IF(I414="","",IF(I414&lt;128,"Connect "&amp;I414,INDEX(KdoCodeTab,MATCH(I414,KdoWertTab,0)))),"ReadStat "&amp;H414))</f>
        <v>RepMarkCmd</v>
      </c>
      <c r="K414" t="str">
        <f t="shared" si="76"/>
        <v/>
      </c>
      <c r="L414" t="str">
        <f t="shared" si="77"/>
        <v>RepMarkCmd</v>
      </c>
      <c r="M414" t="str">
        <f t="shared" si="78"/>
        <v/>
      </c>
    </row>
    <row r="415" spans="1:13" x14ac:dyDescent="0.25">
      <c r="A415" t="s">
        <v>973</v>
      </c>
      <c r="B415" s="6">
        <f t="shared" si="68"/>
        <v>0.45550000000000002</v>
      </c>
      <c r="C415" s="9">
        <f t="shared" si="69"/>
        <v>14.000000000000012</v>
      </c>
      <c r="D415" s="8" t="str">
        <f t="shared" si="70"/>
        <v>W</v>
      </c>
      <c r="E415" s="3">
        <f t="shared" si="71"/>
        <v>31</v>
      </c>
      <c r="F415" s="3" t="str">
        <f t="shared" si="72"/>
        <v>ack</v>
      </c>
      <c r="G415" s="3" t="str">
        <f t="shared" si="73"/>
        <v>93</v>
      </c>
      <c r="H415" s="3" t="str">
        <f t="shared" si="74"/>
        <v/>
      </c>
      <c r="I415" s="3">
        <f t="shared" si="75"/>
        <v>147</v>
      </c>
      <c r="J415" s="5" t="str">
        <f>IF(E415=0,"Broadcast",IF(H415="",IF(I415="","",IF(I415&lt;128,"Connect "&amp;I415,INDEX(KdoCodeTab,MATCH(I415,KdoWertTab,0)))),"ReadStat "&amp;H415))</f>
        <v>SpaceCmd</v>
      </c>
      <c r="K415" t="str">
        <f t="shared" si="76"/>
        <v/>
      </c>
      <c r="L415" t="str">
        <f t="shared" si="77"/>
        <v>SpaceCmd</v>
      </c>
      <c r="M415" t="str">
        <f t="shared" si="78"/>
        <v/>
      </c>
    </row>
    <row r="416" spans="1:13" x14ac:dyDescent="0.25">
      <c r="A416" t="s">
        <v>974</v>
      </c>
      <c r="B416" s="6">
        <f t="shared" si="68"/>
        <v>0.46166666666666667</v>
      </c>
      <c r="C416" s="9">
        <f t="shared" si="69"/>
        <v>6.1666666666666536</v>
      </c>
      <c r="D416" s="8" t="str">
        <f t="shared" si="70"/>
        <v>W</v>
      </c>
      <c r="E416" s="3">
        <f t="shared" si="71"/>
        <v>31</v>
      </c>
      <c r="F416" s="3" t="str">
        <f t="shared" si="72"/>
        <v>ack</v>
      </c>
      <c r="G416" s="3" t="str">
        <f t="shared" si="73"/>
        <v>96</v>
      </c>
      <c r="H416" s="3" t="str">
        <f t="shared" si="74"/>
        <v/>
      </c>
      <c r="I416" s="3">
        <f t="shared" si="75"/>
        <v>150</v>
      </c>
      <c r="J416" s="5" t="str">
        <f>IF(E416=0,"Broadcast",IF(H416="",IF(I416="","",IF(I416&lt;128,"Connect "&amp;I416,INDEX(KdoCodeTab,MATCH(I416,KdoWertTab,0)))),"ReadStat "&amp;H416))</f>
        <v>RepSpaceCmd</v>
      </c>
      <c r="K416" t="str">
        <f t="shared" si="76"/>
        <v/>
      </c>
      <c r="L416" t="str">
        <f t="shared" si="77"/>
        <v>RepSpaceCmd</v>
      </c>
      <c r="M416" t="str">
        <f t="shared" si="78"/>
        <v/>
      </c>
    </row>
    <row r="417" spans="1:13" x14ac:dyDescent="0.25">
      <c r="A417" t="s">
        <v>975</v>
      </c>
      <c r="B417" s="6">
        <f t="shared" si="68"/>
        <v>0.49583333333333335</v>
      </c>
      <c r="C417" s="9">
        <f t="shared" si="69"/>
        <v>34.166666666666679</v>
      </c>
      <c r="D417" s="8" t="str">
        <f t="shared" si="70"/>
        <v>W</v>
      </c>
      <c r="E417" s="3">
        <f t="shared" si="71"/>
        <v>31</v>
      </c>
      <c r="F417" s="3" t="str">
        <f t="shared" si="72"/>
        <v>ack</v>
      </c>
      <c r="G417" s="3" t="str">
        <f t="shared" si="73"/>
        <v>9C</v>
      </c>
      <c r="H417" s="3" t="str">
        <f t="shared" si="74"/>
        <v/>
      </c>
      <c r="I417" s="3">
        <f t="shared" si="75"/>
        <v>156</v>
      </c>
      <c r="J417" s="5" t="str">
        <f>IF(E417=0,"Broadcast",IF(H417="",IF(I417="","",IF(I417&lt;128,"Connect "&amp;I417,INDEX(KdoCodeTab,MATCH(I417,KdoWertTab,0)))),"ReadStat "&amp;H417))</f>
        <v>MarkCmd</v>
      </c>
      <c r="K417" t="str">
        <f t="shared" si="76"/>
        <v/>
      </c>
      <c r="L417" t="str">
        <f t="shared" si="77"/>
        <v>MarkCmd</v>
      </c>
      <c r="M417" t="str">
        <f t="shared" si="78"/>
        <v/>
      </c>
    </row>
    <row r="418" spans="1:13" x14ac:dyDescent="0.25">
      <c r="A418" t="s">
        <v>976</v>
      </c>
      <c r="B418" s="6">
        <f t="shared" si="68"/>
        <v>0.50183333333333335</v>
      </c>
      <c r="C418" s="9">
        <f t="shared" si="69"/>
        <v>6.0000000000000053</v>
      </c>
      <c r="D418" s="8" t="str">
        <f t="shared" si="70"/>
        <v>W</v>
      </c>
      <c r="E418" s="3">
        <f t="shared" si="71"/>
        <v>31</v>
      </c>
      <c r="F418" s="3" t="str">
        <f t="shared" si="72"/>
        <v>ack</v>
      </c>
      <c r="G418" s="3" t="str">
        <f t="shared" si="73"/>
        <v>9A</v>
      </c>
      <c r="H418" s="3" t="str">
        <f t="shared" si="74"/>
        <v/>
      </c>
      <c r="I418" s="3">
        <f t="shared" si="75"/>
        <v>154</v>
      </c>
      <c r="J418" s="5" t="str">
        <f>IF(E418=0,"Broadcast",IF(H418="",IF(I418="","",IF(I418&lt;128,"Connect "&amp;I418,INDEX(KdoCodeTab,MATCH(I418,KdoWertTab,0)))),"ReadStat "&amp;H418))</f>
        <v>RepMarkCmd</v>
      </c>
      <c r="K418" t="str">
        <f t="shared" si="76"/>
        <v/>
      </c>
      <c r="L418" t="str">
        <f t="shared" si="77"/>
        <v>RepMarkCmd</v>
      </c>
      <c r="M418" t="str">
        <f t="shared" si="78"/>
        <v/>
      </c>
    </row>
    <row r="419" spans="1:13" x14ac:dyDescent="0.25">
      <c r="A419" t="s">
        <v>977</v>
      </c>
      <c r="B419" s="6">
        <f t="shared" si="68"/>
        <v>0.51600000000000001</v>
      </c>
      <c r="C419" s="9">
        <f t="shared" si="69"/>
        <v>14.166666666666661</v>
      </c>
      <c r="D419" s="8" t="str">
        <f t="shared" si="70"/>
        <v>W</v>
      </c>
      <c r="E419" s="3">
        <f t="shared" si="71"/>
        <v>31</v>
      </c>
      <c r="F419" s="3" t="str">
        <f t="shared" si="72"/>
        <v>ack</v>
      </c>
      <c r="G419" s="3" t="str">
        <f t="shared" si="73"/>
        <v>93</v>
      </c>
      <c r="H419" s="3" t="str">
        <f t="shared" si="74"/>
        <v/>
      </c>
      <c r="I419" s="3">
        <f t="shared" si="75"/>
        <v>147</v>
      </c>
      <c r="J419" s="5" t="str">
        <f>IF(E419=0,"Broadcast",IF(H419="",IF(I419="","",IF(I419&lt;128,"Connect "&amp;I419,INDEX(KdoCodeTab,MATCH(I419,KdoWertTab,0)))),"ReadStat "&amp;H419))</f>
        <v>SpaceCmd</v>
      </c>
      <c r="K419" t="str">
        <f t="shared" si="76"/>
        <v/>
      </c>
      <c r="L419" t="str">
        <f t="shared" si="77"/>
        <v>SpaceCmd</v>
      </c>
      <c r="M419" t="str">
        <f t="shared" si="78"/>
        <v/>
      </c>
    </row>
    <row r="420" spans="1:13" x14ac:dyDescent="0.25">
      <c r="A420" t="s">
        <v>978</v>
      </c>
      <c r="B420" s="6">
        <f t="shared" si="68"/>
        <v>0.52200000000000002</v>
      </c>
      <c r="C420" s="9">
        <f t="shared" si="69"/>
        <v>6.0000000000000053</v>
      </c>
      <c r="D420" s="8" t="str">
        <f t="shared" si="70"/>
        <v>W</v>
      </c>
      <c r="E420" s="3">
        <f t="shared" si="71"/>
        <v>31</v>
      </c>
      <c r="F420" s="3" t="str">
        <f t="shared" si="72"/>
        <v>ack</v>
      </c>
      <c r="G420" s="3" t="str">
        <f t="shared" si="73"/>
        <v>96</v>
      </c>
      <c r="H420" s="3" t="str">
        <f t="shared" si="74"/>
        <v/>
      </c>
      <c r="I420" s="3">
        <f t="shared" si="75"/>
        <v>150</v>
      </c>
      <c r="J420" s="5" t="str">
        <f>IF(E420=0,"Broadcast",IF(H420="",IF(I420="","",IF(I420&lt;128,"Connect "&amp;I420,INDEX(KdoCodeTab,MATCH(I420,KdoWertTab,0)))),"ReadStat "&amp;H420))</f>
        <v>RepSpaceCmd</v>
      </c>
      <c r="K420" t="str">
        <f t="shared" si="76"/>
        <v/>
      </c>
      <c r="L420" t="str">
        <f t="shared" si="77"/>
        <v>RepSpaceCmd</v>
      </c>
      <c r="M420" t="str">
        <f t="shared" si="78"/>
        <v/>
      </c>
    </row>
    <row r="421" spans="1:13" x14ac:dyDescent="0.25">
      <c r="A421" t="s">
        <v>979</v>
      </c>
      <c r="B421" s="6">
        <f t="shared" si="68"/>
        <v>0.53616666666666668</v>
      </c>
      <c r="C421" s="9">
        <f t="shared" si="69"/>
        <v>14.166666666666661</v>
      </c>
      <c r="D421" s="8" t="str">
        <f t="shared" si="70"/>
        <v>W</v>
      </c>
      <c r="E421" s="3">
        <f t="shared" si="71"/>
        <v>31</v>
      </c>
      <c r="F421" s="3" t="str">
        <f t="shared" si="72"/>
        <v>ack</v>
      </c>
      <c r="G421" s="3" t="str">
        <f t="shared" si="73"/>
        <v>9C</v>
      </c>
      <c r="H421" s="3" t="str">
        <f t="shared" si="74"/>
        <v/>
      </c>
      <c r="I421" s="3">
        <f t="shared" si="75"/>
        <v>156</v>
      </c>
      <c r="J421" s="5" t="str">
        <f>IF(E421=0,"Broadcast",IF(H421="",IF(I421="","",IF(I421&lt;128,"Connect "&amp;I421,INDEX(KdoCodeTab,MATCH(I421,KdoWertTab,0)))),"ReadStat "&amp;H421))</f>
        <v>MarkCmd</v>
      </c>
      <c r="K421" t="str">
        <f t="shared" si="76"/>
        <v/>
      </c>
      <c r="L421" t="str">
        <f t="shared" si="77"/>
        <v>MarkCmd</v>
      </c>
      <c r="M421" t="str">
        <f t="shared" si="78"/>
        <v/>
      </c>
    </row>
    <row r="422" spans="1:13" x14ac:dyDescent="0.25">
      <c r="A422" t="s">
        <v>980</v>
      </c>
      <c r="B422" s="6">
        <f t="shared" si="68"/>
        <v>0.54216666666666669</v>
      </c>
      <c r="C422" s="9">
        <f t="shared" si="69"/>
        <v>6.0000000000000053</v>
      </c>
      <c r="D422" s="8" t="str">
        <f t="shared" si="70"/>
        <v>W</v>
      </c>
      <c r="E422" s="3">
        <f t="shared" si="71"/>
        <v>31</v>
      </c>
      <c r="F422" s="3" t="str">
        <f t="shared" si="72"/>
        <v>ack</v>
      </c>
      <c r="G422" s="3" t="str">
        <f t="shared" si="73"/>
        <v>9A</v>
      </c>
      <c r="H422" s="3" t="str">
        <f t="shared" si="74"/>
        <v/>
      </c>
      <c r="I422" s="3">
        <f t="shared" si="75"/>
        <v>154</v>
      </c>
      <c r="J422" s="5" t="str">
        <f>IF(E422=0,"Broadcast",IF(H422="",IF(I422="","",IF(I422&lt;128,"Connect "&amp;I422,INDEX(KdoCodeTab,MATCH(I422,KdoWertTab,0)))),"ReadStat "&amp;H422))</f>
        <v>RepMarkCmd</v>
      </c>
      <c r="K422" t="str">
        <f t="shared" si="76"/>
        <v/>
      </c>
      <c r="L422" t="str">
        <f t="shared" si="77"/>
        <v>RepMarkCmd</v>
      </c>
      <c r="M422" t="str">
        <f t="shared" si="78"/>
        <v/>
      </c>
    </row>
    <row r="423" spans="1:13" x14ac:dyDescent="0.25">
      <c r="A423" t="s">
        <v>981</v>
      </c>
      <c r="B423" s="6">
        <f t="shared" si="68"/>
        <v>0.58449999999999991</v>
      </c>
      <c r="C423" s="9">
        <f t="shared" si="69"/>
        <v>42.333333333333222</v>
      </c>
      <c r="D423" s="8" t="str">
        <f t="shared" si="70"/>
        <v>W</v>
      </c>
      <c r="E423" s="3">
        <f t="shared" si="71"/>
        <v>31</v>
      </c>
      <c r="F423" s="3" t="str">
        <f t="shared" si="72"/>
        <v>ack</v>
      </c>
      <c r="G423" s="3" t="str">
        <f t="shared" si="73"/>
        <v>93</v>
      </c>
      <c r="H423" s="3" t="str">
        <f t="shared" si="74"/>
        <v/>
      </c>
      <c r="I423" s="3">
        <f t="shared" si="75"/>
        <v>147</v>
      </c>
      <c r="J423" s="5" t="str">
        <f>IF(E423=0,"Broadcast",IF(H423="",IF(I423="","",IF(I423&lt;128,"Connect "&amp;I423,INDEX(KdoCodeTab,MATCH(I423,KdoWertTab,0)))),"ReadStat "&amp;H423))</f>
        <v>SpaceCmd</v>
      </c>
      <c r="K423" t="str">
        <f t="shared" si="76"/>
        <v/>
      </c>
      <c r="L423" t="str">
        <f t="shared" si="77"/>
        <v>SpaceCmd</v>
      </c>
      <c r="M423" t="str">
        <f t="shared" si="78"/>
        <v/>
      </c>
    </row>
    <row r="424" spans="1:13" x14ac:dyDescent="0.25">
      <c r="A424" t="s">
        <v>982</v>
      </c>
      <c r="B424" s="6">
        <f t="shared" si="68"/>
        <v>0.59066666666666667</v>
      </c>
      <c r="C424" s="9">
        <f t="shared" si="69"/>
        <v>6.1666666666667647</v>
      </c>
      <c r="D424" s="8" t="str">
        <f t="shared" si="70"/>
        <v>W</v>
      </c>
      <c r="E424" s="3">
        <f t="shared" si="71"/>
        <v>31</v>
      </c>
      <c r="F424" s="3" t="str">
        <f t="shared" si="72"/>
        <v>ack</v>
      </c>
      <c r="G424" s="3" t="str">
        <f t="shared" si="73"/>
        <v>96</v>
      </c>
      <c r="H424" s="3" t="str">
        <f t="shared" si="74"/>
        <v/>
      </c>
      <c r="I424" s="3">
        <f t="shared" si="75"/>
        <v>150</v>
      </c>
      <c r="J424" s="5" t="str">
        <f>IF(E424=0,"Broadcast",IF(H424="",IF(I424="","",IF(I424&lt;128,"Connect "&amp;I424,INDEX(KdoCodeTab,MATCH(I424,KdoWertTab,0)))),"ReadStat "&amp;H424))</f>
        <v>RepSpaceCmd</v>
      </c>
      <c r="K424" t="str">
        <f t="shared" si="76"/>
        <v/>
      </c>
      <c r="L424" t="str">
        <f t="shared" si="77"/>
        <v>RepSpaceCmd</v>
      </c>
      <c r="M424" t="str">
        <f t="shared" si="78"/>
        <v/>
      </c>
    </row>
    <row r="425" spans="1:13" x14ac:dyDescent="0.25">
      <c r="A425" t="s">
        <v>983</v>
      </c>
      <c r="B425" s="6">
        <f t="shared" si="68"/>
        <v>0.60466666666666669</v>
      </c>
      <c r="C425" s="9">
        <f t="shared" si="69"/>
        <v>14.000000000000012</v>
      </c>
      <c r="D425" s="8" t="str">
        <f t="shared" si="70"/>
        <v>W</v>
      </c>
      <c r="E425" s="3">
        <f t="shared" si="71"/>
        <v>31</v>
      </c>
      <c r="F425" s="3" t="str">
        <f t="shared" si="72"/>
        <v>ack</v>
      </c>
      <c r="G425" s="3" t="str">
        <f t="shared" si="73"/>
        <v>9C</v>
      </c>
      <c r="H425" s="3" t="str">
        <f t="shared" si="74"/>
        <v/>
      </c>
      <c r="I425" s="3">
        <f t="shared" si="75"/>
        <v>156</v>
      </c>
      <c r="J425" s="5" t="str">
        <f>IF(E425=0,"Broadcast",IF(H425="",IF(I425="","",IF(I425&lt;128,"Connect "&amp;I425,INDEX(KdoCodeTab,MATCH(I425,KdoWertTab,0)))),"ReadStat "&amp;H425))</f>
        <v>MarkCmd</v>
      </c>
      <c r="K425" t="str">
        <f t="shared" si="76"/>
        <v/>
      </c>
      <c r="L425" t="str">
        <f t="shared" si="77"/>
        <v>MarkCmd</v>
      </c>
      <c r="M425" t="str">
        <f t="shared" si="78"/>
        <v/>
      </c>
    </row>
    <row r="426" spans="1:13" x14ac:dyDescent="0.25">
      <c r="A426" t="s">
        <v>984</v>
      </c>
      <c r="B426" s="6">
        <f t="shared" si="68"/>
        <v>0.61083333333333334</v>
      </c>
      <c r="C426" s="9">
        <f t="shared" si="69"/>
        <v>6.1666666666666536</v>
      </c>
      <c r="D426" s="8" t="str">
        <f t="shared" si="70"/>
        <v>W</v>
      </c>
      <c r="E426" s="3">
        <f t="shared" si="71"/>
        <v>31</v>
      </c>
      <c r="F426" s="3" t="str">
        <f t="shared" si="72"/>
        <v>ack</v>
      </c>
      <c r="G426" s="3" t="str">
        <f t="shared" si="73"/>
        <v>9A</v>
      </c>
      <c r="H426" s="3" t="str">
        <f t="shared" si="74"/>
        <v/>
      </c>
      <c r="I426" s="3">
        <f t="shared" si="75"/>
        <v>154</v>
      </c>
      <c r="J426" s="5" t="str">
        <f>IF(E426=0,"Broadcast",IF(H426="",IF(I426="","",IF(I426&lt;128,"Connect "&amp;I426,INDEX(KdoCodeTab,MATCH(I426,KdoWertTab,0)))),"ReadStat "&amp;H426))</f>
        <v>RepMarkCmd</v>
      </c>
      <c r="K426" t="str">
        <f t="shared" si="76"/>
        <v/>
      </c>
      <c r="L426" t="str">
        <f t="shared" si="77"/>
        <v>RepMarkCmd</v>
      </c>
      <c r="M426" t="str">
        <f t="shared" si="78"/>
        <v/>
      </c>
    </row>
    <row r="427" spans="1:13" x14ac:dyDescent="0.25">
      <c r="A427" t="s">
        <v>985</v>
      </c>
      <c r="B427" s="6">
        <f t="shared" si="68"/>
        <v>1.1168333333333333</v>
      </c>
      <c r="C427" s="9">
        <f t="shared" si="69"/>
        <v>506</v>
      </c>
      <c r="D427" s="8" t="str">
        <f t="shared" si="70"/>
        <v>W</v>
      </c>
      <c r="E427" s="3">
        <f t="shared" si="71"/>
        <v>31</v>
      </c>
      <c r="F427" s="3" t="str">
        <f t="shared" si="72"/>
        <v>ack</v>
      </c>
      <c r="G427" s="3" t="str">
        <f t="shared" si="73"/>
        <v>9A</v>
      </c>
      <c r="H427" s="3" t="str">
        <f t="shared" si="74"/>
        <v/>
      </c>
      <c r="I427" s="3">
        <f t="shared" si="75"/>
        <v>154</v>
      </c>
      <c r="J427" s="5" t="str">
        <f>IF(E427=0,"Broadcast",IF(H427="",IF(I427="","",IF(I427&lt;128,"Connect "&amp;I427,INDEX(KdoCodeTab,MATCH(I427,KdoWertTab,0)))),"ReadStat "&amp;H427))</f>
        <v>RepMarkCmd</v>
      </c>
      <c r="K427" t="str">
        <f t="shared" si="76"/>
        <v/>
      </c>
      <c r="L427" t="str">
        <f t="shared" si="77"/>
        <v>RepMarkCmd</v>
      </c>
      <c r="M427" t="str">
        <f t="shared" si="78"/>
        <v/>
      </c>
    </row>
    <row r="428" spans="1:13" x14ac:dyDescent="0.25">
      <c r="A428" t="s">
        <v>986</v>
      </c>
      <c r="B428" s="6">
        <f t="shared" si="68"/>
        <v>1.1206666666666667</v>
      </c>
      <c r="C428" s="9">
        <f t="shared" si="69"/>
        <v>3.8333333333333552</v>
      </c>
      <c r="D428" s="8" t="str">
        <f t="shared" si="70"/>
        <v>W</v>
      </c>
      <c r="E428" s="3">
        <f t="shared" si="71"/>
        <v>101</v>
      </c>
      <c r="F428" s="3" t="str">
        <f t="shared" si="72"/>
        <v>ack</v>
      </c>
      <c r="G428" s="3" t="str">
        <f t="shared" si="73"/>
        <v>A9</v>
      </c>
      <c r="H428" s="3" t="str">
        <f t="shared" si="74"/>
        <v/>
      </c>
      <c r="I428" s="3">
        <f t="shared" si="75"/>
        <v>169</v>
      </c>
      <c r="J428" s="5" t="str">
        <f>IF(E428=0,"Broadcast",IF(H428="",IF(I428="","",IF(I428&lt;128,"Connect "&amp;I428,INDEX(KdoCodeTab,MATCH(I428,KdoWertTab,0)))),"ReadStat "&amp;H428))</f>
        <v>Heartbeat</v>
      </c>
      <c r="K428" t="str">
        <f t="shared" si="76"/>
        <v/>
      </c>
      <c r="L428" t="str">
        <f t="shared" si="77"/>
        <v/>
      </c>
      <c r="M428" t="str">
        <f t="shared" si="78"/>
        <v>Heartbeat</v>
      </c>
    </row>
    <row r="429" spans="1:13" x14ac:dyDescent="0.25">
      <c r="A429" t="s">
        <v>987</v>
      </c>
      <c r="B429" s="6">
        <f t="shared" si="68"/>
        <v>1.6228333333333333</v>
      </c>
      <c r="C429" s="9">
        <f t="shared" si="69"/>
        <v>502.16666666666663</v>
      </c>
      <c r="D429" s="8" t="str">
        <f t="shared" si="70"/>
        <v>W</v>
      </c>
      <c r="E429" s="3">
        <f t="shared" si="71"/>
        <v>31</v>
      </c>
      <c r="F429" s="3" t="str">
        <f t="shared" si="72"/>
        <v>ack</v>
      </c>
      <c r="G429" s="3" t="str">
        <f t="shared" si="73"/>
        <v>9A</v>
      </c>
      <c r="H429" s="3" t="str">
        <f t="shared" si="74"/>
        <v/>
      </c>
      <c r="I429" s="3">
        <f t="shared" si="75"/>
        <v>154</v>
      </c>
      <c r="J429" s="5" t="str">
        <f>IF(E429=0,"Broadcast",IF(H429="",IF(I429="","",IF(I429&lt;128,"Connect "&amp;I429,INDEX(KdoCodeTab,MATCH(I429,KdoWertTab,0)))),"ReadStat "&amp;H429))</f>
        <v>RepMarkCmd</v>
      </c>
      <c r="K429" t="str">
        <f t="shared" si="76"/>
        <v/>
      </c>
      <c r="L429" t="str">
        <f t="shared" si="77"/>
        <v>RepMarkCmd</v>
      </c>
      <c r="M429" t="str">
        <f t="shared" si="78"/>
        <v/>
      </c>
    </row>
    <row r="430" spans="1:13" x14ac:dyDescent="0.25">
      <c r="A430" t="s">
        <v>988</v>
      </c>
      <c r="B430" s="6">
        <f t="shared" si="68"/>
        <v>1.6613333333333333</v>
      </c>
      <c r="C430" s="9">
        <f t="shared" si="69"/>
        <v>38.499999999999979</v>
      </c>
      <c r="D430" s="8" t="str">
        <f t="shared" si="70"/>
        <v>W</v>
      </c>
      <c r="E430" s="3">
        <f t="shared" si="71"/>
        <v>101</v>
      </c>
      <c r="F430" s="3" t="str">
        <f t="shared" si="72"/>
        <v>ack</v>
      </c>
      <c r="G430" s="3" t="str">
        <f t="shared" si="73"/>
        <v>93</v>
      </c>
      <c r="H430" s="3" t="str">
        <f t="shared" si="74"/>
        <v/>
      </c>
      <c r="I430" s="3">
        <f t="shared" si="75"/>
        <v>147</v>
      </c>
      <c r="J430" s="5" t="str">
        <f>IF(E430=0,"Broadcast",IF(H430="",IF(I430="","",IF(I430&lt;128,"Connect "&amp;I430,INDEX(KdoCodeTab,MATCH(I430,KdoWertTab,0)))),"ReadStat "&amp;H430))</f>
        <v>SpaceCmd</v>
      </c>
      <c r="K430" t="str">
        <f t="shared" si="76"/>
        <v/>
      </c>
      <c r="L430" t="str">
        <f t="shared" si="77"/>
        <v/>
      </c>
      <c r="M430" t="str">
        <f t="shared" si="78"/>
        <v>SpaceCmd</v>
      </c>
    </row>
    <row r="431" spans="1:13" x14ac:dyDescent="0.25">
      <c r="A431" t="s">
        <v>989</v>
      </c>
      <c r="B431" s="6">
        <f t="shared" si="68"/>
        <v>1.6623333333333332</v>
      </c>
      <c r="C431" s="9">
        <f t="shared" si="69"/>
        <v>0.99999999999988987</v>
      </c>
      <c r="D431" s="8" t="str">
        <f t="shared" si="70"/>
        <v>W</v>
      </c>
      <c r="E431" s="3">
        <f t="shared" si="71"/>
        <v>101</v>
      </c>
      <c r="F431" s="3" t="str">
        <f t="shared" si="72"/>
        <v>ack</v>
      </c>
      <c r="G431" s="3" t="str">
        <f t="shared" si="73"/>
        <v>96</v>
      </c>
      <c r="H431" s="3" t="str">
        <f t="shared" si="74"/>
        <v/>
      </c>
      <c r="I431" s="3">
        <f t="shared" si="75"/>
        <v>150</v>
      </c>
      <c r="J431" s="5" t="str">
        <f>IF(E431=0,"Broadcast",IF(H431="",IF(I431="","",IF(I431&lt;128,"Connect "&amp;I431,INDEX(KdoCodeTab,MATCH(I431,KdoWertTab,0)))),"ReadStat "&amp;H431))</f>
        <v>RepSpaceCmd</v>
      </c>
      <c r="K431" t="str">
        <f t="shared" si="76"/>
        <v/>
      </c>
      <c r="L431" t="str">
        <f t="shared" si="77"/>
        <v/>
      </c>
      <c r="M431" t="str">
        <f t="shared" si="78"/>
        <v>RepSpaceCmd</v>
      </c>
    </row>
    <row r="432" spans="1:13" x14ac:dyDescent="0.25">
      <c r="A432" t="s">
        <v>990</v>
      </c>
      <c r="B432" s="6">
        <f t="shared" si="68"/>
        <v>1.6824999999999999</v>
      </c>
      <c r="C432" s="9">
        <f t="shared" si="69"/>
        <v>20.166666666666664</v>
      </c>
      <c r="D432" s="8" t="str">
        <f t="shared" si="70"/>
        <v>W</v>
      </c>
      <c r="E432" s="3">
        <f t="shared" si="71"/>
        <v>101</v>
      </c>
      <c r="F432" s="3" t="str">
        <f t="shared" si="72"/>
        <v>ack</v>
      </c>
      <c r="G432" s="3" t="str">
        <f t="shared" si="73"/>
        <v>9C</v>
      </c>
      <c r="H432" s="3" t="str">
        <f t="shared" si="74"/>
        <v/>
      </c>
      <c r="I432" s="3">
        <f t="shared" si="75"/>
        <v>156</v>
      </c>
      <c r="J432" s="5" t="str">
        <f>IF(E432=0,"Broadcast",IF(H432="",IF(I432="","",IF(I432&lt;128,"Connect "&amp;I432,INDEX(KdoCodeTab,MATCH(I432,KdoWertTab,0)))),"ReadStat "&amp;H432))</f>
        <v>MarkCmd</v>
      </c>
      <c r="K432" t="str">
        <f t="shared" si="76"/>
        <v/>
      </c>
      <c r="L432" t="str">
        <f t="shared" si="77"/>
        <v/>
      </c>
      <c r="M432" t="str">
        <f t="shared" si="78"/>
        <v>MarkCmd</v>
      </c>
    </row>
    <row r="433" spans="1:13" x14ac:dyDescent="0.25">
      <c r="A433" t="s">
        <v>991</v>
      </c>
      <c r="B433" s="6">
        <f t="shared" si="68"/>
        <v>1.6835</v>
      </c>
      <c r="C433" s="9">
        <f t="shared" si="69"/>
        <v>1.0000000000001119</v>
      </c>
      <c r="D433" s="8" t="str">
        <f t="shared" si="70"/>
        <v>W</v>
      </c>
      <c r="E433" s="3">
        <f t="shared" si="71"/>
        <v>101</v>
      </c>
      <c r="F433" s="3" t="str">
        <f t="shared" si="72"/>
        <v>ack</v>
      </c>
      <c r="G433" s="3" t="str">
        <f t="shared" si="73"/>
        <v>9A</v>
      </c>
      <c r="H433" s="3" t="str">
        <f t="shared" si="74"/>
        <v/>
      </c>
      <c r="I433" s="3">
        <f t="shared" si="75"/>
        <v>154</v>
      </c>
      <c r="J433" s="5" t="str">
        <f>IF(E433=0,"Broadcast",IF(H433="",IF(I433="","",IF(I433&lt;128,"Connect "&amp;I433,INDEX(KdoCodeTab,MATCH(I433,KdoWertTab,0)))),"ReadStat "&amp;H433))</f>
        <v>RepMarkCmd</v>
      </c>
      <c r="K433" t="str">
        <f t="shared" si="76"/>
        <v/>
      </c>
      <c r="L433" t="str">
        <f t="shared" si="77"/>
        <v/>
      </c>
      <c r="M433" t="str">
        <f t="shared" si="78"/>
        <v>RepMarkCmd</v>
      </c>
    </row>
    <row r="434" spans="1:13" x14ac:dyDescent="0.25">
      <c r="A434" t="s">
        <v>992</v>
      </c>
      <c r="B434" s="6">
        <f t="shared" si="68"/>
        <v>1.8026666666666666</v>
      </c>
      <c r="C434" s="9">
        <f t="shared" si="69"/>
        <v>119.16666666666664</v>
      </c>
      <c r="D434" s="8" t="str">
        <f t="shared" si="70"/>
        <v>W</v>
      </c>
      <c r="E434" s="3">
        <f t="shared" si="71"/>
        <v>101</v>
      </c>
      <c r="F434" s="3" t="str">
        <f t="shared" si="72"/>
        <v>ack</v>
      </c>
      <c r="G434" s="3" t="str">
        <f t="shared" si="73"/>
        <v>A9</v>
      </c>
      <c r="H434" s="3" t="str">
        <f t="shared" si="74"/>
        <v/>
      </c>
      <c r="I434" s="3">
        <f t="shared" si="75"/>
        <v>169</v>
      </c>
      <c r="J434" s="5" t="str">
        <f>IF(E434=0,"Broadcast",IF(H434="",IF(I434="","",IF(I434&lt;128,"Connect "&amp;I434,INDEX(KdoCodeTab,MATCH(I434,KdoWertTab,0)))),"ReadStat "&amp;H434))</f>
        <v>Heartbeat</v>
      </c>
      <c r="K434" t="str">
        <f t="shared" si="76"/>
        <v/>
      </c>
      <c r="L434" t="str">
        <f t="shared" si="77"/>
        <v/>
      </c>
      <c r="M434" t="str">
        <f t="shared" si="78"/>
        <v>Heartbeat</v>
      </c>
    </row>
    <row r="435" spans="1:13" x14ac:dyDescent="0.25">
      <c r="A435" t="s">
        <v>993</v>
      </c>
      <c r="B435" s="6">
        <f t="shared" si="68"/>
        <v>1.8118333333333332</v>
      </c>
      <c r="C435" s="9">
        <f t="shared" si="69"/>
        <v>9.1666666666665453</v>
      </c>
      <c r="D435" s="8" t="str">
        <f t="shared" si="70"/>
        <v>W</v>
      </c>
      <c r="E435" s="3">
        <f t="shared" si="71"/>
        <v>101</v>
      </c>
      <c r="F435" s="3" t="str">
        <f t="shared" si="72"/>
        <v>ack</v>
      </c>
      <c r="G435" s="3" t="str">
        <f t="shared" si="73"/>
        <v>93</v>
      </c>
      <c r="H435" s="3" t="str">
        <f t="shared" si="74"/>
        <v/>
      </c>
      <c r="I435" s="3">
        <f t="shared" si="75"/>
        <v>147</v>
      </c>
      <c r="J435" s="5" t="str">
        <f>IF(E435=0,"Broadcast",IF(H435="",IF(I435="","",IF(I435&lt;128,"Connect "&amp;I435,INDEX(KdoCodeTab,MATCH(I435,KdoWertTab,0)))),"ReadStat "&amp;H435))</f>
        <v>SpaceCmd</v>
      </c>
      <c r="K435" t="str">
        <f t="shared" si="76"/>
        <v/>
      </c>
      <c r="L435" t="str">
        <f t="shared" si="77"/>
        <v/>
      </c>
      <c r="M435" t="str">
        <f t="shared" si="78"/>
        <v>SpaceCmd</v>
      </c>
    </row>
    <row r="436" spans="1:13" x14ac:dyDescent="0.25">
      <c r="A436" t="s">
        <v>994</v>
      </c>
      <c r="B436" s="6">
        <f t="shared" si="68"/>
        <v>1.8128333333333333</v>
      </c>
      <c r="C436" s="9">
        <f t="shared" si="69"/>
        <v>1.0000000000001119</v>
      </c>
      <c r="D436" s="8" t="str">
        <f t="shared" si="70"/>
        <v>W</v>
      </c>
      <c r="E436" s="3">
        <f t="shared" si="71"/>
        <v>101</v>
      </c>
      <c r="F436" s="3" t="str">
        <f t="shared" si="72"/>
        <v>ack</v>
      </c>
      <c r="G436" s="3" t="str">
        <f t="shared" si="73"/>
        <v>96</v>
      </c>
      <c r="H436" s="3" t="str">
        <f t="shared" si="74"/>
        <v/>
      </c>
      <c r="I436" s="3">
        <f t="shared" si="75"/>
        <v>150</v>
      </c>
      <c r="J436" s="5" t="str">
        <f>IF(E436=0,"Broadcast",IF(H436="",IF(I436="","",IF(I436&lt;128,"Connect "&amp;I436,INDEX(KdoCodeTab,MATCH(I436,KdoWertTab,0)))),"ReadStat "&amp;H436))</f>
        <v>RepSpaceCmd</v>
      </c>
      <c r="K436" t="str">
        <f t="shared" si="76"/>
        <v/>
      </c>
      <c r="L436" t="str">
        <f t="shared" si="77"/>
        <v/>
      </c>
      <c r="M436" t="str">
        <f t="shared" si="78"/>
        <v>RepSpaceCmd</v>
      </c>
    </row>
    <row r="437" spans="1:13" x14ac:dyDescent="0.25">
      <c r="A437" t="s">
        <v>995</v>
      </c>
      <c r="B437" s="6">
        <f t="shared" si="68"/>
        <v>1.8916666666666666</v>
      </c>
      <c r="C437" s="9">
        <f t="shared" si="69"/>
        <v>78.833333333333314</v>
      </c>
      <c r="D437" s="8" t="str">
        <f t="shared" si="70"/>
        <v>W</v>
      </c>
      <c r="E437" s="3">
        <f t="shared" si="71"/>
        <v>101</v>
      </c>
      <c r="F437" s="3" t="str">
        <f t="shared" si="72"/>
        <v>ack</v>
      </c>
      <c r="G437" s="3" t="str">
        <f t="shared" si="73"/>
        <v>9C</v>
      </c>
      <c r="H437" s="3" t="str">
        <f t="shared" si="74"/>
        <v/>
      </c>
      <c r="I437" s="3">
        <f t="shared" si="75"/>
        <v>156</v>
      </c>
      <c r="J437" s="5" t="str">
        <f>IF(E437=0,"Broadcast",IF(H437="",IF(I437="","",IF(I437&lt;128,"Connect "&amp;I437,INDEX(KdoCodeTab,MATCH(I437,KdoWertTab,0)))),"ReadStat "&amp;H437))</f>
        <v>MarkCmd</v>
      </c>
      <c r="K437" t="str">
        <f t="shared" si="76"/>
        <v/>
      </c>
      <c r="L437" t="str">
        <f t="shared" si="77"/>
        <v/>
      </c>
      <c r="M437" t="str">
        <f t="shared" si="78"/>
        <v>MarkCmd</v>
      </c>
    </row>
    <row r="438" spans="1:13" x14ac:dyDescent="0.25">
      <c r="A438" t="s">
        <v>996</v>
      </c>
      <c r="B438" s="6">
        <f t="shared" si="68"/>
        <v>1.8924999999999998</v>
      </c>
      <c r="C438" s="9">
        <f t="shared" si="69"/>
        <v>0.83333333333324155</v>
      </c>
      <c r="D438" s="8" t="str">
        <f t="shared" si="70"/>
        <v>W</v>
      </c>
      <c r="E438" s="3">
        <f t="shared" si="71"/>
        <v>101</v>
      </c>
      <c r="F438" s="3" t="str">
        <f t="shared" si="72"/>
        <v>ack</v>
      </c>
      <c r="G438" s="3" t="str">
        <f t="shared" si="73"/>
        <v>9A</v>
      </c>
      <c r="H438" s="3" t="str">
        <f t="shared" si="74"/>
        <v/>
      </c>
      <c r="I438" s="3">
        <f t="shared" si="75"/>
        <v>154</v>
      </c>
      <c r="J438" s="5" t="str">
        <f>IF(E438=0,"Broadcast",IF(H438="",IF(I438="","",IF(I438&lt;128,"Connect "&amp;I438,INDEX(KdoCodeTab,MATCH(I438,KdoWertTab,0)))),"ReadStat "&amp;H438))</f>
        <v>RepMarkCmd</v>
      </c>
      <c r="K438" t="str">
        <f t="shared" si="76"/>
        <v/>
      </c>
      <c r="L438" t="str">
        <f t="shared" si="77"/>
        <v/>
      </c>
      <c r="M438" t="str">
        <f t="shared" si="78"/>
        <v>RepMarkCmd</v>
      </c>
    </row>
    <row r="439" spans="1:13" x14ac:dyDescent="0.25">
      <c r="A439" t="s">
        <v>997</v>
      </c>
      <c r="B439" s="6">
        <f t="shared" si="68"/>
        <v>1.9118333333333333</v>
      </c>
      <c r="C439" s="9">
        <f t="shared" si="69"/>
        <v>19.333333333333425</v>
      </c>
      <c r="D439" s="8" t="str">
        <f t="shared" si="70"/>
        <v>W</v>
      </c>
      <c r="E439" s="3">
        <f t="shared" si="71"/>
        <v>101</v>
      </c>
      <c r="F439" s="3" t="str">
        <f t="shared" si="72"/>
        <v>ack</v>
      </c>
      <c r="G439" s="3" t="str">
        <f t="shared" si="73"/>
        <v>93</v>
      </c>
      <c r="H439" s="3" t="str">
        <f t="shared" si="74"/>
        <v/>
      </c>
      <c r="I439" s="3">
        <f t="shared" si="75"/>
        <v>147</v>
      </c>
      <c r="J439" s="5" t="str">
        <f>IF(E439=0,"Broadcast",IF(H439="",IF(I439="","",IF(I439&lt;128,"Connect "&amp;I439,INDEX(KdoCodeTab,MATCH(I439,KdoWertTab,0)))),"ReadStat "&amp;H439))</f>
        <v>SpaceCmd</v>
      </c>
      <c r="K439" t="str">
        <f t="shared" si="76"/>
        <v/>
      </c>
      <c r="L439" t="str">
        <f t="shared" si="77"/>
        <v/>
      </c>
      <c r="M439" t="str">
        <f t="shared" si="78"/>
        <v>SpaceCmd</v>
      </c>
    </row>
    <row r="440" spans="1:13" x14ac:dyDescent="0.25">
      <c r="A440" t="s">
        <v>998</v>
      </c>
      <c r="B440" s="6">
        <f t="shared" si="68"/>
        <v>1.9126666666666665</v>
      </c>
      <c r="C440" s="9">
        <f t="shared" si="69"/>
        <v>0.83333333333324155</v>
      </c>
      <c r="D440" s="8" t="str">
        <f t="shared" si="70"/>
        <v>W</v>
      </c>
      <c r="E440" s="3">
        <f t="shared" si="71"/>
        <v>101</v>
      </c>
      <c r="F440" s="3" t="str">
        <f t="shared" si="72"/>
        <v>ack</v>
      </c>
      <c r="G440" s="3" t="str">
        <f t="shared" si="73"/>
        <v>96</v>
      </c>
      <c r="H440" s="3" t="str">
        <f t="shared" si="74"/>
        <v/>
      </c>
      <c r="I440" s="3">
        <f t="shared" si="75"/>
        <v>150</v>
      </c>
      <c r="J440" s="5" t="str">
        <f>IF(E440=0,"Broadcast",IF(H440="",IF(I440="","",IF(I440&lt;128,"Connect "&amp;I440,INDEX(KdoCodeTab,MATCH(I440,KdoWertTab,0)))),"ReadStat "&amp;H440))</f>
        <v>RepSpaceCmd</v>
      </c>
      <c r="K440" t="str">
        <f t="shared" si="76"/>
        <v/>
      </c>
      <c r="L440" t="str">
        <f t="shared" si="77"/>
        <v/>
      </c>
      <c r="M440" t="str">
        <f t="shared" si="78"/>
        <v>RepSpaceCmd</v>
      </c>
    </row>
    <row r="441" spans="1:13" x14ac:dyDescent="0.25">
      <c r="A441" t="s">
        <v>999</v>
      </c>
      <c r="B441" s="6">
        <f t="shared" si="68"/>
        <v>1.9321666666666666</v>
      </c>
      <c r="C441" s="9">
        <f t="shared" si="69"/>
        <v>19.500000000000071</v>
      </c>
      <c r="D441" s="8" t="str">
        <f t="shared" si="70"/>
        <v>W</v>
      </c>
      <c r="E441" s="3">
        <f t="shared" si="71"/>
        <v>101</v>
      </c>
      <c r="F441" s="3" t="str">
        <f t="shared" si="72"/>
        <v>ack</v>
      </c>
      <c r="G441" s="3" t="str">
        <f t="shared" si="73"/>
        <v>9C</v>
      </c>
      <c r="H441" s="3" t="str">
        <f t="shared" si="74"/>
        <v/>
      </c>
      <c r="I441" s="3">
        <f t="shared" si="75"/>
        <v>156</v>
      </c>
      <c r="J441" s="5" t="str">
        <f>IF(E441=0,"Broadcast",IF(H441="",IF(I441="","",IF(I441&lt;128,"Connect "&amp;I441,INDEX(KdoCodeTab,MATCH(I441,KdoWertTab,0)))),"ReadStat "&amp;H441))</f>
        <v>MarkCmd</v>
      </c>
      <c r="K441" t="str">
        <f t="shared" si="76"/>
        <v/>
      </c>
      <c r="L441" t="str">
        <f t="shared" si="77"/>
        <v/>
      </c>
      <c r="M441" t="str">
        <f t="shared" si="78"/>
        <v>MarkCmd</v>
      </c>
    </row>
    <row r="442" spans="1:13" x14ac:dyDescent="0.25">
      <c r="A442" t="s">
        <v>1000</v>
      </c>
      <c r="B442" s="6">
        <f t="shared" si="68"/>
        <v>1.9330000000000001</v>
      </c>
      <c r="C442" s="9">
        <f t="shared" si="69"/>
        <v>0.8333333333334636</v>
      </c>
      <c r="D442" s="8" t="str">
        <f t="shared" si="70"/>
        <v>W</v>
      </c>
      <c r="E442" s="3">
        <f t="shared" si="71"/>
        <v>101</v>
      </c>
      <c r="F442" s="3" t="str">
        <f t="shared" si="72"/>
        <v>ack</v>
      </c>
      <c r="G442" s="3" t="str">
        <f t="shared" si="73"/>
        <v>9A</v>
      </c>
      <c r="H442" s="3" t="str">
        <f t="shared" si="74"/>
        <v/>
      </c>
      <c r="I442" s="3">
        <f t="shared" si="75"/>
        <v>154</v>
      </c>
      <c r="J442" s="5" t="str">
        <f>IF(E442=0,"Broadcast",IF(H442="",IF(I442="","",IF(I442&lt;128,"Connect "&amp;I442,INDEX(KdoCodeTab,MATCH(I442,KdoWertTab,0)))),"ReadStat "&amp;H442))</f>
        <v>RepMarkCmd</v>
      </c>
      <c r="K442" t="str">
        <f t="shared" si="76"/>
        <v/>
      </c>
      <c r="L442" t="str">
        <f t="shared" si="77"/>
        <v/>
      </c>
      <c r="M442" t="str">
        <f t="shared" si="78"/>
        <v>RepMarkCmd</v>
      </c>
    </row>
    <row r="443" spans="1:13" x14ac:dyDescent="0.25">
      <c r="A443" t="s">
        <v>1001</v>
      </c>
      <c r="B443" s="6">
        <f t="shared" si="68"/>
        <v>1.9623333333333333</v>
      </c>
      <c r="C443" s="9">
        <f t="shared" si="69"/>
        <v>29.333333333333211</v>
      </c>
      <c r="D443" s="8" t="str">
        <f t="shared" si="70"/>
        <v>W</v>
      </c>
      <c r="E443" s="3">
        <f t="shared" si="71"/>
        <v>101</v>
      </c>
      <c r="F443" s="3" t="str">
        <f t="shared" si="72"/>
        <v>ack</v>
      </c>
      <c r="G443" s="3" t="str">
        <f t="shared" si="73"/>
        <v>93</v>
      </c>
      <c r="H443" s="3" t="str">
        <f t="shared" si="74"/>
        <v/>
      </c>
      <c r="I443" s="3">
        <f t="shared" si="75"/>
        <v>147</v>
      </c>
      <c r="J443" s="5" t="str">
        <f>IF(E443=0,"Broadcast",IF(H443="",IF(I443="","",IF(I443&lt;128,"Connect "&amp;I443,INDEX(KdoCodeTab,MATCH(I443,KdoWertTab,0)))),"ReadStat "&amp;H443))</f>
        <v>SpaceCmd</v>
      </c>
      <c r="K443" t="str">
        <f t="shared" ref="K443:K506" si="79">IF(E443=$K$2,J443,"")</f>
        <v/>
      </c>
      <c r="L443" t="str">
        <f t="shared" ref="L443:L506" si="80">IF(E443=$L$2,J443,"")</f>
        <v/>
      </c>
      <c r="M443" t="str">
        <f t="shared" ref="M443:M506" si="81">IF(K443&amp;L443="",J443,"")</f>
        <v>SpaceCmd</v>
      </c>
    </row>
    <row r="444" spans="1:13" x14ac:dyDescent="0.25">
      <c r="A444" t="s">
        <v>1002</v>
      </c>
      <c r="B444" s="6">
        <f t="shared" si="68"/>
        <v>1.9633333333333334</v>
      </c>
      <c r="C444" s="9">
        <f t="shared" si="69"/>
        <v>1.0000000000001119</v>
      </c>
      <c r="D444" s="8" t="str">
        <f t="shared" si="70"/>
        <v>W</v>
      </c>
      <c r="E444" s="3">
        <f t="shared" si="71"/>
        <v>101</v>
      </c>
      <c r="F444" s="3" t="str">
        <f t="shared" si="72"/>
        <v>ack</v>
      </c>
      <c r="G444" s="3" t="str">
        <f t="shared" si="73"/>
        <v>96</v>
      </c>
      <c r="H444" s="3" t="str">
        <f t="shared" si="74"/>
        <v/>
      </c>
      <c r="I444" s="3">
        <f t="shared" si="75"/>
        <v>150</v>
      </c>
      <c r="J444" s="5" t="str">
        <f>IF(E444=0,"Broadcast",IF(H444="",IF(I444="","",IF(I444&lt;128,"Connect "&amp;I444,INDEX(KdoCodeTab,MATCH(I444,KdoWertTab,0)))),"ReadStat "&amp;H444))</f>
        <v>RepSpaceCmd</v>
      </c>
      <c r="K444" t="str">
        <f t="shared" si="79"/>
        <v/>
      </c>
      <c r="L444" t="str">
        <f t="shared" si="80"/>
        <v/>
      </c>
      <c r="M444" t="str">
        <f t="shared" si="81"/>
        <v>RepSpaceCmd</v>
      </c>
    </row>
    <row r="445" spans="1:13" x14ac:dyDescent="0.25">
      <c r="A445" t="s">
        <v>1003</v>
      </c>
      <c r="B445" s="6">
        <f t="shared" si="68"/>
        <v>2.0018333333333334</v>
      </c>
      <c r="C445" s="9">
        <f t="shared" si="69"/>
        <v>38.499999999999979</v>
      </c>
      <c r="D445" s="8" t="str">
        <f t="shared" si="70"/>
        <v>W</v>
      </c>
      <c r="E445" s="3">
        <f t="shared" si="71"/>
        <v>101</v>
      </c>
      <c r="F445" s="3" t="str">
        <f t="shared" si="72"/>
        <v>ack</v>
      </c>
      <c r="G445" s="3" t="str">
        <f t="shared" si="73"/>
        <v>9C</v>
      </c>
      <c r="H445" s="3" t="str">
        <f t="shared" si="74"/>
        <v/>
      </c>
      <c r="I445" s="3">
        <f t="shared" si="75"/>
        <v>156</v>
      </c>
      <c r="J445" s="5" t="str">
        <f>IF(E445=0,"Broadcast",IF(H445="",IF(I445="","",IF(I445&lt;128,"Connect "&amp;I445,INDEX(KdoCodeTab,MATCH(I445,KdoWertTab,0)))),"ReadStat "&amp;H445))</f>
        <v>MarkCmd</v>
      </c>
      <c r="K445" t="str">
        <f t="shared" si="79"/>
        <v/>
      </c>
      <c r="L445" t="str">
        <f t="shared" si="80"/>
        <v/>
      </c>
      <c r="M445" t="str">
        <f t="shared" si="81"/>
        <v>MarkCmd</v>
      </c>
    </row>
    <row r="446" spans="1:13" x14ac:dyDescent="0.25">
      <c r="A446" t="s">
        <v>1004</v>
      </c>
      <c r="B446" s="6">
        <f t="shared" si="68"/>
        <v>2.0026666666666664</v>
      </c>
      <c r="C446" s="9">
        <f t="shared" si="69"/>
        <v>0.83333333333301951</v>
      </c>
      <c r="D446" s="8" t="str">
        <f t="shared" si="70"/>
        <v>W</v>
      </c>
      <c r="E446" s="3">
        <f t="shared" si="71"/>
        <v>101</v>
      </c>
      <c r="F446" s="3" t="str">
        <f t="shared" si="72"/>
        <v>ack</v>
      </c>
      <c r="G446" s="3" t="str">
        <f t="shared" si="73"/>
        <v>9A</v>
      </c>
      <c r="H446" s="3" t="str">
        <f t="shared" si="74"/>
        <v/>
      </c>
      <c r="I446" s="3">
        <f t="shared" si="75"/>
        <v>154</v>
      </c>
      <c r="J446" s="5" t="str">
        <f>IF(E446=0,"Broadcast",IF(H446="",IF(I446="","",IF(I446&lt;128,"Connect "&amp;I446,INDEX(KdoCodeTab,MATCH(I446,KdoWertTab,0)))),"ReadStat "&amp;H446))</f>
        <v>RepMarkCmd</v>
      </c>
      <c r="K446" t="str">
        <f t="shared" si="79"/>
        <v/>
      </c>
      <c r="L446" t="str">
        <f t="shared" si="80"/>
        <v/>
      </c>
      <c r="M446" t="str">
        <f t="shared" si="81"/>
        <v>RepMarkCmd</v>
      </c>
    </row>
    <row r="447" spans="1:13" x14ac:dyDescent="0.25">
      <c r="A447" t="s">
        <v>22</v>
      </c>
      <c r="B447" s="6">
        <f t="shared" si="68"/>
        <v>2.0219999999999998</v>
      </c>
      <c r="C447" s="9">
        <f t="shared" si="69"/>
        <v>19.333333333333425</v>
      </c>
      <c r="D447" s="8" t="str">
        <f t="shared" si="70"/>
        <v>W</v>
      </c>
      <c r="E447" s="3">
        <f t="shared" si="71"/>
        <v>101</v>
      </c>
      <c r="F447" s="3" t="str">
        <f t="shared" si="72"/>
        <v>ack</v>
      </c>
      <c r="G447" s="3" t="str">
        <f t="shared" si="73"/>
        <v>93</v>
      </c>
      <c r="H447" s="3" t="str">
        <f t="shared" si="74"/>
        <v/>
      </c>
      <c r="I447" s="3">
        <f t="shared" si="75"/>
        <v>147</v>
      </c>
      <c r="J447" s="5" t="str">
        <f>IF(E447=0,"Broadcast",IF(H447="",IF(I447="","",IF(I447&lt;128,"Connect "&amp;I447,INDEX(KdoCodeTab,MATCH(I447,KdoWertTab,0)))),"ReadStat "&amp;H447))</f>
        <v>SpaceCmd</v>
      </c>
      <c r="K447" t="str">
        <f t="shared" si="79"/>
        <v/>
      </c>
      <c r="L447" t="str">
        <f t="shared" si="80"/>
        <v/>
      </c>
      <c r="M447" t="str">
        <f t="shared" si="81"/>
        <v>SpaceCmd</v>
      </c>
    </row>
    <row r="448" spans="1:13" x14ac:dyDescent="0.25">
      <c r="A448" t="s">
        <v>23</v>
      </c>
      <c r="B448" s="6">
        <f t="shared" si="68"/>
        <v>2.0228333333333333</v>
      </c>
      <c r="C448" s="9">
        <f t="shared" si="69"/>
        <v>0.8333333333334636</v>
      </c>
      <c r="D448" s="8" t="str">
        <f t="shared" si="70"/>
        <v>W</v>
      </c>
      <c r="E448" s="3">
        <f t="shared" si="71"/>
        <v>101</v>
      </c>
      <c r="F448" s="3" t="str">
        <f t="shared" si="72"/>
        <v>ack</v>
      </c>
      <c r="G448" s="3" t="str">
        <f t="shared" si="73"/>
        <v>96</v>
      </c>
      <c r="H448" s="3" t="str">
        <f t="shared" si="74"/>
        <v/>
      </c>
      <c r="I448" s="3">
        <f t="shared" si="75"/>
        <v>150</v>
      </c>
      <c r="J448" s="5" t="str">
        <f>IF(E448=0,"Broadcast",IF(H448="",IF(I448="","",IF(I448&lt;128,"Connect "&amp;I448,INDEX(KdoCodeTab,MATCH(I448,KdoWertTab,0)))),"ReadStat "&amp;H448))</f>
        <v>RepSpaceCmd</v>
      </c>
      <c r="K448" t="str">
        <f t="shared" si="79"/>
        <v/>
      </c>
      <c r="L448" t="str">
        <f t="shared" si="80"/>
        <v/>
      </c>
      <c r="M448" t="str">
        <f t="shared" si="81"/>
        <v>RepSpaceCmd</v>
      </c>
    </row>
    <row r="449" spans="1:13" x14ac:dyDescent="0.25">
      <c r="A449" t="s">
        <v>24</v>
      </c>
      <c r="B449" s="6">
        <f t="shared" si="68"/>
        <v>2.0826666666666664</v>
      </c>
      <c r="C449" s="9">
        <f t="shared" si="69"/>
        <v>59.833333333333186</v>
      </c>
      <c r="D449" s="8" t="str">
        <f t="shared" si="70"/>
        <v>W</v>
      </c>
      <c r="E449" s="3">
        <f t="shared" si="71"/>
        <v>101</v>
      </c>
      <c r="F449" s="3" t="str">
        <f t="shared" si="72"/>
        <v>ack</v>
      </c>
      <c r="G449" s="3" t="str">
        <f t="shared" si="73"/>
        <v>9C</v>
      </c>
      <c r="H449" s="3" t="str">
        <f t="shared" si="74"/>
        <v/>
      </c>
      <c r="I449" s="3">
        <f t="shared" si="75"/>
        <v>156</v>
      </c>
      <c r="J449" s="5" t="str">
        <f>IF(E449=0,"Broadcast",IF(H449="",IF(I449="","",IF(I449&lt;128,"Connect "&amp;I449,INDEX(KdoCodeTab,MATCH(I449,KdoWertTab,0)))),"ReadStat "&amp;H449))</f>
        <v>MarkCmd</v>
      </c>
      <c r="K449" t="str">
        <f t="shared" si="79"/>
        <v/>
      </c>
      <c r="L449" t="str">
        <f t="shared" si="80"/>
        <v/>
      </c>
      <c r="M449" t="str">
        <f t="shared" si="81"/>
        <v>MarkCmd</v>
      </c>
    </row>
    <row r="450" spans="1:13" x14ac:dyDescent="0.25">
      <c r="A450" t="s">
        <v>25</v>
      </c>
      <c r="B450" s="6">
        <f t="shared" si="68"/>
        <v>2.0835000000000004</v>
      </c>
      <c r="C450" s="9">
        <f t="shared" si="69"/>
        <v>0.83333333333390769</v>
      </c>
      <c r="D450" s="8" t="str">
        <f t="shared" si="70"/>
        <v>W</v>
      </c>
      <c r="E450" s="3">
        <f t="shared" si="71"/>
        <v>101</v>
      </c>
      <c r="F450" s="3" t="str">
        <f t="shared" si="72"/>
        <v>ack</v>
      </c>
      <c r="G450" s="3" t="str">
        <f t="shared" si="73"/>
        <v>9A</v>
      </c>
      <c r="H450" s="3" t="str">
        <f t="shared" si="74"/>
        <v/>
      </c>
      <c r="I450" s="3">
        <f t="shared" si="75"/>
        <v>154</v>
      </c>
      <c r="J450" s="5" t="str">
        <f>IF(E450=0,"Broadcast",IF(H450="",IF(I450="","",IF(I450&lt;128,"Connect "&amp;I450,INDEX(KdoCodeTab,MATCH(I450,KdoWertTab,0)))),"ReadStat "&amp;H450))</f>
        <v>RepMarkCmd</v>
      </c>
      <c r="K450" t="str">
        <f t="shared" si="79"/>
        <v/>
      </c>
      <c r="L450" t="str">
        <f t="shared" si="80"/>
        <v/>
      </c>
      <c r="M450" t="str">
        <f t="shared" si="81"/>
        <v>RepMarkCmd</v>
      </c>
    </row>
    <row r="451" spans="1:13" x14ac:dyDescent="0.25">
      <c r="A451" t="s">
        <v>26</v>
      </c>
      <c r="B451" s="6">
        <f t="shared" si="68"/>
        <v>2.1120000000000001</v>
      </c>
      <c r="C451" s="9">
        <f t="shared" si="69"/>
        <v>28.499999999999748</v>
      </c>
      <c r="D451" s="8" t="str">
        <f t="shared" si="70"/>
        <v>W</v>
      </c>
      <c r="E451" s="3">
        <f t="shared" si="71"/>
        <v>101</v>
      </c>
      <c r="F451" s="3" t="str">
        <f t="shared" si="72"/>
        <v>ack</v>
      </c>
      <c r="G451" s="3" t="str">
        <f t="shared" si="73"/>
        <v>93</v>
      </c>
      <c r="H451" s="3" t="str">
        <f t="shared" si="74"/>
        <v/>
      </c>
      <c r="I451" s="3">
        <f t="shared" si="75"/>
        <v>147</v>
      </c>
      <c r="J451" s="5" t="str">
        <f>IF(E451=0,"Broadcast",IF(H451="",IF(I451="","",IF(I451&lt;128,"Connect "&amp;I451,INDEX(KdoCodeTab,MATCH(I451,KdoWertTab,0)))),"ReadStat "&amp;H451))</f>
        <v>SpaceCmd</v>
      </c>
      <c r="K451" t="str">
        <f t="shared" si="79"/>
        <v/>
      </c>
      <c r="L451" t="str">
        <f t="shared" si="80"/>
        <v/>
      </c>
      <c r="M451" t="str">
        <f t="shared" si="81"/>
        <v>SpaceCmd</v>
      </c>
    </row>
    <row r="452" spans="1:13" x14ac:dyDescent="0.25">
      <c r="A452" t="s">
        <v>27</v>
      </c>
      <c r="B452" s="6">
        <f t="shared" si="68"/>
        <v>2.1128333333333336</v>
      </c>
      <c r="C452" s="9">
        <f t="shared" si="69"/>
        <v>0.8333333333334636</v>
      </c>
      <c r="D452" s="8" t="str">
        <f t="shared" si="70"/>
        <v>W</v>
      </c>
      <c r="E452" s="3">
        <f t="shared" si="71"/>
        <v>101</v>
      </c>
      <c r="F452" s="3" t="str">
        <f t="shared" si="72"/>
        <v>ack</v>
      </c>
      <c r="G452" s="3" t="str">
        <f t="shared" si="73"/>
        <v>96</v>
      </c>
      <c r="H452" s="3" t="str">
        <f t="shared" si="74"/>
        <v/>
      </c>
      <c r="I452" s="3">
        <f t="shared" si="75"/>
        <v>150</v>
      </c>
      <c r="J452" s="5" t="str">
        <f>IF(E452=0,"Broadcast",IF(H452="",IF(I452="","",IF(I452&lt;128,"Connect "&amp;I452,INDEX(KdoCodeTab,MATCH(I452,KdoWertTab,0)))),"ReadStat "&amp;H452))</f>
        <v>RepSpaceCmd</v>
      </c>
      <c r="K452" t="str">
        <f t="shared" si="79"/>
        <v/>
      </c>
      <c r="L452" t="str">
        <f t="shared" si="80"/>
        <v/>
      </c>
      <c r="M452" t="str">
        <f t="shared" si="81"/>
        <v>RepSpaceCmd</v>
      </c>
    </row>
    <row r="453" spans="1:13" x14ac:dyDescent="0.25">
      <c r="A453" t="s">
        <v>28</v>
      </c>
      <c r="B453" s="6">
        <f t="shared" ref="B453:B516" si="82">MID(A453,1,5)/1000+(CODE(MID(A453,6,1))-CODE("a"))/6000</f>
        <v>2.1288333333333336</v>
      </c>
      <c r="C453" s="9">
        <f t="shared" ref="C453:C516" si="83">(B453-B452+IF(B453&gt;B452,0,11))*1000</f>
        <v>16.000000000000014</v>
      </c>
      <c r="D453" s="8" t="str">
        <f t="shared" ref="D453:D516" si="84">IF(MID(A453,10,1)="&lt;","R",IF(MID(A453,10,1)="&gt;","W","?"))</f>
        <v>W</v>
      </c>
      <c r="E453" s="3">
        <f t="shared" ref="E453:E516" si="85">INT(HEX2DEC(MID(A453,8,2))/2)</f>
        <v>31</v>
      </c>
      <c r="F453" s="3" t="str">
        <f t="shared" ref="F453:F516" si="86">IF(MID(A453,11,1)="+","ack","NACK")</f>
        <v>ack</v>
      </c>
      <c r="G453" s="3" t="str">
        <f t="shared" ref="G453:G516" si="87">IF(F453="ack",SUBSTITUTE(MID(A453,12,LEN(A453)-12),"+","  "),"")</f>
        <v>9A</v>
      </c>
      <c r="H453" s="3" t="str">
        <f t="shared" ref="H453:H516" si="88">IF(MID(A453,10,2)="&lt;+",MID(A453,12,2),"")</f>
        <v/>
      </c>
      <c r="I453" s="3">
        <f t="shared" ref="I453:I516" si="89">IF(MID(A453,10,2)="&gt;+",HEX2DEC(MID(A453,12,2)),"")</f>
        <v>154</v>
      </c>
      <c r="J453" s="5" t="str">
        <f>IF(E453=0,"Broadcast",IF(H453="",IF(I453="","",IF(I453&lt;128,"Connect "&amp;I453,INDEX(KdoCodeTab,MATCH(I453,KdoWertTab,0)))),"ReadStat "&amp;H453))</f>
        <v>RepMarkCmd</v>
      </c>
      <c r="K453" t="str">
        <f t="shared" si="79"/>
        <v/>
      </c>
      <c r="L453" t="str">
        <f t="shared" si="80"/>
        <v>RepMarkCmd</v>
      </c>
      <c r="M453" t="str">
        <f t="shared" si="81"/>
        <v/>
      </c>
    </row>
    <row r="454" spans="1:13" x14ac:dyDescent="0.25">
      <c r="A454" t="s">
        <v>29</v>
      </c>
      <c r="B454" s="6">
        <f t="shared" si="82"/>
        <v>2.132166666666667</v>
      </c>
      <c r="C454" s="9">
        <f t="shared" si="83"/>
        <v>3.3333333333334103</v>
      </c>
      <c r="D454" s="8" t="str">
        <f t="shared" si="84"/>
        <v>W</v>
      </c>
      <c r="E454" s="3">
        <f t="shared" si="85"/>
        <v>101</v>
      </c>
      <c r="F454" s="3" t="str">
        <f t="shared" si="86"/>
        <v>ack</v>
      </c>
      <c r="G454" s="3" t="str">
        <f t="shared" si="87"/>
        <v>9C</v>
      </c>
      <c r="H454" s="3" t="str">
        <f t="shared" si="88"/>
        <v/>
      </c>
      <c r="I454" s="3">
        <f t="shared" si="89"/>
        <v>156</v>
      </c>
      <c r="J454" s="5" t="str">
        <f>IF(E454=0,"Broadcast",IF(H454="",IF(I454="","",IF(I454&lt;128,"Connect "&amp;I454,INDEX(KdoCodeTab,MATCH(I454,KdoWertTab,0)))),"ReadStat "&amp;H454))</f>
        <v>MarkCmd</v>
      </c>
      <c r="K454" t="str">
        <f t="shared" si="79"/>
        <v/>
      </c>
      <c r="L454" t="str">
        <f t="shared" si="80"/>
        <v/>
      </c>
      <c r="M454" t="str">
        <f t="shared" si="81"/>
        <v>MarkCmd</v>
      </c>
    </row>
    <row r="455" spans="1:13" x14ac:dyDescent="0.25">
      <c r="A455" t="s">
        <v>30</v>
      </c>
      <c r="B455" s="6">
        <f t="shared" si="82"/>
        <v>2.133</v>
      </c>
      <c r="C455" s="9">
        <f t="shared" si="83"/>
        <v>0.83333333333301951</v>
      </c>
      <c r="D455" s="8" t="str">
        <f t="shared" si="84"/>
        <v>W</v>
      </c>
      <c r="E455" s="3">
        <f t="shared" si="85"/>
        <v>101</v>
      </c>
      <c r="F455" s="3" t="str">
        <f t="shared" si="86"/>
        <v>ack</v>
      </c>
      <c r="G455" s="3" t="str">
        <f t="shared" si="87"/>
        <v>9A</v>
      </c>
      <c r="H455" s="3" t="str">
        <f t="shared" si="88"/>
        <v/>
      </c>
      <c r="I455" s="3">
        <f t="shared" si="89"/>
        <v>154</v>
      </c>
      <c r="J455" s="5" t="str">
        <f>IF(E455=0,"Broadcast",IF(H455="",IF(I455="","",IF(I455&lt;128,"Connect "&amp;I455,INDEX(KdoCodeTab,MATCH(I455,KdoWertTab,0)))),"ReadStat "&amp;H455))</f>
        <v>RepMarkCmd</v>
      </c>
      <c r="K455" t="str">
        <f t="shared" si="79"/>
        <v/>
      </c>
      <c r="L455" t="str">
        <f t="shared" si="80"/>
        <v/>
      </c>
      <c r="M455" t="str">
        <f t="shared" si="81"/>
        <v>RepMarkCmd</v>
      </c>
    </row>
    <row r="456" spans="1:13" x14ac:dyDescent="0.25">
      <c r="A456" t="s">
        <v>31</v>
      </c>
      <c r="B456" s="6">
        <f t="shared" si="82"/>
        <v>2.1715</v>
      </c>
      <c r="C456" s="9">
        <f t="shared" si="83"/>
        <v>38.499999999999979</v>
      </c>
      <c r="D456" s="8" t="str">
        <f t="shared" si="84"/>
        <v>W</v>
      </c>
      <c r="E456" s="3">
        <f t="shared" si="85"/>
        <v>101</v>
      </c>
      <c r="F456" s="3" t="str">
        <f t="shared" si="86"/>
        <v>ack</v>
      </c>
      <c r="G456" s="3" t="str">
        <f t="shared" si="87"/>
        <v>93</v>
      </c>
      <c r="H456" s="3" t="str">
        <f t="shared" si="88"/>
        <v/>
      </c>
      <c r="I456" s="3">
        <f t="shared" si="89"/>
        <v>147</v>
      </c>
      <c r="J456" s="5" t="str">
        <f>IF(E456=0,"Broadcast",IF(H456="",IF(I456="","",IF(I456&lt;128,"Connect "&amp;I456,INDEX(KdoCodeTab,MATCH(I456,KdoWertTab,0)))),"ReadStat "&amp;H456))</f>
        <v>SpaceCmd</v>
      </c>
      <c r="K456" t="str">
        <f t="shared" si="79"/>
        <v/>
      </c>
      <c r="L456" t="str">
        <f t="shared" si="80"/>
        <v/>
      </c>
      <c r="M456" t="str">
        <f t="shared" si="81"/>
        <v>SpaceCmd</v>
      </c>
    </row>
    <row r="457" spans="1:13" x14ac:dyDescent="0.25">
      <c r="A457" t="s">
        <v>32</v>
      </c>
      <c r="B457" s="6">
        <f t="shared" si="82"/>
        <v>2.1723333333333334</v>
      </c>
      <c r="C457" s="9">
        <f t="shared" si="83"/>
        <v>0.8333333333334636</v>
      </c>
      <c r="D457" s="8" t="str">
        <f t="shared" si="84"/>
        <v>W</v>
      </c>
      <c r="E457" s="3">
        <f t="shared" si="85"/>
        <v>101</v>
      </c>
      <c r="F457" s="3" t="str">
        <f t="shared" si="86"/>
        <v>ack</v>
      </c>
      <c r="G457" s="3" t="str">
        <f t="shared" si="87"/>
        <v>96</v>
      </c>
      <c r="H457" s="3" t="str">
        <f t="shared" si="88"/>
        <v/>
      </c>
      <c r="I457" s="3">
        <f t="shared" si="89"/>
        <v>150</v>
      </c>
      <c r="J457" s="5" t="str">
        <f>IF(E457=0,"Broadcast",IF(H457="",IF(I457="","",IF(I457&lt;128,"Connect "&amp;I457,INDEX(KdoCodeTab,MATCH(I457,KdoWertTab,0)))),"ReadStat "&amp;H457))</f>
        <v>RepSpaceCmd</v>
      </c>
      <c r="K457" t="str">
        <f t="shared" si="79"/>
        <v/>
      </c>
      <c r="L457" t="str">
        <f t="shared" si="80"/>
        <v/>
      </c>
      <c r="M457" t="str">
        <f t="shared" si="81"/>
        <v>RepSpaceCmd</v>
      </c>
    </row>
    <row r="458" spans="1:13" x14ac:dyDescent="0.25">
      <c r="A458" t="s">
        <v>33</v>
      </c>
      <c r="B458" s="6">
        <f t="shared" si="82"/>
        <v>2.1918333333333333</v>
      </c>
      <c r="C458" s="9">
        <f t="shared" si="83"/>
        <v>19.499999999999851</v>
      </c>
      <c r="D458" s="8" t="str">
        <f t="shared" si="84"/>
        <v>W</v>
      </c>
      <c r="E458" s="3">
        <f t="shared" si="85"/>
        <v>101</v>
      </c>
      <c r="F458" s="3" t="str">
        <f t="shared" si="86"/>
        <v>ack</v>
      </c>
      <c r="G458" s="3" t="str">
        <f t="shared" si="87"/>
        <v>9C</v>
      </c>
      <c r="H458" s="3" t="str">
        <f t="shared" si="88"/>
        <v/>
      </c>
      <c r="I458" s="3">
        <f t="shared" si="89"/>
        <v>156</v>
      </c>
      <c r="J458" s="5" t="str">
        <f>IF(E458=0,"Broadcast",IF(H458="",IF(I458="","",IF(I458&lt;128,"Connect "&amp;I458,INDEX(KdoCodeTab,MATCH(I458,KdoWertTab,0)))),"ReadStat "&amp;H458))</f>
        <v>MarkCmd</v>
      </c>
      <c r="K458" t="str">
        <f t="shared" si="79"/>
        <v/>
      </c>
      <c r="L458" t="str">
        <f t="shared" si="80"/>
        <v/>
      </c>
      <c r="M458" t="str">
        <f t="shared" si="81"/>
        <v>MarkCmd</v>
      </c>
    </row>
    <row r="459" spans="1:13" x14ac:dyDescent="0.25">
      <c r="A459" t="s">
        <v>34</v>
      </c>
      <c r="B459" s="6">
        <f t="shared" si="82"/>
        <v>2.1926666666666668</v>
      </c>
      <c r="C459" s="9">
        <f t="shared" si="83"/>
        <v>0.8333333333334636</v>
      </c>
      <c r="D459" s="8" t="str">
        <f t="shared" si="84"/>
        <v>W</v>
      </c>
      <c r="E459" s="3">
        <f t="shared" si="85"/>
        <v>101</v>
      </c>
      <c r="F459" s="3" t="str">
        <f t="shared" si="86"/>
        <v>ack</v>
      </c>
      <c r="G459" s="3" t="str">
        <f t="shared" si="87"/>
        <v>9A</v>
      </c>
      <c r="H459" s="3" t="str">
        <f t="shared" si="88"/>
        <v/>
      </c>
      <c r="I459" s="3">
        <f t="shared" si="89"/>
        <v>154</v>
      </c>
      <c r="J459" s="5" t="str">
        <f>IF(E459=0,"Broadcast",IF(H459="",IF(I459="","",IF(I459&lt;128,"Connect "&amp;I459,INDEX(KdoCodeTab,MATCH(I459,KdoWertTab,0)))),"ReadStat "&amp;H459))</f>
        <v>RepMarkCmd</v>
      </c>
      <c r="K459" t="str">
        <f t="shared" si="79"/>
        <v/>
      </c>
      <c r="L459" t="str">
        <f t="shared" si="80"/>
        <v/>
      </c>
      <c r="M459" t="str">
        <f t="shared" si="81"/>
        <v>RepMarkCmd</v>
      </c>
    </row>
    <row r="460" spans="1:13" x14ac:dyDescent="0.25">
      <c r="A460" t="s">
        <v>35</v>
      </c>
      <c r="B460" s="6">
        <f t="shared" si="82"/>
        <v>2.2625000000000002</v>
      </c>
      <c r="C460" s="9">
        <f t="shared" si="83"/>
        <v>69.833333333333414</v>
      </c>
      <c r="D460" s="8" t="str">
        <f t="shared" si="84"/>
        <v>W</v>
      </c>
      <c r="E460" s="3">
        <f t="shared" si="85"/>
        <v>101</v>
      </c>
      <c r="F460" s="3" t="str">
        <f t="shared" si="86"/>
        <v>ack</v>
      </c>
      <c r="G460" s="3" t="str">
        <f t="shared" si="87"/>
        <v>93</v>
      </c>
      <c r="H460" s="3" t="str">
        <f t="shared" si="88"/>
        <v/>
      </c>
      <c r="I460" s="3">
        <f t="shared" si="89"/>
        <v>147</v>
      </c>
      <c r="J460" s="5" t="str">
        <f>IF(E460=0,"Broadcast",IF(H460="",IF(I460="","",IF(I460&lt;128,"Connect "&amp;I460,INDEX(KdoCodeTab,MATCH(I460,KdoWertTab,0)))),"ReadStat "&amp;H460))</f>
        <v>SpaceCmd</v>
      </c>
      <c r="K460" t="str">
        <f t="shared" si="79"/>
        <v/>
      </c>
      <c r="L460" t="str">
        <f t="shared" si="80"/>
        <v/>
      </c>
      <c r="M460" t="str">
        <f t="shared" si="81"/>
        <v>SpaceCmd</v>
      </c>
    </row>
    <row r="461" spans="1:13" x14ac:dyDescent="0.25">
      <c r="A461" t="s">
        <v>36</v>
      </c>
      <c r="B461" s="6">
        <f t="shared" si="82"/>
        <v>2.2633333333333332</v>
      </c>
      <c r="C461" s="9">
        <f t="shared" si="83"/>
        <v>0.83333333333301951</v>
      </c>
      <c r="D461" s="8" t="str">
        <f t="shared" si="84"/>
        <v>W</v>
      </c>
      <c r="E461" s="3">
        <f t="shared" si="85"/>
        <v>101</v>
      </c>
      <c r="F461" s="3" t="str">
        <f t="shared" si="86"/>
        <v>ack</v>
      </c>
      <c r="G461" s="3" t="str">
        <f t="shared" si="87"/>
        <v>96</v>
      </c>
      <c r="H461" s="3" t="str">
        <f t="shared" si="88"/>
        <v/>
      </c>
      <c r="I461" s="3">
        <f t="shared" si="89"/>
        <v>150</v>
      </c>
      <c r="J461" s="5" t="str">
        <f>IF(E461=0,"Broadcast",IF(H461="",IF(I461="","",IF(I461&lt;128,"Connect "&amp;I461,INDEX(KdoCodeTab,MATCH(I461,KdoWertTab,0)))),"ReadStat "&amp;H461))</f>
        <v>RepSpaceCmd</v>
      </c>
      <c r="K461" t="str">
        <f t="shared" si="79"/>
        <v/>
      </c>
      <c r="L461" t="str">
        <f t="shared" si="80"/>
        <v/>
      </c>
      <c r="M461" t="str">
        <f t="shared" si="81"/>
        <v>RepSpaceCmd</v>
      </c>
    </row>
    <row r="462" spans="1:13" x14ac:dyDescent="0.25">
      <c r="A462" t="s">
        <v>37</v>
      </c>
      <c r="B462" s="6">
        <f t="shared" si="82"/>
        <v>2.3029999999999999</v>
      </c>
      <c r="C462" s="9">
        <f t="shared" si="83"/>
        <v>39.666666666666742</v>
      </c>
      <c r="D462" s="8" t="str">
        <f t="shared" si="84"/>
        <v>W</v>
      </c>
      <c r="E462" s="3">
        <f t="shared" si="85"/>
        <v>101</v>
      </c>
      <c r="F462" s="3" t="str">
        <f t="shared" si="86"/>
        <v>ack</v>
      </c>
      <c r="G462" s="3" t="str">
        <f t="shared" si="87"/>
        <v>9C</v>
      </c>
      <c r="H462" s="3" t="str">
        <f t="shared" si="88"/>
        <v/>
      </c>
      <c r="I462" s="3">
        <f t="shared" si="89"/>
        <v>156</v>
      </c>
      <c r="J462" s="5" t="str">
        <f>IF(E462=0,"Broadcast",IF(H462="",IF(I462="","",IF(I462&lt;128,"Connect "&amp;I462,INDEX(KdoCodeTab,MATCH(I462,KdoWertTab,0)))),"ReadStat "&amp;H462))</f>
        <v>MarkCmd</v>
      </c>
      <c r="K462" t="str">
        <f t="shared" si="79"/>
        <v/>
      </c>
      <c r="L462" t="str">
        <f t="shared" si="80"/>
        <v/>
      </c>
      <c r="M462" t="str">
        <f t="shared" si="81"/>
        <v>MarkCmd</v>
      </c>
    </row>
    <row r="463" spans="1:13" x14ac:dyDescent="0.25">
      <c r="A463" t="s">
        <v>38</v>
      </c>
      <c r="B463" s="6">
        <f t="shared" si="82"/>
        <v>2.3038333333333334</v>
      </c>
      <c r="C463" s="9">
        <f t="shared" si="83"/>
        <v>0.8333333333334636</v>
      </c>
      <c r="D463" s="8" t="str">
        <f t="shared" si="84"/>
        <v>W</v>
      </c>
      <c r="E463" s="3">
        <f t="shared" si="85"/>
        <v>101</v>
      </c>
      <c r="F463" s="3" t="str">
        <f t="shared" si="86"/>
        <v>ack</v>
      </c>
      <c r="G463" s="3" t="str">
        <f t="shared" si="87"/>
        <v>9A</v>
      </c>
      <c r="H463" s="3" t="str">
        <f t="shared" si="88"/>
        <v/>
      </c>
      <c r="I463" s="3">
        <f t="shared" si="89"/>
        <v>154</v>
      </c>
      <c r="J463" s="5" t="str">
        <f>IF(E463=0,"Broadcast",IF(H463="",IF(I463="","",IF(I463&lt;128,"Connect "&amp;I463,INDEX(KdoCodeTab,MATCH(I463,KdoWertTab,0)))),"ReadStat "&amp;H463))</f>
        <v>RepMarkCmd</v>
      </c>
      <c r="K463" t="str">
        <f t="shared" si="79"/>
        <v/>
      </c>
      <c r="L463" t="str">
        <f t="shared" si="80"/>
        <v/>
      </c>
      <c r="M463" t="str">
        <f t="shared" si="81"/>
        <v>RepMarkCmd</v>
      </c>
    </row>
    <row r="464" spans="1:13" x14ac:dyDescent="0.25">
      <c r="A464" t="s">
        <v>39</v>
      </c>
      <c r="B464" s="6">
        <f t="shared" si="82"/>
        <v>2.3423333333333334</v>
      </c>
      <c r="C464" s="9">
        <f t="shared" si="83"/>
        <v>38.499999999999979</v>
      </c>
      <c r="D464" s="8" t="str">
        <f t="shared" si="84"/>
        <v>W</v>
      </c>
      <c r="E464" s="3">
        <f t="shared" si="85"/>
        <v>101</v>
      </c>
      <c r="F464" s="3" t="str">
        <f t="shared" si="86"/>
        <v>ack</v>
      </c>
      <c r="G464" s="3" t="str">
        <f t="shared" si="87"/>
        <v>93</v>
      </c>
      <c r="H464" s="3" t="str">
        <f t="shared" si="88"/>
        <v/>
      </c>
      <c r="I464" s="3">
        <f t="shared" si="89"/>
        <v>147</v>
      </c>
      <c r="J464" s="5" t="str">
        <f>IF(E464=0,"Broadcast",IF(H464="",IF(I464="","",IF(I464&lt;128,"Connect "&amp;I464,INDEX(KdoCodeTab,MATCH(I464,KdoWertTab,0)))),"ReadStat "&amp;H464))</f>
        <v>SpaceCmd</v>
      </c>
      <c r="K464" t="str">
        <f t="shared" si="79"/>
        <v/>
      </c>
      <c r="L464" t="str">
        <f t="shared" si="80"/>
        <v/>
      </c>
      <c r="M464" t="str">
        <f t="shared" si="81"/>
        <v>SpaceCmd</v>
      </c>
    </row>
    <row r="465" spans="1:13" x14ac:dyDescent="0.25">
      <c r="A465" t="s">
        <v>40</v>
      </c>
      <c r="B465" s="6">
        <f t="shared" si="82"/>
        <v>2.3431666666666668</v>
      </c>
      <c r="C465" s="9">
        <f t="shared" si="83"/>
        <v>0.8333333333334636</v>
      </c>
      <c r="D465" s="8" t="str">
        <f t="shared" si="84"/>
        <v>W</v>
      </c>
      <c r="E465" s="3">
        <f t="shared" si="85"/>
        <v>101</v>
      </c>
      <c r="F465" s="3" t="str">
        <f t="shared" si="86"/>
        <v>ack</v>
      </c>
      <c r="G465" s="3" t="str">
        <f t="shared" si="87"/>
        <v>96</v>
      </c>
      <c r="H465" s="3" t="str">
        <f t="shared" si="88"/>
        <v/>
      </c>
      <c r="I465" s="3">
        <f t="shared" si="89"/>
        <v>150</v>
      </c>
      <c r="J465" s="5" t="str">
        <f>IF(E465=0,"Broadcast",IF(H465="",IF(I465="","",IF(I465&lt;128,"Connect "&amp;I465,INDEX(KdoCodeTab,MATCH(I465,KdoWertTab,0)))),"ReadStat "&amp;H465))</f>
        <v>RepSpaceCmd</v>
      </c>
      <c r="K465" t="str">
        <f t="shared" si="79"/>
        <v/>
      </c>
      <c r="L465" t="str">
        <f t="shared" si="80"/>
        <v/>
      </c>
      <c r="M465" t="str">
        <f t="shared" si="81"/>
        <v>RepSpaceCmd</v>
      </c>
    </row>
    <row r="466" spans="1:13" x14ac:dyDescent="0.25">
      <c r="A466" t="s">
        <v>41</v>
      </c>
      <c r="B466" s="6">
        <f t="shared" si="82"/>
        <v>2.3826666666666667</v>
      </c>
      <c r="C466" s="9">
        <f t="shared" si="83"/>
        <v>39.499999999999872</v>
      </c>
      <c r="D466" s="8" t="str">
        <f t="shared" si="84"/>
        <v>W</v>
      </c>
      <c r="E466" s="3">
        <f t="shared" si="85"/>
        <v>101</v>
      </c>
      <c r="F466" s="3" t="str">
        <f t="shared" si="86"/>
        <v>ack</v>
      </c>
      <c r="G466" s="3" t="str">
        <f t="shared" si="87"/>
        <v>9C</v>
      </c>
      <c r="H466" s="3" t="str">
        <f t="shared" si="88"/>
        <v/>
      </c>
      <c r="I466" s="3">
        <f t="shared" si="89"/>
        <v>156</v>
      </c>
      <c r="J466" s="5" t="str">
        <f>IF(E466=0,"Broadcast",IF(H466="",IF(I466="","",IF(I466&lt;128,"Connect "&amp;I466,INDEX(KdoCodeTab,MATCH(I466,KdoWertTab,0)))),"ReadStat "&amp;H466))</f>
        <v>MarkCmd</v>
      </c>
      <c r="K466" t="str">
        <f t="shared" si="79"/>
        <v/>
      </c>
      <c r="L466" t="str">
        <f t="shared" si="80"/>
        <v/>
      </c>
      <c r="M466" t="str">
        <f t="shared" si="81"/>
        <v>MarkCmd</v>
      </c>
    </row>
    <row r="467" spans="1:13" x14ac:dyDescent="0.25">
      <c r="A467" t="s">
        <v>42</v>
      </c>
      <c r="B467" s="6">
        <f t="shared" si="82"/>
        <v>2.3835000000000002</v>
      </c>
      <c r="C467" s="9">
        <f t="shared" si="83"/>
        <v>0.8333333333334636</v>
      </c>
      <c r="D467" s="8" t="str">
        <f t="shared" si="84"/>
        <v>W</v>
      </c>
      <c r="E467" s="3">
        <f t="shared" si="85"/>
        <v>101</v>
      </c>
      <c r="F467" s="3" t="str">
        <f t="shared" si="86"/>
        <v>ack</v>
      </c>
      <c r="G467" s="3" t="str">
        <f t="shared" si="87"/>
        <v>9A</v>
      </c>
      <c r="H467" s="3" t="str">
        <f t="shared" si="88"/>
        <v/>
      </c>
      <c r="I467" s="3">
        <f t="shared" si="89"/>
        <v>154</v>
      </c>
      <c r="J467" s="5" t="str">
        <f>IF(E467=0,"Broadcast",IF(H467="",IF(I467="","",IF(I467&lt;128,"Connect "&amp;I467,INDEX(KdoCodeTab,MATCH(I467,KdoWertTab,0)))),"ReadStat "&amp;H467))</f>
        <v>RepMarkCmd</v>
      </c>
      <c r="K467" t="str">
        <f t="shared" si="79"/>
        <v/>
      </c>
      <c r="L467" t="str">
        <f t="shared" si="80"/>
        <v/>
      </c>
      <c r="M467" t="str">
        <f t="shared" si="81"/>
        <v>RepMarkCmd</v>
      </c>
    </row>
    <row r="468" spans="1:13" x14ac:dyDescent="0.25">
      <c r="A468" t="s">
        <v>43</v>
      </c>
      <c r="B468" s="6">
        <f t="shared" si="82"/>
        <v>2.4119999999999999</v>
      </c>
      <c r="C468" s="9">
        <f t="shared" si="83"/>
        <v>28.499999999999748</v>
      </c>
      <c r="D468" s="8" t="str">
        <f t="shared" si="84"/>
        <v>W</v>
      </c>
      <c r="E468" s="3">
        <f t="shared" si="85"/>
        <v>101</v>
      </c>
      <c r="F468" s="3" t="str">
        <f t="shared" si="86"/>
        <v>ack</v>
      </c>
      <c r="G468" s="3" t="str">
        <f t="shared" si="87"/>
        <v>93</v>
      </c>
      <c r="H468" s="3" t="str">
        <f t="shared" si="88"/>
        <v/>
      </c>
      <c r="I468" s="3">
        <f t="shared" si="89"/>
        <v>147</v>
      </c>
      <c r="J468" s="5" t="str">
        <f>IF(E468=0,"Broadcast",IF(H468="",IF(I468="","",IF(I468&lt;128,"Connect "&amp;I468,INDEX(KdoCodeTab,MATCH(I468,KdoWertTab,0)))),"ReadStat "&amp;H468))</f>
        <v>SpaceCmd</v>
      </c>
      <c r="K468" t="str">
        <f t="shared" si="79"/>
        <v/>
      </c>
      <c r="L468" t="str">
        <f t="shared" si="80"/>
        <v/>
      </c>
      <c r="M468" t="str">
        <f t="shared" si="81"/>
        <v>SpaceCmd</v>
      </c>
    </row>
    <row r="469" spans="1:13" x14ac:dyDescent="0.25">
      <c r="A469" t="s">
        <v>44</v>
      </c>
      <c r="B469" s="6">
        <f t="shared" si="82"/>
        <v>2.4128333333333334</v>
      </c>
      <c r="C469" s="9">
        <f t="shared" si="83"/>
        <v>0.8333333333334636</v>
      </c>
      <c r="D469" s="8" t="str">
        <f t="shared" si="84"/>
        <v>W</v>
      </c>
      <c r="E469" s="3">
        <f t="shared" si="85"/>
        <v>101</v>
      </c>
      <c r="F469" s="3" t="str">
        <f t="shared" si="86"/>
        <v>ack</v>
      </c>
      <c r="G469" s="3" t="str">
        <f t="shared" si="87"/>
        <v>96</v>
      </c>
      <c r="H469" s="3" t="str">
        <f t="shared" si="88"/>
        <v/>
      </c>
      <c r="I469" s="3">
        <f t="shared" si="89"/>
        <v>150</v>
      </c>
      <c r="J469" s="5" t="str">
        <f>IF(E469=0,"Broadcast",IF(H469="",IF(I469="","",IF(I469&lt;128,"Connect "&amp;I469,INDEX(KdoCodeTab,MATCH(I469,KdoWertTab,0)))),"ReadStat "&amp;H469))</f>
        <v>RepSpaceCmd</v>
      </c>
      <c r="K469" t="str">
        <f t="shared" si="79"/>
        <v/>
      </c>
      <c r="L469" t="str">
        <f t="shared" si="80"/>
        <v/>
      </c>
      <c r="M469" t="str">
        <f t="shared" si="81"/>
        <v>RepSpaceCmd</v>
      </c>
    </row>
    <row r="470" spans="1:13" x14ac:dyDescent="0.25">
      <c r="A470" t="s">
        <v>45</v>
      </c>
      <c r="B470" s="6">
        <f t="shared" si="82"/>
        <v>2.4845000000000002</v>
      </c>
      <c r="C470" s="9">
        <f t="shared" si="83"/>
        <v>71.666666666666771</v>
      </c>
      <c r="D470" s="8" t="str">
        <f t="shared" si="84"/>
        <v>W</v>
      </c>
      <c r="E470" s="3">
        <f t="shared" si="85"/>
        <v>101</v>
      </c>
      <c r="F470" s="3" t="str">
        <f t="shared" si="86"/>
        <v>ack</v>
      </c>
      <c r="G470" s="3" t="str">
        <f t="shared" si="87"/>
        <v>A9</v>
      </c>
      <c r="H470" s="3" t="str">
        <f t="shared" si="88"/>
        <v/>
      </c>
      <c r="I470" s="3">
        <f t="shared" si="89"/>
        <v>169</v>
      </c>
      <c r="J470" s="5" t="str">
        <f>IF(E470=0,"Broadcast",IF(H470="",IF(I470="","",IF(I470&lt;128,"Connect "&amp;I470,INDEX(KdoCodeTab,MATCH(I470,KdoWertTab,0)))),"ReadStat "&amp;H470))</f>
        <v>Heartbeat</v>
      </c>
      <c r="K470" t="str">
        <f t="shared" si="79"/>
        <v/>
      </c>
      <c r="L470" t="str">
        <f t="shared" si="80"/>
        <v/>
      </c>
      <c r="M470" t="str">
        <f t="shared" si="81"/>
        <v>Heartbeat</v>
      </c>
    </row>
    <row r="471" spans="1:13" x14ac:dyDescent="0.25">
      <c r="A471" t="s">
        <v>46</v>
      </c>
      <c r="B471" s="6">
        <f t="shared" si="82"/>
        <v>2.512</v>
      </c>
      <c r="C471" s="9">
        <f t="shared" si="83"/>
        <v>27.499999999999858</v>
      </c>
      <c r="D471" s="8" t="str">
        <f t="shared" si="84"/>
        <v>W</v>
      </c>
      <c r="E471" s="3">
        <f t="shared" si="85"/>
        <v>101</v>
      </c>
      <c r="F471" s="3" t="str">
        <f t="shared" si="86"/>
        <v>ack</v>
      </c>
      <c r="G471" s="3" t="str">
        <f t="shared" si="87"/>
        <v>9C</v>
      </c>
      <c r="H471" s="3" t="str">
        <f t="shared" si="88"/>
        <v/>
      </c>
      <c r="I471" s="3">
        <f t="shared" si="89"/>
        <v>156</v>
      </c>
      <c r="J471" s="5" t="str">
        <f>IF(E471=0,"Broadcast",IF(H471="",IF(I471="","",IF(I471&lt;128,"Connect "&amp;I471,INDEX(KdoCodeTab,MATCH(I471,KdoWertTab,0)))),"ReadStat "&amp;H471))</f>
        <v>MarkCmd</v>
      </c>
      <c r="K471" t="str">
        <f t="shared" si="79"/>
        <v/>
      </c>
      <c r="L471" t="str">
        <f t="shared" si="80"/>
        <v/>
      </c>
      <c r="M471" t="str">
        <f t="shared" si="81"/>
        <v>MarkCmd</v>
      </c>
    </row>
    <row r="472" spans="1:13" x14ac:dyDescent="0.25">
      <c r="A472" t="s">
        <v>47</v>
      </c>
      <c r="B472" s="6">
        <f t="shared" si="82"/>
        <v>2.5129999999999999</v>
      </c>
      <c r="C472" s="9">
        <f t="shared" si="83"/>
        <v>0.99999999999988987</v>
      </c>
      <c r="D472" s="8" t="str">
        <f t="shared" si="84"/>
        <v>W</v>
      </c>
      <c r="E472" s="3">
        <f t="shared" si="85"/>
        <v>101</v>
      </c>
      <c r="F472" s="3" t="str">
        <f t="shared" si="86"/>
        <v>ack</v>
      </c>
      <c r="G472" s="3" t="str">
        <f t="shared" si="87"/>
        <v>9A</v>
      </c>
      <c r="H472" s="3" t="str">
        <f t="shared" si="88"/>
        <v/>
      </c>
      <c r="I472" s="3">
        <f t="shared" si="89"/>
        <v>154</v>
      </c>
      <c r="J472" s="5" t="str">
        <f>IF(E472=0,"Broadcast",IF(H472="",IF(I472="","",IF(I472&lt;128,"Connect "&amp;I472,INDEX(KdoCodeTab,MATCH(I472,KdoWertTab,0)))),"ReadStat "&amp;H472))</f>
        <v>RepMarkCmd</v>
      </c>
      <c r="K472" t="str">
        <f t="shared" si="79"/>
        <v/>
      </c>
      <c r="L472" t="str">
        <f t="shared" si="80"/>
        <v/>
      </c>
      <c r="M472" t="str">
        <f t="shared" si="81"/>
        <v>RepMarkCmd</v>
      </c>
    </row>
    <row r="473" spans="1:13" x14ac:dyDescent="0.25">
      <c r="A473" t="s">
        <v>48</v>
      </c>
      <c r="B473" s="6">
        <f t="shared" si="82"/>
        <v>2.5625</v>
      </c>
      <c r="C473" s="9">
        <f t="shared" si="83"/>
        <v>49.500000000000099</v>
      </c>
      <c r="D473" s="8" t="str">
        <f t="shared" si="84"/>
        <v>W</v>
      </c>
      <c r="E473" s="3">
        <f t="shared" si="85"/>
        <v>101</v>
      </c>
      <c r="F473" s="3" t="str">
        <f t="shared" si="86"/>
        <v>ack</v>
      </c>
      <c r="G473" s="3" t="str">
        <f t="shared" si="87"/>
        <v>93</v>
      </c>
      <c r="H473" s="3" t="str">
        <f t="shared" si="88"/>
        <v/>
      </c>
      <c r="I473" s="3">
        <f t="shared" si="89"/>
        <v>147</v>
      </c>
      <c r="J473" s="5" t="str">
        <f>IF(E473=0,"Broadcast",IF(H473="",IF(I473="","",IF(I473&lt;128,"Connect "&amp;I473,INDEX(KdoCodeTab,MATCH(I473,KdoWertTab,0)))),"ReadStat "&amp;H473))</f>
        <v>SpaceCmd</v>
      </c>
      <c r="K473" t="str">
        <f t="shared" si="79"/>
        <v/>
      </c>
      <c r="L473" t="str">
        <f t="shared" si="80"/>
        <v/>
      </c>
      <c r="M473" t="str">
        <f t="shared" si="81"/>
        <v>SpaceCmd</v>
      </c>
    </row>
    <row r="474" spans="1:13" x14ac:dyDescent="0.25">
      <c r="A474" t="s">
        <v>49</v>
      </c>
      <c r="B474" s="6">
        <f t="shared" si="82"/>
        <v>2.5635000000000003</v>
      </c>
      <c r="C474" s="9">
        <f t="shared" si="83"/>
        <v>1.000000000000334</v>
      </c>
      <c r="D474" s="8" t="str">
        <f t="shared" si="84"/>
        <v>W</v>
      </c>
      <c r="E474" s="3">
        <f t="shared" si="85"/>
        <v>101</v>
      </c>
      <c r="F474" s="3" t="str">
        <f t="shared" si="86"/>
        <v>ack</v>
      </c>
      <c r="G474" s="3" t="str">
        <f t="shared" si="87"/>
        <v>96</v>
      </c>
      <c r="H474" s="3" t="str">
        <f t="shared" si="88"/>
        <v/>
      </c>
      <c r="I474" s="3">
        <f t="shared" si="89"/>
        <v>150</v>
      </c>
      <c r="J474" s="5" t="str">
        <f>IF(E474=0,"Broadcast",IF(H474="",IF(I474="","",IF(I474&lt;128,"Connect "&amp;I474,INDEX(KdoCodeTab,MATCH(I474,KdoWertTab,0)))),"ReadStat "&amp;H474))</f>
        <v>RepSpaceCmd</v>
      </c>
      <c r="K474" t="str">
        <f t="shared" si="79"/>
        <v/>
      </c>
      <c r="L474" t="str">
        <f t="shared" si="80"/>
        <v/>
      </c>
      <c r="M474" t="str">
        <f t="shared" si="81"/>
        <v>RepSpaceCmd</v>
      </c>
    </row>
    <row r="475" spans="1:13" x14ac:dyDescent="0.25">
      <c r="A475" t="s">
        <v>50</v>
      </c>
      <c r="B475" s="6">
        <f t="shared" si="82"/>
        <v>2.5826666666666664</v>
      </c>
      <c r="C475" s="9">
        <f t="shared" si="83"/>
        <v>19.16666666666611</v>
      </c>
      <c r="D475" s="8" t="str">
        <f t="shared" si="84"/>
        <v>W</v>
      </c>
      <c r="E475" s="3">
        <f t="shared" si="85"/>
        <v>101</v>
      </c>
      <c r="F475" s="3" t="str">
        <f t="shared" si="86"/>
        <v>ack</v>
      </c>
      <c r="G475" s="3" t="str">
        <f t="shared" si="87"/>
        <v>9C</v>
      </c>
      <c r="H475" s="3" t="str">
        <f t="shared" si="88"/>
        <v/>
      </c>
      <c r="I475" s="3">
        <f t="shared" si="89"/>
        <v>156</v>
      </c>
      <c r="J475" s="5" t="str">
        <f>IF(E475=0,"Broadcast",IF(H475="",IF(I475="","",IF(I475&lt;128,"Connect "&amp;I475,INDEX(KdoCodeTab,MATCH(I475,KdoWertTab,0)))),"ReadStat "&amp;H475))</f>
        <v>MarkCmd</v>
      </c>
      <c r="K475" t="str">
        <f t="shared" si="79"/>
        <v/>
      </c>
      <c r="L475" t="str">
        <f t="shared" si="80"/>
        <v/>
      </c>
      <c r="M475" t="str">
        <f t="shared" si="81"/>
        <v>MarkCmd</v>
      </c>
    </row>
    <row r="476" spans="1:13" x14ac:dyDescent="0.25">
      <c r="A476" t="s">
        <v>51</v>
      </c>
      <c r="B476" s="6">
        <f t="shared" si="82"/>
        <v>2.5836666666666668</v>
      </c>
      <c r="C476" s="9">
        <f t="shared" si="83"/>
        <v>1.000000000000334</v>
      </c>
      <c r="D476" s="8" t="str">
        <f t="shared" si="84"/>
        <v>W</v>
      </c>
      <c r="E476" s="3">
        <f t="shared" si="85"/>
        <v>101</v>
      </c>
      <c r="F476" s="3" t="str">
        <f t="shared" si="86"/>
        <v>ack</v>
      </c>
      <c r="G476" s="3" t="str">
        <f t="shared" si="87"/>
        <v>9A</v>
      </c>
      <c r="H476" s="3" t="str">
        <f t="shared" si="88"/>
        <v/>
      </c>
      <c r="I476" s="3">
        <f t="shared" si="89"/>
        <v>154</v>
      </c>
      <c r="J476" s="5" t="str">
        <f>IF(E476=0,"Broadcast",IF(H476="",IF(I476="","",IF(I476&lt;128,"Connect "&amp;I476,INDEX(KdoCodeTab,MATCH(I476,KdoWertTab,0)))),"ReadStat "&amp;H476))</f>
        <v>RepMarkCmd</v>
      </c>
      <c r="K476" t="str">
        <f t="shared" si="79"/>
        <v/>
      </c>
      <c r="L476" t="str">
        <f t="shared" si="80"/>
        <v/>
      </c>
      <c r="M476" t="str">
        <f t="shared" si="81"/>
        <v>RepMarkCmd</v>
      </c>
    </row>
    <row r="477" spans="1:13" x14ac:dyDescent="0.25">
      <c r="A477" t="s">
        <v>52</v>
      </c>
      <c r="B477" s="6">
        <f t="shared" si="82"/>
        <v>2.6348333333333334</v>
      </c>
      <c r="C477" s="9">
        <f t="shared" si="83"/>
        <v>51.166666666666586</v>
      </c>
      <c r="D477" s="8" t="str">
        <f t="shared" si="84"/>
        <v>W</v>
      </c>
      <c r="E477" s="3">
        <f t="shared" si="85"/>
        <v>31</v>
      </c>
      <c r="F477" s="3" t="str">
        <f t="shared" si="86"/>
        <v>ack</v>
      </c>
      <c r="G477" s="3" t="str">
        <f t="shared" si="87"/>
        <v>9A</v>
      </c>
      <c r="H477" s="3" t="str">
        <f t="shared" si="88"/>
        <v/>
      </c>
      <c r="I477" s="3">
        <f t="shared" si="89"/>
        <v>154</v>
      </c>
      <c r="J477" s="5" t="str">
        <f>IF(E477=0,"Broadcast",IF(H477="",IF(I477="","",IF(I477&lt;128,"Connect "&amp;I477,INDEX(KdoCodeTab,MATCH(I477,KdoWertTab,0)))),"ReadStat "&amp;H477))</f>
        <v>RepMarkCmd</v>
      </c>
      <c r="K477" t="str">
        <f t="shared" si="79"/>
        <v/>
      </c>
      <c r="L477" t="str">
        <f t="shared" si="80"/>
        <v>RepMarkCmd</v>
      </c>
      <c r="M477" t="str">
        <f t="shared" si="81"/>
        <v/>
      </c>
    </row>
    <row r="478" spans="1:13" x14ac:dyDescent="0.25">
      <c r="A478" t="s">
        <v>53</v>
      </c>
      <c r="B478" s="6">
        <f t="shared" si="82"/>
        <v>2.6421666666666668</v>
      </c>
      <c r="C478" s="9">
        <f t="shared" si="83"/>
        <v>7.3333333333334139</v>
      </c>
      <c r="D478" s="8" t="str">
        <f t="shared" si="84"/>
        <v>W</v>
      </c>
      <c r="E478" s="3">
        <f t="shared" si="85"/>
        <v>101</v>
      </c>
      <c r="F478" s="3" t="str">
        <f t="shared" si="86"/>
        <v>ack</v>
      </c>
      <c r="G478" s="3" t="str">
        <f t="shared" si="87"/>
        <v>93</v>
      </c>
      <c r="H478" s="3" t="str">
        <f t="shared" si="88"/>
        <v/>
      </c>
      <c r="I478" s="3">
        <f t="shared" si="89"/>
        <v>147</v>
      </c>
      <c r="J478" s="5" t="str">
        <f>IF(E478=0,"Broadcast",IF(H478="",IF(I478="","",IF(I478&lt;128,"Connect "&amp;I478,INDEX(KdoCodeTab,MATCH(I478,KdoWertTab,0)))),"ReadStat "&amp;H478))</f>
        <v>SpaceCmd</v>
      </c>
      <c r="K478" t="str">
        <f t="shared" si="79"/>
        <v/>
      </c>
      <c r="L478" t="str">
        <f t="shared" si="80"/>
        <v/>
      </c>
      <c r="M478" t="str">
        <f t="shared" si="81"/>
        <v>SpaceCmd</v>
      </c>
    </row>
    <row r="479" spans="1:13" x14ac:dyDescent="0.25">
      <c r="A479" t="s">
        <v>54</v>
      </c>
      <c r="B479" s="6">
        <f t="shared" si="82"/>
        <v>2.6431666666666667</v>
      </c>
      <c r="C479" s="9">
        <f t="shared" si="83"/>
        <v>0.99999999999988987</v>
      </c>
      <c r="D479" s="8" t="str">
        <f t="shared" si="84"/>
        <v>W</v>
      </c>
      <c r="E479" s="3">
        <f t="shared" si="85"/>
        <v>101</v>
      </c>
      <c r="F479" s="3" t="str">
        <f t="shared" si="86"/>
        <v>ack</v>
      </c>
      <c r="G479" s="3" t="str">
        <f t="shared" si="87"/>
        <v>96</v>
      </c>
      <c r="H479" s="3" t="str">
        <f t="shared" si="88"/>
        <v/>
      </c>
      <c r="I479" s="3">
        <f t="shared" si="89"/>
        <v>150</v>
      </c>
      <c r="J479" s="5" t="str">
        <f>IF(E479=0,"Broadcast",IF(H479="",IF(I479="","",IF(I479&lt;128,"Connect "&amp;I479,INDEX(KdoCodeTab,MATCH(I479,KdoWertTab,0)))),"ReadStat "&amp;H479))</f>
        <v>RepSpaceCmd</v>
      </c>
      <c r="K479" t="str">
        <f t="shared" si="79"/>
        <v/>
      </c>
      <c r="L479" t="str">
        <f t="shared" si="80"/>
        <v/>
      </c>
      <c r="M479" t="str">
        <f t="shared" si="81"/>
        <v>RepSpaceCmd</v>
      </c>
    </row>
    <row r="480" spans="1:13" x14ac:dyDescent="0.25">
      <c r="A480" t="s">
        <v>55</v>
      </c>
      <c r="B480" s="6">
        <f t="shared" si="82"/>
        <v>2.6826666666666665</v>
      </c>
      <c r="C480" s="9">
        <f t="shared" si="83"/>
        <v>39.499999999999872</v>
      </c>
      <c r="D480" s="8" t="str">
        <f t="shared" si="84"/>
        <v>W</v>
      </c>
      <c r="E480" s="3">
        <f t="shared" si="85"/>
        <v>101</v>
      </c>
      <c r="F480" s="3" t="str">
        <f t="shared" si="86"/>
        <v>ack</v>
      </c>
      <c r="G480" s="3" t="str">
        <f t="shared" si="87"/>
        <v>9C</v>
      </c>
      <c r="H480" s="3" t="str">
        <f t="shared" si="88"/>
        <v/>
      </c>
      <c r="I480" s="3">
        <f t="shared" si="89"/>
        <v>156</v>
      </c>
      <c r="J480" s="5" t="str">
        <f>IF(E480=0,"Broadcast",IF(H480="",IF(I480="","",IF(I480&lt;128,"Connect "&amp;I480,INDEX(KdoCodeTab,MATCH(I480,KdoWertTab,0)))),"ReadStat "&amp;H480))</f>
        <v>MarkCmd</v>
      </c>
      <c r="K480" t="str">
        <f t="shared" si="79"/>
        <v/>
      </c>
      <c r="L480" t="str">
        <f t="shared" si="80"/>
        <v/>
      </c>
      <c r="M480" t="str">
        <f t="shared" si="81"/>
        <v>MarkCmd</v>
      </c>
    </row>
    <row r="481" spans="1:13" x14ac:dyDescent="0.25">
      <c r="A481" t="s">
        <v>56</v>
      </c>
      <c r="B481" s="6">
        <f t="shared" si="82"/>
        <v>2.6836666666666664</v>
      </c>
      <c r="C481" s="9">
        <f t="shared" si="83"/>
        <v>0.99999999999988987</v>
      </c>
      <c r="D481" s="8" t="str">
        <f t="shared" si="84"/>
        <v>W</v>
      </c>
      <c r="E481" s="3">
        <f t="shared" si="85"/>
        <v>101</v>
      </c>
      <c r="F481" s="3" t="str">
        <f t="shared" si="86"/>
        <v>ack</v>
      </c>
      <c r="G481" s="3" t="str">
        <f t="shared" si="87"/>
        <v>9A</v>
      </c>
      <c r="H481" s="3" t="str">
        <f t="shared" si="88"/>
        <v/>
      </c>
      <c r="I481" s="3">
        <f t="shared" si="89"/>
        <v>154</v>
      </c>
      <c r="J481" s="5" t="str">
        <f>IF(E481=0,"Broadcast",IF(H481="",IF(I481="","",IF(I481&lt;128,"Connect "&amp;I481,INDEX(KdoCodeTab,MATCH(I481,KdoWertTab,0)))),"ReadStat "&amp;H481))</f>
        <v>RepMarkCmd</v>
      </c>
      <c r="K481" t="str">
        <f t="shared" si="79"/>
        <v/>
      </c>
      <c r="L481" t="str">
        <f t="shared" si="80"/>
        <v/>
      </c>
      <c r="M481" t="str">
        <f t="shared" si="81"/>
        <v>RepMarkCmd</v>
      </c>
    </row>
    <row r="482" spans="1:13" x14ac:dyDescent="0.25">
      <c r="A482" t="s">
        <v>57</v>
      </c>
      <c r="B482" s="6">
        <f t="shared" si="82"/>
        <v>2.7120000000000002</v>
      </c>
      <c r="C482" s="9">
        <f t="shared" si="83"/>
        <v>28.333333333333766</v>
      </c>
      <c r="D482" s="8" t="str">
        <f t="shared" si="84"/>
        <v>W</v>
      </c>
      <c r="E482" s="3">
        <f t="shared" si="85"/>
        <v>101</v>
      </c>
      <c r="F482" s="3" t="str">
        <f t="shared" si="86"/>
        <v>ack</v>
      </c>
      <c r="G482" s="3" t="str">
        <f t="shared" si="87"/>
        <v>93</v>
      </c>
      <c r="H482" s="3" t="str">
        <f t="shared" si="88"/>
        <v/>
      </c>
      <c r="I482" s="3">
        <f t="shared" si="89"/>
        <v>147</v>
      </c>
      <c r="J482" s="5" t="str">
        <f>IF(E482=0,"Broadcast",IF(H482="",IF(I482="","",IF(I482&lt;128,"Connect "&amp;I482,INDEX(KdoCodeTab,MATCH(I482,KdoWertTab,0)))),"ReadStat "&amp;H482))</f>
        <v>SpaceCmd</v>
      </c>
      <c r="K482" t="str">
        <f t="shared" si="79"/>
        <v/>
      </c>
      <c r="L482" t="str">
        <f t="shared" si="80"/>
        <v/>
      </c>
      <c r="M482" t="str">
        <f t="shared" si="81"/>
        <v>SpaceCmd</v>
      </c>
    </row>
    <row r="483" spans="1:13" x14ac:dyDescent="0.25">
      <c r="A483" t="s">
        <v>58</v>
      </c>
      <c r="B483" s="6">
        <f t="shared" si="82"/>
        <v>2.7128333333333337</v>
      </c>
      <c r="C483" s="9">
        <f t="shared" si="83"/>
        <v>0.8333333333334636</v>
      </c>
      <c r="D483" s="8" t="str">
        <f t="shared" si="84"/>
        <v>W</v>
      </c>
      <c r="E483" s="3">
        <f t="shared" si="85"/>
        <v>101</v>
      </c>
      <c r="F483" s="3" t="str">
        <f t="shared" si="86"/>
        <v>ack</v>
      </c>
      <c r="G483" s="3" t="str">
        <f t="shared" si="87"/>
        <v>96</v>
      </c>
      <c r="H483" s="3" t="str">
        <f t="shared" si="88"/>
        <v/>
      </c>
      <c r="I483" s="3">
        <f t="shared" si="89"/>
        <v>150</v>
      </c>
      <c r="J483" s="5" t="str">
        <f>IF(E483=0,"Broadcast",IF(H483="",IF(I483="","",IF(I483&lt;128,"Connect "&amp;I483,INDEX(KdoCodeTab,MATCH(I483,KdoWertTab,0)))),"ReadStat "&amp;H483))</f>
        <v>RepSpaceCmd</v>
      </c>
      <c r="K483" t="str">
        <f t="shared" si="79"/>
        <v/>
      </c>
      <c r="L483" t="str">
        <f t="shared" si="80"/>
        <v/>
      </c>
      <c r="M483" t="str">
        <f t="shared" si="81"/>
        <v>RepSpaceCmd</v>
      </c>
    </row>
    <row r="484" spans="1:13" x14ac:dyDescent="0.25">
      <c r="A484" t="s">
        <v>59</v>
      </c>
      <c r="B484" s="6">
        <f t="shared" si="82"/>
        <v>2.7918333333333334</v>
      </c>
      <c r="C484" s="9">
        <f t="shared" si="83"/>
        <v>78.999999999999744</v>
      </c>
      <c r="D484" s="8" t="str">
        <f t="shared" si="84"/>
        <v>W</v>
      </c>
      <c r="E484" s="3">
        <f t="shared" si="85"/>
        <v>101</v>
      </c>
      <c r="F484" s="3" t="str">
        <f t="shared" si="86"/>
        <v>ack</v>
      </c>
      <c r="G484" s="3" t="str">
        <f t="shared" si="87"/>
        <v>9C</v>
      </c>
      <c r="H484" s="3" t="str">
        <f t="shared" si="88"/>
        <v/>
      </c>
      <c r="I484" s="3">
        <f t="shared" si="89"/>
        <v>156</v>
      </c>
      <c r="J484" s="5" t="str">
        <f>IF(E484=0,"Broadcast",IF(H484="",IF(I484="","",IF(I484&lt;128,"Connect "&amp;I484,INDEX(KdoCodeTab,MATCH(I484,KdoWertTab,0)))),"ReadStat "&amp;H484))</f>
        <v>MarkCmd</v>
      </c>
      <c r="K484" t="str">
        <f t="shared" si="79"/>
        <v/>
      </c>
      <c r="L484" t="str">
        <f t="shared" si="80"/>
        <v/>
      </c>
      <c r="M484" t="str">
        <f t="shared" si="81"/>
        <v>MarkCmd</v>
      </c>
    </row>
    <row r="485" spans="1:13" x14ac:dyDescent="0.25">
      <c r="A485" t="s">
        <v>60</v>
      </c>
      <c r="B485" s="6">
        <f t="shared" si="82"/>
        <v>2.7928333333333333</v>
      </c>
      <c r="C485" s="9">
        <f t="shared" si="83"/>
        <v>0.99999999999988987</v>
      </c>
      <c r="D485" s="8" t="str">
        <f t="shared" si="84"/>
        <v>W</v>
      </c>
      <c r="E485" s="3">
        <f t="shared" si="85"/>
        <v>101</v>
      </c>
      <c r="F485" s="3" t="str">
        <f t="shared" si="86"/>
        <v>ack</v>
      </c>
      <c r="G485" s="3" t="str">
        <f t="shared" si="87"/>
        <v>9A</v>
      </c>
      <c r="H485" s="3" t="str">
        <f t="shared" si="88"/>
        <v/>
      </c>
      <c r="I485" s="3">
        <f t="shared" si="89"/>
        <v>154</v>
      </c>
      <c r="J485" s="5" t="str">
        <f>IF(E485=0,"Broadcast",IF(H485="",IF(I485="","",IF(I485&lt;128,"Connect "&amp;I485,INDEX(KdoCodeTab,MATCH(I485,KdoWertTab,0)))),"ReadStat "&amp;H485))</f>
        <v>RepMarkCmd</v>
      </c>
      <c r="K485" t="str">
        <f t="shared" si="79"/>
        <v/>
      </c>
      <c r="L485" t="str">
        <f t="shared" si="80"/>
        <v/>
      </c>
      <c r="M485" t="str">
        <f t="shared" si="81"/>
        <v>RepMarkCmd</v>
      </c>
    </row>
    <row r="486" spans="1:13" x14ac:dyDescent="0.25">
      <c r="A486" t="s">
        <v>61</v>
      </c>
      <c r="B486" s="6">
        <f t="shared" si="82"/>
        <v>2.8625000000000003</v>
      </c>
      <c r="C486" s="9">
        <f t="shared" si="83"/>
        <v>69.666666666666984</v>
      </c>
      <c r="D486" s="8" t="str">
        <f t="shared" si="84"/>
        <v>W</v>
      </c>
      <c r="E486" s="3">
        <f t="shared" si="85"/>
        <v>101</v>
      </c>
      <c r="F486" s="3" t="str">
        <f t="shared" si="86"/>
        <v>ack</v>
      </c>
      <c r="G486" s="3" t="str">
        <f t="shared" si="87"/>
        <v>93</v>
      </c>
      <c r="H486" s="3" t="str">
        <f t="shared" si="88"/>
        <v/>
      </c>
      <c r="I486" s="3">
        <f t="shared" si="89"/>
        <v>147</v>
      </c>
      <c r="J486" s="5" t="str">
        <f>IF(E486=0,"Broadcast",IF(H486="",IF(I486="","",IF(I486&lt;128,"Connect "&amp;I486,INDEX(KdoCodeTab,MATCH(I486,KdoWertTab,0)))),"ReadStat "&amp;H486))</f>
        <v>SpaceCmd</v>
      </c>
      <c r="K486" t="str">
        <f t="shared" si="79"/>
        <v/>
      </c>
      <c r="L486" t="str">
        <f t="shared" si="80"/>
        <v/>
      </c>
      <c r="M486" t="str">
        <f t="shared" si="81"/>
        <v>SpaceCmd</v>
      </c>
    </row>
    <row r="487" spans="1:13" x14ac:dyDescent="0.25">
      <c r="A487" t="s">
        <v>62</v>
      </c>
      <c r="B487" s="6">
        <f t="shared" si="82"/>
        <v>2.8635000000000002</v>
      </c>
      <c r="C487" s="9">
        <f t="shared" si="83"/>
        <v>0.99999999999988987</v>
      </c>
      <c r="D487" s="8" t="str">
        <f t="shared" si="84"/>
        <v>W</v>
      </c>
      <c r="E487" s="3">
        <f t="shared" si="85"/>
        <v>101</v>
      </c>
      <c r="F487" s="3" t="str">
        <f t="shared" si="86"/>
        <v>ack</v>
      </c>
      <c r="G487" s="3" t="str">
        <f t="shared" si="87"/>
        <v>96</v>
      </c>
      <c r="H487" s="3" t="str">
        <f t="shared" si="88"/>
        <v/>
      </c>
      <c r="I487" s="3">
        <f t="shared" si="89"/>
        <v>150</v>
      </c>
      <c r="J487" s="5" t="str">
        <f>IF(E487=0,"Broadcast",IF(H487="",IF(I487="","",IF(I487&lt;128,"Connect "&amp;I487,INDEX(KdoCodeTab,MATCH(I487,KdoWertTab,0)))),"ReadStat "&amp;H487))</f>
        <v>RepSpaceCmd</v>
      </c>
      <c r="K487" t="str">
        <f t="shared" si="79"/>
        <v/>
      </c>
      <c r="L487" t="str">
        <f t="shared" si="80"/>
        <v/>
      </c>
      <c r="M487" t="str">
        <f t="shared" si="81"/>
        <v>RepSpaceCmd</v>
      </c>
    </row>
    <row r="488" spans="1:13" x14ac:dyDescent="0.25">
      <c r="A488" t="s">
        <v>63</v>
      </c>
      <c r="B488" s="6">
        <f t="shared" si="82"/>
        <v>2.9423333333333335</v>
      </c>
      <c r="C488" s="9">
        <f t="shared" si="83"/>
        <v>78.833333333333314</v>
      </c>
      <c r="D488" s="8" t="str">
        <f t="shared" si="84"/>
        <v>W</v>
      </c>
      <c r="E488" s="3">
        <f t="shared" si="85"/>
        <v>101</v>
      </c>
      <c r="F488" s="3" t="str">
        <f t="shared" si="86"/>
        <v>ack</v>
      </c>
      <c r="G488" s="3" t="str">
        <f t="shared" si="87"/>
        <v>9C</v>
      </c>
      <c r="H488" s="3" t="str">
        <f t="shared" si="88"/>
        <v/>
      </c>
      <c r="I488" s="3">
        <f t="shared" si="89"/>
        <v>156</v>
      </c>
      <c r="J488" s="5" t="str">
        <f>IF(E488=0,"Broadcast",IF(H488="",IF(I488="","",IF(I488&lt;128,"Connect "&amp;I488,INDEX(KdoCodeTab,MATCH(I488,KdoWertTab,0)))),"ReadStat "&amp;H488))</f>
        <v>MarkCmd</v>
      </c>
      <c r="K488" t="str">
        <f t="shared" si="79"/>
        <v/>
      </c>
      <c r="L488" t="str">
        <f t="shared" si="80"/>
        <v/>
      </c>
      <c r="M488" t="str">
        <f t="shared" si="81"/>
        <v>MarkCmd</v>
      </c>
    </row>
    <row r="489" spans="1:13" x14ac:dyDescent="0.25">
      <c r="A489" t="s">
        <v>64</v>
      </c>
      <c r="B489" s="6">
        <f t="shared" si="82"/>
        <v>2.9431666666666669</v>
      </c>
      <c r="C489" s="9">
        <f t="shared" si="83"/>
        <v>0.8333333333334636</v>
      </c>
      <c r="D489" s="8" t="str">
        <f t="shared" si="84"/>
        <v>W</v>
      </c>
      <c r="E489" s="3">
        <f t="shared" si="85"/>
        <v>101</v>
      </c>
      <c r="F489" s="3" t="str">
        <f t="shared" si="86"/>
        <v>ack</v>
      </c>
      <c r="G489" s="3" t="str">
        <f t="shared" si="87"/>
        <v>9A</v>
      </c>
      <c r="H489" s="3" t="str">
        <f t="shared" si="88"/>
        <v/>
      </c>
      <c r="I489" s="3">
        <f t="shared" si="89"/>
        <v>154</v>
      </c>
      <c r="J489" s="5" t="str">
        <f>IF(E489=0,"Broadcast",IF(H489="",IF(I489="","",IF(I489&lt;128,"Connect "&amp;I489,INDEX(KdoCodeTab,MATCH(I489,KdoWertTab,0)))),"ReadStat "&amp;H489))</f>
        <v>RepMarkCmd</v>
      </c>
      <c r="K489" t="str">
        <f t="shared" si="79"/>
        <v/>
      </c>
      <c r="L489" t="str">
        <f t="shared" si="80"/>
        <v/>
      </c>
      <c r="M489" t="str">
        <f t="shared" si="81"/>
        <v>RepMarkCmd</v>
      </c>
    </row>
    <row r="490" spans="1:13" x14ac:dyDescent="0.25">
      <c r="A490" t="s">
        <v>65</v>
      </c>
      <c r="B490" s="6">
        <f t="shared" si="82"/>
        <v>3.0121666666666669</v>
      </c>
      <c r="C490" s="9">
        <f t="shared" si="83"/>
        <v>68.999999999999943</v>
      </c>
      <c r="D490" s="8" t="str">
        <f t="shared" si="84"/>
        <v>W</v>
      </c>
      <c r="E490" s="3">
        <f t="shared" si="85"/>
        <v>101</v>
      </c>
      <c r="F490" s="3" t="str">
        <f t="shared" si="86"/>
        <v>ack</v>
      </c>
      <c r="G490" s="3" t="str">
        <f t="shared" si="87"/>
        <v>93</v>
      </c>
      <c r="H490" s="3" t="str">
        <f t="shared" si="88"/>
        <v/>
      </c>
      <c r="I490" s="3">
        <f t="shared" si="89"/>
        <v>147</v>
      </c>
      <c r="J490" s="5" t="str">
        <f>IF(E490=0,"Broadcast",IF(H490="",IF(I490="","",IF(I490&lt;128,"Connect "&amp;I490,INDEX(KdoCodeTab,MATCH(I490,KdoWertTab,0)))),"ReadStat "&amp;H490))</f>
        <v>SpaceCmd</v>
      </c>
      <c r="K490" t="str">
        <f t="shared" si="79"/>
        <v/>
      </c>
      <c r="L490" t="str">
        <f t="shared" si="80"/>
        <v/>
      </c>
      <c r="M490" t="str">
        <f t="shared" si="81"/>
        <v>SpaceCmd</v>
      </c>
    </row>
    <row r="491" spans="1:13" x14ac:dyDescent="0.25">
      <c r="A491" t="s">
        <v>66</v>
      </c>
      <c r="B491" s="6">
        <f t="shared" si="82"/>
        <v>3.0129999999999999</v>
      </c>
      <c r="C491" s="9">
        <f t="shared" si="83"/>
        <v>0.83333333333301951</v>
      </c>
      <c r="D491" s="8" t="str">
        <f t="shared" si="84"/>
        <v>W</v>
      </c>
      <c r="E491" s="3">
        <f t="shared" si="85"/>
        <v>101</v>
      </c>
      <c r="F491" s="3" t="str">
        <f t="shared" si="86"/>
        <v>ack</v>
      </c>
      <c r="G491" s="3" t="str">
        <f t="shared" si="87"/>
        <v>96</v>
      </c>
      <c r="H491" s="3" t="str">
        <f t="shared" si="88"/>
        <v/>
      </c>
      <c r="I491" s="3">
        <f t="shared" si="89"/>
        <v>150</v>
      </c>
      <c r="J491" s="5" t="str">
        <f>IF(E491=0,"Broadcast",IF(H491="",IF(I491="","",IF(I491&lt;128,"Connect "&amp;I491,INDEX(KdoCodeTab,MATCH(I491,KdoWertTab,0)))),"ReadStat "&amp;H491))</f>
        <v>RepSpaceCmd</v>
      </c>
      <c r="K491" t="str">
        <f t="shared" si="79"/>
        <v/>
      </c>
      <c r="L491" t="str">
        <f t="shared" si="80"/>
        <v/>
      </c>
      <c r="M491" t="str">
        <f t="shared" si="81"/>
        <v>RepSpaceCmd</v>
      </c>
    </row>
    <row r="492" spans="1:13" x14ac:dyDescent="0.25">
      <c r="A492" t="s">
        <v>67</v>
      </c>
      <c r="B492" s="6">
        <f t="shared" si="82"/>
        <v>3.0323333333333333</v>
      </c>
      <c r="C492" s="9">
        <f t="shared" si="83"/>
        <v>19.333333333333425</v>
      </c>
      <c r="D492" s="8" t="str">
        <f t="shared" si="84"/>
        <v>W</v>
      </c>
      <c r="E492" s="3">
        <f t="shared" si="85"/>
        <v>101</v>
      </c>
      <c r="F492" s="3" t="str">
        <f t="shared" si="86"/>
        <v>ack</v>
      </c>
      <c r="G492" s="3" t="str">
        <f t="shared" si="87"/>
        <v>9C</v>
      </c>
      <c r="H492" s="3" t="str">
        <f t="shared" si="88"/>
        <v/>
      </c>
      <c r="I492" s="3">
        <f t="shared" si="89"/>
        <v>156</v>
      </c>
      <c r="J492" s="5" t="str">
        <f>IF(E492=0,"Broadcast",IF(H492="",IF(I492="","",IF(I492&lt;128,"Connect "&amp;I492,INDEX(KdoCodeTab,MATCH(I492,KdoWertTab,0)))),"ReadStat "&amp;H492))</f>
        <v>MarkCmd</v>
      </c>
      <c r="K492" t="str">
        <f t="shared" si="79"/>
        <v/>
      </c>
      <c r="L492" t="str">
        <f t="shared" si="80"/>
        <v/>
      </c>
      <c r="M492" t="str">
        <f t="shared" si="81"/>
        <v>MarkCmd</v>
      </c>
    </row>
    <row r="493" spans="1:13" x14ac:dyDescent="0.25">
      <c r="A493" t="s">
        <v>68</v>
      </c>
      <c r="B493" s="6">
        <f t="shared" si="82"/>
        <v>3.0331666666666668</v>
      </c>
      <c r="C493" s="9">
        <f t="shared" si="83"/>
        <v>0.8333333333334636</v>
      </c>
      <c r="D493" s="8" t="str">
        <f t="shared" si="84"/>
        <v>W</v>
      </c>
      <c r="E493" s="3">
        <f t="shared" si="85"/>
        <v>101</v>
      </c>
      <c r="F493" s="3" t="str">
        <f t="shared" si="86"/>
        <v>ack</v>
      </c>
      <c r="G493" s="3" t="str">
        <f t="shared" si="87"/>
        <v>9A</v>
      </c>
      <c r="H493" s="3" t="str">
        <f t="shared" si="88"/>
        <v/>
      </c>
      <c r="I493" s="3">
        <f t="shared" si="89"/>
        <v>154</v>
      </c>
      <c r="J493" s="5" t="str">
        <f>IF(E493=0,"Broadcast",IF(H493="",IF(I493="","",IF(I493&lt;128,"Connect "&amp;I493,INDEX(KdoCodeTab,MATCH(I493,KdoWertTab,0)))),"ReadStat "&amp;H493))</f>
        <v>RepMarkCmd</v>
      </c>
      <c r="K493" t="str">
        <f t="shared" si="79"/>
        <v/>
      </c>
      <c r="L493" t="str">
        <f t="shared" si="80"/>
        <v/>
      </c>
      <c r="M493" t="str">
        <f t="shared" si="81"/>
        <v>RepMarkCmd</v>
      </c>
    </row>
    <row r="494" spans="1:13" x14ac:dyDescent="0.25">
      <c r="A494" t="s">
        <v>69</v>
      </c>
      <c r="B494" s="6">
        <f t="shared" si="82"/>
        <v>3.0726666666666667</v>
      </c>
      <c r="C494" s="9">
        <f t="shared" si="83"/>
        <v>39.499999999999872</v>
      </c>
      <c r="D494" s="8" t="str">
        <f t="shared" si="84"/>
        <v>W</v>
      </c>
      <c r="E494" s="3">
        <f t="shared" si="85"/>
        <v>101</v>
      </c>
      <c r="F494" s="3" t="str">
        <f t="shared" si="86"/>
        <v>ack</v>
      </c>
      <c r="G494" s="3" t="str">
        <f t="shared" si="87"/>
        <v>93</v>
      </c>
      <c r="H494" s="3" t="str">
        <f t="shared" si="88"/>
        <v/>
      </c>
      <c r="I494" s="3">
        <f t="shared" si="89"/>
        <v>147</v>
      </c>
      <c r="J494" s="5" t="str">
        <f>IF(E494=0,"Broadcast",IF(H494="",IF(I494="","",IF(I494&lt;128,"Connect "&amp;I494,INDEX(KdoCodeTab,MATCH(I494,KdoWertTab,0)))),"ReadStat "&amp;H494))</f>
        <v>SpaceCmd</v>
      </c>
      <c r="K494" t="str">
        <f t="shared" si="79"/>
        <v/>
      </c>
      <c r="L494" t="str">
        <f t="shared" si="80"/>
        <v/>
      </c>
      <c r="M494" t="str">
        <f t="shared" si="81"/>
        <v>SpaceCmd</v>
      </c>
    </row>
    <row r="495" spans="1:13" x14ac:dyDescent="0.25">
      <c r="A495" t="s">
        <v>70</v>
      </c>
      <c r="B495" s="6">
        <f t="shared" si="82"/>
        <v>3.0736666666666665</v>
      </c>
      <c r="C495" s="9">
        <f t="shared" si="83"/>
        <v>0.99999999999988987</v>
      </c>
      <c r="D495" s="8" t="str">
        <f t="shared" si="84"/>
        <v>W</v>
      </c>
      <c r="E495" s="3">
        <f t="shared" si="85"/>
        <v>101</v>
      </c>
      <c r="F495" s="3" t="str">
        <f t="shared" si="86"/>
        <v>ack</v>
      </c>
      <c r="G495" s="3" t="str">
        <f t="shared" si="87"/>
        <v>96</v>
      </c>
      <c r="H495" s="3" t="str">
        <f t="shared" si="88"/>
        <v/>
      </c>
      <c r="I495" s="3">
        <f t="shared" si="89"/>
        <v>150</v>
      </c>
      <c r="J495" s="5" t="str">
        <f>IF(E495=0,"Broadcast",IF(H495="",IF(I495="","",IF(I495&lt;128,"Connect "&amp;I495,INDEX(KdoCodeTab,MATCH(I495,KdoWertTab,0)))),"ReadStat "&amp;H495))</f>
        <v>RepSpaceCmd</v>
      </c>
      <c r="K495" t="str">
        <f t="shared" si="79"/>
        <v/>
      </c>
      <c r="L495" t="str">
        <f t="shared" si="80"/>
        <v/>
      </c>
      <c r="M495" t="str">
        <f t="shared" si="81"/>
        <v>RepSpaceCmd</v>
      </c>
    </row>
    <row r="496" spans="1:13" x14ac:dyDescent="0.25">
      <c r="A496" t="s">
        <v>71</v>
      </c>
      <c r="B496" s="6">
        <f t="shared" si="82"/>
        <v>3.1120000000000001</v>
      </c>
      <c r="C496" s="9">
        <f t="shared" si="83"/>
        <v>38.333333333333556</v>
      </c>
      <c r="D496" s="8" t="str">
        <f t="shared" si="84"/>
        <v>W</v>
      </c>
      <c r="E496" s="3">
        <f t="shared" si="85"/>
        <v>101</v>
      </c>
      <c r="F496" s="3" t="str">
        <f t="shared" si="86"/>
        <v>ack</v>
      </c>
      <c r="G496" s="3" t="str">
        <f t="shared" si="87"/>
        <v>9C</v>
      </c>
      <c r="H496" s="3" t="str">
        <f t="shared" si="88"/>
        <v/>
      </c>
      <c r="I496" s="3">
        <f t="shared" si="89"/>
        <v>156</v>
      </c>
      <c r="J496" s="5" t="str">
        <f>IF(E496=0,"Broadcast",IF(H496="",IF(I496="","",IF(I496&lt;128,"Connect "&amp;I496,INDEX(KdoCodeTab,MATCH(I496,KdoWertTab,0)))),"ReadStat "&amp;H496))</f>
        <v>MarkCmd</v>
      </c>
      <c r="K496" t="str">
        <f t="shared" si="79"/>
        <v/>
      </c>
      <c r="L496" t="str">
        <f t="shared" si="80"/>
        <v/>
      </c>
      <c r="M496" t="str">
        <f t="shared" si="81"/>
        <v>MarkCmd</v>
      </c>
    </row>
    <row r="497" spans="1:13" x14ac:dyDescent="0.25">
      <c r="A497" t="s">
        <v>72</v>
      </c>
      <c r="B497" s="6">
        <f t="shared" si="82"/>
        <v>3.113</v>
      </c>
      <c r="C497" s="9">
        <f t="shared" si="83"/>
        <v>0.99999999999988987</v>
      </c>
      <c r="D497" s="8" t="str">
        <f t="shared" si="84"/>
        <v>W</v>
      </c>
      <c r="E497" s="3">
        <f t="shared" si="85"/>
        <v>101</v>
      </c>
      <c r="F497" s="3" t="str">
        <f t="shared" si="86"/>
        <v>ack</v>
      </c>
      <c r="G497" s="3" t="str">
        <f t="shared" si="87"/>
        <v>9A</v>
      </c>
      <c r="H497" s="3" t="str">
        <f t="shared" si="88"/>
        <v/>
      </c>
      <c r="I497" s="3">
        <f t="shared" si="89"/>
        <v>154</v>
      </c>
      <c r="J497" s="5" t="str">
        <f>IF(E497=0,"Broadcast",IF(H497="",IF(I497="","",IF(I497&lt;128,"Connect "&amp;I497,INDEX(KdoCodeTab,MATCH(I497,KdoWertTab,0)))),"ReadStat "&amp;H497))</f>
        <v>RepMarkCmd</v>
      </c>
      <c r="K497" t="str">
        <f t="shared" si="79"/>
        <v/>
      </c>
      <c r="L497" t="str">
        <f t="shared" si="80"/>
        <v/>
      </c>
      <c r="M497" t="str">
        <f t="shared" si="81"/>
        <v>RepMarkCmd</v>
      </c>
    </row>
    <row r="498" spans="1:13" x14ac:dyDescent="0.25">
      <c r="A498" t="s">
        <v>73</v>
      </c>
      <c r="B498" s="6">
        <f t="shared" si="82"/>
        <v>3.1408333333333336</v>
      </c>
      <c r="C498" s="9">
        <f t="shared" si="83"/>
        <v>27.833333333333599</v>
      </c>
      <c r="D498" s="8" t="str">
        <f t="shared" si="84"/>
        <v>W</v>
      </c>
      <c r="E498" s="3">
        <f t="shared" si="85"/>
        <v>31</v>
      </c>
      <c r="F498" s="3" t="str">
        <f t="shared" si="86"/>
        <v>ack</v>
      </c>
      <c r="G498" s="3" t="str">
        <f t="shared" si="87"/>
        <v>9A</v>
      </c>
      <c r="H498" s="3" t="str">
        <f t="shared" si="88"/>
        <v/>
      </c>
      <c r="I498" s="3">
        <f t="shared" si="89"/>
        <v>154</v>
      </c>
      <c r="J498" s="5" t="str">
        <f>IF(E498=0,"Broadcast",IF(H498="",IF(I498="","",IF(I498&lt;128,"Connect "&amp;I498,INDEX(KdoCodeTab,MATCH(I498,KdoWertTab,0)))),"ReadStat "&amp;H498))</f>
        <v>RepMarkCmd</v>
      </c>
      <c r="K498" t="str">
        <f t="shared" si="79"/>
        <v/>
      </c>
      <c r="L498" t="str">
        <f t="shared" si="80"/>
        <v>RepMarkCmd</v>
      </c>
      <c r="M498" t="str">
        <f t="shared" si="81"/>
        <v/>
      </c>
    </row>
    <row r="499" spans="1:13" x14ac:dyDescent="0.25">
      <c r="A499" t="s">
        <v>74</v>
      </c>
      <c r="B499" s="6">
        <f t="shared" si="82"/>
        <v>3.1626666666666665</v>
      </c>
      <c r="C499" s="9">
        <f t="shared" si="83"/>
        <v>21.833333333332927</v>
      </c>
      <c r="D499" s="8" t="str">
        <f t="shared" si="84"/>
        <v>W</v>
      </c>
      <c r="E499" s="3">
        <f t="shared" si="85"/>
        <v>101</v>
      </c>
      <c r="F499" s="3" t="str">
        <f t="shared" si="86"/>
        <v>ack</v>
      </c>
      <c r="G499" s="3" t="str">
        <f t="shared" si="87"/>
        <v>93</v>
      </c>
      <c r="H499" s="3" t="str">
        <f t="shared" si="88"/>
        <v/>
      </c>
      <c r="I499" s="3">
        <f t="shared" si="89"/>
        <v>147</v>
      </c>
      <c r="J499" s="5" t="str">
        <f>IF(E499=0,"Broadcast",IF(H499="",IF(I499="","",IF(I499&lt;128,"Connect "&amp;I499,INDEX(KdoCodeTab,MATCH(I499,KdoWertTab,0)))),"ReadStat "&amp;H499))</f>
        <v>SpaceCmd</v>
      </c>
      <c r="K499" t="str">
        <f t="shared" si="79"/>
        <v/>
      </c>
      <c r="L499" t="str">
        <f t="shared" si="80"/>
        <v/>
      </c>
      <c r="M499" t="str">
        <f t="shared" si="81"/>
        <v>SpaceCmd</v>
      </c>
    </row>
    <row r="500" spans="1:13" x14ac:dyDescent="0.25">
      <c r="A500" t="s">
        <v>75</v>
      </c>
      <c r="B500" s="6">
        <f t="shared" si="82"/>
        <v>3.1635</v>
      </c>
      <c r="C500" s="9">
        <f t="shared" si="83"/>
        <v>0.8333333333334636</v>
      </c>
      <c r="D500" s="8" t="str">
        <f t="shared" si="84"/>
        <v>W</v>
      </c>
      <c r="E500" s="3">
        <f t="shared" si="85"/>
        <v>101</v>
      </c>
      <c r="F500" s="3" t="str">
        <f t="shared" si="86"/>
        <v>ack</v>
      </c>
      <c r="G500" s="3" t="str">
        <f t="shared" si="87"/>
        <v>96</v>
      </c>
      <c r="H500" s="3" t="str">
        <f t="shared" si="88"/>
        <v/>
      </c>
      <c r="I500" s="3">
        <f t="shared" si="89"/>
        <v>150</v>
      </c>
      <c r="J500" s="5" t="str">
        <f>IF(E500=0,"Broadcast",IF(H500="",IF(I500="","",IF(I500&lt;128,"Connect "&amp;I500,INDEX(KdoCodeTab,MATCH(I500,KdoWertTab,0)))),"ReadStat "&amp;H500))</f>
        <v>RepSpaceCmd</v>
      </c>
      <c r="K500" t="str">
        <f t="shared" si="79"/>
        <v/>
      </c>
      <c r="L500" t="str">
        <f t="shared" si="80"/>
        <v/>
      </c>
      <c r="M500" t="str">
        <f t="shared" si="81"/>
        <v>RepSpaceCmd</v>
      </c>
    </row>
    <row r="501" spans="1:13" x14ac:dyDescent="0.25">
      <c r="A501" t="s">
        <v>76</v>
      </c>
      <c r="B501" s="6">
        <f t="shared" si="82"/>
        <v>3.1665000000000001</v>
      </c>
      <c r="C501" s="9">
        <f t="shared" si="83"/>
        <v>3.0000000000001137</v>
      </c>
      <c r="D501" s="8" t="str">
        <f t="shared" si="84"/>
        <v>W</v>
      </c>
      <c r="E501" s="3">
        <f t="shared" si="85"/>
        <v>101</v>
      </c>
      <c r="F501" s="3" t="str">
        <f t="shared" si="86"/>
        <v>ack</v>
      </c>
      <c r="G501" s="3" t="str">
        <f t="shared" si="87"/>
        <v>A9</v>
      </c>
      <c r="H501" s="3" t="str">
        <f t="shared" si="88"/>
        <v/>
      </c>
      <c r="I501" s="3">
        <f t="shared" si="89"/>
        <v>169</v>
      </c>
      <c r="J501" s="5" t="str">
        <f>IF(E501=0,"Broadcast",IF(H501="",IF(I501="","",IF(I501&lt;128,"Connect "&amp;I501,INDEX(KdoCodeTab,MATCH(I501,KdoWertTab,0)))),"ReadStat "&amp;H501))</f>
        <v>Heartbeat</v>
      </c>
      <c r="K501" t="str">
        <f t="shared" si="79"/>
        <v/>
      </c>
      <c r="L501" t="str">
        <f t="shared" si="80"/>
        <v/>
      </c>
      <c r="M501" t="str">
        <f t="shared" si="81"/>
        <v>Heartbeat</v>
      </c>
    </row>
    <row r="502" spans="1:13" x14ac:dyDescent="0.25">
      <c r="A502" t="s">
        <v>77</v>
      </c>
      <c r="B502" s="6">
        <f t="shared" si="82"/>
        <v>3.2029999999999998</v>
      </c>
      <c r="C502" s="9">
        <f t="shared" si="83"/>
        <v>36.499999999999758</v>
      </c>
      <c r="D502" s="8" t="str">
        <f t="shared" si="84"/>
        <v>W</v>
      </c>
      <c r="E502" s="3">
        <f t="shared" si="85"/>
        <v>101</v>
      </c>
      <c r="F502" s="3" t="str">
        <f t="shared" si="86"/>
        <v>ack</v>
      </c>
      <c r="G502" s="3" t="str">
        <f t="shared" si="87"/>
        <v>9C</v>
      </c>
      <c r="H502" s="3" t="str">
        <f t="shared" si="88"/>
        <v/>
      </c>
      <c r="I502" s="3">
        <f t="shared" si="89"/>
        <v>156</v>
      </c>
      <c r="J502" s="5" t="str">
        <f>IF(E502=0,"Broadcast",IF(H502="",IF(I502="","",IF(I502&lt;128,"Connect "&amp;I502,INDEX(KdoCodeTab,MATCH(I502,KdoWertTab,0)))),"ReadStat "&amp;H502))</f>
        <v>MarkCmd</v>
      </c>
      <c r="K502" t="str">
        <f t="shared" si="79"/>
        <v/>
      </c>
      <c r="L502" t="str">
        <f t="shared" si="80"/>
        <v/>
      </c>
      <c r="M502" t="str">
        <f t="shared" si="81"/>
        <v>MarkCmd</v>
      </c>
    </row>
    <row r="503" spans="1:13" x14ac:dyDescent="0.25">
      <c r="A503" t="s">
        <v>78</v>
      </c>
      <c r="B503" s="6">
        <f t="shared" si="82"/>
        <v>3.2040000000000002</v>
      </c>
      <c r="C503" s="9">
        <f t="shared" si="83"/>
        <v>1.000000000000334</v>
      </c>
      <c r="D503" s="8" t="str">
        <f t="shared" si="84"/>
        <v>W</v>
      </c>
      <c r="E503" s="3">
        <f t="shared" si="85"/>
        <v>101</v>
      </c>
      <c r="F503" s="3" t="str">
        <f t="shared" si="86"/>
        <v>ack</v>
      </c>
      <c r="G503" s="3" t="str">
        <f t="shared" si="87"/>
        <v>9A</v>
      </c>
      <c r="H503" s="3" t="str">
        <f t="shared" si="88"/>
        <v/>
      </c>
      <c r="I503" s="3">
        <f t="shared" si="89"/>
        <v>154</v>
      </c>
      <c r="J503" s="5" t="str">
        <f>IF(E503=0,"Broadcast",IF(H503="",IF(I503="","",IF(I503&lt;128,"Connect "&amp;I503,INDEX(KdoCodeTab,MATCH(I503,KdoWertTab,0)))),"ReadStat "&amp;H503))</f>
        <v>RepMarkCmd</v>
      </c>
      <c r="K503" t="str">
        <f t="shared" si="79"/>
        <v/>
      </c>
      <c r="L503" t="str">
        <f t="shared" si="80"/>
        <v/>
      </c>
      <c r="M503" t="str">
        <f t="shared" si="81"/>
        <v>RepMarkCmd</v>
      </c>
    </row>
    <row r="504" spans="1:13" x14ac:dyDescent="0.25">
      <c r="A504" t="s">
        <v>79</v>
      </c>
      <c r="B504" s="6">
        <f t="shared" si="82"/>
        <v>3.2223333333333333</v>
      </c>
      <c r="C504" s="9">
        <f t="shared" si="83"/>
        <v>18.333333333333091</v>
      </c>
      <c r="D504" s="8" t="str">
        <f t="shared" si="84"/>
        <v>W</v>
      </c>
      <c r="E504" s="3">
        <f t="shared" si="85"/>
        <v>101</v>
      </c>
      <c r="F504" s="3" t="str">
        <f t="shared" si="86"/>
        <v>ack</v>
      </c>
      <c r="G504" s="3" t="str">
        <f t="shared" si="87"/>
        <v>93</v>
      </c>
      <c r="H504" s="3" t="str">
        <f t="shared" si="88"/>
        <v/>
      </c>
      <c r="I504" s="3">
        <f t="shared" si="89"/>
        <v>147</v>
      </c>
      <c r="J504" s="5" t="str">
        <f>IF(E504=0,"Broadcast",IF(H504="",IF(I504="","",IF(I504&lt;128,"Connect "&amp;I504,INDEX(KdoCodeTab,MATCH(I504,KdoWertTab,0)))),"ReadStat "&amp;H504))</f>
        <v>SpaceCmd</v>
      </c>
      <c r="K504" t="str">
        <f t="shared" si="79"/>
        <v/>
      </c>
      <c r="L504" t="str">
        <f t="shared" si="80"/>
        <v/>
      </c>
      <c r="M504" t="str">
        <f t="shared" si="81"/>
        <v>SpaceCmd</v>
      </c>
    </row>
    <row r="505" spans="1:13" x14ac:dyDescent="0.25">
      <c r="A505" t="s">
        <v>80</v>
      </c>
      <c r="B505" s="6">
        <f t="shared" si="82"/>
        <v>3.2248333333333337</v>
      </c>
      <c r="C505" s="9">
        <f t="shared" si="83"/>
        <v>2.5000000000003908</v>
      </c>
      <c r="D505" s="8" t="str">
        <f t="shared" si="84"/>
        <v>W</v>
      </c>
      <c r="E505" s="3">
        <f t="shared" si="85"/>
        <v>101</v>
      </c>
      <c r="F505" s="3" t="str">
        <f t="shared" si="86"/>
        <v>ack</v>
      </c>
      <c r="G505" s="3" t="str">
        <f t="shared" si="87"/>
        <v>96</v>
      </c>
      <c r="H505" s="3" t="str">
        <f t="shared" si="88"/>
        <v/>
      </c>
      <c r="I505" s="3">
        <f t="shared" si="89"/>
        <v>150</v>
      </c>
      <c r="J505" s="5" t="str">
        <f>IF(E505=0,"Broadcast",IF(H505="",IF(I505="","",IF(I505&lt;128,"Connect "&amp;I505,INDEX(KdoCodeTab,MATCH(I505,KdoWertTab,0)))),"ReadStat "&amp;H505))</f>
        <v>RepSpaceCmd</v>
      </c>
      <c r="K505" t="str">
        <f t="shared" si="79"/>
        <v/>
      </c>
      <c r="L505" t="str">
        <f t="shared" si="80"/>
        <v/>
      </c>
      <c r="M505" t="str">
        <f t="shared" si="81"/>
        <v>RepSpaceCmd</v>
      </c>
    </row>
    <row r="506" spans="1:13" x14ac:dyDescent="0.25">
      <c r="A506" t="s">
        <v>81</v>
      </c>
      <c r="B506" s="6">
        <f t="shared" si="82"/>
        <v>3.2423333333333333</v>
      </c>
      <c r="C506" s="9">
        <f t="shared" si="83"/>
        <v>17.499999999999627</v>
      </c>
      <c r="D506" s="8" t="str">
        <f t="shared" si="84"/>
        <v>W</v>
      </c>
      <c r="E506" s="3">
        <f t="shared" si="85"/>
        <v>101</v>
      </c>
      <c r="F506" s="3" t="str">
        <f t="shared" si="86"/>
        <v>ack</v>
      </c>
      <c r="G506" s="3" t="str">
        <f t="shared" si="87"/>
        <v>9C</v>
      </c>
      <c r="H506" s="3" t="str">
        <f t="shared" si="88"/>
        <v/>
      </c>
      <c r="I506" s="3">
        <f t="shared" si="89"/>
        <v>156</v>
      </c>
      <c r="J506" s="5" t="str">
        <f>IF(E506=0,"Broadcast",IF(H506="",IF(I506="","",IF(I506&lt;128,"Connect "&amp;I506,INDEX(KdoCodeTab,MATCH(I506,KdoWertTab,0)))),"ReadStat "&amp;H506))</f>
        <v>MarkCmd</v>
      </c>
      <c r="K506" t="str">
        <f t="shared" si="79"/>
        <v/>
      </c>
      <c r="L506" t="str">
        <f t="shared" si="80"/>
        <v/>
      </c>
      <c r="M506" t="str">
        <f t="shared" si="81"/>
        <v>MarkCmd</v>
      </c>
    </row>
    <row r="507" spans="1:13" x14ac:dyDescent="0.25">
      <c r="A507" t="s">
        <v>82</v>
      </c>
      <c r="B507" s="6">
        <f t="shared" si="82"/>
        <v>3.2433333333333332</v>
      </c>
      <c r="C507" s="9">
        <f t="shared" si="83"/>
        <v>0.99999999999988987</v>
      </c>
      <c r="D507" s="8" t="str">
        <f t="shared" si="84"/>
        <v>W</v>
      </c>
      <c r="E507" s="3">
        <f t="shared" si="85"/>
        <v>101</v>
      </c>
      <c r="F507" s="3" t="str">
        <f t="shared" si="86"/>
        <v>ack</v>
      </c>
      <c r="G507" s="3" t="str">
        <f t="shared" si="87"/>
        <v>9A</v>
      </c>
      <c r="H507" s="3" t="str">
        <f t="shared" si="88"/>
        <v/>
      </c>
      <c r="I507" s="3">
        <f t="shared" si="89"/>
        <v>154</v>
      </c>
      <c r="J507" s="5" t="str">
        <f>IF(E507=0,"Broadcast",IF(H507="",IF(I507="","",IF(I507&lt;128,"Connect "&amp;I507,INDEX(KdoCodeTab,MATCH(I507,KdoWertTab,0)))),"ReadStat "&amp;H507))</f>
        <v>RepMarkCmd</v>
      </c>
      <c r="K507" t="str">
        <f t="shared" ref="K507:K570" si="90">IF(E507=$K$2,J507,"")</f>
        <v/>
      </c>
      <c r="L507" t="str">
        <f t="shared" ref="L507:L570" si="91">IF(E507=$L$2,J507,"")</f>
        <v/>
      </c>
      <c r="M507" t="str">
        <f t="shared" ref="M507:M570" si="92">IF(K507&amp;L507="",J507,"")</f>
        <v>RepMarkCmd</v>
      </c>
    </row>
    <row r="508" spans="1:13" x14ac:dyDescent="0.25">
      <c r="A508" t="s">
        <v>83</v>
      </c>
      <c r="B508" s="6">
        <f t="shared" si="82"/>
        <v>3.2625000000000002</v>
      </c>
      <c r="C508" s="9">
        <f t="shared" si="83"/>
        <v>19.166666666666998</v>
      </c>
      <c r="D508" s="8" t="str">
        <f t="shared" si="84"/>
        <v>W</v>
      </c>
      <c r="E508" s="3">
        <f t="shared" si="85"/>
        <v>101</v>
      </c>
      <c r="F508" s="3" t="str">
        <f t="shared" si="86"/>
        <v>ack</v>
      </c>
      <c r="G508" s="3" t="str">
        <f t="shared" si="87"/>
        <v>93</v>
      </c>
      <c r="H508" s="3" t="str">
        <f t="shared" si="88"/>
        <v/>
      </c>
      <c r="I508" s="3">
        <f t="shared" si="89"/>
        <v>147</v>
      </c>
      <c r="J508" s="5" t="str">
        <f>IF(E508=0,"Broadcast",IF(H508="",IF(I508="","",IF(I508&lt;128,"Connect "&amp;I508,INDEX(KdoCodeTab,MATCH(I508,KdoWertTab,0)))),"ReadStat "&amp;H508))</f>
        <v>SpaceCmd</v>
      </c>
      <c r="K508" t="str">
        <f t="shared" si="90"/>
        <v/>
      </c>
      <c r="L508" t="str">
        <f t="shared" si="91"/>
        <v/>
      </c>
      <c r="M508" t="str">
        <f t="shared" si="92"/>
        <v>SpaceCmd</v>
      </c>
    </row>
    <row r="509" spans="1:13" x14ac:dyDescent="0.25">
      <c r="A509" t="s">
        <v>84</v>
      </c>
      <c r="B509" s="6">
        <f t="shared" si="82"/>
        <v>3.2635000000000001</v>
      </c>
      <c r="C509" s="9">
        <f t="shared" si="83"/>
        <v>0.99999999999988987</v>
      </c>
      <c r="D509" s="8" t="str">
        <f t="shared" si="84"/>
        <v>W</v>
      </c>
      <c r="E509" s="3">
        <f t="shared" si="85"/>
        <v>101</v>
      </c>
      <c r="F509" s="3" t="str">
        <f t="shared" si="86"/>
        <v>ack</v>
      </c>
      <c r="G509" s="3" t="str">
        <f t="shared" si="87"/>
        <v>96</v>
      </c>
      <c r="H509" s="3" t="str">
        <f t="shared" si="88"/>
        <v/>
      </c>
      <c r="I509" s="3">
        <f t="shared" si="89"/>
        <v>150</v>
      </c>
      <c r="J509" s="5" t="str">
        <f>IF(E509=0,"Broadcast",IF(H509="",IF(I509="","",IF(I509&lt;128,"Connect "&amp;I509,INDEX(KdoCodeTab,MATCH(I509,KdoWertTab,0)))),"ReadStat "&amp;H509))</f>
        <v>RepSpaceCmd</v>
      </c>
      <c r="K509" t="str">
        <f t="shared" si="90"/>
        <v/>
      </c>
      <c r="L509" t="str">
        <f t="shared" si="91"/>
        <v/>
      </c>
      <c r="M509" t="str">
        <f t="shared" si="92"/>
        <v>RepSpaceCmd</v>
      </c>
    </row>
    <row r="510" spans="1:13" x14ac:dyDescent="0.25">
      <c r="A510" t="s">
        <v>85</v>
      </c>
      <c r="B510" s="6">
        <f t="shared" si="82"/>
        <v>3.2828333333333335</v>
      </c>
      <c r="C510" s="9">
        <f t="shared" si="83"/>
        <v>19.333333333333425</v>
      </c>
      <c r="D510" s="8" t="str">
        <f t="shared" si="84"/>
        <v>W</v>
      </c>
      <c r="E510" s="3">
        <f t="shared" si="85"/>
        <v>101</v>
      </c>
      <c r="F510" s="3" t="str">
        <f t="shared" si="86"/>
        <v>ack</v>
      </c>
      <c r="G510" s="3" t="str">
        <f t="shared" si="87"/>
        <v>9C</v>
      </c>
      <c r="H510" s="3" t="str">
        <f t="shared" si="88"/>
        <v/>
      </c>
      <c r="I510" s="3">
        <f t="shared" si="89"/>
        <v>156</v>
      </c>
      <c r="J510" s="5" t="str">
        <f>IF(E510=0,"Broadcast",IF(H510="",IF(I510="","",IF(I510&lt;128,"Connect "&amp;I510,INDEX(KdoCodeTab,MATCH(I510,KdoWertTab,0)))),"ReadStat "&amp;H510))</f>
        <v>MarkCmd</v>
      </c>
      <c r="K510" t="str">
        <f t="shared" si="90"/>
        <v/>
      </c>
      <c r="L510" t="str">
        <f t="shared" si="91"/>
        <v/>
      </c>
      <c r="M510" t="str">
        <f t="shared" si="92"/>
        <v>MarkCmd</v>
      </c>
    </row>
    <row r="511" spans="1:13" x14ac:dyDescent="0.25">
      <c r="A511" t="s">
        <v>86</v>
      </c>
      <c r="B511" s="6">
        <f t="shared" si="82"/>
        <v>3.2838333333333334</v>
      </c>
      <c r="C511" s="9">
        <f t="shared" si="83"/>
        <v>0.99999999999988987</v>
      </c>
      <c r="D511" s="8" t="str">
        <f t="shared" si="84"/>
        <v>W</v>
      </c>
      <c r="E511" s="3">
        <f t="shared" si="85"/>
        <v>101</v>
      </c>
      <c r="F511" s="3" t="str">
        <f t="shared" si="86"/>
        <v>ack</v>
      </c>
      <c r="G511" s="3" t="str">
        <f t="shared" si="87"/>
        <v>9A</v>
      </c>
      <c r="H511" s="3" t="str">
        <f t="shared" si="88"/>
        <v/>
      </c>
      <c r="I511" s="3">
        <f t="shared" si="89"/>
        <v>154</v>
      </c>
      <c r="J511" s="5" t="str">
        <f>IF(E511=0,"Broadcast",IF(H511="",IF(I511="","",IF(I511&lt;128,"Connect "&amp;I511,INDEX(KdoCodeTab,MATCH(I511,KdoWertTab,0)))),"ReadStat "&amp;H511))</f>
        <v>RepMarkCmd</v>
      </c>
      <c r="K511" t="str">
        <f t="shared" si="90"/>
        <v/>
      </c>
      <c r="L511" t="str">
        <f t="shared" si="91"/>
        <v/>
      </c>
      <c r="M511" t="str">
        <f t="shared" si="92"/>
        <v>RepMarkCmd</v>
      </c>
    </row>
    <row r="512" spans="1:13" x14ac:dyDescent="0.25">
      <c r="A512" t="s">
        <v>87</v>
      </c>
      <c r="B512" s="6">
        <f t="shared" si="82"/>
        <v>3.3121666666666667</v>
      </c>
      <c r="C512" s="9">
        <f t="shared" si="83"/>
        <v>28.333333333333321</v>
      </c>
      <c r="D512" s="8" t="str">
        <f t="shared" si="84"/>
        <v>W</v>
      </c>
      <c r="E512" s="3">
        <f t="shared" si="85"/>
        <v>101</v>
      </c>
      <c r="F512" s="3" t="str">
        <f t="shared" si="86"/>
        <v>ack</v>
      </c>
      <c r="G512" s="3" t="str">
        <f t="shared" si="87"/>
        <v>93</v>
      </c>
      <c r="H512" s="3" t="str">
        <f t="shared" si="88"/>
        <v/>
      </c>
      <c r="I512" s="3">
        <f t="shared" si="89"/>
        <v>147</v>
      </c>
      <c r="J512" s="5" t="str">
        <f>IF(E512=0,"Broadcast",IF(H512="",IF(I512="","",IF(I512&lt;128,"Connect "&amp;I512,INDEX(KdoCodeTab,MATCH(I512,KdoWertTab,0)))),"ReadStat "&amp;H512))</f>
        <v>SpaceCmd</v>
      </c>
      <c r="K512" t="str">
        <f t="shared" si="90"/>
        <v/>
      </c>
      <c r="L512" t="str">
        <f t="shared" si="91"/>
        <v/>
      </c>
      <c r="M512" t="str">
        <f t="shared" si="92"/>
        <v>SpaceCmd</v>
      </c>
    </row>
    <row r="513" spans="1:13" x14ac:dyDescent="0.25">
      <c r="A513" t="s">
        <v>88</v>
      </c>
      <c r="B513" s="6">
        <f t="shared" si="82"/>
        <v>3.3130000000000002</v>
      </c>
      <c r="C513" s="9">
        <f t="shared" si="83"/>
        <v>0.8333333333334636</v>
      </c>
      <c r="D513" s="8" t="str">
        <f t="shared" si="84"/>
        <v>W</v>
      </c>
      <c r="E513" s="3">
        <f t="shared" si="85"/>
        <v>101</v>
      </c>
      <c r="F513" s="3" t="str">
        <f t="shared" si="86"/>
        <v>ack</v>
      </c>
      <c r="G513" s="3" t="str">
        <f t="shared" si="87"/>
        <v>96</v>
      </c>
      <c r="H513" s="3" t="str">
        <f t="shared" si="88"/>
        <v/>
      </c>
      <c r="I513" s="3">
        <f t="shared" si="89"/>
        <v>150</v>
      </c>
      <c r="J513" s="5" t="str">
        <f>IF(E513=0,"Broadcast",IF(H513="",IF(I513="","",IF(I513&lt;128,"Connect "&amp;I513,INDEX(KdoCodeTab,MATCH(I513,KdoWertTab,0)))),"ReadStat "&amp;H513))</f>
        <v>RepSpaceCmd</v>
      </c>
      <c r="K513" t="str">
        <f t="shared" si="90"/>
        <v/>
      </c>
      <c r="L513" t="str">
        <f t="shared" si="91"/>
        <v/>
      </c>
      <c r="M513" t="str">
        <f t="shared" si="92"/>
        <v>RepSpaceCmd</v>
      </c>
    </row>
    <row r="514" spans="1:13" x14ac:dyDescent="0.25">
      <c r="A514" t="s">
        <v>89</v>
      </c>
      <c r="B514" s="6">
        <f t="shared" si="82"/>
        <v>3.3728333333333333</v>
      </c>
      <c r="C514" s="9">
        <f t="shared" si="83"/>
        <v>59.833333333333186</v>
      </c>
      <c r="D514" s="8" t="str">
        <f t="shared" si="84"/>
        <v>W</v>
      </c>
      <c r="E514" s="3">
        <f t="shared" si="85"/>
        <v>101</v>
      </c>
      <c r="F514" s="3" t="str">
        <f t="shared" si="86"/>
        <v>ack</v>
      </c>
      <c r="G514" s="3" t="str">
        <f t="shared" si="87"/>
        <v>9C</v>
      </c>
      <c r="H514" s="3" t="str">
        <f t="shared" si="88"/>
        <v/>
      </c>
      <c r="I514" s="3">
        <f t="shared" si="89"/>
        <v>156</v>
      </c>
      <c r="J514" s="5" t="str">
        <f>IF(E514=0,"Broadcast",IF(H514="",IF(I514="","",IF(I514&lt;128,"Connect "&amp;I514,INDEX(KdoCodeTab,MATCH(I514,KdoWertTab,0)))),"ReadStat "&amp;H514))</f>
        <v>MarkCmd</v>
      </c>
      <c r="K514" t="str">
        <f t="shared" si="90"/>
        <v/>
      </c>
      <c r="L514" t="str">
        <f t="shared" si="91"/>
        <v/>
      </c>
      <c r="M514" t="str">
        <f t="shared" si="92"/>
        <v>MarkCmd</v>
      </c>
    </row>
    <row r="515" spans="1:13" x14ac:dyDescent="0.25">
      <c r="A515" t="s">
        <v>90</v>
      </c>
      <c r="B515" s="6">
        <f t="shared" si="82"/>
        <v>3.3736666666666668</v>
      </c>
      <c r="C515" s="9">
        <f t="shared" si="83"/>
        <v>0.8333333333334636</v>
      </c>
      <c r="D515" s="8" t="str">
        <f t="shared" si="84"/>
        <v>W</v>
      </c>
      <c r="E515" s="3">
        <f t="shared" si="85"/>
        <v>101</v>
      </c>
      <c r="F515" s="3" t="str">
        <f t="shared" si="86"/>
        <v>ack</v>
      </c>
      <c r="G515" s="3" t="str">
        <f t="shared" si="87"/>
        <v>9A</v>
      </c>
      <c r="H515" s="3" t="str">
        <f t="shared" si="88"/>
        <v/>
      </c>
      <c r="I515" s="3">
        <f t="shared" si="89"/>
        <v>154</v>
      </c>
      <c r="J515" s="5" t="str">
        <f>IF(E515=0,"Broadcast",IF(H515="",IF(I515="","",IF(I515&lt;128,"Connect "&amp;I515,INDEX(KdoCodeTab,MATCH(I515,KdoWertTab,0)))),"ReadStat "&amp;H515))</f>
        <v>RepMarkCmd</v>
      </c>
      <c r="K515" t="str">
        <f t="shared" si="90"/>
        <v/>
      </c>
      <c r="L515" t="str">
        <f t="shared" si="91"/>
        <v/>
      </c>
      <c r="M515" t="str">
        <f t="shared" si="92"/>
        <v>RepMarkCmd</v>
      </c>
    </row>
    <row r="516" spans="1:13" x14ac:dyDescent="0.25">
      <c r="A516" t="s">
        <v>91</v>
      </c>
      <c r="B516" s="6">
        <f t="shared" si="82"/>
        <v>3.3928333333333334</v>
      </c>
      <c r="C516" s="9">
        <f t="shared" si="83"/>
        <v>19.166666666666554</v>
      </c>
      <c r="D516" s="8" t="str">
        <f t="shared" si="84"/>
        <v>W</v>
      </c>
      <c r="E516" s="3">
        <f t="shared" si="85"/>
        <v>101</v>
      </c>
      <c r="F516" s="3" t="str">
        <f t="shared" si="86"/>
        <v>ack</v>
      </c>
      <c r="G516" s="3" t="str">
        <f t="shared" si="87"/>
        <v>93</v>
      </c>
      <c r="H516" s="3" t="str">
        <f t="shared" si="88"/>
        <v/>
      </c>
      <c r="I516" s="3">
        <f t="shared" si="89"/>
        <v>147</v>
      </c>
      <c r="J516" s="5" t="str">
        <f>IF(E516=0,"Broadcast",IF(H516="",IF(I516="","",IF(I516&lt;128,"Connect "&amp;I516,INDEX(KdoCodeTab,MATCH(I516,KdoWertTab,0)))),"ReadStat "&amp;H516))</f>
        <v>SpaceCmd</v>
      </c>
      <c r="K516" t="str">
        <f t="shared" si="90"/>
        <v/>
      </c>
      <c r="L516" t="str">
        <f t="shared" si="91"/>
        <v/>
      </c>
      <c r="M516" t="str">
        <f t="shared" si="92"/>
        <v>SpaceCmd</v>
      </c>
    </row>
    <row r="517" spans="1:13" x14ac:dyDescent="0.25">
      <c r="A517" t="s">
        <v>92</v>
      </c>
      <c r="B517" s="6">
        <f t="shared" ref="B517:B580" si="93">MID(A517,1,5)/1000+(CODE(MID(A517,6,1))-CODE("a"))/6000</f>
        <v>3.3938333333333333</v>
      </c>
      <c r="C517" s="9">
        <f t="shared" ref="C517:C580" si="94">(B517-B516+IF(B517&gt;B516,0,11))*1000</f>
        <v>0.99999999999988987</v>
      </c>
      <c r="D517" s="8" t="str">
        <f t="shared" ref="D517:D580" si="95">IF(MID(A517,10,1)="&lt;","R",IF(MID(A517,10,1)="&gt;","W","?"))</f>
        <v>W</v>
      </c>
      <c r="E517" s="3">
        <f t="shared" ref="E517:E580" si="96">INT(HEX2DEC(MID(A517,8,2))/2)</f>
        <v>101</v>
      </c>
      <c r="F517" s="3" t="str">
        <f t="shared" ref="F517:F580" si="97">IF(MID(A517,11,1)="+","ack","NACK")</f>
        <v>ack</v>
      </c>
      <c r="G517" s="3" t="str">
        <f t="shared" ref="G517:G580" si="98">IF(F517="ack",SUBSTITUTE(MID(A517,12,LEN(A517)-12),"+","  "),"")</f>
        <v>96</v>
      </c>
      <c r="H517" s="3" t="str">
        <f t="shared" ref="H517:H580" si="99">IF(MID(A517,10,2)="&lt;+",MID(A517,12,2),"")</f>
        <v/>
      </c>
      <c r="I517" s="3">
        <f t="shared" ref="I517:I580" si="100">IF(MID(A517,10,2)="&gt;+",HEX2DEC(MID(A517,12,2)),"")</f>
        <v>150</v>
      </c>
      <c r="J517" s="5" t="str">
        <f>IF(E517=0,"Broadcast",IF(H517="",IF(I517="","",IF(I517&lt;128,"Connect "&amp;I517,INDEX(KdoCodeTab,MATCH(I517,KdoWertTab,0)))),"ReadStat "&amp;H517))</f>
        <v>RepSpaceCmd</v>
      </c>
      <c r="K517" t="str">
        <f t="shared" si="90"/>
        <v/>
      </c>
      <c r="L517" t="str">
        <f t="shared" si="91"/>
        <v/>
      </c>
      <c r="M517" t="str">
        <f t="shared" si="92"/>
        <v>RepSpaceCmd</v>
      </c>
    </row>
    <row r="518" spans="1:13" x14ac:dyDescent="0.25">
      <c r="A518" t="s">
        <v>93</v>
      </c>
      <c r="B518" s="6">
        <f t="shared" si="93"/>
        <v>3.4333333333333331</v>
      </c>
      <c r="C518" s="9">
        <f t="shared" si="94"/>
        <v>39.499999999999872</v>
      </c>
      <c r="D518" s="8" t="str">
        <f t="shared" si="95"/>
        <v>W</v>
      </c>
      <c r="E518" s="3">
        <f t="shared" si="96"/>
        <v>101</v>
      </c>
      <c r="F518" s="3" t="str">
        <f t="shared" si="97"/>
        <v>ack</v>
      </c>
      <c r="G518" s="3" t="str">
        <f t="shared" si="98"/>
        <v>9C</v>
      </c>
      <c r="H518" s="3" t="str">
        <f t="shared" si="99"/>
        <v/>
      </c>
      <c r="I518" s="3">
        <f t="shared" si="100"/>
        <v>156</v>
      </c>
      <c r="J518" s="5" t="str">
        <f>IF(E518=0,"Broadcast",IF(H518="",IF(I518="","",IF(I518&lt;128,"Connect "&amp;I518,INDEX(KdoCodeTab,MATCH(I518,KdoWertTab,0)))),"ReadStat "&amp;H518))</f>
        <v>MarkCmd</v>
      </c>
      <c r="K518" t="str">
        <f t="shared" si="90"/>
        <v/>
      </c>
      <c r="L518" t="str">
        <f t="shared" si="91"/>
        <v/>
      </c>
      <c r="M518" t="str">
        <f t="shared" si="92"/>
        <v>MarkCmd</v>
      </c>
    </row>
    <row r="519" spans="1:13" x14ac:dyDescent="0.25">
      <c r="A519" t="s">
        <v>94</v>
      </c>
      <c r="B519" s="6">
        <f t="shared" si="93"/>
        <v>3.4343333333333335</v>
      </c>
      <c r="C519" s="9">
        <f t="shared" si="94"/>
        <v>1.000000000000334</v>
      </c>
      <c r="D519" s="8" t="str">
        <f t="shared" si="95"/>
        <v>W</v>
      </c>
      <c r="E519" s="3">
        <f t="shared" si="96"/>
        <v>101</v>
      </c>
      <c r="F519" s="3" t="str">
        <f t="shared" si="97"/>
        <v>ack</v>
      </c>
      <c r="G519" s="3" t="str">
        <f t="shared" si="98"/>
        <v>9A</v>
      </c>
      <c r="H519" s="3" t="str">
        <f t="shared" si="99"/>
        <v/>
      </c>
      <c r="I519" s="3">
        <f t="shared" si="100"/>
        <v>154</v>
      </c>
      <c r="J519" s="5" t="str">
        <f>IF(E519=0,"Broadcast",IF(H519="",IF(I519="","",IF(I519&lt;128,"Connect "&amp;I519,INDEX(KdoCodeTab,MATCH(I519,KdoWertTab,0)))),"ReadStat "&amp;H519))</f>
        <v>RepMarkCmd</v>
      </c>
      <c r="K519" t="str">
        <f t="shared" si="90"/>
        <v/>
      </c>
      <c r="L519" t="str">
        <f t="shared" si="91"/>
        <v/>
      </c>
      <c r="M519" t="str">
        <f t="shared" si="92"/>
        <v>RepMarkCmd</v>
      </c>
    </row>
    <row r="520" spans="1:13" x14ac:dyDescent="0.25">
      <c r="A520" t="s">
        <v>95</v>
      </c>
      <c r="B520" s="6">
        <f t="shared" si="93"/>
        <v>3.4626666666666668</v>
      </c>
      <c r="C520" s="9">
        <f t="shared" si="94"/>
        <v>28.333333333333321</v>
      </c>
      <c r="D520" s="8" t="str">
        <f t="shared" si="95"/>
        <v>W</v>
      </c>
      <c r="E520" s="3">
        <f t="shared" si="96"/>
        <v>101</v>
      </c>
      <c r="F520" s="3" t="str">
        <f t="shared" si="97"/>
        <v>ack</v>
      </c>
      <c r="G520" s="3" t="str">
        <f t="shared" si="98"/>
        <v>93</v>
      </c>
      <c r="H520" s="3" t="str">
        <f t="shared" si="99"/>
        <v/>
      </c>
      <c r="I520" s="3">
        <f t="shared" si="100"/>
        <v>147</v>
      </c>
      <c r="J520" s="5" t="str">
        <f>IF(E520=0,"Broadcast",IF(H520="",IF(I520="","",IF(I520&lt;128,"Connect "&amp;I520,INDEX(KdoCodeTab,MATCH(I520,KdoWertTab,0)))),"ReadStat "&amp;H520))</f>
        <v>SpaceCmd</v>
      </c>
      <c r="K520" t="str">
        <f t="shared" si="90"/>
        <v/>
      </c>
      <c r="L520" t="str">
        <f t="shared" si="91"/>
        <v/>
      </c>
      <c r="M520" t="str">
        <f t="shared" si="92"/>
        <v>SpaceCmd</v>
      </c>
    </row>
    <row r="521" spans="1:13" x14ac:dyDescent="0.25">
      <c r="A521" t="s">
        <v>96</v>
      </c>
      <c r="B521" s="6">
        <f t="shared" si="93"/>
        <v>3.4638333333333335</v>
      </c>
      <c r="C521" s="9">
        <f t="shared" si="94"/>
        <v>1.1666666666667602</v>
      </c>
      <c r="D521" s="8" t="str">
        <f t="shared" si="95"/>
        <v>W</v>
      </c>
      <c r="E521" s="3">
        <f t="shared" si="96"/>
        <v>101</v>
      </c>
      <c r="F521" s="3" t="str">
        <f t="shared" si="97"/>
        <v>ack</v>
      </c>
      <c r="G521" s="3" t="str">
        <f t="shared" si="98"/>
        <v>96</v>
      </c>
      <c r="H521" s="3" t="str">
        <f t="shared" si="99"/>
        <v/>
      </c>
      <c r="I521" s="3">
        <f t="shared" si="100"/>
        <v>150</v>
      </c>
      <c r="J521" s="5" t="str">
        <f>IF(E521=0,"Broadcast",IF(H521="",IF(I521="","",IF(I521&lt;128,"Connect "&amp;I521,INDEX(KdoCodeTab,MATCH(I521,KdoWertTab,0)))),"ReadStat "&amp;H521))</f>
        <v>RepSpaceCmd</v>
      </c>
      <c r="K521" t="str">
        <f t="shared" si="90"/>
        <v/>
      </c>
      <c r="L521" t="str">
        <f t="shared" si="91"/>
        <v/>
      </c>
      <c r="M521" t="str">
        <f t="shared" si="92"/>
        <v>RepSpaceCmd</v>
      </c>
    </row>
    <row r="522" spans="1:13" x14ac:dyDescent="0.25">
      <c r="A522" t="s">
        <v>97</v>
      </c>
      <c r="B522" s="6">
        <f t="shared" si="93"/>
        <v>3.4828333333333337</v>
      </c>
      <c r="C522" s="9">
        <f t="shared" si="94"/>
        <v>19.000000000000128</v>
      </c>
      <c r="D522" s="8" t="str">
        <f t="shared" si="95"/>
        <v>W</v>
      </c>
      <c r="E522" s="3">
        <f t="shared" si="96"/>
        <v>101</v>
      </c>
      <c r="F522" s="3" t="str">
        <f t="shared" si="97"/>
        <v>ack</v>
      </c>
      <c r="G522" s="3" t="str">
        <f t="shared" si="98"/>
        <v>9C</v>
      </c>
      <c r="H522" s="3" t="str">
        <f t="shared" si="99"/>
        <v/>
      </c>
      <c r="I522" s="3">
        <f t="shared" si="100"/>
        <v>156</v>
      </c>
      <c r="J522" s="5" t="str">
        <f>IF(E522=0,"Broadcast",IF(H522="",IF(I522="","",IF(I522&lt;128,"Connect "&amp;I522,INDEX(KdoCodeTab,MATCH(I522,KdoWertTab,0)))),"ReadStat "&amp;H522))</f>
        <v>MarkCmd</v>
      </c>
      <c r="K522" t="str">
        <f t="shared" si="90"/>
        <v/>
      </c>
      <c r="L522" t="str">
        <f t="shared" si="91"/>
        <v/>
      </c>
      <c r="M522" t="str">
        <f t="shared" si="92"/>
        <v>MarkCmd</v>
      </c>
    </row>
    <row r="523" spans="1:13" x14ac:dyDescent="0.25">
      <c r="A523" t="s">
        <v>98</v>
      </c>
      <c r="B523" s="6">
        <f t="shared" si="93"/>
        <v>3.4836666666666667</v>
      </c>
      <c r="C523" s="9">
        <f t="shared" si="94"/>
        <v>0.83333333333301951</v>
      </c>
      <c r="D523" s="8" t="str">
        <f t="shared" si="95"/>
        <v>W</v>
      </c>
      <c r="E523" s="3">
        <f t="shared" si="96"/>
        <v>101</v>
      </c>
      <c r="F523" s="3" t="str">
        <f t="shared" si="97"/>
        <v>ack</v>
      </c>
      <c r="G523" s="3" t="str">
        <f t="shared" si="98"/>
        <v>9A</v>
      </c>
      <c r="H523" s="3" t="str">
        <f t="shared" si="99"/>
        <v/>
      </c>
      <c r="I523" s="3">
        <f t="shared" si="100"/>
        <v>154</v>
      </c>
      <c r="J523" s="5" t="str">
        <f>IF(E523=0,"Broadcast",IF(H523="",IF(I523="","",IF(I523&lt;128,"Connect "&amp;I523,INDEX(KdoCodeTab,MATCH(I523,KdoWertTab,0)))),"ReadStat "&amp;H523))</f>
        <v>RepMarkCmd</v>
      </c>
      <c r="K523" t="str">
        <f t="shared" si="90"/>
        <v/>
      </c>
      <c r="L523" t="str">
        <f t="shared" si="91"/>
        <v/>
      </c>
      <c r="M523" t="str">
        <f t="shared" si="92"/>
        <v>RepMarkCmd</v>
      </c>
    </row>
    <row r="524" spans="1:13" x14ac:dyDescent="0.25">
      <c r="A524" t="s">
        <v>99</v>
      </c>
      <c r="B524" s="6">
        <f t="shared" si="93"/>
        <v>3.612166666666667</v>
      </c>
      <c r="C524" s="9">
        <f t="shared" si="94"/>
        <v>128.50000000000028</v>
      </c>
      <c r="D524" s="8" t="str">
        <f t="shared" si="95"/>
        <v>W</v>
      </c>
      <c r="E524" s="3">
        <f t="shared" si="96"/>
        <v>101</v>
      </c>
      <c r="F524" s="3" t="str">
        <f t="shared" si="97"/>
        <v>ack</v>
      </c>
      <c r="G524" s="3" t="str">
        <f t="shared" si="98"/>
        <v>93</v>
      </c>
      <c r="H524" s="3" t="str">
        <f t="shared" si="99"/>
        <v/>
      </c>
      <c r="I524" s="3">
        <f t="shared" si="100"/>
        <v>147</v>
      </c>
      <c r="J524" s="5" t="str">
        <f>IF(E524=0,"Broadcast",IF(H524="",IF(I524="","",IF(I524&lt;128,"Connect "&amp;I524,INDEX(KdoCodeTab,MATCH(I524,KdoWertTab,0)))),"ReadStat "&amp;H524))</f>
        <v>SpaceCmd</v>
      </c>
      <c r="K524" t="str">
        <f t="shared" si="90"/>
        <v/>
      </c>
      <c r="L524" t="str">
        <f t="shared" si="91"/>
        <v/>
      </c>
      <c r="M524" t="str">
        <f t="shared" si="92"/>
        <v>SpaceCmd</v>
      </c>
    </row>
    <row r="525" spans="1:13" x14ac:dyDescent="0.25">
      <c r="A525" t="s">
        <v>100</v>
      </c>
      <c r="B525" s="6">
        <f t="shared" si="93"/>
        <v>3.613</v>
      </c>
      <c r="C525" s="9">
        <f t="shared" si="94"/>
        <v>0.83333333333301951</v>
      </c>
      <c r="D525" s="8" t="str">
        <f t="shared" si="95"/>
        <v>W</v>
      </c>
      <c r="E525" s="3">
        <f t="shared" si="96"/>
        <v>101</v>
      </c>
      <c r="F525" s="3" t="str">
        <f t="shared" si="97"/>
        <v>ack</v>
      </c>
      <c r="G525" s="3" t="str">
        <f t="shared" si="98"/>
        <v>96</v>
      </c>
      <c r="H525" s="3" t="str">
        <f t="shared" si="99"/>
        <v/>
      </c>
      <c r="I525" s="3">
        <f t="shared" si="100"/>
        <v>150</v>
      </c>
      <c r="J525" s="5" t="str">
        <f>IF(E525=0,"Broadcast",IF(H525="",IF(I525="","",IF(I525&lt;128,"Connect "&amp;I525,INDEX(KdoCodeTab,MATCH(I525,KdoWertTab,0)))),"ReadStat "&amp;H525))</f>
        <v>RepSpaceCmd</v>
      </c>
      <c r="K525" t="str">
        <f t="shared" si="90"/>
        <v/>
      </c>
      <c r="L525" t="str">
        <f t="shared" si="91"/>
        <v/>
      </c>
      <c r="M525" t="str">
        <f t="shared" si="92"/>
        <v>RepSpaceCmd</v>
      </c>
    </row>
    <row r="526" spans="1:13" x14ac:dyDescent="0.25">
      <c r="A526" t="s">
        <v>101</v>
      </c>
      <c r="B526" s="6">
        <f t="shared" si="93"/>
        <v>3.6468333333333334</v>
      </c>
      <c r="C526" s="9">
        <f t="shared" si="94"/>
        <v>33.833333333333385</v>
      </c>
      <c r="D526" s="8" t="str">
        <f t="shared" si="95"/>
        <v>W</v>
      </c>
      <c r="E526" s="3">
        <f t="shared" si="96"/>
        <v>19</v>
      </c>
      <c r="F526" s="3" t="str">
        <f t="shared" si="97"/>
        <v>NACK</v>
      </c>
      <c r="G526" s="3" t="str">
        <f t="shared" si="98"/>
        <v/>
      </c>
      <c r="H526" s="3" t="str">
        <f t="shared" si="99"/>
        <v/>
      </c>
      <c r="I526" s="3" t="str">
        <f t="shared" si="100"/>
        <v/>
      </c>
      <c r="J526" s="5" t="str">
        <f>IF(E526=0,"Broadcast",IF(H526="",IF(I526="","",IF(I526&lt;128,"Connect "&amp;I526,INDEX(KdoCodeTab,MATCH(I526,KdoWertTab,0)))),"ReadStat "&amp;H526))</f>
        <v/>
      </c>
      <c r="K526" t="str">
        <f t="shared" si="90"/>
        <v/>
      </c>
      <c r="L526" t="str">
        <f t="shared" si="91"/>
        <v/>
      </c>
      <c r="M526" t="str">
        <f t="shared" si="92"/>
        <v/>
      </c>
    </row>
    <row r="527" spans="1:13" x14ac:dyDescent="0.25">
      <c r="A527" t="s">
        <v>102</v>
      </c>
      <c r="B527" s="6">
        <f t="shared" si="93"/>
        <v>3.6728333333333336</v>
      </c>
      <c r="C527" s="9">
        <f t="shared" si="94"/>
        <v>26.000000000000245</v>
      </c>
      <c r="D527" s="8" t="str">
        <f t="shared" si="95"/>
        <v>W</v>
      </c>
      <c r="E527" s="3">
        <f t="shared" si="96"/>
        <v>101</v>
      </c>
      <c r="F527" s="3" t="str">
        <f t="shared" si="97"/>
        <v>ack</v>
      </c>
      <c r="G527" s="3" t="str">
        <f t="shared" si="98"/>
        <v>9C</v>
      </c>
      <c r="H527" s="3" t="str">
        <f t="shared" si="99"/>
        <v/>
      </c>
      <c r="I527" s="3">
        <f t="shared" si="100"/>
        <v>156</v>
      </c>
      <c r="J527" s="5" t="str">
        <f>IF(E527=0,"Broadcast",IF(H527="",IF(I527="","",IF(I527&lt;128,"Connect "&amp;I527,INDEX(KdoCodeTab,MATCH(I527,KdoWertTab,0)))),"ReadStat "&amp;H527))</f>
        <v>MarkCmd</v>
      </c>
      <c r="K527" t="str">
        <f t="shared" si="90"/>
        <v/>
      </c>
      <c r="L527" t="str">
        <f t="shared" si="91"/>
        <v/>
      </c>
      <c r="M527" t="str">
        <f t="shared" si="92"/>
        <v>MarkCmd</v>
      </c>
    </row>
    <row r="528" spans="1:13" x14ac:dyDescent="0.25">
      <c r="A528" t="s">
        <v>103</v>
      </c>
      <c r="B528" s="6">
        <f t="shared" si="93"/>
        <v>3.6736666666666666</v>
      </c>
      <c r="C528" s="9">
        <f t="shared" si="94"/>
        <v>0.83333333333301951</v>
      </c>
      <c r="D528" s="8" t="str">
        <f t="shared" si="95"/>
        <v>W</v>
      </c>
      <c r="E528" s="3">
        <f t="shared" si="96"/>
        <v>101</v>
      </c>
      <c r="F528" s="3" t="str">
        <f t="shared" si="97"/>
        <v>ack</v>
      </c>
      <c r="G528" s="3" t="str">
        <f t="shared" si="98"/>
        <v>9A</v>
      </c>
      <c r="H528" s="3" t="str">
        <f t="shared" si="99"/>
        <v/>
      </c>
      <c r="I528" s="3">
        <f t="shared" si="100"/>
        <v>154</v>
      </c>
      <c r="J528" s="5" t="str">
        <f>IF(E528=0,"Broadcast",IF(H528="",IF(I528="","",IF(I528&lt;128,"Connect "&amp;I528,INDEX(KdoCodeTab,MATCH(I528,KdoWertTab,0)))),"ReadStat "&amp;H528))</f>
        <v>RepMarkCmd</v>
      </c>
      <c r="K528" t="str">
        <f t="shared" si="90"/>
        <v/>
      </c>
      <c r="L528" t="str">
        <f t="shared" si="91"/>
        <v/>
      </c>
      <c r="M528" t="str">
        <f t="shared" si="92"/>
        <v>RepMarkCmd</v>
      </c>
    </row>
    <row r="529" spans="1:13" x14ac:dyDescent="0.25">
      <c r="A529" t="s">
        <v>104</v>
      </c>
      <c r="B529" s="6">
        <f t="shared" si="93"/>
        <v>3.6930000000000001</v>
      </c>
      <c r="C529" s="9">
        <f t="shared" si="94"/>
        <v>19.333333333333425</v>
      </c>
      <c r="D529" s="8" t="str">
        <f t="shared" si="95"/>
        <v>W</v>
      </c>
      <c r="E529" s="3">
        <f t="shared" si="96"/>
        <v>101</v>
      </c>
      <c r="F529" s="3" t="str">
        <f t="shared" si="97"/>
        <v>ack</v>
      </c>
      <c r="G529" s="3" t="str">
        <f t="shared" si="98"/>
        <v>93</v>
      </c>
      <c r="H529" s="3" t="str">
        <f t="shared" si="99"/>
        <v/>
      </c>
      <c r="I529" s="3">
        <f t="shared" si="100"/>
        <v>147</v>
      </c>
      <c r="J529" s="5" t="str">
        <f>IF(E529=0,"Broadcast",IF(H529="",IF(I529="","",IF(I529&lt;128,"Connect "&amp;I529,INDEX(KdoCodeTab,MATCH(I529,KdoWertTab,0)))),"ReadStat "&amp;H529))</f>
        <v>SpaceCmd</v>
      </c>
      <c r="K529" t="str">
        <f t="shared" si="90"/>
        <v/>
      </c>
      <c r="L529" t="str">
        <f t="shared" si="91"/>
        <v/>
      </c>
      <c r="M529" t="str">
        <f t="shared" si="92"/>
        <v>SpaceCmd</v>
      </c>
    </row>
    <row r="530" spans="1:13" x14ac:dyDescent="0.25">
      <c r="A530" t="s">
        <v>105</v>
      </c>
      <c r="B530" s="6">
        <f t="shared" si="93"/>
        <v>3.6938333333333335</v>
      </c>
      <c r="C530" s="9">
        <f t="shared" si="94"/>
        <v>0.8333333333334636</v>
      </c>
      <c r="D530" s="8" t="str">
        <f t="shared" si="95"/>
        <v>W</v>
      </c>
      <c r="E530" s="3">
        <f t="shared" si="96"/>
        <v>101</v>
      </c>
      <c r="F530" s="3" t="str">
        <f t="shared" si="97"/>
        <v>ack</v>
      </c>
      <c r="G530" s="3" t="str">
        <f t="shared" si="98"/>
        <v>96</v>
      </c>
      <c r="H530" s="3" t="str">
        <f t="shared" si="99"/>
        <v/>
      </c>
      <c r="I530" s="3">
        <f t="shared" si="100"/>
        <v>150</v>
      </c>
      <c r="J530" s="5" t="str">
        <f>IF(E530=0,"Broadcast",IF(H530="",IF(I530="","",IF(I530&lt;128,"Connect "&amp;I530,INDEX(KdoCodeTab,MATCH(I530,KdoWertTab,0)))),"ReadStat "&amp;H530))</f>
        <v>RepSpaceCmd</v>
      </c>
      <c r="K530" t="str">
        <f t="shared" si="90"/>
        <v/>
      </c>
      <c r="L530" t="str">
        <f t="shared" si="91"/>
        <v/>
      </c>
      <c r="M530" t="str">
        <f t="shared" si="92"/>
        <v>RepSpaceCmd</v>
      </c>
    </row>
    <row r="531" spans="1:13" x14ac:dyDescent="0.25">
      <c r="A531" t="s">
        <v>106</v>
      </c>
      <c r="B531" s="6">
        <f t="shared" si="93"/>
        <v>3.7121666666666671</v>
      </c>
      <c r="C531" s="9">
        <f t="shared" si="94"/>
        <v>18.333333333333535</v>
      </c>
      <c r="D531" s="8" t="str">
        <f t="shared" si="95"/>
        <v>W</v>
      </c>
      <c r="E531" s="3">
        <f t="shared" si="96"/>
        <v>101</v>
      </c>
      <c r="F531" s="3" t="str">
        <f t="shared" si="97"/>
        <v>ack</v>
      </c>
      <c r="G531" s="3" t="str">
        <f t="shared" si="98"/>
        <v>9C</v>
      </c>
      <c r="H531" s="3" t="str">
        <f t="shared" si="99"/>
        <v/>
      </c>
      <c r="I531" s="3">
        <f t="shared" si="100"/>
        <v>156</v>
      </c>
      <c r="J531" s="5" t="str">
        <f>IF(E531=0,"Broadcast",IF(H531="",IF(I531="","",IF(I531&lt;128,"Connect "&amp;I531,INDEX(KdoCodeTab,MATCH(I531,KdoWertTab,0)))),"ReadStat "&amp;H531))</f>
        <v>MarkCmd</v>
      </c>
      <c r="K531" t="str">
        <f t="shared" si="90"/>
        <v/>
      </c>
      <c r="L531" t="str">
        <f t="shared" si="91"/>
        <v/>
      </c>
      <c r="M531" t="str">
        <f t="shared" si="92"/>
        <v>MarkCmd</v>
      </c>
    </row>
    <row r="532" spans="1:13" x14ac:dyDescent="0.25">
      <c r="A532" t="s">
        <v>107</v>
      </c>
      <c r="B532" s="6">
        <f t="shared" si="93"/>
        <v>3.7130000000000001</v>
      </c>
      <c r="C532" s="9">
        <f t="shared" si="94"/>
        <v>0.83333333333301951</v>
      </c>
      <c r="D532" s="8" t="str">
        <f t="shared" si="95"/>
        <v>W</v>
      </c>
      <c r="E532" s="3">
        <f t="shared" si="96"/>
        <v>101</v>
      </c>
      <c r="F532" s="3" t="str">
        <f t="shared" si="97"/>
        <v>ack</v>
      </c>
      <c r="G532" s="3" t="str">
        <f t="shared" si="98"/>
        <v>9A</v>
      </c>
      <c r="H532" s="3" t="str">
        <f t="shared" si="99"/>
        <v/>
      </c>
      <c r="I532" s="3">
        <f t="shared" si="100"/>
        <v>154</v>
      </c>
      <c r="J532" s="5" t="str">
        <f>IF(E532=0,"Broadcast",IF(H532="",IF(I532="","",IF(I532&lt;128,"Connect "&amp;I532,INDEX(KdoCodeTab,MATCH(I532,KdoWertTab,0)))),"ReadStat "&amp;H532))</f>
        <v>RepMarkCmd</v>
      </c>
      <c r="K532" t="str">
        <f t="shared" si="90"/>
        <v/>
      </c>
      <c r="L532" t="str">
        <f t="shared" si="91"/>
        <v/>
      </c>
      <c r="M532" t="str">
        <f t="shared" si="92"/>
        <v>RepMarkCmd</v>
      </c>
    </row>
    <row r="533" spans="1:13" x14ac:dyDescent="0.25">
      <c r="A533" t="s">
        <v>108</v>
      </c>
      <c r="B533" s="6">
        <f t="shared" si="93"/>
        <v>3.7626666666666666</v>
      </c>
      <c r="C533" s="9">
        <f t="shared" si="94"/>
        <v>49.666666666666529</v>
      </c>
      <c r="D533" s="8" t="str">
        <f t="shared" si="95"/>
        <v>W</v>
      </c>
      <c r="E533" s="3">
        <f t="shared" si="96"/>
        <v>101</v>
      </c>
      <c r="F533" s="3" t="str">
        <f t="shared" si="97"/>
        <v>ack</v>
      </c>
      <c r="G533" s="3" t="str">
        <f t="shared" si="98"/>
        <v>93</v>
      </c>
      <c r="H533" s="3" t="str">
        <f t="shared" si="99"/>
        <v/>
      </c>
      <c r="I533" s="3">
        <f t="shared" si="100"/>
        <v>147</v>
      </c>
      <c r="J533" s="5" t="str">
        <f>IF(E533=0,"Broadcast",IF(H533="",IF(I533="","",IF(I533&lt;128,"Connect "&amp;I533,INDEX(KdoCodeTab,MATCH(I533,KdoWertTab,0)))),"ReadStat "&amp;H533))</f>
        <v>SpaceCmd</v>
      </c>
      <c r="K533" t="str">
        <f t="shared" si="90"/>
        <v/>
      </c>
      <c r="L533" t="str">
        <f t="shared" si="91"/>
        <v/>
      </c>
      <c r="M533" t="str">
        <f t="shared" si="92"/>
        <v>SpaceCmd</v>
      </c>
    </row>
    <row r="534" spans="1:13" x14ac:dyDescent="0.25">
      <c r="A534" t="s">
        <v>109</v>
      </c>
      <c r="B534" s="6">
        <f t="shared" si="93"/>
        <v>3.7636666666666665</v>
      </c>
      <c r="C534" s="9">
        <f t="shared" si="94"/>
        <v>0.99999999999988987</v>
      </c>
      <c r="D534" s="8" t="str">
        <f t="shared" si="95"/>
        <v>W</v>
      </c>
      <c r="E534" s="3">
        <f t="shared" si="96"/>
        <v>101</v>
      </c>
      <c r="F534" s="3" t="str">
        <f t="shared" si="97"/>
        <v>ack</v>
      </c>
      <c r="G534" s="3" t="str">
        <f t="shared" si="98"/>
        <v>96</v>
      </c>
      <c r="H534" s="3" t="str">
        <f t="shared" si="99"/>
        <v/>
      </c>
      <c r="I534" s="3">
        <f t="shared" si="100"/>
        <v>150</v>
      </c>
      <c r="J534" s="5" t="str">
        <f>IF(E534=0,"Broadcast",IF(H534="",IF(I534="","",IF(I534&lt;128,"Connect "&amp;I534,INDEX(KdoCodeTab,MATCH(I534,KdoWertTab,0)))),"ReadStat "&amp;H534))</f>
        <v>RepSpaceCmd</v>
      </c>
      <c r="K534" t="str">
        <f t="shared" si="90"/>
        <v/>
      </c>
      <c r="L534" t="str">
        <f t="shared" si="91"/>
        <v/>
      </c>
      <c r="M534" t="str">
        <f t="shared" si="92"/>
        <v>RepSpaceCmd</v>
      </c>
    </row>
    <row r="535" spans="1:13" x14ac:dyDescent="0.25">
      <c r="A535" t="s">
        <v>110</v>
      </c>
      <c r="B535" s="6">
        <f t="shared" si="93"/>
        <v>3.7829999999999999</v>
      </c>
      <c r="C535" s="9">
        <f t="shared" si="94"/>
        <v>19.333333333333425</v>
      </c>
      <c r="D535" s="8" t="str">
        <f t="shared" si="95"/>
        <v>W</v>
      </c>
      <c r="E535" s="3">
        <f t="shared" si="96"/>
        <v>101</v>
      </c>
      <c r="F535" s="3" t="str">
        <f t="shared" si="97"/>
        <v>ack</v>
      </c>
      <c r="G535" s="3" t="str">
        <f t="shared" si="98"/>
        <v>9C</v>
      </c>
      <c r="H535" s="3" t="str">
        <f t="shared" si="99"/>
        <v/>
      </c>
      <c r="I535" s="3">
        <f t="shared" si="100"/>
        <v>156</v>
      </c>
      <c r="J535" s="5" t="str">
        <f>IF(E535=0,"Broadcast",IF(H535="",IF(I535="","",IF(I535&lt;128,"Connect "&amp;I535,INDEX(KdoCodeTab,MATCH(I535,KdoWertTab,0)))),"ReadStat "&amp;H535))</f>
        <v>MarkCmd</v>
      </c>
      <c r="K535" t="str">
        <f t="shared" si="90"/>
        <v/>
      </c>
      <c r="L535" t="str">
        <f t="shared" si="91"/>
        <v/>
      </c>
      <c r="M535" t="str">
        <f t="shared" si="92"/>
        <v>MarkCmd</v>
      </c>
    </row>
    <row r="536" spans="1:13" x14ac:dyDescent="0.25">
      <c r="A536" t="s">
        <v>111</v>
      </c>
      <c r="B536" s="6">
        <f t="shared" si="93"/>
        <v>3.7838333333333334</v>
      </c>
      <c r="C536" s="9">
        <f t="shared" si="94"/>
        <v>0.8333333333334636</v>
      </c>
      <c r="D536" s="8" t="str">
        <f t="shared" si="95"/>
        <v>W</v>
      </c>
      <c r="E536" s="3">
        <f t="shared" si="96"/>
        <v>101</v>
      </c>
      <c r="F536" s="3" t="str">
        <f t="shared" si="97"/>
        <v>ack</v>
      </c>
      <c r="G536" s="3" t="str">
        <f t="shared" si="98"/>
        <v>9A</v>
      </c>
      <c r="H536" s="3" t="str">
        <f t="shared" si="99"/>
        <v/>
      </c>
      <c r="I536" s="3">
        <f t="shared" si="100"/>
        <v>154</v>
      </c>
      <c r="J536" s="5" t="str">
        <f>IF(E536=0,"Broadcast",IF(H536="",IF(I536="","",IF(I536&lt;128,"Connect "&amp;I536,INDEX(KdoCodeTab,MATCH(I536,KdoWertTab,0)))),"ReadStat "&amp;H536))</f>
        <v>RepMarkCmd</v>
      </c>
      <c r="K536" t="str">
        <f t="shared" si="90"/>
        <v/>
      </c>
      <c r="L536" t="str">
        <f t="shared" si="91"/>
        <v/>
      </c>
      <c r="M536" t="str">
        <f t="shared" si="92"/>
        <v>RepMarkCmd</v>
      </c>
    </row>
    <row r="537" spans="1:13" x14ac:dyDescent="0.25">
      <c r="A537" t="s">
        <v>112</v>
      </c>
      <c r="B537" s="6">
        <f t="shared" si="93"/>
        <v>3.8233333333333333</v>
      </c>
      <c r="C537" s="9">
        <f t="shared" si="94"/>
        <v>39.499999999999872</v>
      </c>
      <c r="D537" s="8" t="str">
        <f t="shared" si="95"/>
        <v>W</v>
      </c>
      <c r="E537" s="3">
        <f t="shared" si="96"/>
        <v>101</v>
      </c>
      <c r="F537" s="3" t="str">
        <f t="shared" si="97"/>
        <v>ack</v>
      </c>
      <c r="G537" s="3" t="str">
        <f t="shared" si="98"/>
        <v>93</v>
      </c>
      <c r="H537" s="3" t="str">
        <f t="shared" si="99"/>
        <v/>
      </c>
      <c r="I537" s="3">
        <f t="shared" si="100"/>
        <v>147</v>
      </c>
      <c r="J537" s="5" t="str">
        <f>IF(E537=0,"Broadcast",IF(H537="",IF(I537="","",IF(I537&lt;128,"Connect "&amp;I537,INDEX(KdoCodeTab,MATCH(I537,KdoWertTab,0)))),"ReadStat "&amp;H537))</f>
        <v>SpaceCmd</v>
      </c>
      <c r="K537" t="str">
        <f t="shared" si="90"/>
        <v/>
      </c>
      <c r="L537" t="str">
        <f t="shared" si="91"/>
        <v/>
      </c>
      <c r="M537" t="str">
        <f t="shared" si="92"/>
        <v>SpaceCmd</v>
      </c>
    </row>
    <row r="538" spans="1:13" x14ac:dyDescent="0.25">
      <c r="A538" t="s">
        <v>113</v>
      </c>
      <c r="B538" s="6">
        <f t="shared" si="93"/>
        <v>3.8241666666666667</v>
      </c>
      <c r="C538" s="9">
        <f t="shared" si="94"/>
        <v>0.8333333333334636</v>
      </c>
      <c r="D538" s="8" t="str">
        <f t="shared" si="95"/>
        <v>W</v>
      </c>
      <c r="E538" s="3">
        <f t="shared" si="96"/>
        <v>101</v>
      </c>
      <c r="F538" s="3" t="str">
        <f t="shared" si="97"/>
        <v>ack</v>
      </c>
      <c r="G538" s="3" t="str">
        <f t="shared" si="98"/>
        <v>96</v>
      </c>
      <c r="H538" s="3" t="str">
        <f t="shared" si="99"/>
        <v/>
      </c>
      <c r="I538" s="3">
        <f t="shared" si="100"/>
        <v>150</v>
      </c>
      <c r="J538" s="5" t="str">
        <f>IF(E538=0,"Broadcast",IF(H538="",IF(I538="","",IF(I538&lt;128,"Connect "&amp;I538,INDEX(KdoCodeTab,MATCH(I538,KdoWertTab,0)))),"ReadStat "&amp;H538))</f>
        <v>RepSpaceCmd</v>
      </c>
      <c r="K538" t="str">
        <f t="shared" si="90"/>
        <v/>
      </c>
      <c r="L538" t="str">
        <f t="shared" si="91"/>
        <v/>
      </c>
      <c r="M538" t="str">
        <f t="shared" si="92"/>
        <v>RepSpaceCmd</v>
      </c>
    </row>
    <row r="539" spans="1:13" x14ac:dyDescent="0.25">
      <c r="A539" t="s">
        <v>114</v>
      </c>
      <c r="B539" s="6">
        <f t="shared" si="93"/>
        <v>3.8485</v>
      </c>
      <c r="C539" s="9">
        <f t="shared" si="94"/>
        <v>24.333333333333318</v>
      </c>
      <c r="D539" s="8" t="str">
        <f t="shared" si="95"/>
        <v>W</v>
      </c>
      <c r="E539" s="3">
        <f t="shared" si="96"/>
        <v>101</v>
      </c>
      <c r="F539" s="3" t="str">
        <f t="shared" si="97"/>
        <v>ack</v>
      </c>
      <c r="G539" s="3" t="str">
        <f t="shared" si="98"/>
        <v>A9</v>
      </c>
      <c r="H539" s="3" t="str">
        <f t="shared" si="99"/>
        <v/>
      </c>
      <c r="I539" s="3">
        <f t="shared" si="100"/>
        <v>169</v>
      </c>
      <c r="J539" s="5" t="str">
        <f>IF(E539=0,"Broadcast",IF(H539="",IF(I539="","",IF(I539&lt;128,"Connect "&amp;I539,INDEX(KdoCodeTab,MATCH(I539,KdoWertTab,0)))),"ReadStat "&amp;H539))</f>
        <v>Heartbeat</v>
      </c>
      <c r="K539" t="str">
        <f t="shared" si="90"/>
        <v/>
      </c>
      <c r="L539" t="str">
        <f t="shared" si="91"/>
        <v/>
      </c>
      <c r="M539" t="str">
        <f t="shared" si="92"/>
        <v>Heartbeat</v>
      </c>
    </row>
    <row r="540" spans="1:13" x14ac:dyDescent="0.25">
      <c r="A540" t="s">
        <v>115</v>
      </c>
      <c r="B540" s="6">
        <f t="shared" si="93"/>
        <v>3.8828333333333336</v>
      </c>
      <c r="C540" s="9">
        <f t="shared" si="94"/>
        <v>34.333333333333549</v>
      </c>
      <c r="D540" s="8" t="str">
        <f t="shared" si="95"/>
        <v>W</v>
      </c>
      <c r="E540" s="3">
        <f t="shared" si="96"/>
        <v>101</v>
      </c>
      <c r="F540" s="3" t="str">
        <f t="shared" si="97"/>
        <v>ack</v>
      </c>
      <c r="G540" s="3" t="str">
        <f t="shared" si="98"/>
        <v>9C</v>
      </c>
      <c r="H540" s="3" t="str">
        <f t="shared" si="99"/>
        <v/>
      </c>
      <c r="I540" s="3">
        <f t="shared" si="100"/>
        <v>156</v>
      </c>
      <c r="J540" s="5" t="str">
        <f>IF(E540=0,"Broadcast",IF(H540="",IF(I540="","",IF(I540&lt;128,"Connect "&amp;I540,INDEX(KdoCodeTab,MATCH(I540,KdoWertTab,0)))),"ReadStat "&amp;H540))</f>
        <v>MarkCmd</v>
      </c>
      <c r="K540" t="str">
        <f t="shared" si="90"/>
        <v/>
      </c>
      <c r="L540" t="str">
        <f t="shared" si="91"/>
        <v/>
      </c>
      <c r="M540" t="str">
        <f t="shared" si="92"/>
        <v>MarkCmd</v>
      </c>
    </row>
    <row r="541" spans="1:13" x14ac:dyDescent="0.25">
      <c r="A541" t="s">
        <v>116</v>
      </c>
      <c r="B541" s="6">
        <f t="shared" si="93"/>
        <v>3.8838333333333335</v>
      </c>
      <c r="C541" s="9">
        <f t="shared" si="94"/>
        <v>0.99999999999988987</v>
      </c>
      <c r="D541" s="8" t="str">
        <f t="shared" si="95"/>
        <v>W</v>
      </c>
      <c r="E541" s="3">
        <f t="shared" si="96"/>
        <v>101</v>
      </c>
      <c r="F541" s="3" t="str">
        <f t="shared" si="97"/>
        <v>ack</v>
      </c>
      <c r="G541" s="3" t="str">
        <f t="shared" si="98"/>
        <v>9A</v>
      </c>
      <c r="H541" s="3" t="str">
        <f t="shared" si="99"/>
        <v/>
      </c>
      <c r="I541" s="3">
        <f t="shared" si="100"/>
        <v>154</v>
      </c>
      <c r="J541" s="5" t="str">
        <f>IF(E541=0,"Broadcast",IF(H541="",IF(I541="","",IF(I541&lt;128,"Connect "&amp;I541,INDEX(KdoCodeTab,MATCH(I541,KdoWertTab,0)))),"ReadStat "&amp;H541))</f>
        <v>RepMarkCmd</v>
      </c>
      <c r="K541" t="str">
        <f t="shared" si="90"/>
        <v/>
      </c>
      <c r="L541" t="str">
        <f t="shared" si="91"/>
        <v/>
      </c>
      <c r="M541" t="str">
        <f t="shared" si="92"/>
        <v>RepMarkCmd</v>
      </c>
    </row>
    <row r="542" spans="1:13" x14ac:dyDescent="0.25">
      <c r="A542" t="s">
        <v>117</v>
      </c>
      <c r="B542" s="6">
        <f t="shared" si="93"/>
        <v>3.9131666666666667</v>
      </c>
      <c r="C542" s="9">
        <f t="shared" si="94"/>
        <v>29.333333333333211</v>
      </c>
      <c r="D542" s="8" t="str">
        <f t="shared" si="95"/>
        <v>W</v>
      </c>
      <c r="E542" s="3">
        <f t="shared" si="96"/>
        <v>101</v>
      </c>
      <c r="F542" s="3" t="str">
        <f t="shared" si="97"/>
        <v>ack</v>
      </c>
      <c r="G542" s="3" t="str">
        <f t="shared" si="98"/>
        <v>93</v>
      </c>
      <c r="H542" s="3" t="str">
        <f t="shared" si="99"/>
        <v/>
      </c>
      <c r="I542" s="3">
        <f t="shared" si="100"/>
        <v>147</v>
      </c>
      <c r="J542" s="5" t="str">
        <f>IF(E542=0,"Broadcast",IF(H542="",IF(I542="","",IF(I542&lt;128,"Connect "&amp;I542,INDEX(KdoCodeTab,MATCH(I542,KdoWertTab,0)))),"ReadStat "&amp;H542))</f>
        <v>SpaceCmd</v>
      </c>
      <c r="K542" t="str">
        <f t="shared" si="90"/>
        <v/>
      </c>
      <c r="L542" t="str">
        <f t="shared" si="91"/>
        <v/>
      </c>
      <c r="M542" t="str">
        <f t="shared" si="92"/>
        <v>SpaceCmd</v>
      </c>
    </row>
    <row r="543" spans="1:13" x14ac:dyDescent="0.25">
      <c r="A543" t="s">
        <v>118</v>
      </c>
      <c r="B543" s="6">
        <f t="shared" si="93"/>
        <v>3.914166666666667</v>
      </c>
      <c r="C543" s="9">
        <f t="shared" si="94"/>
        <v>1.000000000000334</v>
      </c>
      <c r="D543" s="8" t="str">
        <f t="shared" si="95"/>
        <v>W</v>
      </c>
      <c r="E543" s="3">
        <f t="shared" si="96"/>
        <v>101</v>
      </c>
      <c r="F543" s="3" t="str">
        <f t="shared" si="97"/>
        <v>ack</v>
      </c>
      <c r="G543" s="3" t="str">
        <f t="shared" si="98"/>
        <v>96</v>
      </c>
      <c r="H543" s="3" t="str">
        <f t="shared" si="99"/>
        <v/>
      </c>
      <c r="I543" s="3">
        <f t="shared" si="100"/>
        <v>150</v>
      </c>
      <c r="J543" s="5" t="str">
        <f>IF(E543=0,"Broadcast",IF(H543="",IF(I543="","",IF(I543&lt;128,"Connect "&amp;I543,INDEX(KdoCodeTab,MATCH(I543,KdoWertTab,0)))),"ReadStat "&amp;H543))</f>
        <v>RepSpaceCmd</v>
      </c>
      <c r="K543" t="str">
        <f t="shared" si="90"/>
        <v/>
      </c>
      <c r="L543" t="str">
        <f t="shared" si="91"/>
        <v/>
      </c>
      <c r="M543" t="str">
        <f t="shared" si="92"/>
        <v>RepSpaceCmd</v>
      </c>
    </row>
    <row r="544" spans="1:13" x14ac:dyDescent="0.25">
      <c r="A544" t="s">
        <v>119</v>
      </c>
      <c r="B544" s="6">
        <f t="shared" si="93"/>
        <v>3.9335</v>
      </c>
      <c r="C544" s="9">
        <f t="shared" si="94"/>
        <v>19.33333333333298</v>
      </c>
      <c r="D544" s="8" t="str">
        <f t="shared" si="95"/>
        <v>W</v>
      </c>
      <c r="E544" s="3">
        <f t="shared" si="96"/>
        <v>101</v>
      </c>
      <c r="F544" s="3" t="str">
        <f t="shared" si="97"/>
        <v>ack</v>
      </c>
      <c r="G544" s="3" t="str">
        <f t="shared" si="98"/>
        <v>9C</v>
      </c>
      <c r="H544" s="3" t="str">
        <f t="shared" si="99"/>
        <v/>
      </c>
      <c r="I544" s="3">
        <f t="shared" si="100"/>
        <v>156</v>
      </c>
      <c r="J544" s="5" t="str">
        <f>IF(E544=0,"Broadcast",IF(H544="",IF(I544="","",IF(I544&lt;128,"Connect "&amp;I544,INDEX(KdoCodeTab,MATCH(I544,KdoWertTab,0)))),"ReadStat "&amp;H544))</f>
        <v>MarkCmd</v>
      </c>
      <c r="K544" t="str">
        <f t="shared" si="90"/>
        <v/>
      </c>
      <c r="L544" t="str">
        <f t="shared" si="91"/>
        <v/>
      </c>
      <c r="M544" t="str">
        <f t="shared" si="92"/>
        <v>MarkCmd</v>
      </c>
    </row>
    <row r="545" spans="1:13" x14ac:dyDescent="0.25">
      <c r="A545" t="s">
        <v>120</v>
      </c>
      <c r="B545" s="6">
        <f t="shared" si="93"/>
        <v>3.9343333333333335</v>
      </c>
      <c r="C545" s="9">
        <f t="shared" si="94"/>
        <v>0.8333333333334636</v>
      </c>
      <c r="D545" s="8" t="str">
        <f t="shared" si="95"/>
        <v>W</v>
      </c>
      <c r="E545" s="3">
        <f t="shared" si="96"/>
        <v>101</v>
      </c>
      <c r="F545" s="3" t="str">
        <f t="shared" si="97"/>
        <v>ack</v>
      </c>
      <c r="G545" s="3" t="str">
        <f t="shared" si="98"/>
        <v>9A</v>
      </c>
      <c r="H545" s="3" t="str">
        <f t="shared" si="99"/>
        <v/>
      </c>
      <c r="I545" s="3">
        <f t="shared" si="100"/>
        <v>154</v>
      </c>
      <c r="J545" s="5" t="str">
        <f>IF(E545=0,"Broadcast",IF(H545="",IF(I545="","",IF(I545&lt;128,"Connect "&amp;I545,INDEX(KdoCodeTab,MATCH(I545,KdoWertTab,0)))),"ReadStat "&amp;H545))</f>
        <v>RepMarkCmd</v>
      </c>
      <c r="K545" t="str">
        <f t="shared" si="90"/>
        <v/>
      </c>
      <c r="L545" t="str">
        <f t="shared" si="91"/>
        <v/>
      </c>
      <c r="M545" t="str">
        <f t="shared" si="92"/>
        <v>RepMarkCmd</v>
      </c>
    </row>
    <row r="546" spans="1:13" x14ac:dyDescent="0.25">
      <c r="A546" t="s">
        <v>121</v>
      </c>
      <c r="B546" s="6">
        <f t="shared" si="93"/>
        <v>3.9728333333333334</v>
      </c>
      <c r="C546" s="9">
        <f t="shared" si="94"/>
        <v>38.499999999999979</v>
      </c>
      <c r="D546" s="8" t="str">
        <f t="shared" si="95"/>
        <v>W</v>
      </c>
      <c r="E546" s="3">
        <f t="shared" si="96"/>
        <v>101</v>
      </c>
      <c r="F546" s="3" t="str">
        <f t="shared" si="97"/>
        <v>ack</v>
      </c>
      <c r="G546" s="3" t="str">
        <f t="shared" si="98"/>
        <v>93</v>
      </c>
      <c r="H546" s="3" t="str">
        <f t="shared" si="99"/>
        <v/>
      </c>
      <c r="I546" s="3">
        <f t="shared" si="100"/>
        <v>147</v>
      </c>
      <c r="J546" s="5" t="str">
        <f>IF(E546=0,"Broadcast",IF(H546="",IF(I546="","",IF(I546&lt;128,"Connect "&amp;I546,INDEX(KdoCodeTab,MATCH(I546,KdoWertTab,0)))),"ReadStat "&amp;H546))</f>
        <v>SpaceCmd</v>
      </c>
      <c r="K546" t="str">
        <f t="shared" si="90"/>
        <v/>
      </c>
      <c r="L546" t="str">
        <f t="shared" si="91"/>
        <v/>
      </c>
      <c r="M546" t="str">
        <f t="shared" si="92"/>
        <v>SpaceCmd</v>
      </c>
    </row>
    <row r="547" spans="1:13" x14ac:dyDescent="0.25">
      <c r="A547" t="s">
        <v>122</v>
      </c>
      <c r="B547" s="6">
        <f t="shared" si="93"/>
        <v>3.9736666666666665</v>
      </c>
      <c r="C547" s="9">
        <f t="shared" si="94"/>
        <v>0.83333333333301951</v>
      </c>
      <c r="D547" s="8" t="str">
        <f t="shared" si="95"/>
        <v>W</v>
      </c>
      <c r="E547" s="3">
        <f t="shared" si="96"/>
        <v>101</v>
      </c>
      <c r="F547" s="3" t="str">
        <f t="shared" si="97"/>
        <v>ack</v>
      </c>
      <c r="G547" s="3" t="str">
        <f t="shared" si="98"/>
        <v>96</v>
      </c>
      <c r="H547" s="3" t="str">
        <f t="shared" si="99"/>
        <v/>
      </c>
      <c r="I547" s="3">
        <f t="shared" si="100"/>
        <v>150</v>
      </c>
      <c r="J547" s="5" t="str">
        <f>IF(E547=0,"Broadcast",IF(H547="",IF(I547="","",IF(I547&lt;128,"Connect "&amp;I547,INDEX(KdoCodeTab,MATCH(I547,KdoWertTab,0)))),"ReadStat "&amp;H547))</f>
        <v>RepSpaceCmd</v>
      </c>
      <c r="K547" t="str">
        <f t="shared" si="90"/>
        <v/>
      </c>
      <c r="L547" t="str">
        <f t="shared" si="91"/>
        <v/>
      </c>
      <c r="M547" t="str">
        <f t="shared" si="92"/>
        <v>RepSpaceCmd</v>
      </c>
    </row>
    <row r="548" spans="1:13" x14ac:dyDescent="0.25">
      <c r="A548" t="s">
        <v>123</v>
      </c>
      <c r="B548" s="6">
        <f t="shared" si="93"/>
        <v>4.0121666666666664</v>
      </c>
      <c r="C548" s="9">
        <f t="shared" si="94"/>
        <v>38.499999999999979</v>
      </c>
      <c r="D548" s="8" t="str">
        <f t="shared" si="95"/>
        <v>W</v>
      </c>
      <c r="E548" s="3">
        <f t="shared" si="96"/>
        <v>101</v>
      </c>
      <c r="F548" s="3" t="str">
        <f t="shared" si="97"/>
        <v>ack</v>
      </c>
      <c r="G548" s="3" t="str">
        <f t="shared" si="98"/>
        <v>9C</v>
      </c>
      <c r="H548" s="3" t="str">
        <f t="shared" si="99"/>
        <v/>
      </c>
      <c r="I548" s="3">
        <f t="shared" si="100"/>
        <v>156</v>
      </c>
      <c r="J548" s="5" t="str">
        <f>IF(E548=0,"Broadcast",IF(H548="",IF(I548="","",IF(I548&lt;128,"Connect "&amp;I548,INDEX(KdoCodeTab,MATCH(I548,KdoWertTab,0)))),"ReadStat "&amp;H548))</f>
        <v>MarkCmd</v>
      </c>
      <c r="K548" t="str">
        <f t="shared" si="90"/>
        <v/>
      </c>
      <c r="L548" t="str">
        <f t="shared" si="91"/>
        <v/>
      </c>
      <c r="M548" t="str">
        <f t="shared" si="92"/>
        <v>MarkCmd</v>
      </c>
    </row>
    <row r="549" spans="1:13" x14ac:dyDescent="0.25">
      <c r="A549" t="s">
        <v>124</v>
      </c>
      <c r="B549" s="6">
        <f t="shared" si="93"/>
        <v>4.0131666666666668</v>
      </c>
      <c r="C549" s="9">
        <f t="shared" si="94"/>
        <v>1.000000000000334</v>
      </c>
      <c r="D549" s="8" t="str">
        <f t="shared" si="95"/>
        <v>W</v>
      </c>
      <c r="E549" s="3">
        <f t="shared" si="96"/>
        <v>101</v>
      </c>
      <c r="F549" s="3" t="str">
        <f t="shared" si="97"/>
        <v>ack</v>
      </c>
      <c r="G549" s="3" t="str">
        <f t="shared" si="98"/>
        <v>9A</v>
      </c>
      <c r="H549" s="3" t="str">
        <f t="shared" si="99"/>
        <v/>
      </c>
      <c r="I549" s="3">
        <f t="shared" si="100"/>
        <v>154</v>
      </c>
      <c r="J549" s="5" t="str">
        <f>IF(E549=0,"Broadcast",IF(H549="",IF(I549="","",IF(I549&lt;128,"Connect "&amp;I549,INDEX(KdoCodeTab,MATCH(I549,KdoWertTab,0)))),"ReadStat "&amp;H549))</f>
        <v>RepMarkCmd</v>
      </c>
      <c r="K549" t="str">
        <f t="shared" si="90"/>
        <v/>
      </c>
      <c r="L549" t="str">
        <f t="shared" si="91"/>
        <v/>
      </c>
      <c r="M549" t="str">
        <f t="shared" si="92"/>
        <v>RepMarkCmd</v>
      </c>
    </row>
    <row r="550" spans="1:13" x14ac:dyDescent="0.25">
      <c r="A550" t="s">
        <v>125</v>
      </c>
      <c r="B550" s="6">
        <f t="shared" si="93"/>
        <v>4.0626666666666669</v>
      </c>
      <c r="C550" s="9">
        <f t="shared" si="94"/>
        <v>49.500000000000099</v>
      </c>
      <c r="D550" s="8" t="str">
        <f t="shared" si="95"/>
        <v>W</v>
      </c>
      <c r="E550" s="3">
        <f t="shared" si="96"/>
        <v>101</v>
      </c>
      <c r="F550" s="3" t="str">
        <f t="shared" si="97"/>
        <v>ack</v>
      </c>
      <c r="G550" s="3" t="str">
        <f t="shared" si="98"/>
        <v>93</v>
      </c>
      <c r="H550" s="3" t="str">
        <f t="shared" si="99"/>
        <v/>
      </c>
      <c r="I550" s="3">
        <f t="shared" si="100"/>
        <v>147</v>
      </c>
      <c r="J550" s="5" t="str">
        <f>IF(E550=0,"Broadcast",IF(H550="",IF(I550="","",IF(I550&lt;128,"Connect "&amp;I550,INDEX(KdoCodeTab,MATCH(I550,KdoWertTab,0)))),"ReadStat "&amp;H550))</f>
        <v>SpaceCmd</v>
      </c>
      <c r="K550" t="str">
        <f t="shared" si="90"/>
        <v/>
      </c>
      <c r="L550" t="str">
        <f t="shared" si="91"/>
        <v/>
      </c>
      <c r="M550" t="str">
        <f t="shared" si="92"/>
        <v>SpaceCmd</v>
      </c>
    </row>
    <row r="551" spans="1:13" x14ac:dyDescent="0.25">
      <c r="A551" t="s">
        <v>126</v>
      </c>
      <c r="B551" s="6">
        <f t="shared" si="93"/>
        <v>4.0636666666666663</v>
      </c>
      <c r="C551" s="9">
        <f t="shared" si="94"/>
        <v>0.99999999999944578</v>
      </c>
      <c r="D551" s="8" t="str">
        <f t="shared" si="95"/>
        <v>W</v>
      </c>
      <c r="E551" s="3">
        <f t="shared" si="96"/>
        <v>101</v>
      </c>
      <c r="F551" s="3" t="str">
        <f t="shared" si="97"/>
        <v>ack</v>
      </c>
      <c r="G551" s="3" t="str">
        <f t="shared" si="98"/>
        <v>96</v>
      </c>
      <c r="H551" s="3" t="str">
        <f t="shared" si="99"/>
        <v/>
      </c>
      <c r="I551" s="3">
        <f t="shared" si="100"/>
        <v>150</v>
      </c>
      <c r="J551" s="5" t="str">
        <f>IF(E551=0,"Broadcast",IF(H551="",IF(I551="","",IF(I551&lt;128,"Connect "&amp;I551,INDEX(KdoCodeTab,MATCH(I551,KdoWertTab,0)))),"ReadStat "&amp;H551))</f>
        <v>RepSpaceCmd</v>
      </c>
      <c r="K551" t="str">
        <f t="shared" si="90"/>
        <v/>
      </c>
      <c r="L551" t="str">
        <f t="shared" si="91"/>
        <v/>
      </c>
      <c r="M551" t="str">
        <f t="shared" si="92"/>
        <v>RepSpaceCmd</v>
      </c>
    </row>
    <row r="552" spans="1:13" x14ac:dyDescent="0.25">
      <c r="A552" t="s">
        <v>127</v>
      </c>
      <c r="B552" s="6">
        <f t="shared" si="93"/>
        <v>4.0828333333333333</v>
      </c>
      <c r="C552" s="9">
        <f t="shared" si="94"/>
        <v>19.166666666666998</v>
      </c>
      <c r="D552" s="8" t="str">
        <f t="shared" si="95"/>
        <v>W</v>
      </c>
      <c r="E552" s="3">
        <f t="shared" si="96"/>
        <v>101</v>
      </c>
      <c r="F552" s="3" t="str">
        <f t="shared" si="97"/>
        <v>ack</v>
      </c>
      <c r="G552" s="3" t="str">
        <f t="shared" si="98"/>
        <v>9C</v>
      </c>
      <c r="H552" s="3" t="str">
        <f t="shared" si="99"/>
        <v/>
      </c>
      <c r="I552" s="3">
        <f t="shared" si="100"/>
        <v>156</v>
      </c>
      <c r="J552" s="5" t="str">
        <f>IF(E552=0,"Broadcast",IF(H552="",IF(I552="","",IF(I552&lt;128,"Connect "&amp;I552,INDEX(KdoCodeTab,MATCH(I552,KdoWertTab,0)))),"ReadStat "&amp;H552))</f>
        <v>MarkCmd</v>
      </c>
      <c r="K552" t="str">
        <f t="shared" si="90"/>
        <v/>
      </c>
      <c r="L552" t="str">
        <f t="shared" si="91"/>
        <v/>
      </c>
      <c r="M552" t="str">
        <f t="shared" si="92"/>
        <v>MarkCmd</v>
      </c>
    </row>
    <row r="553" spans="1:13" x14ac:dyDescent="0.25">
      <c r="A553" t="s">
        <v>128</v>
      </c>
      <c r="B553" s="6">
        <f t="shared" si="93"/>
        <v>4.0838333333333336</v>
      </c>
      <c r="C553" s="9">
        <f t="shared" si="94"/>
        <v>1.000000000000334</v>
      </c>
      <c r="D553" s="8" t="str">
        <f t="shared" si="95"/>
        <v>W</v>
      </c>
      <c r="E553" s="3">
        <f t="shared" si="96"/>
        <v>101</v>
      </c>
      <c r="F553" s="3" t="str">
        <f t="shared" si="97"/>
        <v>ack</v>
      </c>
      <c r="G553" s="3" t="str">
        <f t="shared" si="98"/>
        <v>9A</v>
      </c>
      <c r="H553" s="3" t="str">
        <f t="shared" si="99"/>
        <v/>
      </c>
      <c r="I553" s="3">
        <f t="shared" si="100"/>
        <v>154</v>
      </c>
      <c r="J553" s="5" t="str">
        <f>IF(E553=0,"Broadcast",IF(H553="",IF(I553="","",IF(I553&lt;128,"Connect "&amp;I553,INDEX(KdoCodeTab,MATCH(I553,KdoWertTab,0)))),"ReadStat "&amp;H553))</f>
        <v>RepMarkCmd</v>
      </c>
      <c r="K553" t="str">
        <f t="shared" si="90"/>
        <v/>
      </c>
      <c r="L553" t="str">
        <f t="shared" si="91"/>
        <v/>
      </c>
      <c r="M553" t="str">
        <f t="shared" si="92"/>
        <v>RepMarkCmd</v>
      </c>
    </row>
    <row r="554" spans="1:13" x14ac:dyDescent="0.25">
      <c r="A554" t="s">
        <v>129</v>
      </c>
      <c r="B554" s="6">
        <f t="shared" si="93"/>
        <v>4.1031666666666666</v>
      </c>
      <c r="C554" s="9">
        <f t="shared" si="94"/>
        <v>19.33333333333298</v>
      </c>
      <c r="D554" s="8" t="str">
        <f t="shared" si="95"/>
        <v>W</v>
      </c>
      <c r="E554" s="3">
        <f t="shared" si="96"/>
        <v>101</v>
      </c>
      <c r="F554" s="3" t="str">
        <f t="shared" si="97"/>
        <v>ack</v>
      </c>
      <c r="G554" s="3" t="str">
        <f t="shared" si="98"/>
        <v>93</v>
      </c>
      <c r="H554" s="3" t="str">
        <f t="shared" si="99"/>
        <v/>
      </c>
      <c r="I554" s="3">
        <f t="shared" si="100"/>
        <v>147</v>
      </c>
      <c r="J554" s="5" t="str">
        <f>IF(E554=0,"Broadcast",IF(H554="",IF(I554="","",IF(I554&lt;128,"Connect "&amp;I554,INDEX(KdoCodeTab,MATCH(I554,KdoWertTab,0)))),"ReadStat "&amp;H554))</f>
        <v>SpaceCmd</v>
      </c>
      <c r="K554" t="str">
        <f t="shared" si="90"/>
        <v/>
      </c>
      <c r="L554" t="str">
        <f t="shared" si="91"/>
        <v/>
      </c>
      <c r="M554" t="str">
        <f t="shared" si="92"/>
        <v>SpaceCmd</v>
      </c>
    </row>
    <row r="555" spans="1:13" x14ac:dyDescent="0.25">
      <c r="A555" t="s">
        <v>130</v>
      </c>
      <c r="B555" s="6">
        <f t="shared" si="93"/>
        <v>4.104166666666667</v>
      </c>
      <c r="C555" s="9">
        <f t="shared" si="94"/>
        <v>1.000000000000334</v>
      </c>
      <c r="D555" s="8" t="str">
        <f t="shared" si="95"/>
        <v>W</v>
      </c>
      <c r="E555" s="3">
        <f t="shared" si="96"/>
        <v>101</v>
      </c>
      <c r="F555" s="3" t="str">
        <f t="shared" si="97"/>
        <v>ack</v>
      </c>
      <c r="G555" s="3" t="str">
        <f t="shared" si="98"/>
        <v>96</v>
      </c>
      <c r="H555" s="3" t="str">
        <f t="shared" si="99"/>
        <v/>
      </c>
      <c r="I555" s="3">
        <f t="shared" si="100"/>
        <v>150</v>
      </c>
      <c r="J555" s="5" t="str">
        <f>IF(E555=0,"Broadcast",IF(H555="",IF(I555="","",IF(I555&lt;128,"Connect "&amp;I555,INDEX(KdoCodeTab,MATCH(I555,KdoWertTab,0)))),"ReadStat "&amp;H555))</f>
        <v>RepSpaceCmd</v>
      </c>
      <c r="K555" t="str">
        <f t="shared" si="90"/>
        <v/>
      </c>
      <c r="L555" t="str">
        <f t="shared" si="91"/>
        <v/>
      </c>
      <c r="M555" t="str">
        <f t="shared" si="92"/>
        <v>RepSpaceCmd</v>
      </c>
    </row>
    <row r="556" spans="1:13" x14ac:dyDescent="0.25">
      <c r="A556" t="s">
        <v>131</v>
      </c>
      <c r="B556" s="6">
        <f t="shared" si="93"/>
        <v>4.1528333333333336</v>
      </c>
      <c r="C556" s="9">
        <f t="shared" si="94"/>
        <v>48.666666666666636</v>
      </c>
      <c r="D556" s="8" t="str">
        <f t="shared" si="95"/>
        <v>W</v>
      </c>
      <c r="E556" s="3">
        <f t="shared" si="96"/>
        <v>31</v>
      </c>
      <c r="F556" s="3" t="str">
        <f t="shared" si="97"/>
        <v>ack</v>
      </c>
      <c r="G556" s="3" t="str">
        <f t="shared" si="98"/>
        <v>9A</v>
      </c>
      <c r="H556" s="3" t="str">
        <f t="shared" si="99"/>
        <v/>
      </c>
      <c r="I556" s="3">
        <f t="shared" si="100"/>
        <v>154</v>
      </c>
      <c r="J556" s="5" t="str">
        <f>IF(E556=0,"Broadcast",IF(H556="",IF(I556="","",IF(I556&lt;128,"Connect "&amp;I556,INDEX(KdoCodeTab,MATCH(I556,KdoWertTab,0)))),"ReadStat "&amp;H556))</f>
        <v>RepMarkCmd</v>
      </c>
      <c r="K556" t="str">
        <f t="shared" si="90"/>
        <v/>
      </c>
      <c r="L556" t="str">
        <f t="shared" si="91"/>
        <v>RepMarkCmd</v>
      </c>
      <c r="M556" t="str">
        <f t="shared" si="92"/>
        <v/>
      </c>
    </row>
    <row r="557" spans="1:13" x14ac:dyDescent="0.25">
      <c r="A557" t="s">
        <v>132</v>
      </c>
      <c r="B557" s="6">
        <f t="shared" si="93"/>
        <v>4.1829999999999998</v>
      </c>
      <c r="C557" s="9">
        <f t="shared" si="94"/>
        <v>30.166666666666231</v>
      </c>
      <c r="D557" s="8" t="str">
        <f t="shared" si="95"/>
        <v>W</v>
      </c>
      <c r="E557" s="3">
        <f t="shared" si="96"/>
        <v>101</v>
      </c>
      <c r="F557" s="3" t="str">
        <f t="shared" si="97"/>
        <v>ack</v>
      </c>
      <c r="G557" s="3" t="str">
        <f t="shared" si="98"/>
        <v>9C</v>
      </c>
      <c r="H557" s="3" t="str">
        <f t="shared" si="99"/>
        <v/>
      </c>
      <c r="I557" s="3">
        <f t="shared" si="100"/>
        <v>156</v>
      </c>
      <c r="J557" s="5" t="str">
        <f>IF(E557=0,"Broadcast",IF(H557="",IF(I557="","",IF(I557&lt;128,"Connect "&amp;I557,INDEX(KdoCodeTab,MATCH(I557,KdoWertTab,0)))),"ReadStat "&amp;H557))</f>
        <v>MarkCmd</v>
      </c>
      <c r="K557" t="str">
        <f t="shared" si="90"/>
        <v/>
      </c>
      <c r="L557" t="str">
        <f t="shared" si="91"/>
        <v/>
      </c>
      <c r="M557" t="str">
        <f t="shared" si="92"/>
        <v>MarkCmd</v>
      </c>
    </row>
    <row r="558" spans="1:13" x14ac:dyDescent="0.25">
      <c r="A558" t="s">
        <v>133</v>
      </c>
      <c r="B558" s="6">
        <f t="shared" si="93"/>
        <v>4.1838333333333333</v>
      </c>
      <c r="C558" s="9">
        <f t="shared" si="94"/>
        <v>0.8333333333334636</v>
      </c>
      <c r="D558" s="8" t="str">
        <f t="shared" si="95"/>
        <v>W</v>
      </c>
      <c r="E558" s="3">
        <f t="shared" si="96"/>
        <v>101</v>
      </c>
      <c r="F558" s="3" t="str">
        <f t="shared" si="97"/>
        <v>ack</v>
      </c>
      <c r="G558" s="3" t="str">
        <f t="shared" si="98"/>
        <v>9A</v>
      </c>
      <c r="H558" s="3" t="str">
        <f t="shared" si="99"/>
        <v/>
      </c>
      <c r="I558" s="3">
        <f t="shared" si="100"/>
        <v>154</v>
      </c>
      <c r="J558" s="5" t="str">
        <f>IF(E558=0,"Broadcast",IF(H558="",IF(I558="","",IF(I558&lt;128,"Connect "&amp;I558,INDEX(KdoCodeTab,MATCH(I558,KdoWertTab,0)))),"ReadStat "&amp;H558))</f>
        <v>RepMarkCmd</v>
      </c>
      <c r="K558" t="str">
        <f t="shared" si="90"/>
        <v/>
      </c>
      <c r="L558" t="str">
        <f t="shared" si="91"/>
        <v/>
      </c>
      <c r="M558" t="str">
        <f t="shared" si="92"/>
        <v>RepMarkCmd</v>
      </c>
    </row>
    <row r="559" spans="1:13" x14ac:dyDescent="0.25">
      <c r="A559" t="s">
        <v>134</v>
      </c>
      <c r="B559" s="6">
        <f t="shared" si="93"/>
        <v>4.2133333333333338</v>
      </c>
      <c r="C559" s="9">
        <f t="shared" si="94"/>
        <v>29.500000000000526</v>
      </c>
      <c r="D559" s="8" t="str">
        <f t="shared" si="95"/>
        <v>W</v>
      </c>
      <c r="E559" s="3">
        <f t="shared" si="96"/>
        <v>101</v>
      </c>
      <c r="F559" s="3" t="str">
        <f t="shared" si="97"/>
        <v>ack</v>
      </c>
      <c r="G559" s="3" t="str">
        <f t="shared" si="98"/>
        <v>93</v>
      </c>
      <c r="H559" s="3" t="str">
        <f t="shared" si="99"/>
        <v/>
      </c>
      <c r="I559" s="3">
        <f t="shared" si="100"/>
        <v>147</v>
      </c>
      <c r="J559" s="5" t="str">
        <f>IF(E559=0,"Broadcast",IF(H559="",IF(I559="","",IF(I559&lt;128,"Connect "&amp;I559,INDEX(KdoCodeTab,MATCH(I559,KdoWertTab,0)))),"ReadStat "&amp;H559))</f>
        <v>SpaceCmd</v>
      </c>
      <c r="K559" t="str">
        <f t="shared" si="90"/>
        <v/>
      </c>
      <c r="L559" t="str">
        <f t="shared" si="91"/>
        <v/>
      </c>
      <c r="M559" t="str">
        <f t="shared" si="92"/>
        <v>SpaceCmd</v>
      </c>
    </row>
    <row r="560" spans="1:13" x14ac:dyDescent="0.25">
      <c r="A560" t="s">
        <v>135</v>
      </c>
      <c r="B560" s="6">
        <f t="shared" si="93"/>
        <v>4.2141666666666673</v>
      </c>
      <c r="C560" s="9">
        <f t="shared" si="94"/>
        <v>0.8333333333334636</v>
      </c>
      <c r="D560" s="8" t="str">
        <f t="shared" si="95"/>
        <v>W</v>
      </c>
      <c r="E560" s="3">
        <f t="shared" si="96"/>
        <v>101</v>
      </c>
      <c r="F560" s="3" t="str">
        <f t="shared" si="97"/>
        <v>ack</v>
      </c>
      <c r="G560" s="3" t="str">
        <f t="shared" si="98"/>
        <v>96</v>
      </c>
      <c r="H560" s="3" t="str">
        <f t="shared" si="99"/>
        <v/>
      </c>
      <c r="I560" s="3">
        <f t="shared" si="100"/>
        <v>150</v>
      </c>
      <c r="J560" s="5" t="str">
        <f>IF(E560=0,"Broadcast",IF(H560="",IF(I560="","",IF(I560&lt;128,"Connect "&amp;I560,INDEX(KdoCodeTab,MATCH(I560,KdoWertTab,0)))),"ReadStat "&amp;H560))</f>
        <v>RepSpaceCmd</v>
      </c>
      <c r="K560" t="str">
        <f t="shared" si="90"/>
        <v/>
      </c>
      <c r="L560" t="str">
        <f t="shared" si="91"/>
        <v/>
      </c>
      <c r="M560" t="str">
        <f t="shared" si="92"/>
        <v>RepSpaceCmd</v>
      </c>
    </row>
    <row r="561" spans="1:13" x14ac:dyDescent="0.25">
      <c r="A561" t="s">
        <v>136</v>
      </c>
      <c r="B561" s="6">
        <f t="shared" si="93"/>
        <v>4.2728333333333337</v>
      </c>
      <c r="C561" s="9">
        <f t="shared" si="94"/>
        <v>58.666666666666423</v>
      </c>
      <c r="D561" s="8" t="str">
        <f t="shared" si="95"/>
        <v>W</v>
      </c>
      <c r="E561" s="3">
        <f t="shared" si="96"/>
        <v>101</v>
      </c>
      <c r="F561" s="3" t="str">
        <f t="shared" si="97"/>
        <v>ack</v>
      </c>
      <c r="G561" s="3" t="str">
        <f t="shared" si="98"/>
        <v>9C</v>
      </c>
      <c r="H561" s="3" t="str">
        <f t="shared" si="99"/>
        <v/>
      </c>
      <c r="I561" s="3">
        <f t="shared" si="100"/>
        <v>156</v>
      </c>
      <c r="J561" s="5" t="str">
        <f>IF(E561=0,"Broadcast",IF(H561="",IF(I561="","",IF(I561&lt;128,"Connect "&amp;I561,INDEX(KdoCodeTab,MATCH(I561,KdoWertTab,0)))),"ReadStat "&amp;H561))</f>
        <v>MarkCmd</v>
      </c>
      <c r="K561" t="str">
        <f t="shared" si="90"/>
        <v/>
      </c>
      <c r="L561" t="str">
        <f t="shared" si="91"/>
        <v/>
      </c>
      <c r="M561" t="str">
        <f t="shared" si="92"/>
        <v>MarkCmd</v>
      </c>
    </row>
    <row r="562" spans="1:13" x14ac:dyDescent="0.25">
      <c r="A562" t="s">
        <v>137</v>
      </c>
      <c r="B562" s="6">
        <f t="shared" si="93"/>
        <v>4.2738333333333332</v>
      </c>
      <c r="C562" s="9">
        <f t="shared" si="94"/>
        <v>0.99999999999944578</v>
      </c>
      <c r="D562" s="8" t="str">
        <f t="shared" si="95"/>
        <v>W</v>
      </c>
      <c r="E562" s="3">
        <f t="shared" si="96"/>
        <v>101</v>
      </c>
      <c r="F562" s="3" t="str">
        <f t="shared" si="97"/>
        <v>ack</v>
      </c>
      <c r="G562" s="3" t="str">
        <f t="shared" si="98"/>
        <v>9A</v>
      </c>
      <c r="H562" s="3" t="str">
        <f t="shared" si="99"/>
        <v/>
      </c>
      <c r="I562" s="3">
        <f t="shared" si="100"/>
        <v>154</v>
      </c>
      <c r="J562" s="5" t="str">
        <f>IF(E562=0,"Broadcast",IF(H562="",IF(I562="","",IF(I562&lt;128,"Connect "&amp;I562,INDEX(KdoCodeTab,MATCH(I562,KdoWertTab,0)))),"ReadStat "&amp;H562))</f>
        <v>RepMarkCmd</v>
      </c>
      <c r="K562" t="str">
        <f t="shared" si="90"/>
        <v/>
      </c>
      <c r="L562" t="str">
        <f t="shared" si="91"/>
        <v/>
      </c>
      <c r="M562" t="str">
        <f t="shared" si="92"/>
        <v>RepMarkCmd</v>
      </c>
    </row>
    <row r="563" spans="1:13" x14ac:dyDescent="0.25">
      <c r="A563" t="s">
        <v>138</v>
      </c>
      <c r="B563" s="6">
        <f t="shared" si="93"/>
        <v>4.2930000000000001</v>
      </c>
      <c r="C563" s="9">
        <f t="shared" si="94"/>
        <v>19.166666666666998</v>
      </c>
      <c r="D563" s="8" t="str">
        <f t="shared" si="95"/>
        <v>W</v>
      </c>
      <c r="E563" s="3">
        <f t="shared" si="96"/>
        <v>101</v>
      </c>
      <c r="F563" s="3" t="str">
        <f t="shared" si="97"/>
        <v>ack</v>
      </c>
      <c r="G563" s="3" t="str">
        <f t="shared" si="98"/>
        <v>93</v>
      </c>
      <c r="H563" s="3" t="str">
        <f t="shared" si="99"/>
        <v/>
      </c>
      <c r="I563" s="3">
        <f t="shared" si="100"/>
        <v>147</v>
      </c>
      <c r="J563" s="5" t="str">
        <f>IF(E563=0,"Broadcast",IF(H563="",IF(I563="","",IF(I563&lt;128,"Connect "&amp;I563,INDEX(KdoCodeTab,MATCH(I563,KdoWertTab,0)))),"ReadStat "&amp;H563))</f>
        <v>SpaceCmd</v>
      </c>
      <c r="K563" t="str">
        <f t="shared" si="90"/>
        <v/>
      </c>
      <c r="L563" t="str">
        <f t="shared" si="91"/>
        <v/>
      </c>
      <c r="M563" t="str">
        <f t="shared" si="92"/>
        <v>SpaceCmd</v>
      </c>
    </row>
    <row r="564" spans="1:13" x14ac:dyDescent="0.25">
      <c r="A564" t="s">
        <v>139</v>
      </c>
      <c r="B564" s="6">
        <f t="shared" si="93"/>
        <v>4.2939999999999996</v>
      </c>
      <c r="C564" s="9">
        <f t="shared" si="94"/>
        <v>0.99999999999944578</v>
      </c>
      <c r="D564" s="8" t="str">
        <f t="shared" si="95"/>
        <v>W</v>
      </c>
      <c r="E564" s="3">
        <f t="shared" si="96"/>
        <v>101</v>
      </c>
      <c r="F564" s="3" t="str">
        <f t="shared" si="97"/>
        <v>ack</v>
      </c>
      <c r="G564" s="3" t="str">
        <f t="shared" si="98"/>
        <v>96</v>
      </c>
      <c r="H564" s="3" t="str">
        <f t="shared" si="99"/>
        <v/>
      </c>
      <c r="I564" s="3">
        <f t="shared" si="100"/>
        <v>150</v>
      </c>
      <c r="J564" s="5" t="str">
        <f>IF(E564=0,"Broadcast",IF(H564="",IF(I564="","",IF(I564&lt;128,"Connect "&amp;I564,INDEX(KdoCodeTab,MATCH(I564,KdoWertTab,0)))),"ReadStat "&amp;H564))</f>
        <v>RepSpaceCmd</v>
      </c>
      <c r="K564" t="str">
        <f t="shared" si="90"/>
        <v/>
      </c>
      <c r="L564" t="str">
        <f t="shared" si="91"/>
        <v/>
      </c>
      <c r="M564" t="str">
        <f t="shared" si="92"/>
        <v>RepSpaceCmd</v>
      </c>
    </row>
    <row r="565" spans="1:13" x14ac:dyDescent="0.25">
      <c r="A565" t="s">
        <v>140</v>
      </c>
      <c r="B565" s="6">
        <f t="shared" si="93"/>
        <v>4.3334999999999999</v>
      </c>
      <c r="C565" s="9">
        <f t="shared" si="94"/>
        <v>39.500000000000313</v>
      </c>
      <c r="D565" s="8" t="str">
        <f t="shared" si="95"/>
        <v>W</v>
      </c>
      <c r="E565" s="3">
        <f t="shared" si="96"/>
        <v>101</v>
      </c>
      <c r="F565" s="3" t="str">
        <f t="shared" si="97"/>
        <v>ack</v>
      </c>
      <c r="G565" s="3" t="str">
        <f t="shared" si="98"/>
        <v>9C</v>
      </c>
      <c r="H565" s="3" t="str">
        <f t="shared" si="99"/>
        <v/>
      </c>
      <c r="I565" s="3">
        <f t="shared" si="100"/>
        <v>156</v>
      </c>
      <c r="J565" s="5" t="str">
        <f>IF(E565=0,"Broadcast",IF(H565="",IF(I565="","",IF(I565&lt;128,"Connect "&amp;I565,INDEX(KdoCodeTab,MATCH(I565,KdoWertTab,0)))),"ReadStat "&amp;H565))</f>
        <v>MarkCmd</v>
      </c>
      <c r="K565" t="str">
        <f t="shared" si="90"/>
        <v/>
      </c>
      <c r="L565" t="str">
        <f t="shared" si="91"/>
        <v/>
      </c>
      <c r="M565" t="str">
        <f t="shared" si="92"/>
        <v>MarkCmd</v>
      </c>
    </row>
    <row r="566" spans="1:13" x14ac:dyDescent="0.25">
      <c r="A566" t="s">
        <v>141</v>
      </c>
      <c r="B566" s="6">
        <f t="shared" si="93"/>
        <v>4.3344999999999994</v>
      </c>
      <c r="C566" s="9">
        <f t="shared" si="94"/>
        <v>0.99999999999944578</v>
      </c>
      <c r="D566" s="8" t="str">
        <f t="shared" si="95"/>
        <v>W</v>
      </c>
      <c r="E566" s="3">
        <f t="shared" si="96"/>
        <v>101</v>
      </c>
      <c r="F566" s="3" t="str">
        <f t="shared" si="97"/>
        <v>ack</v>
      </c>
      <c r="G566" s="3" t="str">
        <f t="shared" si="98"/>
        <v>9A</v>
      </c>
      <c r="H566" s="3" t="str">
        <f t="shared" si="99"/>
        <v/>
      </c>
      <c r="I566" s="3">
        <f t="shared" si="100"/>
        <v>154</v>
      </c>
      <c r="J566" s="5" t="str">
        <f>IF(E566=0,"Broadcast",IF(H566="",IF(I566="","",IF(I566&lt;128,"Connect "&amp;I566,INDEX(KdoCodeTab,MATCH(I566,KdoWertTab,0)))),"ReadStat "&amp;H566))</f>
        <v>RepMarkCmd</v>
      </c>
      <c r="K566" t="str">
        <f t="shared" si="90"/>
        <v/>
      </c>
      <c r="L566" t="str">
        <f t="shared" si="91"/>
        <v/>
      </c>
      <c r="M566" t="str">
        <f t="shared" si="92"/>
        <v>RepMarkCmd</v>
      </c>
    </row>
    <row r="567" spans="1:13" x14ac:dyDescent="0.25">
      <c r="A567" t="s">
        <v>142</v>
      </c>
      <c r="B567" s="6">
        <f t="shared" si="93"/>
        <v>4.3628333333333336</v>
      </c>
      <c r="C567" s="9">
        <f t="shared" si="94"/>
        <v>28.33333333333421</v>
      </c>
      <c r="D567" s="8" t="str">
        <f t="shared" si="95"/>
        <v>W</v>
      </c>
      <c r="E567" s="3">
        <f t="shared" si="96"/>
        <v>101</v>
      </c>
      <c r="F567" s="3" t="str">
        <f t="shared" si="97"/>
        <v>ack</v>
      </c>
      <c r="G567" s="3" t="str">
        <f t="shared" si="98"/>
        <v>93</v>
      </c>
      <c r="H567" s="3" t="str">
        <f t="shared" si="99"/>
        <v/>
      </c>
      <c r="I567" s="3">
        <f t="shared" si="100"/>
        <v>147</v>
      </c>
      <c r="J567" s="5" t="str">
        <f>IF(E567=0,"Broadcast",IF(H567="",IF(I567="","",IF(I567&lt;128,"Connect "&amp;I567,INDEX(KdoCodeTab,MATCH(I567,KdoWertTab,0)))),"ReadStat "&amp;H567))</f>
        <v>SpaceCmd</v>
      </c>
      <c r="K567" t="str">
        <f t="shared" si="90"/>
        <v/>
      </c>
      <c r="L567" t="str">
        <f t="shared" si="91"/>
        <v/>
      </c>
      <c r="M567" t="str">
        <f t="shared" si="92"/>
        <v>SpaceCmd</v>
      </c>
    </row>
    <row r="568" spans="1:13" x14ac:dyDescent="0.25">
      <c r="A568" t="s">
        <v>143</v>
      </c>
      <c r="B568" s="6">
        <f t="shared" si="93"/>
        <v>4.3638333333333339</v>
      </c>
      <c r="C568" s="9">
        <f t="shared" si="94"/>
        <v>1.000000000000334</v>
      </c>
      <c r="D568" s="8" t="str">
        <f t="shared" si="95"/>
        <v>W</v>
      </c>
      <c r="E568" s="3">
        <f t="shared" si="96"/>
        <v>101</v>
      </c>
      <c r="F568" s="3" t="str">
        <f t="shared" si="97"/>
        <v>ack</v>
      </c>
      <c r="G568" s="3" t="str">
        <f t="shared" si="98"/>
        <v>96</v>
      </c>
      <c r="H568" s="3" t="str">
        <f t="shared" si="99"/>
        <v/>
      </c>
      <c r="I568" s="3">
        <f t="shared" si="100"/>
        <v>150</v>
      </c>
      <c r="J568" s="5" t="str">
        <f>IF(E568=0,"Broadcast",IF(H568="",IF(I568="","",IF(I568&lt;128,"Connect "&amp;I568,INDEX(KdoCodeTab,MATCH(I568,KdoWertTab,0)))),"ReadStat "&amp;H568))</f>
        <v>RepSpaceCmd</v>
      </c>
      <c r="K568" t="str">
        <f t="shared" si="90"/>
        <v/>
      </c>
      <c r="L568" t="str">
        <f t="shared" si="91"/>
        <v/>
      </c>
      <c r="M568" t="str">
        <f t="shared" si="92"/>
        <v>RepSpaceCmd</v>
      </c>
    </row>
    <row r="569" spans="1:13" x14ac:dyDescent="0.25">
      <c r="A569" t="s">
        <v>144</v>
      </c>
      <c r="B569" s="6">
        <f t="shared" si="93"/>
        <v>4.3840000000000003</v>
      </c>
      <c r="C569" s="9">
        <f t="shared" si="94"/>
        <v>20.166666666666444</v>
      </c>
      <c r="D569" s="8" t="str">
        <f t="shared" si="95"/>
        <v>W</v>
      </c>
      <c r="E569" s="3">
        <f t="shared" si="96"/>
        <v>101</v>
      </c>
      <c r="F569" s="3" t="str">
        <f t="shared" si="97"/>
        <v>ack</v>
      </c>
      <c r="G569" s="3" t="str">
        <f t="shared" si="98"/>
        <v>9C</v>
      </c>
      <c r="H569" s="3" t="str">
        <f t="shared" si="99"/>
        <v/>
      </c>
      <c r="I569" s="3">
        <f t="shared" si="100"/>
        <v>156</v>
      </c>
      <c r="J569" s="5" t="str">
        <f>IF(E569=0,"Broadcast",IF(H569="",IF(I569="","",IF(I569&lt;128,"Connect "&amp;I569,INDEX(KdoCodeTab,MATCH(I569,KdoWertTab,0)))),"ReadStat "&amp;H569))</f>
        <v>MarkCmd</v>
      </c>
      <c r="K569" t="str">
        <f t="shared" si="90"/>
        <v/>
      </c>
      <c r="L569" t="str">
        <f t="shared" si="91"/>
        <v/>
      </c>
      <c r="M569" t="str">
        <f t="shared" si="92"/>
        <v>MarkCmd</v>
      </c>
    </row>
    <row r="570" spans="1:13" x14ac:dyDescent="0.25">
      <c r="A570" t="s">
        <v>145</v>
      </c>
      <c r="B570" s="6">
        <f t="shared" si="93"/>
        <v>4.3848333333333338</v>
      </c>
      <c r="C570" s="9">
        <f t="shared" si="94"/>
        <v>0.8333333333334636</v>
      </c>
      <c r="D570" s="8" t="str">
        <f t="shared" si="95"/>
        <v>W</v>
      </c>
      <c r="E570" s="3">
        <f t="shared" si="96"/>
        <v>101</v>
      </c>
      <c r="F570" s="3" t="str">
        <f t="shared" si="97"/>
        <v>ack</v>
      </c>
      <c r="G570" s="3" t="str">
        <f t="shared" si="98"/>
        <v>9A</v>
      </c>
      <c r="H570" s="3" t="str">
        <f t="shared" si="99"/>
        <v/>
      </c>
      <c r="I570" s="3">
        <f t="shared" si="100"/>
        <v>154</v>
      </c>
      <c r="J570" s="5" t="str">
        <f>IF(E570=0,"Broadcast",IF(H570="",IF(I570="","",IF(I570&lt;128,"Connect "&amp;I570,INDEX(KdoCodeTab,MATCH(I570,KdoWertTab,0)))),"ReadStat "&amp;H570))</f>
        <v>RepMarkCmd</v>
      </c>
      <c r="K570" t="str">
        <f t="shared" si="90"/>
        <v/>
      </c>
      <c r="L570" t="str">
        <f t="shared" si="91"/>
        <v/>
      </c>
      <c r="M570" t="str">
        <f t="shared" si="92"/>
        <v>RepMarkCmd</v>
      </c>
    </row>
    <row r="571" spans="1:13" x14ac:dyDescent="0.25">
      <c r="A571" t="s">
        <v>146</v>
      </c>
      <c r="B571" s="6">
        <f t="shared" si="93"/>
        <v>4.4031666666666665</v>
      </c>
      <c r="C571" s="9">
        <f t="shared" si="94"/>
        <v>18.333333333332646</v>
      </c>
      <c r="D571" s="8" t="str">
        <f t="shared" si="95"/>
        <v>W</v>
      </c>
      <c r="E571" s="3">
        <f t="shared" si="96"/>
        <v>101</v>
      </c>
      <c r="F571" s="3" t="str">
        <f t="shared" si="97"/>
        <v>ack</v>
      </c>
      <c r="G571" s="3" t="str">
        <f t="shared" si="98"/>
        <v>93</v>
      </c>
      <c r="H571" s="3" t="str">
        <f t="shared" si="99"/>
        <v/>
      </c>
      <c r="I571" s="3">
        <f t="shared" si="100"/>
        <v>147</v>
      </c>
      <c r="J571" s="5" t="str">
        <f>IF(E571=0,"Broadcast",IF(H571="",IF(I571="","",IF(I571&lt;128,"Connect "&amp;I571,INDEX(KdoCodeTab,MATCH(I571,KdoWertTab,0)))),"ReadStat "&amp;H571))</f>
        <v>SpaceCmd</v>
      </c>
      <c r="K571" t="str">
        <f t="shared" ref="K571:K634" si="101">IF(E571=$K$2,J571,"")</f>
        <v/>
      </c>
      <c r="L571" t="str">
        <f t="shared" ref="L571:L634" si="102">IF(E571=$L$2,J571,"")</f>
        <v/>
      </c>
      <c r="M571" t="str">
        <f t="shared" ref="M571:M634" si="103">IF(K571&amp;L571="",J571,"")</f>
        <v>SpaceCmd</v>
      </c>
    </row>
    <row r="572" spans="1:13" x14ac:dyDescent="0.25">
      <c r="A572" t="s">
        <v>147</v>
      </c>
      <c r="B572" s="6">
        <f t="shared" si="93"/>
        <v>4.4041666666666668</v>
      </c>
      <c r="C572" s="9">
        <f t="shared" si="94"/>
        <v>1.000000000000334</v>
      </c>
      <c r="D572" s="8" t="str">
        <f t="shared" si="95"/>
        <v>W</v>
      </c>
      <c r="E572" s="3">
        <f t="shared" si="96"/>
        <v>101</v>
      </c>
      <c r="F572" s="3" t="str">
        <f t="shared" si="97"/>
        <v>ack</v>
      </c>
      <c r="G572" s="3" t="str">
        <f t="shared" si="98"/>
        <v>96</v>
      </c>
      <c r="H572" s="3" t="str">
        <f t="shared" si="99"/>
        <v/>
      </c>
      <c r="I572" s="3">
        <f t="shared" si="100"/>
        <v>150</v>
      </c>
      <c r="J572" s="5" t="str">
        <f>IF(E572=0,"Broadcast",IF(H572="",IF(I572="","",IF(I572&lt;128,"Connect "&amp;I572,INDEX(KdoCodeTab,MATCH(I572,KdoWertTab,0)))),"ReadStat "&amp;H572))</f>
        <v>RepSpaceCmd</v>
      </c>
      <c r="K572" t="str">
        <f t="shared" si="101"/>
        <v/>
      </c>
      <c r="L572" t="str">
        <f t="shared" si="102"/>
        <v/>
      </c>
      <c r="M572" t="str">
        <f t="shared" si="103"/>
        <v>RepSpaceCmd</v>
      </c>
    </row>
    <row r="573" spans="1:13" x14ac:dyDescent="0.25">
      <c r="A573" t="s">
        <v>148</v>
      </c>
      <c r="B573" s="6">
        <f t="shared" si="93"/>
        <v>4.4434999999999993</v>
      </c>
      <c r="C573" s="9">
        <f t="shared" si="94"/>
        <v>39.333333333332554</v>
      </c>
      <c r="D573" s="8" t="str">
        <f t="shared" si="95"/>
        <v>W</v>
      </c>
      <c r="E573" s="3">
        <f t="shared" si="96"/>
        <v>101</v>
      </c>
      <c r="F573" s="3" t="str">
        <f t="shared" si="97"/>
        <v>ack</v>
      </c>
      <c r="G573" s="3" t="str">
        <f t="shared" si="98"/>
        <v>9C</v>
      </c>
      <c r="H573" s="3" t="str">
        <f t="shared" si="99"/>
        <v/>
      </c>
      <c r="I573" s="3">
        <f t="shared" si="100"/>
        <v>156</v>
      </c>
      <c r="J573" s="5" t="str">
        <f>IF(E573=0,"Broadcast",IF(H573="",IF(I573="","",IF(I573&lt;128,"Connect "&amp;I573,INDEX(KdoCodeTab,MATCH(I573,KdoWertTab,0)))),"ReadStat "&amp;H573))</f>
        <v>MarkCmd</v>
      </c>
      <c r="K573" t="str">
        <f t="shared" si="101"/>
        <v/>
      </c>
      <c r="L573" t="str">
        <f t="shared" si="102"/>
        <v/>
      </c>
      <c r="M573" t="str">
        <f t="shared" si="103"/>
        <v>MarkCmd</v>
      </c>
    </row>
    <row r="574" spans="1:13" x14ac:dyDescent="0.25">
      <c r="A574" t="s">
        <v>149</v>
      </c>
      <c r="B574" s="6">
        <f t="shared" si="93"/>
        <v>4.4444999999999997</v>
      </c>
      <c r="C574" s="9">
        <f t="shared" si="94"/>
        <v>1.000000000000334</v>
      </c>
      <c r="D574" s="8" t="str">
        <f t="shared" si="95"/>
        <v>W</v>
      </c>
      <c r="E574" s="3">
        <f t="shared" si="96"/>
        <v>101</v>
      </c>
      <c r="F574" s="3" t="str">
        <f t="shared" si="97"/>
        <v>ack</v>
      </c>
      <c r="G574" s="3" t="str">
        <f t="shared" si="98"/>
        <v>9A</v>
      </c>
      <c r="H574" s="3" t="str">
        <f t="shared" si="99"/>
        <v/>
      </c>
      <c r="I574" s="3">
        <f t="shared" si="100"/>
        <v>154</v>
      </c>
      <c r="J574" s="5" t="str">
        <f>IF(E574=0,"Broadcast",IF(H574="",IF(I574="","",IF(I574&lt;128,"Connect "&amp;I574,INDEX(KdoCodeTab,MATCH(I574,KdoWertTab,0)))),"ReadStat "&amp;H574))</f>
        <v>RepMarkCmd</v>
      </c>
      <c r="K574" t="str">
        <f t="shared" si="101"/>
        <v/>
      </c>
      <c r="L574" t="str">
        <f t="shared" si="102"/>
        <v/>
      </c>
      <c r="M574" t="str">
        <f t="shared" si="103"/>
        <v>RepMarkCmd</v>
      </c>
    </row>
    <row r="575" spans="1:13" x14ac:dyDescent="0.25">
      <c r="A575" t="s">
        <v>150</v>
      </c>
      <c r="B575" s="6">
        <f t="shared" si="93"/>
        <v>4.4638333333333335</v>
      </c>
      <c r="C575" s="9">
        <f t="shared" si="94"/>
        <v>19.333333333333869</v>
      </c>
      <c r="D575" s="8" t="str">
        <f t="shared" si="95"/>
        <v>W</v>
      </c>
      <c r="E575" s="3">
        <f t="shared" si="96"/>
        <v>101</v>
      </c>
      <c r="F575" s="3" t="str">
        <f t="shared" si="97"/>
        <v>ack</v>
      </c>
      <c r="G575" s="3" t="str">
        <f t="shared" si="98"/>
        <v>93</v>
      </c>
      <c r="H575" s="3" t="str">
        <f t="shared" si="99"/>
        <v/>
      </c>
      <c r="I575" s="3">
        <f t="shared" si="100"/>
        <v>147</v>
      </c>
      <c r="J575" s="5" t="str">
        <f>IF(E575=0,"Broadcast",IF(H575="",IF(I575="","",IF(I575&lt;128,"Connect "&amp;I575,INDEX(KdoCodeTab,MATCH(I575,KdoWertTab,0)))),"ReadStat "&amp;H575))</f>
        <v>SpaceCmd</v>
      </c>
      <c r="K575" t="str">
        <f t="shared" si="101"/>
        <v/>
      </c>
      <c r="L575" t="str">
        <f t="shared" si="102"/>
        <v/>
      </c>
      <c r="M575" t="str">
        <f t="shared" si="103"/>
        <v>SpaceCmd</v>
      </c>
    </row>
    <row r="576" spans="1:13" x14ac:dyDescent="0.25">
      <c r="A576" t="s">
        <v>151</v>
      </c>
      <c r="B576" s="6">
        <f t="shared" si="93"/>
        <v>4.4648333333333339</v>
      </c>
      <c r="C576" s="9">
        <f t="shared" si="94"/>
        <v>1.000000000000334</v>
      </c>
      <c r="D576" s="8" t="str">
        <f t="shared" si="95"/>
        <v>W</v>
      </c>
      <c r="E576" s="3">
        <f t="shared" si="96"/>
        <v>101</v>
      </c>
      <c r="F576" s="3" t="str">
        <f t="shared" si="97"/>
        <v>ack</v>
      </c>
      <c r="G576" s="3" t="str">
        <f t="shared" si="98"/>
        <v>96</v>
      </c>
      <c r="H576" s="3" t="str">
        <f t="shared" si="99"/>
        <v/>
      </c>
      <c r="I576" s="3">
        <f t="shared" si="100"/>
        <v>150</v>
      </c>
      <c r="J576" s="5" t="str">
        <f>IF(E576=0,"Broadcast",IF(H576="",IF(I576="","",IF(I576&lt;128,"Connect "&amp;I576,INDEX(KdoCodeTab,MATCH(I576,KdoWertTab,0)))),"ReadStat "&amp;H576))</f>
        <v>RepSpaceCmd</v>
      </c>
      <c r="K576" t="str">
        <f t="shared" si="101"/>
        <v/>
      </c>
      <c r="L576" t="str">
        <f t="shared" si="102"/>
        <v/>
      </c>
      <c r="M576" t="str">
        <f t="shared" si="103"/>
        <v>RepSpaceCmd</v>
      </c>
    </row>
    <row r="577" spans="1:13" x14ac:dyDescent="0.25">
      <c r="A577" t="s">
        <v>152</v>
      </c>
      <c r="B577" s="6">
        <f t="shared" si="93"/>
        <v>4.484</v>
      </c>
      <c r="C577" s="9">
        <f t="shared" si="94"/>
        <v>19.16666666666611</v>
      </c>
      <c r="D577" s="8" t="str">
        <f t="shared" si="95"/>
        <v>W</v>
      </c>
      <c r="E577" s="3">
        <f t="shared" si="96"/>
        <v>101</v>
      </c>
      <c r="F577" s="3" t="str">
        <f t="shared" si="97"/>
        <v>ack</v>
      </c>
      <c r="G577" s="3" t="str">
        <f t="shared" si="98"/>
        <v>9C</v>
      </c>
      <c r="H577" s="3" t="str">
        <f t="shared" si="99"/>
        <v/>
      </c>
      <c r="I577" s="3">
        <f t="shared" si="100"/>
        <v>156</v>
      </c>
      <c r="J577" s="5" t="str">
        <f>IF(E577=0,"Broadcast",IF(H577="",IF(I577="","",IF(I577&lt;128,"Connect "&amp;I577,INDEX(KdoCodeTab,MATCH(I577,KdoWertTab,0)))),"ReadStat "&amp;H577))</f>
        <v>MarkCmd</v>
      </c>
      <c r="K577" t="str">
        <f t="shared" si="101"/>
        <v/>
      </c>
      <c r="L577" t="str">
        <f t="shared" si="102"/>
        <v/>
      </c>
      <c r="M577" t="str">
        <f t="shared" si="103"/>
        <v>MarkCmd</v>
      </c>
    </row>
    <row r="578" spans="1:13" x14ac:dyDescent="0.25">
      <c r="A578" t="s">
        <v>153</v>
      </c>
      <c r="B578" s="6">
        <f t="shared" si="93"/>
        <v>4.4850000000000003</v>
      </c>
      <c r="C578" s="9">
        <f t="shared" si="94"/>
        <v>1.000000000000334</v>
      </c>
      <c r="D578" s="8" t="str">
        <f t="shared" si="95"/>
        <v>W</v>
      </c>
      <c r="E578" s="3">
        <f t="shared" si="96"/>
        <v>101</v>
      </c>
      <c r="F578" s="3" t="str">
        <f t="shared" si="97"/>
        <v>ack</v>
      </c>
      <c r="G578" s="3" t="str">
        <f t="shared" si="98"/>
        <v>9A</v>
      </c>
      <c r="H578" s="3" t="str">
        <f t="shared" si="99"/>
        <v/>
      </c>
      <c r="I578" s="3">
        <f t="shared" si="100"/>
        <v>154</v>
      </c>
      <c r="J578" s="5" t="str">
        <f>IF(E578=0,"Broadcast",IF(H578="",IF(I578="","",IF(I578&lt;128,"Connect "&amp;I578,INDEX(KdoCodeTab,MATCH(I578,KdoWertTab,0)))),"ReadStat "&amp;H578))</f>
        <v>RepMarkCmd</v>
      </c>
      <c r="K578" t="str">
        <f t="shared" si="101"/>
        <v/>
      </c>
      <c r="L578" t="str">
        <f t="shared" si="102"/>
        <v/>
      </c>
      <c r="M578" t="str">
        <f t="shared" si="103"/>
        <v>RepMarkCmd</v>
      </c>
    </row>
    <row r="579" spans="1:13" x14ac:dyDescent="0.25">
      <c r="A579" t="s">
        <v>154</v>
      </c>
      <c r="B579" s="6">
        <f t="shared" si="93"/>
        <v>4.5133333333333336</v>
      </c>
      <c r="C579" s="9">
        <f t="shared" si="94"/>
        <v>28.333333333333321</v>
      </c>
      <c r="D579" s="8" t="str">
        <f t="shared" si="95"/>
        <v>W</v>
      </c>
      <c r="E579" s="3">
        <f t="shared" si="96"/>
        <v>101</v>
      </c>
      <c r="F579" s="3" t="str">
        <f t="shared" si="97"/>
        <v>ack</v>
      </c>
      <c r="G579" s="3" t="str">
        <f t="shared" si="98"/>
        <v>93</v>
      </c>
      <c r="H579" s="3" t="str">
        <f t="shared" si="99"/>
        <v/>
      </c>
      <c r="I579" s="3">
        <f t="shared" si="100"/>
        <v>147</v>
      </c>
      <c r="J579" s="5" t="str">
        <f>IF(E579=0,"Broadcast",IF(H579="",IF(I579="","",IF(I579&lt;128,"Connect "&amp;I579,INDEX(KdoCodeTab,MATCH(I579,KdoWertTab,0)))),"ReadStat "&amp;H579))</f>
        <v>SpaceCmd</v>
      </c>
      <c r="K579" t="str">
        <f t="shared" si="101"/>
        <v/>
      </c>
      <c r="L579" t="str">
        <f t="shared" si="102"/>
        <v/>
      </c>
      <c r="M579" t="str">
        <f t="shared" si="103"/>
        <v>SpaceCmd</v>
      </c>
    </row>
    <row r="580" spans="1:13" x14ac:dyDescent="0.25">
      <c r="A580" t="s">
        <v>155</v>
      </c>
      <c r="B580" s="6">
        <f t="shared" si="93"/>
        <v>4.514333333333334</v>
      </c>
      <c r="C580" s="9">
        <f t="shared" si="94"/>
        <v>1.000000000000334</v>
      </c>
      <c r="D580" s="8" t="str">
        <f t="shared" si="95"/>
        <v>W</v>
      </c>
      <c r="E580" s="3">
        <f t="shared" si="96"/>
        <v>101</v>
      </c>
      <c r="F580" s="3" t="str">
        <f t="shared" si="97"/>
        <v>ack</v>
      </c>
      <c r="G580" s="3" t="str">
        <f t="shared" si="98"/>
        <v>96</v>
      </c>
      <c r="H580" s="3" t="str">
        <f t="shared" si="99"/>
        <v/>
      </c>
      <c r="I580" s="3">
        <f t="shared" si="100"/>
        <v>150</v>
      </c>
      <c r="J580" s="5" t="str">
        <f>IF(E580=0,"Broadcast",IF(H580="",IF(I580="","",IF(I580&lt;128,"Connect "&amp;I580,INDEX(KdoCodeTab,MATCH(I580,KdoWertTab,0)))),"ReadStat "&amp;H580))</f>
        <v>RepSpaceCmd</v>
      </c>
      <c r="K580" t="str">
        <f t="shared" si="101"/>
        <v/>
      </c>
      <c r="L580" t="str">
        <f t="shared" si="102"/>
        <v/>
      </c>
      <c r="M580" t="str">
        <f t="shared" si="103"/>
        <v>RepSpaceCmd</v>
      </c>
    </row>
    <row r="581" spans="1:13" x14ac:dyDescent="0.25">
      <c r="A581" t="s">
        <v>156</v>
      </c>
      <c r="B581" s="6">
        <f t="shared" ref="B581:B644" si="104">MID(A581,1,5)/1000+(CODE(MID(A581,6,1))-CODE("a"))/6000</f>
        <v>4.5305</v>
      </c>
      <c r="C581" s="9">
        <f t="shared" ref="C581:C644" si="105">(B581-B580+IF(B581&gt;B580,0,11))*1000</f>
        <v>16.166666666665996</v>
      </c>
      <c r="D581" s="8" t="str">
        <f t="shared" ref="D581:D644" si="106">IF(MID(A581,10,1)="&lt;","R",IF(MID(A581,10,1)="&gt;","W","?"))</f>
        <v>W</v>
      </c>
      <c r="E581" s="3">
        <f t="shared" ref="E581:E644" si="107">INT(HEX2DEC(MID(A581,8,2))/2)</f>
        <v>101</v>
      </c>
      <c r="F581" s="3" t="str">
        <f t="shared" ref="F581:F644" si="108">IF(MID(A581,11,1)="+","ack","NACK")</f>
        <v>ack</v>
      </c>
      <c r="G581" s="3" t="str">
        <f t="shared" ref="G581:G644" si="109">IF(F581="ack",SUBSTITUTE(MID(A581,12,LEN(A581)-12),"+","  "),"")</f>
        <v>A9</v>
      </c>
      <c r="H581" s="3" t="str">
        <f t="shared" ref="H581:H644" si="110">IF(MID(A581,10,2)="&lt;+",MID(A581,12,2),"")</f>
        <v/>
      </c>
      <c r="I581" s="3">
        <f t="shared" ref="I581:I644" si="111">IF(MID(A581,10,2)="&gt;+",HEX2DEC(MID(A581,12,2)),"")</f>
        <v>169</v>
      </c>
      <c r="J581" s="5" t="str">
        <f>IF(E581=0,"Broadcast",IF(H581="",IF(I581="","",IF(I581&lt;128,"Connect "&amp;I581,INDEX(KdoCodeTab,MATCH(I581,KdoWertTab,0)))),"ReadStat "&amp;H581))</f>
        <v>Heartbeat</v>
      </c>
      <c r="K581" t="str">
        <f t="shared" si="101"/>
        <v/>
      </c>
      <c r="L581" t="str">
        <f t="shared" si="102"/>
        <v/>
      </c>
      <c r="M581" t="str">
        <f t="shared" si="103"/>
        <v>Heartbeat</v>
      </c>
    </row>
    <row r="582" spans="1:13" x14ac:dyDescent="0.25">
      <c r="A582" t="s">
        <v>157</v>
      </c>
      <c r="B582" s="6">
        <f t="shared" si="104"/>
        <v>4.5335000000000001</v>
      </c>
      <c r="C582" s="9">
        <f t="shared" si="105"/>
        <v>3.0000000000001137</v>
      </c>
      <c r="D582" s="8" t="str">
        <f t="shared" si="106"/>
        <v>W</v>
      </c>
      <c r="E582" s="3">
        <f t="shared" si="107"/>
        <v>101</v>
      </c>
      <c r="F582" s="3" t="str">
        <f t="shared" si="108"/>
        <v>ack</v>
      </c>
      <c r="G582" s="3" t="str">
        <f t="shared" si="109"/>
        <v>9C</v>
      </c>
      <c r="H582" s="3" t="str">
        <f t="shared" si="110"/>
        <v/>
      </c>
      <c r="I582" s="3">
        <f t="shared" si="111"/>
        <v>156</v>
      </c>
      <c r="J582" s="5" t="str">
        <f>IF(E582=0,"Broadcast",IF(H582="",IF(I582="","",IF(I582&lt;128,"Connect "&amp;I582,INDEX(KdoCodeTab,MATCH(I582,KdoWertTab,0)))),"ReadStat "&amp;H582))</f>
        <v>MarkCmd</v>
      </c>
      <c r="K582" t="str">
        <f t="shared" si="101"/>
        <v/>
      </c>
      <c r="L582" t="str">
        <f t="shared" si="102"/>
        <v/>
      </c>
      <c r="M582" t="str">
        <f t="shared" si="103"/>
        <v>MarkCmd</v>
      </c>
    </row>
    <row r="583" spans="1:13" x14ac:dyDescent="0.25">
      <c r="A583" t="s">
        <v>158</v>
      </c>
      <c r="B583" s="6">
        <f t="shared" si="104"/>
        <v>4.5344999999999995</v>
      </c>
      <c r="C583" s="9">
        <f t="shared" si="105"/>
        <v>0.99999999999944578</v>
      </c>
      <c r="D583" s="8" t="str">
        <f t="shared" si="106"/>
        <v>W</v>
      </c>
      <c r="E583" s="3">
        <f t="shared" si="107"/>
        <v>101</v>
      </c>
      <c r="F583" s="3" t="str">
        <f t="shared" si="108"/>
        <v>ack</v>
      </c>
      <c r="G583" s="3" t="str">
        <f t="shared" si="109"/>
        <v>9A</v>
      </c>
      <c r="H583" s="3" t="str">
        <f t="shared" si="110"/>
        <v/>
      </c>
      <c r="I583" s="3">
        <f t="shared" si="111"/>
        <v>154</v>
      </c>
      <c r="J583" s="5" t="str">
        <f>IF(E583=0,"Broadcast",IF(H583="",IF(I583="","",IF(I583&lt;128,"Connect "&amp;I583,INDEX(KdoCodeTab,MATCH(I583,KdoWertTab,0)))),"ReadStat "&amp;H583))</f>
        <v>RepMarkCmd</v>
      </c>
      <c r="K583" t="str">
        <f t="shared" si="101"/>
        <v/>
      </c>
      <c r="L583" t="str">
        <f t="shared" si="102"/>
        <v/>
      </c>
      <c r="M583" t="str">
        <f t="shared" si="103"/>
        <v>RepMarkCmd</v>
      </c>
    </row>
    <row r="584" spans="1:13" x14ac:dyDescent="0.25">
      <c r="A584" t="s">
        <v>159</v>
      </c>
      <c r="B584" s="6">
        <f t="shared" si="104"/>
        <v>4.6589999999999998</v>
      </c>
      <c r="C584" s="9">
        <f t="shared" si="105"/>
        <v>124.50000000000028</v>
      </c>
      <c r="D584" s="8" t="str">
        <f t="shared" si="106"/>
        <v>W</v>
      </c>
      <c r="E584" s="3">
        <f t="shared" si="107"/>
        <v>31</v>
      </c>
      <c r="F584" s="3" t="str">
        <f t="shared" si="108"/>
        <v>ack</v>
      </c>
      <c r="G584" s="3" t="str">
        <f t="shared" si="109"/>
        <v>9A</v>
      </c>
      <c r="H584" s="3" t="str">
        <f t="shared" si="110"/>
        <v/>
      </c>
      <c r="I584" s="3">
        <f t="shared" si="111"/>
        <v>154</v>
      </c>
      <c r="J584" s="5" t="str">
        <f>IF(E584=0,"Broadcast",IF(H584="",IF(I584="","",IF(I584&lt;128,"Connect "&amp;I584,INDEX(KdoCodeTab,MATCH(I584,KdoWertTab,0)))),"ReadStat "&amp;H584))</f>
        <v>RepMarkCmd</v>
      </c>
      <c r="K584" t="str">
        <f t="shared" si="101"/>
        <v/>
      </c>
      <c r="L584" t="str">
        <f t="shared" si="102"/>
        <v>RepMarkCmd</v>
      </c>
      <c r="M584" t="str">
        <f t="shared" si="103"/>
        <v/>
      </c>
    </row>
    <row r="585" spans="1:13" x14ac:dyDescent="0.25">
      <c r="A585" t="s">
        <v>160</v>
      </c>
      <c r="B585" s="6">
        <f t="shared" si="104"/>
        <v>5.165</v>
      </c>
      <c r="C585" s="9">
        <f t="shared" si="105"/>
        <v>506.00000000000023</v>
      </c>
      <c r="D585" s="8" t="str">
        <f t="shared" si="106"/>
        <v>W</v>
      </c>
      <c r="E585" s="3">
        <f t="shared" si="107"/>
        <v>31</v>
      </c>
      <c r="F585" s="3" t="str">
        <f t="shared" si="108"/>
        <v>ack</v>
      </c>
      <c r="G585" s="3" t="str">
        <f t="shared" si="109"/>
        <v>9A</v>
      </c>
      <c r="H585" s="3" t="str">
        <f t="shared" si="110"/>
        <v/>
      </c>
      <c r="I585" s="3">
        <f t="shared" si="111"/>
        <v>154</v>
      </c>
      <c r="J585" s="5" t="str">
        <f>IF(E585=0,"Broadcast",IF(H585="",IF(I585="","",IF(I585&lt;128,"Connect "&amp;I585,INDEX(KdoCodeTab,MATCH(I585,KdoWertTab,0)))),"ReadStat "&amp;H585))</f>
        <v>RepMarkCmd</v>
      </c>
      <c r="K585" t="str">
        <f t="shared" si="101"/>
        <v/>
      </c>
      <c r="L585" t="str">
        <f t="shared" si="102"/>
        <v>RepMarkCmd</v>
      </c>
      <c r="M585" t="str">
        <f t="shared" si="103"/>
        <v/>
      </c>
    </row>
    <row r="586" spans="1:13" x14ac:dyDescent="0.25">
      <c r="A586" t="s">
        <v>161</v>
      </c>
      <c r="B586" s="6">
        <f t="shared" si="104"/>
        <v>5.2123333333333335</v>
      </c>
      <c r="C586" s="9">
        <f t="shared" si="105"/>
        <v>47.333333333333449</v>
      </c>
      <c r="D586" s="8" t="str">
        <f t="shared" si="106"/>
        <v>W</v>
      </c>
      <c r="E586" s="3">
        <f t="shared" si="107"/>
        <v>101</v>
      </c>
      <c r="F586" s="3" t="str">
        <f t="shared" si="108"/>
        <v>ack</v>
      </c>
      <c r="G586" s="3" t="str">
        <f t="shared" si="109"/>
        <v>A9</v>
      </c>
      <c r="H586" s="3" t="str">
        <f t="shared" si="110"/>
        <v/>
      </c>
      <c r="I586" s="3">
        <f t="shared" si="111"/>
        <v>169</v>
      </c>
      <c r="J586" s="5" t="str">
        <f>IF(E586=0,"Broadcast",IF(H586="",IF(I586="","",IF(I586&lt;128,"Connect "&amp;I586,INDEX(KdoCodeTab,MATCH(I586,KdoWertTab,0)))),"ReadStat "&amp;H586))</f>
        <v>Heartbeat</v>
      </c>
      <c r="K586" t="str">
        <f t="shared" si="101"/>
        <v/>
      </c>
      <c r="L586" t="str">
        <f t="shared" si="102"/>
        <v/>
      </c>
      <c r="M586" t="str">
        <f t="shared" si="103"/>
        <v>Heartbeat</v>
      </c>
    </row>
    <row r="587" spans="1:13" x14ac:dyDescent="0.25">
      <c r="A587" t="s">
        <v>162</v>
      </c>
      <c r="B587" s="6">
        <f t="shared" si="104"/>
        <v>5.2983333333333338</v>
      </c>
      <c r="C587" s="9">
        <f t="shared" si="105"/>
        <v>86.000000000000298</v>
      </c>
      <c r="D587" s="8" t="str">
        <f t="shared" si="106"/>
        <v>W</v>
      </c>
      <c r="E587" s="3">
        <f t="shared" si="107"/>
        <v>101</v>
      </c>
      <c r="F587" s="3" t="str">
        <f t="shared" si="108"/>
        <v>ack</v>
      </c>
      <c r="G587" s="3" t="str">
        <f t="shared" si="109"/>
        <v>93</v>
      </c>
      <c r="H587" s="3" t="str">
        <f t="shared" si="110"/>
        <v/>
      </c>
      <c r="I587" s="3">
        <f t="shared" si="111"/>
        <v>147</v>
      </c>
      <c r="J587" s="5" t="str">
        <f>IF(E587=0,"Broadcast",IF(H587="",IF(I587="","",IF(I587&lt;128,"Connect "&amp;I587,INDEX(KdoCodeTab,MATCH(I587,KdoWertTab,0)))),"ReadStat "&amp;H587))</f>
        <v>SpaceCmd</v>
      </c>
      <c r="K587" t="str">
        <f t="shared" si="101"/>
        <v/>
      </c>
      <c r="L587" t="str">
        <f t="shared" si="102"/>
        <v/>
      </c>
      <c r="M587" t="str">
        <f t="shared" si="103"/>
        <v>SpaceCmd</v>
      </c>
    </row>
    <row r="588" spans="1:13" x14ac:dyDescent="0.25">
      <c r="A588" t="s">
        <v>163</v>
      </c>
      <c r="B588" s="6">
        <f t="shared" si="104"/>
        <v>5.2993333333333341</v>
      </c>
      <c r="C588" s="9">
        <f t="shared" si="105"/>
        <v>1.000000000000334</v>
      </c>
      <c r="D588" s="8" t="str">
        <f t="shared" si="106"/>
        <v>W</v>
      </c>
      <c r="E588" s="3">
        <f t="shared" si="107"/>
        <v>101</v>
      </c>
      <c r="F588" s="3" t="str">
        <f t="shared" si="108"/>
        <v>ack</v>
      </c>
      <c r="G588" s="3" t="str">
        <f t="shared" si="109"/>
        <v>96</v>
      </c>
      <c r="H588" s="3" t="str">
        <f t="shared" si="110"/>
        <v/>
      </c>
      <c r="I588" s="3">
        <f t="shared" si="111"/>
        <v>150</v>
      </c>
      <c r="J588" s="5" t="str">
        <f>IF(E588=0,"Broadcast",IF(H588="",IF(I588="","",IF(I588&lt;128,"Connect "&amp;I588,INDEX(KdoCodeTab,MATCH(I588,KdoWertTab,0)))),"ReadStat "&amp;H588))</f>
        <v>RepSpaceCmd</v>
      </c>
      <c r="K588" t="str">
        <f t="shared" si="101"/>
        <v/>
      </c>
      <c r="L588" t="str">
        <f t="shared" si="102"/>
        <v/>
      </c>
      <c r="M588" t="str">
        <f t="shared" si="103"/>
        <v>RepSpaceCmd</v>
      </c>
    </row>
    <row r="589" spans="1:13" x14ac:dyDescent="0.25">
      <c r="A589" t="s">
        <v>164</v>
      </c>
      <c r="B589" s="6">
        <f t="shared" si="104"/>
        <v>5.378166666666667</v>
      </c>
      <c r="C589" s="9">
        <f t="shared" si="105"/>
        <v>78.83333333333286</v>
      </c>
      <c r="D589" s="8" t="str">
        <f t="shared" si="106"/>
        <v>W</v>
      </c>
      <c r="E589" s="3">
        <f t="shared" si="107"/>
        <v>101</v>
      </c>
      <c r="F589" s="3" t="str">
        <f t="shared" si="108"/>
        <v>ack</v>
      </c>
      <c r="G589" s="3" t="str">
        <f t="shared" si="109"/>
        <v>9C</v>
      </c>
      <c r="H589" s="3" t="str">
        <f t="shared" si="110"/>
        <v/>
      </c>
      <c r="I589" s="3">
        <f t="shared" si="111"/>
        <v>156</v>
      </c>
      <c r="J589" s="5" t="str">
        <f>IF(E589=0,"Broadcast",IF(H589="",IF(I589="","",IF(I589&lt;128,"Connect "&amp;I589,INDEX(KdoCodeTab,MATCH(I589,KdoWertTab,0)))),"ReadStat "&amp;H589))</f>
        <v>MarkCmd</v>
      </c>
      <c r="K589" t="str">
        <f t="shared" si="101"/>
        <v/>
      </c>
      <c r="L589" t="str">
        <f t="shared" si="102"/>
        <v/>
      </c>
      <c r="M589" t="str">
        <f t="shared" si="103"/>
        <v>MarkCmd</v>
      </c>
    </row>
    <row r="590" spans="1:13" x14ac:dyDescent="0.25">
      <c r="A590" t="s">
        <v>165</v>
      </c>
      <c r="B590" s="6">
        <f t="shared" si="104"/>
        <v>5.3789999999999996</v>
      </c>
      <c r="C590" s="9">
        <f t="shared" si="105"/>
        <v>0.83333333333257542</v>
      </c>
      <c r="D590" s="8" t="str">
        <f t="shared" si="106"/>
        <v>W</v>
      </c>
      <c r="E590" s="3">
        <f t="shared" si="107"/>
        <v>101</v>
      </c>
      <c r="F590" s="3" t="str">
        <f t="shared" si="108"/>
        <v>ack</v>
      </c>
      <c r="G590" s="3" t="str">
        <f t="shared" si="109"/>
        <v>9A</v>
      </c>
      <c r="H590" s="3" t="str">
        <f t="shared" si="110"/>
        <v/>
      </c>
      <c r="I590" s="3">
        <f t="shared" si="111"/>
        <v>154</v>
      </c>
      <c r="J590" s="5" t="str">
        <f>IF(E590=0,"Broadcast",IF(H590="",IF(I590="","",IF(I590&lt;128,"Connect "&amp;I590,INDEX(KdoCodeTab,MATCH(I590,KdoWertTab,0)))),"ReadStat "&amp;H590))</f>
        <v>RepMarkCmd</v>
      </c>
      <c r="K590" t="str">
        <f t="shared" si="101"/>
        <v/>
      </c>
      <c r="L590" t="str">
        <f t="shared" si="102"/>
        <v/>
      </c>
      <c r="M590" t="str">
        <f t="shared" si="103"/>
        <v>RepMarkCmd</v>
      </c>
    </row>
    <row r="591" spans="1:13" x14ac:dyDescent="0.25">
      <c r="A591" t="s">
        <v>166</v>
      </c>
      <c r="B591" s="6">
        <f t="shared" si="104"/>
        <v>5.3983333333333334</v>
      </c>
      <c r="C591" s="9">
        <f t="shared" si="105"/>
        <v>19.333333333333869</v>
      </c>
      <c r="D591" s="8" t="str">
        <f t="shared" si="106"/>
        <v>W</v>
      </c>
      <c r="E591" s="3">
        <f t="shared" si="107"/>
        <v>101</v>
      </c>
      <c r="F591" s="3" t="str">
        <f t="shared" si="108"/>
        <v>ack</v>
      </c>
      <c r="G591" s="3" t="str">
        <f t="shared" si="109"/>
        <v>93</v>
      </c>
      <c r="H591" s="3" t="str">
        <f t="shared" si="110"/>
        <v/>
      </c>
      <c r="I591" s="3">
        <f t="shared" si="111"/>
        <v>147</v>
      </c>
      <c r="J591" s="5" t="str">
        <f>IF(E591=0,"Broadcast",IF(H591="",IF(I591="","",IF(I591&lt;128,"Connect "&amp;I591,INDEX(KdoCodeTab,MATCH(I591,KdoWertTab,0)))),"ReadStat "&amp;H591))</f>
        <v>SpaceCmd</v>
      </c>
      <c r="K591" t="str">
        <f t="shared" si="101"/>
        <v/>
      </c>
      <c r="L591" t="str">
        <f t="shared" si="102"/>
        <v/>
      </c>
      <c r="M591" t="str">
        <f t="shared" si="103"/>
        <v>SpaceCmd</v>
      </c>
    </row>
    <row r="592" spans="1:13" x14ac:dyDescent="0.25">
      <c r="A592" t="s">
        <v>167</v>
      </c>
      <c r="B592" s="6">
        <f t="shared" si="104"/>
        <v>5.3991666666666669</v>
      </c>
      <c r="C592" s="9">
        <f t="shared" si="105"/>
        <v>0.8333333333334636</v>
      </c>
      <c r="D592" s="8" t="str">
        <f t="shared" si="106"/>
        <v>W</v>
      </c>
      <c r="E592" s="3">
        <f t="shared" si="107"/>
        <v>101</v>
      </c>
      <c r="F592" s="3" t="str">
        <f t="shared" si="108"/>
        <v>ack</v>
      </c>
      <c r="G592" s="3" t="str">
        <f t="shared" si="109"/>
        <v>96</v>
      </c>
      <c r="H592" s="3" t="str">
        <f t="shared" si="110"/>
        <v/>
      </c>
      <c r="I592" s="3">
        <f t="shared" si="111"/>
        <v>150</v>
      </c>
      <c r="J592" s="5" t="str">
        <f>IF(E592=0,"Broadcast",IF(H592="",IF(I592="","",IF(I592&lt;128,"Connect "&amp;I592,INDEX(KdoCodeTab,MATCH(I592,KdoWertTab,0)))),"ReadStat "&amp;H592))</f>
        <v>RepSpaceCmd</v>
      </c>
      <c r="K592" t="str">
        <f t="shared" si="101"/>
        <v/>
      </c>
      <c r="L592" t="str">
        <f t="shared" si="102"/>
        <v/>
      </c>
      <c r="M592" t="str">
        <f t="shared" si="103"/>
        <v>RepSpaceCmd</v>
      </c>
    </row>
    <row r="593" spans="1:13" x14ac:dyDescent="0.25">
      <c r="A593" t="s">
        <v>168</v>
      </c>
      <c r="B593" s="6">
        <f t="shared" si="104"/>
        <v>5.4186666666666667</v>
      </c>
      <c r="C593" s="9">
        <f t="shared" si="105"/>
        <v>19.499999999999851</v>
      </c>
      <c r="D593" s="8" t="str">
        <f t="shared" si="106"/>
        <v>W</v>
      </c>
      <c r="E593" s="3">
        <f t="shared" si="107"/>
        <v>101</v>
      </c>
      <c r="F593" s="3" t="str">
        <f t="shared" si="108"/>
        <v>ack</v>
      </c>
      <c r="G593" s="3" t="str">
        <f t="shared" si="109"/>
        <v>9C</v>
      </c>
      <c r="H593" s="3" t="str">
        <f t="shared" si="110"/>
        <v/>
      </c>
      <c r="I593" s="3">
        <f t="shared" si="111"/>
        <v>156</v>
      </c>
      <c r="J593" s="5" t="str">
        <f>IF(E593=0,"Broadcast",IF(H593="",IF(I593="","",IF(I593&lt;128,"Connect "&amp;I593,INDEX(KdoCodeTab,MATCH(I593,KdoWertTab,0)))),"ReadStat "&amp;H593))</f>
        <v>MarkCmd</v>
      </c>
      <c r="K593" t="str">
        <f t="shared" si="101"/>
        <v/>
      </c>
      <c r="L593" t="str">
        <f t="shared" si="102"/>
        <v/>
      </c>
      <c r="M593" t="str">
        <f t="shared" si="103"/>
        <v>MarkCmd</v>
      </c>
    </row>
    <row r="594" spans="1:13" x14ac:dyDescent="0.25">
      <c r="A594" t="s">
        <v>169</v>
      </c>
      <c r="B594" s="6">
        <f t="shared" si="104"/>
        <v>5.4194999999999993</v>
      </c>
      <c r="C594" s="9">
        <f t="shared" si="105"/>
        <v>0.83333333333257542</v>
      </c>
      <c r="D594" s="8" t="str">
        <f t="shared" si="106"/>
        <v>W</v>
      </c>
      <c r="E594" s="3">
        <f t="shared" si="107"/>
        <v>101</v>
      </c>
      <c r="F594" s="3" t="str">
        <f t="shared" si="108"/>
        <v>ack</v>
      </c>
      <c r="G594" s="3" t="str">
        <f t="shared" si="109"/>
        <v>9A</v>
      </c>
      <c r="H594" s="3" t="str">
        <f t="shared" si="110"/>
        <v/>
      </c>
      <c r="I594" s="3">
        <f t="shared" si="111"/>
        <v>154</v>
      </c>
      <c r="J594" s="5" t="str">
        <f>IF(E594=0,"Broadcast",IF(H594="",IF(I594="","",IF(I594&lt;128,"Connect "&amp;I594,INDEX(KdoCodeTab,MATCH(I594,KdoWertTab,0)))),"ReadStat "&amp;H594))</f>
        <v>RepMarkCmd</v>
      </c>
      <c r="K594" t="str">
        <f t="shared" si="101"/>
        <v/>
      </c>
      <c r="L594" t="str">
        <f t="shared" si="102"/>
        <v/>
      </c>
      <c r="M594" t="str">
        <f t="shared" si="103"/>
        <v>RepMarkCmd</v>
      </c>
    </row>
    <row r="595" spans="1:13" x14ac:dyDescent="0.25">
      <c r="A595" t="s">
        <v>170</v>
      </c>
      <c r="B595" s="6">
        <f t="shared" si="104"/>
        <v>5.5356666666666667</v>
      </c>
      <c r="C595" s="9">
        <f t="shared" si="105"/>
        <v>116.16666666666742</v>
      </c>
      <c r="D595" s="8" t="str">
        <f t="shared" si="106"/>
        <v>W</v>
      </c>
      <c r="E595" s="3">
        <f t="shared" si="107"/>
        <v>101</v>
      </c>
      <c r="F595" s="3" t="str">
        <f t="shared" si="108"/>
        <v>ack</v>
      </c>
      <c r="G595" s="3" t="str">
        <f t="shared" si="109"/>
        <v>93</v>
      </c>
      <c r="H595" s="3" t="str">
        <f t="shared" si="110"/>
        <v/>
      </c>
      <c r="I595" s="3">
        <f t="shared" si="111"/>
        <v>147</v>
      </c>
      <c r="J595" s="5" t="str">
        <f>IF(E595=0,"Broadcast",IF(H595="",IF(I595="","",IF(I595&lt;128,"Connect "&amp;I595,INDEX(KdoCodeTab,MATCH(I595,KdoWertTab,0)))),"ReadStat "&amp;H595))</f>
        <v>SpaceCmd</v>
      </c>
      <c r="K595" t="str">
        <f t="shared" si="101"/>
        <v/>
      </c>
      <c r="L595" t="str">
        <f t="shared" si="102"/>
        <v/>
      </c>
      <c r="M595" t="str">
        <f t="shared" si="103"/>
        <v>SpaceCmd</v>
      </c>
    </row>
    <row r="596" spans="1:13" x14ac:dyDescent="0.25">
      <c r="A596" t="s">
        <v>171</v>
      </c>
      <c r="B596" s="6">
        <f t="shared" si="104"/>
        <v>5.5366666666666662</v>
      </c>
      <c r="C596" s="9">
        <f t="shared" si="105"/>
        <v>0.99999999999944578</v>
      </c>
      <c r="D596" s="8" t="str">
        <f t="shared" si="106"/>
        <v>W</v>
      </c>
      <c r="E596" s="3">
        <f t="shared" si="107"/>
        <v>101</v>
      </c>
      <c r="F596" s="3" t="str">
        <f t="shared" si="108"/>
        <v>ack</v>
      </c>
      <c r="G596" s="3" t="str">
        <f t="shared" si="109"/>
        <v>96</v>
      </c>
      <c r="H596" s="3" t="str">
        <f t="shared" si="110"/>
        <v/>
      </c>
      <c r="I596" s="3">
        <f t="shared" si="111"/>
        <v>150</v>
      </c>
      <c r="J596" s="5" t="str">
        <f>IF(E596=0,"Broadcast",IF(H596="",IF(I596="","",IF(I596&lt;128,"Connect "&amp;I596,INDEX(KdoCodeTab,MATCH(I596,KdoWertTab,0)))),"ReadStat "&amp;H596))</f>
        <v>RepSpaceCmd</v>
      </c>
      <c r="K596" t="str">
        <f t="shared" si="101"/>
        <v/>
      </c>
      <c r="L596" t="str">
        <f t="shared" si="102"/>
        <v/>
      </c>
      <c r="M596" t="str">
        <f t="shared" si="103"/>
        <v>RepSpaceCmd</v>
      </c>
    </row>
    <row r="597" spans="1:13" x14ac:dyDescent="0.25">
      <c r="A597" t="s">
        <v>172</v>
      </c>
      <c r="B597" s="6">
        <f t="shared" si="104"/>
        <v>5.5761666666666665</v>
      </c>
      <c r="C597" s="9">
        <f t="shared" si="105"/>
        <v>39.500000000000313</v>
      </c>
      <c r="D597" s="8" t="str">
        <f t="shared" si="106"/>
        <v>W</v>
      </c>
      <c r="E597" s="3">
        <f t="shared" si="107"/>
        <v>101</v>
      </c>
      <c r="F597" s="3" t="str">
        <f t="shared" si="108"/>
        <v>ack</v>
      </c>
      <c r="G597" s="3" t="str">
        <f t="shared" si="109"/>
        <v>9C</v>
      </c>
      <c r="H597" s="3" t="str">
        <f t="shared" si="110"/>
        <v/>
      </c>
      <c r="I597" s="3">
        <f t="shared" si="111"/>
        <v>156</v>
      </c>
      <c r="J597" s="5" t="str">
        <f>IF(E597=0,"Broadcast",IF(H597="",IF(I597="","",IF(I597&lt;128,"Connect "&amp;I597,INDEX(KdoCodeTab,MATCH(I597,KdoWertTab,0)))),"ReadStat "&amp;H597))</f>
        <v>MarkCmd</v>
      </c>
      <c r="K597" t="str">
        <f t="shared" si="101"/>
        <v/>
      </c>
      <c r="L597" t="str">
        <f t="shared" si="102"/>
        <v/>
      </c>
      <c r="M597" t="str">
        <f t="shared" si="103"/>
        <v>MarkCmd</v>
      </c>
    </row>
    <row r="598" spans="1:13" x14ac:dyDescent="0.25">
      <c r="A598" t="s">
        <v>173</v>
      </c>
      <c r="B598" s="6">
        <f t="shared" si="104"/>
        <v>5.5771666666666668</v>
      </c>
      <c r="C598" s="9">
        <f t="shared" si="105"/>
        <v>1.000000000000334</v>
      </c>
      <c r="D598" s="8" t="str">
        <f t="shared" si="106"/>
        <v>W</v>
      </c>
      <c r="E598" s="3">
        <f t="shared" si="107"/>
        <v>101</v>
      </c>
      <c r="F598" s="3" t="str">
        <f t="shared" si="108"/>
        <v>ack</v>
      </c>
      <c r="G598" s="3" t="str">
        <f t="shared" si="109"/>
        <v>9A</v>
      </c>
      <c r="H598" s="3" t="str">
        <f t="shared" si="110"/>
        <v/>
      </c>
      <c r="I598" s="3">
        <f t="shared" si="111"/>
        <v>154</v>
      </c>
      <c r="J598" s="5" t="str">
        <f>IF(E598=0,"Broadcast",IF(H598="",IF(I598="","",IF(I598&lt;128,"Connect "&amp;I598,INDEX(KdoCodeTab,MATCH(I598,KdoWertTab,0)))),"ReadStat "&amp;H598))</f>
        <v>RepMarkCmd</v>
      </c>
      <c r="K598" t="str">
        <f t="shared" si="101"/>
        <v/>
      </c>
      <c r="L598" t="str">
        <f t="shared" si="102"/>
        <v/>
      </c>
      <c r="M598" t="str">
        <f t="shared" si="103"/>
        <v>RepMarkCmd</v>
      </c>
    </row>
    <row r="599" spans="1:13" x14ac:dyDescent="0.25">
      <c r="A599" t="s">
        <v>174</v>
      </c>
      <c r="B599" s="6">
        <f t="shared" si="104"/>
        <v>5.5963333333333338</v>
      </c>
      <c r="C599" s="9">
        <f t="shared" si="105"/>
        <v>19.166666666666998</v>
      </c>
      <c r="D599" s="8" t="str">
        <f t="shared" si="106"/>
        <v>W</v>
      </c>
      <c r="E599" s="3">
        <f t="shared" si="107"/>
        <v>101</v>
      </c>
      <c r="F599" s="3" t="str">
        <f t="shared" si="108"/>
        <v>ack</v>
      </c>
      <c r="G599" s="3" t="str">
        <f t="shared" si="109"/>
        <v>93</v>
      </c>
      <c r="H599" s="3" t="str">
        <f t="shared" si="110"/>
        <v/>
      </c>
      <c r="I599" s="3">
        <f t="shared" si="111"/>
        <v>147</v>
      </c>
      <c r="J599" s="5" t="str">
        <f>IF(E599=0,"Broadcast",IF(H599="",IF(I599="","",IF(I599&lt;128,"Connect "&amp;I599,INDEX(KdoCodeTab,MATCH(I599,KdoWertTab,0)))),"ReadStat "&amp;H599))</f>
        <v>SpaceCmd</v>
      </c>
      <c r="K599" t="str">
        <f t="shared" si="101"/>
        <v/>
      </c>
      <c r="L599" t="str">
        <f t="shared" si="102"/>
        <v/>
      </c>
      <c r="M599" t="str">
        <f t="shared" si="103"/>
        <v>SpaceCmd</v>
      </c>
    </row>
    <row r="600" spans="1:13" x14ac:dyDescent="0.25">
      <c r="A600" t="s">
        <v>175</v>
      </c>
      <c r="B600" s="6">
        <f t="shared" si="104"/>
        <v>5.5973333333333342</v>
      </c>
      <c r="C600" s="9">
        <f t="shared" si="105"/>
        <v>1.000000000000334</v>
      </c>
      <c r="D600" s="8" t="str">
        <f t="shared" si="106"/>
        <v>W</v>
      </c>
      <c r="E600" s="3">
        <f t="shared" si="107"/>
        <v>101</v>
      </c>
      <c r="F600" s="3" t="str">
        <f t="shared" si="108"/>
        <v>ack</v>
      </c>
      <c r="G600" s="3" t="str">
        <f t="shared" si="109"/>
        <v>96</v>
      </c>
      <c r="H600" s="3" t="str">
        <f t="shared" si="110"/>
        <v/>
      </c>
      <c r="I600" s="3">
        <f t="shared" si="111"/>
        <v>150</v>
      </c>
      <c r="J600" s="5" t="str">
        <f>IF(E600=0,"Broadcast",IF(H600="",IF(I600="","",IF(I600&lt;128,"Connect "&amp;I600,INDEX(KdoCodeTab,MATCH(I600,KdoWertTab,0)))),"ReadStat "&amp;H600))</f>
        <v>RepSpaceCmd</v>
      </c>
      <c r="K600" t="str">
        <f t="shared" si="101"/>
        <v/>
      </c>
      <c r="L600" t="str">
        <f t="shared" si="102"/>
        <v/>
      </c>
      <c r="M600" t="str">
        <f t="shared" si="103"/>
        <v>RepSpaceCmd</v>
      </c>
    </row>
    <row r="601" spans="1:13" x14ac:dyDescent="0.25">
      <c r="A601" t="s">
        <v>176</v>
      </c>
      <c r="B601" s="6">
        <f t="shared" si="104"/>
        <v>5.6559999999999997</v>
      </c>
      <c r="C601" s="9">
        <f t="shared" si="105"/>
        <v>58.666666666665535</v>
      </c>
      <c r="D601" s="8" t="str">
        <f t="shared" si="106"/>
        <v>W</v>
      </c>
      <c r="E601" s="3">
        <f t="shared" si="107"/>
        <v>101</v>
      </c>
      <c r="F601" s="3" t="str">
        <f t="shared" si="108"/>
        <v>ack</v>
      </c>
      <c r="G601" s="3" t="str">
        <f t="shared" si="109"/>
        <v>9C</v>
      </c>
      <c r="H601" s="3" t="str">
        <f t="shared" si="110"/>
        <v/>
      </c>
      <c r="I601" s="3">
        <f t="shared" si="111"/>
        <v>156</v>
      </c>
      <c r="J601" s="5" t="str">
        <f>IF(E601=0,"Broadcast",IF(H601="",IF(I601="","",IF(I601&lt;128,"Connect "&amp;I601,INDEX(KdoCodeTab,MATCH(I601,KdoWertTab,0)))),"ReadStat "&amp;H601))</f>
        <v>MarkCmd</v>
      </c>
      <c r="K601" t="str">
        <f t="shared" si="101"/>
        <v/>
      </c>
      <c r="L601" t="str">
        <f t="shared" si="102"/>
        <v/>
      </c>
      <c r="M601" t="str">
        <f t="shared" si="103"/>
        <v>MarkCmd</v>
      </c>
    </row>
    <row r="602" spans="1:13" x14ac:dyDescent="0.25">
      <c r="A602" t="s">
        <v>177</v>
      </c>
      <c r="B602" s="6">
        <f t="shared" si="104"/>
        <v>5.6568333333333332</v>
      </c>
      <c r="C602" s="9">
        <f t="shared" si="105"/>
        <v>0.8333333333334636</v>
      </c>
      <c r="D602" s="8" t="str">
        <f t="shared" si="106"/>
        <v>W</v>
      </c>
      <c r="E602" s="3">
        <f t="shared" si="107"/>
        <v>101</v>
      </c>
      <c r="F602" s="3" t="str">
        <f t="shared" si="108"/>
        <v>ack</v>
      </c>
      <c r="G602" s="3" t="str">
        <f t="shared" si="109"/>
        <v>9A</v>
      </c>
      <c r="H602" s="3" t="str">
        <f t="shared" si="110"/>
        <v/>
      </c>
      <c r="I602" s="3">
        <f t="shared" si="111"/>
        <v>154</v>
      </c>
      <c r="J602" s="5" t="str">
        <f>IF(E602=0,"Broadcast",IF(H602="",IF(I602="","",IF(I602&lt;128,"Connect "&amp;I602,INDEX(KdoCodeTab,MATCH(I602,KdoWertTab,0)))),"ReadStat "&amp;H602))</f>
        <v>RepMarkCmd</v>
      </c>
      <c r="K602" t="str">
        <f t="shared" si="101"/>
        <v/>
      </c>
      <c r="L602" t="str">
        <f t="shared" si="102"/>
        <v/>
      </c>
      <c r="M602" t="str">
        <f t="shared" si="103"/>
        <v>RepMarkCmd</v>
      </c>
    </row>
    <row r="603" spans="1:13" x14ac:dyDescent="0.25">
      <c r="A603" t="s">
        <v>178</v>
      </c>
      <c r="B603" s="6">
        <f t="shared" si="104"/>
        <v>5.6710000000000003</v>
      </c>
      <c r="C603" s="9">
        <f t="shared" si="105"/>
        <v>14.166666666667105</v>
      </c>
      <c r="D603" s="8" t="str">
        <f t="shared" si="106"/>
        <v>W</v>
      </c>
      <c r="E603" s="3">
        <f t="shared" si="107"/>
        <v>31</v>
      </c>
      <c r="F603" s="3" t="str">
        <f t="shared" si="108"/>
        <v>ack</v>
      </c>
      <c r="G603" s="3" t="str">
        <f t="shared" si="109"/>
        <v>9A</v>
      </c>
      <c r="H603" s="3" t="str">
        <f t="shared" si="110"/>
        <v/>
      </c>
      <c r="I603" s="3">
        <f t="shared" si="111"/>
        <v>154</v>
      </c>
      <c r="J603" s="5" t="str">
        <f>IF(E603=0,"Broadcast",IF(H603="",IF(I603="","",IF(I603&lt;128,"Connect "&amp;I603,INDEX(KdoCodeTab,MATCH(I603,KdoWertTab,0)))),"ReadStat "&amp;H603))</f>
        <v>RepMarkCmd</v>
      </c>
      <c r="K603" t="str">
        <f t="shared" si="101"/>
        <v/>
      </c>
      <c r="L603" t="str">
        <f t="shared" si="102"/>
        <v>RepMarkCmd</v>
      </c>
      <c r="M603" t="str">
        <f t="shared" si="103"/>
        <v/>
      </c>
    </row>
    <row r="604" spans="1:13" x14ac:dyDescent="0.25">
      <c r="A604" t="s">
        <v>179</v>
      </c>
      <c r="B604" s="6">
        <f t="shared" si="104"/>
        <v>5.7266666666666666</v>
      </c>
      <c r="C604" s="9">
        <f t="shared" si="105"/>
        <v>55.666666666666309</v>
      </c>
      <c r="D604" s="8" t="str">
        <f t="shared" si="106"/>
        <v>W</v>
      </c>
      <c r="E604" s="3">
        <f t="shared" si="107"/>
        <v>101</v>
      </c>
      <c r="F604" s="3" t="str">
        <f t="shared" si="108"/>
        <v>ack</v>
      </c>
      <c r="G604" s="3" t="str">
        <f t="shared" si="109"/>
        <v>93</v>
      </c>
      <c r="H604" s="3" t="str">
        <f t="shared" si="110"/>
        <v/>
      </c>
      <c r="I604" s="3">
        <f t="shared" si="111"/>
        <v>147</v>
      </c>
      <c r="J604" s="5" t="str">
        <f>IF(E604=0,"Broadcast",IF(H604="",IF(I604="","",IF(I604&lt;128,"Connect "&amp;I604,INDEX(KdoCodeTab,MATCH(I604,KdoWertTab,0)))),"ReadStat "&amp;H604))</f>
        <v>SpaceCmd</v>
      </c>
      <c r="K604" t="str">
        <f t="shared" si="101"/>
        <v/>
      </c>
      <c r="L604" t="str">
        <f t="shared" si="102"/>
        <v/>
      </c>
      <c r="M604" t="str">
        <f t="shared" si="103"/>
        <v>SpaceCmd</v>
      </c>
    </row>
    <row r="605" spans="1:13" x14ac:dyDescent="0.25">
      <c r="A605" t="s">
        <v>180</v>
      </c>
      <c r="B605" s="6">
        <f t="shared" si="104"/>
        <v>5.7275</v>
      </c>
      <c r="C605" s="9">
        <f t="shared" si="105"/>
        <v>0.8333333333334636</v>
      </c>
      <c r="D605" s="8" t="str">
        <f t="shared" si="106"/>
        <v>W</v>
      </c>
      <c r="E605" s="3">
        <f t="shared" si="107"/>
        <v>101</v>
      </c>
      <c r="F605" s="3" t="str">
        <f t="shared" si="108"/>
        <v>ack</v>
      </c>
      <c r="G605" s="3" t="str">
        <f t="shared" si="109"/>
        <v>96</v>
      </c>
      <c r="H605" s="3" t="str">
        <f t="shared" si="110"/>
        <v/>
      </c>
      <c r="I605" s="3">
        <f t="shared" si="111"/>
        <v>150</v>
      </c>
      <c r="J605" s="5" t="str">
        <f>IF(E605=0,"Broadcast",IF(H605="",IF(I605="","",IF(I605&lt;128,"Connect "&amp;I605,INDEX(KdoCodeTab,MATCH(I605,KdoWertTab,0)))),"ReadStat "&amp;H605))</f>
        <v>RepSpaceCmd</v>
      </c>
      <c r="K605" t="str">
        <f t="shared" si="101"/>
        <v/>
      </c>
      <c r="L605" t="str">
        <f t="shared" si="102"/>
        <v/>
      </c>
      <c r="M605" t="str">
        <f t="shared" si="103"/>
        <v>RepSpaceCmd</v>
      </c>
    </row>
    <row r="606" spans="1:13" x14ac:dyDescent="0.25">
      <c r="A606" t="s">
        <v>181</v>
      </c>
      <c r="B606" s="6">
        <f t="shared" si="104"/>
        <v>5.7661666666666669</v>
      </c>
      <c r="C606" s="9">
        <f t="shared" si="105"/>
        <v>38.666666666666849</v>
      </c>
      <c r="D606" s="8" t="str">
        <f t="shared" si="106"/>
        <v>W</v>
      </c>
      <c r="E606" s="3">
        <f t="shared" si="107"/>
        <v>101</v>
      </c>
      <c r="F606" s="3" t="str">
        <f t="shared" si="108"/>
        <v>ack</v>
      </c>
      <c r="G606" s="3" t="str">
        <f t="shared" si="109"/>
        <v>9C</v>
      </c>
      <c r="H606" s="3" t="str">
        <f t="shared" si="110"/>
        <v/>
      </c>
      <c r="I606" s="3">
        <f t="shared" si="111"/>
        <v>156</v>
      </c>
      <c r="J606" s="5" t="str">
        <f>IF(E606=0,"Broadcast",IF(H606="",IF(I606="","",IF(I606&lt;128,"Connect "&amp;I606,INDEX(KdoCodeTab,MATCH(I606,KdoWertTab,0)))),"ReadStat "&amp;H606))</f>
        <v>MarkCmd</v>
      </c>
      <c r="K606" t="str">
        <f t="shared" si="101"/>
        <v/>
      </c>
      <c r="L606" t="str">
        <f t="shared" si="102"/>
        <v/>
      </c>
      <c r="M606" t="str">
        <f t="shared" si="103"/>
        <v>MarkCmd</v>
      </c>
    </row>
    <row r="607" spans="1:13" x14ac:dyDescent="0.25">
      <c r="A607" t="s">
        <v>182</v>
      </c>
      <c r="B607" s="6">
        <f t="shared" si="104"/>
        <v>5.7670000000000003</v>
      </c>
      <c r="C607" s="9">
        <f t="shared" si="105"/>
        <v>0.8333333333334636</v>
      </c>
      <c r="D607" s="8" t="str">
        <f t="shared" si="106"/>
        <v>W</v>
      </c>
      <c r="E607" s="3">
        <f t="shared" si="107"/>
        <v>101</v>
      </c>
      <c r="F607" s="3" t="str">
        <f t="shared" si="108"/>
        <v>ack</v>
      </c>
      <c r="G607" s="3" t="str">
        <f t="shared" si="109"/>
        <v>9A</v>
      </c>
      <c r="H607" s="3" t="str">
        <f t="shared" si="110"/>
        <v/>
      </c>
      <c r="I607" s="3">
        <f t="shared" si="111"/>
        <v>154</v>
      </c>
      <c r="J607" s="5" t="str">
        <f>IF(E607=0,"Broadcast",IF(H607="",IF(I607="","",IF(I607&lt;128,"Connect "&amp;I607,INDEX(KdoCodeTab,MATCH(I607,KdoWertTab,0)))),"ReadStat "&amp;H607))</f>
        <v>RepMarkCmd</v>
      </c>
      <c r="K607" t="str">
        <f t="shared" si="101"/>
        <v/>
      </c>
      <c r="L607" t="str">
        <f t="shared" si="102"/>
        <v/>
      </c>
      <c r="M607" t="str">
        <f t="shared" si="103"/>
        <v>RepMarkCmd</v>
      </c>
    </row>
    <row r="608" spans="1:13" x14ac:dyDescent="0.25">
      <c r="A608" t="s">
        <v>183</v>
      </c>
      <c r="B608" s="6">
        <f t="shared" si="104"/>
        <v>5.7863333333333333</v>
      </c>
      <c r="C608" s="9">
        <f t="shared" si="105"/>
        <v>19.33333333333298</v>
      </c>
      <c r="D608" s="8" t="str">
        <f t="shared" si="106"/>
        <v>W</v>
      </c>
      <c r="E608" s="3">
        <f t="shared" si="107"/>
        <v>101</v>
      </c>
      <c r="F608" s="3" t="str">
        <f t="shared" si="108"/>
        <v>ack</v>
      </c>
      <c r="G608" s="3" t="str">
        <f t="shared" si="109"/>
        <v>93</v>
      </c>
      <c r="H608" s="3" t="str">
        <f t="shared" si="110"/>
        <v/>
      </c>
      <c r="I608" s="3">
        <f t="shared" si="111"/>
        <v>147</v>
      </c>
      <c r="J608" s="5" t="str">
        <f>IF(E608=0,"Broadcast",IF(H608="",IF(I608="","",IF(I608&lt;128,"Connect "&amp;I608,INDEX(KdoCodeTab,MATCH(I608,KdoWertTab,0)))),"ReadStat "&amp;H608))</f>
        <v>SpaceCmd</v>
      </c>
      <c r="K608" t="str">
        <f t="shared" si="101"/>
        <v/>
      </c>
      <c r="L608" t="str">
        <f t="shared" si="102"/>
        <v/>
      </c>
      <c r="M608" t="str">
        <f t="shared" si="103"/>
        <v>SpaceCmd</v>
      </c>
    </row>
    <row r="609" spans="1:13" x14ac:dyDescent="0.25">
      <c r="A609" t="s">
        <v>184</v>
      </c>
      <c r="B609" s="6">
        <f t="shared" si="104"/>
        <v>5.7871666666666668</v>
      </c>
      <c r="C609" s="9">
        <f t="shared" si="105"/>
        <v>0.8333333333334636</v>
      </c>
      <c r="D609" s="8" t="str">
        <f t="shared" si="106"/>
        <v>W</v>
      </c>
      <c r="E609" s="3">
        <f t="shared" si="107"/>
        <v>101</v>
      </c>
      <c r="F609" s="3" t="str">
        <f t="shared" si="108"/>
        <v>ack</v>
      </c>
      <c r="G609" s="3" t="str">
        <f t="shared" si="109"/>
        <v>96</v>
      </c>
      <c r="H609" s="3" t="str">
        <f t="shared" si="110"/>
        <v/>
      </c>
      <c r="I609" s="3">
        <f t="shared" si="111"/>
        <v>150</v>
      </c>
      <c r="J609" s="5" t="str">
        <f>IF(E609=0,"Broadcast",IF(H609="",IF(I609="","",IF(I609&lt;128,"Connect "&amp;I609,INDEX(KdoCodeTab,MATCH(I609,KdoWertTab,0)))),"ReadStat "&amp;H609))</f>
        <v>RepSpaceCmd</v>
      </c>
      <c r="K609" t="str">
        <f t="shared" si="101"/>
        <v/>
      </c>
      <c r="L609" t="str">
        <f t="shared" si="102"/>
        <v/>
      </c>
      <c r="M609" t="str">
        <f t="shared" si="103"/>
        <v>RepSpaceCmd</v>
      </c>
    </row>
    <row r="610" spans="1:13" x14ac:dyDescent="0.25">
      <c r="A610" t="s">
        <v>185</v>
      </c>
      <c r="B610" s="6">
        <f t="shared" si="104"/>
        <v>5.8470000000000004</v>
      </c>
      <c r="C610" s="9">
        <f t="shared" si="105"/>
        <v>59.833333333333627</v>
      </c>
      <c r="D610" s="8" t="str">
        <f t="shared" si="106"/>
        <v>W</v>
      </c>
      <c r="E610" s="3">
        <f t="shared" si="107"/>
        <v>101</v>
      </c>
      <c r="F610" s="3" t="str">
        <f t="shared" si="108"/>
        <v>ack</v>
      </c>
      <c r="G610" s="3" t="str">
        <f t="shared" si="109"/>
        <v>9C</v>
      </c>
      <c r="H610" s="3" t="str">
        <f t="shared" si="110"/>
        <v/>
      </c>
      <c r="I610" s="3">
        <f t="shared" si="111"/>
        <v>156</v>
      </c>
      <c r="J610" s="5" t="str">
        <f>IF(E610=0,"Broadcast",IF(H610="",IF(I610="","",IF(I610&lt;128,"Connect "&amp;I610,INDEX(KdoCodeTab,MATCH(I610,KdoWertTab,0)))),"ReadStat "&amp;H610))</f>
        <v>MarkCmd</v>
      </c>
      <c r="K610" t="str">
        <f t="shared" si="101"/>
        <v/>
      </c>
      <c r="L610" t="str">
        <f t="shared" si="102"/>
        <v/>
      </c>
      <c r="M610" t="str">
        <f t="shared" si="103"/>
        <v>MarkCmd</v>
      </c>
    </row>
    <row r="611" spans="1:13" x14ac:dyDescent="0.25">
      <c r="A611" t="s">
        <v>186</v>
      </c>
      <c r="B611" s="6">
        <f t="shared" si="104"/>
        <v>5.8478333333333339</v>
      </c>
      <c r="C611" s="9">
        <f t="shared" si="105"/>
        <v>0.8333333333334636</v>
      </c>
      <c r="D611" s="8" t="str">
        <f t="shared" si="106"/>
        <v>W</v>
      </c>
      <c r="E611" s="3">
        <f t="shared" si="107"/>
        <v>101</v>
      </c>
      <c r="F611" s="3" t="str">
        <f t="shared" si="108"/>
        <v>ack</v>
      </c>
      <c r="G611" s="3" t="str">
        <f t="shared" si="109"/>
        <v>9A</v>
      </c>
      <c r="H611" s="3" t="str">
        <f t="shared" si="110"/>
        <v/>
      </c>
      <c r="I611" s="3">
        <f t="shared" si="111"/>
        <v>154</v>
      </c>
      <c r="J611" s="5" t="str">
        <f>IF(E611=0,"Broadcast",IF(H611="",IF(I611="","",IF(I611&lt;128,"Connect "&amp;I611,INDEX(KdoCodeTab,MATCH(I611,KdoWertTab,0)))),"ReadStat "&amp;H611))</f>
        <v>RepMarkCmd</v>
      </c>
      <c r="K611" t="str">
        <f t="shared" si="101"/>
        <v/>
      </c>
      <c r="L611" t="str">
        <f t="shared" si="102"/>
        <v/>
      </c>
      <c r="M611" t="str">
        <f t="shared" si="103"/>
        <v>RepMarkCmd</v>
      </c>
    </row>
    <row r="612" spans="1:13" x14ac:dyDescent="0.25">
      <c r="A612" t="s">
        <v>187</v>
      </c>
      <c r="B612" s="6">
        <f t="shared" si="104"/>
        <v>5.894166666666667</v>
      </c>
      <c r="C612" s="9">
        <f t="shared" si="105"/>
        <v>46.333333333333115</v>
      </c>
      <c r="D612" s="8" t="str">
        <f t="shared" si="106"/>
        <v>W</v>
      </c>
      <c r="E612" s="3">
        <f t="shared" si="107"/>
        <v>101</v>
      </c>
      <c r="F612" s="3" t="str">
        <f t="shared" si="108"/>
        <v>ack</v>
      </c>
      <c r="G612" s="3" t="str">
        <f t="shared" si="109"/>
        <v>A9</v>
      </c>
      <c r="H612" s="3" t="str">
        <f t="shared" si="110"/>
        <v/>
      </c>
      <c r="I612" s="3">
        <f t="shared" si="111"/>
        <v>169</v>
      </c>
      <c r="J612" s="5" t="str">
        <f>IF(E612=0,"Broadcast",IF(H612="",IF(I612="","",IF(I612&lt;128,"Connect "&amp;I612,INDEX(KdoCodeTab,MATCH(I612,KdoWertTab,0)))),"ReadStat "&amp;H612))</f>
        <v>Heartbeat</v>
      </c>
      <c r="K612" t="str">
        <f t="shared" si="101"/>
        <v/>
      </c>
      <c r="L612" t="str">
        <f t="shared" si="102"/>
        <v/>
      </c>
      <c r="M612" t="str">
        <f t="shared" si="103"/>
        <v>Heartbeat</v>
      </c>
    </row>
    <row r="613" spans="1:13" x14ac:dyDescent="0.25">
      <c r="A613" t="s">
        <v>188</v>
      </c>
      <c r="B613" s="6">
        <f t="shared" si="104"/>
        <v>6.1479999999999997</v>
      </c>
      <c r="C613" s="9">
        <f t="shared" si="105"/>
        <v>253.83333333333269</v>
      </c>
      <c r="D613" s="8" t="str">
        <f t="shared" si="106"/>
        <v>W</v>
      </c>
      <c r="E613" s="3">
        <f t="shared" si="107"/>
        <v>101</v>
      </c>
      <c r="F613" s="3" t="str">
        <f t="shared" si="108"/>
        <v>ack</v>
      </c>
      <c r="G613" s="3" t="str">
        <f t="shared" si="109"/>
        <v>93</v>
      </c>
      <c r="H613" s="3" t="str">
        <f t="shared" si="110"/>
        <v/>
      </c>
      <c r="I613" s="3">
        <f t="shared" si="111"/>
        <v>147</v>
      </c>
      <c r="J613" s="5" t="str">
        <f>IF(E613=0,"Broadcast",IF(H613="",IF(I613="","",IF(I613&lt;128,"Connect "&amp;I613,INDEX(KdoCodeTab,MATCH(I613,KdoWertTab,0)))),"ReadStat "&amp;H613))</f>
        <v>SpaceCmd</v>
      </c>
      <c r="K613" t="str">
        <f t="shared" si="101"/>
        <v/>
      </c>
      <c r="L613" t="str">
        <f t="shared" si="102"/>
        <v/>
      </c>
      <c r="M613" t="str">
        <f t="shared" si="103"/>
        <v>SpaceCmd</v>
      </c>
    </row>
    <row r="614" spans="1:13" x14ac:dyDescent="0.25">
      <c r="A614" t="s">
        <v>189</v>
      </c>
      <c r="B614" s="6">
        <f t="shared" si="104"/>
        <v>6.1488333333333332</v>
      </c>
      <c r="C614" s="9">
        <f t="shared" si="105"/>
        <v>0.8333333333334636</v>
      </c>
      <c r="D614" s="8" t="str">
        <f t="shared" si="106"/>
        <v>W</v>
      </c>
      <c r="E614" s="3">
        <f t="shared" si="107"/>
        <v>101</v>
      </c>
      <c r="F614" s="3" t="str">
        <f t="shared" si="108"/>
        <v>ack</v>
      </c>
      <c r="G614" s="3" t="str">
        <f t="shared" si="109"/>
        <v>96</v>
      </c>
      <c r="H614" s="3" t="str">
        <f t="shared" si="110"/>
        <v/>
      </c>
      <c r="I614" s="3">
        <f t="shared" si="111"/>
        <v>150</v>
      </c>
      <c r="J614" s="5" t="str">
        <f>IF(E614=0,"Broadcast",IF(H614="",IF(I614="","",IF(I614&lt;128,"Connect "&amp;I614,INDEX(KdoCodeTab,MATCH(I614,KdoWertTab,0)))),"ReadStat "&amp;H614))</f>
        <v>RepSpaceCmd</v>
      </c>
      <c r="K614" t="str">
        <f t="shared" si="101"/>
        <v/>
      </c>
      <c r="L614" t="str">
        <f t="shared" si="102"/>
        <v/>
      </c>
      <c r="M614" t="str">
        <f t="shared" si="103"/>
        <v>RepSpaceCmd</v>
      </c>
    </row>
    <row r="615" spans="1:13" x14ac:dyDescent="0.25">
      <c r="A615" t="s">
        <v>190</v>
      </c>
      <c r="B615" s="6">
        <f t="shared" si="104"/>
        <v>6.1769999999999996</v>
      </c>
      <c r="C615" s="9">
        <f t="shared" si="105"/>
        <v>28.166666666666451</v>
      </c>
      <c r="D615" s="8" t="str">
        <f t="shared" si="106"/>
        <v>W</v>
      </c>
      <c r="E615" s="3">
        <f t="shared" si="107"/>
        <v>31</v>
      </c>
      <c r="F615" s="3" t="str">
        <f t="shared" si="108"/>
        <v>ack</v>
      </c>
      <c r="G615" s="3" t="str">
        <f t="shared" si="109"/>
        <v>9A</v>
      </c>
      <c r="H615" s="3" t="str">
        <f t="shared" si="110"/>
        <v/>
      </c>
      <c r="I615" s="3">
        <f t="shared" si="111"/>
        <v>154</v>
      </c>
      <c r="J615" s="5" t="str">
        <f>IF(E615=0,"Broadcast",IF(H615="",IF(I615="","",IF(I615&lt;128,"Connect "&amp;I615,INDEX(KdoCodeTab,MATCH(I615,KdoWertTab,0)))),"ReadStat "&amp;H615))</f>
        <v>RepMarkCmd</v>
      </c>
      <c r="K615" t="str">
        <f t="shared" si="101"/>
        <v/>
      </c>
      <c r="L615" t="str">
        <f t="shared" si="102"/>
        <v>RepMarkCmd</v>
      </c>
      <c r="M615" t="str">
        <f t="shared" si="103"/>
        <v/>
      </c>
    </row>
    <row r="616" spans="1:13" x14ac:dyDescent="0.25">
      <c r="A616" t="s">
        <v>191</v>
      </c>
      <c r="B616" s="6">
        <f t="shared" si="104"/>
        <v>6.2084999999999999</v>
      </c>
      <c r="C616" s="9">
        <f t="shared" si="105"/>
        <v>31.500000000000306</v>
      </c>
      <c r="D616" s="8" t="str">
        <f t="shared" si="106"/>
        <v>W</v>
      </c>
      <c r="E616" s="3">
        <f t="shared" si="107"/>
        <v>101</v>
      </c>
      <c r="F616" s="3" t="str">
        <f t="shared" si="108"/>
        <v>ack</v>
      </c>
      <c r="G616" s="3" t="str">
        <f t="shared" si="109"/>
        <v>9C</v>
      </c>
      <c r="H616" s="3" t="str">
        <f t="shared" si="110"/>
        <v/>
      </c>
      <c r="I616" s="3">
        <f t="shared" si="111"/>
        <v>156</v>
      </c>
      <c r="J616" s="5" t="str">
        <f>IF(E616=0,"Broadcast",IF(H616="",IF(I616="","",IF(I616&lt;128,"Connect "&amp;I616,INDEX(KdoCodeTab,MATCH(I616,KdoWertTab,0)))),"ReadStat "&amp;H616))</f>
        <v>MarkCmd</v>
      </c>
      <c r="K616" t="str">
        <f t="shared" si="101"/>
        <v/>
      </c>
      <c r="L616" t="str">
        <f t="shared" si="102"/>
        <v/>
      </c>
      <c r="M616" t="str">
        <f t="shared" si="103"/>
        <v>MarkCmd</v>
      </c>
    </row>
    <row r="617" spans="1:13" x14ac:dyDescent="0.25">
      <c r="A617" t="s">
        <v>192</v>
      </c>
      <c r="B617" s="6">
        <f t="shared" si="104"/>
        <v>6.2094999999999994</v>
      </c>
      <c r="C617" s="9">
        <f t="shared" si="105"/>
        <v>0.99999999999944578</v>
      </c>
      <c r="D617" s="8" t="str">
        <f t="shared" si="106"/>
        <v>W</v>
      </c>
      <c r="E617" s="3">
        <f t="shared" si="107"/>
        <v>101</v>
      </c>
      <c r="F617" s="3" t="str">
        <f t="shared" si="108"/>
        <v>ack</v>
      </c>
      <c r="G617" s="3" t="str">
        <f t="shared" si="109"/>
        <v>9A</v>
      </c>
      <c r="H617" s="3" t="str">
        <f t="shared" si="110"/>
        <v/>
      </c>
      <c r="I617" s="3">
        <f t="shared" si="111"/>
        <v>154</v>
      </c>
      <c r="J617" s="5" t="str">
        <f>IF(E617=0,"Broadcast",IF(H617="",IF(I617="","",IF(I617&lt;128,"Connect "&amp;I617,INDEX(KdoCodeTab,MATCH(I617,KdoWertTab,0)))),"ReadStat "&amp;H617))</f>
        <v>RepMarkCmd</v>
      </c>
      <c r="K617" t="str">
        <f t="shared" si="101"/>
        <v/>
      </c>
      <c r="L617" t="str">
        <f t="shared" si="102"/>
        <v/>
      </c>
      <c r="M617" t="str">
        <f t="shared" si="103"/>
        <v>RepMarkCmd</v>
      </c>
    </row>
    <row r="618" spans="1:13" x14ac:dyDescent="0.25">
      <c r="A618" t="s">
        <v>193</v>
      </c>
      <c r="B618" s="6">
        <f t="shared" si="104"/>
        <v>6.2288333333333332</v>
      </c>
      <c r="C618" s="9">
        <f t="shared" si="105"/>
        <v>19.333333333333869</v>
      </c>
      <c r="D618" s="8" t="str">
        <f t="shared" si="106"/>
        <v>W</v>
      </c>
      <c r="E618" s="3">
        <f t="shared" si="107"/>
        <v>101</v>
      </c>
      <c r="F618" s="3" t="str">
        <f t="shared" si="108"/>
        <v>ack</v>
      </c>
      <c r="G618" s="3" t="str">
        <f t="shared" si="109"/>
        <v>93</v>
      </c>
      <c r="H618" s="3" t="str">
        <f t="shared" si="110"/>
        <v/>
      </c>
      <c r="I618" s="3">
        <f t="shared" si="111"/>
        <v>147</v>
      </c>
      <c r="J618" s="5" t="str">
        <f>IF(E618=0,"Broadcast",IF(H618="",IF(I618="","",IF(I618&lt;128,"Connect "&amp;I618,INDEX(KdoCodeTab,MATCH(I618,KdoWertTab,0)))),"ReadStat "&amp;H618))</f>
        <v>SpaceCmd</v>
      </c>
      <c r="K618" t="str">
        <f t="shared" si="101"/>
        <v/>
      </c>
      <c r="L618" t="str">
        <f t="shared" si="102"/>
        <v/>
      </c>
      <c r="M618" t="str">
        <f t="shared" si="103"/>
        <v>SpaceCmd</v>
      </c>
    </row>
    <row r="619" spans="1:13" x14ac:dyDescent="0.25">
      <c r="A619" t="s">
        <v>194</v>
      </c>
      <c r="B619" s="6">
        <f t="shared" si="104"/>
        <v>6.2298333333333336</v>
      </c>
      <c r="C619" s="9">
        <f t="shared" si="105"/>
        <v>1.000000000000334</v>
      </c>
      <c r="D619" s="8" t="str">
        <f t="shared" si="106"/>
        <v>W</v>
      </c>
      <c r="E619" s="3">
        <f t="shared" si="107"/>
        <v>101</v>
      </c>
      <c r="F619" s="3" t="str">
        <f t="shared" si="108"/>
        <v>ack</v>
      </c>
      <c r="G619" s="3" t="str">
        <f t="shared" si="109"/>
        <v>96</v>
      </c>
      <c r="H619" s="3" t="str">
        <f t="shared" si="110"/>
        <v/>
      </c>
      <c r="I619" s="3">
        <f t="shared" si="111"/>
        <v>150</v>
      </c>
      <c r="J619" s="5" t="str">
        <f>IF(E619=0,"Broadcast",IF(H619="",IF(I619="","",IF(I619&lt;128,"Connect "&amp;I619,INDEX(KdoCodeTab,MATCH(I619,KdoWertTab,0)))),"ReadStat "&amp;H619))</f>
        <v>RepSpaceCmd</v>
      </c>
      <c r="K619" t="str">
        <f t="shared" si="101"/>
        <v/>
      </c>
      <c r="L619" t="str">
        <f t="shared" si="102"/>
        <v/>
      </c>
      <c r="M619" t="str">
        <f t="shared" si="103"/>
        <v>RepSpaceCmd</v>
      </c>
    </row>
    <row r="620" spans="1:13" x14ac:dyDescent="0.25">
      <c r="A620" t="s">
        <v>195</v>
      </c>
      <c r="B620" s="6">
        <f t="shared" si="104"/>
        <v>6.2480000000000002</v>
      </c>
      <c r="C620" s="9">
        <f t="shared" si="105"/>
        <v>18.166666666666664</v>
      </c>
      <c r="D620" s="8" t="str">
        <f t="shared" si="106"/>
        <v>W</v>
      </c>
      <c r="E620" s="3">
        <f t="shared" si="107"/>
        <v>101</v>
      </c>
      <c r="F620" s="3" t="str">
        <f t="shared" si="108"/>
        <v>ack</v>
      </c>
      <c r="G620" s="3" t="str">
        <f t="shared" si="109"/>
        <v>9C</v>
      </c>
      <c r="H620" s="3" t="str">
        <f t="shared" si="110"/>
        <v/>
      </c>
      <c r="I620" s="3">
        <f t="shared" si="111"/>
        <v>156</v>
      </c>
      <c r="J620" s="5" t="str">
        <f>IF(E620=0,"Broadcast",IF(H620="",IF(I620="","",IF(I620&lt;128,"Connect "&amp;I620,INDEX(KdoCodeTab,MATCH(I620,KdoWertTab,0)))),"ReadStat "&amp;H620))</f>
        <v>MarkCmd</v>
      </c>
      <c r="K620" t="str">
        <f t="shared" si="101"/>
        <v/>
      </c>
      <c r="L620" t="str">
        <f t="shared" si="102"/>
        <v/>
      </c>
      <c r="M620" t="str">
        <f t="shared" si="103"/>
        <v>MarkCmd</v>
      </c>
    </row>
    <row r="621" spans="1:13" x14ac:dyDescent="0.25">
      <c r="A621" t="s">
        <v>196</v>
      </c>
      <c r="B621" s="6">
        <f t="shared" si="104"/>
        <v>6.2488333333333337</v>
      </c>
      <c r="C621" s="9">
        <f t="shared" si="105"/>
        <v>0.8333333333334636</v>
      </c>
      <c r="D621" s="8" t="str">
        <f t="shared" si="106"/>
        <v>W</v>
      </c>
      <c r="E621" s="3">
        <f t="shared" si="107"/>
        <v>101</v>
      </c>
      <c r="F621" s="3" t="str">
        <f t="shared" si="108"/>
        <v>ack</v>
      </c>
      <c r="G621" s="3" t="str">
        <f t="shared" si="109"/>
        <v>9A</v>
      </c>
      <c r="H621" s="3" t="str">
        <f t="shared" si="110"/>
        <v/>
      </c>
      <c r="I621" s="3">
        <f t="shared" si="111"/>
        <v>154</v>
      </c>
      <c r="J621" s="5" t="str">
        <f>IF(E621=0,"Broadcast",IF(H621="",IF(I621="","",IF(I621&lt;128,"Connect "&amp;I621,INDEX(KdoCodeTab,MATCH(I621,KdoWertTab,0)))),"ReadStat "&amp;H621))</f>
        <v>RepMarkCmd</v>
      </c>
      <c r="K621" t="str">
        <f t="shared" si="101"/>
        <v/>
      </c>
      <c r="L621" t="str">
        <f t="shared" si="102"/>
        <v/>
      </c>
      <c r="M621" t="str">
        <f t="shared" si="103"/>
        <v>RepMarkCmd</v>
      </c>
    </row>
    <row r="622" spans="1:13" x14ac:dyDescent="0.25">
      <c r="A622" t="s">
        <v>197</v>
      </c>
      <c r="B622" s="6">
        <f t="shared" si="104"/>
        <v>6.3550000000000004</v>
      </c>
      <c r="C622" s="9">
        <f t="shared" si="105"/>
        <v>106.16666666666674</v>
      </c>
      <c r="D622" s="8" t="str">
        <f t="shared" si="106"/>
        <v>W</v>
      </c>
      <c r="E622" s="3">
        <f t="shared" si="107"/>
        <v>101</v>
      </c>
      <c r="F622" s="3" t="str">
        <f t="shared" si="108"/>
        <v>ack</v>
      </c>
      <c r="G622" s="3" t="str">
        <f t="shared" si="109"/>
        <v>93</v>
      </c>
      <c r="H622" s="3" t="str">
        <f t="shared" si="110"/>
        <v/>
      </c>
      <c r="I622" s="3">
        <f t="shared" si="111"/>
        <v>147</v>
      </c>
      <c r="J622" s="5" t="str">
        <f>IF(E622=0,"Broadcast",IF(H622="",IF(I622="","",IF(I622&lt;128,"Connect "&amp;I622,INDEX(KdoCodeTab,MATCH(I622,KdoWertTab,0)))),"ReadStat "&amp;H622))</f>
        <v>SpaceCmd</v>
      </c>
      <c r="K622" t="str">
        <f t="shared" si="101"/>
        <v/>
      </c>
      <c r="L622" t="str">
        <f t="shared" si="102"/>
        <v/>
      </c>
      <c r="M622" t="str">
        <f t="shared" si="103"/>
        <v>SpaceCmd</v>
      </c>
    </row>
    <row r="623" spans="1:13" x14ac:dyDescent="0.25">
      <c r="A623" t="s">
        <v>198</v>
      </c>
      <c r="B623" s="6">
        <f t="shared" si="104"/>
        <v>6.3563333333333336</v>
      </c>
      <c r="C623" s="9">
        <f t="shared" si="105"/>
        <v>1.3333333333331865</v>
      </c>
      <c r="D623" s="8" t="str">
        <f t="shared" si="106"/>
        <v>W</v>
      </c>
      <c r="E623" s="3">
        <f t="shared" si="107"/>
        <v>101</v>
      </c>
      <c r="F623" s="3" t="str">
        <f t="shared" si="108"/>
        <v>ack</v>
      </c>
      <c r="G623" s="3" t="str">
        <f t="shared" si="109"/>
        <v>96</v>
      </c>
      <c r="H623" s="3" t="str">
        <f t="shared" si="110"/>
        <v/>
      </c>
      <c r="I623" s="3">
        <f t="shared" si="111"/>
        <v>150</v>
      </c>
      <c r="J623" s="5" t="str">
        <f>IF(E623=0,"Broadcast",IF(H623="",IF(I623="","",IF(I623&lt;128,"Connect "&amp;I623,INDEX(KdoCodeTab,MATCH(I623,KdoWertTab,0)))),"ReadStat "&amp;H623))</f>
        <v>RepSpaceCmd</v>
      </c>
      <c r="K623" t="str">
        <f t="shared" si="101"/>
        <v/>
      </c>
      <c r="L623" t="str">
        <f t="shared" si="102"/>
        <v/>
      </c>
      <c r="M623" t="str">
        <f t="shared" si="103"/>
        <v>RepSpaceCmd</v>
      </c>
    </row>
    <row r="624" spans="1:13" x14ac:dyDescent="0.25">
      <c r="A624" t="s">
        <v>199</v>
      </c>
      <c r="B624" s="6">
        <f t="shared" si="104"/>
        <v>6.3751666666666669</v>
      </c>
      <c r="C624" s="9">
        <f t="shared" si="105"/>
        <v>18.833333333333258</v>
      </c>
      <c r="D624" s="8" t="str">
        <f t="shared" si="106"/>
        <v>W</v>
      </c>
      <c r="E624" s="3">
        <f t="shared" si="107"/>
        <v>101</v>
      </c>
      <c r="F624" s="3" t="str">
        <f t="shared" si="108"/>
        <v>ack</v>
      </c>
      <c r="G624" s="3" t="str">
        <f t="shared" si="109"/>
        <v>9C</v>
      </c>
      <c r="H624" s="3" t="str">
        <f t="shared" si="110"/>
        <v/>
      </c>
      <c r="I624" s="3">
        <f t="shared" si="111"/>
        <v>156</v>
      </c>
      <c r="J624" s="5" t="str">
        <f>IF(E624=0,"Broadcast",IF(H624="",IF(I624="","",IF(I624&lt;128,"Connect "&amp;I624,INDEX(KdoCodeTab,MATCH(I624,KdoWertTab,0)))),"ReadStat "&amp;H624))</f>
        <v>MarkCmd</v>
      </c>
      <c r="K624" t="str">
        <f t="shared" si="101"/>
        <v/>
      </c>
      <c r="L624" t="str">
        <f t="shared" si="102"/>
        <v/>
      </c>
      <c r="M624" t="str">
        <f t="shared" si="103"/>
        <v>MarkCmd</v>
      </c>
    </row>
    <row r="625" spans="1:13" x14ac:dyDescent="0.25">
      <c r="A625" t="s">
        <v>200</v>
      </c>
      <c r="B625" s="6">
        <f t="shared" si="104"/>
        <v>6.3761666666666672</v>
      </c>
      <c r="C625" s="9">
        <f t="shared" si="105"/>
        <v>1.000000000000334</v>
      </c>
      <c r="D625" s="8" t="str">
        <f t="shared" si="106"/>
        <v>W</v>
      </c>
      <c r="E625" s="3">
        <f t="shared" si="107"/>
        <v>101</v>
      </c>
      <c r="F625" s="3" t="str">
        <f t="shared" si="108"/>
        <v>ack</v>
      </c>
      <c r="G625" s="3" t="str">
        <f t="shared" si="109"/>
        <v>9A</v>
      </c>
      <c r="H625" s="3" t="str">
        <f t="shared" si="110"/>
        <v/>
      </c>
      <c r="I625" s="3">
        <f t="shared" si="111"/>
        <v>154</v>
      </c>
      <c r="J625" s="5" t="str">
        <f>IF(E625=0,"Broadcast",IF(H625="",IF(I625="","",IF(I625&lt;128,"Connect "&amp;I625,INDEX(KdoCodeTab,MATCH(I625,KdoWertTab,0)))),"ReadStat "&amp;H625))</f>
        <v>RepMarkCmd</v>
      </c>
      <c r="K625" t="str">
        <f t="shared" si="101"/>
        <v/>
      </c>
      <c r="L625" t="str">
        <f t="shared" si="102"/>
        <v/>
      </c>
      <c r="M625" t="str">
        <f t="shared" si="103"/>
        <v>RepMarkCmd</v>
      </c>
    </row>
    <row r="626" spans="1:13" x14ac:dyDescent="0.25">
      <c r="A626" t="s">
        <v>201</v>
      </c>
      <c r="B626" s="6">
        <f t="shared" si="104"/>
        <v>6.4156666666666666</v>
      </c>
      <c r="C626" s="9">
        <f t="shared" si="105"/>
        <v>39.499999999999424</v>
      </c>
      <c r="D626" s="8" t="str">
        <f t="shared" si="106"/>
        <v>W</v>
      </c>
      <c r="E626" s="3">
        <f t="shared" si="107"/>
        <v>101</v>
      </c>
      <c r="F626" s="3" t="str">
        <f t="shared" si="108"/>
        <v>ack</v>
      </c>
      <c r="G626" s="3" t="str">
        <f t="shared" si="109"/>
        <v>93</v>
      </c>
      <c r="H626" s="3" t="str">
        <f t="shared" si="110"/>
        <v/>
      </c>
      <c r="I626" s="3">
        <f t="shared" si="111"/>
        <v>147</v>
      </c>
      <c r="J626" s="5" t="str">
        <f>IF(E626=0,"Broadcast",IF(H626="",IF(I626="","",IF(I626&lt;128,"Connect "&amp;I626,INDEX(KdoCodeTab,MATCH(I626,KdoWertTab,0)))),"ReadStat "&amp;H626))</f>
        <v>SpaceCmd</v>
      </c>
      <c r="K626" t="str">
        <f t="shared" si="101"/>
        <v/>
      </c>
      <c r="L626" t="str">
        <f t="shared" si="102"/>
        <v/>
      </c>
      <c r="M626" t="str">
        <f t="shared" si="103"/>
        <v>SpaceCmd</v>
      </c>
    </row>
    <row r="627" spans="1:13" x14ac:dyDescent="0.25">
      <c r="A627" t="s">
        <v>202</v>
      </c>
      <c r="B627" s="6">
        <f t="shared" si="104"/>
        <v>6.4165000000000001</v>
      </c>
      <c r="C627" s="9">
        <f t="shared" si="105"/>
        <v>0.8333333333334636</v>
      </c>
      <c r="D627" s="8" t="str">
        <f t="shared" si="106"/>
        <v>W</v>
      </c>
      <c r="E627" s="3">
        <f t="shared" si="107"/>
        <v>101</v>
      </c>
      <c r="F627" s="3" t="str">
        <f t="shared" si="108"/>
        <v>ack</v>
      </c>
      <c r="G627" s="3" t="str">
        <f t="shared" si="109"/>
        <v>96</v>
      </c>
      <c r="H627" s="3" t="str">
        <f t="shared" si="110"/>
        <v/>
      </c>
      <c r="I627" s="3">
        <f t="shared" si="111"/>
        <v>150</v>
      </c>
      <c r="J627" s="5" t="str">
        <f>IF(E627=0,"Broadcast",IF(H627="",IF(I627="","",IF(I627&lt;128,"Connect "&amp;I627,INDEX(KdoCodeTab,MATCH(I627,KdoWertTab,0)))),"ReadStat "&amp;H627))</f>
        <v>RepSpaceCmd</v>
      </c>
      <c r="K627" t="str">
        <f t="shared" si="101"/>
        <v/>
      </c>
      <c r="L627" t="str">
        <f t="shared" si="102"/>
        <v/>
      </c>
      <c r="M627" t="str">
        <f t="shared" si="103"/>
        <v>RepSpaceCmd</v>
      </c>
    </row>
    <row r="628" spans="1:13" x14ac:dyDescent="0.25">
      <c r="A628" t="s">
        <v>203</v>
      </c>
      <c r="B628" s="6">
        <f t="shared" si="104"/>
        <v>6.4763333333333337</v>
      </c>
      <c r="C628" s="9">
        <f t="shared" si="105"/>
        <v>59.833333333333627</v>
      </c>
      <c r="D628" s="8" t="str">
        <f t="shared" si="106"/>
        <v>W</v>
      </c>
      <c r="E628" s="3">
        <f t="shared" si="107"/>
        <v>101</v>
      </c>
      <c r="F628" s="3" t="str">
        <f t="shared" si="108"/>
        <v>ack</v>
      </c>
      <c r="G628" s="3" t="str">
        <f t="shared" si="109"/>
        <v>9C</v>
      </c>
      <c r="H628" s="3" t="str">
        <f t="shared" si="110"/>
        <v/>
      </c>
      <c r="I628" s="3">
        <f t="shared" si="111"/>
        <v>156</v>
      </c>
      <c r="J628" s="5" t="str">
        <f>IF(E628=0,"Broadcast",IF(H628="",IF(I628="","",IF(I628&lt;128,"Connect "&amp;I628,INDEX(KdoCodeTab,MATCH(I628,KdoWertTab,0)))),"ReadStat "&amp;H628))</f>
        <v>MarkCmd</v>
      </c>
      <c r="K628" t="str">
        <f t="shared" si="101"/>
        <v/>
      </c>
      <c r="L628" t="str">
        <f t="shared" si="102"/>
        <v/>
      </c>
      <c r="M628" t="str">
        <f t="shared" si="103"/>
        <v>MarkCmd</v>
      </c>
    </row>
    <row r="629" spans="1:13" x14ac:dyDescent="0.25">
      <c r="A629" t="s">
        <v>204</v>
      </c>
      <c r="B629" s="6">
        <f t="shared" si="104"/>
        <v>6.4771666666666672</v>
      </c>
      <c r="C629" s="9">
        <f t="shared" si="105"/>
        <v>0.8333333333334636</v>
      </c>
      <c r="D629" s="8" t="str">
        <f t="shared" si="106"/>
        <v>W</v>
      </c>
      <c r="E629" s="3">
        <f t="shared" si="107"/>
        <v>101</v>
      </c>
      <c r="F629" s="3" t="str">
        <f t="shared" si="108"/>
        <v>ack</v>
      </c>
      <c r="G629" s="3" t="str">
        <f t="shared" si="109"/>
        <v>9A</v>
      </c>
      <c r="H629" s="3" t="str">
        <f t="shared" si="110"/>
        <v/>
      </c>
      <c r="I629" s="3">
        <f t="shared" si="111"/>
        <v>154</v>
      </c>
      <c r="J629" s="5" t="str">
        <f>IF(E629=0,"Broadcast",IF(H629="",IF(I629="","",IF(I629&lt;128,"Connect "&amp;I629,INDEX(KdoCodeTab,MATCH(I629,KdoWertTab,0)))),"ReadStat "&amp;H629))</f>
        <v>RepMarkCmd</v>
      </c>
      <c r="K629" t="str">
        <f t="shared" si="101"/>
        <v/>
      </c>
      <c r="L629" t="str">
        <f t="shared" si="102"/>
        <v/>
      </c>
      <c r="M629" t="str">
        <f t="shared" si="103"/>
        <v>RepMarkCmd</v>
      </c>
    </row>
    <row r="630" spans="1:13" x14ac:dyDescent="0.25">
      <c r="A630" t="s">
        <v>205</v>
      </c>
      <c r="B630" s="6">
        <f t="shared" si="104"/>
        <v>6.570333333333334</v>
      </c>
      <c r="C630" s="9">
        <f t="shared" si="105"/>
        <v>93.166666666666842</v>
      </c>
      <c r="D630" s="8" t="str">
        <f t="shared" si="106"/>
        <v>W</v>
      </c>
      <c r="E630" s="3">
        <f t="shared" si="107"/>
        <v>101</v>
      </c>
      <c r="F630" s="3" t="str">
        <f t="shared" si="108"/>
        <v>ack</v>
      </c>
      <c r="G630" s="3" t="str">
        <f t="shared" si="109"/>
        <v>93</v>
      </c>
      <c r="H630" s="3" t="str">
        <f t="shared" si="110"/>
        <v/>
      </c>
      <c r="I630" s="3">
        <f t="shared" si="111"/>
        <v>147</v>
      </c>
      <c r="J630" s="5" t="str">
        <f>IF(E630=0,"Broadcast",IF(H630="",IF(I630="","",IF(I630&lt;128,"Connect "&amp;I630,INDEX(KdoCodeTab,MATCH(I630,KdoWertTab,0)))),"ReadStat "&amp;H630))</f>
        <v>SpaceCmd</v>
      </c>
      <c r="K630" t="str">
        <f t="shared" si="101"/>
        <v/>
      </c>
      <c r="L630" t="str">
        <f t="shared" si="102"/>
        <v/>
      </c>
      <c r="M630" t="str">
        <f t="shared" si="103"/>
        <v>SpaceCmd</v>
      </c>
    </row>
    <row r="631" spans="1:13" x14ac:dyDescent="0.25">
      <c r="A631" t="s">
        <v>206</v>
      </c>
      <c r="B631" s="6">
        <f t="shared" si="104"/>
        <v>6.5711666666666666</v>
      </c>
      <c r="C631" s="9">
        <f t="shared" si="105"/>
        <v>0.83333333333257542</v>
      </c>
      <c r="D631" s="8" t="str">
        <f t="shared" si="106"/>
        <v>W</v>
      </c>
      <c r="E631" s="3">
        <f t="shared" si="107"/>
        <v>101</v>
      </c>
      <c r="F631" s="3" t="str">
        <f t="shared" si="108"/>
        <v>ack</v>
      </c>
      <c r="G631" s="3" t="str">
        <f t="shared" si="109"/>
        <v>96</v>
      </c>
      <c r="H631" s="3" t="str">
        <f t="shared" si="110"/>
        <v/>
      </c>
      <c r="I631" s="3">
        <f t="shared" si="111"/>
        <v>150</v>
      </c>
      <c r="J631" s="5" t="str">
        <f>IF(E631=0,"Broadcast",IF(H631="",IF(I631="","",IF(I631&lt;128,"Connect "&amp;I631,INDEX(KdoCodeTab,MATCH(I631,KdoWertTab,0)))),"ReadStat "&amp;H631))</f>
        <v>RepSpaceCmd</v>
      </c>
      <c r="K631" t="str">
        <f t="shared" si="101"/>
        <v/>
      </c>
      <c r="L631" t="str">
        <f t="shared" si="102"/>
        <v/>
      </c>
      <c r="M631" t="str">
        <f t="shared" si="103"/>
        <v>RepSpaceCmd</v>
      </c>
    </row>
    <row r="632" spans="1:13" x14ac:dyDescent="0.25">
      <c r="A632" t="s">
        <v>207</v>
      </c>
      <c r="B632" s="6">
        <f t="shared" si="104"/>
        <v>6.5761666666666665</v>
      </c>
      <c r="C632" s="9">
        <f t="shared" si="105"/>
        <v>4.9999999999998934</v>
      </c>
      <c r="D632" s="8" t="str">
        <f t="shared" si="106"/>
        <v>W</v>
      </c>
      <c r="E632" s="3">
        <f t="shared" si="107"/>
        <v>101</v>
      </c>
      <c r="F632" s="3" t="str">
        <f t="shared" si="108"/>
        <v>ack</v>
      </c>
      <c r="G632" s="3" t="str">
        <f t="shared" si="109"/>
        <v>A9</v>
      </c>
      <c r="H632" s="3" t="str">
        <f t="shared" si="110"/>
        <v/>
      </c>
      <c r="I632" s="3">
        <f t="shared" si="111"/>
        <v>169</v>
      </c>
      <c r="J632" s="5" t="str">
        <f>IF(E632=0,"Broadcast",IF(H632="",IF(I632="","",IF(I632&lt;128,"Connect "&amp;I632,INDEX(KdoCodeTab,MATCH(I632,KdoWertTab,0)))),"ReadStat "&amp;H632))</f>
        <v>Heartbeat</v>
      </c>
      <c r="K632" t="str">
        <f t="shared" si="101"/>
        <v/>
      </c>
      <c r="L632" t="str">
        <f t="shared" si="102"/>
        <v/>
      </c>
      <c r="M632" t="str">
        <f t="shared" si="103"/>
        <v>Heartbeat</v>
      </c>
    </row>
    <row r="633" spans="1:13" x14ac:dyDescent="0.25">
      <c r="A633" t="s">
        <v>208</v>
      </c>
      <c r="B633" s="6">
        <f t="shared" si="104"/>
        <v>6.6106666666666669</v>
      </c>
      <c r="C633" s="9">
        <f t="shared" si="105"/>
        <v>34.500000000000419</v>
      </c>
      <c r="D633" s="8" t="str">
        <f t="shared" si="106"/>
        <v>W</v>
      </c>
      <c r="E633" s="3">
        <f t="shared" si="107"/>
        <v>101</v>
      </c>
      <c r="F633" s="3" t="str">
        <f t="shared" si="108"/>
        <v>ack</v>
      </c>
      <c r="G633" s="3" t="str">
        <f t="shared" si="109"/>
        <v>9C</v>
      </c>
      <c r="H633" s="3" t="str">
        <f t="shared" si="110"/>
        <v/>
      </c>
      <c r="I633" s="3">
        <f t="shared" si="111"/>
        <v>156</v>
      </c>
      <c r="J633" s="5" t="str">
        <f>IF(E633=0,"Broadcast",IF(H633="",IF(I633="","",IF(I633&lt;128,"Connect "&amp;I633,INDEX(KdoCodeTab,MATCH(I633,KdoWertTab,0)))),"ReadStat "&amp;H633))</f>
        <v>MarkCmd</v>
      </c>
      <c r="K633" t="str">
        <f t="shared" si="101"/>
        <v/>
      </c>
      <c r="L633" t="str">
        <f t="shared" si="102"/>
        <v/>
      </c>
      <c r="M633" t="str">
        <f t="shared" si="103"/>
        <v>MarkCmd</v>
      </c>
    </row>
    <row r="634" spans="1:13" x14ac:dyDescent="0.25">
      <c r="A634" t="s">
        <v>209</v>
      </c>
      <c r="B634" s="6">
        <f t="shared" si="104"/>
        <v>6.6116666666666664</v>
      </c>
      <c r="C634" s="9">
        <f t="shared" si="105"/>
        <v>0.99999999999944578</v>
      </c>
      <c r="D634" s="8" t="str">
        <f t="shared" si="106"/>
        <v>W</v>
      </c>
      <c r="E634" s="3">
        <f t="shared" si="107"/>
        <v>101</v>
      </c>
      <c r="F634" s="3" t="str">
        <f t="shared" si="108"/>
        <v>ack</v>
      </c>
      <c r="G634" s="3" t="str">
        <f t="shared" si="109"/>
        <v>9A</v>
      </c>
      <c r="H634" s="3" t="str">
        <f t="shared" si="110"/>
        <v/>
      </c>
      <c r="I634" s="3">
        <f t="shared" si="111"/>
        <v>154</v>
      </c>
      <c r="J634" s="5" t="str">
        <f>IF(E634=0,"Broadcast",IF(H634="",IF(I634="","",IF(I634&lt;128,"Connect "&amp;I634,INDEX(KdoCodeTab,MATCH(I634,KdoWertTab,0)))),"ReadStat "&amp;H634))</f>
        <v>RepMarkCmd</v>
      </c>
      <c r="K634" t="str">
        <f t="shared" si="101"/>
        <v/>
      </c>
      <c r="L634" t="str">
        <f t="shared" si="102"/>
        <v/>
      </c>
      <c r="M634" t="str">
        <f t="shared" si="103"/>
        <v>RepMarkCmd</v>
      </c>
    </row>
    <row r="635" spans="1:13" x14ac:dyDescent="0.25">
      <c r="A635" t="s">
        <v>210</v>
      </c>
      <c r="B635" s="6">
        <f t="shared" si="104"/>
        <v>6.629833333333333</v>
      </c>
      <c r="C635" s="9">
        <f t="shared" si="105"/>
        <v>18.166666666666664</v>
      </c>
      <c r="D635" s="8" t="str">
        <f t="shared" si="106"/>
        <v>W</v>
      </c>
      <c r="E635" s="3">
        <f t="shared" si="107"/>
        <v>101</v>
      </c>
      <c r="F635" s="3" t="str">
        <f t="shared" si="108"/>
        <v>ack</v>
      </c>
      <c r="G635" s="3" t="str">
        <f t="shared" si="109"/>
        <v>93</v>
      </c>
      <c r="H635" s="3" t="str">
        <f t="shared" si="110"/>
        <v/>
      </c>
      <c r="I635" s="3">
        <f t="shared" si="111"/>
        <v>147</v>
      </c>
      <c r="J635" s="5" t="str">
        <f>IF(E635=0,"Broadcast",IF(H635="",IF(I635="","",IF(I635&lt;128,"Connect "&amp;I635,INDEX(KdoCodeTab,MATCH(I635,KdoWertTab,0)))),"ReadStat "&amp;H635))</f>
        <v>SpaceCmd</v>
      </c>
      <c r="K635" t="str">
        <f t="shared" ref="K635:K698" si="112">IF(E635=$K$2,J635,"")</f>
        <v/>
      </c>
      <c r="L635" t="str">
        <f t="shared" ref="L635:L698" si="113">IF(E635=$L$2,J635,"")</f>
        <v/>
      </c>
      <c r="M635" t="str">
        <f t="shared" ref="M635:M698" si="114">IF(K635&amp;L635="",J635,"")</f>
        <v>SpaceCmd</v>
      </c>
    </row>
    <row r="636" spans="1:13" x14ac:dyDescent="0.25">
      <c r="A636" t="s">
        <v>211</v>
      </c>
      <c r="B636" s="6">
        <f t="shared" si="104"/>
        <v>6.6306666666666665</v>
      </c>
      <c r="C636" s="9">
        <f t="shared" si="105"/>
        <v>0.8333333333334636</v>
      </c>
      <c r="D636" s="8" t="str">
        <f t="shared" si="106"/>
        <v>W</v>
      </c>
      <c r="E636" s="3">
        <f t="shared" si="107"/>
        <v>101</v>
      </c>
      <c r="F636" s="3" t="str">
        <f t="shared" si="108"/>
        <v>ack</v>
      </c>
      <c r="G636" s="3" t="str">
        <f t="shared" si="109"/>
        <v>96</v>
      </c>
      <c r="H636" s="3" t="str">
        <f t="shared" si="110"/>
        <v/>
      </c>
      <c r="I636" s="3">
        <f t="shared" si="111"/>
        <v>150</v>
      </c>
      <c r="J636" s="5" t="str">
        <f>IF(E636=0,"Broadcast",IF(H636="",IF(I636="","",IF(I636&lt;128,"Connect "&amp;I636,INDEX(KdoCodeTab,MATCH(I636,KdoWertTab,0)))),"ReadStat "&amp;H636))</f>
        <v>RepSpaceCmd</v>
      </c>
      <c r="K636" t="str">
        <f t="shared" si="112"/>
        <v/>
      </c>
      <c r="L636" t="str">
        <f t="shared" si="113"/>
        <v/>
      </c>
      <c r="M636" t="str">
        <f t="shared" si="114"/>
        <v>RepSpaceCmd</v>
      </c>
    </row>
    <row r="637" spans="1:13" x14ac:dyDescent="0.25">
      <c r="A637" t="s">
        <v>212</v>
      </c>
      <c r="B637" s="6">
        <f t="shared" si="104"/>
        <v>6.6703333333333337</v>
      </c>
      <c r="C637" s="9">
        <f t="shared" si="105"/>
        <v>39.666666666667183</v>
      </c>
      <c r="D637" s="8" t="str">
        <f t="shared" si="106"/>
        <v>W</v>
      </c>
      <c r="E637" s="3">
        <f t="shared" si="107"/>
        <v>101</v>
      </c>
      <c r="F637" s="3" t="str">
        <f t="shared" si="108"/>
        <v>ack</v>
      </c>
      <c r="G637" s="3" t="str">
        <f t="shared" si="109"/>
        <v>9C</v>
      </c>
      <c r="H637" s="3" t="str">
        <f t="shared" si="110"/>
        <v/>
      </c>
      <c r="I637" s="3">
        <f t="shared" si="111"/>
        <v>156</v>
      </c>
      <c r="J637" s="5" t="str">
        <f>IF(E637=0,"Broadcast",IF(H637="",IF(I637="","",IF(I637&lt;128,"Connect "&amp;I637,INDEX(KdoCodeTab,MATCH(I637,KdoWertTab,0)))),"ReadStat "&amp;H637))</f>
        <v>MarkCmd</v>
      </c>
      <c r="K637" t="str">
        <f t="shared" si="112"/>
        <v/>
      </c>
      <c r="L637" t="str">
        <f t="shared" si="113"/>
        <v/>
      </c>
      <c r="M637" t="str">
        <f t="shared" si="114"/>
        <v>MarkCmd</v>
      </c>
    </row>
    <row r="638" spans="1:13" x14ac:dyDescent="0.25">
      <c r="A638" t="s">
        <v>213</v>
      </c>
      <c r="B638" s="6">
        <f t="shared" si="104"/>
        <v>6.6711666666666671</v>
      </c>
      <c r="C638" s="9">
        <f t="shared" si="105"/>
        <v>0.8333333333334636</v>
      </c>
      <c r="D638" s="8" t="str">
        <f t="shared" si="106"/>
        <v>W</v>
      </c>
      <c r="E638" s="3">
        <f t="shared" si="107"/>
        <v>101</v>
      </c>
      <c r="F638" s="3" t="str">
        <f t="shared" si="108"/>
        <v>ack</v>
      </c>
      <c r="G638" s="3" t="str">
        <f t="shared" si="109"/>
        <v>9A</v>
      </c>
      <c r="H638" s="3" t="str">
        <f t="shared" si="110"/>
        <v/>
      </c>
      <c r="I638" s="3">
        <f t="shared" si="111"/>
        <v>154</v>
      </c>
      <c r="J638" s="5" t="str">
        <f>IF(E638=0,"Broadcast",IF(H638="",IF(I638="","",IF(I638&lt;128,"Connect "&amp;I638,INDEX(KdoCodeTab,MATCH(I638,KdoWertTab,0)))),"ReadStat "&amp;H638))</f>
        <v>RepMarkCmd</v>
      </c>
      <c r="K638" t="str">
        <f t="shared" si="112"/>
        <v/>
      </c>
      <c r="L638" t="str">
        <f t="shared" si="113"/>
        <v/>
      </c>
      <c r="M638" t="str">
        <f t="shared" si="114"/>
        <v>RepMarkCmd</v>
      </c>
    </row>
    <row r="639" spans="1:13" x14ac:dyDescent="0.25">
      <c r="A639" t="s">
        <v>214</v>
      </c>
      <c r="B639" s="6">
        <f t="shared" si="104"/>
        <v>6.6829999999999998</v>
      </c>
      <c r="C639" s="9">
        <f t="shared" si="105"/>
        <v>11.833333333332696</v>
      </c>
      <c r="D639" s="8" t="str">
        <f t="shared" si="106"/>
        <v>W</v>
      </c>
      <c r="E639" s="3">
        <f t="shared" si="107"/>
        <v>31</v>
      </c>
      <c r="F639" s="3" t="str">
        <f t="shared" si="108"/>
        <v>ack</v>
      </c>
      <c r="G639" s="3" t="str">
        <f t="shared" si="109"/>
        <v>9A</v>
      </c>
      <c r="H639" s="3" t="str">
        <f t="shared" si="110"/>
        <v/>
      </c>
      <c r="I639" s="3">
        <f t="shared" si="111"/>
        <v>154</v>
      </c>
      <c r="J639" s="5" t="str">
        <f>IF(E639=0,"Broadcast",IF(H639="",IF(I639="","",IF(I639&lt;128,"Connect "&amp;I639,INDEX(KdoCodeTab,MATCH(I639,KdoWertTab,0)))),"ReadStat "&amp;H639))</f>
        <v>RepMarkCmd</v>
      </c>
      <c r="K639" t="str">
        <f t="shared" si="112"/>
        <v/>
      </c>
      <c r="L639" t="str">
        <f t="shared" si="113"/>
        <v>RepMarkCmd</v>
      </c>
      <c r="M639" t="str">
        <f t="shared" si="114"/>
        <v/>
      </c>
    </row>
    <row r="640" spans="1:13" x14ac:dyDescent="0.25">
      <c r="A640" t="s">
        <v>215</v>
      </c>
      <c r="B640" s="6">
        <f t="shared" si="104"/>
        <v>6.7208333333333332</v>
      </c>
      <c r="C640" s="9">
        <f t="shared" si="105"/>
        <v>37.833333333333385</v>
      </c>
      <c r="D640" s="8" t="str">
        <f t="shared" si="106"/>
        <v>W</v>
      </c>
      <c r="E640" s="3">
        <f t="shared" si="107"/>
        <v>101</v>
      </c>
      <c r="F640" s="3" t="str">
        <f t="shared" si="108"/>
        <v>ack</v>
      </c>
      <c r="G640" s="3" t="str">
        <f t="shared" si="109"/>
        <v>93</v>
      </c>
      <c r="H640" s="3" t="str">
        <f t="shared" si="110"/>
        <v/>
      </c>
      <c r="I640" s="3">
        <f t="shared" si="111"/>
        <v>147</v>
      </c>
      <c r="J640" s="5" t="str">
        <f>IF(E640=0,"Broadcast",IF(H640="",IF(I640="","",IF(I640&lt;128,"Connect "&amp;I640,INDEX(KdoCodeTab,MATCH(I640,KdoWertTab,0)))),"ReadStat "&amp;H640))</f>
        <v>SpaceCmd</v>
      </c>
      <c r="K640" t="str">
        <f t="shared" si="112"/>
        <v/>
      </c>
      <c r="L640" t="str">
        <f t="shared" si="113"/>
        <v/>
      </c>
      <c r="M640" t="str">
        <f t="shared" si="114"/>
        <v>SpaceCmd</v>
      </c>
    </row>
    <row r="641" spans="1:13" x14ac:dyDescent="0.25">
      <c r="A641" t="s">
        <v>216</v>
      </c>
      <c r="B641" s="6">
        <f t="shared" si="104"/>
        <v>6.7216666666666667</v>
      </c>
      <c r="C641" s="9">
        <f t="shared" si="105"/>
        <v>0.8333333333334636</v>
      </c>
      <c r="D641" s="8" t="str">
        <f t="shared" si="106"/>
        <v>W</v>
      </c>
      <c r="E641" s="3">
        <f t="shared" si="107"/>
        <v>101</v>
      </c>
      <c r="F641" s="3" t="str">
        <f t="shared" si="108"/>
        <v>ack</v>
      </c>
      <c r="G641" s="3" t="str">
        <f t="shared" si="109"/>
        <v>96</v>
      </c>
      <c r="H641" s="3" t="str">
        <f t="shared" si="110"/>
        <v/>
      </c>
      <c r="I641" s="3">
        <f t="shared" si="111"/>
        <v>150</v>
      </c>
      <c r="J641" s="5" t="str">
        <f>IF(E641=0,"Broadcast",IF(H641="",IF(I641="","",IF(I641&lt;128,"Connect "&amp;I641,INDEX(KdoCodeTab,MATCH(I641,KdoWertTab,0)))),"ReadStat "&amp;H641))</f>
        <v>RepSpaceCmd</v>
      </c>
      <c r="K641" t="str">
        <f t="shared" si="112"/>
        <v/>
      </c>
      <c r="L641" t="str">
        <f t="shared" si="113"/>
        <v/>
      </c>
      <c r="M641" t="str">
        <f t="shared" si="114"/>
        <v>RepSpaceCmd</v>
      </c>
    </row>
    <row r="642" spans="1:13" x14ac:dyDescent="0.25">
      <c r="A642" t="s">
        <v>217</v>
      </c>
      <c r="B642" s="6">
        <f t="shared" si="104"/>
        <v>6.7613333333333339</v>
      </c>
      <c r="C642" s="9">
        <f t="shared" si="105"/>
        <v>39.666666666667183</v>
      </c>
      <c r="D642" s="8" t="str">
        <f t="shared" si="106"/>
        <v>W</v>
      </c>
      <c r="E642" s="3">
        <f t="shared" si="107"/>
        <v>101</v>
      </c>
      <c r="F642" s="3" t="str">
        <f t="shared" si="108"/>
        <v>ack</v>
      </c>
      <c r="G642" s="3" t="str">
        <f t="shared" si="109"/>
        <v>9C</v>
      </c>
      <c r="H642" s="3" t="str">
        <f t="shared" si="110"/>
        <v/>
      </c>
      <c r="I642" s="3">
        <f t="shared" si="111"/>
        <v>156</v>
      </c>
      <c r="J642" s="5" t="str">
        <f>IF(E642=0,"Broadcast",IF(H642="",IF(I642="","",IF(I642&lt;128,"Connect "&amp;I642,INDEX(KdoCodeTab,MATCH(I642,KdoWertTab,0)))),"ReadStat "&amp;H642))</f>
        <v>MarkCmd</v>
      </c>
      <c r="K642" t="str">
        <f t="shared" si="112"/>
        <v/>
      </c>
      <c r="L642" t="str">
        <f t="shared" si="113"/>
        <v/>
      </c>
      <c r="M642" t="str">
        <f t="shared" si="114"/>
        <v>MarkCmd</v>
      </c>
    </row>
    <row r="643" spans="1:13" x14ac:dyDescent="0.25">
      <c r="A643" t="s">
        <v>218</v>
      </c>
      <c r="B643" s="6">
        <f t="shared" si="104"/>
        <v>6.7621666666666664</v>
      </c>
      <c r="C643" s="9">
        <f t="shared" si="105"/>
        <v>0.83333333333257542</v>
      </c>
      <c r="D643" s="8" t="str">
        <f t="shared" si="106"/>
        <v>W</v>
      </c>
      <c r="E643" s="3">
        <f t="shared" si="107"/>
        <v>101</v>
      </c>
      <c r="F643" s="3" t="str">
        <f t="shared" si="108"/>
        <v>ack</v>
      </c>
      <c r="G643" s="3" t="str">
        <f t="shared" si="109"/>
        <v>9A</v>
      </c>
      <c r="H643" s="3" t="str">
        <f t="shared" si="110"/>
        <v/>
      </c>
      <c r="I643" s="3">
        <f t="shared" si="111"/>
        <v>154</v>
      </c>
      <c r="J643" s="5" t="str">
        <f>IF(E643=0,"Broadcast",IF(H643="",IF(I643="","",IF(I643&lt;128,"Connect "&amp;I643,INDEX(KdoCodeTab,MATCH(I643,KdoWertTab,0)))),"ReadStat "&amp;H643))</f>
        <v>RepMarkCmd</v>
      </c>
      <c r="K643" t="str">
        <f t="shared" si="112"/>
        <v/>
      </c>
      <c r="L643" t="str">
        <f t="shared" si="113"/>
        <v/>
      </c>
      <c r="M643" t="str">
        <f t="shared" si="114"/>
        <v>RepMarkCmd</v>
      </c>
    </row>
    <row r="644" spans="1:13" x14ac:dyDescent="0.25">
      <c r="A644" t="s">
        <v>219</v>
      </c>
      <c r="B644" s="6">
        <f t="shared" si="104"/>
        <v>6.780333333333334</v>
      </c>
      <c r="C644" s="9">
        <f t="shared" si="105"/>
        <v>18.166666666667552</v>
      </c>
      <c r="D644" s="8" t="str">
        <f t="shared" si="106"/>
        <v>W</v>
      </c>
      <c r="E644" s="3">
        <f t="shared" si="107"/>
        <v>101</v>
      </c>
      <c r="F644" s="3" t="str">
        <f t="shared" si="108"/>
        <v>ack</v>
      </c>
      <c r="G644" s="3" t="str">
        <f t="shared" si="109"/>
        <v>93</v>
      </c>
      <c r="H644" s="3" t="str">
        <f t="shared" si="110"/>
        <v/>
      </c>
      <c r="I644" s="3">
        <f t="shared" si="111"/>
        <v>147</v>
      </c>
      <c r="J644" s="5" t="str">
        <f>IF(E644=0,"Broadcast",IF(H644="",IF(I644="","",IF(I644&lt;128,"Connect "&amp;I644,INDEX(KdoCodeTab,MATCH(I644,KdoWertTab,0)))),"ReadStat "&amp;H644))</f>
        <v>SpaceCmd</v>
      </c>
      <c r="K644" t="str">
        <f t="shared" si="112"/>
        <v/>
      </c>
      <c r="L644" t="str">
        <f t="shared" si="113"/>
        <v/>
      </c>
      <c r="M644" t="str">
        <f t="shared" si="114"/>
        <v>SpaceCmd</v>
      </c>
    </row>
    <row r="645" spans="1:13" x14ac:dyDescent="0.25">
      <c r="A645" t="s">
        <v>220</v>
      </c>
      <c r="B645" s="6">
        <f t="shared" ref="B645:B708" si="115">MID(A645,1,5)/1000+(CODE(MID(A645,6,1))-CODE("a"))/6000</f>
        <v>6.7813333333333334</v>
      </c>
      <c r="C645" s="9">
        <f t="shared" ref="C645:C708" si="116">(B645-B644+IF(B645&gt;B644,0,11))*1000</f>
        <v>0.99999999999944578</v>
      </c>
      <c r="D645" s="8" t="str">
        <f t="shared" ref="D645:D708" si="117">IF(MID(A645,10,1)="&lt;","R",IF(MID(A645,10,1)="&gt;","W","?"))</f>
        <v>W</v>
      </c>
      <c r="E645" s="3">
        <f t="shared" ref="E645:E708" si="118">INT(HEX2DEC(MID(A645,8,2))/2)</f>
        <v>101</v>
      </c>
      <c r="F645" s="3" t="str">
        <f t="shared" ref="F645:F708" si="119">IF(MID(A645,11,1)="+","ack","NACK")</f>
        <v>ack</v>
      </c>
      <c r="G645" s="3" t="str">
        <f t="shared" ref="G645:G708" si="120">IF(F645="ack",SUBSTITUTE(MID(A645,12,LEN(A645)-12),"+","  "),"")</f>
        <v>96</v>
      </c>
      <c r="H645" s="3" t="str">
        <f t="shared" ref="H645:H708" si="121">IF(MID(A645,10,2)="&lt;+",MID(A645,12,2),"")</f>
        <v/>
      </c>
      <c r="I645" s="3">
        <f t="shared" ref="I645:I708" si="122">IF(MID(A645,10,2)="&gt;+",HEX2DEC(MID(A645,12,2)),"")</f>
        <v>150</v>
      </c>
      <c r="J645" s="5" t="str">
        <f>IF(E645=0,"Broadcast",IF(H645="",IF(I645="","",IF(I645&lt;128,"Connect "&amp;I645,INDEX(KdoCodeTab,MATCH(I645,KdoWertTab,0)))),"ReadStat "&amp;H645))</f>
        <v>RepSpaceCmd</v>
      </c>
      <c r="K645" t="str">
        <f t="shared" si="112"/>
        <v/>
      </c>
      <c r="L645" t="str">
        <f t="shared" si="113"/>
        <v/>
      </c>
      <c r="M645" t="str">
        <f t="shared" si="114"/>
        <v>RepSpaceCmd</v>
      </c>
    </row>
    <row r="646" spans="1:13" x14ac:dyDescent="0.25">
      <c r="A646" t="s">
        <v>221</v>
      </c>
      <c r="B646" s="6">
        <f t="shared" si="115"/>
        <v>6.8208333333333337</v>
      </c>
      <c r="C646" s="9">
        <f t="shared" si="116"/>
        <v>39.500000000000313</v>
      </c>
      <c r="D646" s="8" t="str">
        <f t="shared" si="117"/>
        <v>W</v>
      </c>
      <c r="E646" s="3">
        <f t="shared" si="118"/>
        <v>101</v>
      </c>
      <c r="F646" s="3" t="str">
        <f t="shared" si="119"/>
        <v>ack</v>
      </c>
      <c r="G646" s="3" t="str">
        <f t="shared" si="120"/>
        <v>9C</v>
      </c>
      <c r="H646" s="3" t="str">
        <f t="shared" si="121"/>
        <v/>
      </c>
      <c r="I646" s="3">
        <f t="shared" si="122"/>
        <v>156</v>
      </c>
      <c r="J646" s="5" t="str">
        <f>IF(E646=0,"Broadcast",IF(H646="",IF(I646="","",IF(I646&lt;128,"Connect "&amp;I646,INDEX(KdoCodeTab,MATCH(I646,KdoWertTab,0)))),"ReadStat "&amp;H646))</f>
        <v>MarkCmd</v>
      </c>
      <c r="K646" t="str">
        <f t="shared" si="112"/>
        <v/>
      </c>
      <c r="L646" t="str">
        <f t="shared" si="113"/>
        <v/>
      </c>
      <c r="M646" t="str">
        <f t="shared" si="114"/>
        <v>MarkCmd</v>
      </c>
    </row>
    <row r="647" spans="1:13" x14ac:dyDescent="0.25">
      <c r="A647" t="s">
        <v>222</v>
      </c>
      <c r="B647" s="6">
        <f t="shared" si="115"/>
        <v>6.8218333333333332</v>
      </c>
      <c r="C647" s="9">
        <f t="shared" si="116"/>
        <v>0.99999999999944578</v>
      </c>
      <c r="D647" s="8" t="str">
        <f t="shared" si="117"/>
        <v>W</v>
      </c>
      <c r="E647" s="3">
        <f t="shared" si="118"/>
        <v>101</v>
      </c>
      <c r="F647" s="3" t="str">
        <f t="shared" si="119"/>
        <v>ack</v>
      </c>
      <c r="G647" s="3" t="str">
        <f t="shared" si="120"/>
        <v>9A</v>
      </c>
      <c r="H647" s="3" t="str">
        <f t="shared" si="121"/>
        <v/>
      </c>
      <c r="I647" s="3">
        <f t="shared" si="122"/>
        <v>154</v>
      </c>
      <c r="J647" s="5" t="str">
        <f>IF(E647=0,"Broadcast",IF(H647="",IF(I647="","",IF(I647&lt;128,"Connect "&amp;I647,INDEX(KdoCodeTab,MATCH(I647,KdoWertTab,0)))),"ReadStat "&amp;H647))</f>
        <v>RepMarkCmd</v>
      </c>
      <c r="K647" t="str">
        <f t="shared" si="112"/>
        <v/>
      </c>
      <c r="L647" t="str">
        <f t="shared" si="113"/>
        <v/>
      </c>
      <c r="M647" t="str">
        <f t="shared" si="114"/>
        <v>RepMarkCmd</v>
      </c>
    </row>
    <row r="648" spans="1:13" x14ac:dyDescent="0.25">
      <c r="A648" t="s">
        <v>223</v>
      </c>
      <c r="B648" s="6">
        <f t="shared" si="115"/>
        <v>6.9349999999999996</v>
      </c>
      <c r="C648" s="9">
        <f t="shared" si="116"/>
        <v>113.16666666666642</v>
      </c>
      <c r="D648" s="8" t="str">
        <f t="shared" si="117"/>
        <v>W</v>
      </c>
      <c r="E648" s="3">
        <f t="shared" si="118"/>
        <v>101</v>
      </c>
      <c r="F648" s="3" t="str">
        <f t="shared" si="119"/>
        <v>ack</v>
      </c>
      <c r="G648" s="3" t="str">
        <f t="shared" si="120"/>
        <v>93</v>
      </c>
      <c r="H648" s="3" t="str">
        <f t="shared" si="121"/>
        <v/>
      </c>
      <c r="I648" s="3">
        <f t="shared" si="122"/>
        <v>147</v>
      </c>
      <c r="J648" s="5" t="str">
        <f>IF(E648=0,"Broadcast",IF(H648="",IF(I648="","",IF(I648&lt;128,"Connect "&amp;I648,INDEX(KdoCodeTab,MATCH(I648,KdoWertTab,0)))),"ReadStat "&amp;H648))</f>
        <v>SpaceCmd</v>
      </c>
      <c r="K648" t="str">
        <f t="shared" si="112"/>
        <v/>
      </c>
      <c r="L648" t="str">
        <f t="shared" si="113"/>
        <v/>
      </c>
      <c r="M648" t="str">
        <f t="shared" si="114"/>
        <v>SpaceCmd</v>
      </c>
    </row>
    <row r="649" spans="1:13" x14ac:dyDescent="0.25">
      <c r="A649" t="s">
        <v>224</v>
      </c>
      <c r="B649" s="6">
        <f t="shared" si="115"/>
        <v>6.9359999999999999</v>
      </c>
      <c r="C649" s="9">
        <f t="shared" si="116"/>
        <v>1.000000000000334</v>
      </c>
      <c r="D649" s="8" t="str">
        <f t="shared" si="117"/>
        <v>W</v>
      </c>
      <c r="E649" s="3">
        <f t="shared" si="118"/>
        <v>101</v>
      </c>
      <c r="F649" s="3" t="str">
        <f t="shared" si="119"/>
        <v>ack</v>
      </c>
      <c r="G649" s="3" t="str">
        <f t="shared" si="120"/>
        <v>96</v>
      </c>
      <c r="H649" s="3" t="str">
        <f t="shared" si="121"/>
        <v/>
      </c>
      <c r="I649" s="3">
        <f t="shared" si="122"/>
        <v>150</v>
      </c>
      <c r="J649" s="5" t="str">
        <f>IF(E649=0,"Broadcast",IF(H649="",IF(I649="","",IF(I649&lt;128,"Connect "&amp;I649,INDEX(KdoCodeTab,MATCH(I649,KdoWertTab,0)))),"ReadStat "&amp;H649))</f>
        <v>RepSpaceCmd</v>
      </c>
      <c r="K649" t="str">
        <f t="shared" si="112"/>
        <v/>
      </c>
      <c r="L649" t="str">
        <f t="shared" si="113"/>
        <v/>
      </c>
      <c r="M649" t="str">
        <f t="shared" si="114"/>
        <v>RepSpaceCmd</v>
      </c>
    </row>
    <row r="650" spans="1:13" x14ac:dyDescent="0.25">
      <c r="A650" t="s">
        <v>225</v>
      </c>
      <c r="B650" s="6">
        <f t="shared" si="115"/>
        <v>7.0148333333333337</v>
      </c>
      <c r="C650" s="9">
        <f t="shared" si="116"/>
        <v>78.833333333333755</v>
      </c>
      <c r="D650" s="8" t="str">
        <f t="shared" si="117"/>
        <v>W</v>
      </c>
      <c r="E650" s="3">
        <f t="shared" si="118"/>
        <v>101</v>
      </c>
      <c r="F650" s="3" t="str">
        <f t="shared" si="119"/>
        <v>ack</v>
      </c>
      <c r="G650" s="3" t="str">
        <f t="shared" si="120"/>
        <v>9C</v>
      </c>
      <c r="H650" s="3" t="str">
        <f t="shared" si="121"/>
        <v/>
      </c>
      <c r="I650" s="3">
        <f t="shared" si="122"/>
        <v>156</v>
      </c>
      <c r="J650" s="5" t="str">
        <f>IF(E650=0,"Broadcast",IF(H650="",IF(I650="","",IF(I650&lt;128,"Connect "&amp;I650,INDEX(KdoCodeTab,MATCH(I650,KdoWertTab,0)))),"ReadStat "&amp;H650))</f>
        <v>MarkCmd</v>
      </c>
      <c r="K650" t="str">
        <f t="shared" si="112"/>
        <v/>
      </c>
      <c r="L650" t="str">
        <f t="shared" si="113"/>
        <v/>
      </c>
      <c r="M650" t="str">
        <f t="shared" si="114"/>
        <v>MarkCmd</v>
      </c>
    </row>
    <row r="651" spans="1:13" x14ac:dyDescent="0.25">
      <c r="A651" t="s">
        <v>226</v>
      </c>
      <c r="B651" s="6">
        <f t="shared" si="115"/>
        <v>7.0156666666666663</v>
      </c>
      <c r="C651" s="9">
        <f t="shared" si="116"/>
        <v>0.83333333333257542</v>
      </c>
      <c r="D651" s="8" t="str">
        <f t="shared" si="117"/>
        <v>W</v>
      </c>
      <c r="E651" s="3">
        <f t="shared" si="118"/>
        <v>101</v>
      </c>
      <c r="F651" s="3" t="str">
        <f t="shared" si="119"/>
        <v>ack</v>
      </c>
      <c r="G651" s="3" t="str">
        <f t="shared" si="120"/>
        <v>9A</v>
      </c>
      <c r="H651" s="3" t="str">
        <f t="shared" si="121"/>
        <v/>
      </c>
      <c r="I651" s="3">
        <f t="shared" si="122"/>
        <v>154</v>
      </c>
      <c r="J651" s="5" t="str">
        <f>IF(E651=0,"Broadcast",IF(H651="",IF(I651="","",IF(I651&lt;128,"Connect "&amp;I651,INDEX(KdoCodeTab,MATCH(I651,KdoWertTab,0)))),"ReadStat "&amp;H651))</f>
        <v>RepMarkCmd</v>
      </c>
      <c r="K651" t="str">
        <f t="shared" si="112"/>
        <v/>
      </c>
      <c r="L651" t="str">
        <f t="shared" si="113"/>
        <v/>
      </c>
      <c r="M651" t="str">
        <f t="shared" si="114"/>
        <v>RepMarkCmd</v>
      </c>
    </row>
    <row r="652" spans="1:13" x14ac:dyDescent="0.25">
      <c r="A652" t="s">
        <v>227</v>
      </c>
      <c r="B652" s="6">
        <f t="shared" si="115"/>
        <v>7.1890000000000001</v>
      </c>
      <c r="C652" s="9">
        <f t="shared" si="116"/>
        <v>173.33333333333377</v>
      </c>
      <c r="D652" s="8" t="str">
        <f t="shared" si="117"/>
        <v>W</v>
      </c>
      <c r="E652" s="3">
        <f t="shared" si="118"/>
        <v>31</v>
      </c>
      <c r="F652" s="3" t="str">
        <f t="shared" si="119"/>
        <v>ack</v>
      </c>
      <c r="G652" s="3" t="str">
        <f t="shared" si="120"/>
        <v>9A</v>
      </c>
      <c r="H652" s="3" t="str">
        <f t="shared" si="121"/>
        <v/>
      </c>
      <c r="I652" s="3">
        <f t="shared" si="122"/>
        <v>154</v>
      </c>
      <c r="J652" s="5" t="str">
        <f>IF(E652=0,"Broadcast",IF(H652="",IF(I652="","",IF(I652&lt;128,"Connect "&amp;I652,INDEX(KdoCodeTab,MATCH(I652,KdoWertTab,0)))),"ReadStat "&amp;H652))</f>
        <v>RepMarkCmd</v>
      </c>
      <c r="K652" t="str">
        <f t="shared" si="112"/>
        <v/>
      </c>
      <c r="L652" t="str">
        <f t="shared" si="113"/>
        <v>RepMarkCmd</v>
      </c>
      <c r="M652" t="str">
        <f t="shared" si="114"/>
        <v/>
      </c>
    </row>
    <row r="653" spans="1:13" x14ac:dyDescent="0.25">
      <c r="A653" t="s">
        <v>228</v>
      </c>
      <c r="B653" s="6">
        <f t="shared" si="115"/>
        <v>7.2581666666666669</v>
      </c>
      <c r="C653" s="9">
        <f t="shared" si="116"/>
        <v>69.166666666666828</v>
      </c>
      <c r="D653" s="8" t="str">
        <f t="shared" si="117"/>
        <v>W</v>
      </c>
      <c r="E653" s="3">
        <f t="shared" si="118"/>
        <v>101</v>
      </c>
      <c r="F653" s="3" t="str">
        <f t="shared" si="119"/>
        <v>ack</v>
      </c>
      <c r="G653" s="3" t="str">
        <f t="shared" si="120"/>
        <v>A9</v>
      </c>
      <c r="H653" s="3" t="str">
        <f t="shared" si="121"/>
        <v/>
      </c>
      <c r="I653" s="3">
        <f t="shared" si="122"/>
        <v>169</v>
      </c>
      <c r="J653" s="5" t="str">
        <f>IF(E653=0,"Broadcast",IF(H653="",IF(I653="","",IF(I653&lt;128,"Connect "&amp;I653,INDEX(KdoCodeTab,MATCH(I653,KdoWertTab,0)))),"ReadStat "&amp;H653))</f>
        <v>Heartbeat</v>
      </c>
      <c r="K653" t="str">
        <f t="shared" si="112"/>
        <v/>
      </c>
      <c r="L653" t="str">
        <f t="shared" si="113"/>
        <v/>
      </c>
      <c r="M653" t="str">
        <f t="shared" si="114"/>
        <v>Heartbeat</v>
      </c>
    </row>
    <row r="654" spans="1:13" x14ac:dyDescent="0.25">
      <c r="A654" t="s">
        <v>229</v>
      </c>
      <c r="B654" s="6">
        <f t="shared" si="115"/>
        <v>7.2653333333333334</v>
      </c>
      <c r="C654" s="9">
        <f t="shared" si="116"/>
        <v>7.1666666666665435</v>
      </c>
      <c r="D654" s="8" t="str">
        <f t="shared" si="117"/>
        <v>W</v>
      </c>
      <c r="E654" s="3">
        <f t="shared" si="118"/>
        <v>101</v>
      </c>
      <c r="F654" s="3" t="str">
        <f t="shared" si="119"/>
        <v>ack</v>
      </c>
      <c r="G654" s="3" t="str">
        <f t="shared" si="120"/>
        <v>93</v>
      </c>
      <c r="H654" s="3" t="str">
        <f t="shared" si="121"/>
        <v/>
      </c>
      <c r="I654" s="3">
        <f t="shared" si="122"/>
        <v>147</v>
      </c>
      <c r="J654" s="5" t="str">
        <f>IF(E654=0,"Broadcast",IF(H654="",IF(I654="","",IF(I654&lt;128,"Connect "&amp;I654,INDEX(KdoCodeTab,MATCH(I654,KdoWertTab,0)))),"ReadStat "&amp;H654))</f>
        <v>SpaceCmd</v>
      </c>
      <c r="K654" t="str">
        <f t="shared" si="112"/>
        <v/>
      </c>
      <c r="L654" t="str">
        <f t="shared" si="113"/>
        <v/>
      </c>
      <c r="M654" t="str">
        <f t="shared" si="114"/>
        <v>SpaceCmd</v>
      </c>
    </row>
    <row r="655" spans="1:13" x14ac:dyDescent="0.25">
      <c r="A655" t="s">
        <v>230</v>
      </c>
      <c r="B655" s="6">
        <f t="shared" si="115"/>
        <v>7.2663333333333338</v>
      </c>
      <c r="C655" s="9">
        <f t="shared" si="116"/>
        <v>1.000000000000334</v>
      </c>
      <c r="D655" s="8" t="str">
        <f t="shared" si="117"/>
        <v>W</v>
      </c>
      <c r="E655" s="3">
        <f t="shared" si="118"/>
        <v>101</v>
      </c>
      <c r="F655" s="3" t="str">
        <f t="shared" si="119"/>
        <v>ack</v>
      </c>
      <c r="G655" s="3" t="str">
        <f t="shared" si="120"/>
        <v>96</v>
      </c>
      <c r="H655" s="3" t="str">
        <f t="shared" si="121"/>
        <v/>
      </c>
      <c r="I655" s="3">
        <f t="shared" si="122"/>
        <v>150</v>
      </c>
      <c r="J655" s="5" t="str">
        <f>IF(E655=0,"Broadcast",IF(H655="",IF(I655="","",IF(I655&lt;128,"Connect "&amp;I655,INDEX(KdoCodeTab,MATCH(I655,KdoWertTab,0)))),"ReadStat "&amp;H655))</f>
        <v>RepSpaceCmd</v>
      </c>
      <c r="K655" t="str">
        <f t="shared" si="112"/>
        <v/>
      </c>
      <c r="L655" t="str">
        <f t="shared" si="113"/>
        <v/>
      </c>
      <c r="M655" t="str">
        <f t="shared" si="114"/>
        <v>RepSpaceCmd</v>
      </c>
    </row>
    <row r="656" spans="1:13" x14ac:dyDescent="0.25">
      <c r="A656" t="s">
        <v>231</v>
      </c>
      <c r="B656" s="6">
        <f t="shared" si="115"/>
        <v>7.3250000000000002</v>
      </c>
      <c r="C656" s="9">
        <f t="shared" si="116"/>
        <v>58.666666666666423</v>
      </c>
      <c r="D656" s="8" t="str">
        <f t="shared" si="117"/>
        <v>W</v>
      </c>
      <c r="E656" s="3">
        <f t="shared" si="118"/>
        <v>101</v>
      </c>
      <c r="F656" s="3" t="str">
        <f t="shared" si="119"/>
        <v>ack</v>
      </c>
      <c r="G656" s="3" t="str">
        <f t="shared" si="120"/>
        <v>9C</v>
      </c>
      <c r="H656" s="3" t="str">
        <f t="shared" si="121"/>
        <v/>
      </c>
      <c r="I656" s="3">
        <f t="shared" si="122"/>
        <v>156</v>
      </c>
      <c r="J656" s="5" t="str">
        <f>IF(E656=0,"Broadcast",IF(H656="",IF(I656="","",IF(I656&lt;128,"Connect "&amp;I656,INDEX(KdoCodeTab,MATCH(I656,KdoWertTab,0)))),"ReadStat "&amp;H656))</f>
        <v>MarkCmd</v>
      </c>
      <c r="K656" t="str">
        <f t="shared" si="112"/>
        <v/>
      </c>
      <c r="L656" t="str">
        <f t="shared" si="113"/>
        <v/>
      </c>
      <c r="M656" t="str">
        <f t="shared" si="114"/>
        <v>MarkCmd</v>
      </c>
    </row>
    <row r="657" spans="1:13" x14ac:dyDescent="0.25">
      <c r="A657" t="s">
        <v>232</v>
      </c>
      <c r="B657" s="6">
        <f t="shared" si="115"/>
        <v>7.3258333333333336</v>
      </c>
      <c r="C657" s="9">
        <f t="shared" si="116"/>
        <v>0.8333333333334636</v>
      </c>
      <c r="D657" s="8" t="str">
        <f t="shared" si="117"/>
        <v>W</v>
      </c>
      <c r="E657" s="3">
        <f t="shared" si="118"/>
        <v>101</v>
      </c>
      <c r="F657" s="3" t="str">
        <f t="shared" si="119"/>
        <v>ack</v>
      </c>
      <c r="G657" s="3" t="str">
        <f t="shared" si="120"/>
        <v>9A</v>
      </c>
      <c r="H657" s="3" t="str">
        <f t="shared" si="121"/>
        <v/>
      </c>
      <c r="I657" s="3">
        <f t="shared" si="122"/>
        <v>154</v>
      </c>
      <c r="J657" s="5" t="str">
        <f>IF(E657=0,"Broadcast",IF(H657="",IF(I657="","",IF(I657&lt;128,"Connect "&amp;I657,INDEX(KdoCodeTab,MATCH(I657,KdoWertTab,0)))),"ReadStat "&amp;H657))</f>
        <v>RepMarkCmd</v>
      </c>
      <c r="K657" t="str">
        <f t="shared" si="112"/>
        <v/>
      </c>
      <c r="L657" t="str">
        <f t="shared" si="113"/>
        <v/>
      </c>
      <c r="M657" t="str">
        <f t="shared" si="114"/>
        <v>RepMarkCmd</v>
      </c>
    </row>
    <row r="658" spans="1:13" x14ac:dyDescent="0.25">
      <c r="A658" t="s">
        <v>233</v>
      </c>
      <c r="B658" s="6">
        <f t="shared" si="115"/>
        <v>7.3451666666666666</v>
      </c>
      <c r="C658" s="9">
        <f t="shared" si="116"/>
        <v>19.33333333333298</v>
      </c>
      <c r="D658" s="8" t="str">
        <f t="shared" si="117"/>
        <v>W</v>
      </c>
      <c r="E658" s="3">
        <f t="shared" si="118"/>
        <v>101</v>
      </c>
      <c r="F658" s="3" t="str">
        <f t="shared" si="119"/>
        <v>ack</v>
      </c>
      <c r="G658" s="3" t="str">
        <f t="shared" si="120"/>
        <v>93</v>
      </c>
      <c r="H658" s="3" t="str">
        <f t="shared" si="121"/>
        <v/>
      </c>
      <c r="I658" s="3">
        <f t="shared" si="122"/>
        <v>147</v>
      </c>
      <c r="J658" s="5" t="str">
        <f>IF(E658=0,"Broadcast",IF(H658="",IF(I658="","",IF(I658&lt;128,"Connect "&amp;I658,INDEX(KdoCodeTab,MATCH(I658,KdoWertTab,0)))),"ReadStat "&amp;H658))</f>
        <v>SpaceCmd</v>
      </c>
      <c r="K658" t="str">
        <f t="shared" si="112"/>
        <v/>
      </c>
      <c r="L658" t="str">
        <f t="shared" si="113"/>
        <v/>
      </c>
      <c r="M658" t="str">
        <f t="shared" si="114"/>
        <v>SpaceCmd</v>
      </c>
    </row>
    <row r="659" spans="1:13" x14ac:dyDescent="0.25">
      <c r="A659" t="s">
        <v>234</v>
      </c>
      <c r="B659" s="6">
        <f t="shared" si="115"/>
        <v>7.3460000000000001</v>
      </c>
      <c r="C659" s="9">
        <f t="shared" si="116"/>
        <v>0.8333333333334636</v>
      </c>
      <c r="D659" s="8" t="str">
        <f t="shared" si="117"/>
        <v>W</v>
      </c>
      <c r="E659" s="3">
        <f t="shared" si="118"/>
        <v>101</v>
      </c>
      <c r="F659" s="3" t="str">
        <f t="shared" si="119"/>
        <v>ack</v>
      </c>
      <c r="G659" s="3" t="str">
        <f t="shared" si="120"/>
        <v>96</v>
      </c>
      <c r="H659" s="3" t="str">
        <f t="shared" si="121"/>
        <v/>
      </c>
      <c r="I659" s="3">
        <f t="shared" si="122"/>
        <v>150</v>
      </c>
      <c r="J659" s="5" t="str">
        <f>IF(E659=0,"Broadcast",IF(H659="",IF(I659="","",IF(I659&lt;128,"Connect "&amp;I659,INDEX(KdoCodeTab,MATCH(I659,KdoWertTab,0)))),"ReadStat "&amp;H659))</f>
        <v>RepSpaceCmd</v>
      </c>
      <c r="K659" t="str">
        <f t="shared" si="112"/>
        <v/>
      </c>
      <c r="L659" t="str">
        <f t="shared" si="113"/>
        <v/>
      </c>
      <c r="M659" t="str">
        <f t="shared" si="114"/>
        <v>RepSpaceCmd</v>
      </c>
    </row>
    <row r="660" spans="1:13" x14ac:dyDescent="0.25">
      <c r="A660" t="s">
        <v>235</v>
      </c>
      <c r="B660" s="6">
        <f t="shared" si="115"/>
        <v>7.3854999999999995</v>
      </c>
      <c r="C660" s="9">
        <f t="shared" si="116"/>
        <v>39.499999999999424</v>
      </c>
      <c r="D660" s="8" t="str">
        <f t="shared" si="117"/>
        <v>W</v>
      </c>
      <c r="E660" s="3">
        <f t="shared" si="118"/>
        <v>101</v>
      </c>
      <c r="F660" s="3" t="str">
        <f t="shared" si="119"/>
        <v>ack</v>
      </c>
      <c r="G660" s="3" t="str">
        <f t="shared" si="120"/>
        <v>9C</v>
      </c>
      <c r="H660" s="3" t="str">
        <f t="shared" si="121"/>
        <v/>
      </c>
      <c r="I660" s="3">
        <f t="shared" si="122"/>
        <v>156</v>
      </c>
      <c r="J660" s="5" t="str">
        <f>IF(E660=0,"Broadcast",IF(H660="",IF(I660="","",IF(I660&lt;128,"Connect "&amp;I660,INDEX(KdoCodeTab,MATCH(I660,KdoWertTab,0)))),"ReadStat "&amp;H660))</f>
        <v>MarkCmd</v>
      </c>
      <c r="K660" t="str">
        <f t="shared" si="112"/>
        <v/>
      </c>
      <c r="L660" t="str">
        <f t="shared" si="113"/>
        <v/>
      </c>
      <c r="M660" t="str">
        <f t="shared" si="114"/>
        <v>MarkCmd</v>
      </c>
    </row>
    <row r="661" spans="1:13" x14ac:dyDescent="0.25">
      <c r="A661" t="s">
        <v>236</v>
      </c>
      <c r="B661" s="6">
        <f t="shared" si="115"/>
        <v>7.3863333333333339</v>
      </c>
      <c r="C661" s="9">
        <f t="shared" si="116"/>
        <v>0.83333333333435178</v>
      </c>
      <c r="D661" s="8" t="str">
        <f t="shared" si="117"/>
        <v>W</v>
      </c>
      <c r="E661" s="3">
        <f t="shared" si="118"/>
        <v>101</v>
      </c>
      <c r="F661" s="3" t="str">
        <f t="shared" si="119"/>
        <v>ack</v>
      </c>
      <c r="G661" s="3" t="str">
        <f t="shared" si="120"/>
        <v>9A</v>
      </c>
      <c r="H661" s="3" t="str">
        <f t="shared" si="121"/>
        <v/>
      </c>
      <c r="I661" s="3">
        <f t="shared" si="122"/>
        <v>154</v>
      </c>
      <c r="J661" s="5" t="str">
        <f>IF(E661=0,"Broadcast",IF(H661="",IF(I661="","",IF(I661&lt;128,"Connect "&amp;I661,INDEX(KdoCodeTab,MATCH(I661,KdoWertTab,0)))),"ReadStat "&amp;H661))</f>
        <v>RepMarkCmd</v>
      </c>
      <c r="K661" t="str">
        <f t="shared" si="112"/>
        <v/>
      </c>
      <c r="L661" t="str">
        <f t="shared" si="113"/>
        <v/>
      </c>
      <c r="M661" t="str">
        <f t="shared" si="114"/>
        <v>RepMarkCmd</v>
      </c>
    </row>
    <row r="662" spans="1:13" x14ac:dyDescent="0.25">
      <c r="A662" t="s">
        <v>237</v>
      </c>
      <c r="B662" s="6">
        <f t="shared" si="115"/>
        <v>7.5531666666666668</v>
      </c>
      <c r="C662" s="9">
        <f t="shared" si="116"/>
        <v>166.83333333333294</v>
      </c>
      <c r="D662" s="8" t="str">
        <f t="shared" si="117"/>
        <v>W</v>
      </c>
      <c r="E662" s="3">
        <f t="shared" si="118"/>
        <v>101</v>
      </c>
      <c r="F662" s="3" t="str">
        <f t="shared" si="119"/>
        <v>ack</v>
      </c>
      <c r="G662" s="3" t="str">
        <f t="shared" si="120"/>
        <v>93</v>
      </c>
      <c r="H662" s="3" t="str">
        <f t="shared" si="121"/>
        <v/>
      </c>
      <c r="I662" s="3">
        <f t="shared" si="122"/>
        <v>147</v>
      </c>
      <c r="J662" s="5" t="str">
        <f>IF(E662=0,"Broadcast",IF(H662="",IF(I662="","",IF(I662&lt;128,"Connect "&amp;I662,INDEX(KdoCodeTab,MATCH(I662,KdoWertTab,0)))),"ReadStat "&amp;H662))</f>
        <v>SpaceCmd</v>
      </c>
      <c r="K662" t="str">
        <f t="shared" si="112"/>
        <v/>
      </c>
      <c r="L662" t="str">
        <f t="shared" si="113"/>
        <v/>
      </c>
      <c r="M662" t="str">
        <f t="shared" si="114"/>
        <v>SpaceCmd</v>
      </c>
    </row>
    <row r="663" spans="1:13" x14ac:dyDescent="0.25">
      <c r="A663" t="s">
        <v>238</v>
      </c>
      <c r="B663" s="6">
        <f t="shared" si="115"/>
        <v>7.5541666666666671</v>
      </c>
      <c r="C663" s="9">
        <f t="shared" si="116"/>
        <v>1.000000000000334</v>
      </c>
      <c r="D663" s="8" t="str">
        <f t="shared" si="117"/>
        <v>W</v>
      </c>
      <c r="E663" s="3">
        <f t="shared" si="118"/>
        <v>101</v>
      </c>
      <c r="F663" s="3" t="str">
        <f t="shared" si="119"/>
        <v>ack</v>
      </c>
      <c r="G663" s="3" t="str">
        <f t="shared" si="120"/>
        <v>96</v>
      </c>
      <c r="H663" s="3" t="str">
        <f t="shared" si="121"/>
        <v/>
      </c>
      <c r="I663" s="3">
        <f t="shared" si="122"/>
        <v>150</v>
      </c>
      <c r="J663" s="5" t="str">
        <f>IF(E663=0,"Broadcast",IF(H663="",IF(I663="","",IF(I663&lt;128,"Connect "&amp;I663,INDEX(KdoCodeTab,MATCH(I663,KdoWertTab,0)))),"ReadStat "&amp;H663))</f>
        <v>RepSpaceCmd</v>
      </c>
      <c r="K663" t="str">
        <f t="shared" si="112"/>
        <v/>
      </c>
      <c r="L663" t="str">
        <f t="shared" si="113"/>
        <v/>
      </c>
      <c r="M663" t="str">
        <f t="shared" si="114"/>
        <v>RepSpaceCmd</v>
      </c>
    </row>
    <row r="664" spans="1:13" x14ac:dyDescent="0.25">
      <c r="A664" t="s">
        <v>239</v>
      </c>
      <c r="B664" s="6">
        <f t="shared" si="115"/>
        <v>7.6128333333333336</v>
      </c>
      <c r="C664" s="9">
        <f t="shared" si="116"/>
        <v>58.666666666666423</v>
      </c>
      <c r="D664" s="8" t="str">
        <f t="shared" si="117"/>
        <v>W</v>
      </c>
      <c r="E664" s="3">
        <f t="shared" si="118"/>
        <v>101</v>
      </c>
      <c r="F664" s="3" t="str">
        <f t="shared" si="119"/>
        <v>ack</v>
      </c>
      <c r="G664" s="3" t="str">
        <f t="shared" si="120"/>
        <v>9C</v>
      </c>
      <c r="H664" s="3" t="str">
        <f t="shared" si="121"/>
        <v/>
      </c>
      <c r="I664" s="3">
        <f t="shared" si="122"/>
        <v>156</v>
      </c>
      <c r="J664" s="5" t="str">
        <f>IF(E664=0,"Broadcast",IF(H664="",IF(I664="","",IF(I664&lt;128,"Connect "&amp;I664,INDEX(KdoCodeTab,MATCH(I664,KdoWertTab,0)))),"ReadStat "&amp;H664))</f>
        <v>MarkCmd</v>
      </c>
      <c r="K664" t="str">
        <f t="shared" si="112"/>
        <v/>
      </c>
      <c r="L664" t="str">
        <f t="shared" si="113"/>
        <v/>
      </c>
      <c r="M664" t="str">
        <f t="shared" si="114"/>
        <v>MarkCmd</v>
      </c>
    </row>
    <row r="665" spans="1:13" x14ac:dyDescent="0.25">
      <c r="A665" t="s">
        <v>240</v>
      </c>
      <c r="B665" s="6">
        <f t="shared" si="115"/>
        <v>7.613666666666667</v>
      </c>
      <c r="C665" s="9">
        <f t="shared" si="116"/>
        <v>0.8333333333334636</v>
      </c>
      <c r="D665" s="8" t="str">
        <f t="shared" si="117"/>
        <v>W</v>
      </c>
      <c r="E665" s="3">
        <f t="shared" si="118"/>
        <v>101</v>
      </c>
      <c r="F665" s="3" t="str">
        <f t="shared" si="119"/>
        <v>ack</v>
      </c>
      <c r="G665" s="3" t="str">
        <f t="shared" si="120"/>
        <v>9A</v>
      </c>
      <c r="H665" s="3" t="str">
        <f t="shared" si="121"/>
        <v/>
      </c>
      <c r="I665" s="3">
        <f t="shared" si="122"/>
        <v>154</v>
      </c>
      <c r="J665" s="5" t="str">
        <f>IF(E665=0,"Broadcast",IF(H665="",IF(I665="","",IF(I665&lt;128,"Connect "&amp;I665,INDEX(KdoCodeTab,MATCH(I665,KdoWertTab,0)))),"ReadStat "&amp;H665))</f>
        <v>RepMarkCmd</v>
      </c>
      <c r="K665" t="str">
        <f t="shared" si="112"/>
        <v/>
      </c>
      <c r="L665" t="str">
        <f t="shared" si="113"/>
        <v/>
      </c>
      <c r="M665" t="str">
        <f t="shared" si="114"/>
        <v>RepMarkCmd</v>
      </c>
    </row>
    <row r="666" spans="1:13" x14ac:dyDescent="0.25">
      <c r="A666" t="s">
        <v>241</v>
      </c>
      <c r="B666" s="6">
        <f t="shared" si="115"/>
        <v>7.633</v>
      </c>
      <c r="C666" s="9">
        <f t="shared" si="116"/>
        <v>19.33333333333298</v>
      </c>
      <c r="D666" s="8" t="str">
        <f t="shared" si="117"/>
        <v>W</v>
      </c>
      <c r="E666" s="3">
        <f t="shared" si="118"/>
        <v>101</v>
      </c>
      <c r="F666" s="3" t="str">
        <f t="shared" si="119"/>
        <v>ack</v>
      </c>
      <c r="G666" s="3" t="str">
        <f t="shared" si="120"/>
        <v>93</v>
      </c>
      <c r="H666" s="3" t="str">
        <f t="shared" si="121"/>
        <v/>
      </c>
      <c r="I666" s="3">
        <f t="shared" si="122"/>
        <v>147</v>
      </c>
      <c r="J666" s="5" t="str">
        <f>IF(E666=0,"Broadcast",IF(H666="",IF(I666="","",IF(I666&lt;128,"Connect "&amp;I666,INDEX(KdoCodeTab,MATCH(I666,KdoWertTab,0)))),"ReadStat "&amp;H666))</f>
        <v>SpaceCmd</v>
      </c>
      <c r="K666" t="str">
        <f t="shared" si="112"/>
        <v/>
      </c>
      <c r="L666" t="str">
        <f t="shared" si="113"/>
        <v/>
      </c>
      <c r="M666" t="str">
        <f t="shared" si="114"/>
        <v>SpaceCmd</v>
      </c>
    </row>
    <row r="667" spans="1:13" x14ac:dyDescent="0.25">
      <c r="A667" t="s">
        <v>242</v>
      </c>
      <c r="B667" s="6">
        <f t="shared" si="115"/>
        <v>7.6340000000000003</v>
      </c>
      <c r="C667" s="9">
        <f t="shared" si="116"/>
        <v>1.000000000000334</v>
      </c>
      <c r="D667" s="8" t="str">
        <f t="shared" si="117"/>
        <v>W</v>
      </c>
      <c r="E667" s="3">
        <f t="shared" si="118"/>
        <v>101</v>
      </c>
      <c r="F667" s="3" t="str">
        <f t="shared" si="119"/>
        <v>ack</v>
      </c>
      <c r="G667" s="3" t="str">
        <f t="shared" si="120"/>
        <v>96</v>
      </c>
      <c r="H667" s="3" t="str">
        <f t="shared" si="121"/>
        <v/>
      </c>
      <c r="I667" s="3">
        <f t="shared" si="122"/>
        <v>150</v>
      </c>
      <c r="J667" s="5" t="str">
        <f>IF(E667=0,"Broadcast",IF(H667="",IF(I667="","",IF(I667&lt;128,"Connect "&amp;I667,INDEX(KdoCodeTab,MATCH(I667,KdoWertTab,0)))),"ReadStat "&amp;H667))</f>
        <v>RepSpaceCmd</v>
      </c>
      <c r="K667" t="str">
        <f t="shared" si="112"/>
        <v/>
      </c>
      <c r="L667" t="str">
        <f t="shared" si="113"/>
        <v/>
      </c>
      <c r="M667" t="str">
        <f t="shared" si="114"/>
        <v>RepSpaceCmd</v>
      </c>
    </row>
    <row r="668" spans="1:13" x14ac:dyDescent="0.25">
      <c r="A668" t="s">
        <v>243</v>
      </c>
      <c r="B668" s="6">
        <f t="shared" si="115"/>
        <v>7.6523333333333339</v>
      </c>
      <c r="C668" s="9">
        <f t="shared" si="116"/>
        <v>18.333333333333535</v>
      </c>
      <c r="D668" s="8" t="str">
        <f t="shared" si="117"/>
        <v>W</v>
      </c>
      <c r="E668" s="3">
        <f t="shared" si="118"/>
        <v>101</v>
      </c>
      <c r="F668" s="3" t="str">
        <f t="shared" si="119"/>
        <v>ack</v>
      </c>
      <c r="G668" s="3" t="str">
        <f t="shared" si="120"/>
        <v>9C</v>
      </c>
      <c r="H668" s="3" t="str">
        <f t="shared" si="121"/>
        <v/>
      </c>
      <c r="I668" s="3">
        <f t="shared" si="122"/>
        <v>156</v>
      </c>
      <c r="J668" s="5" t="str">
        <f>IF(E668=0,"Broadcast",IF(H668="",IF(I668="","",IF(I668&lt;128,"Connect "&amp;I668,INDEX(KdoCodeTab,MATCH(I668,KdoWertTab,0)))),"ReadStat "&amp;H668))</f>
        <v>MarkCmd</v>
      </c>
      <c r="K668" t="str">
        <f t="shared" si="112"/>
        <v/>
      </c>
      <c r="L668" t="str">
        <f t="shared" si="113"/>
        <v/>
      </c>
      <c r="M668" t="str">
        <f t="shared" si="114"/>
        <v>MarkCmd</v>
      </c>
    </row>
    <row r="669" spans="1:13" x14ac:dyDescent="0.25">
      <c r="A669" t="s">
        <v>244</v>
      </c>
      <c r="B669" s="6">
        <f t="shared" si="115"/>
        <v>7.6531666666666665</v>
      </c>
      <c r="C669" s="9">
        <f t="shared" si="116"/>
        <v>0.83333333333257542</v>
      </c>
      <c r="D669" s="8" t="str">
        <f t="shared" si="117"/>
        <v>W</v>
      </c>
      <c r="E669" s="3">
        <f t="shared" si="118"/>
        <v>101</v>
      </c>
      <c r="F669" s="3" t="str">
        <f t="shared" si="119"/>
        <v>ack</v>
      </c>
      <c r="G669" s="3" t="str">
        <f t="shared" si="120"/>
        <v>9A</v>
      </c>
      <c r="H669" s="3" t="str">
        <f t="shared" si="121"/>
        <v/>
      </c>
      <c r="I669" s="3">
        <f t="shared" si="122"/>
        <v>154</v>
      </c>
      <c r="J669" s="5" t="str">
        <f>IF(E669=0,"Broadcast",IF(H669="",IF(I669="","",IF(I669&lt;128,"Connect "&amp;I669,INDEX(KdoCodeTab,MATCH(I669,KdoWertTab,0)))),"ReadStat "&amp;H669))</f>
        <v>RepMarkCmd</v>
      </c>
      <c r="K669" t="str">
        <f t="shared" si="112"/>
        <v/>
      </c>
      <c r="L669" t="str">
        <f t="shared" si="113"/>
        <v/>
      </c>
      <c r="M669" t="str">
        <f t="shared" si="114"/>
        <v>RepMarkCmd</v>
      </c>
    </row>
    <row r="670" spans="1:13" x14ac:dyDescent="0.25">
      <c r="A670" t="s">
        <v>245</v>
      </c>
      <c r="B670" s="6">
        <f t="shared" si="115"/>
        <v>7.6950000000000003</v>
      </c>
      <c r="C670" s="9">
        <f t="shared" si="116"/>
        <v>41.833333333333833</v>
      </c>
      <c r="D670" s="8" t="str">
        <f t="shared" si="117"/>
        <v>W</v>
      </c>
      <c r="E670" s="3">
        <f t="shared" si="118"/>
        <v>31</v>
      </c>
      <c r="F670" s="3" t="str">
        <f t="shared" si="119"/>
        <v>ack</v>
      </c>
      <c r="G670" s="3" t="str">
        <f t="shared" si="120"/>
        <v>9A</v>
      </c>
      <c r="H670" s="3" t="str">
        <f t="shared" si="121"/>
        <v/>
      </c>
      <c r="I670" s="3">
        <f t="shared" si="122"/>
        <v>154</v>
      </c>
      <c r="J670" s="5" t="str">
        <f>IF(E670=0,"Broadcast",IF(H670="",IF(I670="","",IF(I670&lt;128,"Connect "&amp;I670,INDEX(KdoCodeTab,MATCH(I670,KdoWertTab,0)))),"ReadStat "&amp;H670))</f>
        <v>RepMarkCmd</v>
      </c>
      <c r="K670" t="str">
        <f t="shared" si="112"/>
        <v/>
      </c>
      <c r="L670" t="str">
        <f t="shared" si="113"/>
        <v>RepMarkCmd</v>
      </c>
      <c r="M670" t="str">
        <f t="shared" si="114"/>
        <v/>
      </c>
    </row>
    <row r="671" spans="1:13" x14ac:dyDescent="0.25">
      <c r="A671" t="s">
        <v>246</v>
      </c>
      <c r="B671" s="6">
        <f t="shared" si="115"/>
        <v>7.7694999999999999</v>
      </c>
      <c r="C671" s="9">
        <f t="shared" si="116"/>
        <v>74.499999999999574</v>
      </c>
      <c r="D671" s="8" t="str">
        <f t="shared" si="117"/>
        <v>W</v>
      </c>
      <c r="E671" s="3">
        <f t="shared" si="118"/>
        <v>101</v>
      </c>
      <c r="F671" s="3" t="str">
        <f t="shared" si="119"/>
        <v>ack</v>
      </c>
      <c r="G671" s="3" t="str">
        <f t="shared" si="120"/>
        <v>93</v>
      </c>
      <c r="H671" s="3" t="str">
        <f t="shared" si="121"/>
        <v/>
      </c>
      <c r="I671" s="3">
        <f t="shared" si="122"/>
        <v>147</v>
      </c>
      <c r="J671" s="5" t="str">
        <f>IF(E671=0,"Broadcast",IF(H671="",IF(I671="","",IF(I671&lt;128,"Connect "&amp;I671,INDEX(KdoCodeTab,MATCH(I671,KdoWertTab,0)))),"ReadStat "&amp;H671))</f>
        <v>SpaceCmd</v>
      </c>
      <c r="K671" t="str">
        <f t="shared" si="112"/>
        <v/>
      </c>
      <c r="L671" t="str">
        <f t="shared" si="113"/>
        <v/>
      </c>
      <c r="M671" t="str">
        <f t="shared" si="114"/>
        <v>SpaceCmd</v>
      </c>
    </row>
    <row r="672" spans="1:13" x14ac:dyDescent="0.25">
      <c r="A672" t="s">
        <v>247</v>
      </c>
      <c r="B672" s="6">
        <f t="shared" si="115"/>
        <v>7.7703333333333333</v>
      </c>
      <c r="C672" s="9">
        <f t="shared" si="116"/>
        <v>0.8333333333334636</v>
      </c>
      <c r="D672" s="8" t="str">
        <f t="shared" si="117"/>
        <v>W</v>
      </c>
      <c r="E672" s="3">
        <f t="shared" si="118"/>
        <v>101</v>
      </c>
      <c r="F672" s="3" t="str">
        <f t="shared" si="119"/>
        <v>ack</v>
      </c>
      <c r="G672" s="3" t="str">
        <f t="shared" si="120"/>
        <v>96</v>
      </c>
      <c r="H672" s="3" t="str">
        <f t="shared" si="121"/>
        <v/>
      </c>
      <c r="I672" s="3">
        <f t="shared" si="122"/>
        <v>150</v>
      </c>
      <c r="J672" s="5" t="str">
        <f>IF(E672=0,"Broadcast",IF(H672="",IF(I672="","",IF(I672&lt;128,"Connect "&amp;I672,INDEX(KdoCodeTab,MATCH(I672,KdoWertTab,0)))),"ReadStat "&amp;H672))</f>
        <v>RepSpaceCmd</v>
      </c>
      <c r="K672" t="str">
        <f t="shared" si="112"/>
        <v/>
      </c>
      <c r="L672" t="str">
        <f t="shared" si="113"/>
        <v/>
      </c>
      <c r="M672" t="str">
        <f t="shared" si="114"/>
        <v>RepSpaceCmd</v>
      </c>
    </row>
    <row r="673" spans="1:13" x14ac:dyDescent="0.25">
      <c r="A673" t="s">
        <v>248</v>
      </c>
      <c r="B673" s="6">
        <f t="shared" si="115"/>
        <v>7.7896666666666663</v>
      </c>
      <c r="C673" s="9">
        <f t="shared" si="116"/>
        <v>19.33333333333298</v>
      </c>
      <c r="D673" s="8" t="str">
        <f t="shared" si="117"/>
        <v>W</v>
      </c>
      <c r="E673" s="3">
        <f t="shared" si="118"/>
        <v>101</v>
      </c>
      <c r="F673" s="3" t="str">
        <f t="shared" si="119"/>
        <v>ack</v>
      </c>
      <c r="G673" s="3" t="str">
        <f t="shared" si="120"/>
        <v>9C</v>
      </c>
      <c r="H673" s="3" t="str">
        <f t="shared" si="121"/>
        <v/>
      </c>
      <c r="I673" s="3">
        <f t="shared" si="122"/>
        <v>156</v>
      </c>
      <c r="J673" s="5" t="str">
        <f>IF(E673=0,"Broadcast",IF(H673="",IF(I673="","",IF(I673&lt;128,"Connect "&amp;I673,INDEX(KdoCodeTab,MATCH(I673,KdoWertTab,0)))),"ReadStat "&amp;H673))</f>
        <v>MarkCmd</v>
      </c>
      <c r="K673" t="str">
        <f t="shared" si="112"/>
        <v/>
      </c>
      <c r="L673" t="str">
        <f t="shared" si="113"/>
        <v/>
      </c>
      <c r="M673" t="str">
        <f t="shared" si="114"/>
        <v>MarkCmd</v>
      </c>
    </row>
    <row r="674" spans="1:13" x14ac:dyDescent="0.25">
      <c r="A674" t="s">
        <v>249</v>
      </c>
      <c r="B674" s="6">
        <f t="shared" si="115"/>
        <v>7.7904999999999998</v>
      </c>
      <c r="C674" s="9">
        <f t="shared" si="116"/>
        <v>0.8333333333334636</v>
      </c>
      <c r="D674" s="8" t="str">
        <f t="shared" si="117"/>
        <v>W</v>
      </c>
      <c r="E674" s="3">
        <f t="shared" si="118"/>
        <v>101</v>
      </c>
      <c r="F674" s="3" t="str">
        <f t="shared" si="119"/>
        <v>ack</v>
      </c>
      <c r="G674" s="3" t="str">
        <f t="shared" si="120"/>
        <v>9A</v>
      </c>
      <c r="H674" s="3" t="str">
        <f t="shared" si="121"/>
        <v/>
      </c>
      <c r="I674" s="3">
        <f t="shared" si="122"/>
        <v>154</v>
      </c>
      <c r="J674" s="5" t="str">
        <f>IF(E674=0,"Broadcast",IF(H674="",IF(I674="","",IF(I674&lt;128,"Connect "&amp;I674,INDEX(KdoCodeTab,MATCH(I674,KdoWertTab,0)))),"ReadStat "&amp;H674))</f>
        <v>RepMarkCmd</v>
      </c>
      <c r="K674" t="str">
        <f t="shared" si="112"/>
        <v/>
      </c>
      <c r="L674" t="str">
        <f t="shared" si="113"/>
        <v/>
      </c>
      <c r="M674" t="str">
        <f t="shared" si="114"/>
        <v>RepMarkCmd</v>
      </c>
    </row>
    <row r="675" spans="1:13" x14ac:dyDescent="0.25">
      <c r="A675" t="s">
        <v>250</v>
      </c>
      <c r="B675" s="6">
        <f t="shared" si="115"/>
        <v>7.8098333333333336</v>
      </c>
      <c r="C675" s="9">
        <f t="shared" si="116"/>
        <v>19.333333333333869</v>
      </c>
      <c r="D675" s="8" t="str">
        <f t="shared" si="117"/>
        <v>W</v>
      </c>
      <c r="E675" s="3">
        <f t="shared" si="118"/>
        <v>101</v>
      </c>
      <c r="F675" s="3" t="str">
        <f t="shared" si="119"/>
        <v>ack</v>
      </c>
      <c r="G675" s="3" t="str">
        <f t="shared" si="120"/>
        <v>93</v>
      </c>
      <c r="H675" s="3" t="str">
        <f t="shared" si="121"/>
        <v/>
      </c>
      <c r="I675" s="3">
        <f t="shared" si="122"/>
        <v>147</v>
      </c>
      <c r="J675" s="5" t="str">
        <f>IF(E675=0,"Broadcast",IF(H675="",IF(I675="","",IF(I675&lt;128,"Connect "&amp;I675,INDEX(KdoCodeTab,MATCH(I675,KdoWertTab,0)))),"ReadStat "&amp;H675))</f>
        <v>SpaceCmd</v>
      </c>
      <c r="K675" t="str">
        <f t="shared" si="112"/>
        <v/>
      </c>
      <c r="L675" t="str">
        <f t="shared" si="113"/>
        <v/>
      </c>
      <c r="M675" t="str">
        <f t="shared" si="114"/>
        <v>SpaceCmd</v>
      </c>
    </row>
    <row r="676" spans="1:13" x14ac:dyDescent="0.25">
      <c r="A676" t="s">
        <v>251</v>
      </c>
      <c r="B676" s="6">
        <f t="shared" si="115"/>
        <v>7.8108333333333331</v>
      </c>
      <c r="C676" s="9">
        <f t="shared" si="116"/>
        <v>0.99999999999944578</v>
      </c>
      <c r="D676" s="8" t="str">
        <f t="shared" si="117"/>
        <v>W</v>
      </c>
      <c r="E676" s="3">
        <f t="shared" si="118"/>
        <v>101</v>
      </c>
      <c r="F676" s="3" t="str">
        <f t="shared" si="119"/>
        <v>ack</v>
      </c>
      <c r="G676" s="3" t="str">
        <f t="shared" si="120"/>
        <v>96</v>
      </c>
      <c r="H676" s="3" t="str">
        <f t="shared" si="121"/>
        <v/>
      </c>
      <c r="I676" s="3">
        <f t="shared" si="122"/>
        <v>150</v>
      </c>
      <c r="J676" s="5" t="str">
        <f>IF(E676=0,"Broadcast",IF(H676="",IF(I676="","",IF(I676&lt;128,"Connect "&amp;I676,INDEX(KdoCodeTab,MATCH(I676,KdoWertTab,0)))),"ReadStat "&amp;H676))</f>
        <v>RepSpaceCmd</v>
      </c>
      <c r="K676" t="str">
        <f t="shared" si="112"/>
        <v/>
      </c>
      <c r="L676" t="str">
        <f t="shared" si="113"/>
        <v/>
      </c>
      <c r="M676" t="str">
        <f t="shared" si="114"/>
        <v>RepSpaceCmd</v>
      </c>
    </row>
    <row r="677" spans="1:13" x14ac:dyDescent="0.25">
      <c r="A677" t="s">
        <v>252</v>
      </c>
      <c r="B677" s="6">
        <f t="shared" si="115"/>
        <v>7.8896666666666668</v>
      </c>
      <c r="C677" s="9">
        <f t="shared" si="116"/>
        <v>78.833333333333755</v>
      </c>
      <c r="D677" s="8" t="str">
        <f t="shared" si="117"/>
        <v>W</v>
      </c>
      <c r="E677" s="3">
        <f t="shared" si="118"/>
        <v>101</v>
      </c>
      <c r="F677" s="3" t="str">
        <f t="shared" si="119"/>
        <v>ack</v>
      </c>
      <c r="G677" s="3" t="str">
        <f t="shared" si="120"/>
        <v>9C</v>
      </c>
      <c r="H677" s="3" t="str">
        <f t="shared" si="121"/>
        <v/>
      </c>
      <c r="I677" s="3">
        <f t="shared" si="122"/>
        <v>156</v>
      </c>
      <c r="J677" s="5" t="str">
        <f>IF(E677=0,"Broadcast",IF(H677="",IF(I677="","",IF(I677&lt;128,"Connect "&amp;I677,INDEX(KdoCodeTab,MATCH(I677,KdoWertTab,0)))),"ReadStat "&amp;H677))</f>
        <v>MarkCmd</v>
      </c>
      <c r="K677" t="str">
        <f t="shared" si="112"/>
        <v/>
      </c>
      <c r="L677" t="str">
        <f t="shared" si="113"/>
        <v/>
      </c>
      <c r="M677" t="str">
        <f t="shared" si="114"/>
        <v>MarkCmd</v>
      </c>
    </row>
    <row r="678" spans="1:13" x14ac:dyDescent="0.25">
      <c r="A678" t="s">
        <v>253</v>
      </c>
      <c r="B678" s="6">
        <f t="shared" si="115"/>
        <v>7.8904999999999994</v>
      </c>
      <c r="C678" s="9">
        <f t="shared" si="116"/>
        <v>0.83333333333257542</v>
      </c>
      <c r="D678" s="8" t="str">
        <f t="shared" si="117"/>
        <v>W</v>
      </c>
      <c r="E678" s="3">
        <f t="shared" si="118"/>
        <v>101</v>
      </c>
      <c r="F678" s="3" t="str">
        <f t="shared" si="119"/>
        <v>ack</v>
      </c>
      <c r="G678" s="3" t="str">
        <f t="shared" si="120"/>
        <v>9A</v>
      </c>
      <c r="H678" s="3" t="str">
        <f t="shared" si="121"/>
        <v/>
      </c>
      <c r="I678" s="3">
        <f t="shared" si="122"/>
        <v>154</v>
      </c>
      <c r="J678" s="5" t="str">
        <f>IF(E678=0,"Broadcast",IF(H678="",IF(I678="","",IF(I678&lt;128,"Connect "&amp;I678,INDEX(KdoCodeTab,MATCH(I678,KdoWertTab,0)))),"ReadStat "&amp;H678))</f>
        <v>RepMarkCmd</v>
      </c>
      <c r="K678" t="str">
        <f t="shared" si="112"/>
        <v/>
      </c>
      <c r="L678" t="str">
        <f t="shared" si="113"/>
        <v/>
      </c>
      <c r="M678" t="str">
        <f t="shared" si="114"/>
        <v>RepMarkCmd</v>
      </c>
    </row>
    <row r="679" spans="1:13" x14ac:dyDescent="0.25">
      <c r="A679" t="s">
        <v>254</v>
      </c>
      <c r="B679" s="6">
        <f t="shared" si="115"/>
        <v>7.92</v>
      </c>
      <c r="C679" s="9">
        <f t="shared" si="116"/>
        <v>29.500000000000526</v>
      </c>
      <c r="D679" s="8" t="str">
        <f t="shared" si="117"/>
        <v>W</v>
      </c>
      <c r="E679" s="3">
        <f t="shared" si="118"/>
        <v>101</v>
      </c>
      <c r="F679" s="3" t="str">
        <f t="shared" si="119"/>
        <v>ack</v>
      </c>
      <c r="G679" s="3" t="str">
        <f t="shared" si="120"/>
        <v>93</v>
      </c>
      <c r="H679" s="3" t="str">
        <f t="shared" si="121"/>
        <v/>
      </c>
      <c r="I679" s="3">
        <f t="shared" si="122"/>
        <v>147</v>
      </c>
      <c r="J679" s="5" t="str">
        <f>IF(E679=0,"Broadcast",IF(H679="",IF(I679="","",IF(I679&lt;128,"Connect "&amp;I679,INDEX(KdoCodeTab,MATCH(I679,KdoWertTab,0)))),"ReadStat "&amp;H679))</f>
        <v>SpaceCmd</v>
      </c>
      <c r="K679" t="str">
        <f t="shared" si="112"/>
        <v/>
      </c>
      <c r="L679" t="str">
        <f t="shared" si="113"/>
        <v/>
      </c>
      <c r="M679" t="str">
        <f t="shared" si="114"/>
        <v>SpaceCmd</v>
      </c>
    </row>
    <row r="680" spans="1:13" x14ac:dyDescent="0.25">
      <c r="A680" t="s">
        <v>255</v>
      </c>
      <c r="B680" s="6">
        <f t="shared" si="115"/>
        <v>7.9210000000000003</v>
      </c>
      <c r="C680" s="9">
        <f t="shared" si="116"/>
        <v>1.000000000000334</v>
      </c>
      <c r="D680" s="8" t="str">
        <f t="shared" si="117"/>
        <v>W</v>
      </c>
      <c r="E680" s="3">
        <f t="shared" si="118"/>
        <v>101</v>
      </c>
      <c r="F680" s="3" t="str">
        <f t="shared" si="119"/>
        <v>ack</v>
      </c>
      <c r="G680" s="3" t="str">
        <f t="shared" si="120"/>
        <v>96</v>
      </c>
      <c r="H680" s="3" t="str">
        <f t="shared" si="121"/>
        <v/>
      </c>
      <c r="I680" s="3">
        <f t="shared" si="122"/>
        <v>150</v>
      </c>
      <c r="J680" s="5" t="str">
        <f>IF(E680=0,"Broadcast",IF(H680="",IF(I680="","",IF(I680&lt;128,"Connect "&amp;I680,INDEX(KdoCodeTab,MATCH(I680,KdoWertTab,0)))),"ReadStat "&amp;H680))</f>
        <v>RepSpaceCmd</v>
      </c>
      <c r="K680" t="str">
        <f t="shared" si="112"/>
        <v/>
      </c>
      <c r="L680" t="str">
        <f t="shared" si="113"/>
        <v/>
      </c>
      <c r="M680" t="str">
        <f t="shared" si="114"/>
        <v>RepSpaceCmd</v>
      </c>
    </row>
    <row r="681" spans="1:13" x14ac:dyDescent="0.25">
      <c r="A681" t="s">
        <v>256</v>
      </c>
      <c r="B681" s="6">
        <f t="shared" si="115"/>
        <v>7.94</v>
      </c>
      <c r="C681" s="9">
        <f t="shared" si="116"/>
        <v>19.000000000000128</v>
      </c>
      <c r="D681" s="8" t="str">
        <f t="shared" si="117"/>
        <v>W</v>
      </c>
      <c r="E681" s="3">
        <f t="shared" si="118"/>
        <v>101</v>
      </c>
      <c r="F681" s="3" t="str">
        <f t="shared" si="119"/>
        <v>ack</v>
      </c>
      <c r="G681" s="3" t="str">
        <f t="shared" si="120"/>
        <v>A9</v>
      </c>
      <c r="H681" s="3" t="str">
        <f t="shared" si="121"/>
        <v/>
      </c>
      <c r="I681" s="3">
        <f t="shared" si="122"/>
        <v>169</v>
      </c>
      <c r="J681" s="5" t="str">
        <f>IF(E681=0,"Broadcast",IF(H681="",IF(I681="","",IF(I681&lt;128,"Connect "&amp;I681,INDEX(KdoCodeTab,MATCH(I681,KdoWertTab,0)))),"ReadStat "&amp;H681))</f>
        <v>Heartbeat</v>
      </c>
      <c r="K681" t="str">
        <f t="shared" si="112"/>
        <v/>
      </c>
      <c r="L681" t="str">
        <f t="shared" si="113"/>
        <v/>
      </c>
      <c r="M681" t="str">
        <f t="shared" si="114"/>
        <v>Heartbeat</v>
      </c>
    </row>
    <row r="682" spans="1:13" x14ac:dyDescent="0.25">
      <c r="A682" t="s">
        <v>257</v>
      </c>
      <c r="B682" s="6">
        <f t="shared" si="115"/>
        <v>7.9805000000000001</v>
      </c>
      <c r="C682" s="9">
        <f t="shared" si="116"/>
        <v>40.499999999999758</v>
      </c>
      <c r="D682" s="8" t="str">
        <f t="shared" si="117"/>
        <v>W</v>
      </c>
      <c r="E682" s="3">
        <f t="shared" si="118"/>
        <v>101</v>
      </c>
      <c r="F682" s="3" t="str">
        <f t="shared" si="119"/>
        <v>ack</v>
      </c>
      <c r="G682" s="3" t="str">
        <f t="shared" si="120"/>
        <v>9C</v>
      </c>
      <c r="H682" s="3" t="str">
        <f t="shared" si="121"/>
        <v/>
      </c>
      <c r="I682" s="3">
        <f t="shared" si="122"/>
        <v>156</v>
      </c>
      <c r="J682" s="5" t="str">
        <f>IF(E682=0,"Broadcast",IF(H682="",IF(I682="","",IF(I682&lt;128,"Connect "&amp;I682,INDEX(KdoCodeTab,MATCH(I682,KdoWertTab,0)))),"ReadStat "&amp;H682))</f>
        <v>MarkCmd</v>
      </c>
      <c r="K682" t="str">
        <f t="shared" si="112"/>
        <v/>
      </c>
      <c r="L682" t="str">
        <f t="shared" si="113"/>
        <v/>
      </c>
      <c r="M682" t="str">
        <f t="shared" si="114"/>
        <v>MarkCmd</v>
      </c>
    </row>
    <row r="683" spans="1:13" x14ac:dyDescent="0.25">
      <c r="A683" t="s">
        <v>258</v>
      </c>
      <c r="B683" s="6">
        <f t="shared" si="115"/>
        <v>7.9828333333333337</v>
      </c>
      <c r="C683" s="9">
        <f t="shared" si="116"/>
        <v>2.3333333333335204</v>
      </c>
      <c r="D683" s="8" t="str">
        <f t="shared" si="117"/>
        <v>W</v>
      </c>
      <c r="E683" s="3">
        <f t="shared" si="118"/>
        <v>101</v>
      </c>
      <c r="F683" s="3" t="str">
        <f t="shared" si="119"/>
        <v>ack</v>
      </c>
      <c r="G683" s="3" t="str">
        <f t="shared" si="120"/>
        <v>9A</v>
      </c>
      <c r="H683" s="3" t="str">
        <f t="shared" si="121"/>
        <v/>
      </c>
      <c r="I683" s="3">
        <f t="shared" si="122"/>
        <v>154</v>
      </c>
      <c r="J683" s="5" t="str">
        <f>IF(E683=0,"Broadcast",IF(H683="",IF(I683="","",IF(I683&lt;128,"Connect "&amp;I683,INDEX(KdoCodeTab,MATCH(I683,KdoWertTab,0)))),"ReadStat "&amp;H683))</f>
        <v>RepMarkCmd</v>
      </c>
      <c r="K683" t="str">
        <f t="shared" si="112"/>
        <v/>
      </c>
      <c r="L683" t="str">
        <f t="shared" si="113"/>
        <v/>
      </c>
      <c r="M683" t="str">
        <f t="shared" si="114"/>
        <v>RepMarkCmd</v>
      </c>
    </row>
    <row r="684" spans="1:13" x14ac:dyDescent="0.25">
      <c r="A684" t="s">
        <v>259</v>
      </c>
      <c r="B684" s="6">
        <f t="shared" si="115"/>
        <v>8.02</v>
      </c>
      <c r="C684" s="9">
        <f t="shared" si="116"/>
        <v>37.166666666665904</v>
      </c>
      <c r="D684" s="8" t="str">
        <f t="shared" si="117"/>
        <v>W</v>
      </c>
      <c r="E684" s="3">
        <f t="shared" si="118"/>
        <v>101</v>
      </c>
      <c r="F684" s="3" t="str">
        <f t="shared" si="119"/>
        <v>ack</v>
      </c>
      <c r="G684" s="3" t="str">
        <f t="shared" si="120"/>
        <v>93</v>
      </c>
      <c r="H684" s="3" t="str">
        <f t="shared" si="121"/>
        <v/>
      </c>
      <c r="I684" s="3">
        <f t="shared" si="122"/>
        <v>147</v>
      </c>
      <c r="J684" s="5" t="str">
        <f>IF(E684=0,"Broadcast",IF(H684="",IF(I684="","",IF(I684&lt;128,"Connect "&amp;I684,INDEX(KdoCodeTab,MATCH(I684,KdoWertTab,0)))),"ReadStat "&amp;H684))</f>
        <v>SpaceCmd</v>
      </c>
      <c r="K684" t="str">
        <f t="shared" si="112"/>
        <v/>
      </c>
      <c r="L684" t="str">
        <f t="shared" si="113"/>
        <v/>
      </c>
      <c r="M684" t="str">
        <f t="shared" si="114"/>
        <v>SpaceCmd</v>
      </c>
    </row>
    <row r="685" spans="1:13" x14ac:dyDescent="0.25">
      <c r="A685" t="s">
        <v>260</v>
      </c>
      <c r="B685" s="6">
        <f t="shared" si="115"/>
        <v>8.0210000000000008</v>
      </c>
      <c r="C685" s="9">
        <f t="shared" si="116"/>
        <v>1.0000000000012221</v>
      </c>
      <c r="D685" s="8" t="str">
        <f t="shared" si="117"/>
        <v>W</v>
      </c>
      <c r="E685" s="3">
        <f t="shared" si="118"/>
        <v>101</v>
      </c>
      <c r="F685" s="3" t="str">
        <f t="shared" si="119"/>
        <v>ack</v>
      </c>
      <c r="G685" s="3" t="str">
        <f t="shared" si="120"/>
        <v>96</v>
      </c>
      <c r="H685" s="3" t="str">
        <f t="shared" si="121"/>
        <v/>
      </c>
      <c r="I685" s="3">
        <f t="shared" si="122"/>
        <v>150</v>
      </c>
      <c r="J685" s="5" t="str">
        <f>IF(E685=0,"Broadcast",IF(H685="",IF(I685="","",IF(I685&lt;128,"Connect "&amp;I685,INDEX(KdoCodeTab,MATCH(I685,KdoWertTab,0)))),"ReadStat "&amp;H685))</f>
        <v>RepSpaceCmd</v>
      </c>
      <c r="K685" t="str">
        <f t="shared" si="112"/>
        <v/>
      </c>
      <c r="L685" t="str">
        <f t="shared" si="113"/>
        <v/>
      </c>
      <c r="M685" t="str">
        <f t="shared" si="114"/>
        <v>RepSpaceCmd</v>
      </c>
    </row>
    <row r="686" spans="1:13" x14ac:dyDescent="0.25">
      <c r="A686" t="s">
        <v>261</v>
      </c>
      <c r="B686" s="6">
        <f t="shared" si="115"/>
        <v>8.040166666666666</v>
      </c>
      <c r="C686" s="9">
        <f t="shared" si="116"/>
        <v>19.166666666665222</v>
      </c>
      <c r="D686" s="8" t="str">
        <f t="shared" si="117"/>
        <v>W</v>
      </c>
      <c r="E686" s="3">
        <f t="shared" si="118"/>
        <v>101</v>
      </c>
      <c r="F686" s="3" t="str">
        <f t="shared" si="119"/>
        <v>ack</v>
      </c>
      <c r="G686" s="3" t="str">
        <f t="shared" si="120"/>
        <v>9C</v>
      </c>
      <c r="H686" s="3" t="str">
        <f t="shared" si="121"/>
        <v/>
      </c>
      <c r="I686" s="3">
        <f t="shared" si="122"/>
        <v>156</v>
      </c>
      <c r="J686" s="5" t="str">
        <f>IF(E686=0,"Broadcast",IF(H686="",IF(I686="","",IF(I686&lt;128,"Connect "&amp;I686,INDEX(KdoCodeTab,MATCH(I686,KdoWertTab,0)))),"ReadStat "&amp;H686))</f>
        <v>MarkCmd</v>
      </c>
      <c r="K686" t="str">
        <f t="shared" si="112"/>
        <v/>
      </c>
      <c r="L686" t="str">
        <f t="shared" si="113"/>
        <v/>
      </c>
      <c r="M686" t="str">
        <f t="shared" si="114"/>
        <v>MarkCmd</v>
      </c>
    </row>
    <row r="687" spans="1:13" x14ac:dyDescent="0.25">
      <c r="A687" t="s">
        <v>262</v>
      </c>
      <c r="B687" s="6">
        <f t="shared" si="115"/>
        <v>8.0411666666666672</v>
      </c>
      <c r="C687" s="9">
        <f t="shared" si="116"/>
        <v>1.0000000000012221</v>
      </c>
      <c r="D687" s="8" t="str">
        <f t="shared" si="117"/>
        <v>W</v>
      </c>
      <c r="E687" s="3">
        <f t="shared" si="118"/>
        <v>101</v>
      </c>
      <c r="F687" s="3" t="str">
        <f t="shared" si="119"/>
        <v>ack</v>
      </c>
      <c r="G687" s="3" t="str">
        <f t="shared" si="120"/>
        <v>9A</v>
      </c>
      <c r="H687" s="3" t="str">
        <f t="shared" si="121"/>
        <v/>
      </c>
      <c r="I687" s="3">
        <f t="shared" si="122"/>
        <v>154</v>
      </c>
      <c r="J687" s="5" t="str">
        <f>IF(E687=0,"Broadcast",IF(H687="",IF(I687="","",IF(I687&lt;128,"Connect "&amp;I687,INDEX(KdoCodeTab,MATCH(I687,KdoWertTab,0)))),"ReadStat "&amp;H687))</f>
        <v>RepMarkCmd</v>
      </c>
      <c r="K687" t="str">
        <f t="shared" si="112"/>
        <v/>
      </c>
      <c r="L687" t="str">
        <f t="shared" si="113"/>
        <v/>
      </c>
      <c r="M687" t="str">
        <f t="shared" si="114"/>
        <v>RepMarkCmd</v>
      </c>
    </row>
    <row r="688" spans="1:13" x14ac:dyDescent="0.25">
      <c r="A688" t="s">
        <v>263</v>
      </c>
      <c r="B688" s="6">
        <f t="shared" si="115"/>
        <v>8.0695000000000014</v>
      </c>
      <c r="C688" s="9">
        <f t="shared" si="116"/>
        <v>28.33333333333421</v>
      </c>
      <c r="D688" s="8" t="str">
        <f t="shared" si="117"/>
        <v>W</v>
      </c>
      <c r="E688" s="3">
        <f t="shared" si="118"/>
        <v>101</v>
      </c>
      <c r="F688" s="3" t="str">
        <f t="shared" si="119"/>
        <v>ack</v>
      </c>
      <c r="G688" s="3" t="str">
        <f t="shared" si="120"/>
        <v>93</v>
      </c>
      <c r="H688" s="3" t="str">
        <f t="shared" si="121"/>
        <v/>
      </c>
      <c r="I688" s="3">
        <f t="shared" si="122"/>
        <v>147</v>
      </c>
      <c r="J688" s="5" t="str">
        <f>IF(E688=0,"Broadcast",IF(H688="",IF(I688="","",IF(I688&lt;128,"Connect "&amp;I688,INDEX(KdoCodeTab,MATCH(I688,KdoWertTab,0)))),"ReadStat "&amp;H688))</f>
        <v>SpaceCmd</v>
      </c>
      <c r="K688" t="str">
        <f t="shared" si="112"/>
        <v/>
      </c>
      <c r="L688" t="str">
        <f t="shared" si="113"/>
        <v/>
      </c>
      <c r="M688" t="str">
        <f t="shared" si="114"/>
        <v>SpaceCmd</v>
      </c>
    </row>
    <row r="689" spans="1:13" x14ac:dyDescent="0.25">
      <c r="A689" t="s">
        <v>264</v>
      </c>
      <c r="B689" s="6">
        <f t="shared" si="115"/>
        <v>8.0705000000000009</v>
      </c>
      <c r="C689" s="9">
        <f t="shared" si="116"/>
        <v>0.99999999999944578</v>
      </c>
      <c r="D689" s="8" t="str">
        <f t="shared" si="117"/>
        <v>W</v>
      </c>
      <c r="E689" s="3">
        <f t="shared" si="118"/>
        <v>101</v>
      </c>
      <c r="F689" s="3" t="str">
        <f t="shared" si="119"/>
        <v>ack</v>
      </c>
      <c r="G689" s="3" t="str">
        <f t="shared" si="120"/>
        <v>96</v>
      </c>
      <c r="H689" s="3" t="str">
        <f t="shared" si="121"/>
        <v/>
      </c>
      <c r="I689" s="3">
        <f t="shared" si="122"/>
        <v>150</v>
      </c>
      <c r="J689" s="5" t="str">
        <f>IF(E689=0,"Broadcast",IF(H689="",IF(I689="","",IF(I689&lt;128,"Connect "&amp;I689,INDEX(KdoCodeTab,MATCH(I689,KdoWertTab,0)))),"ReadStat "&amp;H689))</f>
        <v>RepSpaceCmd</v>
      </c>
      <c r="K689" t="str">
        <f t="shared" si="112"/>
        <v/>
      </c>
      <c r="L689" t="str">
        <f t="shared" si="113"/>
        <v/>
      </c>
      <c r="M689" t="str">
        <f t="shared" si="114"/>
        <v>RepSpaceCmd</v>
      </c>
    </row>
    <row r="690" spans="1:13" x14ac:dyDescent="0.25">
      <c r="A690" t="s">
        <v>265</v>
      </c>
      <c r="B690" s="6">
        <f t="shared" si="115"/>
        <v>8.1301666666666677</v>
      </c>
      <c r="C690" s="9">
        <f t="shared" si="116"/>
        <v>59.666666666666757</v>
      </c>
      <c r="D690" s="8" t="str">
        <f t="shared" si="117"/>
        <v>W</v>
      </c>
      <c r="E690" s="3">
        <f t="shared" si="118"/>
        <v>101</v>
      </c>
      <c r="F690" s="3" t="str">
        <f t="shared" si="119"/>
        <v>ack</v>
      </c>
      <c r="G690" s="3" t="str">
        <f t="shared" si="120"/>
        <v>9C</v>
      </c>
      <c r="H690" s="3" t="str">
        <f t="shared" si="121"/>
        <v/>
      </c>
      <c r="I690" s="3">
        <f t="shared" si="122"/>
        <v>156</v>
      </c>
      <c r="J690" s="5" t="str">
        <f>IF(E690=0,"Broadcast",IF(H690="",IF(I690="","",IF(I690&lt;128,"Connect "&amp;I690,INDEX(KdoCodeTab,MATCH(I690,KdoWertTab,0)))),"ReadStat "&amp;H690))</f>
        <v>MarkCmd</v>
      </c>
      <c r="K690" t="str">
        <f t="shared" si="112"/>
        <v/>
      </c>
      <c r="L690" t="str">
        <f t="shared" si="113"/>
        <v/>
      </c>
      <c r="M690" t="str">
        <f t="shared" si="114"/>
        <v>MarkCmd</v>
      </c>
    </row>
    <row r="691" spans="1:13" x14ac:dyDescent="0.25">
      <c r="A691" t="s">
        <v>266</v>
      </c>
      <c r="B691" s="6">
        <f t="shared" si="115"/>
        <v>8.1310000000000002</v>
      </c>
      <c r="C691" s="9">
        <f t="shared" si="116"/>
        <v>0.83333333333257542</v>
      </c>
      <c r="D691" s="8" t="str">
        <f t="shared" si="117"/>
        <v>W</v>
      </c>
      <c r="E691" s="3">
        <f t="shared" si="118"/>
        <v>101</v>
      </c>
      <c r="F691" s="3" t="str">
        <f t="shared" si="119"/>
        <v>ack</v>
      </c>
      <c r="G691" s="3" t="str">
        <f t="shared" si="120"/>
        <v>9A</v>
      </c>
      <c r="H691" s="3" t="str">
        <f t="shared" si="121"/>
        <v/>
      </c>
      <c r="I691" s="3">
        <f t="shared" si="122"/>
        <v>154</v>
      </c>
      <c r="J691" s="5" t="str">
        <f>IF(E691=0,"Broadcast",IF(H691="",IF(I691="","",IF(I691&lt;128,"Connect "&amp;I691,INDEX(KdoCodeTab,MATCH(I691,KdoWertTab,0)))),"ReadStat "&amp;H691))</f>
        <v>RepMarkCmd</v>
      </c>
      <c r="K691" t="str">
        <f t="shared" si="112"/>
        <v/>
      </c>
      <c r="L691" t="str">
        <f t="shared" si="113"/>
        <v/>
      </c>
      <c r="M691" t="str">
        <f t="shared" si="114"/>
        <v>RepMarkCmd</v>
      </c>
    </row>
    <row r="692" spans="1:13" x14ac:dyDescent="0.25">
      <c r="A692" t="s">
        <v>267</v>
      </c>
      <c r="B692" s="6">
        <f t="shared" si="115"/>
        <v>8.1706666666666674</v>
      </c>
      <c r="C692" s="9">
        <f t="shared" si="116"/>
        <v>39.666666666667183</v>
      </c>
      <c r="D692" s="8" t="str">
        <f t="shared" si="117"/>
        <v>W</v>
      </c>
      <c r="E692" s="3">
        <f t="shared" si="118"/>
        <v>101</v>
      </c>
      <c r="F692" s="3" t="str">
        <f t="shared" si="119"/>
        <v>ack</v>
      </c>
      <c r="G692" s="3" t="str">
        <f t="shared" si="120"/>
        <v>93</v>
      </c>
      <c r="H692" s="3" t="str">
        <f t="shared" si="121"/>
        <v/>
      </c>
      <c r="I692" s="3">
        <f t="shared" si="122"/>
        <v>147</v>
      </c>
      <c r="J692" s="5" t="str">
        <f>IF(E692=0,"Broadcast",IF(H692="",IF(I692="","",IF(I692&lt;128,"Connect "&amp;I692,INDEX(KdoCodeTab,MATCH(I692,KdoWertTab,0)))),"ReadStat "&amp;H692))</f>
        <v>SpaceCmd</v>
      </c>
      <c r="K692" t="str">
        <f t="shared" si="112"/>
        <v/>
      </c>
      <c r="L692" t="str">
        <f t="shared" si="113"/>
        <v/>
      </c>
      <c r="M692" t="str">
        <f t="shared" si="114"/>
        <v>SpaceCmd</v>
      </c>
    </row>
    <row r="693" spans="1:13" x14ac:dyDescent="0.25">
      <c r="A693" t="s">
        <v>268</v>
      </c>
      <c r="B693" s="6">
        <f t="shared" si="115"/>
        <v>8.1715</v>
      </c>
      <c r="C693" s="9">
        <f t="shared" si="116"/>
        <v>0.83333333333257542</v>
      </c>
      <c r="D693" s="8" t="str">
        <f t="shared" si="117"/>
        <v>W</v>
      </c>
      <c r="E693" s="3">
        <f t="shared" si="118"/>
        <v>101</v>
      </c>
      <c r="F693" s="3" t="str">
        <f t="shared" si="119"/>
        <v>ack</v>
      </c>
      <c r="G693" s="3" t="str">
        <f t="shared" si="120"/>
        <v>96</v>
      </c>
      <c r="H693" s="3" t="str">
        <f t="shared" si="121"/>
        <v/>
      </c>
      <c r="I693" s="3">
        <f t="shared" si="122"/>
        <v>150</v>
      </c>
      <c r="J693" s="5" t="str">
        <f>IF(E693=0,"Broadcast",IF(H693="",IF(I693="","",IF(I693&lt;128,"Connect "&amp;I693,INDEX(KdoCodeTab,MATCH(I693,KdoWertTab,0)))),"ReadStat "&amp;H693))</f>
        <v>RepSpaceCmd</v>
      </c>
      <c r="K693" t="str">
        <f t="shared" si="112"/>
        <v/>
      </c>
      <c r="L693" t="str">
        <f t="shared" si="113"/>
        <v/>
      </c>
      <c r="M693" t="str">
        <f t="shared" si="114"/>
        <v>RepSpaceCmd</v>
      </c>
    </row>
    <row r="694" spans="1:13" x14ac:dyDescent="0.25">
      <c r="A694" t="s">
        <v>269</v>
      </c>
      <c r="B694" s="6">
        <f t="shared" si="115"/>
        <v>8.1908333333333321</v>
      </c>
      <c r="C694" s="9">
        <f t="shared" si="116"/>
        <v>19.333333333332092</v>
      </c>
      <c r="D694" s="8" t="str">
        <f t="shared" si="117"/>
        <v>W</v>
      </c>
      <c r="E694" s="3">
        <f t="shared" si="118"/>
        <v>101</v>
      </c>
      <c r="F694" s="3" t="str">
        <f t="shared" si="119"/>
        <v>ack</v>
      </c>
      <c r="G694" s="3" t="str">
        <f t="shared" si="120"/>
        <v>9C</v>
      </c>
      <c r="H694" s="3" t="str">
        <f t="shared" si="121"/>
        <v/>
      </c>
      <c r="I694" s="3">
        <f t="shared" si="122"/>
        <v>156</v>
      </c>
      <c r="J694" s="5" t="str">
        <f>IF(E694=0,"Broadcast",IF(H694="",IF(I694="","",IF(I694&lt;128,"Connect "&amp;I694,INDEX(KdoCodeTab,MATCH(I694,KdoWertTab,0)))),"ReadStat "&amp;H694))</f>
        <v>MarkCmd</v>
      </c>
      <c r="K694" t="str">
        <f t="shared" si="112"/>
        <v/>
      </c>
      <c r="L694" t="str">
        <f t="shared" si="113"/>
        <v/>
      </c>
      <c r="M694" t="str">
        <f t="shared" si="114"/>
        <v>MarkCmd</v>
      </c>
    </row>
    <row r="695" spans="1:13" x14ac:dyDescent="0.25">
      <c r="A695" t="s">
        <v>270</v>
      </c>
      <c r="B695" s="6">
        <f t="shared" si="115"/>
        <v>8.1916666666666682</v>
      </c>
      <c r="C695" s="9">
        <f t="shared" si="116"/>
        <v>0.83333333333612813</v>
      </c>
      <c r="D695" s="8" t="str">
        <f t="shared" si="117"/>
        <v>W</v>
      </c>
      <c r="E695" s="3">
        <f t="shared" si="118"/>
        <v>101</v>
      </c>
      <c r="F695" s="3" t="str">
        <f t="shared" si="119"/>
        <v>ack</v>
      </c>
      <c r="G695" s="3" t="str">
        <f t="shared" si="120"/>
        <v>9A</v>
      </c>
      <c r="H695" s="3" t="str">
        <f t="shared" si="121"/>
        <v/>
      </c>
      <c r="I695" s="3">
        <f t="shared" si="122"/>
        <v>154</v>
      </c>
      <c r="J695" s="5" t="str">
        <f>IF(E695=0,"Broadcast",IF(H695="",IF(I695="","",IF(I695&lt;128,"Connect "&amp;I695,INDEX(KdoCodeTab,MATCH(I695,KdoWertTab,0)))),"ReadStat "&amp;H695))</f>
        <v>RepMarkCmd</v>
      </c>
      <c r="K695" t="str">
        <f t="shared" si="112"/>
        <v/>
      </c>
      <c r="L695" t="str">
        <f t="shared" si="113"/>
        <v/>
      </c>
      <c r="M695" t="str">
        <f t="shared" si="114"/>
        <v>RepMarkCmd</v>
      </c>
    </row>
    <row r="696" spans="1:13" x14ac:dyDescent="0.25">
      <c r="A696" t="s">
        <v>271</v>
      </c>
      <c r="B696" s="6">
        <f t="shared" si="115"/>
        <v>8.2010000000000005</v>
      </c>
      <c r="C696" s="9">
        <f t="shared" si="116"/>
        <v>9.3333333333323054</v>
      </c>
      <c r="D696" s="8" t="str">
        <f t="shared" si="117"/>
        <v>W</v>
      </c>
      <c r="E696" s="3">
        <f t="shared" si="118"/>
        <v>31</v>
      </c>
      <c r="F696" s="3" t="str">
        <f t="shared" si="119"/>
        <v>ack</v>
      </c>
      <c r="G696" s="3" t="str">
        <f t="shared" si="120"/>
        <v>9A</v>
      </c>
      <c r="H696" s="3" t="str">
        <f t="shared" si="121"/>
        <v/>
      </c>
      <c r="I696" s="3">
        <f t="shared" si="122"/>
        <v>154</v>
      </c>
      <c r="J696" s="5" t="str">
        <f>IF(E696=0,"Broadcast",IF(H696="",IF(I696="","",IF(I696&lt;128,"Connect "&amp;I696,INDEX(KdoCodeTab,MATCH(I696,KdoWertTab,0)))),"ReadStat "&amp;H696))</f>
        <v>RepMarkCmd</v>
      </c>
      <c r="K696" t="str">
        <f t="shared" si="112"/>
        <v/>
      </c>
      <c r="L696" t="str">
        <f t="shared" si="113"/>
        <v>RepMarkCmd</v>
      </c>
      <c r="M696" t="str">
        <f t="shared" si="114"/>
        <v/>
      </c>
    </row>
    <row r="697" spans="1:13" x14ac:dyDescent="0.25">
      <c r="A697" t="s">
        <v>272</v>
      </c>
      <c r="B697" s="6">
        <f t="shared" si="115"/>
        <v>8.259500000000001</v>
      </c>
      <c r="C697" s="9">
        <f t="shared" si="116"/>
        <v>58.500000000000441</v>
      </c>
      <c r="D697" s="8" t="str">
        <f t="shared" si="117"/>
        <v>W</v>
      </c>
      <c r="E697" s="3">
        <f t="shared" si="118"/>
        <v>101</v>
      </c>
      <c r="F697" s="3" t="str">
        <f t="shared" si="119"/>
        <v>ack</v>
      </c>
      <c r="G697" s="3" t="str">
        <f t="shared" si="120"/>
        <v>93</v>
      </c>
      <c r="H697" s="3" t="str">
        <f t="shared" si="121"/>
        <v/>
      </c>
      <c r="I697" s="3">
        <f t="shared" si="122"/>
        <v>147</v>
      </c>
      <c r="J697" s="5" t="str">
        <f>IF(E697=0,"Broadcast",IF(H697="",IF(I697="","",IF(I697&lt;128,"Connect "&amp;I697,INDEX(KdoCodeTab,MATCH(I697,KdoWertTab,0)))),"ReadStat "&amp;H697))</f>
        <v>SpaceCmd</v>
      </c>
      <c r="K697" t="str">
        <f t="shared" si="112"/>
        <v/>
      </c>
      <c r="L697" t="str">
        <f t="shared" si="113"/>
        <v/>
      </c>
      <c r="M697" t="str">
        <f t="shared" si="114"/>
        <v>SpaceCmd</v>
      </c>
    </row>
    <row r="698" spans="1:13" x14ac:dyDescent="0.25">
      <c r="A698" t="s">
        <v>273</v>
      </c>
      <c r="B698" s="6">
        <f t="shared" si="115"/>
        <v>8.2603333333333335</v>
      </c>
      <c r="C698" s="9">
        <f t="shared" si="116"/>
        <v>0.83333333333257542</v>
      </c>
      <c r="D698" s="8" t="str">
        <f t="shared" si="117"/>
        <v>W</v>
      </c>
      <c r="E698" s="3">
        <f t="shared" si="118"/>
        <v>101</v>
      </c>
      <c r="F698" s="3" t="str">
        <f t="shared" si="119"/>
        <v>ack</v>
      </c>
      <c r="G698" s="3" t="str">
        <f t="shared" si="120"/>
        <v>96</v>
      </c>
      <c r="H698" s="3" t="str">
        <f t="shared" si="121"/>
        <v/>
      </c>
      <c r="I698" s="3">
        <f t="shared" si="122"/>
        <v>150</v>
      </c>
      <c r="J698" s="5" t="str">
        <f>IF(E698=0,"Broadcast",IF(H698="",IF(I698="","",IF(I698&lt;128,"Connect "&amp;I698,INDEX(KdoCodeTab,MATCH(I698,KdoWertTab,0)))),"ReadStat "&amp;H698))</f>
        <v>RepSpaceCmd</v>
      </c>
      <c r="K698" t="str">
        <f t="shared" si="112"/>
        <v/>
      </c>
      <c r="L698" t="str">
        <f t="shared" si="113"/>
        <v/>
      </c>
      <c r="M698" t="str">
        <f t="shared" si="114"/>
        <v>RepSpaceCmd</v>
      </c>
    </row>
    <row r="699" spans="1:13" x14ac:dyDescent="0.25">
      <c r="A699" t="s">
        <v>274</v>
      </c>
      <c r="B699" s="6">
        <f t="shared" si="115"/>
        <v>8.3000000000000007</v>
      </c>
      <c r="C699" s="9">
        <f t="shared" si="116"/>
        <v>39.666666666667183</v>
      </c>
      <c r="D699" s="8" t="str">
        <f t="shared" si="117"/>
        <v>W</v>
      </c>
      <c r="E699" s="3">
        <f t="shared" si="118"/>
        <v>101</v>
      </c>
      <c r="F699" s="3" t="str">
        <f t="shared" si="119"/>
        <v>ack</v>
      </c>
      <c r="G699" s="3" t="str">
        <f t="shared" si="120"/>
        <v>9C</v>
      </c>
      <c r="H699" s="3" t="str">
        <f t="shared" si="121"/>
        <v/>
      </c>
      <c r="I699" s="3">
        <f t="shared" si="122"/>
        <v>156</v>
      </c>
      <c r="J699" s="5" t="str">
        <f>IF(E699=0,"Broadcast",IF(H699="",IF(I699="","",IF(I699&lt;128,"Connect "&amp;I699,INDEX(KdoCodeTab,MATCH(I699,KdoWertTab,0)))),"ReadStat "&amp;H699))</f>
        <v>MarkCmd</v>
      </c>
      <c r="K699" t="str">
        <f t="shared" ref="K699:K762" si="123">IF(E699=$K$2,J699,"")</f>
        <v/>
      </c>
      <c r="L699" t="str">
        <f t="shared" ref="L699:L762" si="124">IF(E699=$L$2,J699,"")</f>
        <v/>
      </c>
      <c r="M699" t="str">
        <f t="shared" ref="M699:M762" si="125">IF(K699&amp;L699="",J699,"")</f>
        <v>MarkCmd</v>
      </c>
    </row>
    <row r="700" spans="1:13" x14ac:dyDescent="0.25">
      <c r="A700" t="s">
        <v>275</v>
      </c>
      <c r="B700" s="6">
        <f t="shared" si="115"/>
        <v>8.3008333333333333</v>
      </c>
      <c r="C700" s="9">
        <f t="shared" si="116"/>
        <v>0.83333333333257542</v>
      </c>
      <c r="D700" s="8" t="str">
        <f t="shared" si="117"/>
        <v>W</v>
      </c>
      <c r="E700" s="3">
        <f t="shared" si="118"/>
        <v>101</v>
      </c>
      <c r="F700" s="3" t="str">
        <f t="shared" si="119"/>
        <v>ack</v>
      </c>
      <c r="G700" s="3" t="str">
        <f t="shared" si="120"/>
        <v>9A</v>
      </c>
      <c r="H700" s="3" t="str">
        <f t="shared" si="121"/>
        <v/>
      </c>
      <c r="I700" s="3">
        <f t="shared" si="122"/>
        <v>154</v>
      </c>
      <c r="J700" s="5" t="str">
        <f>IF(E700=0,"Broadcast",IF(H700="",IF(I700="","",IF(I700&lt;128,"Connect "&amp;I700,INDEX(KdoCodeTab,MATCH(I700,KdoWertTab,0)))),"ReadStat "&amp;H700))</f>
        <v>RepMarkCmd</v>
      </c>
      <c r="K700" t="str">
        <f t="shared" si="123"/>
        <v/>
      </c>
      <c r="L700" t="str">
        <f t="shared" si="124"/>
        <v/>
      </c>
      <c r="M700" t="str">
        <f t="shared" si="125"/>
        <v>RepMarkCmd</v>
      </c>
    </row>
    <row r="701" spans="1:13" x14ac:dyDescent="0.25">
      <c r="A701" t="s">
        <v>276</v>
      </c>
      <c r="B701" s="6">
        <f t="shared" si="115"/>
        <v>8.3393333333333342</v>
      </c>
      <c r="C701" s="9">
        <f t="shared" si="116"/>
        <v>38.500000000000867</v>
      </c>
      <c r="D701" s="8" t="str">
        <f t="shared" si="117"/>
        <v>W</v>
      </c>
      <c r="E701" s="3">
        <f t="shared" si="118"/>
        <v>101</v>
      </c>
      <c r="F701" s="3" t="str">
        <f t="shared" si="119"/>
        <v>ack</v>
      </c>
      <c r="G701" s="3" t="str">
        <f t="shared" si="120"/>
        <v>93</v>
      </c>
      <c r="H701" s="3" t="str">
        <f t="shared" si="121"/>
        <v/>
      </c>
      <c r="I701" s="3">
        <f t="shared" si="122"/>
        <v>147</v>
      </c>
      <c r="J701" s="5" t="str">
        <f>IF(E701=0,"Broadcast",IF(H701="",IF(I701="","",IF(I701&lt;128,"Connect "&amp;I701,INDEX(KdoCodeTab,MATCH(I701,KdoWertTab,0)))),"ReadStat "&amp;H701))</f>
        <v>SpaceCmd</v>
      </c>
      <c r="K701" t="str">
        <f t="shared" si="123"/>
        <v/>
      </c>
      <c r="L701" t="str">
        <f t="shared" si="124"/>
        <v/>
      </c>
      <c r="M701" t="str">
        <f t="shared" si="125"/>
        <v>SpaceCmd</v>
      </c>
    </row>
    <row r="702" spans="1:13" x14ac:dyDescent="0.25">
      <c r="A702" t="s">
        <v>277</v>
      </c>
      <c r="B702" s="6">
        <f t="shared" si="115"/>
        <v>8.3401666666666667</v>
      </c>
      <c r="C702" s="9">
        <f t="shared" si="116"/>
        <v>0.83333333333257542</v>
      </c>
      <c r="D702" s="8" t="str">
        <f t="shared" si="117"/>
        <v>W</v>
      </c>
      <c r="E702" s="3">
        <f t="shared" si="118"/>
        <v>101</v>
      </c>
      <c r="F702" s="3" t="str">
        <f t="shared" si="119"/>
        <v>ack</v>
      </c>
      <c r="G702" s="3" t="str">
        <f t="shared" si="120"/>
        <v>96</v>
      </c>
      <c r="H702" s="3" t="str">
        <f t="shared" si="121"/>
        <v/>
      </c>
      <c r="I702" s="3">
        <f t="shared" si="122"/>
        <v>150</v>
      </c>
      <c r="J702" s="5" t="str">
        <f>IF(E702=0,"Broadcast",IF(H702="",IF(I702="","",IF(I702&lt;128,"Connect "&amp;I702,INDEX(KdoCodeTab,MATCH(I702,KdoWertTab,0)))),"ReadStat "&amp;H702))</f>
        <v>RepSpaceCmd</v>
      </c>
      <c r="K702" t="str">
        <f t="shared" si="123"/>
        <v/>
      </c>
      <c r="L702" t="str">
        <f t="shared" si="124"/>
        <v/>
      </c>
      <c r="M702" t="str">
        <f t="shared" si="125"/>
        <v>RepSpaceCmd</v>
      </c>
    </row>
    <row r="703" spans="1:13" x14ac:dyDescent="0.25">
      <c r="A703" t="s">
        <v>278</v>
      </c>
      <c r="B703" s="6">
        <f t="shared" si="115"/>
        <v>8.379666666666667</v>
      </c>
      <c r="C703" s="9">
        <f t="shared" si="116"/>
        <v>39.500000000000313</v>
      </c>
      <c r="D703" s="8" t="str">
        <f t="shared" si="117"/>
        <v>W</v>
      </c>
      <c r="E703" s="3">
        <f t="shared" si="118"/>
        <v>101</v>
      </c>
      <c r="F703" s="3" t="str">
        <f t="shared" si="119"/>
        <v>ack</v>
      </c>
      <c r="G703" s="3" t="str">
        <f t="shared" si="120"/>
        <v>9C</v>
      </c>
      <c r="H703" s="3" t="str">
        <f t="shared" si="121"/>
        <v/>
      </c>
      <c r="I703" s="3">
        <f t="shared" si="122"/>
        <v>156</v>
      </c>
      <c r="J703" s="5" t="str">
        <f>IF(E703=0,"Broadcast",IF(H703="",IF(I703="","",IF(I703&lt;128,"Connect "&amp;I703,INDEX(KdoCodeTab,MATCH(I703,KdoWertTab,0)))),"ReadStat "&amp;H703))</f>
        <v>MarkCmd</v>
      </c>
      <c r="K703" t="str">
        <f t="shared" si="123"/>
        <v/>
      </c>
      <c r="L703" t="str">
        <f t="shared" si="124"/>
        <v/>
      </c>
      <c r="M703" t="str">
        <f t="shared" si="125"/>
        <v>MarkCmd</v>
      </c>
    </row>
    <row r="704" spans="1:13" x14ac:dyDescent="0.25">
      <c r="A704" t="s">
        <v>279</v>
      </c>
      <c r="B704" s="6">
        <f t="shared" si="115"/>
        <v>8.3806666666666683</v>
      </c>
      <c r="C704" s="9">
        <f t="shared" si="116"/>
        <v>1.0000000000012221</v>
      </c>
      <c r="D704" s="8" t="str">
        <f t="shared" si="117"/>
        <v>W</v>
      </c>
      <c r="E704" s="3">
        <f t="shared" si="118"/>
        <v>101</v>
      </c>
      <c r="F704" s="3" t="str">
        <f t="shared" si="119"/>
        <v>ack</v>
      </c>
      <c r="G704" s="3" t="str">
        <f t="shared" si="120"/>
        <v>9A</v>
      </c>
      <c r="H704" s="3" t="str">
        <f t="shared" si="121"/>
        <v/>
      </c>
      <c r="I704" s="3">
        <f t="shared" si="122"/>
        <v>154</v>
      </c>
      <c r="J704" s="5" t="str">
        <f>IF(E704=0,"Broadcast",IF(H704="",IF(I704="","",IF(I704&lt;128,"Connect "&amp;I704,INDEX(KdoCodeTab,MATCH(I704,KdoWertTab,0)))),"ReadStat "&amp;H704))</f>
        <v>RepMarkCmd</v>
      </c>
      <c r="K704" t="str">
        <f t="shared" si="123"/>
        <v/>
      </c>
      <c r="L704" t="str">
        <f t="shared" si="124"/>
        <v/>
      </c>
      <c r="M704" t="str">
        <f t="shared" si="125"/>
        <v>RepMarkCmd</v>
      </c>
    </row>
    <row r="705" spans="1:13" x14ac:dyDescent="0.25">
      <c r="A705" t="s">
        <v>280</v>
      </c>
      <c r="B705" s="6">
        <f t="shared" si="115"/>
        <v>8.4938333333333329</v>
      </c>
      <c r="C705" s="9">
        <f t="shared" si="116"/>
        <v>113.16666666666464</v>
      </c>
      <c r="D705" s="8" t="str">
        <f t="shared" si="117"/>
        <v>W</v>
      </c>
      <c r="E705" s="3">
        <f t="shared" si="118"/>
        <v>101</v>
      </c>
      <c r="F705" s="3" t="str">
        <f t="shared" si="119"/>
        <v>ack</v>
      </c>
      <c r="G705" s="3" t="str">
        <f t="shared" si="120"/>
        <v>93</v>
      </c>
      <c r="H705" s="3" t="str">
        <f t="shared" si="121"/>
        <v/>
      </c>
      <c r="I705" s="3">
        <f t="shared" si="122"/>
        <v>147</v>
      </c>
      <c r="J705" s="5" t="str">
        <f>IF(E705=0,"Broadcast",IF(H705="",IF(I705="","",IF(I705&lt;128,"Connect "&amp;I705,INDEX(KdoCodeTab,MATCH(I705,KdoWertTab,0)))),"ReadStat "&amp;H705))</f>
        <v>SpaceCmd</v>
      </c>
      <c r="K705" t="str">
        <f t="shared" si="123"/>
        <v/>
      </c>
      <c r="L705" t="str">
        <f t="shared" si="124"/>
        <v/>
      </c>
      <c r="M705" t="str">
        <f t="shared" si="125"/>
        <v>SpaceCmd</v>
      </c>
    </row>
    <row r="706" spans="1:13" x14ac:dyDescent="0.25">
      <c r="A706" t="s">
        <v>281</v>
      </c>
      <c r="B706" s="6">
        <f t="shared" si="115"/>
        <v>8.4948333333333323</v>
      </c>
      <c r="C706" s="9">
        <f t="shared" si="116"/>
        <v>0.99999999999944578</v>
      </c>
      <c r="D706" s="8" t="str">
        <f t="shared" si="117"/>
        <v>W</v>
      </c>
      <c r="E706" s="3">
        <f t="shared" si="118"/>
        <v>101</v>
      </c>
      <c r="F706" s="3" t="str">
        <f t="shared" si="119"/>
        <v>ack</v>
      </c>
      <c r="G706" s="3" t="str">
        <f t="shared" si="120"/>
        <v>96</v>
      </c>
      <c r="H706" s="3" t="str">
        <f t="shared" si="121"/>
        <v/>
      </c>
      <c r="I706" s="3">
        <f t="shared" si="122"/>
        <v>150</v>
      </c>
      <c r="J706" s="5" t="str">
        <f>IF(E706=0,"Broadcast",IF(H706="",IF(I706="","",IF(I706&lt;128,"Connect "&amp;I706,INDEX(KdoCodeTab,MATCH(I706,KdoWertTab,0)))),"ReadStat "&amp;H706))</f>
        <v>RepSpaceCmd</v>
      </c>
      <c r="K706" t="str">
        <f t="shared" si="123"/>
        <v/>
      </c>
      <c r="L706" t="str">
        <f t="shared" si="124"/>
        <v/>
      </c>
      <c r="M706" t="str">
        <f t="shared" si="125"/>
        <v>RepSpaceCmd</v>
      </c>
    </row>
    <row r="707" spans="1:13" x14ac:dyDescent="0.25">
      <c r="A707" t="s">
        <v>282</v>
      </c>
      <c r="B707" s="6">
        <f t="shared" si="115"/>
        <v>8.5545000000000009</v>
      </c>
      <c r="C707" s="9">
        <f t="shared" si="116"/>
        <v>59.666666666668533</v>
      </c>
      <c r="D707" s="8" t="str">
        <f t="shared" si="117"/>
        <v>W</v>
      </c>
      <c r="E707" s="3">
        <f t="shared" si="118"/>
        <v>101</v>
      </c>
      <c r="F707" s="3" t="str">
        <f t="shared" si="119"/>
        <v>ack</v>
      </c>
      <c r="G707" s="3" t="str">
        <f t="shared" si="120"/>
        <v>9C</v>
      </c>
      <c r="H707" s="3" t="str">
        <f t="shared" si="121"/>
        <v/>
      </c>
      <c r="I707" s="3">
        <f t="shared" si="122"/>
        <v>156</v>
      </c>
      <c r="J707" s="5" t="str">
        <f>IF(E707=0,"Broadcast",IF(H707="",IF(I707="","",IF(I707&lt;128,"Connect "&amp;I707,INDEX(KdoCodeTab,MATCH(I707,KdoWertTab,0)))),"ReadStat "&amp;H707))</f>
        <v>MarkCmd</v>
      </c>
      <c r="K707" t="str">
        <f t="shared" si="123"/>
        <v/>
      </c>
      <c r="L707" t="str">
        <f t="shared" si="124"/>
        <v/>
      </c>
      <c r="M707" t="str">
        <f t="shared" si="125"/>
        <v>MarkCmd</v>
      </c>
    </row>
    <row r="708" spans="1:13" x14ac:dyDescent="0.25">
      <c r="A708" t="s">
        <v>283</v>
      </c>
      <c r="B708" s="6">
        <f t="shared" si="115"/>
        <v>8.5553333333333335</v>
      </c>
      <c r="C708" s="9">
        <f t="shared" si="116"/>
        <v>0.83333333333257542</v>
      </c>
      <c r="D708" s="8" t="str">
        <f t="shared" si="117"/>
        <v>W</v>
      </c>
      <c r="E708" s="3">
        <f t="shared" si="118"/>
        <v>101</v>
      </c>
      <c r="F708" s="3" t="str">
        <f t="shared" si="119"/>
        <v>ack</v>
      </c>
      <c r="G708" s="3" t="str">
        <f t="shared" si="120"/>
        <v>9A</v>
      </c>
      <c r="H708" s="3" t="str">
        <f t="shared" si="121"/>
        <v/>
      </c>
      <c r="I708" s="3">
        <f t="shared" si="122"/>
        <v>154</v>
      </c>
      <c r="J708" s="5" t="str">
        <f>IF(E708=0,"Broadcast",IF(H708="",IF(I708="","",IF(I708&lt;128,"Connect "&amp;I708,INDEX(KdoCodeTab,MATCH(I708,KdoWertTab,0)))),"ReadStat "&amp;H708))</f>
        <v>RepMarkCmd</v>
      </c>
      <c r="K708" t="str">
        <f t="shared" si="123"/>
        <v/>
      </c>
      <c r="L708" t="str">
        <f t="shared" si="124"/>
        <v/>
      </c>
      <c r="M708" t="str">
        <f t="shared" si="125"/>
        <v>RepMarkCmd</v>
      </c>
    </row>
    <row r="709" spans="1:13" x14ac:dyDescent="0.25">
      <c r="A709" t="s">
        <v>284</v>
      </c>
      <c r="B709" s="6">
        <f t="shared" ref="B709:B772" si="126">MID(A709,1,5)/1000+(CODE(MID(A709,6,1))-CODE("a"))/6000</f>
        <v>8.594833333333332</v>
      </c>
      <c r="C709" s="9">
        <f t="shared" ref="C709:C772" si="127">(B709-B708+IF(B709&gt;B708,0,11))*1000</f>
        <v>39.499999999998536</v>
      </c>
      <c r="D709" s="8" t="str">
        <f t="shared" ref="D709:D772" si="128">IF(MID(A709,10,1)="&lt;","R",IF(MID(A709,10,1)="&gt;","W","?"))</f>
        <v>W</v>
      </c>
      <c r="E709" s="3">
        <f t="shared" ref="E709:E772" si="129">INT(HEX2DEC(MID(A709,8,2))/2)</f>
        <v>101</v>
      </c>
      <c r="F709" s="3" t="str">
        <f t="shared" ref="F709:F772" si="130">IF(MID(A709,11,1)="+","ack","NACK")</f>
        <v>ack</v>
      </c>
      <c r="G709" s="3" t="str">
        <f t="shared" ref="G709:G772" si="131">IF(F709="ack",SUBSTITUTE(MID(A709,12,LEN(A709)-12),"+","  "),"")</f>
        <v>93</v>
      </c>
      <c r="H709" s="3" t="str">
        <f t="shared" ref="H709:H772" si="132">IF(MID(A709,10,2)="&lt;+",MID(A709,12,2),"")</f>
        <v/>
      </c>
      <c r="I709" s="3">
        <f t="shared" ref="I709:I772" si="133">IF(MID(A709,10,2)="&gt;+",HEX2DEC(MID(A709,12,2)),"")</f>
        <v>147</v>
      </c>
      <c r="J709" s="5" t="str">
        <f>IF(E709=0,"Broadcast",IF(H709="",IF(I709="","",IF(I709&lt;128,"Connect "&amp;I709,INDEX(KdoCodeTab,MATCH(I709,KdoWertTab,0)))),"ReadStat "&amp;H709))</f>
        <v>SpaceCmd</v>
      </c>
      <c r="K709" t="str">
        <f t="shared" si="123"/>
        <v/>
      </c>
      <c r="L709" t="str">
        <f t="shared" si="124"/>
        <v/>
      </c>
      <c r="M709" t="str">
        <f t="shared" si="125"/>
        <v>SpaceCmd</v>
      </c>
    </row>
    <row r="710" spans="1:13" x14ac:dyDescent="0.25">
      <c r="A710" t="s">
        <v>285</v>
      </c>
      <c r="B710" s="6">
        <f t="shared" si="126"/>
        <v>8.5956666666666681</v>
      </c>
      <c r="C710" s="9">
        <f t="shared" si="127"/>
        <v>0.83333333333612813</v>
      </c>
      <c r="D710" s="8" t="str">
        <f t="shared" si="128"/>
        <v>W</v>
      </c>
      <c r="E710" s="3">
        <f t="shared" si="129"/>
        <v>101</v>
      </c>
      <c r="F710" s="3" t="str">
        <f t="shared" si="130"/>
        <v>ack</v>
      </c>
      <c r="G710" s="3" t="str">
        <f t="shared" si="131"/>
        <v>96</v>
      </c>
      <c r="H710" s="3" t="str">
        <f t="shared" si="132"/>
        <v/>
      </c>
      <c r="I710" s="3">
        <f t="shared" si="133"/>
        <v>150</v>
      </c>
      <c r="J710" s="5" t="str">
        <f>IF(E710=0,"Broadcast",IF(H710="",IF(I710="","",IF(I710&lt;128,"Connect "&amp;I710,INDEX(KdoCodeTab,MATCH(I710,KdoWertTab,0)))),"ReadStat "&amp;H710))</f>
        <v>RepSpaceCmd</v>
      </c>
      <c r="K710" t="str">
        <f t="shared" si="123"/>
        <v/>
      </c>
      <c r="L710" t="str">
        <f t="shared" si="124"/>
        <v/>
      </c>
      <c r="M710" t="str">
        <f t="shared" si="125"/>
        <v>RepSpaceCmd</v>
      </c>
    </row>
    <row r="711" spans="1:13" x14ac:dyDescent="0.25">
      <c r="A711" t="s">
        <v>286</v>
      </c>
      <c r="B711" s="6">
        <f t="shared" si="126"/>
        <v>8.6151666666666671</v>
      </c>
      <c r="C711" s="9">
        <f t="shared" si="127"/>
        <v>19.499999999998963</v>
      </c>
      <c r="D711" s="8" t="str">
        <f t="shared" si="128"/>
        <v>W</v>
      </c>
      <c r="E711" s="3">
        <f t="shared" si="129"/>
        <v>101</v>
      </c>
      <c r="F711" s="3" t="str">
        <f t="shared" si="130"/>
        <v>ack</v>
      </c>
      <c r="G711" s="3" t="str">
        <f t="shared" si="131"/>
        <v>9C</v>
      </c>
      <c r="H711" s="3" t="str">
        <f t="shared" si="132"/>
        <v/>
      </c>
      <c r="I711" s="3">
        <f t="shared" si="133"/>
        <v>156</v>
      </c>
      <c r="J711" s="5" t="str">
        <f>IF(E711=0,"Broadcast",IF(H711="",IF(I711="","",IF(I711&lt;128,"Connect "&amp;I711,INDEX(KdoCodeTab,MATCH(I711,KdoWertTab,0)))),"ReadStat "&amp;H711))</f>
        <v>MarkCmd</v>
      </c>
      <c r="K711" t="str">
        <f t="shared" si="123"/>
        <v/>
      </c>
      <c r="L711" t="str">
        <f t="shared" si="124"/>
        <v/>
      </c>
      <c r="M711" t="str">
        <f t="shared" si="125"/>
        <v>MarkCmd</v>
      </c>
    </row>
    <row r="712" spans="1:13" x14ac:dyDescent="0.25">
      <c r="A712" t="s">
        <v>287</v>
      </c>
      <c r="B712" s="6">
        <f t="shared" si="126"/>
        <v>8.6159999999999997</v>
      </c>
      <c r="C712" s="9">
        <f t="shared" si="127"/>
        <v>0.83333333333257542</v>
      </c>
      <c r="D712" s="8" t="str">
        <f t="shared" si="128"/>
        <v>W</v>
      </c>
      <c r="E712" s="3">
        <f t="shared" si="129"/>
        <v>101</v>
      </c>
      <c r="F712" s="3" t="str">
        <f t="shared" si="130"/>
        <v>ack</v>
      </c>
      <c r="G712" s="3" t="str">
        <f t="shared" si="131"/>
        <v>9A</v>
      </c>
      <c r="H712" s="3" t="str">
        <f t="shared" si="132"/>
        <v/>
      </c>
      <c r="I712" s="3">
        <f t="shared" si="133"/>
        <v>154</v>
      </c>
      <c r="J712" s="5" t="str">
        <f>IF(E712=0,"Broadcast",IF(H712="",IF(I712="","",IF(I712&lt;128,"Connect "&amp;I712,INDEX(KdoCodeTab,MATCH(I712,KdoWertTab,0)))),"ReadStat "&amp;H712))</f>
        <v>RepMarkCmd</v>
      </c>
      <c r="K712" t="str">
        <f t="shared" si="123"/>
        <v/>
      </c>
      <c r="L712" t="str">
        <f t="shared" si="124"/>
        <v/>
      </c>
      <c r="M712" t="str">
        <f t="shared" si="125"/>
        <v>RepMarkCmd</v>
      </c>
    </row>
    <row r="713" spans="1:13" x14ac:dyDescent="0.25">
      <c r="A713" t="s">
        <v>288</v>
      </c>
      <c r="B713" s="6">
        <f t="shared" si="126"/>
        <v>8.6219999999999999</v>
      </c>
      <c r="C713" s="9">
        <f t="shared" si="127"/>
        <v>6.0000000000002274</v>
      </c>
      <c r="D713" s="8" t="str">
        <f t="shared" si="128"/>
        <v>W</v>
      </c>
      <c r="E713" s="3">
        <f t="shared" si="129"/>
        <v>101</v>
      </c>
      <c r="F713" s="3" t="str">
        <f t="shared" si="130"/>
        <v>ack</v>
      </c>
      <c r="G713" s="3" t="str">
        <f t="shared" si="131"/>
        <v>A9</v>
      </c>
      <c r="H713" s="3" t="str">
        <f t="shared" si="132"/>
        <v/>
      </c>
      <c r="I713" s="3">
        <f t="shared" si="133"/>
        <v>169</v>
      </c>
      <c r="J713" s="5" t="str">
        <f>IF(E713=0,"Broadcast",IF(H713="",IF(I713="","",IF(I713&lt;128,"Connect "&amp;I713,INDEX(KdoCodeTab,MATCH(I713,KdoWertTab,0)))),"ReadStat "&amp;H713))</f>
        <v>Heartbeat</v>
      </c>
      <c r="K713" t="str">
        <f t="shared" si="123"/>
        <v/>
      </c>
      <c r="L713" t="str">
        <f t="shared" si="124"/>
        <v/>
      </c>
      <c r="M713" t="str">
        <f t="shared" si="125"/>
        <v>Heartbeat</v>
      </c>
    </row>
    <row r="714" spans="1:13" x14ac:dyDescent="0.25">
      <c r="A714" t="s">
        <v>289</v>
      </c>
      <c r="B714" s="6">
        <f t="shared" si="126"/>
        <v>8.7071666666666676</v>
      </c>
      <c r="C714" s="9">
        <f t="shared" si="127"/>
        <v>85.166666666667723</v>
      </c>
      <c r="D714" s="8" t="str">
        <f t="shared" si="128"/>
        <v>W</v>
      </c>
      <c r="E714" s="3">
        <f t="shared" si="129"/>
        <v>31</v>
      </c>
      <c r="F714" s="3" t="str">
        <f t="shared" si="130"/>
        <v>ack</v>
      </c>
      <c r="G714" s="3" t="str">
        <f t="shared" si="131"/>
        <v>9A</v>
      </c>
      <c r="H714" s="3" t="str">
        <f t="shared" si="132"/>
        <v/>
      </c>
      <c r="I714" s="3">
        <f t="shared" si="133"/>
        <v>154</v>
      </c>
      <c r="J714" s="5" t="str">
        <f>IF(E714=0,"Broadcast",IF(H714="",IF(I714="","",IF(I714&lt;128,"Connect "&amp;I714,INDEX(KdoCodeTab,MATCH(I714,KdoWertTab,0)))),"ReadStat "&amp;H714))</f>
        <v>RepMarkCmd</v>
      </c>
      <c r="K714" t="str">
        <f t="shared" si="123"/>
        <v/>
      </c>
      <c r="L714" t="str">
        <f t="shared" si="124"/>
        <v>RepMarkCmd</v>
      </c>
      <c r="M714" t="str">
        <f t="shared" si="125"/>
        <v/>
      </c>
    </row>
    <row r="715" spans="1:13" x14ac:dyDescent="0.25">
      <c r="A715" t="s">
        <v>290</v>
      </c>
      <c r="B715" s="6">
        <f t="shared" si="126"/>
        <v>8.7189999999999994</v>
      </c>
      <c r="C715" s="9">
        <f t="shared" si="127"/>
        <v>11.833333333331808</v>
      </c>
      <c r="D715" s="8" t="str">
        <f t="shared" si="128"/>
        <v>W</v>
      </c>
      <c r="E715" s="3">
        <f t="shared" si="129"/>
        <v>101</v>
      </c>
      <c r="F715" s="3" t="str">
        <f t="shared" si="130"/>
        <v>ack</v>
      </c>
      <c r="G715" s="3" t="str">
        <f t="shared" si="131"/>
        <v>93</v>
      </c>
      <c r="H715" s="3" t="str">
        <f t="shared" si="132"/>
        <v/>
      </c>
      <c r="I715" s="3">
        <f t="shared" si="133"/>
        <v>147</v>
      </c>
      <c r="J715" s="5" t="str">
        <f>IF(E715=0,"Broadcast",IF(H715="",IF(I715="","",IF(I715&lt;128,"Connect "&amp;I715,INDEX(KdoCodeTab,MATCH(I715,KdoWertTab,0)))),"ReadStat "&amp;H715))</f>
        <v>SpaceCmd</v>
      </c>
      <c r="K715" t="str">
        <f t="shared" si="123"/>
        <v/>
      </c>
      <c r="L715" t="str">
        <f t="shared" si="124"/>
        <v/>
      </c>
      <c r="M715" t="str">
        <f t="shared" si="125"/>
        <v>SpaceCmd</v>
      </c>
    </row>
    <row r="716" spans="1:13" x14ac:dyDescent="0.25">
      <c r="A716" t="s">
        <v>291</v>
      </c>
      <c r="B716" s="6">
        <f t="shared" si="126"/>
        <v>8.7200000000000006</v>
      </c>
      <c r="C716" s="9">
        <f t="shared" si="127"/>
        <v>1.0000000000012221</v>
      </c>
      <c r="D716" s="8" t="str">
        <f t="shared" si="128"/>
        <v>W</v>
      </c>
      <c r="E716" s="3">
        <f t="shared" si="129"/>
        <v>101</v>
      </c>
      <c r="F716" s="3" t="str">
        <f t="shared" si="130"/>
        <v>ack</v>
      </c>
      <c r="G716" s="3" t="str">
        <f t="shared" si="131"/>
        <v>96</v>
      </c>
      <c r="H716" s="3" t="str">
        <f t="shared" si="132"/>
        <v/>
      </c>
      <c r="I716" s="3">
        <f t="shared" si="133"/>
        <v>150</v>
      </c>
      <c r="J716" s="5" t="str">
        <f>IF(E716=0,"Broadcast",IF(H716="",IF(I716="","",IF(I716&lt;128,"Connect "&amp;I716,INDEX(KdoCodeTab,MATCH(I716,KdoWertTab,0)))),"ReadStat "&amp;H716))</f>
        <v>RepSpaceCmd</v>
      </c>
      <c r="K716" t="str">
        <f t="shared" si="123"/>
        <v/>
      </c>
      <c r="L716" t="str">
        <f t="shared" si="124"/>
        <v/>
      </c>
      <c r="M716" t="str">
        <f t="shared" si="125"/>
        <v>RepSpaceCmd</v>
      </c>
    </row>
    <row r="717" spans="1:13" x14ac:dyDescent="0.25">
      <c r="A717" t="s">
        <v>292</v>
      </c>
      <c r="B717" s="6">
        <f t="shared" si="126"/>
        <v>8.7596666666666678</v>
      </c>
      <c r="C717" s="9">
        <f t="shared" si="127"/>
        <v>39.666666666667183</v>
      </c>
      <c r="D717" s="8" t="str">
        <f t="shared" si="128"/>
        <v>W</v>
      </c>
      <c r="E717" s="3">
        <f t="shared" si="129"/>
        <v>101</v>
      </c>
      <c r="F717" s="3" t="str">
        <f t="shared" si="130"/>
        <v>ack</v>
      </c>
      <c r="G717" s="3" t="str">
        <f t="shared" si="131"/>
        <v>9C</v>
      </c>
      <c r="H717" s="3" t="str">
        <f t="shared" si="132"/>
        <v/>
      </c>
      <c r="I717" s="3">
        <f t="shared" si="133"/>
        <v>156</v>
      </c>
      <c r="J717" s="5" t="str">
        <f>IF(E717=0,"Broadcast",IF(H717="",IF(I717="","",IF(I717&lt;128,"Connect "&amp;I717,INDEX(KdoCodeTab,MATCH(I717,KdoWertTab,0)))),"ReadStat "&amp;H717))</f>
        <v>MarkCmd</v>
      </c>
      <c r="K717" t="str">
        <f t="shared" si="123"/>
        <v/>
      </c>
      <c r="L717" t="str">
        <f t="shared" si="124"/>
        <v/>
      </c>
      <c r="M717" t="str">
        <f t="shared" si="125"/>
        <v>MarkCmd</v>
      </c>
    </row>
    <row r="718" spans="1:13" x14ac:dyDescent="0.25">
      <c r="A718" t="s">
        <v>293</v>
      </c>
      <c r="B718" s="6">
        <f t="shared" si="126"/>
        <v>8.7605000000000004</v>
      </c>
      <c r="C718" s="9">
        <f t="shared" si="127"/>
        <v>0.83333333333257542</v>
      </c>
      <c r="D718" s="8" t="str">
        <f t="shared" si="128"/>
        <v>W</v>
      </c>
      <c r="E718" s="3">
        <f t="shared" si="129"/>
        <v>101</v>
      </c>
      <c r="F718" s="3" t="str">
        <f t="shared" si="130"/>
        <v>ack</v>
      </c>
      <c r="G718" s="3" t="str">
        <f t="shared" si="131"/>
        <v>9A</v>
      </c>
      <c r="H718" s="3" t="str">
        <f t="shared" si="132"/>
        <v/>
      </c>
      <c r="I718" s="3">
        <f t="shared" si="133"/>
        <v>154</v>
      </c>
      <c r="J718" s="5" t="str">
        <f>IF(E718=0,"Broadcast",IF(H718="",IF(I718="","",IF(I718&lt;128,"Connect "&amp;I718,INDEX(KdoCodeTab,MATCH(I718,KdoWertTab,0)))),"ReadStat "&amp;H718))</f>
        <v>RepMarkCmd</v>
      </c>
      <c r="K718" t="str">
        <f t="shared" si="123"/>
        <v/>
      </c>
      <c r="L718" t="str">
        <f t="shared" si="124"/>
        <v/>
      </c>
      <c r="M718" t="str">
        <f t="shared" si="125"/>
        <v>RepMarkCmd</v>
      </c>
    </row>
    <row r="719" spans="1:13" x14ac:dyDescent="0.25">
      <c r="A719" t="s">
        <v>294</v>
      </c>
      <c r="B719" s="6">
        <f t="shared" si="126"/>
        <v>8.778666666666668</v>
      </c>
      <c r="C719" s="9">
        <f t="shared" si="127"/>
        <v>18.166666666667552</v>
      </c>
      <c r="D719" s="8" t="str">
        <f t="shared" si="128"/>
        <v>W</v>
      </c>
      <c r="E719" s="3">
        <f t="shared" si="129"/>
        <v>101</v>
      </c>
      <c r="F719" s="3" t="str">
        <f t="shared" si="130"/>
        <v>ack</v>
      </c>
      <c r="G719" s="3" t="str">
        <f t="shared" si="131"/>
        <v>93</v>
      </c>
      <c r="H719" s="3" t="str">
        <f t="shared" si="132"/>
        <v/>
      </c>
      <c r="I719" s="3">
        <f t="shared" si="133"/>
        <v>147</v>
      </c>
      <c r="J719" s="5" t="str">
        <f>IF(E719=0,"Broadcast",IF(H719="",IF(I719="","",IF(I719&lt;128,"Connect "&amp;I719,INDEX(KdoCodeTab,MATCH(I719,KdoWertTab,0)))),"ReadStat "&amp;H719))</f>
        <v>SpaceCmd</v>
      </c>
      <c r="K719" t="str">
        <f t="shared" si="123"/>
        <v/>
      </c>
      <c r="L719" t="str">
        <f t="shared" si="124"/>
        <v/>
      </c>
      <c r="M719" t="str">
        <f t="shared" si="125"/>
        <v>SpaceCmd</v>
      </c>
    </row>
    <row r="720" spans="1:13" x14ac:dyDescent="0.25">
      <c r="A720" t="s">
        <v>295</v>
      </c>
      <c r="B720" s="6">
        <f t="shared" si="126"/>
        <v>8.7796666666666674</v>
      </c>
      <c r="C720" s="9">
        <f t="shared" si="127"/>
        <v>0.99999999999944578</v>
      </c>
      <c r="D720" s="8" t="str">
        <f t="shared" si="128"/>
        <v>W</v>
      </c>
      <c r="E720" s="3">
        <f t="shared" si="129"/>
        <v>101</v>
      </c>
      <c r="F720" s="3" t="str">
        <f t="shared" si="130"/>
        <v>ack</v>
      </c>
      <c r="G720" s="3" t="str">
        <f t="shared" si="131"/>
        <v>96</v>
      </c>
      <c r="H720" s="3" t="str">
        <f t="shared" si="132"/>
        <v/>
      </c>
      <c r="I720" s="3">
        <f t="shared" si="133"/>
        <v>150</v>
      </c>
      <c r="J720" s="5" t="str">
        <f>IF(E720=0,"Broadcast",IF(H720="",IF(I720="","",IF(I720&lt;128,"Connect "&amp;I720,INDEX(KdoCodeTab,MATCH(I720,KdoWertTab,0)))),"ReadStat "&amp;H720))</f>
        <v>RepSpaceCmd</v>
      </c>
      <c r="K720" t="str">
        <f t="shared" si="123"/>
        <v/>
      </c>
      <c r="L720" t="str">
        <f t="shared" si="124"/>
        <v/>
      </c>
      <c r="M720" t="str">
        <f t="shared" si="125"/>
        <v>RepSpaceCmd</v>
      </c>
    </row>
    <row r="721" spans="1:13" x14ac:dyDescent="0.25">
      <c r="A721" t="s">
        <v>296</v>
      </c>
      <c r="B721" s="6">
        <f t="shared" si="126"/>
        <v>8.7989999999999995</v>
      </c>
      <c r="C721" s="9">
        <f t="shared" si="127"/>
        <v>19.333333333332092</v>
      </c>
      <c r="D721" s="8" t="str">
        <f t="shared" si="128"/>
        <v>W</v>
      </c>
      <c r="E721" s="3">
        <f t="shared" si="129"/>
        <v>101</v>
      </c>
      <c r="F721" s="3" t="str">
        <f t="shared" si="130"/>
        <v>ack</v>
      </c>
      <c r="G721" s="3" t="str">
        <f t="shared" si="131"/>
        <v>9C</v>
      </c>
      <c r="H721" s="3" t="str">
        <f t="shared" si="132"/>
        <v/>
      </c>
      <c r="I721" s="3">
        <f t="shared" si="133"/>
        <v>156</v>
      </c>
      <c r="J721" s="5" t="str">
        <f>IF(E721=0,"Broadcast",IF(H721="",IF(I721="","",IF(I721&lt;128,"Connect "&amp;I721,INDEX(KdoCodeTab,MATCH(I721,KdoWertTab,0)))),"ReadStat "&amp;H721))</f>
        <v>MarkCmd</v>
      </c>
      <c r="K721" t="str">
        <f t="shared" si="123"/>
        <v/>
      </c>
      <c r="L721" t="str">
        <f t="shared" si="124"/>
        <v/>
      </c>
      <c r="M721" t="str">
        <f t="shared" si="125"/>
        <v>MarkCmd</v>
      </c>
    </row>
    <row r="722" spans="1:13" x14ac:dyDescent="0.25">
      <c r="A722" t="s">
        <v>297</v>
      </c>
      <c r="B722" s="6">
        <f t="shared" si="126"/>
        <v>8.8000000000000007</v>
      </c>
      <c r="C722" s="9">
        <f t="shared" si="127"/>
        <v>1.0000000000012221</v>
      </c>
      <c r="D722" s="8" t="str">
        <f t="shared" si="128"/>
        <v>W</v>
      </c>
      <c r="E722" s="3">
        <f t="shared" si="129"/>
        <v>101</v>
      </c>
      <c r="F722" s="3" t="str">
        <f t="shared" si="130"/>
        <v>ack</v>
      </c>
      <c r="G722" s="3" t="str">
        <f t="shared" si="131"/>
        <v>9A</v>
      </c>
      <c r="H722" s="3" t="str">
        <f t="shared" si="132"/>
        <v/>
      </c>
      <c r="I722" s="3">
        <f t="shared" si="133"/>
        <v>154</v>
      </c>
      <c r="J722" s="5" t="str">
        <f>IF(E722=0,"Broadcast",IF(H722="",IF(I722="","",IF(I722&lt;128,"Connect "&amp;I722,INDEX(KdoCodeTab,MATCH(I722,KdoWertTab,0)))),"ReadStat "&amp;H722))</f>
        <v>RepMarkCmd</v>
      </c>
      <c r="K722" t="str">
        <f t="shared" si="123"/>
        <v/>
      </c>
      <c r="L722" t="str">
        <f t="shared" si="124"/>
        <v/>
      </c>
      <c r="M722" t="str">
        <f t="shared" si="125"/>
        <v>RepMarkCmd</v>
      </c>
    </row>
    <row r="723" spans="1:13" x14ac:dyDescent="0.25">
      <c r="A723" t="s">
        <v>298</v>
      </c>
      <c r="B723" s="6">
        <f t="shared" si="126"/>
        <v>9.01</v>
      </c>
      <c r="C723" s="9">
        <f t="shared" si="127"/>
        <v>209.99999999999909</v>
      </c>
      <c r="D723" s="8" t="str">
        <f t="shared" si="128"/>
        <v>W</v>
      </c>
      <c r="E723" s="3">
        <f t="shared" si="129"/>
        <v>101</v>
      </c>
      <c r="F723" s="3" t="str">
        <f t="shared" si="130"/>
        <v>ack</v>
      </c>
      <c r="G723" s="3" t="str">
        <f t="shared" si="131"/>
        <v>93</v>
      </c>
      <c r="H723" s="3" t="str">
        <f t="shared" si="132"/>
        <v/>
      </c>
      <c r="I723" s="3">
        <f t="shared" si="133"/>
        <v>147</v>
      </c>
      <c r="J723" s="5" t="str">
        <f>IF(E723=0,"Broadcast",IF(H723="",IF(I723="","",IF(I723&lt;128,"Connect "&amp;I723,INDEX(KdoCodeTab,MATCH(I723,KdoWertTab,0)))),"ReadStat "&amp;H723))</f>
        <v>SpaceCmd</v>
      </c>
      <c r="K723" t="str">
        <f t="shared" si="123"/>
        <v/>
      </c>
      <c r="L723" t="str">
        <f t="shared" si="124"/>
        <v/>
      </c>
      <c r="M723" t="str">
        <f t="shared" si="125"/>
        <v>SpaceCmd</v>
      </c>
    </row>
    <row r="724" spans="1:13" x14ac:dyDescent="0.25">
      <c r="A724" t="s">
        <v>299</v>
      </c>
      <c r="B724" s="6">
        <f t="shared" si="126"/>
        <v>9.0109999999999992</v>
      </c>
      <c r="C724" s="9">
        <f t="shared" si="127"/>
        <v>0.99999999999944578</v>
      </c>
      <c r="D724" s="8" t="str">
        <f t="shared" si="128"/>
        <v>W</v>
      </c>
      <c r="E724" s="3">
        <f t="shared" si="129"/>
        <v>101</v>
      </c>
      <c r="F724" s="3" t="str">
        <f t="shared" si="130"/>
        <v>ack</v>
      </c>
      <c r="G724" s="3" t="str">
        <f t="shared" si="131"/>
        <v>96</v>
      </c>
      <c r="H724" s="3" t="str">
        <f t="shared" si="132"/>
        <v/>
      </c>
      <c r="I724" s="3">
        <f t="shared" si="133"/>
        <v>150</v>
      </c>
      <c r="J724" s="5" t="str">
        <f>IF(E724=0,"Broadcast",IF(H724="",IF(I724="","",IF(I724&lt;128,"Connect "&amp;I724,INDEX(KdoCodeTab,MATCH(I724,KdoWertTab,0)))),"ReadStat "&amp;H724))</f>
        <v>RepSpaceCmd</v>
      </c>
      <c r="K724" t="str">
        <f t="shared" si="123"/>
        <v/>
      </c>
      <c r="L724" t="str">
        <f t="shared" si="124"/>
        <v/>
      </c>
      <c r="M724" t="str">
        <f t="shared" si="125"/>
        <v>RepSpaceCmd</v>
      </c>
    </row>
    <row r="725" spans="1:13" x14ac:dyDescent="0.25">
      <c r="A725" t="s">
        <v>300</v>
      </c>
      <c r="B725" s="6">
        <f t="shared" si="126"/>
        <v>9.0301666666666662</v>
      </c>
      <c r="C725" s="9">
        <f t="shared" si="127"/>
        <v>19.166666666666998</v>
      </c>
      <c r="D725" s="8" t="str">
        <f t="shared" si="128"/>
        <v>W</v>
      </c>
      <c r="E725" s="3">
        <f t="shared" si="129"/>
        <v>101</v>
      </c>
      <c r="F725" s="3" t="str">
        <f t="shared" si="130"/>
        <v>ack</v>
      </c>
      <c r="G725" s="3" t="str">
        <f t="shared" si="131"/>
        <v>9C</v>
      </c>
      <c r="H725" s="3" t="str">
        <f t="shared" si="132"/>
        <v/>
      </c>
      <c r="I725" s="3">
        <f t="shared" si="133"/>
        <v>156</v>
      </c>
      <c r="J725" s="5" t="str">
        <f>IF(E725=0,"Broadcast",IF(H725="",IF(I725="","",IF(I725&lt;128,"Connect "&amp;I725,INDEX(KdoCodeTab,MATCH(I725,KdoWertTab,0)))),"ReadStat "&amp;H725))</f>
        <v>MarkCmd</v>
      </c>
      <c r="K725" t="str">
        <f t="shared" si="123"/>
        <v/>
      </c>
      <c r="L725" t="str">
        <f t="shared" si="124"/>
        <v/>
      </c>
      <c r="M725" t="str">
        <f t="shared" si="125"/>
        <v>MarkCmd</v>
      </c>
    </row>
    <row r="726" spans="1:13" x14ac:dyDescent="0.25">
      <c r="A726" t="s">
        <v>301</v>
      </c>
      <c r="B726" s="6">
        <f t="shared" si="126"/>
        <v>9.0311666666666675</v>
      </c>
      <c r="C726" s="9">
        <f t="shared" si="127"/>
        <v>1.0000000000012221</v>
      </c>
      <c r="D726" s="8" t="str">
        <f t="shared" si="128"/>
        <v>W</v>
      </c>
      <c r="E726" s="3">
        <f t="shared" si="129"/>
        <v>101</v>
      </c>
      <c r="F726" s="3" t="str">
        <f t="shared" si="130"/>
        <v>ack</v>
      </c>
      <c r="G726" s="3" t="str">
        <f t="shared" si="131"/>
        <v>9A</v>
      </c>
      <c r="H726" s="3" t="str">
        <f t="shared" si="132"/>
        <v/>
      </c>
      <c r="I726" s="3">
        <f t="shared" si="133"/>
        <v>154</v>
      </c>
      <c r="J726" s="5" t="str">
        <f>IF(E726=0,"Broadcast",IF(H726="",IF(I726="","",IF(I726&lt;128,"Connect "&amp;I726,INDEX(KdoCodeTab,MATCH(I726,KdoWertTab,0)))),"ReadStat "&amp;H726))</f>
        <v>RepMarkCmd</v>
      </c>
      <c r="K726" t="str">
        <f t="shared" si="123"/>
        <v/>
      </c>
      <c r="L726" t="str">
        <f t="shared" si="124"/>
        <v/>
      </c>
      <c r="M726" t="str">
        <f t="shared" si="125"/>
        <v>RepMarkCmd</v>
      </c>
    </row>
    <row r="727" spans="1:13" x14ac:dyDescent="0.25">
      <c r="A727" t="s">
        <v>302</v>
      </c>
      <c r="B727" s="6">
        <f t="shared" si="126"/>
        <v>9.0696666666666683</v>
      </c>
      <c r="C727" s="9">
        <f t="shared" si="127"/>
        <v>38.500000000000867</v>
      </c>
      <c r="D727" s="8" t="str">
        <f t="shared" si="128"/>
        <v>W</v>
      </c>
      <c r="E727" s="3">
        <f t="shared" si="129"/>
        <v>101</v>
      </c>
      <c r="F727" s="3" t="str">
        <f t="shared" si="130"/>
        <v>ack</v>
      </c>
      <c r="G727" s="3" t="str">
        <f t="shared" si="131"/>
        <v>93</v>
      </c>
      <c r="H727" s="3" t="str">
        <f t="shared" si="132"/>
        <v/>
      </c>
      <c r="I727" s="3">
        <f t="shared" si="133"/>
        <v>147</v>
      </c>
      <c r="J727" s="5" t="str">
        <f>IF(E727=0,"Broadcast",IF(H727="",IF(I727="","",IF(I727&lt;128,"Connect "&amp;I727,INDEX(KdoCodeTab,MATCH(I727,KdoWertTab,0)))),"ReadStat "&amp;H727))</f>
        <v>SpaceCmd</v>
      </c>
      <c r="K727" t="str">
        <f t="shared" si="123"/>
        <v/>
      </c>
      <c r="L727" t="str">
        <f t="shared" si="124"/>
        <v/>
      </c>
      <c r="M727" t="str">
        <f t="shared" si="125"/>
        <v>SpaceCmd</v>
      </c>
    </row>
    <row r="728" spans="1:13" x14ac:dyDescent="0.25">
      <c r="A728" t="s">
        <v>303</v>
      </c>
      <c r="B728" s="6">
        <f t="shared" si="126"/>
        <v>9.0706666666666678</v>
      </c>
      <c r="C728" s="9">
        <f t="shared" si="127"/>
        <v>0.99999999999944578</v>
      </c>
      <c r="D728" s="8" t="str">
        <f t="shared" si="128"/>
        <v>W</v>
      </c>
      <c r="E728" s="3">
        <f t="shared" si="129"/>
        <v>101</v>
      </c>
      <c r="F728" s="3" t="str">
        <f t="shared" si="130"/>
        <v>ack</v>
      </c>
      <c r="G728" s="3" t="str">
        <f t="shared" si="131"/>
        <v>96</v>
      </c>
      <c r="H728" s="3" t="str">
        <f t="shared" si="132"/>
        <v/>
      </c>
      <c r="I728" s="3">
        <f t="shared" si="133"/>
        <v>150</v>
      </c>
      <c r="J728" s="5" t="str">
        <f>IF(E728=0,"Broadcast",IF(H728="",IF(I728="","",IF(I728&lt;128,"Connect "&amp;I728,INDEX(KdoCodeTab,MATCH(I728,KdoWertTab,0)))),"ReadStat "&amp;H728))</f>
        <v>RepSpaceCmd</v>
      </c>
      <c r="K728" t="str">
        <f t="shared" si="123"/>
        <v/>
      </c>
      <c r="L728" t="str">
        <f t="shared" si="124"/>
        <v/>
      </c>
      <c r="M728" t="str">
        <f t="shared" si="125"/>
        <v>RepSpaceCmd</v>
      </c>
    </row>
    <row r="729" spans="1:13" x14ac:dyDescent="0.25">
      <c r="A729" t="s">
        <v>304</v>
      </c>
      <c r="B729" s="6">
        <f t="shared" si="126"/>
        <v>9.089833333333333</v>
      </c>
      <c r="C729" s="9">
        <f t="shared" si="127"/>
        <v>19.166666666665222</v>
      </c>
      <c r="D729" s="8" t="str">
        <f t="shared" si="128"/>
        <v>W</v>
      </c>
      <c r="E729" s="3">
        <f t="shared" si="129"/>
        <v>101</v>
      </c>
      <c r="F729" s="3" t="str">
        <f t="shared" si="130"/>
        <v>ack</v>
      </c>
      <c r="G729" s="3" t="str">
        <f t="shared" si="131"/>
        <v>9C</v>
      </c>
      <c r="H729" s="3" t="str">
        <f t="shared" si="132"/>
        <v/>
      </c>
      <c r="I729" s="3">
        <f t="shared" si="133"/>
        <v>156</v>
      </c>
      <c r="J729" s="5" t="str">
        <f>IF(E729=0,"Broadcast",IF(H729="",IF(I729="","",IF(I729&lt;128,"Connect "&amp;I729,INDEX(KdoCodeTab,MATCH(I729,KdoWertTab,0)))),"ReadStat "&amp;H729))</f>
        <v>MarkCmd</v>
      </c>
      <c r="K729" t="str">
        <f t="shared" si="123"/>
        <v/>
      </c>
      <c r="L729" t="str">
        <f t="shared" si="124"/>
        <v/>
      </c>
      <c r="M729" t="str">
        <f t="shared" si="125"/>
        <v>MarkCmd</v>
      </c>
    </row>
    <row r="730" spans="1:13" x14ac:dyDescent="0.25">
      <c r="A730" t="s">
        <v>305</v>
      </c>
      <c r="B730" s="6">
        <f t="shared" si="126"/>
        <v>9.0908333333333324</v>
      </c>
      <c r="C730" s="9">
        <f t="shared" si="127"/>
        <v>0.99999999999944578</v>
      </c>
      <c r="D730" s="8" t="str">
        <f t="shared" si="128"/>
        <v>W</v>
      </c>
      <c r="E730" s="3">
        <f t="shared" si="129"/>
        <v>101</v>
      </c>
      <c r="F730" s="3" t="str">
        <f t="shared" si="130"/>
        <v>ack</v>
      </c>
      <c r="G730" s="3" t="str">
        <f t="shared" si="131"/>
        <v>9A</v>
      </c>
      <c r="H730" s="3" t="str">
        <f t="shared" si="132"/>
        <v/>
      </c>
      <c r="I730" s="3">
        <f t="shared" si="133"/>
        <v>154</v>
      </c>
      <c r="J730" s="5" t="str">
        <f>IF(E730=0,"Broadcast",IF(H730="",IF(I730="","",IF(I730&lt;128,"Connect "&amp;I730,INDEX(KdoCodeTab,MATCH(I730,KdoWertTab,0)))),"ReadStat "&amp;H730))</f>
        <v>RepMarkCmd</v>
      </c>
      <c r="K730" t="str">
        <f t="shared" si="123"/>
        <v/>
      </c>
      <c r="L730" t="str">
        <f t="shared" si="124"/>
        <v/>
      </c>
      <c r="M730" t="str">
        <f t="shared" si="125"/>
        <v>RepMarkCmd</v>
      </c>
    </row>
    <row r="731" spans="1:13" x14ac:dyDescent="0.25">
      <c r="A731" t="s">
        <v>306</v>
      </c>
      <c r="B731" s="6">
        <f t="shared" si="126"/>
        <v>9.1596666666666682</v>
      </c>
      <c r="C731" s="9">
        <f t="shared" si="127"/>
        <v>68.833333333335744</v>
      </c>
      <c r="D731" s="8" t="str">
        <f t="shared" si="128"/>
        <v>W</v>
      </c>
      <c r="E731" s="3">
        <f t="shared" si="129"/>
        <v>101</v>
      </c>
      <c r="F731" s="3" t="str">
        <f t="shared" si="130"/>
        <v>ack</v>
      </c>
      <c r="G731" s="3" t="str">
        <f t="shared" si="131"/>
        <v>93</v>
      </c>
      <c r="H731" s="3" t="str">
        <f t="shared" si="132"/>
        <v/>
      </c>
      <c r="I731" s="3">
        <f t="shared" si="133"/>
        <v>147</v>
      </c>
      <c r="J731" s="5" t="str">
        <f>IF(E731=0,"Broadcast",IF(H731="",IF(I731="","",IF(I731&lt;128,"Connect "&amp;I731,INDEX(KdoCodeTab,MATCH(I731,KdoWertTab,0)))),"ReadStat "&amp;H731))</f>
        <v>SpaceCmd</v>
      </c>
      <c r="K731" t="str">
        <f t="shared" si="123"/>
        <v/>
      </c>
      <c r="L731" t="str">
        <f t="shared" si="124"/>
        <v/>
      </c>
      <c r="M731" t="str">
        <f t="shared" si="125"/>
        <v>SpaceCmd</v>
      </c>
    </row>
    <row r="732" spans="1:13" x14ac:dyDescent="0.25">
      <c r="A732" t="s">
        <v>307</v>
      </c>
      <c r="B732" s="6">
        <f t="shared" si="126"/>
        <v>9.1605000000000008</v>
      </c>
      <c r="C732" s="9">
        <f t="shared" si="127"/>
        <v>0.83333333333257542</v>
      </c>
      <c r="D732" s="8" t="str">
        <f t="shared" si="128"/>
        <v>W</v>
      </c>
      <c r="E732" s="3">
        <f t="shared" si="129"/>
        <v>101</v>
      </c>
      <c r="F732" s="3" t="str">
        <f t="shared" si="130"/>
        <v>ack</v>
      </c>
      <c r="G732" s="3" t="str">
        <f t="shared" si="131"/>
        <v>96</v>
      </c>
      <c r="H732" s="3" t="str">
        <f t="shared" si="132"/>
        <v/>
      </c>
      <c r="I732" s="3">
        <f t="shared" si="133"/>
        <v>150</v>
      </c>
      <c r="J732" s="5" t="str">
        <f>IF(E732=0,"Broadcast",IF(H732="",IF(I732="","",IF(I732&lt;128,"Connect "&amp;I732,INDEX(KdoCodeTab,MATCH(I732,KdoWertTab,0)))),"ReadStat "&amp;H732))</f>
        <v>RepSpaceCmd</v>
      </c>
      <c r="K732" t="str">
        <f t="shared" si="123"/>
        <v/>
      </c>
      <c r="L732" t="str">
        <f t="shared" si="124"/>
        <v/>
      </c>
      <c r="M732" t="str">
        <f t="shared" si="125"/>
        <v>RepSpaceCmd</v>
      </c>
    </row>
    <row r="733" spans="1:13" x14ac:dyDescent="0.25">
      <c r="A733" t="s">
        <v>308</v>
      </c>
      <c r="B733" s="6">
        <f t="shared" si="126"/>
        <v>9.2131666666666661</v>
      </c>
      <c r="C733" s="9">
        <f t="shared" si="127"/>
        <v>52.666666666665307</v>
      </c>
      <c r="D733" s="8" t="str">
        <f t="shared" si="128"/>
        <v>W</v>
      </c>
      <c r="E733" s="3">
        <f t="shared" si="129"/>
        <v>31</v>
      </c>
      <c r="F733" s="3" t="str">
        <f t="shared" si="130"/>
        <v>ack</v>
      </c>
      <c r="G733" s="3" t="str">
        <f t="shared" si="131"/>
        <v>9A</v>
      </c>
      <c r="H733" s="3" t="str">
        <f t="shared" si="132"/>
        <v/>
      </c>
      <c r="I733" s="3">
        <f t="shared" si="133"/>
        <v>154</v>
      </c>
      <c r="J733" s="5" t="str">
        <f>IF(E733=0,"Broadcast",IF(H733="",IF(I733="","",IF(I733&lt;128,"Connect "&amp;I733,INDEX(KdoCodeTab,MATCH(I733,KdoWertTab,0)))),"ReadStat "&amp;H733))</f>
        <v>RepMarkCmd</v>
      </c>
      <c r="K733" t="str">
        <f t="shared" si="123"/>
        <v/>
      </c>
      <c r="L733" t="str">
        <f t="shared" si="124"/>
        <v>RepMarkCmd</v>
      </c>
      <c r="M733" t="str">
        <f t="shared" si="125"/>
        <v/>
      </c>
    </row>
    <row r="734" spans="1:13" x14ac:dyDescent="0.25">
      <c r="A734" t="s">
        <v>309</v>
      </c>
      <c r="B734" s="6">
        <f t="shared" si="126"/>
        <v>9.2201666666666675</v>
      </c>
      <c r="C734" s="9">
        <f t="shared" si="127"/>
        <v>7.0000000000014495</v>
      </c>
      <c r="D734" s="8" t="str">
        <f t="shared" si="128"/>
        <v>W</v>
      </c>
      <c r="E734" s="3">
        <f t="shared" si="129"/>
        <v>101</v>
      </c>
      <c r="F734" s="3" t="str">
        <f t="shared" si="130"/>
        <v>ack</v>
      </c>
      <c r="G734" s="3" t="str">
        <f t="shared" si="131"/>
        <v>9C</v>
      </c>
      <c r="H734" s="3" t="str">
        <f t="shared" si="132"/>
        <v/>
      </c>
      <c r="I734" s="3">
        <f t="shared" si="133"/>
        <v>156</v>
      </c>
      <c r="J734" s="5" t="str">
        <f>IF(E734=0,"Broadcast",IF(H734="",IF(I734="","",IF(I734&lt;128,"Connect "&amp;I734,INDEX(KdoCodeTab,MATCH(I734,KdoWertTab,0)))),"ReadStat "&amp;H734))</f>
        <v>MarkCmd</v>
      </c>
      <c r="K734" t="str">
        <f t="shared" si="123"/>
        <v/>
      </c>
      <c r="L734" t="str">
        <f t="shared" si="124"/>
        <v/>
      </c>
      <c r="M734" t="str">
        <f t="shared" si="125"/>
        <v>MarkCmd</v>
      </c>
    </row>
    <row r="735" spans="1:13" x14ac:dyDescent="0.25">
      <c r="A735" t="s">
        <v>310</v>
      </c>
      <c r="B735" s="6">
        <f t="shared" si="126"/>
        <v>9.221166666666667</v>
      </c>
      <c r="C735" s="9">
        <f t="shared" si="127"/>
        <v>0.99999999999944578</v>
      </c>
      <c r="D735" s="8" t="str">
        <f t="shared" si="128"/>
        <v>W</v>
      </c>
      <c r="E735" s="3">
        <f t="shared" si="129"/>
        <v>101</v>
      </c>
      <c r="F735" s="3" t="str">
        <f t="shared" si="130"/>
        <v>ack</v>
      </c>
      <c r="G735" s="3" t="str">
        <f t="shared" si="131"/>
        <v>9A</v>
      </c>
      <c r="H735" s="3" t="str">
        <f t="shared" si="132"/>
        <v/>
      </c>
      <c r="I735" s="3">
        <f t="shared" si="133"/>
        <v>154</v>
      </c>
      <c r="J735" s="5" t="str">
        <f>IF(E735=0,"Broadcast",IF(H735="",IF(I735="","",IF(I735&lt;128,"Connect "&amp;I735,INDEX(KdoCodeTab,MATCH(I735,KdoWertTab,0)))),"ReadStat "&amp;H735))</f>
        <v>RepMarkCmd</v>
      </c>
      <c r="K735" t="str">
        <f t="shared" si="123"/>
        <v/>
      </c>
      <c r="L735" t="str">
        <f t="shared" si="124"/>
        <v/>
      </c>
      <c r="M735" t="str">
        <f t="shared" si="125"/>
        <v>RepMarkCmd</v>
      </c>
    </row>
    <row r="736" spans="1:13" x14ac:dyDescent="0.25">
      <c r="A736" t="s">
        <v>311</v>
      </c>
      <c r="B736" s="6">
        <f t="shared" si="126"/>
        <v>9.2596666666666678</v>
      </c>
      <c r="C736" s="9">
        <f t="shared" si="127"/>
        <v>38.500000000000867</v>
      </c>
      <c r="D736" s="8" t="str">
        <f t="shared" si="128"/>
        <v>W</v>
      </c>
      <c r="E736" s="3">
        <f t="shared" si="129"/>
        <v>101</v>
      </c>
      <c r="F736" s="3" t="str">
        <f t="shared" si="130"/>
        <v>ack</v>
      </c>
      <c r="G736" s="3" t="str">
        <f t="shared" si="131"/>
        <v>93</v>
      </c>
      <c r="H736" s="3" t="str">
        <f t="shared" si="132"/>
        <v/>
      </c>
      <c r="I736" s="3">
        <f t="shared" si="133"/>
        <v>147</v>
      </c>
      <c r="J736" s="5" t="str">
        <f>IF(E736=0,"Broadcast",IF(H736="",IF(I736="","",IF(I736&lt;128,"Connect "&amp;I736,INDEX(KdoCodeTab,MATCH(I736,KdoWertTab,0)))),"ReadStat "&amp;H736))</f>
        <v>SpaceCmd</v>
      </c>
      <c r="K736" t="str">
        <f t="shared" si="123"/>
        <v/>
      </c>
      <c r="L736" t="str">
        <f t="shared" si="124"/>
        <v/>
      </c>
      <c r="M736" t="str">
        <f t="shared" si="125"/>
        <v>SpaceCmd</v>
      </c>
    </row>
    <row r="737" spans="1:13" x14ac:dyDescent="0.25">
      <c r="A737" t="s">
        <v>312</v>
      </c>
      <c r="B737" s="6">
        <f t="shared" si="126"/>
        <v>9.2606666666666673</v>
      </c>
      <c r="C737" s="9">
        <f t="shared" si="127"/>
        <v>0.99999999999944578</v>
      </c>
      <c r="D737" s="8" t="str">
        <f t="shared" si="128"/>
        <v>W</v>
      </c>
      <c r="E737" s="3">
        <f t="shared" si="129"/>
        <v>101</v>
      </c>
      <c r="F737" s="3" t="str">
        <f t="shared" si="130"/>
        <v>ack</v>
      </c>
      <c r="G737" s="3" t="str">
        <f t="shared" si="131"/>
        <v>96</v>
      </c>
      <c r="H737" s="3" t="str">
        <f t="shared" si="132"/>
        <v/>
      </c>
      <c r="I737" s="3">
        <f t="shared" si="133"/>
        <v>150</v>
      </c>
      <c r="J737" s="5" t="str">
        <f>IF(E737=0,"Broadcast",IF(H737="",IF(I737="","",IF(I737&lt;128,"Connect "&amp;I737,INDEX(KdoCodeTab,MATCH(I737,KdoWertTab,0)))),"ReadStat "&amp;H737))</f>
        <v>RepSpaceCmd</v>
      </c>
      <c r="K737" t="str">
        <f t="shared" si="123"/>
        <v/>
      </c>
      <c r="L737" t="str">
        <f t="shared" si="124"/>
        <v/>
      </c>
      <c r="M737" t="str">
        <f t="shared" si="125"/>
        <v>RepSpaceCmd</v>
      </c>
    </row>
    <row r="738" spans="1:13" x14ac:dyDescent="0.25">
      <c r="A738" t="s">
        <v>313</v>
      </c>
      <c r="B738" s="6">
        <f t="shared" si="126"/>
        <v>9.2798333333333325</v>
      </c>
      <c r="C738" s="9">
        <f t="shared" si="127"/>
        <v>19.166666666665222</v>
      </c>
      <c r="D738" s="8" t="str">
        <f t="shared" si="128"/>
        <v>W</v>
      </c>
      <c r="E738" s="3">
        <f t="shared" si="129"/>
        <v>101</v>
      </c>
      <c r="F738" s="3" t="str">
        <f t="shared" si="130"/>
        <v>ack</v>
      </c>
      <c r="G738" s="3" t="str">
        <f t="shared" si="131"/>
        <v>9C</v>
      </c>
      <c r="H738" s="3" t="str">
        <f t="shared" si="132"/>
        <v/>
      </c>
      <c r="I738" s="3">
        <f t="shared" si="133"/>
        <v>156</v>
      </c>
      <c r="J738" s="5" t="str">
        <f>IF(E738=0,"Broadcast",IF(H738="",IF(I738="","",IF(I738&lt;128,"Connect "&amp;I738,INDEX(KdoCodeTab,MATCH(I738,KdoWertTab,0)))),"ReadStat "&amp;H738))</f>
        <v>MarkCmd</v>
      </c>
      <c r="K738" t="str">
        <f t="shared" si="123"/>
        <v/>
      </c>
      <c r="L738" t="str">
        <f t="shared" si="124"/>
        <v/>
      </c>
      <c r="M738" t="str">
        <f t="shared" si="125"/>
        <v>MarkCmd</v>
      </c>
    </row>
    <row r="739" spans="1:13" x14ac:dyDescent="0.25">
      <c r="A739" t="s">
        <v>314</v>
      </c>
      <c r="B739" s="6">
        <f t="shared" si="126"/>
        <v>9.2808333333333319</v>
      </c>
      <c r="C739" s="9">
        <f t="shared" si="127"/>
        <v>0.99999999999944578</v>
      </c>
      <c r="D739" s="8" t="str">
        <f t="shared" si="128"/>
        <v>W</v>
      </c>
      <c r="E739" s="3">
        <f t="shared" si="129"/>
        <v>101</v>
      </c>
      <c r="F739" s="3" t="str">
        <f t="shared" si="130"/>
        <v>ack</v>
      </c>
      <c r="G739" s="3" t="str">
        <f t="shared" si="131"/>
        <v>9A</v>
      </c>
      <c r="H739" s="3" t="str">
        <f t="shared" si="132"/>
        <v/>
      </c>
      <c r="I739" s="3">
        <f t="shared" si="133"/>
        <v>154</v>
      </c>
      <c r="J739" s="5" t="str">
        <f>IF(E739=0,"Broadcast",IF(H739="",IF(I739="","",IF(I739&lt;128,"Connect "&amp;I739,INDEX(KdoCodeTab,MATCH(I739,KdoWertTab,0)))),"ReadStat "&amp;H739))</f>
        <v>RepMarkCmd</v>
      </c>
      <c r="K739" t="str">
        <f t="shared" si="123"/>
        <v/>
      </c>
      <c r="L739" t="str">
        <f t="shared" si="124"/>
        <v/>
      </c>
      <c r="M739" t="str">
        <f t="shared" si="125"/>
        <v>RepMarkCmd</v>
      </c>
    </row>
    <row r="740" spans="1:13" x14ac:dyDescent="0.25">
      <c r="A740" t="s">
        <v>315</v>
      </c>
      <c r="B740" s="6">
        <f t="shared" si="126"/>
        <v>9.3040000000000003</v>
      </c>
      <c r="C740" s="9">
        <f t="shared" si="127"/>
        <v>23.166666666668334</v>
      </c>
      <c r="D740" s="8" t="str">
        <f t="shared" si="128"/>
        <v>W</v>
      </c>
      <c r="E740" s="3">
        <f t="shared" si="129"/>
        <v>101</v>
      </c>
      <c r="F740" s="3" t="str">
        <f t="shared" si="130"/>
        <v>ack</v>
      </c>
      <c r="G740" s="3" t="str">
        <f t="shared" si="131"/>
        <v>A9</v>
      </c>
      <c r="H740" s="3" t="str">
        <f t="shared" si="132"/>
        <v/>
      </c>
      <c r="I740" s="3">
        <f t="shared" si="133"/>
        <v>169</v>
      </c>
      <c r="J740" s="5" t="str">
        <f>IF(E740=0,"Broadcast",IF(H740="",IF(I740="","",IF(I740&lt;128,"Connect "&amp;I740,INDEX(KdoCodeTab,MATCH(I740,KdoWertTab,0)))),"ReadStat "&amp;H740))</f>
        <v>Heartbeat</v>
      </c>
      <c r="K740" t="str">
        <f t="shared" si="123"/>
        <v/>
      </c>
      <c r="L740" t="str">
        <f t="shared" si="124"/>
        <v/>
      </c>
      <c r="M740" t="str">
        <f t="shared" si="125"/>
        <v>Heartbeat</v>
      </c>
    </row>
    <row r="741" spans="1:13" x14ac:dyDescent="0.25">
      <c r="A741" t="s">
        <v>316</v>
      </c>
      <c r="B741" s="6">
        <f t="shared" si="126"/>
        <v>9.3101666666666674</v>
      </c>
      <c r="C741" s="9">
        <f t="shared" si="127"/>
        <v>6.1666666666670977</v>
      </c>
      <c r="D741" s="8" t="str">
        <f t="shared" si="128"/>
        <v>W</v>
      </c>
      <c r="E741" s="3">
        <f t="shared" si="129"/>
        <v>101</v>
      </c>
      <c r="F741" s="3" t="str">
        <f t="shared" si="130"/>
        <v>ack</v>
      </c>
      <c r="G741" s="3" t="str">
        <f t="shared" si="131"/>
        <v>93</v>
      </c>
      <c r="H741" s="3" t="str">
        <f t="shared" si="132"/>
        <v/>
      </c>
      <c r="I741" s="3">
        <f t="shared" si="133"/>
        <v>147</v>
      </c>
      <c r="J741" s="5" t="str">
        <f>IF(E741=0,"Broadcast",IF(H741="",IF(I741="","",IF(I741&lt;128,"Connect "&amp;I741,INDEX(KdoCodeTab,MATCH(I741,KdoWertTab,0)))),"ReadStat "&amp;H741))</f>
        <v>SpaceCmd</v>
      </c>
      <c r="K741" t="str">
        <f t="shared" si="123"/>
        <v/>
      </c>
      <c r="L741" t="str">
        <f t="shared" si="124"/>
        <v/>
      </c>
      <c r="M741" t="str">
        <f t="shared" si="125"/>
        <v>SpaceCmd</v>
      </c>
    </row>
    <row r="742" spans="1:13" x14ac:dyDescent="0.25">
      <c r="A742" t="s">
        <v>317</v>
      </c>
      <c r="B742" s="6">
        <f t="shared" si="126"/>
        <v>9.3109999999999999</v>
      </c>
      <c r="C742" s="9">
        <f t="shared" si="127"/>
        <v>0.83333333333257542</v>
      </c>
      <c r="D742" s="8" t="str">
        <f t="shared" si="128"/>
        <v>W</v>
      </c>
      <c r="E742" s="3">
        <f t="shared" si="129"/>
        <v>101</v>
      </c>
      <c r="F742" s="3" t="str">
        <f t="shared" si="130"/>
        <v>ack</v>
      </c>
      <c r="G742" s="3" t="str">
        <f t="shared" si="131"/>
        <v>96</v>
      </c>
      <c r="H742" s="3" t="str">
        <f t="shared" si="132"/>
        <v/>
      </c>
      <c r="I742" s="3">
        <f t="shared" si="133"/>
        <v>150</v>
      </c>
      <c r="J742" s="5" t="str">
        <f>IF(E742=0,"Broadcast",IF(H742="",IF(I742="","",IF(I742&lt;128,"Connect "&amp;I742,INDEX(KdoCodeTab,MATCH(I742,KdoWertTab,0)))),"ReadStat "&amp;H742))</f>
        <v>RepSpaceCmd</v>
      </c>
      <c r="K742" t="str">
        <f t="shared" si="123"/>
        <v/>
      </c>
      <c r="L742" t="str">
        <f t="shared" si="124"/>
        <v/>
      </c>
      <c r="M742" t="str">
        <f t="shared" si="125"/>
        <v>RepSpaceCmd</v>
      </c>
    </row>
    <row r="743" spans="1:13" x14ac:dyDescent="0.25">
      <c r="A743" t="s">
        <v>318</v>
      </c>
      <c r="B743" s="6">
        <f t="shared" si="126"/>
        <v>9.3708333333333318</v>
      </c>
      <c r="C743" s="9">
        <f t="shared" si="127"/>
        <v>59.833333333331851</v>
      </c>
      <c r="D743" s="8" t="str">
        <f t="shared" si="128"/>
        <v>W</v>
      </c>
      <c r="E743" s="3">
        <f t="shared" si="129"/>
        <v>101</v>
      </c>
      <c r="F743" s="3" t="str">
        <f t="shared" si="130"/>
        <v>ack</v>
      </c>
      <c r="G743" s="3" t="str">
        <f t="shared" si="131"/>
        <v>9C</v>
      </c>
      <c r="H743" s="3" t="str">
        <f t="shared" si="132"/>
        <v/>
      </c>
      <c r="I743" s="3">
        <f t="shared" si="133"/>
        <v>156</v>
      </c>
      <c r="J743" s="5" t="str">
        <f>IF(E743=0,"Broadcast",IF(H743="",IF(I743="","",IF(I743&lt;128,"Connect "&amp;I743,INDEX(KdoCodeTab,MATCH(I743,KdoWertTab,0)))),"ReadStat "&amp;H743))</f>
        <v>MarkCmd</v>
      </c>
      <c r="K743" t="str">
        <f t="shared" si="123"/>
        <v/>
      </c>
      <c r="L743" t="str">
        <f t="shared" si="124"/>
        <v/>
      </c>
      <c r="M743" t="str">
        <f t="shared" si="125"/>
        <v>MarkCmd</v>
      </c>
    </row>
    <row r="744" spans="1:13" x14ac:dyDescent="0.25">
      <c r="A744" t="s">
        <v>319</v>
      </c>
      <c r="B744" s="6">
        <f t="shared" si="126"/>
        <v>9.3716666666666679</v>
      </c>
      <c r="C744" s="9">
        <f t="shared" si="127"/>
        <v>0.83333333333612813</v>
      </c>
      <c r="D744" s="8" t="str">
        <f t="shared" si="128"/>
        <v>W</v>
      </c>
      <c r="E744" s="3">
        <f t="shared" si="129"/>
        <v>101</v>
      </c>
      <c r="F744" s="3" t="str">
        <f t="shared" si="130"/>
        <v>ack</v>
      </c>
      <c r="G744" s="3" t="str">
        <f t="shared" si="131"/>
        <v>9A</v>
      </c>
      <c r="H744" s="3" t="str">
        <f t="shared" si="132"/>
        <v/>
      </c>
      <c r="I744" s="3">
        <f t="shared" si="133"/>
        <v>154</v>
      </c>
      <c r="J744" s="5" t="str">
        <f>IF(E744=0,"Broadcast",IF(H744="",IF(I744="","",IF(I744&lt;128,"Connect "&amp;I744,INDEX(KdoCodeTab,MATCH(I744,KdoWertTab,0)))),"ReadStat "&amp;H744))</f>
        <v>RepMarkCmd</v>
      </c>
      <c r="K744" t="str">
        <f t="shared" si="123"/>
        <v/>
      </c>
      <c r="L744" t="str">
        <f t="shared" si="124"/>
        <v/>
      </c>
      <c r="M744" t="str">
        <f t="shared" si="125"/>
        <v>RepMarkCmd</v>
      </c>
    </row>
    <row r="745" spans="1:13" x14ac:dyDescent="0.25">
      <c r="A745" t="s">
        <v>320</v>
      </c>
      <c r="B745" s="6">
        <f t="shared" si="126"/>
        <v>9.39</v>
      </c>
      <c r="C745" s="9">
        <f t="shared" si="127"/>
        <v>18.333333333332646</v>
      </c>
      <c r="D745" s="8" t="str">
        <f t="shared" si="128"/>
        <v>W</v>
      </c>
      <c r="E745" s="3">
        <f t="shared" si="129"/>
        <v>101</v>
      </c>
      <c r="F745" s="3" t="str">
        <f t="shared" si="130"/>
        <v>ack</v>
      </c>
      <c r="G745" s="3" t="str">
        <f t="shared" si="131"/>
        <v>93</v>
      </c>
      <c r="H745" s="3" t="str">
        <f t="shared" si="132"/>
        <v/>
      </c>
      <c r="I745" s="3">
        <f t="shared" si="133"/>
        <v>147</v>
      </c>
      <c r="J745" s="5" t="str">
        <f>IF(E745=0,"Broadcast",IF(H745="",IF(I745="","",IF(I745&lt;128,"Connect "&amp;I745,INDEX(KdoCodeTab,MATCH(I745,KdoWertTab,0)))),"ReadStat "&amp;H745))</f>
        <v>SpaceCmd</v>
      </c>
      <c r="K745" t="str">
        <f t="shared" si="123"/>
        <v/>
      </c>
      <c r="L745" t="str">
        <f t="shared" si="124"/>
        <v/>
      </c>
      <c r="M745" t="str">
        <f t="shared" si="125"/>
        <v>SpaceCmd</v>
      </c>
    </row>
    <row r="746" spans="1:13" x14ac:dyDescent="0.25">
      <c r="A746" t="s">
        <v>321</v>
      </c>
      <c r="B746" s="6">
        <f t="shared" si="126"/>
        <v>9.391</v>
      </c>
      <c r="C746" s="9">
        <f t="shared" si="127"/>
        <v>0.99999999999944578</v>
      </c>
      <c r="D746" s="8" t="str">
        <f t="shared" si="128"/>
        <v>W</v>
      </c>
      <c r="E746" s="3">
        <f t="shared" si="129"/>
        <v>101</v>
      </c>
      <c r="F746" s="3" t="str">
        <f t="shared" si="130"/>
        <v>ack</v>
      </c>
      <c r="G746" s="3" t="str">
        <f t="shared" si="131"/>
        <v>96</v>
      </c>
      <c r="H746" s="3" t="str">
        <f t="shared" si="132"/>
        <v/>
      </c>
      <c r="I746" s="3">
        <f t="shared" si="133"/>
        <v>150</v>
      </c>
      <c r="J746" s="5" t="str">
        <f>IF(E746=0,"Broadcast",IF(H746="",IF(I746="","",IF(I746&lt;128,"Connect "&amp;I746,INDEX(KdoCodeTab,MATCH(I746,KdoWertTab,0)))),"ReadStat "&amp;H746))</f>
        <v>RepSpaceCmd</v>
      </c>
      <c r="K746" t="str">
        <f t="shared" si="123"/>
        <v/>
      </c>
      <c r="L746" t="str">
        <f t="shared" si="124"/>
        <v/>
      </c>
      <c r="M746" t="str">
        <f t="shared" si="125"/>
        <v>RepSpaceCmd</v>
      </c>
    </row>
    <row r="747" spans="1:13" x14ac:dyDescent="0.25">
      <c r="A747" t="s">
        <v>322</v>
      </c>
      <c r="B747" s="6">
        <f t="shared" si="126"/>
        <v>9.4303333333333335</v>
      </c>
      <c r="C747" s="9">
        <f t="shared" si="127"/>
        <v>39.333333333333442</v>
      </c>
      <c r="D747" s="8" t="str">
        <f t="shared" si="128"/>
        <v>W</v>
      </c>
      <c r="E747" s="3">
        <f t="shared" si="129"/>
        <v>101</v>
      </c>
      <c r="F747" s="3" t="str">
        <f t="shared" si="130"/>
        <v>ack</v>
      </c>
      <c r="G747" s="3" t="str">
        <f t="shared" si="131"/>
        <v>9C</v>
      </c>
      <c r="H747" s="3" t="str">
        <f t="shared" si="132"/>
        <v/>
      </c>
      <c r="I747" s="3">
        <f t="shared" si="133"/>
        <v>156</v>
      </c>
      <c r="J747" s="5" t="str">
        <f>IF(E747=0,"Broadcast",IF(H747="",IF(I747="","",IF(I747&lt;128,"Connect "&amp;I747,INDEX(KdoCodeTab,MATCH(I747,KdoWertTab,0)))),"ReadStat "&amp;H747))</f>
        <v>MarkCmd</v>
      </c>
      <c r="K747" t="str">
        <f t="shared" si="123"/>
        <v/>
      </c>
      <c r="L747" t="str">
        <f t="shared" si="124"/>
        <v/>
      </c>
      <c r="M747" t="str">
        <f t="shared" si="125"/>
        <v>MarkCmd</v>
      </c>
    </row>
    <row r="748" spans="1:13" x14ac:dyDescent="0.25">
      <c r="A748" t="s">
        <v>323</v>
      </c>
      <c r="B748" s="6">
        <f t="shared" si="126"/>
        <v>9.4313333333333329</v>
      </c>
      <c r="C748" s="9">
        <f t="shared" si="127"/>
        <v>0.99999999999944578</v>
      </c>
      <c r="D748" s="8" t="str">
        <f t="shared" si="128"/>
        <v>W</v>
      </c>
      <c r="E748" s="3">
        <f t="shared" si="129"/>
        <v>101</v>
      </c>
      <c r="F748" s="3" t="str">
        <f t="shared" si="130"/>
        <v>ack</v>
      </c>
      <c r="G748" s="3" t="str">
        <f t="shared" si="131"/>
        <v>9A</v>
      </c>
      <c r="H748" s="3" t="str">
        <f t="shared" si="132"/>
        <v/>
      </c>
      <c r="I748" s="3">
        <f t="shared" si="133"/>
        <v>154</v>
      </c>
      <c r="J748" s="5" t="str">
        <f>IF(E748=0,"Broadcast",IF(H748="",IF(I748="","",IF(I748&lt;128,"Connect "&amp;I748,INDEX(KdoCodeTab,MATCH(I748,KdoWertTab,0)))),"ReadStat "&amp;H748))</f>
        <v>RepMarkCmd</v>
      </c>
      <c r="K748" t="str">
        <f t="shared" si="123"/>
        <v/>
      </c>
      <c r="L748" t="str">
        <f t="shared" si="124"/>
        <v/>
      </c>
      <c r="M748" t="str">
        <f t="shared" si="125"/>
        <v>RepMarkCmd</v>
      </c>
    </row>
    <row r="749" spans="1:13" x14ac:dyDescent="0.25">
      <c r="A749" t="s">
        <v>324</v>
      </c>
      <c r="B749" s="6">
        <f t="shared" si="126"/>
        <v>9.5526666666666671</v>
      </c>
      <c r="C749" s="9">
        <f t="shared" si="127"/>
        <v>121.33333333333418</v>
      </c>
      <c r="D749" s="8" t="str">
        <f t="shared" si="128"/>
        <v>W</v>
      </c>
      <c r="E749" s="3">
        <f t="shared" si="129"/>
        <v>101</v>
      </c>
      <c r="F749" s="3" t="str">
        <f t="shared" si="130"/>
        <v>ack</v>
      </c>
      <c r="G749" s="3" t="str">
        <f t="shared" si="131"/>
        <v>93</v>
      </c>
      <c r="H749" s="3" t="str">
        <f t="shared" si="132"/>
        <v/>
      </c>
      <c r="I749" s="3">
        <f t="shared" si="133"/>
        <v>147</v>
      </c>
      <c r="J749" s="5" t="str">
        <f>IF(E749=0,"Broadcast",IF(H749="",IF(I749="","",IF(I749&lt;128,"Connect "&amp;I749,INDEX(KdoCodeTab,MATCH(I749,KdoWertTab,0)))),"ReadStat "&amp;H749))</f>
        <v>SpaceCmd</v>
      </c>
      <c r="K749" t="str">
        <f t="shared" si="123"/>
        <v/>
      </c>
      <c r="L749" t="str">
        <f t="shared" si="124"/>
        <v/>
      </c>
      <c r="M749" t="str">
        <f t="shared" si="125"/>
        <v>SpaceCmd</v>
      </c>
    </row>
    <row r="750" spans="1:13" x14ac:dyDescent="0.25">
      <c r="A750" t="s">
        <v>325</v>
      </c>
      <c r="B750" s="6">
        <f t="shared" si="126"/>
        <v>9.5535000000000014</v>
      </c>
      <c r="C750" s="9">
        <f t="shared" si="127"/>
        <v>0.83333333333435178</v>
      </c>
      <c r="D750" s="8" t="str">
        <f t="shared" si="128"/>
        <v>W</v>
      </c>
      <c r="E750" s="3">
        <f t="shared" si="129"/>
        <v>101</v>
      </c>
      <c r="F750" s="3" t="str">
        <f t="shared" si="130"/>
        <v>ack</v>
      </c>
      <c r="G750" s="3" t="str">
        <f t="shared" si="131"/>
        <v>96</v>
      </c>
      <c r="H750" s="3" t="str">
        <f t="shared" si="132"/>
        <v/>
      </c>
      <c r="I750" s="3">
        <f t="shared" si="133"/>
        <v>150</v>
      </c>
      <c r="J750" s="5" t="str">
        <f>IF(E750=0,"Broadcast",IF(H750="",IF(I750="","",IF(I750&lt;128,"Connect "&amp;I750,INDEX(KdoCodeTab,MATCH(I750,KdoWertTab,0)))),"ReadStat "&amp;H750))</f>
        <v>RepSpaceCmd</v>
      </c>
      <c r="K750" t="str">
        <f t="shared" si="123"/>
        <v/>
      </c>
      <c r="L750" t="str">
        <f t="shared" si="124"/>
        <v/>
      </c>
      <c r="M750" t="str">
        <f t="shared" si="125"/>
        <v>RepSpaceCmd</v>
      </c>
    </row>
    <row r="751" spans="1:13" x14ac:dyDescent="0.25">
      <c r="A751" t="s">
        <v>326</v>
      </c>
      <c r="B751" s="6">
        <f t="shared" si="126"/>
        <v>9.573833333333333</v>
      </c>
      <c r="C751" s="9">
        <f t="shared" si="127"/>
        <v>20.333333333331538</v>
      </c>
      <c r="D751" s="8" t="str">
        <f t="shared" si="128"/>
        <v>W</v>
      </c>
      <c r="E751" s="3">
        <f t="shared" si="129"/>
        <v>101</v>
      </c>
      <c r="F751" s="3" t="str">
        <f t="shared" si="130"/>
        <v>ack</v>
      </c>
      <c r="G751" s="3" t="str">
        <f t="shared" si="131"/>
        <v>9C</v>
      </c>
      <c r="H751" s="3" t="str">
        <f t="shared" si="132"/>
        <v/>
      </c>
      <c r="I751" s="3">
        <f t="shared" si="133"/>
        <v>156</v>
      </c>
      <c r="J751" s="5" t="str">
        <f>IF(E751=0,"Broadcast",IF(H751="",IF(I751="","",IF(I751&lt;128,"Connect "&amp;I751,INDEX(KdoCodeTab,MATCH(I751,KdoWertTab,0)))),"ReadStat "&amp;H751))</f>
        <v>MarkCmd</v>
      </c>
      <c r="K751" t="str">
        <f t="shared" si="123"/>
        <v/>
      </c>
      <c r="L751" t="str">
        <f t="shared" si="124"/>
        <v/>
      </c>
      <c r="M751" t="str">
        <f t="shared" si="125"/>
        <v>MarkCmd</v>
      </c>
    </row>
    <row r="752" spans="1:13" x14ac:dyDescent="0.25">
      <c r="A752" t="s">
        <v>327</v>
      </c>
      <c r="B752" s="6">
        <f t="shared" si="126"/>
        <v>9.5748333333333324</v>
      </c>
      <c r="C752" s="9">
        <f t="shared" si="127"/>
        <v>0.99999999999944578</v>
      </c>
      <c r="D752" s="8" t="str">
        <f t="shared" si="128"/>
        <v>W</v>
      </c>
      <c r="E752" s="3">
        <f t="shared" si="129"/>
        <v>101</v>
      </c>
      <c r="F752" s="3" t="str">
        <f t="shared" si="130"/>
        <v>ack</v>
      </c>
      <c r="G752" s="3" t="str">
        <f t="shared" si="131"/>
        <v>9A</v>
      </c>
      <c r="H752" s="3" t="str">
        <f t="shared" si="132"/>
        <v/>
      </c>
      <c r="I752" s="3">
        <f t="shared" si="133"/>
        <v>154</v>
      </c>
      <c r="J752" s="5" t="str">
        <f>IF(E752=0,"Broadcast",IF(H752="",IF(I752="","",IF(I752&lt;128,"Connect "&amp;I752,INDEX(KdoCodeTab,MATCH(I752,KdoWertTab,0)))),"ReadStat "&amp;H752))</f>
        <v>RepMarkCmd</v>
      </c>
      <c r="K752" t="str">
        <f t="shared" si="123"/>
        <v/>
      </c>
      <c r="L752" t="str">
        <f t="shared" si="124"/>
        <v/>
      </c>
      <c r="M752" t="str">
        <f t="shared" si="125"/>
        <v>RepMarkCmd</v>
      </c>
    </row>
    <row r="753" spans="1:13" x14ac:dyDescent="0.25">
      <c r="A753" t="s">
        <v>328</v>
      </c>
      <c r="B753" s="6">
        <f t="shared" si="126"/>
        <v>9.7029999999999994</v>
      </c>
      <c r="C753" s="9">
        <f t="shared" si="127"/>
        <v>128.16666666666697</v>
      </c>
      <c r="D753" s="8" t="str">
        <f t="shared" si="128"/>
        <v>W</v>
      </c>
      <c r="E753" s="3">
        <f t="shared" si="129"/>
        <v>101</v>
      </c>
      <c r="F753" s="3" t="str">
        <f t="shared" si="130"/>
        <v>ack</v>
      </c>
      <c r="G753" s="3" t="str">
        <f t="shared" si="131"/>
        <v>93</v>
      </c>
      <c r="H753" s="3" t="str">
        <f t="shared" si="132"/>
        <v/>
      </c>
      <c r="I753" s="3">
        <f t="shared" si="133"/>
        <v>147</v>
      </c>
      <c r="J753" s="5" t="str">
        <f>IF(E753=0,"Broadcast",IF(H753="",IF(I753="","",IF(I753&lt;128,"Connect "&amp;I753,INDEX(KdoCodeTab,MATCH(I753,KdoWertTab,0)))),"ReadStat "&amp;H753))</f>
        <v>SpaceCmd</v>
      </c>
      <c r="K753" t="str">
        <f t="shared" si="123"/>
        <v/>
      </c>
      <c r="L753" t="str">
        <f t="shared" si="124"/>
        <v/>
      </c>
      <c r="M753" t="str">
        <f t="shared" si="125"/>
        <v>SpaceCmd</v>
      </c>
    </row>
    <row r="754" spans="1:13" x14ac:dyDescent="0.25">
      <c r="A754" t="s">
        <v>329</v>
      </c>
      <c r="B754" s="6">
        <f t="shared" si="126"/>
        <v>9.7040000000000006</v>
      </c>
      <c r="C754" s="9">
        <f t="shared" si="127"/>
        <v>1.0000000000012221</v>
      </c>
      <c r="D754" s="8" t="str">
        <f t="shared" si="128"/>
        <v>W</v>
      </c>
      <c r="E754" s="3">
        <f t="shared" si="129"/>
        <v>101</v>
      </c>
      <c r="F754" s="3" t="str">
        <f t="shared" si="130"/>
        <v>ack</v>
      </c>
      <c r="G754" s="3" t="str">
        <f t="shared" si="131"/>
        <v>96</v>
      </c>
      <c r="H754" s="3" t="str">
        <f t="shared" si="132"/>
        <v/>
      </c>
      <c r="I754" s="3">
        <f t="shared" si="133"/>
        <v>150</v>
      </c>
      <c r="J754" s="5" t="str">
        <f>IF(E754=0,"Broadcast",IF(H754="",IF(I754="","",IF(I754&lt;128,"Connect "&amp;I754,INDEX(KdoCodeTab,MATCH(I754,KdoWertTab,0)))),"ReadStat "&amp;H754))</f>
        <v>RepSpaceCmd</v>
      </c>
      <c r="K754" t="str">
        <f t="shared" si="123"/>
        <v/>
      </c>
      <c r="L754" t="str">
        <f t="shared" si="124"/>
        <v/>
      </c>
      <c r="M754" t="str">
        <f t="shared" si="125"/>
        <v>RepSpaceCmd</v>
      </c>
    </row>
    <row r="755" spans="1:13" x14ac:dyDescent="0.25">
      <c r="A755" t="s">
        <v>330</v>
      </c>
      <c r="B755" s="6">
        <f t="shared" si="126"/>
        <v>9.7191666666666663</v>
      </c>
      <c r="C755" s="9">
        <f t="shared" si="127"/>
        <v>15.166666666665662</v>
      </c>
      <c r="D755" s="8" t="str">
        <f t="shared" si="128"/>
        <v>W</v>
      </c>
      <c r="E755" s="3">
        <f t="shared" si="129"/>
        <v>31</v>
      </c>
      <c r="F755" s="3" t="str">
        <f t="shared" si="130"/>
        <v>ack</v>
      </c>
      <c r="G755" s="3" t="str">
        <f t="shared" si="131"/>
        <v>9A</v>
      </c>
      <c r="H755" s="3" t="str">
        <f t="shared" si="132"/>
        <v/>
      </c>
      <c r="I755" s="3">
        <f t="shared" si="133"/>
        <v>154</v>
      </c>
      <c r="J755" s="5" t="str">
        <f>IF(E755=0,"Broadcast",IF(H755="",IF(I755="","",IF(I755&lt;128,"Connect "&amp;I755,INDEX(KdoCodeTab,MATCH(I755,KdoWertTab,0)))),"ReadStat "&amp;H755))</f>
        <v>RepMarkCmd</v>
      </c>
      <c r="K755" t="str">
        <f t="shared" si="123"/>
        <v/>
      </c>
      <c r="L755" t="str">
        <f t="shared" si="124"/>
        <v>RepMarkCmd</v>
      </c>
      <c r="M755" t="str">
        <f t="shared" si="125"/>
        <v/>
      </c>
    </row>
    <row r="756" spans="1:13" x14ac:dyDescent="0.25">
      <c r="A756" t="s">
        <v>331</v>
      </c>
      <c r="B756" s="6">
        <f t="shared" si="126"/>
        <v>9.7233333333333345</v>
      </c>
      <c r="C756" s="9">
        <f t="shared" si="127"/>
        <v>4.1666666666682062</v>
      </c>
      <c r="D756" s="8" t="str">
        <f t="shared" si="128"/>
        <v>W</v>
      </c>
      <c r="E756" s="3">
        <f t="shared" si="129"/>
        <v>101</v>
      </c>
      <c r="F756" s="3" t="str">
        <f t="shared" si="130"/>
        <v>ack</v>
      </c>
      <c r="G756" s="3" t="str">
        <f t="shared" si="131"/>
        <v>9C</v>
      </c>
      <c r="H756" s="3" t="str">
        <f t="shared" si="132"/>
        <v/>
      </c>
      <c r="I756" s="3">
        <f t="shared" si="133"/>
        <v>156</v>
      </c>
      <c r="J756" s="5" t="str">
        <f>IF(E756=0,"Broadcast",IF(H756="",IF(I756="","",IF(I756&lt;128,"Connect "&amp;I756,INDEX(KdoCodeTab,MATCH(I756,KdoWertTab,0)))),"ReadStat "&amp;H756))</f>
        <v>MarkCmd</v>
      </c>
      <c r="K756" t="str">
        <f t="shared" si="123"/>
        <v/>
      </c>
      <c r="L756" t="str">
        <f t="shared" si="124"/>
        <v/>
      </c>
      <c r="M756" t="str">
        <f t="shared" si="125"/>
        <v>MarkCmd</v>
      </c>
    </row>
    <row r="757" spans="1:13" x14ac:dyDescent="0.25">
      <c r="A757" t="s">
        <v>332</v>
      </c>
      <c r="B757" s="6">
        <f t="shared" si="126"/>
        <v>9.7243333333333339</v>
      </c>
      <c r="C757" s="9">
        <f t="shared" si="127"/>
        <v>0.99999999999944578</v>
      </c>
      <c r="D757" s="8" t="str">
        <f t="shared" si="128"/>
        <v>W</v>
      </c>
      <c r="E757" s="3">
        <f t="shared" si="129"/>
        <v>101</v>
      </c>
      <c r="F757" s="3" t="str">
        <f t="shared" si="130"/>
        <v>ack</v>
      </c>
      <c r="G757" s="3" t="str">
        <f t="shared" si="131"/>
        <v>9A</v>
      </c>
      <c r="H757" s="3" t="str">
        <f t="shared" si="132"/>
        <v/>
      </c>
      <c r="I757" s="3">
        <f t="shared" si="133"/>
        <v>154</v>
      </c>
      <c r="J757" s="5" t="str">
        <f>IF(E757=0,"Broadcast",IF(H757="",IF(I757="","",IF(I757&lt;128,"Connect "&amp;I757,INDEX(KdoCodeTab,MATCH(I757,KdoWertTab,0)))),"ReadStat "&amp;H757))</f>
        <v>RepMarkCmd</v>
      </c>
      <c r="K757" t="str">
        <f t="shared" si="123"/>
        <v/>
      </c>
      <c r="L757" t="str">
        <f t="shared" si="124"/>
        <v/>
      </c>
      <c r="M757" t="str">
        <f t="shared" si="125"/>
        <v>RepMarkCmd</v>
      </c>
    </row>
    <row r="758" spans="1:13" x14ac:dyDescent="0.25">
      <c r="A758" t="s">
        <v>333</v>
      </c>
      <c r="B758" s="6">
        <f t="shared" si="126"/>
        <v>9.7435000000000009</v>
      </c>
      <c r="C758" s="9">
        <f t="shared" si="127"/>
        <v>19.166666666666998</v>
      </c>
      <c r="D758" s="8" t="str">
        <f t="shared" si="128"/>
        <v>W</v>
      </c>
      <c r="E758" s="3">
        <f t="shared" si="129"/>
        <v>101</v>
      </c>
      <c r="F758" s="3" t="str">
        <f t="shared" si="130"/>
        <v>ack</v>
      </c>
      <c r="G758" s="3" t="str">
        <f t="shared" si="131"/>
        <v>93</v>
      </c>
      <c r="H758" s="3" t="str">
        <f t="shared" si="132"/>
        <v/>
      </c>
      <c r="I758" s="3">
        <f t="shared" si="133"/>
        <v>147</v>
      </c>
      <c r="J758" s="5" t="str">
        <f>IF(E758=0,"Broadcast",IF(H758="",IF(I758="","",IF(I758&lt;128,"Connect "&amp;I758,INDEX(KdoCodeTab,MATCH(I758,KdoWertTab,0)))),"ReadStat "&amp;H758))</f>
        <v>SpaceCmd</v>
      </c>
      <c r="K758" t="str">
        <f t="shared" si="123"/>
        <v/>
      </c>
      <c r="L758" t="str">
        <f t="shared" si="124"/>
        <v/>
      </c>
      <c r="M758" t="str">
        <f t="shared" si="125"/>
        <v>SpaceCmd</v>
      </c>
    </row>
    <row r="759" spans="1:13" x14ac:dyDescent="0.25">
      <c r="A759" t="s">
        <v>334</v>
      </c>
      <c r="B759" s="6">
        <f t="shared" si="126"/>
        <v>9.7445000000000004</v>
      </c>
      <c r="C759" s="9">
        <f t="shared" si="127"/>
        <v>0.99999999999944578</v>
      </c>
      <c r="D759" s="8" t="str">
        <f t="shared" si="128"/>
        <v>W</v>
      </c>
      <c r="E759" s="3">
        <f t="shared" si="129"/>
        <v>101</v>
      </c>
      <c r="F759" s="3" t="str">
        <f t="shared" si="130"/>
        <v>ack</v>
      </c>
      <c r="G759" s="3" t="str">
        <f t="shared" si="131"/>
        <v>96</v>
      </c>
      <c r="H759" s="3" t="str">
        <f t="shared" si="132"/>
        <v/>
      </c>
      <c r="I759" s="3">
        <f t="shared" si="133"/>
        <v>150</v>
      </c>
      <c r="J759" s="5" t="str">
        <f>IF(E759=0,"Broadcast",IF(H759="",IF(I759="","",IF(I759&lt;128,"Connect "&amp;I759,INDEX(KdoCodeTab,MATCH(I759,KdoWertTab,0)))),"ReadStat "&amp;H759))</f>
        <v>RepSpaceCmd</v>
      </c>
      <c r="K759" t="str">
        <f t="shared" si="123"/>
        <v/>
      </c>
      <c r="L759" t="str">
        <f t="shared" si="124"/>
        <v/>
      </c>
      <c r="M759" t="str">
        <f t="shared" si="125"/>
        <v>RepSpaceCmd</v>
      </c>
    </row>
    <row r="760" spans="1:13" x14ac:dyDescent="0.25">
      <c r="A760" t="s">
        <v>335</v>
      </c>
      <c r="B760" s="6">
        <f t="shared" si="126"/>
        <v>9.7636666666666674</v>
      </c>
      <c r="C760" s="9">
        <f t="shared" si="127"/>
        <v>19.166666666666998</v>
      </c>
      <c r="D760" s="8" t="str">
        <f t="shared" si="128"/>
        <v>W</v>
      </c>
      <c r="E760" s="3">
        <f t="shared" si="129"/>
        <v>101</v>
      </c>
      <c r="F760" s="3" t="str">
        <f t="shared" si="130"/>
        <v>ack</v>
      </c>
      <c r="G760" s="3" t="str">
        <f t="shared" si="131"/>
        <v>9C</v>
      </c>
      <c r="H760" s="3" t="str">
        <f t="shared" si="132"/>
        <v/>
      </c>
      <c r="I760" s="3">
        <f t="shared" si="133"/>
        <v>156</v>
      </c>
      <c r="J760" s="5" t="str">
        <f>IF(E760=0,"Broadcast",IF(H760="",IF(I760="","",IF(I760&lt;128,"Connect "&amp;I760,INDEX(KdoCodeTab,MATCH(I760,KdoWertTab,0)))),"ReadStat "&amp;H760))</f>
        <v>MarkCmd</v>
      </c>
      <c r="K760" t="str">
        <f t="shared" si="123"/>
        <v/>
      </c>
      <c r="L760" t="str">
        <f t="shared" si="124"/>
        <v/>
      </c>
      <c r="M760" t="str">
        <f t="shared" si="125"/>
        <v>MarkCmd</v>
      </c>
    </row>
    <row r="761" spans="1:13" x14ac:dyDescent="0.25">
      <c r="A761" t="s">
        <v>336</v>
      </c>
      <c r="B761" s="6">
        <f t="shared" si="126"/>
        <v>9.7646666666666668</v>
      </c>
      <c r="C761" s="9">
        <f t="shared" si="127"/>
        <v>0.99999999999944578</v>
      </c>
      <c r="D761" s="8" t="str">
        <f t="shared" si="128"/>
        <v>W</v>
      </c>
      <c r="E761" s="3">
        <f t="shared" si="129"/>
        <v>101</v>
      </c>
      <c r="F761" s="3" t="str">
        <f t="shared" si="130"/>
        <v>ack</v>
      </c>
      <c r="G761" s="3" t="str">
        <f t="shared" si="131"/>
        <v>9A</v>
      </c>
      <c r="H761" s="3" t="str">
        <f t="shared" si="132"/>
        <v/>
      </c>
      <c r="I761" s="3">
        <f t="shared" si="133"/>
        <v>154</v>
      </c>
      <c r="J761" s="5" t="str">
        <f>IF(E761=0,"Broadcast",IF(H761="",IF(I761="","",IF(I761&lt;128,"Connect "&amp;I761,INDEX(KdoCodeTab,MATCH(I761,KdoWertTab,0)))),"ReadStat "&amp;H761))</f>
        <v>RepMarkCmd</v>
      </c>
      <c r="K761" t="str">
        <f t="shared" si="123"/>
        <v/>
      </c>
      <c r="L761" t="str">
        <f t="shared" si="124"/>
        <v/>
      </c>
      <c r="M761" t="str">
        <f t="shared" si="125"/>
        <v>RepMarkCmd</v>
      </c>
    </row>
    <row r="762" spans="1:13" x14ac:dyDescent="0.25">
      <c r="A762" t="s">
        <v>337</v>
      </c>
      <c r="B762" s="6">
        <f t="shared" si="126"/>
        <v>9.8041666666666671</v>
      </c>
      <c r="C762" s="9">
        <f t="shared" si="127"/>
        <v>39.500000000000313</v>
      </c>
      <c r="D762" s="8" t="str">
        <f t="shared" si="128"/>
        <v>W</v>
      </c>
      <c r="E762" s="3">
        <f t="shared" si="129"/>
        <v>101</v>
      </c>
      <c r="F762" s="3" t="str">
        <f t="shared" si="130"/>
        <v>ack</v>
      </c>
      <c r="G762" s="3" t="str">
        <f t="shared" si="131"/>
        <v>93</v>
      </c>
      <c r="H762" s="3" t="str">
        <f t="shared" si="132"/>
        <v/>
      </c>
      <c r="I762" s="3">
        <f t="shared" si="133"/>
        <v>147</v>
      </c>
      <c r="J762" s="5" t="str">
        <f>IF(E762=0,"Broadcast",IF(H762="",IF(I762="","",IF(I762&lt;128,"Connect "&amp;I762,INDEX(KdoCodeTab,MATCH(I762,KdoWertTab,0)))),"ReadStat "&amp;H762))</f>
        <v>SpaceCmd</v>
      </c>
      <c r="K762" t="str">
        <f t="shared" si="123"/>
        <v/>
      </c>
      <c r="L762" t="str">
        <f t="shared" si="124"/>
        <v/>
      </c>
      <c r="M762" t="str">
        <f t="shared" si="125"/>
        <v>SpaceCmd</v>
      </c>
    </row>
    <row r="763" spans="1:13" x14ac:dyDescent="0.25">
      <c r="A763" t="s">
        <v>338</v>
      </c>
      <c r="B763" s="6">
        <f t="shared" si="126"/>
        <v>9.8051666666666666</v>
      </c>
      <c r="C763" s="9">
        <f t="shared" si="127"/>
        <v>0.99999999999944578</v>
      </c>
      <c r="D763" s="8" t="str">
        <f t="shared" si="128"/>
        <v>W</v>
      </c>
      <c r="E763" s="3">
        <f t="shared" si="129"/>
        <v>101</v>
      </c>
      <c r="F763" s="3" t="str">
        <f t="shared" si="130"/>
        <v>ack</v>
      </c>
      <c r="G763" s="3" t="str">
        <f t="shared" si="131"/>
        <v>96</v>
      </c>
      <c r="H763" s="3" t="str">
        <f t="shared" si="132"/>
        <v/>
      </c>
      <c r="I763" s="3">
        <f t="shared" si="133"/>
        <v>150</v>
      </c>
      <c r="J763" s="5" t="str">
        <f>IF(E763=0,"Broadcast",IF(H763="",IF(I763="","",IF(I763&lt;128,"Connect "&amp;I763,INDEX(KdoCodeTab,MATCH(I763,KdoWertTab,0)))),"ReadStat "&amp;H763))</f>
        <v>RepSpaceCmd</v>
      </c>
      <c r="K763" t="str">
        <f t="shared" ref="K763:K826" si="134">IF(E763=$K$2,J763,"")</f>
        <v/>
      </c>
      <c r="L763" t="str">
        <f t="shared" ref="L763:L826" si="135">IF(E763=$L$2,J763,"")</f>
        <v/>
      </c>
      <c r="M763" t="str">
        <f t="shared" ref="M763:M826" si="136">IF(K763&amp;L763="",J763,"")</f>
        <v>RepSpaceCmd</v>
      </c>
    </row>
    <row r="764" spans="1:13" x14ac:dyDescent="0.25">
      <c r="A764" t="s">
        <v>339</v>
      </c>
      <c r="B764" s="6">
        <f t="shared" si="126"/>
        <v>9.8243333333333336</v>
      </c>
      <c r="C764" s="9">
        <f t="shared" si="127"/>
        <v>19.166666666666998</v>
      </c>
      <c r="D764" s="8" t="str">
        <f t="shared" si="128"/>
        <v>W</v>
      </c>
      <c r="E764" s="3">
        <f t="shared" si="129"/>
        <v>101</v>
      </c>
      <c r="F764" s="3" t="str">
        <f t="shared" si="130"/>
        <v>ack</v>
      </c>
      <c r="G764" s="3" t="str">
        <f t="shared" si="131"/>
        <v>9C</v>
      </c>
      <c r="H764" s="3" t="str">
        <f t="shared" si="132"/>
        <v/>
      </c>
      <c r="I764" s="3">
        <f t="shared" si="133"/>
        <v>156</v>
      </c>
      <c r="J764" s="5" t="str">
        <f>IF(E764=0,"Broadcast",IF(H764="",IF(I764="","",IF(I764&lt;128,"Connect "&amp;I764,INDEX(KdoCodeTab,MATCH(I764,KdoWertTab,0)))),"ReadStat "&amp;H764))</f>
        <v>MarkCmd</v>
      </c>
      <c r="K764" t="str">
        <f t="shared" si="134"/>
        <v/>
      </c>
      <c r="L764" t="str">
        <f t="shared" si="135"/>
        <v/>
      </c>
      <c r="M764" t="str">
        <f t="shared" si="136"/>
        <v>MarkCmd</v>
      </c>
    </row>
    <row r="765" spans="1:13" x14ac:dyDescent="0.25">
      <c r="A765" t="s">
        <v>340</v>
      </c>
      <c r="B765" s="6">
        <f t="shared" si="126"/>
        <v>9.825333333333333</v>
      </c>
      <c r="C765" s="9">
        <f t="shared" si="127"/>
        <v>0.99999999999944578</v>
      </c>
      <c r="D765" s="8" t="str">
        <f t="shared" si="128"/>
        <v>W</v>
      </c>
      <c r="E765" s="3">
        <f t="shared" si="129"/>
        <v>101</v>
      </c>
      <c r="F765" s="3" t="str">
        <f t="shared" si="130"/>
        <v>ack</v>
      </c>
      <c r="G765" s="3" t="str">
        <f t="shared" si="131"/>
        <v>9A</v>
      </c>
      <c r="H765" s="3" t="str">
        <f t="shared" si="132"/>
        <v/>
      </c>
      <c r="I765" s="3">
        <f t="shared" si="133"/>
        <v>154</v>
      </c>
      <c r="J765" s="5" t="str">
        <f>IF(E765=0,"Broadcast",IF(H765="",IF(I765="","",IF(I765&lt;128,"Connect "&amp;I765,INDEX(KdoCodeTab,MATCH(I765,KdoWertTab,0)))),"ReadStat "&amp;H765))</f>
        <v>RepMarkCmd</v>
      </c>
      <c r="K765" t="str">
        <f t="shared" si="134"/>
        <v/>
      </c>
      <c r="L765" t="str">
        <f t="shared" si="135"/>
        <v/>
      </c>
      <c r="M765" t="str">
        <f t="shared" si="136"/>
        <v>RepMarkCmd</v>
      </c>
    </row>
    <row r="766" spans="1:13" x14ac:dyDescent="0.25">
      <c r="A766" t="s">
        <v>341</v>
      </c>
      <c r="B766" s="6">
        <f t="shared" si="126"/>
        <v>9.8536666666666672</v>
      </c>
      <c r="C766" s="9">
        <f t="shared" si="127"/>
        <v>28.33333333333421</v>
      </c>
      <c r="D766" s="8" t="str">
        <f t="shared" si="128"/>
        <v>W</v>
      </c>
      <c r="E766" s="3">
        <f t="shared" si="129"/>
        <v>101</v>
      </c>
      <c r="F766" s="3" t="str">
        <f t="shared" si="130"/>
        <v>ack</v>
      </c>
      <c r="G766" s="3" t="str">
        <f t="shared" si="131"/>
        <v>93</v>
      </c>
      <c r="H766" s="3" t="str">
        <f t="shared" si="132"/>
        <v/>
      </c>
      <c r="I766" s="3">
        <f t="shared" si="133"/>
        <v>147</v>
      </c>
      <c r="J766" s="5" t="str">
        <f>IF(E766=0,"Broadcast",IF(H766="",IF(I766="","",IF(I766&lt;128,"Connect "&amp;I766,INDEX(KdoCodeTab,MATCH(I766,KdoWertTab,0)))),"ReadStat "&amp;H766))</f>
        <v>SpaceCmd</v>
      </c>
      <c r="K766" t="str">
        <f t="shared" si="134"/>
        <v/>
      </c>
      <c r="L766" t="str">
        <f t="shared" si="135"/>
        <v/>
      </c>
      <c r="M766" t="str">
        <f t="shared" si="136"/>
        <v>SpaceCmd</v>
      </c>
    </row>
    <row r="767" spans="1:13" x14ac:dyDescent="0.25">
      <c r="A767" t="s">
        <v>342</v>
      </c>
      <c r="B767" s="6">
        <f t="shared" si="126"/>
        <v>9.8544999999999998</v>
      </c>
      <c r="C767" s="9">
        <f t="shared" si="127"/>
        <v>0.83333333333257542</v>
      </c>
      <c r="D767" s="8" t="str">
        <f t="shared" si="128"/>
        <v>W</v>
      </c>
      <c r="E767" s="3">
        <f t="shared" si="129"/>
        <v>101</v>
      </c>
      <c r="F767" s="3" t="str">
        <f t="shared" si="130"/>
        <v>ack</v>
      </c>
      <c r="G767" s="3" t="str">
        <f t="shared" si="131"/>
        <v>96</v>
      </c>
      <c r="H767" s="3" t="str">
        <f t="shared" si="132"/>
        <v/>
      </c>
      <c r="I767" s="3">
        <f t="shared" si="133"/>
        <v>150</v>
      </c>
      <c r="J767" s="5" t="str">
        <f>IF(E767=0,"Broadcast",IF(H767="",IF(I767="","",IF(I767&lt;128,"Connect "&amp;I767,INDEX(KdoCodeTab,MATCH(I767,KdoWertTab,0)))),"ReadStat "&amp;H767))</f>
        <v>RepSpaceCmd</v>
      </c>
      <c r="K767" t="str">
        <f t="shared" si="134"/>
        <v/>
      </c>
      <c r="L767" t="str">
        <f t="shared" si="135"/>
        <v/>
      </c>
      <c r="M767" t="str">
        <f t="shared" si="136"/>
        <v>RepSpaceCmd</v>
      </c>
    </row>
    <row r="768" spans="1:13" x14ac:dyDescent="0.25">
      <c r="A768" t="s">
        <v>343</v>
      </c>
      <c r="B768" s="6">
        <f t="shared" si="126"/>
        <v>9.894166666666667</v>
      </c>
      <c r="C768" s="9">
        <f t="shared" si="127"/>
        <v>39.666666666667183</v>
      </c>
      <c r="D768" s="8" t="str">
        <f t="shared" si="128"/>
        <v>W</v>
      </c>
      <c r="E768" s="3">
        <f t="shared" si="129"/>
        <v>101</v>
      </c>
      <c r="F768" s="3" t="str">
        <f t="shared" si="130"/>
        <v>ack</v>
      </c>
      <c r="G768" s="3" t="str">
        <f t="shared" si="131"/>
        <v>9C</v>
      </c>
      <c r="H768" s="3" t="str">
        <f t="shared" si="132"/>
        <v/>
      </c>
      <c r="I768" s="3">
        <f t="shared" si="133"/>
        <v>156</v>
      </c>
      <c r="J768" s="5" t="str">
        <f>IF(E768=0,"Broadcast",IF(H768="",IF(I768="","",IF(I768&lt;128,"Connect "&amp;I768,INDEX(KdoCodeTab,MATCH(I768,KdoWertTab,0)))),"ReadStat "&amp;H768))</f>
        <v>MarkCmd</v>
      </c>
      <c r="K768" t="str">
        <f t="shared" si="134"/>
        <v/>
      </c>
      <c r="L768" t="str">
        <f t="shared" si="135"/>
        <v/>
      </c>
      <c r="M768" t="str">
        <f t="shared" si="136"/>
        <v>MarkCmd</v>
      </c>
    </row>
    <row r="769" spans="1:13" x14ac:dyDescent="0.25">
      <c r="A769" t="s">
        <v>344</v>
      </c>
      <c r="B769" s="6">
        <f t="shared" si="126"/>
        <v>9.8949999999999996</v>
      </c>
      <c r="C769" s="9">
        <f t="shared" si="127"/>
        <v>0.83333333333257542</v>
      </c>
      <c r="D769" s="8" t="str">
        <f t="shared" si="128"/>
        <v>W</v>
      </c>
      <c r="E769" s="3">
        <f t="shared" si="129"/>
        <v>101</v>
      </c>
      <c r="F769" s="3" t="str">
        <f t="shared" si="130"/>
        <v>ack</v>
      </c>
      <c r="G769" s="3" t="str">
        <f t="shared" si="131"/>
        <v>9A</v>
      </c>
      <c r="H769" s="3" t="str">
        <f t="shared" si="132"/>
        <v/>
      </c>
      <c r="I769" s="3">
        <f t="shared" si="133"/>
        <v>154</v>
      </c>
      <c r="J769" s="5" t="str">
        <f>IF(E769=0,"Broadcast",IF(H769="",IF(I769="","",IF(I769&lt;128,"Connect "&amp;I769,INDEX(KdoCodeTab,MATCH(I769,KdoWertTab,0)))),"ReadStat "&amp;H769))</f>
        <v>RepMarkCmd</v>
      </c>
      <c r="K769" t="str">
        <f t="shared" si="134"/>
        <v/>
      </c>
      <c r="L769" t="str">
        <f t="shared" si="135"/>
        <v/>
      </c>
      <c r="M769" t="str">
        <f t="shared" si="136"/>
        <v>RepMarkCmd</v>
      </c>
    </row>
    <row r="770" spans="1:13" x14ac:dyDescent="0.25">
      <c r="A770" t="s">
        <v>345</v>
      </c>
      <c r="B770" s="6">
        <f t="shared" si="126"/>
        <v>9.9143333333333334</v>
      </c>
      <c r="C770" s="9">
        <f t="shared" si="127"/>
        <v>19.333333333333869</v>
      </c>
      <c r="D770" s="8" t="str">
        <f t="shared" si="128"/>
        <v>W</v>
      </c>
      <c r="E770" s="3">
        <f t="shared" si="129"/>
        <v>101</v>
      </c>
      <c r="F770" s="3" t="str">
        <f t="shared" si="130"/>
        <v>ack</v>
      </c>
      <c r="G770" s="3" t="str">
        <f t="shared" si="131"/>
        <v>93</v>
      </c>
      <c r="H770" s="3" t="str">
        <f t="shared" si="132"/>
        <v/>
      </c>
      <c r="I770" s="3">
        <f t="shared" si="133"/>
        <v>147</v>
      </c>
      <c r="J770" s="5" t="str">
        <f>IF(E770=0,"Broadcast",IF(H770="",IF(I770="","",IF(I770&lt;128,"Connect "&amp;I770,INDEX(KdoCodeTab,MATCH(I770,KdoWertTab,0)))),"ReadStat "&amp;H770))</f>
        <v>SpaceCmd</v>
      </c>
      <c r="K770" t="str">
        <f t="shared" si="134"/>
        <v/>
      </c>
      <c r="L770" t="str">
        <f t="shared" si="135"/>
        <v/>
      </c>
      <c r="M770" t="str">
        <f t="shared" si="136"/>
        <v>SpaceCmd</v>
      </c>
    </row>
    <row r="771" spans="1:13" x14ac:dyDescent="0.25">
      <c r="A771" t="s">
        <v>346</v>
      </c>
      <c r="B771" s="6">
        <f t="shared" si="126"/>
        <v>9.915166666666666</v>
      </c>
      <c r="C771" s="9">
        <f t="shared" si="127"/>
        <v>0.83333333333257542</v>
      </c>
      <c r="D771" s="8" t="str">
        <f t="shared" si="128"/>
        <v>W</v>
      </c>
      <c r="E771" s="3">
        <f t="shared" si="129"/>
        <v>101</v>
      </c>
      <c r="F771" s="3" t="str">
        <f t="shared" si="130"/>
        <v>ack</v>
      </c>
      <c r="G771" s="3" t="str">
        <f t="shared" si="131"/>
        <v>96</v>
      </c>
      <c r="H771" s="3" t="str">
        <f t="shared" si="132"/>
        <v/>
      </c>
      <c r="I771" s="3">
        <f t="shared" si="133"/>
        <v>150</v>
      </c>
      <c r="J771" s="5" t="str">
        <f>IF(E771=0,"Broadcast",IF(H771="",IF(I771="","",IF(I771&lt;128,"Connect "&amp;I771,INDEX(KdoCodeTab,MATCH(I771,KdoWertTab,0)))),"ReadStat "&amp;H771))</f>
        <v>RepSpaceCmd</v>
      </c>
      <c r="K771" t="str">
        <f t="shared" si="134"/>
        <v/>
      </c>
      <c r="L771" t="str">
        <f t="shared" si="135"/>
        <v/>
      </c>
      <c r="M771" t="str">
        <f t="shared" si="136"/>
        <v>RepSpaceCmd</v>
      </c>
    </row>
    <row r="772" spans="1:13" x14ac:dyDescent="0.25">
      <c r="A772" t="s">
        <v>347</v>
      </c>
      <c r="B772" s="6">
        <f t="shared" si="126"/>
        <v>9.9344999999999999</v>
      </c>
      <c r="C772" s="9">
        <f t="shared" si="127"/>
        <v>19.333333333333869</v>
      </c>
      <c r="D772" s="8" t="str">
        <f t="shared" si="128"/>
        <v>W</v>
      </c>
      <c r="E772" s="3">
        <f t="shared" si="129"/>
        <v>101</v>
      </c>
      <c r="F772" s="3" t="str">
        <f t="shared" si="130"/>
        <v>ack</v>
      </c>
      <c r="G772" s="3" t="str">
        <f t="shared" si="131"/>
        <v>9C</v>
      </c>
      <c r="H772" s="3" t="str">
        <f t="shared" si="132"/>
        <v/>
      </c>
      <c r="I772" s="3">
        <f t="shared" si="133"/>
        <v>156</v>
      </c>
      <c r="J772" s="5" t="str">
        <f>IF(E772=0,"Broadcast",IF(H772="",IF(I772="","",IF(I772&lt;128,"Connect "&amp;I772,INDEX(KdoCodeTab,MATCH(I772,KdoWertTab,0)))),"ReadStat "&amp;H772))</f>
        <v>MarkCmd</v>
      </c>
      <c r="K772" t="str">
        <f t="shared" si="134"/>
        <v/>
      </c>
      <c r="L772" t="str">
        <f t="shared" si="135"/>
        <v/>
      </c>
      <c r="M772" t="str">
        <f t="shared" si="136"/>
        <v>MarkCmd</v>
      </c>
    </row>
    <row r="773" spans="1:13" x14ac:dyDescent="0.25">
      <c r="A773" t="s">
        <v>348</v>
      </c>
      <c r="B773" s="6">
        <f t="shared" ref="B773:B836" si="137">MID(A773,1,5)/1000+(CODE(MID(A773,6,1))-CODE("a"))/6000</f>
        <v>9.9353333333333342</v>
      </c>
      <c r="C773" s="9">
        <f t="shared" ref="C773:C836" si="138">(B773-B772+IF(B773&gt;B772,0,11))*1000</f>
        <v>0.83333333333435178</v>
      </c>
      <c r="D773" s="8" t="str">
        <f t="shared" ref="D773:D836" si="139">IF(MID(A773,10,1)="&lt;","R",IF(MID(A773,10,1)="&gt;","W","?"))</f>
        <v>W</v>
      </c>
      <c r="E773" s="3">
        <f t="shared" ref="E773:E836" si="140">INT(HEX2DEC(MID(A773,8,2))/2)</f>
        <v>101</v>
      </c>
      <c r="F773" s="3" t="str">
        <f t="shared" ref="F773:F836" si="141">IF(MID(A773,11,1)="+","ack","NACK")</f>
        <v>ack</v>
      </c>
      <c r="G773" s="3" t="str">
        <f t="shared" ref="G773:G836" si="142">IF(F773="ack",SUBSTITUTE(MID(A773,12,LEN(A773)-12),"+","  "),"")</f>
        <v>9A</v>
      </c>
      <c r="H773" s="3" t="str">
        <f t="shared" ref="H773:H836" si="143">IF(MID(A773,10,2)="&lt;+",MID(A773,12,2),"")</f>
        <v/>
      </c>
      <c r="I773" s="3">
        <f t="shared" ref="I773:I836" si="144">IF(MID(A773,10,2)="&gt;+",HEX2DEC(MID(A773,12,2)),"")</f>
        <v>154</v>
      </c>
      <c r="J773" s="5" t="str">
        <f>IF(E773=0,"Broadcast",IF(H773="",IF(I773="","",IF(I773&lt;128,"Connect "&amp;I773,INDEX(KdoCodeTab,MATCH(I773,KdoWertTab,0)))),"ReadStat "&amp;H773))</f>
        <v>RepMarkCmd</v>
      </c>
      <c r="K773" t="str">
        <f t="shared" si="134"/>
        <v/>
      </c>
      <c r="L773" t="str">
        <f t="shared" si="135"/>
        <v/>
      </c>
      <c r="M773" t="str">
        <f t="shared" si="136"/>
        <v>RepMarkCmd</v>
      </c>
    </row>
    <row r="774" spans="1:13" x14ac:dyDescent="0.25">
      <c r="A774" t="s">
        <v>349</v>
      </c>
      <c r="B774" s="6">
        <f t="shared" si="137"/>
        <v>9.9536666666666669</v>
      </c>
      <c r="C774" s="9">
        <f t="shared" si="138"/>
        <v>18.333333333332646</v>
      </c>
      <c r="D774" s="8" t="str">
        <f t="shared" si="139"/>
        <v>W</v>
      </c>
      <c r="E774" s="3">
        <f t="shared" si="140"/>
        <v>101</v>
      </c>
      <c r="F774" s="3" t="str">
        <f t="shared" si="141"/>
        <v>ack</v>
      </c>
      <c r="G774" s="3" t="str">
        <f t="shared" si="142"/>
        <v>93</v>
      </c>
      <c r="H774" s="3" t="str">
        <f t="shared" si="143"/>
        <v/>
      </c>
      <c r="I774" s="3">
        <f t="shared" si="144"/>
        <v>147</v>
      </c>
      <c r="J774" s="5" t="str">
        <f>IF(E774=0,"Broadcast",IF(H774="",IF(I774="","",IF(I774&lt;128,"Connect "&amp;I774,INDEX(KdoCodeTab,MATCH(I774,KdoWertTab,0)))),"ReadStat "&amp;H774))</f>
        <v>SpaceCmd</v>
      </c>
      <c r="K774" t="str">
        <f t="shared" si="134"/>
        <v/>
      </c>
      <c r="L774" t="str">
        <f t="shared" si="135"/>
        <v/>
      </c>
      <c r="M774" t="str">
        <f t="shared" si="136"/>
        <v>SpaceCmd</v>
      </c>
    </row>
    <row r="775" spans="1:13" x14ac:dyDescent="0.25">
      <c r="A775" t="s">
        <v>350</v>
      </c>
      <c r="B775" s="6">
        <f t="shared" si="137"/>
        <v>9.9546666666666681</v>
      </c>
      <c r="C775" s="9">
        <f t="shared" si="138"/>
        <v>1.0000000000012221</v>
      </c>
      <c r="D775" s="8" t="str">
        <f t="shared" si="139"/>
        <v>W</v>
      </c>
      <c r="E775" s="3">
        <f t="shared" si="140"/>
        <v>101</v>
      </c>
      <c r="F775" s="3" t="str">
        <f t="shared" si="141"/>
        <v>ack</v>
      </c>
      <c r="G775" s="3" t="str">
        <f t="shared" si="142"/>
        <v>96</v>
      </c>
      <c r="H775" s="3" t="str">
        <f t="shared" si="143"/>
        <v/>
      </c>
      <c r="I775" s="3">
        <f t="shared" si="144"/>
        <v>150</v>
      </c>
      <c r="J775" s="5" t="str">
        <f>IF(E775=0,"Broadcast",IF(H775="",IF(I775="","",IF(I775&lt;128,"Connect "&amp;I775,INDEX(KdoCodeTab,MATCH(I775,KdoWertTab,0)))),"ReadStat "&amp;H775))</f>
        <v>RepSpaceCmd</v>
      </c>
      <c r="K775" t="str">
        <f t="shared" si="134"/>
        <v/>
      </c>
      <c r="L775" t="str">
        <f t="shared" si="135"/>
        <v/>
      </c>
      <c r="M775" t="str">
        <f t="shared" si="136"/>
        <v>RepSpaceCmd</v>
      </c>
    </row>
    <row r="776" spans="1:13" x14ac:dyDescent="0.25">
      <c r="A776" t="s">
        <v>351</v>
      </c>
      <c r="B776" s="6">
        <f t="shared" si="137"/>
        <v>9.9738333333333333</v>
      </c>
      <c r="C776" s="9">
        <f t="shared" si="138"/>
        <v>19.166666666665222</v>
      </c>
      <c r="D776" s="8" t="str">
        <f t="shared" si="139"/>
        <v>W</v>
      </c>
      <c r="E776" s="3">
        <f t="shared" si="140"/>
        <v>101</v>
      </c>
      <c r="F776" s="3" t="str">
        <f t="shared" si="141"/>
        <v>ack</v>
      </c>
      <c r="G776" s="3" t="str">
        <f t="shared" si="142"/>
        <v>9C</v>
      </c>
      <c r="H776" s="3" t="str">
        <f t="shared" si="143"/>
        <v/>
      </c>
      <c r="I776" s="3">
        <f t="shared" si="144"/>
        <v>156</v>
      </c>
      <c r="J776" s="5" t="str">
        <f>IF(E776=0,"Broadcast",IF(H776="",IF(I776="","",IF(I776&lt;128,"Connect "&amp;I776,INDEX(KdoCodeTab,MATCH(I776,KdoWertTab,0)))),"ReadStat "&amp;H776))</f>
        <v>MarkCmd</v>
      </c>
      <c r="K776" t="str">
        <f t="shared" si="134"/>
        <v/>
      </c>
      <c r="L776" t="str">
        <f t="shared" si="135"/>
        <v/>
      </c>
      <c r="M776" t="str">
        <f t="shared" si="136"/>
        <v>MarkCmd</v>
      </c>
    </row>
    <row r="777" spans="1:13" x14ac:dyDescent="0.25">
      <c r="A777" t="s">
        <v>352</v>
      </c>
      <c r="B777" s="6">
        <f t="shared" si="137"/>
        <v>9.9748333333333328</v>
      </c>
      <c r="C777" s="9">
        <f t="shared" si="138"/>
        <v>0.99999999999944578</v>
      </c>
      <c r="D777" s="8" t="str">
        <f t="shared" si="139"/>
        <v>W</v>
      </c>
      <c r="E777" s="3">
        <f t="shared" si="140"/>
        <v>101</v>
      </c>
      <c r="F777" s="3" t="str">
        <f t="shared" si="141"/>
        <v>ack</v>
      </c>
      <c r="G777" s="3" t="str">
        <f t="shared" si="142"/>
        <v>9A</v>
      </c>
      <c r="H777" s="3" t="str">
        <f t="shared" si="143"/>
        <v/>
      </c>
      <c r="I777" s="3">
        <f t="shared" si="144"/>
        <v>154</v>
      </c>
      <c r="J777" s="5" t="str">
        <f>IF(E777=0,"Broadcast",IF(H777="",IF(I777="","",IF(I777&lt;128,"Connect "&amp;I777,INDEX(KdoCodeTab,MATCH(I777,KdoWertTab,0)))),"ReadStat "&amp;H777))</f>
        <v>RepMarkCmd</v>
      </c>
      <c r="K777" t="str">
        <f t="shared" si="134"/>
        <v/>
      </c>
      <c r="L777" t="str">
        <f t="shared" si="135"/>
        <v/>
      </c>
      <c r="M777" t="str">
        <f t="shared" si="136"/>
        <v>RepMarkCmd</v>
      </c>
    </row>
    <row r="778" spans="1:13" x14ac:dyDescent="0.25">
      <c r="A778" t="s">
        <v>353</v>
      </c>
      <c r="B778" s="6">
        <f t="shared" si="137"/>
        <v>9.9860000000000007</v>
      </c>
      <c r="C778" s="9">
        <f t="shared" si="138"/>
        <v>11.166666666667879</v>
      </c>
      <c r="D778" s="8" t="str">
        <f t="shared" si="139"/>
        <v>W</v>
      </c>
      <c r="E778" s="3">
        <f t="shared" si="140"/>
        <v>101</v>
      </c>
      <c r="F778" s="3" t="str">
        <f t="shared" si="141"/>
        <v>ack</v>
      </c>
      <c r="G778" s="3" t="str">
        <f t="shared" si="142"/>
        <v>A9</v>
      </c>
      <c r="H778" s="3" t="str">
        <f t="shared" si="143"/>
        <v/>
      </c>
      <c r="I778" s="3">
        <f t="shared" si="144"/>
        <v>169</v>
      </c>
      <c r="J778" s="5" t="str">
        <f>IF(E778=0,"Broadcast",IF(H778="",IF(I778="","",IF(I778&lt;128,"Connect "&amp;I778,INDEX(KdoCodeTab,MATCH(I778,KdoWertTab,0)))),"ReadStat "&amp;H778))</f>
        <v>Heartbeat</v>
      </c>
      <c r="K778" t="str">
        <f t="shared" si="134"/>
        <v/>
      </c>
      <c r="L778" t="str">
        <f t="shared" si="135"/>
        <v/>
      </c>
      <c r="M778" t="str">
        <f t="shared" si="136"/>
        <v>Heartbeat</v>
      </c>
    </row>
    <row r="779" spans="1:13" x14ac:dyDescent="0.25">
      <c r="A779" t="s">
        <v>354</v>
      </c>
      <c r="B779" s="6">
        <f t="shared" si="137"/>
        <v>10.004333333333333</v>
      </c>
      <c r="C779" s="9">
        <f t="shared" si="138"/>
        <v>18.333333333332646</v>
      </c>
      <c r="D779" s="8" t="str">
        <f t="shared" si="139"/>
        <v>W</v>
      </c>
      <c r="E779" s="3">
        <f t="shared" si="140"/>
        <v>101</v>
      </c>
      <c r="F779" s="3" t="str">
        <f t="shared" si="141"/>
        <v>ack</v>
      </c>
      <c r="G779" s="3" t="str">
        <f t="shared" si="142"/>
        <v>93</v>
      </c>
      <c r="H779" s="3" t="str">
        <f t="shared" si="143"/>
        <v/>
      </c>
      <c r="I779" s="3">
        <f t="shared" si="144"/>
        <v>147</v>
      </c>
      <c r="J779" s="5" t="str">
        <f>IF(E779=0,"Broadcast",IF(H779="",IF(I779="","",IF(I779&lt;128,"Connect "&amp;I779,INDEX(KdoCodeTab,MATCH(I779,KdoWertTab,0)))),"ReadStat "&amp;H779))</f>
        <v>SpaceCmd</v>
      </c>
      <c r="K779" t="str">
        <f t="shared" si="134"/>
        <v/>
      </c>
      <c r="L779" t="str">
        <f t="shared" si="135"/>
        <v/>
      </c>
      <c r="M779" t="str">
        <f t="shared" si="136"/>
        <v>SpaceCmd</v>
      </c>
    </row>
    <row r="780" spans="1:13" x14ac:dyDescent="0.25">
      <c r="A780" t="s">
        <v>355</v>
      </c>
      <c r="B780" s="6">
        <f t="shared" si="137"/>
        <v>10.005166666666668</v>
      </c>
      <c r="C780" s="9">
        <f t="shared" si="138"/>
        <v>0.83333333333435178</v>
      </c>
      <c r="D780" s="8" t="str">
        <f t="shared" si="139"/>
        <v>W</v>
      </c>
      <c r="E780" s="3">
        <f t="shared" si="140"/>
        <v>101</v>
      </c>
      <c r="F780" s="3" t="str">
        <f t="shared" si="141"/>
        <v>ack</v>
      </c>
      <c r="G780" s="3" t="str">
        <f t="shared" si="142"/>
        <v>96</v>
      </c>
      <c r="H780" s="3" t="str">
        <f t="shared" si="143"/>
        <v/>
      </c>
      <c r="I780" s="3">
        <f t="shared" si="144"/>
        <v>150</v>
      </c>
      <c r="J780" s="5" t="str">
        <f>IF(E780=0,"Broadcast",IF(H780="",IF(I780="","",IF(I780&lt;128,"Connect "&amp;I780,INDEX(KdoCodeTab,MATCH(I780,KdoWertTab,0)))),"ReadStat "&amp;H780))</f>
        <v>RepSpaceCmd</v>
      </c>
      <c r="K780" t="str">
        <f t="shared" si="134"/>
        <v/>
      </c>
      <c r="L780" t="str">
        <f t="shared" si="135"/>
        <v/>
      </c>
      <c r="M780" t="str">
        <f t="shared" si="136"/>
        <v>RepSpaceCmd</v>
      </c>
    </row>
    <row r="781" spans="1:13" x14ac:dyDescent="0.25">
      <c r="A781" t="s">
        <v>356</v>
      </c>
      <c r="B781" s="6">
        <f t="shared" si="137"/>
        <v>10.0245</v>
      </c>
      <c r="C781" s="9">
        <f t="shared" si="138"/>
        <v>19.333333333332092</v>
      </c>
      <c r="D781" s="8" t="str">
        <f t="shared" si="139"/>
        <v>W</v>
      </c>
      <c r="E781" s="3">
        <f t="shared" si="140"/>
        <v>101</v>
      </c>
      <c r="F781" s="3" t="str">
        <f t="shared" si="141"/>
        <v>ack</v>
      </c>
      <c r="G781" s="3" t="str">
        <f t="shared" si="142"/>
        <v>9C</v>
      </c>
      <c r="H781" s="3" t="str">
        <f t="shared" si="143"/>
        <v/>
      </c>
      <c r="I781" s="3">
        <f t="shared" si="144"/>
        <v>156</v>
      </c>
      <c r="J781" s="5" t="str">
        <f>IF(E781=0,"Broadcast",IF(H781="",IF(I781="","",IF(I781&lt;128,"Connect "&amp;I781,INDEX(KdoCodeTab,MATCH(I781,KdoWertTab,0)))),"ReadStat "&amp;H781))</f>
        <v>MarkCmd</v>
      </c>
      <c r="K781" t="str">
        <f t="shared" si="134"/>
        <v/>
      </c>
      <c r="L781" t="str">
        <f t="shared" si="135"/>
        <v/>
      </c>
      <c r="M781" t="str">
        <f t="shared" si="136"/>
        <v>MarkCmd</v>
      </c>
    </row>
    <row r="782" spans="1:13" x14ac:dyDescent="0.25">
      <c r="A782" t="s">
        <v>357</v>
      </c>
      <c r="B782" s="6">
        <f t="shared" si="137"/>
        <v>10.025333333333334</v>
      </c>
      <c r="C782" s="9">
        <f t="shared" si="138"/>
        <v>0.83333333333435178</v>
      </c>
      <c r="D782" s="8" t="str">
        <f t="shared" si="139"/>
        <v>W</v>
      </c>
      <c r="E782" s="3">
        <f t="shared" si="140"/>
        <v>101</v>
      </c>
      <c r="F782" s="3" t="str">
        <f t="shared" si="141"/>
        <v>ack</v>
      </c>
      <c r="G782" s="3" t="str">
        <f t="shared" si="142"/>
        <v>9A</v>
      </c>
      <c r="H782" s="3" t="str">
        <f t="shared" si="143"/>
        <v/>
      </c>
      <c r="I782" s="3">
        <f t="shared" si="144"/>
        <v>154</v>
      </c>
      <c r="J782" s="5" t="str">
        <f>IF(E782=0,"Broadcast",IF(H782="",IF(I782="","",IF(I782&lt;128,"Connect "&amp;I782,INDEX(KdoCodeTab,MATCH(I782,KdoWertTab,0)))),"ReadStat "&amp;H782))</f>
        <v>RepMarkCmd</v>
      </c>
      <c r="K782" t="str">
        <f t="shared" si="134"/>
        <v/>
      </c>
      <c r="L782" t="str">
        <f t="shared" si="135"/>
        <v/>
      </c>
      <c r="M782" t="str">
        <f t="shared" si="136"/>
        <v>RepMarkCmd</v>
      </c>
    </row>
    <row r="783" spans="1:13" x14ac:dyDescent="0.25">
      <c r="A783" t="s">
        <v>358</v>
      </c>
      <c r="B783" s="6">
        <f t="shared" si="137"/>
        <v>10.044666666666668</v>
      </c>
      <c r="C783" s="9">
        <f t="shared" si="138"/>
        <v>19.333333333333869</v>
      </c>
      <c r="D783" s="8" t="str">
        <f t="shared" si="139"/>
        <v>W</v>
      </c>
      <c r="E783" s="3">
        <f t="shared" si="140"/>
        <v>101</v>
      </c>
      <c r="F783" s="3" t="str">
        <f t="shared" si="141"/>
        <v>ack</v>
      </c>
      <c r="G783" s="3" t="str">
        <f t="shared" si="142"/>
        <v>93</v>
      </c>
      <c r="H783" s="3" t="str">
        <f t="shared" si="143"/>
        <v/>
      </c>
      <c r="I783" s="3">
        <f t="shared" si="144"/>
        <v>147</v>
      </c>
      <c r="J783" s="5" t="str">
        <f>IF(E783=0,"Broadcast",IF(H783="",IF(I783="","",IF(I783&lt;128,"Connect "&amp;I783,INDEX(KdoCodeTab,MATCH(I783,KdoWertTab,0)))),"ReadStat "&amp;H783))</f>
        <v>SpaceCmd</v>
      </c>
      <c r="K783" t="str">
        <f t="shared" si="134"/>
        <v/>
      </c>
      <c r="L783" t="str">
        <f t="shared" si="135"/>
        <v/>
      </c>
      <c r="M783" t="str">
        <f t="shared" si="136"/>
        <v>SpaceCmd</v>
      </c>
    </row>
    <row r="784" spans="1:13" x14ac:dyDescent="0.25">
      <c r="A784" t="s">
        <v>359</v>
      </c>
      <c r="B784" s="6">
        <f t="shared" si="137"/>
        <v>10.045500000000001</v>
      </c>
      <c r="C784" s="9">
        <f t="shared" si="138"/>
        <v>0.83333333333257542</v>
      </c>
      <c r="D784" s="8" t="str">
        <f t="shared" si="139"/>
        <v>W</v>
      </c>
      <c r="E784" s="3">
        <f t="shared" si="140"/>
        <v>101</v>
      </c>
      <c r="F784" s="3" t="str">
        <f t="shared" si="141"/>
        <v>ack</v>
      </c>
      <c r="G784" s="3" t="str">
        <f t="shared" si="142"/>
        <v>96</v>
      </c>
      <c r="H784" s="3" t="str">
        <f t="shared" si="143"/>
        <v/>
      </c>
      <c r="I784" s="3">
        <f t="shared" si="144"/>
        <v>150</v>
      </c>
      <c r="J784" s="5" t="str">
        <f>IF(E784=0,"Broadcast",IF(H784="",IF(I784="","",IF(I784&lt;128,"Connect "&amp;I784,INDEX(KdoCodeTab,MATCH(I784,KdoWertTab,0)))),"ReadStat "&amp;H784))</f>
        <v>RepSpaceCmd</v>
      </c>
      <c r="K784" t="str">
        <f t="shared" si="134"/>
        <v/>
      </c>
      <c r="L784" t="str">
        <f t="shared" si="135"/>
        <v/>
      </c>
      <c r="M784" t="str">
        <f t="shared" si="136"/>
        <v>RepSpaceCmd</v>
      </c>
    </row>
    <row r="785" spans="1:13" x14ac:dyDescent="0.25">
      <c r="A785" t="s">
        <v>360</v>
      </c>
      <c r="B785" s="6">
        <f t="shared" si="137"/>
        <v>10.124333333333334</v>
      </c>
      <c r="C785" s="9">
        <f t="shared" si="138"/>
        <v>78.833333333333755</v>
      </c>
      <c r="D785" s="8" t="str">
        <f t="shared" si="139"/>
        <v>W</v>
      </c>
      <c r="E785" s="3">
        <f t="shared" si="140"/>
        <v>101</v>
      </c>
      <c r="F785" s="3" t="str">
        <f t="shared" si="141"/>
        <v>ack</v>
      </c>
      <c r="G785" s="3" t="str">
        <f t="shared" si="142"/>
        <v>9C</v>
      </c>
      <c r="H785" s="3" t="str">
        <f t="shared" si="143"/>
        <v/>
      </c>
      <c r="I785" s="3">
        <f t="shared" si="144"/>
        <v>156</v>
      </c>
      <c r="J785" s="5" t="str">
        <f>IF(E785=0,"Broadcast",IF(H785="",IF(I785="","",IF(I785&lt;128,"Connect "&amp;I785,INDEX(KdoCodeTab,MATCH(I785,KdoWertTab,0)))),"ReadStat "&amp;H785))</f>
        <v>MarkCmd</v>
      </c>
      <c r="K785" t="str">
        <f t="shared" si="134"/>
        <v/>
      </c>
      <c r="L785" t="str">
        <f t="shared" si="135"/>
        <v/>
      </c>
      <c r="M785" t="str">
        <f t="shared" si="136"/>
        <v>MarkCmd</v>
      </c>
    </row>
    <row r="786" spans="1:13" x14ac:dyDescent="0.25">
      <c r="A786" t="s">
        <v>361</v>
      </c>
      <c r="B786" s="6">
        <f t="shared" si="137"/>
        <v>10.125333333333334</v>
      </c>
      <c r="C786" s="9">
        <f t="shared" si="138"/>
        <v>0.99999999999944578</v>
      </c>
      <c r="D786" s="8" t="str">
        <f t="shared" si="139"/>
        <v>W</v>
      </c>
      <c r="E786" s="3">
        <f t="shared" si="140"/>
        <v>101</v>
      </c>
      <c r="F786" s="3" t="str">
        <f t="shared" si="141"/>
        <v>ack</v>
      </c>
      <c r="G786" s="3" t="str">
        <f t="shared" si="142"/>
        <v>9A</v>
      </c>
      <c r="H786" s="3" t="str">
        <f t="shared" si="143"/>
        <v/>
      </c>
      <c r="I786" s="3">
        <f t="shared" si="144"/>
        <v>154</v>
      </c>
      <c r="J786" s="5" t="str">
        <f>IF(E786=0,"Broadcast",IF(H786="",IF(I786="","",IF(I786&lt;128,"Connect "&amp;I786,INDEX(KdoCodeTab,MATCH(I786,KdoWertTab,0)))),"ReadStat "&amp;H786))</f>
        <v>RepMarkCmd</v>
      </c>
      <c r="K786" t="str">
        <f t="shared" si="134"/>
        <v/>
      </c>
      <c r="L786" t="str">
        <f t="shared" si="135"/>
        <v/>
      </c>
      <c r="M786" t="str">
        <f t="shared" si="136"/>
        <v>RepMarkCmd</v>
      </c>
    </row>
    <row r="787" spans="1:13" x14ac:dyDescent="0.25">
      <c r="A787" t="s">
        <v>362</v>
      </c>
      <c r="B787" s="6">
        <f t="shared" si="137"/>
        <v>10.177</v>
      </c>
      <c r="C787" s="9">
        <f t="shared" si="138"/>
        <v>51.666666666665861</v>
      </c>
      <c r="D787" s="8" t="str">
        <f t="shared" si="139"/>
        <v>W</v>
      </c>
      <c r="E787" s="3">
        <f t="shared" si="140"/>
        <v>101</v>
      </c>
      <c r="F787" s="3" t="str">
        <f t="shared" si="141"/>
        <v>ack</v>
      </c>
      <c r="G787" s="3" t="str">
        <f t="shared" si="142"/>
        <v>93</v>
      </c>
      <c r="H787" s="3" t="str">
        <f t="shared" si="143"/>
        <v/>
      </c>
      <c r="I787" s="3">
        <f t="shared" si="144"/>
        <v>147</v>
      </c>
      <c r="J787" s="5" t="str">
        <f>IF(E787=0,"Broadcast",IF(H787="",IF(I787="","",IF(I787&lt;128,"Connect "&amp;I787,INDEX(KdoCodeTab,MATCH(I787,KdoWertTab,0)))),"ReadStat "&amp;H787))</f>
        <v>SpaceCmd</v>
      </c>
      <c r="K787" t="str">
        <f t="shared" si="134"/>
        <v/>
      </c>
      <c r="L787" t="str">
        <f t="shared" si="135"/>
        <v/>
      </c>
      <c r="M787" t="str">
        <f t="shared" si="136"/>
        <v>SpaceCmd</v>
      </c>
    </row>
    <row r="788" spans="1:13" x14ac:dyDescent="0.25">
      <c r="A788" t="s">
        <v>363</v>
      </c>
      <c r="B788" s="6">
        <f t="shared" si="137"/>
        <v>10.177833333333332</v>
      </c>
      <c r="C788" s="9">
        <f t="shared" si="138"/>
        <v>0.83333333333257542</v>
      </c>
      <c r="D788" s="8" t="str">
        <f t="shared" si="139"/>
        <v>W</v>
      </c>
      <c r="E788" s="3">
        <f t="shared" si="140"/>
        <v>101</v>
      </c>
      <c r="F788" s="3" t="str">
        <f t="shared" si="141"/>
        <v>ack</v>
      </c>
      <c r="G788" s="3" t="str">
        <f t="shared" si="142"/>
        <v>96</v>
      </c>
      <c r="H788" s="3" t="str">
        <f t="shared" si="143"/>
        <v/>
      </c>
      <c r="I788" s="3">
        <f t="shared" si="144"/>
        <v>150</v>
      </c>
      <c r="J788" s="5" t="str">
        <f>IF(E788=0,"Broadcast",IF(H788="",IF(I788="","",IF(I788&lt;128,"Connect "&amp;I788,INDEX(KdoCodeTab,MATCH(I788,KdoWertTab,0)))),"ReadStat "&amp;H788))</f>
        <v>RepSpaceCmd</v>
      </c>
      <c r="K788" t="str">
        <f t="shared" si="134"/>
        <v/>
      </c>
      <c r="L788" t="str">
        <f t="shared" si="135"/>
        <v/>
      </c>
      <c r="M788" t="str">
        <f t="shared" si="136"/>
        <v>RepSpaceCmd</v>
      </c>
    </row>
    <row r="789" spans="1:13" x14ac:dyDescent="0.25">
      <c r="A789" t="s">
        <v>364</v>
      </c>
      <c r="B789" s="6">
        <f t="shared" si="137"/>
        <v>10.197166666666666</v>
      </c>
      <c r="C789" s="9">
        <f t="shared" si="138"/>
        <v>19.333333333333869</v>
      </c>
      <c r="D789" s="8" t="str">
        <f t="shared" si="139"/>
        <v>W</v>
      </c>
      <c r="E789" s="3">
        <f t="shared" si="140"/>
        <v>101</v>
      </c>
      <c r="F789" s="3" t="str">
        <f t="shared" si="141"/>
        <v>ack</v>
      </c>
      <c r="G789" s="3" t="str">
        <f t="shared" si="142"/>
        <v>9C</v>
      </c>
      <c r="H789" s="3" t="str">
        <f t="shared" si="143"/>
        <v/>
      </c>
      <c r="I789" s="3">
        <f t="shared" si="144"/>
        <v>156</v>
      </c>
      <c r="J789" s="5" t="str">
        <f>IF(E789=0,"Broadcast",IF(H789="",IF(I789="","",IF(I789&lt;128,"Connect "&amp;I789,INDEX(KdoCodeTab,MATCH(I789,KdoWertTab,0)))),"ReadStat "&amp;H789))</f>
        <v>MarkCmd</v>
      </c>
      <c r="K789" t="str">
        <f t="shared" si="134"/>
        <v/>
      </c>
      <c r="L789" t="str">
        <f t="shared" si="135"/>
        <v/>
      </c>
      <c r="M789" t="str">
        <f t="shared" si="136"/>
        <v>MarkCmd</v>
      </c>
    </row>
    <row r="790" spans="1:13" x14ac:dyDescent="0.25">
      <c r="A790" t="s">
        <v>365</v>
      </c>
      <c r="B790" s="6">
        <f t="shared" si="137"/>
        <v>10.198333333333334</v>
      </c>
      <c r="C790" s="9">
        <f t="shared" si="138"/>
        <v>1.1666666666680925</v>
      </c>
      <c r="D790" s="8" t="str">
        <f t="shared" si="139"/>
        <v>W</v>
      </c>
      <c r="E790" s="3">
        <f t="shared" si="140"/>
        <v>101</v>
      </c>
      <c r="F790" s="3" t="str">
        <f t="shared" si="141"/>
        <v>ack</v>
      </c>
      <c r="G790" s="3" t="str">
        <f t="shared" si="142"/>
        <v>9A</v>
      </c>
      <c r="H790" s="3" t="str">
        <f t="shared" si="143"/>
        <v/>
      </c>
      <c r="I790" s="3">
        <f t="shared" si="144"/>
        <v>154</v>
      </c>
      <c r="J790" s="5" t="str">
        <f>IF(E790=0,"Broadcast",IF(H790="",IF(I790="","",IF(I790&lt;128,"Connect "&amp;I790,INDEX(KdoCodeTab,MATCH(I790,KdoWertTab,0)))),"ReadStat "&amp;H790))</f>
        <v>RepMarkCmd</v>
      </c>
      <c r="K790" t="str">
        <f t="shared" si="134"/>
        <v/>
      </c>
      <c r="L790" t="str">
        <f t="shared" si="135"/>
        <v/>
      </c>
      <c r="M790" t="str">
        <f t="shared" si="136"/>
        <v>RepMarkCmd</v>
      </c>
    </row>
    <row r="791" spans="1:13" x14ac:dyDescent="0.25">
      <c r="A791" t="s">
        <v>366</v>
      </c>
      <c r="B791" s="6">
        <f t="shared" si="137"/>
        <v>10.217333333333334</v>
      </c>
      <c r="C791" s="9">
        <f t="shared" si="138"/>
        <v>19.000000000000128</v>
      </c>
      <c r="D791" s="8" t="str">
        <f t="shared" si="139"/>
        <v>W</v>
      </c>
      <c r="E791" s="3">
        <f t="shared" si="140"/>
        <v>101</v>
      </c>
      <c r="F791" s="3" t="str">
        <f t="shared" si="141"/>
        <v>ack</v>
      </c>
      <c r="G791" s="3" t="str">
        <f t="shared" si="142"/>
        <v>93</v>
      </c>
      <c r="H791" s="3" t="str">
        <f t="shared" si="143"/>
        <v/>
      </c>
      <c r="I791" s="3">
        <f t="shared" si="144"/>
        <v>147</v>
      </c>
      <c r="J791" s="5" t="str">
        <f>IF(E791=0,"Broadcast",IF(H791="",IF(I791="","",IF(I791&lt;128,"Connect "&amp;I791,INDEX(KdoCodeTab,MATCH(I791,KdoWertTab,0)))),"ReadStat "&amp;H791))</f>
        <v>SpaceCmd</v>
      </c>
      <c r="K791" t="str">
        <f t="shared" si="134"/>
        <v/>
      </c>
      <c r="L791" t="str">
        <f t="shared" si="135"/>
        <v/>
      </c>
      <c r="M791" t="str">
        <f t="shared" si="136"/>
        <v>SpaceCmd</v>
      </c>
    </row>
    <row r="792" spans="1:13" x14ac:dyDescent="0.25">
      <c r="A792" t="s">
        <v>367</v>
      </c>
      <c r="B792" s="6">
        <f t="shared" si="137"/>
        <v>10.218333333333334</v>
      </c>
      <c r="C792" s="9">
        <f t="shared" si="138"/>
        <v>0.99999999999944578</v>
      </c>
      <c r="D792" s="8" t="str">
        <f t="shared" si="139"/>
        <v>W</v>
      </c>
      <c r="E792" s="3">
        <f t="shared" si="140"/>
        <v>101</v>
      </c>
      <c r="F792" s="3" t="str">
        <f t="shared" si="141"/>
        <v>ack</v>
      </c>
      <c r="G792" s="3" t="str">
        <f t="shared" si="142"/>
        <v>96</v>
      </c>
      <c r="H792" s="3" t="str">
        <f t="shared" si="143"/>
        <v/>
      </c>
      <c r="I792" s="3">
        <f t="shared" si="144"/>
        <v>150</v>
      </c>
      <c r="J792" s="5" t="str">
        <f>IF(E792=0,"Broadcast",IF(H792="",IF(I792="","",IF(I792&lt;128,"Connect "&amp;I792,INDEX(KdoCodeTab,MATCH(I792,KdoWertTab,0)))),"ReadStat "&amp;H792))</f>
        <v>RepSpaceCmd</v>
      </c>
      <c r="K792" t="str">
        <f t="shared" si="134"/>
        <v/>
      </c>
      <c r="L792" t="str">
        <f t="shared" si="135"/>
        <v/>
      </c>
      <c r="M792" t="str">
        <f t="shared" si="136"/>
        <v>RepSpaceCmd</v>
      </c>
    </row>
    <row r="793" spans="1:13" x14ac:dyDescent="0.25">
      <c r="A793" t="s">
        <v>368</v>
      </c>
      <c r="B793" s="6">
        <f t="shared" si="137"/>
        <v>10.225166666666667</v>
      </c>
      <c r="C793" s="9">
        <f t="shared" si="138"/>
        <v>6.8333333333328028</v>
      </c>
      <c r="D793" s="8" t="str">
        <f t="shared" si="139"/>
        <v>W</v>
      </c>
      <c r="E793" s="3">
        <f t="shared" si="140"/>
        <v>31</v>
      </c>
      <c r="F793" s="3" t="str">
        <f t="shared" si="141"/>
        <v>ack</v>
      </c>
      <c r="G793" s="3" t="str">
        <f t="shared" si="142"/>
        <v>9A</v>
      </c>
      <c r="H793" s="3" t="str">
        <f t="shared" si="143"/>
        <v/>
      </c>
      <c r="I793" s="3">
        <f t="shared" si="144"/>
        <v>154</v>
      </c>
      <c r="J793" s="5" t="str">
        <f>IF(E793=0,"Broadcast",IF(H793="",IF(I793="","",IF(I793&lt;128,"Connect "&amp;I793,INDEX(KdoCodeTab,MATCH(I793,KdoWertTab,0)))),"ReadStat "&amp;H793))</f>
        <v>RepMarkCmd</v>
      </c>
      <c r="K793" t="str">
        <f t="shared" si="134"/>
        <v/>
      </c>
      <c r="L793" t="str">
        <f t="shared" si="135"/>
        <v>RepMarkCmd</v>
      </c>
      <c r="M793" t="str">
        <f t="shared" si="136"/>
        <v/>
      </c>
    </row>
    <row r="794" spans="1:13" x14ac:dyDescent="0.25">
      <c r="A794" t="s">
        <v>369</v>
      </c>
      <c r="B794" s="6">
        <f t="shared" si="137"/>
        <v>10.256833333333333</v>
      </c>
      <c r="C794" s="9">
        <f t="shared" si="138"/>
        <v>31.666666666666288</v>
      </c>
      <c r="D794" s="8" t="str">
        <f t="shared" si="139"/>
        <v>W</v>
      </c>
      <c r="E794" s="3">
        <f t="shared" si="140"/>
        <v>101</v>
      </c>
      <c r="F794" s="3" t="str">
        <f t="shared" si="141"/>
        <v>ack</v>
      </c>
      <c r="G794" s="3" t="str">
        <f t="shared" si="142"/>
        <v>9C</v>
      </c>
      <c r="H794" s="3" t="str">
        <f t="shared" si="143"/>
        <v/>
      </c>
      <c r="I794" s="3">
        <f t="shared" si="144"/>
        <v>156</v>
      </c>
      <c r="J794" s="5" t="str">
        <f>IF(E794=0,"Broadcast",IF(H794="",IF(I794="","",IF(I794&lt;128,"Connect "&amp;I794,INDEX(KdoCodeTab,MATCH(I794,KdoWertTab,0)))),"ReadStat "&amp;H794))</f>
        <v>MarkCmd</v>
      </c>
      <c r="K794" t="str">
        <f t="shared" si="134"/>
        <v/>
      </c>
      <c r="L794" t="str">
        <f t="shared" si="135"/>
        <v/>
      </c>
      <c r="M794" t="str">
        <f t="shared" si="136"/>
        <v>MarkCmd</v>
      </c>
    </row>
    <row r="795" spans="1:13" x14ac:dyDescent="0.25">
      <c r="A795" t="s">
        <v>370</v>
      </c>
      <c r="B795" s="6">
        <f t="shared" si="137"/>
        <v>10.257666666666667</v>
      </c>
      <c r="C795" s="9">
        <f t="shared" si="138"/>
        <v>0.83333333333435178</v>
      </c>
      <c r="D795" s="8" t="str">
        <f t="shared" si="139"/>
        <v>W</v>
      </c>
      <c r="E795" s="3">
        <f t="shared" si="140"/>
        <v>101</v>
      </c>
      <c r="F795" s="3" t="str">
        <f t="shared" si="141"/>
        <v>ack</v>
      </c>
      <c r="G795" s="3" t="str">
        <f t="shared" si="142"/>
        <v>9A</v>
      </c>
      <c r="H795" s="3" t="str">
        <f t="shared" si="143"/>
        <v/>
      </c>
      <c r="I795" s="3">
        <f t="shared" si="144"/>
        <v>154</v>
      </c>
      <c r="J795" s="5" t="str">
        <f>IF(E795=0,"Broadcast",IF(H795="",IF(I795="","",IF(I795&lt;128,"Connect "&amp;I795,INDEX(KdoCodeTab,MATCH(I795,KdoWertTab,0)))),"ReadStat "&amp;H795))</f>
        <v>RepMarkCmd</v>
      </c>
      <c r="K795" t="str">
        <f t="shared" si="134"/>
        <v/>
      </c>
      <c r="L795" t="str">
        <f t="shared" si="135"/>
        <v/>
      </c>
      <c r="M795" t="str">
        <f t="shared" si="136"/>
        <v>RepMarkCmd</v>
      </c>
    </row>
    <row r="796" spans="1:13" x14ac:dyDescent="0.25">
      <c r="A796" t="s">
        <v>371</v>
      </c>
      <c r="B796" s="6">
        <f t="shared" si="137"/>
        <v>10.278</v>
      </c>
      <c r="C796" s="9">
        <f t="shared" si="138"/>
        <v>20.333333333333314</v>
      </c>
      <c r="D796" s="8" t="str">
        <f t="shared" si="139"/>
        <v>W</v>
      </c>
      <c r="E796" s="3">
        <f t="shared" si="140"/>
        <v>101</v>
      </c>
      <c r="F796" s="3" t="str">
        <f t="shared" si="141"/>
        <v>ack</v>
      </c>
      <c r="G796" s="3" t="str">
        <f t="shared" si="142"/>
        <v>93</v>
      </c>
      <c r="H796" s="3" t="str">
        <f t="shared" si="143"/>
        <v/>
      </c>
      <c r="I796" s="3">
        <f t="shared" si="144"/>
        <v>147</v>
      </c>
      <c r="J796" s="5" t="str">
        <f>IF(E796=0,"Broadcast",IF(H796="",IF(I796="","",IF(I796&lt;128,"Connect "&amp;I796,INDEX(KdoCodeTab,MATCH(I796,KdoWertTab,0)))),"ReadStat "&amp;H796))</f>
        <v>SpaceCmd</v>
      </c>
      <c r="K796" t="str">
        <f t="shared" si="134"/>
        <v/>
      </c>
      <c r="L796" t="str">
        <f t="shared" si="135"/>
        <v/>
      </c>
      <c r="M796" t="str">
        <f t="shared" si="136"/>
        <v>SpaceCmd</v>
      </c>
    </row>
    <row r="797" spans="1:13" x14ac:dyDescent="0.25">
      <c r="A797" t="s">
        <v>372</v>
      </c>
      <c r="B797" s="6">
        <f t="shared" si="137"/>
        <v>10.279</v>
      </c>
      <c r="C797" s="9">
        <f t="shared" si="138"/>
        <v>0.99999999999944578</v>
      </c>
      <c r="D797" s="8" t="str">
        <f t="shared" si="139"/>
        <v>W</v>
      </c>
      <c r="E797" s="3">
        <f t="shared" si="140"/>
        <v>101</v>
      </c>
      <c r="F797" s="3" t="str">
        <f t="shared" si="141"/>
        <v>ack</v>
      </c>
      <c r="G797" s="3" t="str">
        <f t="shared" si="142"/>
        <v>96</v>
      </c>
      <c r="H797" s="3" t="str">
        <f t="shared" si="143"/>
        <v/>
      </c>
      <c r="I797" s="3">
        <f t="shared" si="144"/>
        <v>150</v>
      </c>
      <c r="J797" s="5" t="str">
        <f>IF(E797=0,"Broadcast",IF(H797="",IF(I797="","",IF(I797&lt;128,"Connect "&amp;I797,INDEX(KdoCodeTab,MATCH(I797,KdoWertTab,0)))),"ReadStat "&amp;H797))</f>
        <v>RepSpaceCmd</v>
      </c>
      <c r="K797" t="str">
        <f t="shared" si="134"/>
        <v/>
      </c>
      <c r="L797" t="str">
        <f t="shared" si="135"/>
        <v/>
      </c>
      <c r="M797" t="str">
        <f t="shared" si="136"/>
        <v>RepSpaceCmd</v>
      </c>
    </row>
    <row r="798" spans="1:13" x14ac:dyDescent="0.25">
      <c r="A798" t="s">
        <v>373</v>
      </c>
      <c r="B798" s="6">
        <f t="shared" si="137"/>
        <v>10.297166666666667</v>
      </c>
      <c r="C798" s="9">
        <f t="shared" si="138"/>
        <v>18.166666666667552</v>
      </c>
      <c r="D798" s="8" t="str">
        <f t="shared" si="139"/>
        <v>W</v>
      </c>
      <c r="E798" s="3">
        <f t="shared" si="140"/>
        <v>101</v>
      </c>
      <c r="F798" s="3" t="str">
        <f t="shared" si="141"/>
        <v>ack</v>
      </c>
      <c r="G798" s="3" t="str">
        <f t="shared" si="142"/>
        <v>9C</v>
      </c>
      <c r="H798" s="3" t="str">
        <f t="shared" si="143"/>
        <v/>
      </c>
      <c r="I798" s="3">
        <f t="shared" si="144"/>
        <v>156</v>
      </c>
      <c r="J798" s="5" t="str">
        <f>IF(E798=0,"Broadcast",IF(H798="",IF(I798="","",IF(I798&lt;128,"Connect "&amp;I798,INDEX(KdoCodeTab,MATCH(I798,KdoWertTab,0)))),"ReadStat "&amp;H798))</f>
        <v>MarkCmd</v>
      </c>
      <c r="K798" t="str">
        <f t="shared" si="134"/>
        <v/>
      </c>
      <c r="L798" t="str">
        <f t="shared" si="135"/>
        <v/>
      </c>
      <c r="M798" t="str">
        <f t="shared" si="136"/>
        <v>MarkCmd</v>
      </c>
    </row>
    <row r="799" spans="1:13" x14ac:dyDescent="0.25">
      <c r="A799" t="s">
        <v>374</v>
      </c>
      <c r="B799" s="6">
        <f t="shared" si="137"/>
        <v>10.298166666666667</v>
      </c>
      <c r="C799" s="9">
        <f t="shared" si="138"/>
        <v>0.99999999999944578</v>
      </c>
      <c r="D799" s="8" t="str">
        <f t="shared" si="139"/>
        <v>W</v>
      </c>
      <c r="E799" s="3">
        <f t="shared" si="140"/>
        <v>101</v>
      </c>
      <c r="F799" s="3" t="str">
        <f t="shared" si="141"/>
        <v>ack</v>
      </c>
      <c r="G799" s="3" t="str">
        <f t="shared" si="142"/>
        <v>9A</v>
      </c>
      <c r="H799" s="3" t="str">
        <f t="shared" si="143"/>
        <v/>
      </c>
      <c r="I799" s="3">
        <f t="shared" si="144"/>
        <v>154</v>
      </c>
      <c r="J799" s="5" t="str">
        <f>IF(E799=0,"Broadcast",IF(H799="",IF(I799="","",IF(I799&lt;128,"Connect "&amp;I799,INDEX(KdoCodeTab,MATCH(I799,KdoWertTab,0)))),"ReadStat "&amp;H799))</f>
        <v>RepMarkCmd</v>
      </c>
      <c r="K799" t="str">
        <f t="shared" si="134"/>
        <v/>
      </c>
      <c r="L799" t="str">
        <f t="shared" si="135"/>
        <v/>
      </c>
      <c r="M799" t="str">
        <f t="shared" si="136"/>
        <v>RepMarkCmd</v>
      </c>
    </row>
    <row r="800" spans="1:13" x14ac:dyDescent="0.25">
      <c r="A800" t="s">
        <v>375</v>
      </c>
      <c r="B800" s="6">
        <f t="shared" si="137"/>
        <v>10.327500000000001</v>
      </c>
      <c r="C800" s="9">
        <f t="shared" si="138"/>
        <v>29.333333333333655</v>
      </c>
      <c r="D800" s="8" t="str">
        <f t="shared" si="139"/>
        <v>W</v>
      </c>
      <c r="E800" s="3">
        <f t="shared" si="140"/>
        <v>101</v>
      </c>
      <c r="F800" s="3" t="str">
        <f t="shared" si="141"/>
        <v>ack</v>
      </c>
      <c r="G800" s="3" t="str">
        <f t="shared" si="142"/>
        <v>93</v>
      </c>
      <c r="H800" s="3" t="str">
        <f t="shared" si="143"/>
        <v/>
      </c>
      <c r="I800" s="3">
        <f t="shared" si="144"/>
        <v>147</v>
      </c>
      <c r="J800" s="5" t="str">
        <f>IF(E800=0,"Broadcast",IF(H800="",IF(I800="","",IF(I800&lt;128,"Connect "&amp;I800,INDEX(KdoCodeTab,MATCH(I800,KdoWertTab,0)))),"ReadStat "&amp;H800))</f>
        <v>SpaceCmd</v>
      </c>
      <c r="K800" t="str">
        <f t="shared" si="134"/>
        <v/>
      </c>
      <c r="L800" t="str">
        <f t="shared" si="135"/>
        <v/>
      </c>
      <c r="M800" t="str">
        <f t="shared" si="136"/>
        <v>SpaceCmd</v>
      </c>
    </row>
    <row r="801" spans="1:13" x14ac:dyDescent="0.25">
      <c r="A801" t="s">
        <v>376</v>
      </c>
      <c r="B801" s="6">
        <f t="shared" si="137"/>
        <v>10.3285</v>
      </c>
      <c r="C801" s="9">
        <f t="shared" si="138"/>
        <v>0.99999999999944578</v>
      </c>
      <c r="D801" s="8" t="str">
        <f t="shared" si="139"/>
        <v>W</v>
      </c>
      <c r="E801" s="3">
        <f t="shared" si="140"/>
        <v>101</v>
      </c>
      <c r="F801" s="3" t="str">
        <f t="shared" si="141"/>
        <v>ack</v>
      </c>
      <c r="G801" s="3" t="str">
        <f t="shared" si="142"/>
        <v>96</v>
      </c>
      <c r="H801" s="3" t="str">
        <f t="shared" si="143"/>
        <v/>
      </c>
      <c r="I801" s="3">
        <f t="shared" si="144"/>
        <v>150</v>
      </c>
      <c r="J801" s="5" t="str">
        <f>IF(E801=0,"Broadcast",IF(H801="",IF(I801="","",IF(I801&lt;128,"Connect "&amp;I801,INDEX(KdoCodeTab,MATCH(I801,KdoWertTab,0)))),"ReadStat "&amp;H801))</f>
        <v>RepSpaceCmd</v>
      </c>
      <c r="K801" t="str">
        <f t="shared" si="134"/>
        <v/>
      </c>
      <c r="L801" t="str">
        <f t="shared" si="135"/>
        <v/>
      </c>
      <c r="M801" t="str">
        <f t="shared" si="136"/>
        <v>RepSpaceCmd</v>
      </c>
    </row>
    <row r="802" spans="1:13" x14ac:dyDescent="0.25">
      <c r="A802" t="s">
        <v>377</v>
      </c>
      <c r="B802" s="6">
        <f t="shared" si="137"/>
        <v>10.387166666666667</v>
      </c>
      <c r="C802" s="9">
        <f t="shared" si="138"/>
        <v>58.666666666667311</v>
      </c>
      <c r="D802" s="8" t="str">
        <f t="shared" si="139"/>
        <v>W</v>
      </c>
      <c r="E802" s="3">
        <f t="shared" si="140"/>
        <v>101</v>
      </c>
      <c r="F802" s="3" t="str">
        <f t="shared" si="141"/>
        <v>ack</v>
      </c>
      <c r="G802" s="3" t="str">
        <f t="shared" si="142"/>
        <v>9C</v>
      </c>
      <c r="H802" s="3" t="str">
        <f t="shared" si="143"/>
        <v/>
      </c>
      <c r="I802" s="3">
        <f t="shared" si="144"/>
        <v>156</v>
      </c>
      <c r="J802" s="5" t="str">
        <f>IF(E802=0,"Broadcast",IF(H802="",IF(I802="","",IF(I802&lt;128,"Connect "&amp;I802,INDEX(KdoCodeTab,MATCH(I802,KdoWertTab,0)))),"ReadStat "&amp;H802))</f>
        <v>MarkCmd</v>
      </c>
      <c r="K802" t="str">
        <f t="shared" si="134"/>
        <v/>
      </c>
      <c r="L802" t="str">
        <f t="shared" si="135"/>
        <v/>
      </c>
      <c r="M802" t="str">
        <f t="shared" si="136"/>
        <v>MarkCmd</v>
      </c>
    </row>
    <row r="803" spans="1:13" x14ac:dyDescent="0.25">
      <c r="A803" t="s">
        <v>378</v>
      </c>
      <c r="B803" s="6">
        <f t="shared" si="137"/>
        <v>10.388166666666667</v>
      </c>
      <c r="C803" s="9">
        <f t="shared" si="138"/>
        <v>0.99999999999944578</v>
      </c>
      <c r="D803" s="8" t="str">
        <f t="shared" si="139"/>
        <v>W</v>
      </c>
      <c r="E803" s="3">
        <f t="shared" si="140"/>
        <v>101</v>
      </c>
      <c r="F803" s="3" t="str">
        <f t="shared" si="141"/>
        <v>ack</v>
      </c>
      <c r="G803" s="3" t="str">
        <f t="shared" si="142"/>
        <v>9A</v>
      </c>
      <c r="H803" s="3" t="str">
        <f t="shared" si="143"/>
        <v/>
      </c>
      <c r="I803" s="3">
        <f t="shared" si="144"/>
        <v>154</v>
      </c>
      <c r="J803" s="5" t="str">
        <f>IF(E803=0,"Broadcast",IF(H803="",IF(I803="","",IF(I803&lt;128,"Connect "&amp;I803,INDEX(KdoCodeTab,MATCH(I803,KdoWertTab,0)))),"ReadStat "&amp;H803))</f>
        <v>RepMarkCmd</v>
      </c>
      <c r="K803" t="str">
        <f t="shared" si="134"/>
        <v/>
      </c>
      <c r="L803" t="str">
        <f t="shared" si="135"/>
        <v/>
      </c>
      <c r="M803" t="str">
        <f t="shared" si="136"/>
        <v>RepMarkCmd</v>
      </c>
    </row>
    <row r="804" spans="1:13" x14ac:dyDescent="0.25">
      <c r="A804" t="s">
        <v>379</v>
      </c>
      <c r="B804" s="6">
        <f t="shared" si="137"/>
        <v>10.407333333333334</v>
      </c>
      <c r="C804" s="9">
        <f t="shared" si="138"/>
        <v>19.166666666666998</v>
      </c>
      <c r="D804" s="8" t="str">
        <f t="shared" si="139"/>
        <v>W</v>
      </c>
      <c r="E804" s="3">
        <f t="shared" si="140"/>
        <v>101</v>
      </c>
      <c r="F804" s="3" t="str">
        <f t="shared" si="141"/>
        <v>ack</v>
      </c>
      <c r="G804" s="3" t="str">
        <f t="shared" si="142"/>
        <v>93</v>
      </c>
      <c r="H804" s="3" t="str">
        <f t="shared" si="143"/>
        <v/>
      </c>
      <c r="I804" s="3">
        <f t="shared" si="144"/>
        <v>147</v>
      </c>
      <c r="J804" s="5" t="str">
        <f>IF(E804=0,"Broadcast",IF(H804="",IF(I804="","",IF(I804&lt;128,"Connect "&amp;I804,INDEX(KdoCodeTab,MATCH(I804,KdoWertTab,0)))),"ReadStat "&amp;H804))</f>
        <v>SpaceCmd</v>
      </c>
      <c r="K804" t="str">
        <f t="shared" si="134"/>
        <v/>
      </c>
      <c r="L804" t="str">
        <f t="shared" si="135"/>
        <v/>
      </c>
      <c r="M804" t="str">
        <f t="shared" si="136"/>
        <v>SpaceCmd</v>
      </c>
    </row>
    <row r="805" spans="1:13" x14ac:dyDescent="0.25">
      <c r="A805" t="s">
        <v>380</v>
      </c>
      <c r="B805" s="6">
        <f t="shared" si="137"/>
        <v>10.408166666666666</v>
      </c>
      <c r="C805" s="9">
        <f t="shared" si="138"/>
        <v>0.83333333333257542</v>
      </c>
      <c r="D805" s="8" t="str">
        <f t="shared" si="139"/>
        <v>W</v>
      </c>
      <c r="E805" s="3">
        <f t="shared" si="140"/>
        <v>101</v>
      </c>
      <c r="F805" s="3" t="str">
        <f t="shared" si="141"/>
        <v>ack</v>
      </c>
      <c r="G805" s="3" t="str">
        <f t="shared" si="142"/>
        <v>96</v>
      </c>
      <c r="H805" s="3" t="str">
        <f t="shared" si="143"/>
        <v/>
      </c>
      <c r="I805" s="3">
        <f t="shared" si="144"/>
        <v>150</v>
      </c>
      <c r="J805" s="5" t="str">
        <f>IF(E805=0,"Broadcast",IF(H805="",IF(I805="","",IF(I805&lt;128,"Connect "&amp;I805,INDEX(KdoCodeTab,MATCH(I805,KdoWertTab,0)))),"ReadStat "&amp;H805))</f>
        <v>RepSpaceCmd</v>
      </c>
      <c r="K805" t="str">
        <f t="shared" si="134"/>
        <v/>
      </c>
      <c r="L805" t="str">
        <f t="shared" si="135"/>
        <v/>
      </c>
      <c r="M805" t="str">
        <f t="shared" si="136"/>
        <v>RepSpaceCmd</v>
      </c>
    </row>
    <row r="806" spans="1:13" x14ac:dyDescent="0.25">
      <c r="A806" t="s">
        <v>381</v>
      </c>
      <c r="B806" s="6">
        <f t="shared" si="137"/>
        <v>10.447666666666667</v>
      </c>
      <c r="C806" s="9">
        <f t="shared" si="138"/>
        <v>39.500000000000313</v>
      </c>
      <c r="D806" s="8" t="str">
        <f t="shared" si="139"/>
        <v>W</v>
      </c>
      <c r="E806" s="3">
        <f t="shared" si="140"/>
        <v>101</v>
      </c>
      <c r="F806" s="3" t="str">
        <f t="shared" si="141"/>
        <v>ack</v>
      </c>
      <c r="G806" s="3" t="str">
        <f t="shared" si="142"/>
        <v>9C</v>
      </c>
      <c r="H806" s="3" t="str">
        <f t="shared" si="143"/>
        <v/>
      </c>
      <c r="I806" s="3">
        <f t="shared" si="144"/>
        <v>156</v>
      </c>
      <c r="J806" s="5" t="str">
        <f>IF(E806=0,"Broadcast",IF(H806="",IF(I806="","",IF(I806&lt;128,"Connect "&amp;I806,INDEX(KdoCodeTab,MATCH(I806,KdoWertTab,0)))),"ReadStat "&amp;H806))</f>
        <v>MarkCmd</v>
      </c>
      <c r="K806" t="str">
        <f t="shared" si="134"/>
        <v/>
      </c>
      <c r="L806" t="str">
        <f t="shared" si="135"/>
        <v/>
      </c>
      <c r="M806" t="str">
        <f t="shared" si="136"/>
        <v>MarkCmd</v>
      </c>
    </row>
    <row r="807" spans="1:13" x14ac:dyDescent="0.25">
      <c r="A807" t="s">
        <v>382</v>
      </c>
      <c r="B807" s="6">
        <f t="shared" si="137"/>
        <v>10.448500000000001</v>
      </c>
      <c r="C807" s="9">
        <f t="shared" si="138"/>
        <v>0.83333333333435178</v>
      </c>
      <c r="D807" s="8" t="str">
        <f t="shared" si="139"/>
        <v>W</v>
      </c>
      <c r="E807" s="3">
        <f t="shared" si="140"/>
        <v>101</v>
      </c>
      <c r="F807" s="3" t="str">
        <f t="shared" si="141"/>
        <v>ack</v>
      </c>
      <c r="G807" s="3" t="str">
        <f t="shared" si="142"/>
        <v>9A</v>
      </c>
      <c r="H807" s="3" t="str">
        <f t="shared" si="143"/>
        <v/>
      </c>
      <c r="I807" s="3">
        <f t="shared" si="144"/>
        <v>154</v>
      </c>
      <c r="J807" s="5" t="str">
        <f>IF(E807=0,"Broadcast",IF(H807="",IF(I807="","",IF(I807&lt;128,"Connect "&amp;I807,INDEX(KdoCodeTab,MATCH(I807,KdoWertTab,0)))),"ReadStat "&amp;H807))</f>
        <v>RepMarkCmd</v>
      </c>
      <c r="K807" t="str">
        <f t="shared" si="134"/>
        <v/>
      </c>
      <c r="L807" t="str">
        <f t="shared" si="135"/>
        <v/>
      </c>
      <c r="M807" t="str">
        <f t="shared" si="136"/>
        <v>RepMarkCmd</v>
      </c>
    </row>
    <row r="808" spans="1:13" x14ac:dyDescent="0.25">
      <c r="A808" t="s">
        <v>383</v>
      </c>
      <c r="B808" s="6">
        <f t="shared" si="137"/>
        <v>10.667833333333332</v>
      </c>
      <c r="C808" s="9">
        <f t="shared" si="138"/>
        <v>219.33333333333138</v>
      </c>
      <c r="D808" s="8" t="str">
        <f t="shared" si="139"/>
        <v>W</v>
      </c>
      <c r="E808" s="3">
        <f t="shared" si="140"/>
        <v>101</v>
      </c>
      <c r="F808" s="3" t="str">
        <f t="shared" si="141"/>
        <v>ack</v>
      </c>
      <c r="G808" s="3" t="str">
        <f t="shared" si="142"/>
        <v>A9</v>
      </c>
      <c r="H808" s="3" t="str">
        <f t="shared" si="143"/>
        <v/>
      </c>
      <c r="I808" s="3">
        <f t="shared" si="144"/>
        <v>169</v>
      </c>
      <c r="J808" s="5" t="str">
        <f>IF(E808=0,"Broadcast",IF(H808="",IF(I808="","",IF(I808&lt;128,"Connect "&amp;I808,INDEX(KdoCodeTab,MATCH(I808,KdoWertTab,0)))),"ReadStat "&amp;H808))</f>
        <v>Heartbeat</v>
      </c>
      <c r="K808" t="str">
        <f t="shared" si="134"/>
        <v/>
      </c>
      <c r="L808" t="str">
        <f t="shared" si="135"/>
        <v/>
      </c>
      <c r="M808" t="str">
        <f t="shared" si="136"/>
        <v>Heartbeat</v>
      </c>
    </row>
    <row r="809" spans="1:13" x14ac:dyDescent="0.25">
      <c r="A809" t="s">
        <v>384</v>
      </c>
      <c r="B809" s="6">
        <f t="shared" si="137"/>
        <v>10.731166666666667</v>
      </c>
      <c r="C809" s="9">
        <f t="shared" si="138"/>
        <v>63.333333333334352</v>
      </c>
      <c r="D809" s="8" t="str">
        <f t="shared" si="139"/>
        <v>W</v>
      </c>
      <c r="E809" s="3">
        <f t="shared" si="140"/>
        <v>31</v>
      </c>
      <c r="F809" s="3" t="str">
        <f t="shared" si="141"/>
        <v>ack</v>
      </c>
      <c r="G809" s="3" t="str">
        <f t="shared" si="142"/>
        <v>9A</v>
      </c>
      <c r="H809" s="3" t="str">
        <f t="shared" si="143"/>
        <v/>
      </c>
      <c r="I809" s="3">
        <f t="shared" si="144"/>
        <v>154</v>
      </c>
      <c r="J809" s="5" t="str">
        <f>IF(E809=0,"Broadcast",IF(H809="",IF(I809="","",IF(I809&lt;128,"Connect "&amp;I809,INDEX(KdoCodeTab,MATCH(I809,KdoWertTab,0)))),"ReadStat "&amp;H809))</f>
        <v>RepMarkCmd</v>
      </c>
      <c r="K809" t="str">
        <f t="shared" si="134"/>
        <v/>
      </c>
      <c r="L809" t="str">
        <f t="shared" si="135"/>
        <v>RepMarkCmd</v>
      </c>
      <c r="M809" t="str">
        <f t="shared" si="136"/>
        <v/>
      </c>
    </row>
    <row r="810" spans="1:13" x14ac:dyDescent="0.25">
      <c r="A810" t="s">
        <v>385</v>
      </c>
      <c r="B810" s="6">
        <f t="shared" si="137"/>
        <v>0.17983333333333332</v>
      </c>
      <c r="C810" s="9">
        <f t="shared" si="138"/>
        <v>448.66666666666612</v>
      </c>
      <c r="D810" s="8" t="str">
        <f t="shared" si="139"/>
        <v>W</v>
      </c>
      <c r="E810" s="3">
        <f t="shared" si="140"/>
        <v>101</v>
      </c>
      <c r="F810" s="3" t="str">
        <f t="shared" si="141"/>
        <v>ack</v>
      </c>
      <c r="G810" s="3" t="str">
        <f t="shared" si="142"/>
        <v>93</v>
      </c>
      <c r="H810" s="3" t="str">
        <f t="shared" si="143"/>
        <v/>
      </c>
      <c r="I810" s="3">
        <f t="shared" si="144"/>
        <v>147</v>
      </c>
      <c r="J810" s="5" t="str">
        <f>IF(E810=0,"Broadcast",IF(H810="",IF(I810="","",IF(I810&lt;128,"Connect "&amp;I810,INDEX(KdoCodeTab,MATCH(I810,KdoWertTab,0)))),"ReadStat "&amp;H810))</f>
        <v>SpaceCmd</v>
      </c>
      <c r="K810" t="str">
        <f t="shared" si="134"/>
        <v/>
      </c>
      <c r="L810" t="str">
        <f t="shared" si="135"/>
        <v/>
      </c>
      <c r="M810" t="str">
        <f t="shared" si="136"/>
        <v>SpaceCmd</v>
      </c>
    </row>
    <row r="811" spans="1:13" x14ac:dyDescent="0.25">
      <c r="A811" t="s">
        <v>386</v>
      </c>
      <c r="B811" s="6">
        <f t="shared" si="137"/>
        <v>0.18066666666666667</v>
      </c>
      <c r="C811" s="9">
        <f t="shared" si="138"/>
        <v>0.83333333333335258</v>
      </c>
      <c r="D811" s="8" t="str">
        <f t="shared" si="139"/>
        <v>W</v>
      </c>
      <c r="E811" s="3">
        <f t="shared" si="140"/>
        <v>101</v>
      </c>
      <c r="F811" s="3" t="str">
        <f t="shared" si="141"/>
        <v>ack</v>
      </c>
      <c r="G811" s="3" t="str">
        <f t="shared" si="142"/>
        <v>96</v>
      </c>
      <c r="H811" s="3" t="str">
        <f t="shared" si="143"/>
        <v/>
      </c>
      <c r="I811" s="3">
        <f t="shared" si="144"/>
        <v>150</v>
      </c>
      <c r="J811" s="5" t="str">
        <f>IF(E811=0,"Broadcast",IF(H811="",IF(I811="","",IF(I811&lt;128,"Connect "&amp;I811,INDEX(KdoCodeTab,MATCH(I811,KdoWertTab,0)))),"ReadStat "&amp;H811))</f>
        <v>RepSpaceCmd</v>
      </c>
      <c r="K811" t="str">
        <f t="shared" si="134"/>
        <v/>
      </c>
      <c r="L811" t="str">
        <f t="shared" si="135"/>
        <v/>
      </c>
      <c r="M811" t="str">
        <f t="shared" si="136"/>
        <v>RepSpaceCmd</v>
      </c>
    </row>
    <row r="812" spans="1:13" x14ac:dyDescent="0.25">
      <c r="A812" t="s">
        <v>387</v>
      </c>
      <c r="B812" s="6">
        <f t="shared" si="137"/>
        <v>0.23933333333333331</v>
      </c>
      <c r="C812" s="9">
        <f t="shared" si="138"/>
        <v>58.666666666666643</v>
      </c>
      <c r="D812" s="8" t="str">
        <f t="shared" si="139"/>
        <v>W</v>
      </c>
      <c r="E812" s="3">
        <f t="shared" si="140"/>
        <v>101</v>
      </c>
      <c r="F812" s="3" t="str">
        <f t="shared" si="141"/>
        <v>ack</v>
      </c>
      <c r="G812" s="3" t="str">
        <f t="shared" si="142"/>
        <v>9C</v>
      </c>
      <c r="H812" s="3" t="str">
        <f t="shared" si="143"/>
        <v/>
      </c>
      <c r="I812" s="3">
        <f t="shared" si="144"/>
        <v>156</v>
      </c>
      <c r="J812" s="5" t="str">
        <f>IF(E812=0,"Broadcast",IF(H812="",IF(I812="","",IF(I812&lt;128,"Connect "&amp;I812,INDEX(KdoCodeTab,MATCH(I812,KdoWertTab,0)))),"ReadStat "&amp;H812))</f>
        <v>MarkCmd</v>
      </c>
      <c r="K812" t="str">
        <f t="shared" si="134"/>
        <v/>
      </c>
      <c r="L812" t="str">
        <f t="shared" si="135"/>
        <v/>
      </c>
      <c r="M812" t="str">
        <f t="shared" si="136"/>
        <v>MarkCmd</v>
      </c>
    </row>
    <row r="813" spans="1:13" x14ac:dyDescent="0.25">
      <c r="A813" t="s">
        <v>388</v>
      </c>
      <c r="B813" s="6">
        <f t="shared" si="137"/>
        <v>0.24033333333333332</v>
      </c>
      <c r="C813" s="9">
        <f t="shared" si="138"/>
        <v>1.0000000000000009</v>
      </c>
      <c r="D813" s="8" t="str">
        <f t="shared" si="139"/>
        <v>W</v>
      </c>
      <c r="E813" s="3">
        <f t="shared" si="140"/>
        <v>101</v>
      </c>
      <c r="F813" s="3" t="str">
        <f t="shared" si="141"/>
        <v>ack</v>
      </c>
      <c r="G813" s="3" t="str">
        <f t="shared" si="142"/>
        <v>9A</v>
      </c>
      <c r="H813" s="3" t="str">
        <f t="shared" si="143"/>
        <v/>
      </c>
      <c r="I813" s="3">
        <f t="shared" si="144"/>
        <v>154</v>
      </c>
      <c r="J813" s="5" t="str">
        <f>IF(E813=0,"Broadcast",IF(H813="",IF(I813="","",IF(I813&lt;128,"Connect "&amp;I813,INDEX(KdoCodeTab,MATCH(I813,KdoWertTab,0)))),"ReadStat "&amp;H813))</f>
        <v>RepMarkCmd</v>
      </c>
      <c r="K813" t="str">
        <f t="shared" si="134"/>
        <v/>
      </c>
      <c r="L813" t="str">
        <f t="shared" si="135"/>
        <v/>
      </c>
      <c r="M813" t="str">
        <f t="shared" si="136"/>
        <v>RepMarkCmd</v>
      </c>
    </row>
    <row r="814" spans="1:13" x14ac:dyDescent="0.25">
      <c r="A814" t="s">
        <v>389</v>
      </c>
      <c r="B814" s="6">
        <f t="shared" si="137"/>
        <v>0.25950000000000001</v>
      </c>
      <c r="C814" s="9">
        <f t="shared" si="138"/>
        <v>19.166666666666693</v>
      </c>
      <c r="D814" s="8" t="str">
        <f t="shared" si="139"/>
        <v>W</v>
      </c>
      <c r="E814" s="3">
        <f t="shared" si="140"/>
        <v>101</v>
      </c>
      <c r="F814" s="3" t="str">
        <f t="shared" si="141"/>
        <v>ack</v>
      </c>
      <c r="G814" s="3" t="str">
        <f t="shared" si="142"/>
        <v>93</v>
      </c>
      <c r="H814" s="3" t="str">
        <f t="shared" si="143"/>
        <v/>
      </c>
      <c r="I814" s="3">
        <f t="shared" si="144"/>
        <v>147</v>
      </c>
      <c r="J814" s="5" t="str">
        <f>IF(E814=0,"Broadcast",IF(H814="",IF(I814="","",IF(I814&lt;128,"Connect "&amp;I814,INDEX(KdoCodeTab,MATCH(I814,KdoWertTab,0)))),"ReadStat "&amp;H814))</f>
        <v>SpaceCmd</v>
      </c>
      <c r="K814" t="str">
        <f t="shared" si="134"/>
        <v/>
      </c>
      <c r="L814" t="str">
        <f t="shared" si="135"/>
        <v/>
      </c>
      <c r="M814" t="str">
        <f t="shared" si="136"/>
        <v>SpaceCmd</v>
      </c>
    </row>
    <row r="815" spans="1:13" x14ac:dyDescent="0.25">
      <c r="A815" t="s">
        <v>390</v>
      </c>
      <c r="B815" s="6">
        <f t="shared" si="137"/>
        <v>0.26050000000000001</v>
      </c>
      <c r="C815" s="9">
        <f t="shared" si="138"/>
        <v>1.0000000000000009</v>
      </c>
      <c r="D815" s="8" t="str">
        <f t="shared" si="139"/>
        <v>W</v>
      </c>
      <c r="E815" s="3">
        <f t="shared" si="140"/>
        <v>101</v>
      </c>
      <c r="F815" s="3" t="str">
        <f t="shared" si="141"/>
        <v>ack</v>
      </c>
      <c r="G815" s="3" t="str">
        <f t="shared" si="142"/>
        <v>96</v>
      </c>
      <c r="H815" s="3" t="str">
        <f t="shared" si="143"/>
        <v/>
      </c>
      <c r="I815" s="3">
        <f t="shared" si="144"/>
        <v>150</v>
      </c>
      <c r="J815" s="5" t="str">
        <f>IF(E815=0,"Broadcast",IF(H815="",IF(I815="","",IF(I815&lt;128,"Connect "&amp;I815,INDEX(KdoCodeTab,MATCH(I815,KdoWertTab,0)))),"ReadStat "&amp;H815))</f>
        <v>RepSpaceCmd</v>
      </c>
      <c r="K815" t="str">
        <f t="shared" si="134"/>
        <v/>
      </c>
      <c r="L815" t="str">
        <f t="shared" si="135"/>
        <v/>
      </c>
      <c r="M815" t="str">
        <f t="shared" si="136"/>
        <v>RepSpaceCmd</v>
      </c>
    </row>
    <row r="816" spans="1:13" x14ac:dyDescent="0.25">
      <c r="A816" t="s">
        <v>391</v>
      </c>
      <c r="B816" s="6">
        <f t="shared" si="137"/>
        <v>0.27966666666666667</v>
      </c>
      <c r="C816" s="9">
        <f t="shared" si="138"/>
        <v>19.166666666666664</v>
      </c>
      <c r="D816" s="8" t="str">
        <f t="shared" si="139"/>
        <v>W</v>
      </c>
      <c r="E816" s="3">
        <f t="shared" si="140"/>
        <v>101</v>
      </c>
      <c r="F816" s="3" t="str">
        <f t="shared" si="141"/>
        <v>ack</v>
      </c>
      <c r="G816" s="3" t="str">
        <f t="shared" si="142"/>
        <v>9C</v>
      </c>
      <c r="H816" s="3" t="str">
        <f t="shared" si="143"/>
        <v/>
      </c>
      <c r="I816" s="3">
        <f t="shared" si="144"/>
        <v>156</v>
      </c>
      <c r="J816" s="5" t="str">
        <f>IF(E816=0,"Broadcast",IF(H816="",IF(I816="","",IF(I816&lt;128,"Connect "&amp;I816,INDEX(KdoCodeTab,MATCH(I816,KdoWertTab,0)))),"ReadStat "&amp;H816))</f>
        <v>MarkCmd</v>
      </c>
      <c r="K816" t="str">
        <f t="shared" si="134"/>
        <v/>
      </c>
      <c r="L816" t="str">
        <f t="shared" si="135"/>
        <v/>
      </c>
      <c r="M816" t="str">
        <f t="shared" si="136"/>
        <v>MarkCmd</v>
      </c>
    </row>
    <row r="817" spans="1:13" x14ac:dyDescent="0.25">
      <c r="A817" t="s">
        <v>392</v>
      </c>
      <c r="B817" s="6">
        <f t="shared" si="137"/>
        <v>0.28066666666666668</v>
      </c>
      <c r="C817" s="9">
        <f t="shared" si="138"/>
        <v>1.0000000000000009</v>
      </c>
      <c r="D817" s="8" t="str">
        <f t="shared" si="139"/>
        <v>W</v>
      </c>
      <c r="E817" s="3">
        <f t="shared" si="140"/>
        <v>101</v>
      </c>
      <c r="F817" s="3" t="str">
        <f t="shared" si="141"/>
        <v>ack</v>
      </c>
      <c r="G817" s="3" t="str">
        <f t="shared" si="142"/>
        <v>9A</v>
      </c>
      <c r="H817" s="3" t="str">
        <f t="shared" si="143"/>
        <v/>
      </c>
      <c r="I817" s="3">
        <f t="shared" si="144"/>
        <v>154</v>
      </c>
      <c r="J817" s="5" t="str">
        <f>IF(E817=0,"Broadcast",IF(H817="",IF(I817="","",IF(I817&lt;128,"Connect "&amp;I817,INDEX(KdoCodeTab,MATCH(I817,KdoWertTab,0)))),"ReadStat "&amp;H817))</f>
        <v>RepMarkCmd</v>
      </c>
      <c r="K817" t="str">
        <f t="shared" si="134"/>
        <v/>
      </c>
      <c r="L817" t="str">
        <f t="shared" si="135"/>
        <v/>
      </c>
      <c r="M817" t="str">
        <f t="shared" si="136"/>
        <v>RepMarkCmd</v>
      </c>
    </row>
    <row r="818" spans="1:13" x14ac:dyDescent="0.25">
      <c r="A818" t="s">
        <v>393</v>
      </c>
      <c r="B818" s="6">
        <f t="shared" si="137"/>
        <v>0.3145</v>
      </c>
      <c r="C818" s="9">
        <f t="shared" si="138"/>
        <v>33.833333333333329</v>
      </c>
      <c r="D818" s="8" t="str">
        <f t="shared" si="139"/>
        <v>W</v>
      </c>
      <c r="E818" s="3">
        <f t="shared" si="140"/>
        <v>31</v>
      </c>
      <c r="F818" s="3" t="str">
        <f t="shared" si="141"/>
        <v>ack</v>
      </c>
      <c r="G818" s="3" t="str">
        <f t="shared" si="142"/>
        <v>9A</v>
      </c>
      <c r="H818" s="3" t="str">
        <f t="shared" si="143"/>
        <v/>
      </c>
      <c r="I818" s="3">
        <f t="shared" si="144"/>
        <v>154</v>
      </c>
      <c r="J818" s="5" t="str">
        <f>IF(E818=0,"Broadcast",IF(H818="",IF(I818="","",IF(I818&lt;128,"Connect "&amp;I818,INDEX(KdoCodeTab,MATCH(I818,KdoWertTab,0)))),"ReadStat "&amp;H818))</f>
        <v>RepMarkCmd</v>
      </c>
      <c r="K818" t="str">
        <f t="shared" si="134"/>
        <v/>
      </c>
      <c r="L818" t="str">
        <f t="shared" si="135"/>
        <v>RepMarkCmd</v>
      </c>
      <c r="M818" t="str">
        <f t="shared" si="136"/>
        <v/>
      </c>
    </row>
    <row r="819" spans="1:13" x14ac:dyDescent="0.25">
      <c r="A819" t="s">
        <v>394</v>
      </c>
      <c r="B819" s="6">
        <f t="shared" si="137"/>
        <v>0.41016666666666662</v>
      </c>
      <c r="C819" s="9">
        <f t="shared" si="138"/>
        <v>95.666666666666629</v>
      </c>
      <c r="D819" s="8" t="str">
        <f t="shared" si="139"/>
        <v>W</v>
      </c>
      <c r="E819" s="3">
        <f t="shared" si="140"/>
        <v>101</v>
      </c>
      <c r="F819" s="3" t="str">
        <f t="shared" si="141"/>
        <v>ack</v>
      </c>
      <c r="G819" s="3" t="str">
        <f t="shared" si="142"/>
        <v>93</v>
      </c>
      <c r="H819" s="3" t="str">
        <f t="shared" si="143"/>
        <v/>
      </c>
      <c r="I819" s="3">
        <f t="shared" si="144"/>
        <v>147</v>
      </c>
      <c r="J819" s="5" t="str">
        <f>IF(E819=0,"Broadcast",IF(H819="",IF(I819="","",IF(I819&lt;128,"Connect "&amp;I819,INDEX(KdoCodeTab,MATCH(I819,KdoWertTab,0)))),"ReadStat "&amp;H819))</f>
        <v>SpaceCmd</v>
      </c>
      <c r="K819" t="str">
        <f t="shared" si="134"/>
        <v/>
      </c>
      <c r="L819" t="str">
        <f t="shared" si="135"/>
        <v/>
      </c>
      <c r="M819" t="str">
        <f t="shared" si="136"/>
        <v>SpaceCmd</v>
      </c>
    </row>
    <row r="820" spans="1:13" x14ac:dyDescent="0.25">
      <c r="A820" t="s">
        <v>395</v>
      </c>
      <c r="B820" s="6">
        <f t="shared" si="137"/>
        <v>0.41099999999999998</v>
      </c>
      <c r="C820" s="9">
        <f t="shared" si="138"/>
        <v>0.83333333333335258</v>
      </c>
      <c r="D820" s="8" t="str">
        <f t="shared" si="139"/>
        <v>W</v>
      </c>
      <c r="E820" s="3">
        <f t="shared" si="140"/>
        <v>101</v>
      </c>
      <c r="F820" s="3" t="str">
        <f t="shared" si="141"/>
        <v>ack</v>
      </c>
      <c r="G820" s="3" t="str">
        <f t="shared" si="142"/>
        <v>96</v>
      </c>
      <c r="H820" s="3" t="str">
        <f t="shared" si="143"/>
        <v/>
      </c>
      <c r="I820" s="3">
        <f t="shared" si="144"/>
        <v>150</v>
      </c>
      <c r="J820" s="5" t="str">
        <f>IF(E820=0,"Broadcast",IF(H820="",IF(I820="","",IF(I820&lt;128,"Connect "&amp;I820,INDEX(KdoCodeTab,MATCH(I820,KdoWertTab,0)))),"ReadStat "&amp;H820))</f>
        <v>RepSpaceCmd</v>
      </c>
      <c r="K820" t="str">
        <f t="shared" si="134"/>
        <v/>
      </c>
      <c r="L820" t="str">
        <f t="shared" si="135"/>
        <v/>
      </c>
      <c r="M820" t="str">
        <f t="shared" si="136"/>
        <v>RepSpaceCmd</v>
      </c>
    </row>
    <row r="821" spans="1:13" x14ac:dyDescent="0.25">
      <c r="A821" t="s">
        <v>396</v>
      </c>
      <c r="B821" s="6">
        <f t="shared" si="137"/>
        <v>0.42699999999999999</v>
      </c>
      <c r="C821" s="9">
        <f t="shared" si="138"/>
        <v>16.000000000000014</v>
      </c>
      <c r="D821" s="8" t="str">
        <f t="shared" si="139"/>
        <v>W</v>
      </c>
      <c r="E821" s="3">
        <f t="shared" si="140"/>
        <v>101</v>
      </c>
      <c r="F821" s="3" t="str">
        <f t="shared" si="141"/>
        <v>ack</v>
      </c>
      <c r="G821" s="3" t="str">
        <f t="shared" si="142"/>
        <v>A9</v>
      </c>
      <c r="H821" s="3" t="str">
        <f t="shared" si="143"/>
        <v/>
      </c>
      <c r="I821" s="3">
        <f t="shared" si="144"/>
        <v>169</v>
      </c>
      <c r="J821" s="5" t="str">
        <f>IF(E821=0,"Broadcast",IF(H821="",IF(I821="","",IF(I821&lt;128,"Connect "&amp;I821,INDEX(KdoCodeTab,MATCH(I821,KdoWertTab,0)))),"ReadStat "&amp;H821))</f>
        <v>Heartbeat</v>
      </c>
      <c r="K821" t="str">
        <f t="shared" si="134"/>
        <v/>
      </c>
      <c r="L821" t="str">
        <f t="shared" si="135"/>
        <v/>
      </c>
      <c r="M821" t="str">
        <f t="shared" si="136"/>
        <v>Heartbeat</v>
      </c>
    </row>
    <row r="822" spans="1:13" x14ac:dyDescent="0.25">
      <c r="A822" t="s">
        <v>397</v>
      </c>
      <c r="B822" s="6">
        <f t="shared" si="137"/>
        <v>0.44933333333333336</v>
      </c>
      <c r="C822" s="9">
        <f t="shared" si="138"/>
        <v>22.333333333333371</v>
      </c>
      <c r="D822" s="8" t="str">
        <f t="shared" si="139"/>
        <v>W</v>
      </c>
      <c r="E822" s="3">
        <f t="shared" si="140"/>
        <v>101</v>
      </c>
      <c r="F822" s="3" t="str">
        <f t="shared" si="141"/>
        <v>ack</v>
      </c>
      <c r="G822" s="3" t="str">
        <f t="shared" si="142"/>
        <v>9C</v>
      </c>
      <c r="H822" s="3" t="str">
        <f t="shared" si="143"/>
        <v/>
      </c>
      <c r="I822" s="3">
        <f t="shared" si="144"/>
        <v>156</v>
      </c>
      <c r="J822" s="5" t="str">
        <f>IF(E822=0,"Broadcast",IF(H822="",IF(I822="","",IF(I822&lt;128,"Connect "&amp;I822,INDEX(KdoCodeTab,MATCH(I822,KdoWertTab,0)))),"ReadStat "&amp;H822))</f>
        <v>MarkCmd</v>
      </c>
      <c r="K822" t="str">
        <f t="shared" si="134"/>
        <v/>
      </c>
      <c r="L822" t="str">
        <f t="shared" si="135"/>
        <v/>
      </c>
      <c r="M822" t="str">
        <f t="shared" si="136"/>
        <v>MarkCmd</v>
      </c>
    </row>
    <row r="823" spans="1:13" x14ac:dyDescent="0.25">
      <c r="A823" t="s">
        <v>398</v>
      </c>
      <c r="B823" s="6">
        <f t="shared" si="137"/>
        <v>0.45033333333333336</v>
      </c>
      <c r="C823" s="9">
        <f t="shared" si="138"/>
        <v>1.0000000000000009</v>
      </c>
      <c r="D823" s="8" t="str">
        <f t="shared" si="139"/>
        <v>W</v>
      </c>
      <c r="E823" s="3">
        <f t="shared" si="140"/>
        <v>101</v>
      </c>
      <c r="F823" s="3" t="str">
        <f t="shared" si="141"/>
        <v>ack</v>
      </c>
      <c r="G823" s="3" t="str">
        <f t="shared" si="142"/>
        <v>9A</v>
      </c>
      <c r="H823" s="3" t="str">
        <f t="shared" si="143"/>
        <v/>
      </c>
      <c r="I823" s="3">
        <f t="shared" si="144"/>
        <v>154</v>
      </c>
      <c r="J823" s="5" t="str">
        <f>IF(E823=0,"Broadcast",IF(H823="",IF(I823="","",IF(I823&lt;128,"Connect "&amp;I823,INDEX(KdoCodeTab,MATCH(I823,KdoWertTab,0)))),"ReadStat "&amp;H823))</f>
        <v>RepMarkCmd</v>
      </c>
      <c r="K823" t="str">
        <f t="shared" si="134"/>
        <v/>
      </c>
      <c r="L823" t="str">
        <f t="shared" si="135"/>
        <v/>
      </c>
      <c r="M823" t="str">
        <f t="shared" si="136"/>
        <v>RepMarkCmd</v>
      </c>
    </row>
    <row r="824" spans="1:13" x14ac:dyDescent="0.25">
      <c r="A824" t="s">
        <v>399</v>
      </c>
      <c r="B824" s="6">
        <f t="shared" si="137"/>
        <v>0.48983333333333334</v>
      </c>
      <c r="C824" s="9">
        <f t="shared" si="138"/>
        <v>39.499999999999979</v>
      </c>
      <c r="D824" s="8" t="str">
        <f t="shared" si="139"/>
        <v>W</v>
      </c>
      <c r="E824" s="3">
        <f t="shared" si="140"/>
        <v>101</v>
      </c>
      <c r="F824" s="3" t="str">
        <f t="shared" si="141"/>
        <v>ack</v>
      </c>
      <c r="G824" s="3" t="str">
        <f t="shared" si="142"/>
        <v>93</v>
      </c>
      <c r="H824" s="3" t="str">
        <f t="shared" si="143"/>
        <v/>
      </c>
      <c r="I824" s="3">
        <f t="shared" si="144"/>
        <v>147</v>
      </c>
      <c r="J824" s="5" t="str">
        <f>IF(E824=0,"Broadcast",IF(H824="",IF(I824="","",IF(I824&lt;128,"Connect "&amp;I824,INDEX(KdoCodeTab,MATCH(I824,KdoWertTab,0)))),"ReadStat "&amp;H824))</f>
        <v>SpaceCmd</v>
      </c>
      <c r="K824" t="str">
        <f t="shared" si="134"/>
        <v/>
      </c>
      <c r="L824" t="str">
        <f t="shared" si="135"/>
        <v/>
      </c>
      <c r="M824" t="str">
        <f t="shared" si="136"/>
        <v>SpaceCmd</v>
      </c>
    </row>
    <row r="825" spans="1:13" x14ac:dyDescent="0.25">
      <c r="A825" t="s">
        <v>400</v>
      </c>
      <c r="B825" s="6">
        <f t="shared" si="137"/>
        <v>0.49083333333333334</v>
      </c>
      <c r="C825" s="9">
        <f t="shared" si="138"/>
        <v>1.0000000000000009</v>
      </c>
      <c r="D825" s="8" t="str">
        <f t="shared" si="139"/>
        <v>W</v>
      </c>
      <c r="E825" s="3">
        <f t="shared" si="140"/>
        <v>101</v>
      </c>
      <c r="F825" s="3" t="str">
        <f t="shared" si="141"/>
        <v>ack</v>
      </c>
      <c r="G825" s="3" t="str">
        <f t="shared" si="142"/>
        <v>96</v>
      </c>
      <c r="H825" s="3" t="str">
        <f t="shared" si="143"/>
        <v/>
      </c>
      <c r="I825" s="3">
        <f t="shared" si="144"/>
        <v>150</v>
      </c>
      <c r="J825" s="5" t="str">
        <f>IF(E825=0,"Broadcast",IF(H825="",IF(I825="","",IF(I825&lt;128,"Connect "&amp;I825,INDEX(KdoCodeTab,MATCH(I825,KdoWertTab,0)))),"ReadStat "&amp;H825))</f>
        <v>RepSpaceCmd</v>
      </c>
      <c r="K825" t="str">
        <f t="shared" si="134"/>
        <v/>
      </c>
      <c r="L825" t="str">
        <f t="shared" si="135"/>
        <v/>
      </c>
      <c r="M825" t="str">
        <f t="shared" si="136"/>
        <v>RepSpaceCmd</v>
      </c>
    </row>
    <row r="826" spans="1:13" x14ac:dyDescent="0.25">
      <c r="A826" t="s">
        <v>401</v>
      </c>
      <c r="B826" s="6">
        <f t="shared" si="137"/>
        <v>0.53033333333333332</v>
      </c>
      <c r="C826" s="9">
        <f t="shared" si="138"/>
        <v>39.499999999999979</v>
      </c>
      <c r="D826" s="8" t="str">
        <f t="shared" si="139"/>
        <v>W</v>
      </c>
      <c r="E826" s="3">
        <f t="shared" si="140"/>
        <v>101</v>
      </c>
      <c r="F826" s="3" t="str">
        <f t="shared" si="141"/>
        <v>ack</v>
      </c>
      <c r="G826" s="3" t="str">
        <f t="shared" si="142"/>
        <v>9C</v>
      </c>
      <c r="H826" s="3" t="str">
        <f t="shared" si="143"/>
        <v/>
      </c>
      <c r="I826" s="3">
        <f t="shared" si="144"/>
        <v>156</v>
      </c>
      <c r="J826" s="5" t="str">
        <f>IF(E826=0,"Broadcast",IF(H826="",IF(I826="","",IF(I826&lt;128,"Connect "&amp;I826,INDEX(KdoCodeTab,MATCH(I826,KdoWertTab,0)))),"ReadStat "&amp;H826))</f>
        <v>MarkCmd</v>
      </c>
      <c r="K826" t="str">
        <f t="shared" si="134"/>
        <v/>
      </c>
      <c r="L826" t="str">
        <f t="shared" si="135"/>
        <v/>
      </c>
      <c r="M826" t="str">
        <f t="shared" si="136"/>
        <v>MarkCmd</v>
      </c>
    </row>
    <row r="827" spans="1:13" x14ac:dyDescent="0.25">
      <c r="A827" t="s">
        <v>402</v>
      </c>
      <c r="B827" s="6">
        <f t="shared" si="137"/>
        <v>0.53133333333333332</v>
      </c>
      <c r="C827" s="9">
        <f t="shared" si="138"/>
        <v>1.0000000000000009</v>
      </c>
      <c r="D827" s="8" t="str">
        <f t="shared" si="139"/>
        <v>W</v>
      </c>
      <c r="E827" s="3">
        <f t="shared" si="140"/>
        <v>101</v>
      </c>
      <c r="F827" s="3" t="str">
        <f t="shared" si="141"/>
        <v>ack</v>
      </c>
      <c r="G827" s="3" t="str">
        <f t="shared" si="142"/>
        <v>9A</v>
      </c>
      <c r="H827" s="3" t="str">
        <f t="shared" si="143"/>
        <v/>
      </c>
      <c r="I827" s="3">
        <f t="shared" si="144"/>
        <v>154</v>
      </c>
      <c r="J827" s="5" t="str">
        <f>IF(E827=0,"Broadcast",IF(H827="",IF(I827="","",IF(I827&lt;128,"Connect "&amp;I827,INDEX(KdoCodeTab,MATCH(I827,KdoWertTab,0)))),"ReadStat "&amp;H827))</f>
        <v>RepMarkCmd</v>
      </c>
      <c r="K827" t="str">
        <f t="shared" ref="K827:K890" si="145">IF(E827=$K$2,J827,"")</f>
        <v/>
      </c>
      <c r="L827" t="str">
        <f t="shared" ref="L827:L890" si="146">IF(E827=$L$2,J827,"")</f>
        <v/>
      </c>
      <c r="M827" t="str">
        <f t="shared" ref="M827:M890" si="147">IF(K827&amp;L827="",J827,"")</f>
        <v>RepMarkCmd</v>
      </c>
    </row>
    <row r="828" spans="1:13" x14ac:dyDescent="0.25">
      <c r="A828" t="s">
        <v>403</v>
      </c>
      <c r="B828" s="6">
        <f t="shared" si="137"/>
        <v>0.5595</v>
      </c>
      <c r="C828" s="9">
        <f t="shared" si="138"/>
        <v>28.166666666666671</v>
      </c>
      <c r="D828" s="8" t="str">
        <f t="shared" si="139"/>
        <v>W</v>
      </c>
      <c r="E828" s="3">
        <f t="shared" si="140"/>
        <v>101</v>
      </c>
      <c r="F828" s="3" t="str">
        <f t="shared" si="141"/>
        <v>ack</v>
      </c>
      <c r="G828" s="3" t="str">
        <f t="shared" si="142"/>
        <v>93</v>
      </c>
      <c r="H828" s="3" t="str">
        <f t="shared" si="143"/>
        <v/>
      </c>
      <c r="I828" s="3">
        <f t="shared" si="144"/>
        <v>147</v>
      </c>
      <c r="J828" s="5" t="str">
        <f>IF(E828=0,"Broadcast",IF(H828="",IF(I828="","",IF(I828&lt;128,"Connect "&amp;I828,INDEX(KdoCodeTab,MATCH(I828,KdoWertTab,0)))),"ReadStat "&amp;H828))</f>
        <v>SpaceCmd</v>
      </c>
      <c r="K828" t="str">
        <f t="shared" si="145"/>
        <v/>
      </c>
      <c r="L828" t="str">
        <f t="shared" si="146"/>
        <v/>
      </c>
      <c r="M828" t="str">
        <f t="shared" si="147"/>
        <v>SpaceCmd</v>
      </c>
    </row>
    <row r="829" spans="1:13" x14ac:dyDescent="0.25">
      <c r="A829" t="s">
        <v>404</v>
      </c>
      <c r="B829" s="6">
        <f t="shared" si="137"/>
        <v>0.5605</v>
      </c>
      <c r="C829" s="9">
        <f t="shared" si="138"/>
        <v>1.0000000000000009</v>
      </c>
      <c r="D829" s="8" t="str">
        <f t="shared" si="139"/>
        <v>W</v>
      </c>
      <c r="E829" s="3">
        <f t="shared" si="140"/>
        <v>101</v>
      </c>
      <c r="F829" s="3" t="str">
        <f t="shared" si="141"/>
        <v>ack</v>
      </c>
      <c r="G829" s="3" t="str">
        <f t="shared" si="142"/>
        <v>96</v>
      </c>
      <c r="H829" s="3" t="str">
        <f t="shared" si="143"/>
        <v/>
      </c>
      <c r="I829" s="3">
        <f t="shared" si="144"/>
        <v>150</v>
      </c>
      <c r="J829" s="5" t="str">
        <f>IF(E829=0,"Broadcast",IF(H829="",IF(I829="","",IF(I829&lt;128,"Connect "&amp;I829,INDEX(KdoCodeTab,MATCH(I829,KdoWertTab,0)))),"ReadStat "&amp;H829))</f>
        <v>RepSpaceCmd</v>
      </c>
      <c r="K829" t="str">
        <f t="shared" si="145"/>
        <v/>
      </c>
      <c r="L829" t="str">
        <f t="shared" si="146"/>
        <v/>
      </c>
      <c r="M829" t="str">
        <f t="shared" si="147"/>
        <v>RepSpaceCmd</v>
      </c>
    </row>
    <row r="830" spans="1:13" x14ac:dyDescent="0.25">
      <c r="A830" t="s">
        <v>405</v>
      </c>
      <c r="B830" s="6">
        <f t="shared" si="137"/>
        <v>0.57966666666666666</v>
      </c>
      <c r="C830" s="9">
        <f t="shared" si="138"/>
        <v>19.166666666666664</v>
      </c>
      <c r="D830" s="8" t="str">
        <f t="shared" si="139"/>
        <v>W</v>
      </c>
      <c r="E830" s="3">
        <f t="shared" si="140"/>
        <v>101</v>
      </c>
      <c r="F830" s="3" t="str">
        <f t="shared" si="141"/>
        <v>ack</v>
      </c>
      <c r="G830" s="3" t="str">
        <f t="shared" si="142"/>
        <v>9C</v>
      </c>
      <c r="H830" s="3" t="str">
        <f t="shared" si="143"/>
        <v/>
      </c>
      <c r="I830" s="3">
        <f t="shared" si="144"/>
        <v>156</v>
      </c>
      <c r="J830" s="5" t="str">
        <f>IF(E830=0,"Broadcast",IF(H830="",IF(I830="","",IF(I830&lt;128,"Connect "&amp;I830,INDEX(KdoCodeTab,MATCH(I830,KdoWertTab,0)))),"ReadStat "&amp;H830))</f>
        <v>MarkCmd</v>
      </c>
      <c r="K830" t="str">
        <f t="shared" si="145"/>
        <v/>
      </c>
      <c r="L830" t="str">
        <f t="shared" si="146"/>
        <v/>
      </c>
      <c r="M830" t="str">
        <f t="shared" si="147"/>
        <v>MarkCmd</v>
      </c>
    </row>
    <row r="831" spans="1:13" x14ac:dyDescent="0.25">
      <c r="A831" t="s">
        <v>406</v>
      </c>
      <c r="B831" s="6">
        <f t="shared" si="137"/>
        <v>0.58066666666666666</v>
      </c>
      <c r="C831" s="9">
        <f t="shared" si="138"/>
        <v>1.0000000000000009</v>
      </c>
      <c r="D831" s="8" t="str">
        <f t="shared" si="139"/>
        <v>W</v>
      </c>
      <c r="E831" s="3">
        <f t="shared" si="140"/>
        <v>101</v>
      </c>
      <c r="F831" s="3" t="str">
        <f t="shared" si="141"/>
        <v>ack</v>
      </c>
      <c r="G831" s="3" t="str">
        <f t="shared" si="142"/>
        <v>9A</v>
      </c>
      <c r="H831" s="3" t="str">
        <f t="shared" si="143"/>
        <v/>
      </c>
      <c r="I831" s="3">
        <f t="shared" si="144"/>
        <v>154</v>
      </c>
      <c r="J831" s="5" t="str">
        <f>IF(E831=0,"Broadcast",IF(H831="",IF(I831="","",IF(I831&lt;128,"Connect "&amp;I831,INDEX(KdoCodeTab,MATCH(I831,KdoWertTab,0)))),"ReadStat "&amp;H831))</f>
        <v>RepMarkCmd</v>
      </c>
      <c r="K831" t="str">
        <f t="shared" si="145"/>
        <v/>
      </c>
      <c r="L831" t="str">
        <f t="shared" si="146"/>
        <v/>
      </c>
      <c r="M831" t="str">
        <f t="shared" si="147"/>
        <v>RepMarkCmd</v>
      </c>
    </row>
    <row r="832" spans="1:13" x14ac:dyDescent="0.25">
      <c r="A832" t="s">
        <v>407</v>
      </c>
      <c r="B832" s="6">
        <f t="shared" si="137"/>
        <v>0.6</v>
      </c>
      <c r="C832" s="9">
        <f t="shared" si="138"/>
        <v>19.333333333333314</v>
      </c>
      <c r="D832" s="8" t="str">
        <f t="shared" si="139"/>
        <v>W</v>
      </c>
      <c r="E832" s="3">
        <f t="shared" si="140"/>
        <v>101</v>
      </c>
      <c r="F832" s="3" t="str">
        <f t="shared" si="141"/>
        <v>ack</v>
      </c>
      <c r="G832" s="3" t="str">
        <f t="shared" si="142"/>
        <v>93</v>
      </c>
      <c r="H832" s="3" t="str">
        <f t="shared" si="143"/>
        <v/>
      </c>
      <c r="I832" s="3">
        <f t="shared" si="144"/>
        <v>147</v>
      </c>
      <c r="J832" s="5" t="str">
        <f>IF(E832=0,"Broadcast",IF(H832="",IF(I832="","",IF(I832&lt;128,"Connect "&amp;I832,INDEX(KdoCodeTab,MATCH(I832,KdoWertTab,0)))),"ReadStat "&amp;H832))</f>
        <v>SpaceCmd</v>
      </c>
      <c r="K832" t="str">
        <f t="shared" si="145"/>
        <v/>
      </c>
      <c r="L832" t="str">
        <f t="shared" si="146"/>
        <v/>
      </c>
      <c r="M832" t="str">
        <f t="shared" si="147"/>
        <v>SpaceCmd</v>
      </c>
    </row>
    <row r="833" spans="1:13" x14ac:dyDescent="0.25">
      <c r="A833" t="s">
        <v>408</v>
      </c>
      <c r="B833" s="6">
        <f t="shared" si="137"/>
        <v>0.60083333333333333</v>
      </c>
      <c r="C833" s="9">
        <f t="shared" si="138"/>
        <v>0.83333333333335258</v>
      </c>
      <c r="D833" s="8" t="str">
        <f t="shared" si="139"/>
        <v>W</v>
      </c>
      <c r="E833" s="3">
        <f t="shared" si="140"/>
        <v>101</v>
      </c>
      <c r="F833" s="3" t="str">
        <f t="shared" si="141"/>
        <v>ack</v>
      </c>
      <c r="G833" s="3" t="str">
        <f t="shared" si="142"/>
        <v>96</v>
      </c>
      <c r="H833" s="3" t="str">
        <f t="shared" si="143"/>
        <v/>
      </c>
      <c r="I833" s="3">
        <f t="shared" si="144"/>
        <v>150</v>
      </c>
      <c r="J833" s="5" t="str">
        <f>IF(E833=0,"Broadcast",IF(H833="",IF(I833="","",IF(I833&lt;128,"Connect "&amp;I833,INDEX(KdoCodeTab,MATCH(I833,KdoWertTab,0)))),"ReadStat "&amp;H833))</f>
        <v>RepSpaceCmd</v>
      </c>
      <c r="K833" t="str">
        <f t="shared" si="145"/>
        <v/>
      </c>
      <c r="L833" t="str">
        <f t="shared" si="146"/>
        <v/>
      </c>
      <c r="M833" t="str">
        <f t="shared" si="147"/>
        <v>RepSpaceCmd</v>
      </c>
    </row>
    <row r="834" spans="1:13" x14ac:dyDescent="0.25">
      <c r="A834" t="s">
        <v>409</v>
      </c>
      <c r="B834" s="6">
        <f t="shared" si="137"/>
        <v>0.6808333333333334</v>
      </c>
      <c r="C834" s="9">
        <f t="shared" si="138"/>
        <v>80.000000000000071</v>
      </c>
      <c r="D834" s="8" t="str">
        <f t="shared" si="139"/>
        <v>W</v>
      </c>
      <c r="E834" s="3">
        <f t="shared" si="140"/>
        <v>101</v>
      </c>
      <c r="F834" s="3" t="str">
        <f t="shared" si="141"/>
        <v>ack</v>
      </c>
      <c r="G834" s="3" t="str">
        <f t="shared" si="142"/>
        <v>9C</v>
      </c>
      <c r="H834" s="3" t="str">
        <f t="shared" si="143"/>
        <v/>
      </c>
      <c r="I834" s="3">
        <f t="shared" si="144"/>
        <v>156</v>
      </c>
      <c r="J834" s="5" t="str">
        <f>IF(E834=0,"Broadcast",IF(H834="",IF(I834="","",IF(I834&lt;128,"Connect "&amp;I834,INDEX(KdoCodeTab,MATCH(I834,KdoWertTab,0)))),"ReadStat "&amp;H834))</f>
        <v>MarkCmd</v>
      </c>
      <c r="K834" t="str">
        <f t="shared" si="145"/>
        <v/>
      </c>
      <c r="L834" t="str">
        <f t="shared" si="146"/>
        <v/>
      </c>
      <c r="M834" t="str">
        <f t="shared" si="147"/>
        <v>MarkCmd</v>
      </c>
    </row>
    <row r="835" spans="1:13" x14ac:dyDescent="0.25">
      <c r="A835" t="s">
        <v>410</v>
      </c>
      <c r="B835" s="6">
        <f t="shared" si="137"/>
        <v>0.68166666666666675</v>
      </c>
      <c r="C835" s="9">
        <f t="shared" si="138"/>
        <v>0.83333333333335258</v>
      </c>
      <c r="D835" s="8" t="str">
        <f t="shared" si="139"/>
        <v>W</v>
      </c>
      <c r="E835" s="3">
        <f t="shared" si="140"/>
        <v>101</v>
      </c>
      <c r="F835" s="3" t="str">
        <f t="shared" si="141"/>
        <v>ack</v>
      </c>
      <c r="G835" s="3" t="str">
        <f t="shared" si="142"/>
        <v>9A</v>
      </c>
      <c r="H835" s="3" t="str">
        <f t="shared" si="143"/>
        <v/>
      </c>
      <c r="I835" s="3">
        <f t="shared" si="144"/>
        <v>154</v>
      </c>
      <c r="J835" s="5" t="str">
        <f>IF(E835=0,"Broadcast",IF(H835="",IF(I835="","",IF(I835&lt;128,"Connect "&amp;I835,INDEX(KdoCodeTab,MATCH(I835,KdoWertTab,0)))),"ReadStat "&amp;H835))</f>
        <v>RepMarkCmd</v>
      </c>
      <c r="K835" t="str">
        <f t="shared" si="145"/>
        <v/>
      </c>
      <c r="L835" t="str">
        <f t="shared" si="146"/>
        <v/>
      </c>
      <c r="M835" t="str">
        <f t="shared" si="147"/>
        <v>RepMarkCmd</v>
      </c>
    </row>
    <row r="836" spans="1:13" x14ac:dyDescent="0.25">
      <c r="A836" t="s">
        <v>411</v>
      </c>
      <c r="B836" s="6">
        <f t="shared" si="137"/>
        <v>0.76466666666666672</v>
      </c>
      <c r="C836" s="9">
        <f t="shared" si="138"/>
        <v>82.999999999999957</v>
      </c>
      <c r="D836" s="8" t="str">
        <f t="shared" si="139"/>
        <v>W</v>
      </c>
      <c r="E836" s="3">
        <f t="shared" si="140"/>
        <v>101</v>
      </c>
      <c r="F836" s="3" t="str">
        <f t="shared" si="141"/>
        <v>ack</v>
      </c>
      <c r="G836" s="3" t="str">
        <f t="shared" si="142"/>
        <v>93</v>
      </c>
      <c r="H836" s="3" t="str">
        <f t="shared" si="143"/>
        <v/>
      </c>
      <c r="I836" s="3">
        <f t="shared" si="144"/>
        <v>147</v>
      </c>
      <c r="J836" s="5" t="str">
        <f>IF(E836=0,"Broadcast",IF(H836="",IF(I836="","",IF(I836&lt;128,"Connect "&amp;I836,INDEX(KdoCodeTab,MATCH(I836,KdoWertTab,0)))),"ReadStat "&amp;H836))</f>
        <v>SpaceCmd</v>
      </c>
      <c r="K836" t="str">
        <f t="shared" si="145"/>
        <v/>
      </c>
      <c r="L836" t="str">
        <f t="shared" si="146"/>
        <v/>
      </c>
      <c r="M836" t="str">
        <f t="shared" si="147"/>
        <v>SpaceCmd</v>
      </c>
    </row>
    <row r="837" spans="1:13" x14ac:dyDescent="0.25">
      <c r="A837" t="s">
        <v>412</v>
      </c>
      <c r="B837" s="6">
        <f t="shared" ref="B837:B900" si="148">MID(A837,1,5)/1000+(CODE(MID(A837,6,1))-CODE("a"))/6000</f>
        <v>0.76716666666666666</v>
      </c>
      <c r="C837" s="9">
        <f t="shared" ref="C837:C900" si="149">(B837-B836+IF(B837&gt;B836,0,11))*1000</f>
        <v>2.4999999999999467</v>
      </c>
      <c r="D837" s="8" t="str">
        <f t="shared" ref="D837:D900" si="150">IF(MID(A837,10,1)="&lt;","R",IF(MID(A837,10,1)="&gt;","W","?"))</f>
        <v>W</v>
      </c>
      <c r="E837" s="3">
        <f t="shared" ref="E837:E900" si="151">INT(HEX2DEC(MID(A837,8,2))/2)</f>
        <v>101</v>
      </c>
      <c r="F837" s="3" t="str">
        <f t="shared" ref="F837:F900" si="152">IF(MID(A837,11,1)="+","ack","NACK")</f>
        <v>ack</v>
      </c>
      <c r="G837" s="3" t="str">
        <f t="shared" ref="G837:G900" si="153">IF(F837="ack",SUBSTITUTE(MID(A837,12,LEN(A837)-12),"+","  "),"")</f>
        <v>96</v>
      </c>
      <c r="H837" s="3" t="str">
        <f t="shared" ref="H837:H900" si="154">IF(MID(A837,10,2)="&lt;+",MID(A837,12,2),"")</f>
        <v/>
      </c>
      <c r="I837" s="3">
        <f t="shared" ref="I837:I900" si="155">IF(MID(A837,10,2)="&gt;+",HEX2DEC(MID(A837,12,2)),"")</f>
        <v>150</v>
      </c>
      <c r="J837" s="5" t="str">
        <f>IF(E837=0,"Broadcast",IF(H837="",IF(I837="","",IF(I837&lt;128,"Connect "&amp;I837,INDEX(KdoCodeTab,MATCH(I837,KdoWertTab,0)))),"ReadStat "&amp;H837))</f>
        <v>RepSpaceCmd</v>
      </c>
      <c r="K837" t="str">
        <f t="shared" si="145"/>
        <v/>
      </c>
      <c r="L837" t="str">
        <f t="shared" si="146"/>
        <v/>
      </c>
      <c r="M837" t="str">
        <f t="shared" si="147"/>
        <v>RepSpaceCmd</v>
      </c>
    </row>
    <row r="838" spans="1:13" x14ac:dyDescent="0.25">
      <c r="A838" t="s">
        <v>413</v>
      </c>
      <c r="B838" s="6">
        <f t="shared" si="148"/>
        <v>0.8051666666666667</v>
      </c>
      <c r="C838" s="9">
        <f t="shared" si="149"/>
        <v>38.000000000000036</v>
      </c>
      <c r="D838" s="8" t="str">
        <f t="shared" si="150"/>
        <v>W</v>
      </c>
      <c r="E838" s="3">
        <f t="shared" si="151"/>
        <v>101</v>
      </c>
      <c r="F838" s="3" t="str">
        <f t="shared" si="152"/>
        <v>ack</v>
      </c>
      <c r="G838" s="3" t="str">
        <f t="shared" si="153"/>
        <v>9C</v>
      </c>
      <c r="H838" s="3" t="str">
        <f t="shared" si="154"/>
        <v/>
      </c>
      <c r="I838" s="3">
        <f t="shared" si="155"/>
        <v>156</v>
      </c>
      <c r="J838" s="5" t="str">
        <f>IF(E838=0,"Broadcast",IF(H838="",IF(I838="","",IF(I838&lt;128,"Connect "&amp;I838,INDEX(KdoCodeTab,MATCH(I838,KdoWertTab,0)))),"ReadStat "&amp;H838))</f>
        <v>MarkCmd</v>
      </c>
      <c r="K838" t="str">
        <f t="shared" si="145"/>
        <v/>
      </c>
      <c r="L838" t="str">
        <f t="shared" si="146"/>
        <v/>
      </c>
      <c r="M838" t="str">
        <f t="shared" si="147"/>
        <v>MarkCmd</v>
      </c>
    </row>
    <row r="839" spans="1:13" x14ac:dyDescent="0.25">
      <c r="A839" t="s">
        <v>414</v>
      </c>
      <c r="B839" s="6">
        <f t="shared" si="148"/>
        <v>0.80600000000000005</v>
      </c>
      <c r="C839" s="9">
        <f t="shared" si="149"/>
        <v>0.83333333333335258</v>
      </c>
      <c r="D839" s="8" t="str">
        <f t="shared" si="150"/>
        <v>W</v>
      </c>
      <c r="E839" s="3">
        <f t="shared" si="151"/>
        <v>101</v>
      </c>
      <c r="F839" s="3" t="str">
        <f t="shared" si="152"/>
        <v>ack</v>
      </c>
      <c r="G839" s="3" t="str">
        <f t="shared" si="153"/>
        <v>9A</v>
      </c>
      <c r="H839" s="3" t="str">
        <f t="shared" si="154"/>
        <v/>
      </c>
      <c r="I839" s="3">
        <f t="shared" si="155"/>
        <v>154</v>
      </c>
      <c r="J839" s="5" t="str">
        <f>IF(E839=0,"Broadcast",IF(H839="",IF(I839="","",IF(I839&lt;128,"Connect "&amp;I839,INDEX(KdoCodeTab,MATCH(I839,KdoWertTab,0)))),"ReadStat "&amp;H839))</f>
        <v>RepMarkCmd</v>
      </c>
      <c r="K839" t="str">
        <f t="shared" si="145"/>
        <v/>
      </c>
      <c r="L839" t="str">
        <f t="shared" si="146"/>
        <v/>
      </c>
      <c r="M839" t="str">
        <f t="shared" si="147"/>
        <v>RepMarkCmd</v>
      </c>
    </row>
    <row r="840" spans="1:13" x14ac:dyDescent="0.25">
      <c r="A840" t="s">
        <v>3</v>
      </c>
      <c r="B840" s="6">
        <f t="shared" si="148"/>
        <v>0.8204999999999999</v>
      </c>
      <c r="C840" s="9">
        <f t="shared" si="149"/>
        <v>14.499999999999847</v>
      </c>
      <c r="D840" s="8" t="str">
        <f t="shared" si="150"/>
        <v>W</v>
      </c>
      <c r="E840" s="3">
        <f t="shared" si="151"/>
        <v>31</v>
      </c>
      <c r="F840" s="3" t="str">
        <f t="shared" si="152"/>
        <v>ack</v>
      </c>
      <c r="G840" s="3" t="str">
        <f t="shared" si="153"/>
        <v>9A</v>
      </c>
      <c r="H840" s="3" t="str">
        <f t="shared" si="154"/>
        <v/>
      </c>
      <c r="I840" s="3">
        <f t="shared" si="155"/>
        <v>154</v>
      </c>
      <c r="J840" s="5" t="str">
        <f>IF(E840=0,"Broadcast",IF(H840="",IF(I840="","",IF(I840&lt;128,"Connect "&amp;I840,INDEX(KdoCodeTab,MATCH(I840,KdoWertTab,0)))),"ReadStat "&amp;H840))</f>
        <v>RepMarkCmd</v>
      </c>
      <c r="K840" t="str">
        <f t="shared" si="145"/>
        <v/>
      </c>
      <c r="L840" t="str">
        <f t="shared" si="146"/>
        <v>RepMarkCmd</v>
      </c>
      <c r="M840" t="str">
        <f t="shared" si="147"/>
        <v/>
      </c>
    </row>
    <row r="841" spans="1:13" x14ac:dyDescent="0.25">
      <c r="A841" t="s">
        <v>415</v>
      </c>
      <c r="B841" s="6">
        <f t="shared" si="148"/>
        <v>0.82533333333333325</v>
      </c>
      <c r="C841" s="9">
        <f t="shared" si="149"/>
        <v>4.8333333333333561</v>
      </c>
      <c r="D841" s="8" t="str">
        <f t="shared" si="150"/>
        <v>W</v>
      </c>
      <c r="E841" s="3">
        <f t="shared" si="151"/>
        <v>101</v>
      </c>
      <c r="F841" s="3" t="str">
        <f t="shared" si="152"/>
        <v>ack</v>
      </c>
      <c r="G841" s="3" t="str">
        <f t="shared" si="153"/>
        <v>93</v>
      </c>
      <c r="H841" s="3" t="str">
        <f t="shared" si="154"/>
        <v/>
      </c>
      <c r="I841" s="3">
        <f t="shared" si="155"/>
        <v>147</v>
      </c>
      <c r="J841" s="5" t="str">
        <f>IF(E841=0,"Broadcast",IF(H841="",IF(I841="","",IF(I841&lt;128,"Connect "&amp;I841,INDEX(KdoCodeTab,MATCH(I841,KdoWertTab,0)))),"ReadStat "&amp;H841))</f>
        <v>SpaceCmd</v>
      </c>
      <c r="K841" t="str">
        <f t="shared" si="145"/>
        <v/>
      </c>
      <c r="L841" t="str">
        <f t="shared" si="146"/>
        <v/>
      </c>
      <c r="M841" t="str">
        <f t="shared" si="147"/>
        <v>SpaceCmd</v>
      </c>
    </row>
    <row r="842" spans="1:13" x14ac:dyDescent="0.25">
      <c r="A842" t="s">
        <v>416</v>
      </c>
      <c r="B842" s="6">
        <f t="shared" si="148"/>
        <v>0.8261666666666666</v>
      </c>
      <c r="C842" s="9">
        <f t="shared" si="149"/>
        <v>0.83333333333335258</v>
      </c>
      <c r="D842" s="8" t="str">
        <f t="shared" si="150"/>
        <v>W</v>
      </c>
      <c r="E842" s="3">
        <f t="shared" si="151"/>
        <v>101</v>
      </c>
      <c r="F842" s="3" t="str">
        <f t="shared" si="152"/>
        <v>ack</v>
      </c>
      <c r="G842" s="3" t="str">
        <f t="shared" si="153"/>
        <v>96</v>
      </c>
      <c r="H842" s="3" t="str">
        <f t="shared" si="154"/>
        <v/>
      </c>
      <c r="I842" s="3">
        <f t="shared" si="155"/>
        <v>150</v>
      </c>
      <c r="J842" s="5" t="str">
        <f>IF(E842=0,"Broadcast",IF(H842="",IF(I842="","",IF(I842&lt;128,"Connect "&amp;I842,INDEX(KdoCodeTab,MATCH(I842,KdoWertTab,0)))),"ReadStat "&amp;H842))</f>
        <v>RepSpaceCmd</v>
      </c>
      <c r="K842" t="str">
        <f t="shared" si="145"/>
        <v/>
      </c>
      <c r="L842" t="str">
        <f t="shared" si="146"/>
        <v/>
      </c>
      <c r="M842" t="str">
        <f t="shared" si="147"/>
        <v>RepSpaceCmd</v>
      </c>
    </row>
    <row r="843" spans="1:13" x14ac:dyDescent="0.25">
      <c r="A843" t="s">
        <v>417</v>
      </c>
      <c r="B843" s="6">
        <f t="shared" si="148"/>
        <v>0.84549999999999992</v>
      </c>
      <c r="C843" s="9">
        <f t="shared" si="149"/>
        <v>19.333333333333314</v>
      </c>
      <c r="D843" s="8" t="str">
        <f t="shared" si="150"/>
        <v>W</v>
      </c>
      <c r="E843" s="3">
        <f t="shared" si="151"/>
        <v>101</v>
      </c>
      <c r="F843" s="3" t="str">
        <f t="shared" si="152"/>
        <v>ack</v>
      </c>
      <c r="G843" s="3" t="str">
        <f t="shared" si="153"/>
        <v>9C</v>
      </c>
      <c r="H843" s="3" t="str">
        <f t="shared" si="154"/>
        <v/>
      </c>
      <c r="I843" s="3">
        <f t="shared" si="155"/>
        <v>156</v>
      </c>
      <c r="J843" s="5" t="str">
        <f>IF(E843=0,"Broadcast",IF(H843="",IF(I843="","",IF(I843&lt;128,"Connect "&amp;I843,INDEX(KdoCodeTab,MATCH(I843,KdoWertTab,0)))),"ReadStat "&amp;H843))</f>
        <v>MarkCmd</v>
      </c>
      <c r="K843" t="str">
        <f t="shared" si="145"/>
        <v/>
      </c>
      <c r="L843" t="str">
        <f t="shared" si="146"/>
        <v/>
      </c>
      <c r="M843" t="str">
        <f t="shared" si="147"/>
        <v>MarkCmd</v>
      </c>
    </row>
    <row r="844" spans="1:13" x14ac:dyDescent="0.25">
      <c r="A844" t="s">
        <v>418</v>
      </c>
      <c r="B844" s="6">
        <f t="shared" si="148"/>
        <v>0.84633333333333327</v>
      </c>
      <c r="C844" s="9">
        <f t="shared" si="149"/>
        <v>0.83333333333335258</v>
      </c>
      <c r="D844" s="8" t="str">
        <f t="shared" si="150"/>
        <v>W</v>
      </c>
      <c r="E844" s="3">
        <f t="shared" si="151"/>
        <v>101</v>
      </c>
      <c r="F844" s="3" t="str">
        <f t="shared" si="152"/>
        <v>ack</v>
      </c>
      <c r="G844" s="3" t="str">
        <f t="shared" si="153"/>
        <v>9A</v>
      </c>
      <c r="H844" s="3" t="str">
        <f t="shared" si="154"/>
        <v/>
      </c>
      <c r="I844" s="3">
        <f t="shared" si="155"/>
        <v>154</v>
      </c>
      <c r="J844" s="5" t="str">
        <f>IF(E844=0,"Broadcast",IF(H844="",IF(I844="","",IF(I844&lt;128,"Connect "&amp;I844,INDEX(KdoCodeTab,MATCH(I844,KdoWertTab,0)))),"ReadStat "&amp;H844))</f>
        <v>RepMarkCmd</v>
      </c>
      <c r="K844" t="str">
        <f t="shared" si="145"/>
        <v/>
      </c>
      <c r="L844" t="str">
        <f t="shared" si="146"/>
        <v/>
      </c>
      <c r="M844" t="str">
        <f t="shared" si="147"/>
        <v>RepMarkCmd</v>
      </c>
    </row>
    <row r="845" spans="1:13" x14ac:dyDescent="0.25">
      <c r="A845" t="s">
        <v>419</v>
      </c>
      <c r="B845" s="6">
        <f t="shared" si="148"/>
        <v>0.8656666666666667</v>
      </c>
      <c r="C845" s="9">
        <f t="shared" si="149"/>
        <v>19.333333333333425</v>
      </c>
      <c r="D845" s="8" t="str">
        <f t="shared" si="150"/>
        <v>W</v>
      </c>
      <c r="E845" s="3">
        <f t="shared" si="151"/>
        <v>101</v>
      </c>
      <c r="F845" s="3" t="str">
        <f t="shared" si="152"/>
        <v>ack</v>
      </c>
      <c r="G845" s="3" t="str">
        <f t="shared" si="153"/>
        <v>93</v>
      </c>
      <c r="H845" s="3" t="str">
        <f t="shared" si="154"/>
        <v/>
      </c>
      <c r="I845" s="3">
        <f t="shared" si="155"/>
        <v>147</v>
      </c>
      <c r="J845" s="5" t="str">
        <f>IF(E845=0,"Broadcast",IF(H845="",IF(I845="","",IF(I845&lt;128,"Connect "&amp;I845,INDEX(KdoCodeTab,MATCH(I845,KdoWertTab,0)))),"ReadStat "&amp;H845))</f>
        <v>SpaceCmd</v>
      </c>
      <c r="K845" t="str">
        <f t="shared" si="145"/>
        <v/>
      </c>
      <c r="L845" t="str">
        <f t="shared" si="146"/>
        <v/>
      </c>
      <c r="M845" t="str">
        <f t="shared" si="147"/>
        <v>SpaceCmd</v>
      </c>
    </row>
    <row r="846" spans="1:13" x14ac:dyDescent="0.25">
      <c r="A846" t="s">
        <v>420</v>
      </c>
      <c r="B846" s="6">
        <f t="shared" si="148"/>
        <v>0.86649999999999994</v>
      </c>
      <c r="C846" s="9">
        <f t="shared" si="149"/>
        <v>0.83333333333324155</v>
      </c>
      <c r="D846" s="8" t="str">
        <f t="shared" si="150"/>
        <v>W</v>
      </c>
      <c r="E846" s="3">
        <f t="shared" si="151"/>
        <v>101</v>
      </c>
      <c r="F846" s="3" t="str">
        <f t="shared" si="152"/>
        <v>ack</v>
      </c>
      <c r="G846" s="3" t="str">
        <f t="shared" si="153"/>
        <v>96</v>
      </c>
      <c r="H846" s="3" t="str">
        <f t="shared" si="154"/>
        <v/>
      </c>
      <c r="I846" s="3">
        <f t="shared" si="155"/>
        <v>150</v>
      </c>
      <c r="J846" s="5" t="str">
        <f>IF(E846=0,"Broadcast",IF(H846="",IF(I846="","",IF(I846&lt;128,"Connect "&amp;I846,INDEX(KdoCodeTab,MATCH(I846,KdoWertTab,0)))),"ReadStat "&amp;H846))</f>
        <v>RepSpaceCmd</v>
      </c>
      <c r="K846" t="str">
        <f t="shared" si="145"/>
        <v/>
      </c>
      <c r="L846" t="str">
        <f t="shared" si="146"/>
        <v/>
      </c>
      <c r="M846" t="str">
        <f t="shared" si="147"/>
        <v>RepSpaceCmd</v>
      </c>
    </row>
    <row r="847" spans="1:13" x14ac:dyDescent="0.25">
      <c r="A847" t="s">
        <v>421</v>
      </c>
      <c r="B847" s="6">
        <f t="shared" si="148"/>
        <v>0.88483333333333336</v>
      </c>
      <c r="C847" s="9">
        <f t="shared" si="149"/>
        <v>18.333333333333425</v>
      </c>
      <c r="D847" s="8" t="str">
        <f t="shared" si="150"/>
        <v>W</v>
      </c>
      <c r="E847" s="3">
        <f t="shared" si="151"/>
        <v>101</v>
      </c>
      <c r="F847" s="3" t="str">
        <f t="shared" si="152"/>
        <v>ack</v>
      </c>
      <c r="G847" s="3" t="str">
        <f t="shared" si="153"/>
        <v>9C</v>
      </c>
      <c r="H847" s="3" t="str">
        <f t="shared" si="154"/>
        <v/>
      </c>
      <c r="I847" s="3">
        <f t="shared" si="155"/>
        <v>156</v>
      </c>
      <c r="J847" s="5" t="str">
        <f>IF(E847=0,"Broadcast",IF(H847="",IF(I847="","",IF(I847&lt;128,"Connect "&amp;I847,INDEX(KdoCodeTab,MATCH(I847,KdoWertTab,0)))),"ReadStat "&amp;H847))</f>
        <v>MarkCmd</v>
      </c>
      <c r="K847" t="str">
        <f t="shared" si="145"/>
        <v/>
      </c>
      <c r="L847" t="str">
        <f t="shared" si="146"/>
        <v/>
      </c>
      <c r="M847" t="str">
        <f t="shared" si="147"/>
        <v>MarkCmd</v>
      </c>
    </row>
    <row r="848" spans="1:13" x14ac:dyDescent="0.25">
      <c r="A848" t="s">
        <v>422</v>
      </c>
      <c r="B848" s="6">
        <f t="shared" si="148"/>
        <v>0.88583333333333336</v>
      </c>
      <c r="C848" s="9">
        <f t="shared" si="149"/>
        <v>1.0000000000000009</v>
      </c>
      <c r="D848" s="8" t="str">
        <f t="shared" si="150"/>
        <v>W</v>
      </c>
      <c r="E848" s="3">
        <f t="shared" si="151"/>
        <v>101</v>
      </c>
      <c r="F848" s="3" t="str">
        <f t="shared" si="152"/>
        <v>ack</v>
      </c>
      <c r="G848" s="3" t="str">
        <f t="shared" si="153"/>
        <v>9A</v>
      </c>
      <c r="H848" s="3" t="str">
        <f t="shared" si="154"/>
        <v/>
      </c>
      <c r="I848" s="3">
        <f t="shared" si="155"/>
        <v>154</v>
      </c>
      <c r="J848" s="5" t="str">
        <f>IF(E848=0,"Broadcast",IF(H848="",IF(I848="","",IF(I848&lt;128,"Connect "&amp;I848,INDEX(KdoCodeTab,MATCH(I848,KdoWertTab,0)))),"ReadStat "&amp;H848))</f>
        <v>RepMarkCmd</v>
      </c>
      <c r="K848" t="str">
        <f t="shared" si="145"/>
        <v/>
      </c>
      <c r="L848" t="str">
        <f t="shared" si="146"/>
        <v/>
      </c>
      <c r="M848" t="str">
        <f t="shared" si="147"/>
        <v>RepMarkCmd</v>
      </c>
    </row>
    <row r="849" spans="1:13" x14ac:dyDescent="0.25">
      <c r="A849" t="s">
        <v>423</v>
      </c>
      <c r="B849" s="6">
        <f t="shared" si="148"/>
        <v>0.91516666666666668</v>
      </c>
      <c r="C849" s="9">
        <f t="shared" si="149"/>
        <v>29.333333333333321</v>
      </c>
      <c r="D849" s="8" t="str">
        <f t="shared" si="150"/>
        <v>W</v>
      </c>
      <c r="E849" s="3">
        <f t="shared" si="151"/>
        <v>101</v>
      </c>
      <c r="F849" s="3" t="str">
        <f t="shared" si="152"/>
        <v>ack</v>
      </c>
      <c r="G849" s="3" t="str">
        <f t="shared" si="153"/>
        <v>93</v>
      </c>
      <c r="H849" s="3" t="str">
        <f t="shared" si="154"/>
        <v/>
      </c>
      <c r="I849" s="3">
        <f t="shared" si="155"/>
        <v>147</v>
      </c>
      <c r="J849" s="5" t="str">
        <f>IF(E849=0,"Broadcast",IF(H849="",IF(I849="","",IF(I849&lt;128,"Connect "&amp;I849,INDEX(KdoCodeTab,MATCH(I849,KdoWertTab,0)))),"ReadStat "&amp;H849))</f>
        <v>SpaceCmd</v>
      </c>
      <c r="K849" t="str">
        <f t="shared" si="145"/>
        <v/>
      </c>
      <c r="L849" t="str">
        <f t="shared" si="146"/>
        <v/>
      </c>
      <c r="M849" t="str">
        <f t="shared" si="147"/>
        <v>SpaceCmd</v>
      </c>
    </row>
    <row r="850" spans="1:13" x14ac:dyDescent="0.25">
      <c r="A850" t="s">
        <v>424</v>
      </c>
      <c r="B850" s="6">
        <f t="shared" si="148"/>
        <v>0.91616666666666668</v>
      </c>
      <c r="C850" s="9">
        <f t="shared" si="149"/>
        <v>1.0000000000000009</v>
      </c>
      <c r="D850" s="8" t="str">
        <f t="shared" si="150"/>
        <v>W</v>
      </c>
      <c r="E850" s="3">
        <f t="shared" si="151"/>
        <v>101</v>
      </c>
      <c r="F850" s="3" t="str">
        <f t="shared" si="152"/>
        <v>ack</v>
      </c>
      <c r="G850" s="3" t="str">
        <f t="shared" si="153"/>
        <v>96</v>
      </c>
      <c r="H850" s="3" t="str">
        <f t="shared" si="154"/>
        <v/>
      </c>
      <c r="I850" s="3">
        <f t="shared" si="155"/>
        <v>150</v>
      </c>
      <c r="J850" s="5" t="str">
        <f>IF(E850=0,"Broadcast",IF(H850="",IF(I850="","",IF(I850&lt;128,"Connect "&amp;I850,INDEX(KdoCodeTab,MATCH(I850,KdoWertTab,0)))),"ReadStat "&amp;H850))</f>
        <v>RepSpaceCmd</v>
      </c>
      <c r="K850" t="str">
        <f t="shared" si="145"/>
        <v/>
      </c>
      <c r="L850" t="str">
        <f t="shared" si="146"/>
        <v/>
      </c>
      <c r="M850" t="str">
        <f t="shared" si="147"/>
        <v>RepSpaceCmd</v>
      </c>
    </row>
    <row r="851" spans="1:13" x14ac:dyDescent="0.25">
      <c r="A851" t="s">
        <v>425</v>
      </c>
      <c r="B851" s="6">
        <f t="shared" si="148"/>
        <v>0.97483333333333333</v>
      </c>
      <c r="C851" s="9">
        <f t="shared" si="149"/>
        <v>58.666666666666643</v>
      </c>
      <c r="D851" s="8" t="str">
        <f t="shared" si="150"/>
        <v>W</v>
      </c>
      <c r="E851" s="3">
        <f t="shared" si="151"/>
        <v>101</v>
      </c>
      <c r="F851" s="3" t="str">
        <f t="shared" si="152"/>
        <v>ack</v>
      </c>
      <c r="G851" s="3" t="str">
        <f t="shared" si="153"/>
        <v>9C</v>
      </c>
      <c r="H851" s="3" t="str">
        <f t="shared" si="154"/>
        <v/>
      </c>
      <c r="I851" s="3">
        <f t="shared" si="155"/>
        <v>156</v>
      </c>
      <c r="J851" s="5" t="str">
        <f>IF(E851=0,"Broadcast",IF(H851="",IF(I851="","",IF(I851&lt;128,"Connect "&amp;I851,INDEX(KdoCodeTab,MATCH(I851,KdoWertTab,0)))),"ReadStat "&amp;H851))</f>
        <v>MarkCmd</v>
      </c>
      <c r="K851" t="str">
        <f t="shared" si="145"/>
        <v/>
      </c>
      <c r="L851" t="str">
        <f t="shared" si="146"/>
        <v/>
      </c>
      <c r="M851" t="str">
        <f t="shared" si="147"/>
        <v>MarkCmd</v>
      </c>
    </row>
    <row r="852" spans="1:13" x14ac:dyDescent="0.25">
      <c r="A852" t="s">
        <v>426</v>
      </c>
      <c r="B852" s="6">
        <f t="shared" si="148"/>
        <v>0.97566666666666668</v>
      </c>
      <c r="C852" s="9">
        <f t="shared" si="149"/>
        <v>0.83333333333335258</v>
      </c>
      <c r="D852" s="8" t="str">
        <f t="shared" si="150"/>
        <v>W</v>
      </c>
      <c r="E852" s="3">
        <f t="shared" si="151"/>
        <v>101</v>
      </c>
      <c r="F852" s="3" t="str">
        <f t="shared" si="152"/>
        <v>ack</v>
      </c>
      <c r="G852" s="3" t="str">
        <f t="shared" si="153"/>
        <v>9A</v>
      </c>
      <c r="H852" s="3" t="str">
        <f t="shared" si="154"/>
        <v/>
      </c>
      <c r="I852" s="3">
        <f t="shared" si="155"/>
        <v>154</v>
      </c>
      <c r="J852" s="5" t="str">
        <f>IF(E852=0,"Broadcast",IF(H852="",IF(I852="","",IF(I852&lt;128,"Connect "&amp;I852,INDEX(KdoCodeTab,MATCH(I852,KdoWertTab,0)))),"ReadStat "&amp;H852))</f>
        <v>RepMarkCmd</v>
      </c>
      <c r="K852" t="str">
        <f t="shared" si="145"/>
        <v/>
      </c>
      <c r="L852" t="str">
        <f t="shared" si="146"/>
        <v/>
      </c>
      <c r="M852" t="str">
        <f t="shared" si="147"/>
        <v>RepMarkCmd</v>
      </c>
    </row>
    <row r="853" spans="1:13" x14ac:dyDescent="0.25">
      <c r="A853" t="s">
        <v>427</v>
      </c>
      <c r="B853" s="6">
        <f t="shared" si="148"/>
        <v>0.99516666666666664</v>
      </c>
      <c r="C853" s="9">
        <f t="shared" si="149"/>
        <v>19.499999999999961</v>
      </c>
      <c r="D853" s="8" t="str">
        <f t="shared" si="150"/>
        <v>W</v>
      </c>
      <c r="E853" s="3">
        <f t="shared" si="151"/>
        <v>101</v>
      </c>
      <c r="F853" s="3" t="str">
        <f t="shared" si="152"/>
        <v>ack</v>
      </c>
      <c r="G853" s="3" t="str">
        <f t="shared" si="153"/>
        <v>93</v>
      </c>
      <c r="H853" s="3" t="str">
        <f t="shared" si="154"/>
        <v/>
      </c>
      <c r="I853" s="3">
        <f t="shared" si="155"/>
        <v>147</v>
      </c>
      <c r="J853" s="5" t="str">
        <f>IF(E853=0,"Broadcast",IF(H853="",IF(I853="","",IF(I853&lt;128,"Connect "&amp;I853,INDEX(KdoCodeTab,MATCH(I853,KdoWertTab,0)))),"ReadStat "&amp;H853))</f>
        <v>SpaceCmd</v>
      </c>
      <c r="K853" t="str">
        <f t="shared" si="145"/>
        <v/>
      </c>
      <c r="L853" t="str">
        <f t="shared" si="146"/>
        <v/>
      </c>
      <c r="M853" t="str">
        <f t="shared" si="147"/>
        <v>SpaceCmd</v>
      </c>
    </row>
    <row r="854" spans="1:13" x14ac:dyDescent="0.25">
      <c r="A854" t="s">
        <v>428</v>
      </c>
      <c r="B854" s="6">
        <f t="shared" si="148"/>
        <v>0.996</v>
      </c>
      <c r="C854" s="9">
        <f t="shared" si="149"/>
        <v>0.83333333333335258</v>
      </c>
      <c r="D854" s="8" t="str">
        <f t="shared" si="150"/>
        <v>W</v>
      </c>
      <c r="E854" s="3">
        <f t="shared" si="151"/>
        <v>101</v>
      </c>
      <c r="F854" s="3" t="str">
        <f t="shared" si="152"/>
        <v>ack</v>
      </c>
      <c r="G854" s="3" t="str">
        <f t="shared" si="153"/>
        <v>96</v>
      </c>
      <c r="H854" s="3" t="str">
        <f t="shared" si="154"/>
        <v/>
      </c>
      <c r="I854" s="3">
        <f t="shared" si="155"/>
        <v>150</v>
      </c>
      <c r="J854" s="5" t="str">
        <f>IF(E854=0,"Broadcast",IF(H854="",IF(I854="","",IF(I854&lt;128,"Connect "&amp;I854,INDEX(KdoCodeTab,MATCH(I854,KdoWertTab,0)))),"ReadStat "&amp;H854))</f>
        <v>RepSpaceCmd</v>
      </c>
      <c r="K854" t="str">
        <f t="shared" si="145"/>
        <v/>
      </c>
      <c r="L854" t="str">
        <f t="shared" si="146"/>
        <v/>
      </c>
      <c r="M854" t="str">
        <f t="shared" si="147"/>
        <v>RepSpaceCmd</v>
      </c>
    </row>
    <row r="855" spans="1:13" x14ac:dyDescent="0.25">
      <c r="A855" t="s">
        <v>429</v>
      </c>
      <c r="B855" s="6">
        <f t="shared" si="148"/>
        <v>1.0354999999999999</v>
      </c>
      <c r="C855" s="9">
        <f t="shared" si="149"/>
        <v>39.499999999999872</v>
      </c>
      <c r="D855" s="8" t="str">
        <f t="shared" si="150"/>
        <v>W</v>
      </c>
      <c r="E855" s="3">
        <f t="shared" si="151"/>
        <v>101</v>
      </c>
      <c r="F855" s="3" t="str">
        <f t="shared" si="152"/>
        <v>ack</v>
      </c>
      <c r="G855" s="3" t="str">
        <f t="shared" si="153"/>
        <v>9C</v>
      </c>
      <c r="H855" s="3" t="str">
        <f t="shared" si="154"/>
        <v/>
      </c>
      <c r="I855" s="3">
        <f t="shared" si="155"/>
        <v>156</v>
      </c>
      <c r="J855" s="5" t="str">
        <f>IF(E855=0,"Broadcast",IF(H855="",IF(I855="","",IF(I855&lt;128,"Connect "&amp;I855,INDEX(KdoCodeTab,MATCH(I855,KdoWertTab,0)))),"ReadStat "&amp;H855))</f>
        <v>MarkCmd</v>
      </c>
      <c r="K855" t="str">
        <f t="shared" si="145"/>
        <v/>
      </c>
      <c r="L855" t="str">
        <f t="shared" si="146"/>
        <v/>
      </c>
      <c r="M855" t="str">
        <f t="shared" si="147"/>
        <v>MarkCmd</v>
      </c>
    </row>
    <row r="856" spans="1:13" x14ac:dyDescent="0.25">
      <c r="A856" t="s">
        <v>430</v>
      </c>
      <c r="B856" s="6">
        <f t="shared" si="148"/>
        <v>1.0363333333333333</v>
      </c>
      <c r="C856" s="9">
        <f t="shared" si="149"/>
        <v>0.8333333333334636</v>
      </c>
      <c r="D856" s="8" t="str">
        <f t="shared" si="150"/>
        <v>W</v>
      </c>
      <c r="E856" s="3">
        <f t="shared" si="151"/>
        <v>101</v>
      </c>
      <c r="F856" s="3" t="str">
        <f t="shared" si="152"/>
        <v>ack</v>
      </c>
      <c r="G856" s="3" t="str">
        <f t="shared" si="153"/>
        <v>9A</v>
      </c>
      <c r="H856" s="3" t="str">
        <f t="shared" si="154"/>
        <v/>
      </c>
      <c r="I856" s="3">
        <f t="shared" si="155"/>
        <v>154</v>
      </c>
      <c r="J856" s="5" t="str">
        <f>IF(E856=0,"Broadcast",IF(H856="",IF(I856="","",IF(I856&lt;128,"Connect "&amp;I856,INDEX(KdoCodeTab,MATCH(I856,KdoWertTab,0)))),"ReadStat "&amp;H856))</f>
        <v>RepMarkCmd</v>
      </c>
      <c r="K856" t="str">
        <f t="shared" si="145"/>
        <v/>
      </c>
      <c r="L856" t="str">
        <f t="shared" si="146"/>
        <v/>
      </c>
      <c r="M856" t="str">
        <f t="shared" si="147"/>
        <v>RepMarkCmd</v>
      </c>
    </row>
    <row r="857" spans="1:13" x14ac:dyDescent="0.25">
      <c r="A857" t="s">
        <v>431</v>
      </c>
      <c r="B857" s="6">
        <f t="shared" si="148"/>
        <v>1.109</v>
      </c>
      <c r="C857" s="9">
        <f t="shared" si="149"/>
        <v>72.666666666666657</v>
      </c>
      <c r="D857" s="8" t="str">
        <f t="shared" si="150"/>
        <v>W</v>
      </c>
      <c r="E857" s="3">
        <f t="shared" si="151"/>
        <v>101</v>
      </c>
      <c r="F857" s="3" t="str">
        <f t="shared" si="152"/>
        <v>ack</v>
      </c>
      <c r="G857" s="3" t="str">
        <f t="shared" si="153"/>
        <v>A9</v>
      </c>
      <c r="H857" s="3" t="str">
        <f t="shared" si="154"/>
        <v/>
      </c>
      <c r="I857" s="3">
        <f t="shared" si="155"/>
        <v>169</v>
      </c>
      <c r="J857" s="5" t="str">
        <f>IF(E857=0,"Broadcast",IF(H857="",IF(I857="","",IF(I857&lt;128,"Connect "&amp;I857,INDEX(KdoCodeTab,MATCH(I857,KdoWertTab,0)))),"ReadStat "&amp;H857))</f>
        <v>Heartbeat</v>
      </c>
      <c r="K857" t="str">
        <f t="shared" si="145"/>
        <v/>
      </c>
      <c r="L857" t="str">
        <f t="shared" si="146"/>
        <v/>
      </c>
      <c r="M857" t="str">
        <f t="shared" si="147"/>
        <v>Heartbeat</v>
      </c>
    </row>
    <row r="858" spans="1:13" x14ac:dyDescent="0.25">
      <c r="A858" t="s">
        <v>432</v>
      </c>
      <c r="B858" s="6">
        <f t="shared" si="148"/>
        <v>1.1333333333333333</v>
      </c>
      <c r="C858" s="9">
        <f t="shared" si="149"/>
        <v>24.333333333333318</v>
      </c>
      <c r="D858" s="8" t="str">
        <f t="shared" si="150"/>
        <v>W</v>
      </c>
      <c r="E858" s="3">
        <f t="shared" si="151"/>
        <v>101</v>
      </c>
      <c r="F858" s="3" t="str">
        <f t="shared" si="152"/>
        <v>ack</v>
      </c>
      <c r="G858" s="3" t="str">
        <f t="shared" si="153"/>
        <v>93</v>
      </c>
      <c r="H858" s="3" t="str">
        <f t="shared" si="154"/>
        <v/>
      </c>
      <c r="I858" s="3">
        <f t="shared" si="155"/>
        <v>147</v>
      </c>
      <c r="J858" s="5" t="str">
        <f>IF(E858=0,"Broadcast",IF(H858="",IF(I858="","",IF(I858&lt;128,"Connect "&amp;I858,INDEX(KdoCodeTab,MATCH(I858,KdoWertTab,0)))),"ReadStat "&amp;H858))</f>
        <v>SpaceCmd</v>
      </c>
      <c r="K858" t="str">
        <f t="shared" si="145"/>
        <v/>
      </c>
      <c r="L858" t="str">
        <f t="shared" si="146"/>
        <v/>
      </c>
      <c r="M858" t="str">
        <f t="shared" si="147"/>
        <v>SpaceCmd</v>
      </c>
    </row>
    <row r="859" spans="1:13" x14ac:dyDescent="0.25">
      <c r="A859" t="s">
        <v>433</v>
      </c>
      <c r="B859" s="6">
        <f t="shared" si="148"/>
        <v>1.1343333333333332</v>
      </c>
      <c r="C859" s="9">
        <f t="shared" si="149"/>
        <v>0.99999999999988987</v>
      </c>
      <c r="D859" s="8" t="str">
        <f t="shared" si="150"/>
        <v>W</v>
      </c>
      <c r="E859" s="3">
        <f t="shared" si="151"/>
        <v>101</v>
      </c>
      <c r="F859" s="3" t="str">
        <f t="shared" si="152"/>
        <v>ack</v>
      </c>
      <c r="G859" s="3" t="str">
        <f t="shared" si="153"/>
        <v>96</v>
      </c>
      <c r="H859" s="3" t="str">
        <f t="shared" si="154"/>
        <v/>
      </c>
      <c r="I859" s="3">
        <f t="shared" si="155"/>
        <v>150</v>
      </c>
      <c r="J859" s="5" t="str">
        <f>IF(E859=0,"Broadcast",IF(H859="",IF(I859="","",IF(I859&lt;128,"Connect "&amp;I859,INDEX(KdoCodeTab,MATCH(I859,KdoWertTab,0)))),"ReadStat "&amp;H859))</f>
        <v>RepSpaceCmd</v>
      </c>
      <c r="K859" t="str">
        <f t="shared" si="145"/>
        <v/>
      </c>
      <c r="L859" t="str">
        <f t="shared" si="146"/>
        <v/>
      </c>
      <c r="M859" t="str">
        <f t="shared" si="147"/>
        <v>RepSpaceCmd</v>
      </c>
    </row>
    <row r="860" spans="1:13" x14ac:dyDescent="0.25">
      <c r="A860" t="s">
        <v>434</v>
      </c>
      <c r="B860" s="6">
        <f t="shared" si="148"/>
        <v>1.194</v>
      </c>
      <c r="C860" s="9">
        <f t="shared" si="149"/>
        <v>59.666666666666757</v>
      </c>
      <c r="D860" s="8" t="str">
        <f t="shared" si="150"/>
        <v>W</v>
      </c>
      <c r="E860" s="3">
        <f t="shared" si="151"/>
        <v>101</v>
      </c>
      <c r="F860" s="3" t="str">
        <f t="shared" si="152"/>
        <v>ack</v>
      </c>
      <c r="G860" s="3" t="str">
        <f t="shared" si="153"/>
        <v>9C</v>
      </c>
      <c r="H860" s="3" t="str">
        <f t="shared" si="154"/>
        <v/>
      </c>
      <c r="I860" s="3">
        <f t="shared" si="155"/>
        <v>156</v>
      </c>
      <c r="J860" s="5" t="str">
        <f>IF(E860=0,"Broadcast",IF(H860="",IF(I860="","",IF(I860&lt;128,"Connect "&amp;I860,INDEX(KdoCodeTab,MATCH(I860,KdoWertTab,0)))),"ReadStat "&amp;H860))</f>
        <v>MarkCmd</v>
      </c>
      <c r="K860" t="str">
        <f t="shared" si="145"/>
        <v/>
      </c>
      <c r="L860" t="str">
        <f t="shared" si="146"/>
        <v/>
      </c>
      <c r="M860" t="str">
        <f t="shared" si="147"/>
        <v>MarkCmd</v>
      </c>
    </row>
    <row r="861" spans="1:13" x14ac:dyDescent="0.25">
      <c r="A861" t="s">
        <v>435</v>
      </c>
      <c r="B861" s="6">
        <f t="shared" si="148"/>
        <v>1.1950000000000001</v>
      </c>
      <c r="C861" s="9">
        <f t="shared" si="149"/>
        <v>1.0000000000001119</v>
      </c>
      <c r="D861" s="8" t="str">
        <f t="shared" si="150"/>
        <v>W</v>
      </c>
      <c r="E861" s="3">
        <f t="shared" si="151"/>
        <v>101</v>
      </c>
      <c r="F861" s="3" t="str">
        <f t="shared" si="152"/>
        <v>ack</v>
      </c>
      <c r="G861" s="3" t="str">
        <f t="shared" si="153"/>
        <v>9A</v>
      </c>
      <c r="H861" s="3" t="str">
        <f t="shared" si="154"/>
        <v/>
      </c>
      <c r="I861" s="3">
        <f t="shared" si="155"/>
        <v>154</v>
      </c>
      <c r="J861" s="5" t="str">
        <f>IF(E861=0,"Broadcast",IF(H861="",IF(I861="","",IF(I861&lt;128,"Connect "&amp;I861,INDEX(KdoCodeTab,MATCH(I861,KdoWertTab,0)))),"ReadStat "&amp;H861))</f>
        <v>RepMarkCmd</v>
      </c>
      <c r="K861" t="str">
        <f t="shared" si="145"/>
        <v/>
      </c>
      <c r="L861" t="str">
        <f t="shared" si="146"/>
        <v/>
      </c>
      <c r="M861" t="str">
        <f t="shared" si="147"/>
        <v>RepMarkCmd</v>
      </c>
    </row>
    <row r="862" spans="1:13" x14ac:dyDescent="0.25">
      <c r="A862" t="s">
        <v>436</v>
      </c>
      <c r="B862" s="6">
        <f t="shared" si="148"/>
        <v>1.3265</v>
      </c>
      <c r="C862" s="9">
        <f t="shared" si="149"/>
        <v>131.49999999999994</v>
      </c>
      <c r="D862" s="8" t="str">
        <f t="shared" si="150"/>
        <v>W</v>
      </c>
      <c r="E862" s="3">
        <f t="shared" si="151"/>
        <v>31</v>
      </c>
      <c r="F862" s="3" t="str">
        <f t="shared" si="152"/>
        <v>ack</v>
      </c>
      <c r="G862" s="3" t="str">
        <f t="shared" si="153"/>
        <v>9A</v>
      </c>
      <c r="H862" s="3" t="str">
        <f t="shared" si="154"/>
        <v/>
      </c>
      <c r="I862" s="3">
        <f t="shared" si="155"/>
        <v>154</v>
      </c>
      <c r="J862" s="5" t="str">
        <f>IF(E862=0,"Broadcast",IF(H862="",IF(I862="","",IF(I862&lt;128,"Connect "&amp;I862,INDEX(KdoCodeTab,MATCH(I862,KdoWertTab,0)))),"ReadStat "&amp;H862))</f>
        <v>RepMarkCmd</v>
      </c>
      <c r="K862" t="str">
        <f t="shared" si="145"/>
        <v/>
      </c>
      <c r="L862" t="str">
        <f t="shared" si="146"/>
        <v>RepMarkCmd</v>
      </c>
      <c r="M862" t="str">
        <f t="shared" si="147"/>
        <v/>
      </c>
    </row>
    <row r="863" spans="1:13" x14ac:dyDescent="0.25">
      <c r="A863" t="s">
        <v>437</v>
      </c>
      <c r="B863" s="6">
        <f t="shared" si="148"/>
        <v>1.3818333333333332</v>
      </c>
      <c r="C863" s="9">
        <f t="shared" si="149"/>
        <v>55.333333333333236</v>
      </c>
      <c r="D863" s="8" t="str">
        <f t="shared" si="150"/>
        <v>W</v>
      </c>
      <c r="E863" s="3">
        <f t="shared" si="151"/>
        <v>101</v>
      </c>
      <c r="F863" s="3" t="str">
        <f t="shared" si="152"/>
        <v>ack</v>
      </c>
      <c r="G863" s="3" t="str">
        <f t="shared" si="153"/>
        <v>93</v>
      </c>
      <c r="H863" s="3" t="str">
        <f t="shared" si="154"/>
        <v/>
      </c>
      <c r="I863" s="3">
        <f t="shared" si="155"/>
        <v>147</v>
      </c>
      <c r="J863" s="5" t="str">
        <f>IF(E863=0,"Broadcast",IF(H863="",IF(I863="","",IF(I863&lt;128,"Connect "&amp;I863,INDEX(KdoCodeTab,MATCH(I863,KdoWertTab,0)))),"ReadStat "&amp;H863))</f>
        <v>SpaceCmd</v>
      </c>
      <c r="K863" t="str">
        <f t="shared" si="145"/>
        <v/>
      </c>
      <c r="L863" t="str">
        <f t="shared" si="146"/>
        <v/>
      </c>
      <c r="M863" t="str">
        <f t="shared" si="147"/>
        <v>SpaceCmd</v>
      </c>
    </row>
    <row r="864" spans="1:13" x14ac:dyDescent="0.25">
      <c r="A864" t="s">
        <v>438</v>
      </c>
      <c r="B864" s="6">
        <f t="shared" si="148"/>
        <v>1.3828333333333331</v>
      </c>
      <c r="C864" s="9">
        <f t="shared" si="149"/>
        <v>0.99999999999988987</v>
      </c>
      <c r="D864" s="8" t="str">
        <f t="shared" si="150"/>
        <v>W</v>
      </c>
      <c r="E864" s="3">
        <f t="shared" si="151"/>
        <v>101</v>
      </c>
      <c r="F864" s="3" t="str">
        <f t="shared" si="152"/>
        <v>ack</v>
      </c>
      <c r="G864" s="3" t="str">
        <f t="shared" si="153"/>
        <v>96</v>
      </c>
      <c r="H864" s="3" t="str">
        <f t="shared" si="154"/>
        <v/>
      </c>
      <c r="I864" s="3">
        <f t="shared" si="155"/>
        <v>150</v>
      </c>
      <c r="J864" s="5" t="str">
        <f>IF(E864=0,"Broadcast",IF(H864="",IF(I864="","",IF(I864&lt;128,"Connect "&amp;I864,INDEX(KdoCodeTab,MATCH(I864,KdoWertTab,0)))),"ReadStat "&amp;H864))</f>
        <v>RepSpaceCmd</v>
      </c>
      <c r="K864" t="str">
        <f t="shared" si="145"/>
        <v/>
      </c>
      <c r="L864" t="str">
        <f t="shared" si="146"/>
        <v/>
      </c>
      <c r="M864" t="str">
        <f t="shared" si="147"/>
        <v>RepSpaceCmd</v>
      </c>
    </row>
    <row r="865" spans="1:13" x14ac:dyDescent="0.25">
      <c r="A865" t="s">
        <v>439</v>
      </c>
      <c r="B865" s="6">
        <f t="shared" si="148"/>
        <v>1.4223333333333332</v>
      </c>
      <c r="C865" s="9">
        <f t="shared" si="149"/>
        <v>39.500000000000092</v>
      </c>
      <c r="D865" s="8" t="str">
        <f t="shared" si="150"/>
        <v>W</v>
      </c>
      <c r="E865" s="3">
        <f t="shared" si="151"/>
        <v>101</v>
      </c>
      <c r="F865" s="3" t="str">
        <f t="shared" si="152"/>
        <v>ack</v>
      </c>
      <c r="G865" s="3" t="str">
        <f t="shared" si="153"/>
        <v>9C</v>
      </c>
      <c r="H865" s="3" t="str">
        <f t="shared" si="154"/>
        <v/>
      </c>
      <c r="I865" s="3">
        <f t="shared" si="155"/>
        <v>156</v>
      </c>
      <c r="J865" s="5" t="str">
        <f>IF(E865=0,"Broadcast",IF(H865="",IF(I865="","",IF(I865&lt;128,"Connect "&amp;I865,INDEX(KdoCodeTab,MATCH(I865,KdoWertTab,0)))),"ReadStat "&amp;H865))</f>
        <v>MarkCmd</v>
      </c>
      <c r="K865" t="str">
        <f t="shared" si="145"/>
        <v/>
      </c>
      <c r="L865" t="str">
        <f t="shared" si="146"/>
        <v/>
      </c>
      <c r="M865" t="str">
        <f t="shared" si="147"/>
        <v>MarkCmd</v>
      </c>
    </row>
    <row r="866" spans="1:13" x14ac:dyDescent="0.25">
      <c r="A866" t="s">
        <v>440</v>
      </c>
      <c r="B866" s="6">
        <f t="shared" si="148"/>
        <v>1.4233333333333333</v>
      </c>
      <c r="C866" s="9">
        <f t="shared" si="149"/>
        <v>1.0000000000001119</v>
      </c>
      <c r="D866" s="8" t="str">
        <f t="shared" si="150"/>
        <v>W</v>
      </c>
      <c r="E866" s="3">
        <f t="shared" si="151"/>
        <v>101</v>
      </c>
      <c r="F866" s="3" t="str">
        <f t="shared" si="152"/>
        <v>ack</v>
      </c>
      <c r="G866" s="3" t="str">
        <f t="shared" si="153"/>
        <v>9A</v>
      </c>
      <c r="H866" s="3" t="str">
        <f t="shared" si="154"/>
        <v/>
      </c>
      <c r="I866" s="3">
        <f t="shared" si="155"/>
        <v>154</v>
      </c>
      <c r="J866" s="5" t="str">
        <f>IF(E866=0,"Broadcast",IF(H866="",IF(I866="","",IF(I866&lt;128,"Connect "&amp;I866,INDEX(KdoCodeTab,MATCH(I866,KdoWertTab,0)))),"ReadStat "&amp;H866))</f>
        <v>RepMarkCmd</v>
      </c>
      <c r="K866" t="str">
        <f t="shared" si="145"/>
        <v/>
      </c>
      <c r="L866" t="str">
        <f t="shared" si="146"/>
        <v/>
      </c>
      <c r="M866" t="str">
        <f t="shared" si="147"/>
        <v>RepMarkCmd</v>
      </c>
    </row>
    <row r="867" spans="1:13" x14ac:dyDescent="0.25">
      <c r="A867" t="s">
        <v>441</v>
      </c>
      <c r="B867" s="6">
        <f t="shared" si="148"/>
        <v>1.4628333333333332</v>
      </c>
      <c r="C867" s="9">
        <f t="shared" si="149"/>
        <v>39.499999999999872</v>
      </c>
      <c r="D867" s="8" t="str">
        <f t="shared" si="150"/>
        <v>W</v>
      </c>
      <c r="E867" s="3">
        <f t="shared" si="151"/>
        <v>101</v>
      </c>
      <c r="F867" s="3" t="str">
        <f t="shared" si="152"/>
        <v>ack</v>
      </c>
      <c r="G867" s="3" t="str">
        <f t="shared" si="153"/>
        <v>93</v>
      </c>
      <c r="H867" s="3" t="str">
        <f t="shared" si="154"/>
        <v/>
      </c>
      <c r="I867" s="3">
        <f t="shared" si="155"/>
        <v>147</v>
      </c>
      <c r="J867" s="5" t="str">
        <f>IF(E867=0,"Broadcast",IF(H867="",IF(I867="","",IF(I867&lt;128,"Connect "&amp;I867,INDEX(KdoCodeTab,MATCH(I867,KdoWertTab,0)))),"ReadStat "&amp;H867))</f>
        <v>SpaceCmd</v>
      </c>
      <c r="K867" t="str">
        <f t="shared" si="145"/>
        <v/>
      </c>
      <c r="L867" t="str">
        <f t="shared" si="146"/>
        <v/>
      </c>
      <c r="M867" t="str">
        <f t="shared" si="147"/>
        <v>SpaceCmd</v>
      </c>
    </row>
    <row r="868" spans="1:13" x14ac:dyDescent="0.25">
      <c r="A868" t="s">
        <v>442</v>
      </c>
      <c r="B868" s="6">
        <f t="shared" si="148"/>
        <v>1.4636666666666667</v>
      </c>
      <c r="C868" s="9">
        <f t="shared" si="149"/>
        <v>0.8333333333334636</v>
      </c>
      <c r="D868" s="8" t="str">
        <f t="shared" si="150"/>
        <v>W</v>
      </c>
      <c r="E868" s="3">
        <f t="shared" si="151"/>
        <v>101</v>
      </c>
      <c r="F868" s="3" t="str">
        <f t="shared" si="152"/>
        <v>ack</v>
      </c>
      <c r="G868" s="3" t="str">
        <f t="shared" si="153"/>
        <v>96</v>
      </c>
      <c r="H868" s="3" t="str">
        <f t="shared" si="154"/>
        <v/>
      </c>
      <c r="I868" s="3">
        <f t="shared" si="155"/>
        <v>150</v>
      </c>
      <c r="J868" s="5" t="str">
        <f>IF(E868=0,"Broadcast",IF(H868="",IF(I868="","",IF(I868&lt;128,"Connect "&amp;I868,INDEX(KdoCodeTab,MATCH(I868,KdoWertTab,0)))),"ReadStat "&amp;H868))</f>
        <v>RepSpaceCmd</v>
      </c>
      <c r="K868" t="str">
        <f t="shared" si="145"/>
        <v/>
      </c>
      <c r="L868" t="str">
        <f t="shared" si="146"/>
        <v/>
      </c>
      <c r="M868" t="str">
        <f t="shared" si="147"/>
        <v>RepSpaceCmd</v>
      </c>
    </row>
    <row r="869" spans="1:13" x14ac:dyDescent="0.25">
      <c r="A869" t="s">
        <v>443</v>
      </c>
      <c r="B869" s="6">
        <f t="shared" si="148"/>
        <v>1.5021666666666667</v>
      </c>
      <c r="C869" s="9">
        <f t="shared" si="149"/>
        <v>38.499999999999979</v>
      </c>
      <c r="D869" s="8" t="str">
        <f t="shared" si="150"/>
        <v>W</v>
      </c>
      <c r="E869" s="3">
        <f t="shared" si="151"/>
        <v>101</v>
      </c>
      <c r="F869" s="3" t="str">
        <f t="shared" si="152"/>
        <v>ack</v>
      </c>
      <c r="G869" s="3" t="str">
        <f t="shared" si="153"/>
        <v>9C</v>
      </c>
      <c r="H869" s="3" t="str">
        <f t="shared" si="154"/>
        <v/>
      </c>
      <c r="I869" s="3">
        <f t="shared" si="155"/>
        <v>156</v>
      </c>
      <c r="J869" s="5" t="str">
        <f>IF(E869=0,"Broadcast",IF(H869="",IF(I869="","",IF(I869&lt;128,"Connect "&amp;I869,INDEX(KdoCodeTab,MATCH(I869,KdoWertTab,0)))),"ReadStat "&amp;H869))</f>
        <v>MarkCmd</v>
      </c>
      <c r="K869" t="str">
        <f t="shared" si="145"/>
        <v/>
      </c>
      <c r="L869" t="str">
        <f t="shared" si="146"/>
        <v/>
      </c>
      <c r="M869" t="str">
        <f t="shared" si="147"/>
        <v>MarkCmd</v>
      </c>
    </row>
    <row r="870" spans="1:13" x14ac:dyDescent="0.25">
      <c r="A870" t="s">
        <v>444</v>
      </c>
      <c r="B870" s="6">
        <f t="shared" si="148"/>
        <v>1.5031666666666665</v>
      </c>
      <c r="C870" s="9">
        <f t="shared" si="149"/>
        <v>0.99999999999988987</v>
      </c>
      <c r="D870" s="8" t="str">
        <f t="shared" si="150"/>
        <v>W</v>
      </c>
      <c r="E870" s="3">
        <f t="shared" si="151"/>
        <v>101</v>
      </c>
      <c r="F870" s="3" t="str">
        <f t="shared" si="152"/>
        <v>ack</v>
      </c>
      <c r="G870" s="3" t="str">
        <f t="shared" si="153"/>
        <v>9A</v>
      </c>
      <c r="H870" s="3" t="str">
        <f t="shared" si="154"/>
        <v/>
      </c>
      <c r="I870" s="3">
        <f t="shared" si="155"/>
        <v>154</v>
      </c>
      <c r="J870" s="5" t="str">
        <f>IF(E870=0,"Broadcast",IF(H870="",IF(I870="","",IF(I870&lt;128,"Connect "&amp;I870,INDEX(KdoCodeTab,MATCH(I870,KdoWertTab,0)))),"ReadStat "&amp;H870))</f>
        <v>RepMarkCmd</v>
      </c>
      <c r="K870" t="str">
        <f t="shared" si="145"/>
        <v/>
      </c>
      <c r="L870" t="str">
        <f t="shared" si="146"/>
        <v/>
      </c>
      <c r="M870" t="str">
        <f t="shared" si="147"/>
        <v>RepMarkCmd</v>
      </c>
    </row>
    <row r="871" spans="1:13" x14ac:dyDescent="0.25">
      <c r="A871" t="s">
        <v>445</v>
      </c>
      <c r="B871" s="6">
        <f t="shared" si="148"/>
        <v>1.5425</v>
      </c>
      <c r="C871" s="9">
        <f t="shared" si="149"/>
        <v>39.333333333333442</v>
      </c>
      <c r="D871" s="8" t="str">
        <f t="shared" si="150"/>
        <v>W</v>
      </c>
      <c r="E871" s="3">
        <f t="shared" si="151"/>
        <v>101</v>
      </c>
      <c r="F871" s="3" t="str">
        <f t="shared" si="152"/>
        <v>ack</v>
      </c>
      <c r="G871" s="3" t="str">
        <f t="shared" si="153"/>
        <v>93</v>
      </c>
      <c r="H871" s="3" t="str">
        <f t="shared" si="154"/>
        <v/>
      </c>
      <c r="I871" s="3">
        <f t="shared" si="155"/>
        <v>147</v>
      </c>
      <c r="J871" s="5" t="str">
        <f>IF(E871=0,"Broadcast",IF(H871="",IF(I871="","",IF(I871&lt;128,"Connect "&amp;I871,INDEX(KdoCodeTab,MATCH(I871,KdoWertTab,0)))),"ReadStat "&amp;H871))</f>
        <v>SpaceCmd</v>
      </c>
      <c r="K871" t="str">
        <f t="shared" si="145"/>
        <v/>
      </c>
      <c r="L871" t="str">
        <f t="shared" si="146"/>
        <v/>
      </c>
      <c r="M871" t="str">
        <f t="shared" si="147"/>
        <v>SpaceCmd</v>
      </c>
    </row>
    <row r="872" spans="1:13" x14ac:dyDescent="0.25">
      <c r="A872" t="s">
        <v>446</v>
      </c>
      <c r="B872" s="6">
        <f t="shared" si="148"/>
        <v>1.5434999999999999</v>
      </c>
      <c r="C872" s="9">
        <f t="shared" si="149"/>
        <v>0.99999999999988987</v>
      </c>
      <c r="D872" s="8" t="str">
        <f t="shared" si="150"/>
        <v>W</v>
      </c>
      <c r="E872" s="3">
        <f t="shared" si="151"/>
        <v>101</v>
      </c>
      <c r="F872" s="3" t="str">
        <f t="shared" si="152"/>
        <v>ack</v>
      </c>
      <c r="G872" s="3" t="str">
        <f t="shared" si="153"/>
        <v>96</v>
      </c>
      <c r="H872" s="3" t="str">
        <f t="shared" si="154"/>
        <v/>
      </c>
      <c r="I872" s="3">
        <f t="shared" si="155"/>
        <v>150</v>
      </c>
      <c r="J872" s="5" t="str">
        <f>IF(E872=0,"Broadcast",IF(H872="",IF(I872="","",IF(I872&lt;128,"Connect "&amp;I872,INDEX(KdoCodeTab,MATCH(I872,KdoWertTab,0)))),"ReadStat "&amp;H872))</f>
        <v>RepSpaceCmd</v>
      </c>
      <c r="K872" t="str">
        <f t="shared" si="145"/>
        <v/>
      </c>
      <c r="L872" t="str">
        <f t="shared" si="146"/>
        <v/>
      </c>
      <c r="M872" t="str">
        <f t="shared" si="147"/>
        <v>RepSpaceCmd</v>
      </c>
    </row>
    <row r="873" spans="1:13" x14ac:dyDescent="0.25">
      <c r="A873" t="s">
        <v>447</v>
      </c>
      <c r="B873" s="6">
        <f t="shared" si="148"/>
        <v>1.6424999999999998</v>
      </c>
      <c r="C873" s="9">
        <f t="shared" si="149"/>
        <v>98.999999999999972</v>
      </c>
      <c r="D873" s="8" t="str">
        <f t="shared" si="150"/>
        <v>W</v>
      </c>
      <c r="E873" s="3">
        <f t="shared" si="151"/>
        <v>101</v>
      </c>
      <c r="F873" s="3" t="str">
        <f t="shared" si="152"/>
        <v>ack</v>
      </c>
      <c r="G873" s="3" t="str">
        <f t="shared" si="153"/>
        <v>9C</v>
      </c>
      <c r="H873" s="3" t="str">
        <f t="shared" si="154"/>
        <v/>
      </c>
      <c r="I873" s="3">
        <f t="shared" si="155"/>
        <v>156</v>
      </c>
      <c r="J873" s="5" t="str">
        <f>IF(E873=0,"Broadcast",IF(H873="",IF(I873="","",IF(I873&lt;128,"Connect "&amp;I873,INDEX(KdoCodeTab,MATCH(I873,KdoWertTab,0)))),"ReadStat "&amp;H873))</f>
        <v>MarkCmd</v>
      </c>
      <c r="K873" t="str">
        <f t="shared" si="145"/>
        <v/>
      </c>
      <c r="L873" t="str">
        <f t="shared" si="146"/>
        <v/>
      </c>
      <c r="M873" t="str">
        <f t="shared" si="147"/>
        <v>MarkCmd</v>
      </c>
    </row>
    <row r="874" spans="1:13" x14ac:dyDescent="0.25">
      <c r="A874" t="s">
        <v>448</v>
      </c>
      <c r="B874" s="6">
        <f t="shared" si="148"/>
        <v>1.6435</v>
      </c>
      <c r="C874" s="9">
        <f t="shared" si="149"/>
        <v>1.0000000000001119</v>
      </c>
      <c r="D874" s="8" t="str">
        <f t="shared" si="150"/>
        <v>W</v>
      </c>
      <c r="E874" s="3">
        <f t="shared" si="151"/>
        <v>101</v>
      </c>
      <c r="F874" s="3" t="str">
        <f t="shared" si="152"/>
        <v>ack</v>
      </c>
      <c r="G874" s="3" t="str">
        <f t="shared" si="153"/>
        <v>9A</v>
      </c>
      <c r="H874" s="3" t="str">
        <f t="shared" si="154"/>
        <v/>
      </c>
      <c r="I874" s="3">
        <f t="shared" si="155"/>
        <v>154</v>
      </c>
      <c r="J874" s="5" t="str">
        <f>IF(E874=0,"Broadcast",IF(H874="",IF(I874="","",IF(I874&lt;128,"Connect "&amp;I874,INDEX(KdoCodeTab,MATCH(I874,KdoWertTab,0)))),"ReadStat "&amp;H874))</f>
        <v>RepMarkCmd</v>
      </c>
      <c r="K874" t="str">
        <f t="shared" si="145"/>
        <v/>
      </c>
      <c r="L874" t="str">
        <f t="shared" si="146"/>
        <v/>
      </c>
      <c r="M874" t="str">
        <f t="shared" si="147"/>
        <v>RepMarkCmd</v>
      </c>
    </row>
    <row r="875" spans="1:13" x14ac:dyDescent="0.25">
      <c r="A875" t="s">
        <v>449</v>
      </c>
      <c r="B875" s="6">
        <f t="shared" si="148"/>
        <v>1.7456666666666667</v>
      </c>
      <c r="C875" s="9">
        <f t="shared" si="149"/>
        <v>102.16666666666674</v>
      </c>
      <c r="D875" s="8" t="str">
        <f t="shared" si="150"/>
        <v>W</v>
      </c>
      <c r="E875" s="3">
        <f t="shared" si="151"/>
        <v>101</v>
      </c>
      <c r="F875" s="3" t="str">
        <f t="shared" si="152"/>
        <v>ack</v>
      </c>
      <c r="G875" s="3" t="str">
        <f t="shared" si="153"/>
        <v>93</v>
      </c>
      <c r="H875" s="3" t="str">
        <f t="shared" si="154"/>
        <v/>
      </c>
      <c r="I875" s="3">
        <f t="shared" si="155"/>
        <v>147</v>
      </c>
      <c r="J875" s="5" t="str">
        <f>IF(E875=0,"Broadcast",IF(H875="",IF(I875="","",IF(I875&lt;128,"Connect "&amp;I875,INDEX(KdoCodeTab,MATCH(I875,KdoWertTab,0)))),"ReadStat "&amp;H875))</f>
        <v>SpaceCmd</v>
      </c>
      <c r="K875" t="str">
        <f t="shared" si="145"/>
        <v/>
      </c>
      <c r="L875" t="str">
        <f t="shared" si="146"/>
        <v/>
      </c>
      <c r="M875" t="str">
        <f t="shared" si="147"/>
        <v>SpaceCmd</v>
      </c>
    </row>
    <row r="876" spans="1:13" x14ac:dyDescent="0.25">
      <c r="A876" t="s">
        <v>450</v>
      </c>
      <c r="B876" s="6">
        <f t="shared" si="148"/>
        <v>1.7464999999999999</v>
      </c>
      <c r="C876" s="9">
        <f t="shared" si="149"/>
        <v>0.83333333333324155</v>
      </c>
      <c r="D876" s="8" t="str">
        <f t="shared" si="150"/>
        <v>W</v>
      </c>
      <c r="E876" s="3">
        <f t="shared" si="151"/>
        <v>101</v>
      </c>
      <c r="F876" s="3" t="str">
        <f t="shared" si="152"/>
        <v>ack</v>
      </c>
      <c r="G876" s="3" t="str">
        <f t="shared" si="153"/>
        <v>96</v>
      </c>
      <c r="H876" s="3" t="str">
        <f t="shared" si="154"/>
        <v/>
      </c>
      <c r="I876" s="3">
        <f t="shared" si="155"/>
        <v>150</v>
      </c>
      <c r="J876" s="5" t="str">
        <f>IF(E876=0,"Broadcast",IF(H876="",IF(I876="","",IF(I876&lt;128,"Connect "&amp;I876,INDEX(KdoCodeTab,MATCH(I876,KdoWertTab,0)))),"ReadStat "&amp;H876))</f>
        <v>RepSpaceCmd</v>
      </c>
      <c r="K876" t="str">
        <f t="shared" si="145"/>
        <v/>
      </c>
      <c r="L876" t="str">
        <f t="shared" si="146"/>
        <v/>
      </c>
      <c r="M876" t="str">
        <f t="shared" si="147"/>
        <v>RepSpaceCmd</v>
      </c>
    </row>
    <row r="877" spans="1:13" x14ac:dyDescent="0.25">
      <c r="A877" t="s">
        <v>451</v>
      </c>
      <c r="B877" s="6">
        <f t="shared" si="148"/>
        <v>1.7909999999999999</v>
      </c>
      <c r="C877" s="9">
        <f t="shared" si="149"/>
        <v>44.499999999999986</v>
      </c>
      <c r="D877" s="8" t="str">
        <f t="shared" si="150"/>
        <v>W</v>
      </c>
      <c r="E877" s="3">
        <f t="shared" si="151"/>
        <v>101</v>
      </c>
      <c r="F877" s="3" t="str">
        <f t="shared" si="152"/>
        <v>ack</v>
      </c>
      <c r="G877" s="3" t="str">
        <f t="shared" si="153"/>
        <v>A9</v>
      </c>
      <c r="H877" s="3" t="str">
        <f t="shared" si="154"/>
        <v/>
      </c>
      <c r="I877" s="3">
        <f t="shared" si="155"/>
        <v>169</v>
      </c>
      <c r="J877" s="5" t="str">
        <f>IF(E877=0,"Broadcast",IF(H877="",IF(I877="","",IF(I877&lt;128,"Connect "&amp;I877,INDEX(KdoCodeTab,MATCH(I877,KdoWertTab,0)))),"ReadStat "&amp;H877))</f>
        <v>Heartbeat</v>
      </c>
      <c r="K877" t="str">
        <f t="shared" si="145"/>
        <v/>
      </c>
      <c r="L877" t="str">
        <f t="shared" si="146"/>
        <v/>
      </c>
      <c r="M877" t="str">
        <f t="shared" si="147"/>
        <v>Heartbeat</v>
      </c>
    </row>
    <row r="878" spans="1:13" x14ac:dyDescent="0.25">
      <c r="A878" t="s">
        <v>452</v>
      </c>
      <c r="B878" s="6">
        <f t="shared" si="148"/>
        <v>1.8053333333333332</v>
      </c>
      <c r="C878" s="9">
        <f t="shared" si="149"/>
        <v>14.333333333333309</v>
      </c>
      <c r="D878" s="8" t="str">
        <f t="shared" si="150"/>
        <v>W</v>
      </c>
      <c r="E878" s="3">
        <f t="shared" si="151"/>
        <v>101</v>
      </c>
      <c r="F878" s="3" t="str">
        <f t="shared" si="152"/>
        <v>ack</v>
      </c>
      <c r="G878" s="3" t="str">
        <f t="shared" si="153"/>
        <v>9C</v>
      </c>
      <c r="H878" s="3" t="str">
        <f t="shared" si="154"/>
        <v/>
      </c>
      <c r="I878" s="3">
        <f t="shared" si="155"/>
        <v>156</v>
      </c>
      <c r="J878" s="5" t="str">
        <f>IF(E878=0,"Broadcast",IF(H878="",IF(I878="","",IF(I878&lt;128,"Connect "&amp;I878,INDEX(KdoCodeTab,MATCH(I878,KdoWertTab,0)))),"ReadStat "&amp;H878))</f>
        <v>MarkCmd</v>
      </c>
      <c r="K878" t="str">
        <f t="shared" si="145"/>
        <v/>
      </c>
      <c r="L878" t="str">
        <f t="shared" si="146"/>
        <v/>
      </c>
      <c r="M878" t="str">
        <f t="shared" si="147"/>
        <v>MarkCmd</v>
      </c>
    </row>
    <row r="879" spans="1:13" x14ac:dyDescent="0.25">
      <c r="A879" t="s">
        <v>453</v>
      </c>
      <c r="B879" s="6">
        <f t="shared" si="148"/>
        <v>1.8061666666666667</v>
      </c>
      <c r="C879" s="9">
        <f t="shared" si="149"/>
        <v>0.8333333333334636</v>
      </c>
      <c r="D879" s="8" t="str">
        <f t="shared" si="150"/>
        <v>W</v>
      </c>
      <c r="E879" s="3">
        <f t="shared" si="151"/>
        <v>101</v>
      </c>
      <c r="F879" s="3" t="str">
        <f t="shared" si="152"/>
        <v>ack</v>
      </c>
      <c r="G879" s="3" t="str">
        <f t="shared" si="153"/>
        <v>9A</v>
      </c>
      <c r="H879" s="3" t="str">
        <f t="shared" si="154"/>
        <v/>
      </c>
      <c r="I879" s="3">
        <f t="shared" si="155"/>
        <v>154</v>
      </c>
      <c r="J879" s="5" t="str">
        <f>IF(E879=0,"Broadcast",IF(H879="",IF(I879="","",IF(I879&lt;128,"Connect "&amp;I879,INDEX(KdoCodeTab,MATCH(I879,KdoWertTab,0)))),"ReadStat "&amp;H879))</f>
        <v>RepMarkCmd</v>
      </c>
      <c r="K879" t="str">
        <f t="shared" si="145"/>
        <v/>
      </c>
      <c r="L879" t="str">
        <f t="shared" si="146"/>
        <v/>
      </c>
      <c r="M879" t="str">
        <f t="shared" si="147"/>
        <v>RepMarkCmd</v>
      </c>
    </row>
    <row r="880" spans="1:13" x14ac:dyDescent="0.25">
      <c r="A880" t="s">
        <v>454</v>
      </c>
      <c r="B880" s="6">
        <f t="shared" si="148"/>
        <v>1.8254999999999999</v>
      </c>
      <c r="C880" s="9">
        <f t="shared" si="149"/>
        <v>19.333333333333201</v>
      </c>
      <c r="D880" s="8" t="str">
        <f t="shared" si="150"/>
        <v>W</v>
      </c>
      <c r="E880" s="3">
        <f t="shared" si="151"/>
        <v>101</v>
      </c>
      <c r="F880" s="3" t="str">
        <f t="shared" si="152"/>
        <v>ack</v>
      </c>
      <c r="G880" s="3" t="str">
        <f t="shared" si="153"/>
        <v>93</v>
      </c>
      <c r="H880" s="3" t="str">
        <f t="shared" si="154"/>
        <v/>
      </c>
      <c r="I880" s="3">
        <f t="shared" si="155"/>
        <v>147</v>
      </c>
      <c r="J880" s="5" t="str">
        <f>IF(E880=0,"Broadcast",IF(H880="",IF(I880="","",IF(I880&lt;128,"Connect "&amp;I880,INDEX(KdoCodeTab,MATCH(I880,KdoWertTab,0)))),"ReadStat "&amp;H880))</f>
        <v>SpaceCmd</v>
      </c>
      <c r="K880" t="str">
        <f t="shared" si="145"/>
        <v/>
      </c>
      <c r="L880" t="str">
        <f t="shared" si="146"/>
        <v/>
      </c>
      <c r="M880" t="str">
        <f t="shared" si="147"/>
        <v>SpaceCmd</v>
      </c>
    </row>
    <row r="881" spans="1:13" x14ac:dyDescent="0.25">
      <c r="A881" t="s">
        <v>455</v>
      </c>
      <c r="B881" s="6">
        <f t="shared" si="148"/>
        <v>1.8263333333333334</v>
      </c>
      <c r="C881" s="9">
        <f t="shared" si="149"/>
        <v>0.8333333333334636</v>
      </c>
      <c r="D881" s="8" t="str">
        <f t="shared" si="150"/>
        <v>W</v>
      </c>
      <c r="E881" s="3">
        <f t="shared" si="151"/>
        <v>101</v>
      </c>
      <c r="F881" s="3" t="str">
        <f t="shared" si="152"/>
        <v>ack</v>
      </c>
      <c r="G881" s="3" t="str">
        <f t="shared" si="153"/>
        <v>96</v>
      </c>
      <c r="H881" s="3" t="str">
        <f t="shared" si="154"/>
        <v/>
      </c>
      <c r="I881" s="3">
        <f t="shared" si="155"/>
        <v>150</v>
      </c>
      <c r="J881" s="5" t="str">
        <f>IF(E881=0,"Broadcast",IF(H881="",IF(I881="","",IF(I881&lt;128,"Connect "&amp;I881,INDEX(KdoCodeTab,MATCH(I881,KdoWertTab,0)))),"ReadStat "&amp;H881))</f>
        <v>RepSpaceCmd</v>
      </c>
      <c r="K881" t="str">
        <f t="shared" si="145"/>
        <v/>
      </c>
      <c r="L881" t="str">
        <f t="shared" si="146"/>
        <v/>
      </c>
      <c r="M881" t="str">
        <f t="shared" si="147"/>
        <v>RepSpaceCmd</v>
      </c>
    </row>
    <row r="882" spans="1:13" x14ac:dyDescent="0.25">
      <c r="A882" t="s">
        <v>456</v>
      </c>
      <c r="B882" s="6">
        <f t="shared" si="148"/>
        <v>1.8325</v>
      </c>
      <c r="C882" s="9">
        <f t="shared" si="149"/>
        <v>6.1666666666666536</v>
      </c>
      <c r="D882" s="8" t="str">
        <f t="shared" si="150"/>
        <v>W</v>
      </c>
      <c r="E882" s="3">
        <f t="shared" si="151"/>
        <v>31</v>
      </c>
      <c r="F882" s="3" t="str">
        <f t="shared" si="152"/>
        <v>ack</v>
      </c>
      <c r="G882" s="3" t="str">
        <f t="shared" si="153"/>
        <v>9A</v>
      </c>
      <c r="H882" s="3" t="str">
        <f t="shared" si="154"/>
        <v/>
      </c>
      <c r="I882" s="3">
        <f t="shared" si="155"/>
        <v>154</v>
      </c>
      <c r="J882" s="5" t="str">
        <f>IF(E882=0,"Broadcast",IF(H882="",IF(I882="","",IF(I882&lt;128,"Connect "&amp;I882,INDEX(KdoCodeTab,MATCH(I882,KdoWertTab,0)))),"ReadStat "&amp;H882))</f>
        <v>RepMarkCmd</v>
      </c>
      <c r="K882" t="str">
        <f t="shared" si="145"/>
        <v/>
      </c>
      <c r="L882" t="str">
        <f t="shared" si="146"/>
        <v>RepMarkCmd</v>
      </c>
      <c r="M882" t="str">
        <f t="shared" si="147"/>
        <v/>
      </c>
    </row>
    <row r="883" spans="1:13" x14ac:dyDescent="0.25">
      <c r="A883" t="s">
        <v>457</v>
      </c>
      <c r="B883" s="6">
        <f t="shared" si="148"/>
        <v>1.8658333333333332</v>
      </c>
      <c r="C883" s="9">
        <f t="shared" si="149"/>
        <v>33.333333333333215</v>
      </c>
      <c r="D883" s="8" t="str">
        <f t="shared" si="150"/>
        <v>W</v>
      </c>
      <c r="E883" s="3">
        <f t="shared" si="151"/>
        <v>101</v>
      </c>
      <c r="F883" s="3" t="str">
        <f t="shared" si="152"/>
        <v>ack</v>
      </c>
      <c r="G883" s="3" t="str">
        <f t="shared" si="153"/>
        <v>9C</v>
      </c>
      <c r="H883" s="3" t="str">
        <f t="shared" si="154"/>
        <v/>
      </c>
      <c r="I883" s="3">
        <f t="shared" si="155"/>
        <v>156</v>
      </c>
      <c r="J883" s="5" t="str">
        <f>IF(E883=0,"Broadcast",IF(H883="",IF(I883="","",IF(I883&lt;128,"Connect "&amp;I883,INDEX(KdoCodeTab,MATCH(I883,KdoWertTab,0)))),"ReadStat "&amp;H883))</f>
        <v>MarkCmd</v>
      </c>
      <c r="K883" t="str">
        <f t="shared" si="145"/>
        <v/>
      </c>
      <c r="L883" t="str">
        <f t="shared" si="146"/>
        <v/>
      </c>
      <c r="M883" t="str">
        <f t="shared" si="147"/>
        <v>MarkCmd</v>
      </c>
    </row>
    <row r="884" spans="1:13" x14ac:dyDescent="0.25">
      <c r="A884" t="s">
        <v>458</v>
      </c>
      <c r="B884" s="6">
        <f t="shared" si="148"/>
        <v>1.8666666666666667</v>
      </c>
      <c r="C884" s="9">
        <f t="shared" si="149"/>
        <v>0.8333333333334636</v>
      </c>
      <c r="D884" s="8" t="str">
        <f t="shared" si="150"/>
        <v>W</v>
      </c>
      <c r="E884" s="3">
        <f t="shared" si="151"/>
        <v>101</v>
      </c>
      <c r="F884" s="3" t="str">
        <f t="shared" si="152"/>
        <v>ack</v>
      </c>
      <c r="G884" s="3" t="str">
        <f t="shared" si="153"/>
        <v>9A</v>
      </c>
      <c r="H884" s="3" t="str">
        <f t="shared" si="154"/>
        <v/>
      </c>
      <c r="I884" s="3">
        <f t="shared" si="155"/>
        <v>154</v>
      </c>
      <c r="J884" s="5" t="str">
        <f>IF(E884=0,"Broadcast",IF(H884="",IF(I884="","",IF(I884&lt;128,"Connect "&amp;I884,INDEX(KdoCodeTab,MATCH(I884,KdoWertTab,0)))),"ReadStat "&amp;H884))</f>
        <v>RepMarkCmd</v>
      </c>
      <c r="K884" t="str">
        <f t="shared" si="145"/>
        <v/>
      </c>
      <c r="L884" t="str">
        <f t="shared" si="146"/>
        <v/>
      </c>
      <c r="M884" t="str">
        <f t="shared" si="147"/>
        <v>RepMarkCmd</v>
      </c>
    </row>
    <row r="885" spans="1:13" x14ac:dyDescent="0.25">
      <c r="A885" t="s">
        <v>459</v>
      </c>
      <c r="B885" s="6">
        <f t="shared" si="148"/>
        <v>1.9546666666666666</v>
      </c>
      <c r="C885" s="9">
        <f t="shared" si="149"/>
        <v>87.999999999999858</v>
      </c>
      <c r="D885" s="8" t="str">
        <f t="shared" si="150"/>
        <v>W</v>
      </c>
      <c r="E885" s="3">
        <f t="shared" si="151"/>
        <v>101</v>
      </c>
      <c r="F885" s="3" t="str">
        <f t="shared" si="152"/>
        <v>ack</v>
      </c>
      <c r="G885" s="3" t="str">
        <f t="shared" si="153"/>
        <v>93</v>
      </c>
      <c r="H885" s="3" t="str">
        <f t="shared" si="154"/>
        <v/>
      </c>
      <c r="I885" s="3">
        <f t="shared" si="155"/>
        <v>147</v>
      </c>
      <c r="J885" s="5" t="str">
        <f>IF(E885=0,"Broadcast",IF(H885="",IF(I885="","",IF(I885&lt;128,"Connect "&amp;I885,INDEX(KdoCodeTab,MATCH(I885,KdoWertTab,0)))),"ReadStat "&amp;H885))</f>
        <v>SpaceCmd</v>
      </c>
      <c r="K885" t="str">
        <f t="shared" si="145"/>
        <v/>
      </c>
      <c r="L885" t="str">
        <f t="shared" si="146"/>
        <v/>
      </c>
      <c r="M885" t="str">
        <f t="shared" si="147"/>
        <v>SpaceCmd</v>
      </c>
    </row>
    <row r="886" spans="1:13" x14ac:dyDescent="0.25">
      <c r="A886" t="s">
        <v>460</v>
      </c>
      <c r="B886" s="6">
        <f t="shared" si="148"/>
        <v>1.9556666666666667</v>
      </c>
      <c r="C886" s="9">
        <f t="shared" si="149"/>
        <v>1.0000000000001119</v>
      </c>
      <c r="D886" s="8" t="str">
        <f t="shared" si="150"/>
        <v>W</v>
      </c>
      <c r="E886" s="3">
        <f t="shared" si="151"/>
        <v>101</v>
      </c>
      <c r="F886" s="3" t="str">
        <f t="shared" si="152"/>
        <v>ack</v>
      </c>
      <c r="G886" s="3" t="str">
        <f t="shared" si="153"/>
        <v>96</v>
      </c>
      <c r="H886" s="3" t="str">
        <f t="shared" si="154"/>
        <v/>
      </c>
      <c r="I886" s="3">
        <f t="shared" si="155"/>
        <v>150</v>
      </c>
      <c r="J886" s="5" t="str">
        <f>IF(E886=0,"Broadcast",IF(H886="",IF(I886="","",IF(I886&lt;128,"Connect "&amp;I886,INDEX(KdoCodeTab,MATCH(I886,KdoWertTab,0)))),"ReadStat "&amp;H886))</f>
        <v>RepSpaceCmd</v>
      </c>
      <c r="K886" t="str">
        <f t="shared" si="145"/>
        <v/>
      </c>
      <c r="L886" t="str">
        <f t="shared" si="146"/>
        <v/>
      </c>
      <c r="M886" t="str">
        <f t="shared" si="147"/>
        <v>RepSpaceCmd</v>
      </c>
    </row>
    <row r="887" spans="1:13" x14ac:dyDescent="0.25">
      <c r="A887" t="s">
        <v>461</v>
      </c>
      <c r="B887" s="6">
        <f t="shared" si="148"/>
        <v>1.9750000000000001</v>
      </c>
      <c r="C887" s="9">
        <f t="shared" si="149"/>
        <v>19.333333333333425</v>
      </c>
      <c r="D887" s="8" t="str">
        <f t="shared" si="150"/>
        <v>W</v>
      </c>
      <c r="E887" s="3">
        <f t="shared" si="151"/>
        <v>101</v>
      </c>
      <c r="F887" s="3" t="str">
        <f t="shared" si="152"/>
        <v>ack</v>
      </c>
      <c r="G887" s="3" t="str">
        <f t="shared" si="153"/>
        <v>9C</v>
      </c>
      <c r="H887" s="3" t="str">
        <f t="shared" si="154"/>
        <v/>
      </c>
      <c r="I887" s="3">
        <f t="shared" si="155"/>
        <v>156</v>
      </c>
      <c r="J887" s="5" t="str">
        <f>IF(E887=0,"Broadcast",IF(H887="",IF(I887="","",IF(I887&lt;128,"Connect "&amp;I887,INDEX(KdoCodeTab,MATCH(I887,KdoWertTab,0)))),"ReadStat "&amp;H887))</f>
        <v>MarkCmd</v>
      </c>
      <c r="K887" t="str">
        <f t="shared" si="145"/>
        <v/>
      </c>
      <c r="L887" t="str">
        <f t="shared" si="146"/>
        <v/>
      </c>
      <c r="M887" t="str">
        <f t="shared" si="147"/>
        <v>MarkCmd</v>
      </c>
    </row>
    <row r="888" spans="1:13" x14ac:dyDescent="0.25">
      <c r="A888" t="s">
        <v>462</v>
      </c>
      <c r="B888" s="6">
        <f t="shared" si="148"/>
        <v>1.976</v>
      </c>
      <c r="C888" s="9">
        <f t="shared" si="149"/>
        <v>0.99999999999988987</v>
      </c>
      <c r="D888" s="8" t="str">
        <f t="shared" si="150"/>
        <v>W</v>
      </c>
      <c r="E888" s="3">
        <f t="shared" si="151"/>
        <v>101</v>
      </c>
      <c r="F888" s="3" t="str">
        <f t="shared" si="152"/>
        <v>ack</v>
      </c>
      <c r="G888" s="3" t="str">
        <f t="shared" si="153"/>
        <v>9A</v>
      </c>
      <c r="H888" s="3" t="str">
        <f t="shared" si="154"/>
        <v/>
      </c>
      <c r="I888" s="3">
        <f t="shared" si="155"/>
        <v>154</v>
      </c>
      <c r="J888" s="5" t="str">
        <f>IF(E888=0,"Broadcast",IF(H888="",IF(I888="","",IF(I888&lt;128,"Connect "&amp;I888,INDEX(KdoCodeTab,MATCH(I888,KdoWertTab,0)))),"ReadStat "&amp;H888))</f>
        <v>RepMarkCmd</v>
      </c>
      <c r="K888" t="str">
        <f t="shared" si="145"/>
        <v/>
      </c>
      <c r="L888" t="str">
        <f t="shared" si="146"/>
        <v/>
      </c>
      <c r="M888" t="str">
        <f t="shared" si="147"/>
        <v>RepMarkCmd</v>
      </c>
    </row>
    <row r="889" spans="1:13" x14ac:dyDescent="0.25">
      <c r="A889" t="s">
        <v>463</v>
      </c>
      <c r="B889" s="6">
        <f t="shared" si="148"/>
        <v>1.9941666666666666</v>
      </c>
      <c r="C889" s="9">
        <f t="shared" si="149"/>
        <v>18.166666666666664</v>
      </c>
      <c r="D889" s="8" t="str">
        <f t="shared" si="150"/>
        <v>W</v>
      </c>
      <c r="E889" s="3">
        <f t="shared" si="151"/>
        <v>101</v>
      </c>
      <c r="F889" s="3" t="str">
        <f t="shared" si="152"/>
        <v>ack</v>
      </c>
      <c r="G889" s="3" t="str">
        <f t="shared" si="153"/>
        <v>93</v>
      </c>
      <c r="H889" s="3" t="str">
        <f t="shared" si="154"/>
        <v/>
      </c>
      <c r="I889" s="3">
        <f t="shared" si="155"/>
        <v>147</v>
      </c>
      <c r="J889" s="5" t="str">
        <f>IF(E889=0,"Broadcast",IF(H889="",IF(I889="","",IF(I889&lt;128,"Connect "&amp;I889,INDEX(KdoCodeTab,MATCH(I889,KdoWertTab,0)))),"ReadStat "&amp;H889))</f>
        <v>SpaceCmd</v>
      </c>
      <c r="K889" t="str">
        <f t="shared" si="145"/>
        <v/>
      </c>
      <c r="L889" t="str">
        <f t="shared" si="146"/>
        <v/>
      </c>
      <c r="M889" t="str">
        <f t="shared" si="147"/>
        <v>SpaceCmd</v>
      </c>
    </row>
    <row r="890" spans="1:13" x14ac:dyDescent="0.25">
      <c r="A890" t="s">
        <v>464</v>
      </c>
      <c r="B890" s="6">
        <f t="shared" si="148"/>
        <v>1.9950000000000001</v>
      </c>
      <c r="C890" s="9">
        <f t="shared" si="149"/>
        <v>0.8333333333334636</v>
      </c>
      <c r="D890" s="8" t="str">
        <f t="shared" si="150"/>
        <v>W</v>
      </c>
      <c r="E890" s="3">
        <f t="shared" si="151"/>
        <v>101</v>
      </c>
      <c r="F890" s="3" t="str">
        <f t="shared" si="152"/>
        <v>ack</v>
      </c>
      <c r="G890" s="3" t="str">
        <f t="shared" si="153"/>
        <v>96</v>
      </c>
      <c r="H890" s="3" t="str">
        <f t="shared" si="154"/>
        <v/>
      </c>
      <c r="I890" s="3">
        <f t="shared" si="155"/>
        <v>150</v>
      </c>
      <c r="J890" s="5" t="str">
        <f>IF(E890=0,"Broadcast",IF(H890="",IF(I890="","",IF(I890&lt;128,"Connect "&amp;I890,INDEX(KdoCodeTab,MATCH(I890,KdoWertTab,0)))),"ReadStat "&amp;H890))</f>
        <v>RepSpaceCmd</v>
      </c>
      <c r="K890" t="str">
        <f t="shared" si="145"/>
        <v/>
      </c>
      <c r="L890" t="str">
        <f t="shared" si="146"/>
        <v/>
      </c>
      <c r="M890" t="str">
        <f t="shared" si="147"/>
        <v>RepSpaceCmd</v>
      </c>
    </row>
    <row r="891" spans="1:13" x14ac:dyDescent="0.25">
      <c r="A891" t="s">
        <v>465</v>
      </c>
      <c r="B891" s="6">
        <f t="shared" si="148"/>
        <v>2.0739999999999998</v>
      </c>
      <c r="C891" s="9">
        <f t="shared" si="149"/>
        <v>78.999999999999744</v>
      </c>
      <c r="D891" s="8" t="str">
        <f t="shared" si="150"/>
        <v>W</v>
      </c>
      <c r="E891" s="3">
        <f t="shared" si="151"/>
        <v>101</v>
      </c>
      <c r="F891" s="3" t="str">
        <f t="shared" si="152"/>
        <v>ack</v>
      </c>
      <c r="G891" s="3" t="str">
        <f t="shared" si="153"/>
        <v>9C</v>
      </c>
      <c r="H891" s="3" t="str">
        <f t="shared" si="154"/>
        <v/>
      </c>
      <c r="I891" s="3">
        <f t="shared" si="155"/>
        <v>156</v>
      </c>
      <c r="J891" s="5" t="str">
        <f>IF(E891=0,"Broadcast",IF(H891="",IF(I891="","",IF(I891&lt;128,"Connect "&amp;I891,INDEX(KdoCodeTab,MATCH(I891,KdoWertTab,0)))),"ReadStat "&amp;H891))</f>
        <v>MarkCmd</v>
      </c>
      <c r="K891" t="str">
        <f t="shared" ref="K891:K954" si="156">IF(E891=$K$2,J891,"")</f>
        <v/>
      </c>
      <c r="L891" t="str">
        <f t="shared" ref="L891:L954" si="157">IF(E891=$L$2,J891,"")</f>
        <v/>
      </c>
      <c r="M891" t="str">
        <f t="shared" ref="M891:M954" si="158">IF(K891&amp;L891="",J891,"")</f>
        <v>MarkCmd</v>
      </c>
    </row>
    <row r="892" spans="1:13" x14ac:dyDescent="0.25">
      <c r="A892" t="s">
        <v>466</v>
      </c>
      <c r="B892" s="6">
        <f t="shared" si="148"/>
        <v>2.0750000000000002</v>
      </c>
      <c r="C892" s="9">
        <f t="shared" si="149"/>
        <v>1.000000000000334</v>
      </c>
      <c r="D892" s="8" t="str">
        <f t="shared" si="150"/>
        <v>W</v>
      </c>
      <c r="E892" s="3">
        <f t="shared" si="151"/>
        <v>101</v>
      </c>
      <c r="F892" s="3" t="str">
        <f t="shared" si="152"/>
        <v>ack</v>
      </c>
      <c r="G892" s="3" t="str">
        <f t="shared" si="153"/>
        <v>9A</v>
      </c>
      <c r="H892" s="3" t="str">
        <f t="shared" si="154"/>
        <v/>
      </c>
      <c r="I892" s="3">
        <f t="shared" si="155"/>
        <v>154</v>
      </c>
      <c r="J892" s="5" t="str">
        <f>IF(E892=0,"Broadcast",IF(H892="",IF(I892="","",IF(I892&lt;128,"Connect "&amp;I892,INDEX(KdoCodeTab,MATCH(I892,KdoWertTab,0)))),"ReadStat "&amp;H892))</f>
        <v>RepMarkCmd</v>
      </c>
      <c r="K892" t="str">
        <f t="shared" si="156"/>
        <v/>
      </c>
      <c r="L892" t="str">
        <f t="shared" si="157"/>
        <v/>
      </c>
      <c r="M892" t="str">
        <f t="shared" si="158"/>
        <v>RepMarkCmd</v>
      </c>
    </row>
    <row r="893" spans="1:13" x14ac:dyDescent="0.25">
      <c r="A893" t="s">
        <v>467</v>
      </c>
      <c r="B893" s="6">
        <f t="shared" si="148"/>
        <v>2.1508333333333334</v>
      </c>
      <c r="C893" s="9">
        <f t="shared" si="149"/>
        <v>75.833333333333201</v>
      </c>
      <c r="D893" s="8" t="str">
        <f t="shared" si="150"/>
        <v>W</v>
      </c>
      <c r="E893" s="3">
        <f t="shared" si="151"/>
        <v>101</v>
      </c>
      <c r="F893" s="3" t="str">
        <f t="shared" si="152"/>
        <v>ack</v>
      </c>
      <c r="G893" s="3" t="str">
        <f t="shared" si="153"/>
        <v>93</v>
      </c>
      <c r="H893" s="3" t="str">
        <f t="shared" si="154"/>
        <v/>
      </c>
      <c r="I893" s="3">
        <f t="shared" si="155"/>
        <v>147</v>
      </c>
      <c r="J893" s="5" t="str">
        <f>IF(E893=0,"Broadcast",IF(H893="",IF(I893="","",IF(I893&lt;128,"Connect "&amp;I893,INDEX(KdoCodeTab,MATCH(I893,KdoWertTab,0)))),"ReadStat "&amp;H893))</f>
        <v>SpaceCmd</v>
      </c>
      <c r="K893" t="str">
        <f t="shared" si="156"/>
        <v/>
      </c>
      <c r="L893" t="str">
        <f t="shared" si="157"/>
        <v/>
      </c>
      <c r="M893" t="str">
        <f t="shared" si="158"/>
        <v>SpaceCmd</v>
      </c>
    </row>
    <row r="894" spans="1:13" x14ac:dyDescent="0.25">
      <c r="A894" t="s">
        <v>468</v>
      </c>
      <c r="B894" s="6">
        <f t="shared" si="148"/>
        <v>2.1516666666666664</v>
      </c>
      <c r="C894" s="9">
        <f t="shared" si="149"/>
        <v>0.83333333333301951</v>
      </c>
      <c r="D894" s="8" t="str">
        <f t="shared" si="150"/>
        <v>W</v>
      </c>
      <c r="E894" s="3">
        <f t="shared" si="151"/>
        <v>101</v>
      </c>
      <c r="F894" s="3" t="str">
        <f t="shared" si="152"/>
        <v>ack</v>
      </c>
      <c r="G894" s="3" t="str">
        <f t="shared" si="153"/>
        <v>96</v>
      </c>
      <c r="H894" s="3" t="str">
        <f t="shared" si="154"/>
        <v/>
      </c>
      <c r="I894" s="3">
        <f t="shared" si="155"/>
        <v>150</v>
      </c>
      <c r="J894" s="5" t="str">
        <f>IF(E894=0,"Broadcast",IF(H894="",IF(I894="","",IF(I894&lt;128,"Connect "&amp;I894,INDEX(KdoCodeTab,MATCH(I894,KdoWertTab,0)))),"ReadStat "&amp;H894))</f>
        <v>RepSpaceCmd</v>
      </c>
      <c r="K894" t="str">
        <f t="shared" si="156"/>
        <v/>
      </c>
      <c r="L894" t="str">
        <f t="shared" si="157"/>
        <v/>
      </c>
      <c r="M894" t="str">
        <f t="shared" si="158"/>
        <v>RepSpaceCmd</v>
      </c>
    </row>
    <row r="895" spans="1:13" x14ac:dyDescent="0.25">
      <c r="A895" t="s">
        <v>469</v>
      </c>
      <c r="B895" s="6">
        <f t="shared" si="148"/>
        <v>2.1911666666666667</v>
      </c>
      <c r="C895" s="9">
        <f t="shared" si="149"/>
        <v>39.500000000000313</v>
      </c>
      <c r="D895" s="8" t="str">
        <f t="shared" si="150"/>
        <v>W</v>
      </c>
      <c r="E895" s="3">
        <f t="shared" si="151"/>
        <v>101</v>
      </c>
      <c r="F895" s="3" t="str">
        <f t="shared" si="152"/>
        <v>ack</v>
      </c>
      <c r="G895" s="3" t="str">
        <f t="shared" si="153"/>
        <v>9C</v>
      </c>
      <c r="H895" s="3" t="str">
        <f t="shared" si="154"/>
        <v/>
      </c>
      <c r="I895" s="3">
        <f t="shared" si="155"/>
        <v>156</v>
      </c>
      <c r="J895" s="5" t="str">
        <f>IF(E895=0,"Broadcast",IF(H895="",IF(I895="","",IF(I895&lt;128,"Connect "&amp;I895,INDEX(KdoCodeTab,MATCH(I895,KdoWertTab,0)))),"ReadStat "&amp;H895))</f>
        <v>MarkCmd</v>
      </c>
      <c r="K895" t="str">
        <f t="shared" si="156"/>
        <v/>
      </c>
      <c r="L895" t="str">
        <f t="shared" si="157"/>
        <v/>
      </c>
      <c r="M895" t="str">
        <f t="shared" si="158"/>
        <v>MarkCmd</v>
      </c>
    </row>
    <row r="896" spans="1:13" x14ac:dyDescent="0.25">
      <c r="A896" t="s">
        <v>470</v>
      </c>
      <c r="B896" s="6">
        <f t="shared" si="148"/>
        <v>2.1920000000000002</v>
      </c>
      <c r="C896" s="9">
        <f t="shared" si="149"/>
        <v>0.8333333333334636</v>
      </c>
      <c r="D896" s="8" t="str">
        <f t="shared" si="150"/>
        <v>W</v>
      </c>
      <c r="E896" s="3">
        <f t="shared" si="151"/>
        <v>101</v>
      </c>
      <c r="F896" s="3" t="str">
        <f t="shared" si="152"/>
        <v>ack</v>
      </c>
      <c r="G896" s="3" t="str">
        <f t="shared" si="153"/>
        <v>9A</v>
      </c>
      <c r="H896" s="3" t="str">
        <f t="shared" si="154"/>
        <v/>
      </c>
      <c r="I896" s="3">
        <f t="shared" si="155"/>
        <v>154</v>
      </c>
      <c r="J896" s="5" t="str">
        <f>IF(E896=0,"Broadcast",IF(H896="",IF(I896="","",IF(I896&lt;128,"Connect "&amp;I896,INDEX(KdoCodeTab,MATCH(I896,KdoWertTab,0)))),"ReadStat "&amp;H896))</f>
        <v>RepMarkCmd</v>
      </c>
      <c r="K896" t="str">
        <f t="shared" si="156"/>
        <v/>
      </c>
      <c r="L896" t="str">
        <f t="shared" si="157"/>
        <v/>
      </c>
      <c r="M896" t="str">
        <f t="shared" si="158"/>
        <v>RepMarkCmd</v>
      </c>
    </row>
    <row r="897" spans="1:13" x14ac:dyDescent="0.25">
      <c r="A897" t="s">
        <v>471</v>
      </c>
      <c r="B897" s="6">
        <f t="shared" si="148"/>
        <v>2.2305000000000001</v>
      </c>
      <c r="C897" s="9">
        <f t="shared" si="149"/>
        <v>38.499999999999979</v>
      </c>
      <c r="D897" s="8" t="str">
        <f t="shared" si="150"/>
        <v>W</v>
      </c>
      <c r="E897" s="3">
        <f t="shared" si="151"/>
        <v>101</v>
      </c>
      <c r="F897" s="3" t="str">
        <f t="shared" si="152"/>
        <v>ack</v>
      </c>
      <c r="G897" s="3" t="str">
        <f t="shared" si="153"/>
        <v>93</v>
      </c>
      <c r="H897" s="3" t="str">
        <f t="shared" si="154"/>
        <v/>
      </c>
      <c r="I897" s="3">
        <f t="shared" si="155"/>
        <v>147</v>
      </c>
      <c r="J897" s="5" t="str">
        <f>IF(E897=0,"Broadcast",IF(H897="",IF(I897="","",IF(I897&lt;128,"Connect "&amp;I897,INDEX(KdoCodeTab,MATCH(I897,KdoWertTab,0)))),"ReadStat "&amp;H897))</f>
        <v>SpaceCmd</v>
      </c>
      <c r="K897" t="str">
        <f t="shared" si="156"/>
        <v/>
      </c>
      <c r="L897" t="str">
        <f t="shared" si="157"/>
        <v/>
      </c>
      <c r="M897" t="str">
        <f t="shared" si="158"/>
        <v>SpaceCmd</v>
      </c>
    </row>
    <row r="898" spans="1:13" x14ac:dyDescent="0.25">
      <c r="A898" t="s">
        <v>472</v>
      </c>
      <c r="B898" s="6">
        <f t="shared" si="148"/>
        <v>2.2315</v>
      </c>
      <c r="C898" s="9">
        <f t="shared" si="149"/>
        <v>0.99999999999988987</v>
      </c>
      <c r="D898" s="8" t="str">
        <f t="shared" si="150"/>
        <v>W</v>
      </c>
      <c r="E898" s="3">
        <f t="shared" si="151"/>
        <v>101</v>
      </c>
      <c r="F898" s="3" t="str">
        <f t="shared" si="152"/>
        <v>ack</v>
      </c>
      <c r="G898" s="3" t="str">
        <f t="shared" si="153"/>
        <v>96</v>
      </c>
      <c r="H898" s="3" t="str">
        <f t="shared" si="154"/>
        <v/>
      </c>
      <c r="I898" s="3">
        <f t="shared" si="155"/>
        <v>150</v>
      </c>
      <c r="J898" s="5" t="str">
        <f>IF(E898=0,"Broadcast",IF(H898="",IF(I898="","",IF(I898&lt;128,"Connect "&amp;I898,INDEX(KdoCodeTab,MATCH(I898,KdoWertTab,0)))),"ReadStat "&amp;H898))</f>
        <v>RepSpaceCmd</v>
      </c>
      <c r="K898" t="str">
        <f t="shared" si="156"/>
        <v/>
      </c>
      <c r="L898" t="str">
        <f t="shared" si="157"/>
        <v/>
      </c>
      <c r="M898" t="str">
        <f t="shared" si="158"/>
        <v>RepSpaceCmd</v>
      </c>
    </row>
    <row r="899" spans="1:13" x14ac:dyDescent="0.25">
      <c r="A899" t="s">
        <v>473</v>
      </c>
      <c r="B899" s="6">
        <f t="shared" si="148"/>
        <v>2.2709999999999999</v>
      </c>
      <c r="C899" s="9">
        <f t="shared" si="149"/>
        <v>39.499999999999872</v>
      </c>
      <c r="D899" s="8" t="str">
        <f t="shared" si="150"/>
        <v>W</v>
      </c>
      <c r="E899" s="3">
        <f t="shared" si="151"/>
        <v>101</v>
      </c>
      <c r="F899" s="3" t="str">
        <f t="shared" si="152"/>
        <v>ack</v>
      </c>
      <c r="G899" s="3" t="str">
        <f t="shared" si="153"/>
        <v>9C</v>
      </c>
      <c r="H899" s="3" t="str">
        <f t="shared" si="154"/>
        <v/>
      </c>
      <c r="I899" s="3">
        <f t="shared" si="155"/>
        <v>156</v>
      </c>
      <c r="J899" s="5" t="str">
        <f>IF(E899=0,"Broadcast",IF(H899="",IF(I899="","",IF(I899&lt;128,"Connect "&amp;I899,INDEX(KdoCodeTab,MATCH(I899,KdoWertTab,0)))),"ReadStat "&amp;H899))</f>
        <v>MarkCmd</v>
      </c>
      <c r="K899" t="str">
        <f t="shared" si="156"/>
        <v/>
      </c>
      <c r="L899" t="str">
        <f t="shared" si="157"/>
        <v/>
      </c>
      <c r="M899" t="str">
        <f t="shared" si="158"/>
        <v>MarkCmd</v>
      </c>
    </row>
    <row r="900" spans="1:13" x14ac:dyDescent="0.25">
      <c r="A900" t="s">
        <v>474</v>
      </c>
      <c r="B900" s="6">
        <f t="shared" si="148"/>
        <v>2.2719999999999998</v>
      </c>
      <c r="C900" s="9">
        <f t="shared" si="149"/>
        <v>0.99999999999988987</v>
      </c>
      <c r="D900" s="8" t="str">
        <f t="shared" si="150"/>
        <v>W</v>
      </c>
      <c r="E900" s="3">
        <f t="shared" si="151"/>
        <v>101</v>
      </c>
      <c r="F900" s="3" t="str">
        <f t="shared" si="152"/>
        <v>ack</v>
      </c>
      <c r="G900" s="3" t="str">
        <f t="shared" si="153"/>
        <v>9A</v>
      </c>
      <c r="H900" s="3" t="str">
        <f t="shared" si="154"/>
        <v/>
      </c>
      <c r="I900" s="3">
        <f t="shared" si="155"/>
        <v>154</v>
      </c>
      <c r="J900" s="5" t="str">
        <f>IF(E900=0,"Broadcast",IF(H900="",IF(I900="","",IF(I900&lt;128,"Connect "&amp;I900,INDEX(KdoCodeTab,MATCH(I900,KdoWertTab,0)))),"ReadStat "&amp;H900))</f>
        <v>RepMarkCmd</v>
      </c>
      <c r="K900" t="str">
        <f t="shared" si="156"/>
        <v/>
      </c>
      <c r="L900" t="str">
        <f t="shared" si="157"/>
        <v/>
      </c>
      <c r="M900" t="str">
        <f t="shared" si="158"/>
        <v>RepMarkCmd</v>
      </c>
    </row>
    <row r="901" spans="1:13" x14ac:dyDescent="0.25">
      <c r="A901" t="s">
        <v>475</v>
      </c>
      <c r="B901" s="6">
        <f t="shared" ref="B901:B964" si="159">MID(A901,1,5)/1000+(CODE(MID(A901,6,1))-CODE("a"))/6000</f>
        <v>2.3385000000000002</v>
      </c>
      <c r="C901" s="9">
        <f t="shared" ref="C901:C964" si="160">(B901-B900+IF(B901&gt;B900,0,11))*1000</f>
        <v>66.500000000000455</v>
      </c>
      <c r="D901" s="8" t="str">
        <f t="shared" ref="D901:D964" si="161">IF(MID(A901,10,1)="&lt;","R",IF(MID(A901,10,1)="&gt;","W","?"))</f>
        <v>W</v>
      </c>
      <c r="E901" s="3">
        <f t="shared" ref="E901:E964" si="162">INT(HEX2DEC(MID(A901,8,2))/2)</f>
        <v>31</v>
      </c>
      <c r="F901" s="3" t="str">
        <f t="shared" ref="F901:F964" si="163">IF(MID(A901,11,1)="+","ack","NACK")</f>
        <v>ack</v>
      </c>
      <c r="G901" s="3" t="str">
        <f t="shared" ref="G901:G964" si="164">IF(F901="ack",SUBSTITUTE(MID(A901,12,LEN(A901)-12),"+","  "),"")</f>
        <v>9A</v>
      </c>
      <c r="H901" s="3" t="str">
        <f t="shared" ref="H901:H964" si="165">IF(MID(A901,10,2)="&lt;+",MID(A901,12,2),"")</f>
        <v/>
      </c>
      <c r="I901" s="3">
        <f t="shared" ref="I901:I964" si="166">IF(MID(A901,10,2)="&gt;+",HEX2DEC(MID(A901,12,2)),"")</f>
        <v>154</v>
      </c>
      <c r="J901" s="5" t="str">
        <f>IF(E901=0,"Broadcast",IF(H901="",IF(I901="","",IF(I901&lt;128,"Connect "&amp;I901,INDEX(KdoCodeTab,MATCH(I901,KdoWertTab,0)))),"ReadStat "&amp;H901))</f>
        <v>RepMarkCmd</v>
      </c>
      <c r="K901" t="str">
        <f t="shared" si="156"/>
        <v/>
      </c>
      <c r="L901" t="str">
        <f t="shared" si="157"/>
        <v>RepMarkCmd</v>
      </c>
      <c r="M901" t="str">
        <f t="shared" si="158"/>
        <v/>
      </c>
    </row>
    <row r="902" spans="1:13" x14ac:dyDescent="0.25">
      <c r="A902" t="s">
        <v>476</v>
      </c>
      <c r="B902" s="6">
        <f t="shared" si="159"/>
        <v>2.3881666666666668</v>
      </c>
      <c r="C902" s="9">
        <f t="shared" si="160"/>
        <v>49.666666666666529</v>
      </c>
      <c r="D902" s="8" t="str">
        <f t="shared" si="161"/>
        <v>W</v>
      </c>
      <c r="E902" s="3">
        <f t="shared" si="162"/>
        <v>101</v>
      </c>
      <c r="F902" s="3" t="str">
        <f t="shared" si="163"/>
        <v>ack</v>
      </c>
      <c r="G902" s="3" t="str">
        <f t="shared" si="164"/>
        <v>93</v>
      </c>
      <c r="H902" s="3" t="str">
        <f t="shared" si="165"/>
        <v/>
      </c>
      <c r="I902" s="3">
        <f t="shared" si="166"/>
        <v>147</v>
      </c>
      <c r="J902" s="5" t="str">
        <f>IF(E902=0,"Broadcast",IF(H902="",IF(I902="","",IF(I902&lt;128,"Connect "&amp;I902,INDEX(KdoCodeTab,MATCH(I902,KdoWertTab,0)))),"ReadStat "&amp;H902))</f>
        <v>SpaceCmd</v>
      </c>
      <c r="K902" t="str">
        <f t="shared" si="156"/>
        <v/>
      </c>
      <c r="L902" t="str">
        <f t="shared" si="157"/>
        <v/>
      </c>
      <c r="M902" t="str">
        <f t="shared" si="158"/>
        <v>SpaceCmd</v>
      </c>
    </row>
    <row r="903" spans="1:13" x14ac:dyDescent="0.25">
      <c r="A903" t="s">
        <v>477</v>
      </c>
      <c r="B903" s="6">
        <f t="shared" si="159"/>
        <v>2.3889999999999998</v>
      </c>
      <c r="C903" s="9">
        <f t="shared" si="160"/>
        <v>0.83333333333301951</v>
      </c>
      <c r="D903" s="8" t="str">
        <f t="shared" si="161"/>
        <v>W</v>
      </c>
      <c r="E903" s="3">
        <f t="shared" si="162"/>
        <v>101</v>
      </c>
      <c r="F903" s="3" t="str">
        <f t="shared" si="163"/>
        <v>ack</v>
      </c>
      <c r="G903" s="3" t="str">
        <f t="shared" si="164"/>
        <v>96</v>
      </c>
      <c r="H903" s="3" t="str">
        <f t="shared" si="165"/>
        <v/>
      </c>
      <c r="I903" s="3">
        <f t="shared" si="166"/>
        <v>150</v>
      </c>
      <c r="J903" s="5" t="str">
        <f>IF(E903=0,"Broadcast",IF(H903="",IF(I903="","",IF(I903&lt;128,"Connect "&amp;I903,INDEX(KdoCodeTab,MATCH(I903,KdoWertTab,0)))),"ReadStat "&amp;H903))</f>
        <v>RepSpaceCmd</v>
      </c>
      <c r="K903" t="str">
        <f t="shared" si="156"/>
        <v/>
      </c>
      <c r="L903" t="str">
        <f t="shared" si="157"/>
        <v/>
      </c>
      <c r="M903" t="str">
        <f t="shared" si="158"/>
        <v>RepSpaceCmd</v>
      </c>
    </row>
    <row r="904" spans="1:13" x14ac:dyDescent="0.25">
      <c r="A904" t="s">
        <v>478</v>
      </c>
      <c r="B904" s="6">
        <f t="shared" si="159"/>
        <v>2.4488333333333334</v>
      </c>
      <c r="C904" s="9">
        <f t="shared" si="160"/>
        <v>59.833333333333627</v>
      </c>
      <c r="D904" s="8" t="str">
        <f t="shared" si="161"/>
        <v>W</v>
      </c>
      <c r="E904" s="3">
        <f t="shared" si="162"/>
        <v>101</v>
      </c>
      <c r="F904" s="3" t="str">
        <f t="shared" si="163"/>
        <v>ack</v>
      </c>
      <c r="G904" s="3" t="str">
        <f t="shared" si="164"/>
        <v>9C</v>
      </c>
      <c r="H904" s="3" t="str">
        <f t="shared" si="165"/>
        <v/>
      </c>
      <c r="I904" s="3">
        <f t="shared" si="166"/>
        <v>156</v>
      </c>
      <c r="J904" s="5" t="str">
        <f>IF(E904=0,"Broadcast",IF(H904="",IF(I904="","",IF(I904&lt;128,"Connect "&amp;I904,INDEX(KdoCodeTab,MATCH(I904,KdoWertTab,0)))),"ReadStat "&amp;H904))</f>
        <v>MarkCmd</v>
      </c>
      <c r="K904" t="str">
        <f t="shared" si="156"/>
        <v/>
      </c>
      <c r="L904" t="str">
        <f t="shared" si="157"/>
        <v/>
      </c>
      <c r="M904" t="str">
        <f t="shared" si="158"/>
        <v>MarkCmd</v>
      </c>
    </row>
    <row r="905" spans="1:13" x14ac:dyDescent="0.25">
      <c r="A905" t="s">
        <v>479</v>
      </c>
      <c r="B905" s="6">
        <f t="shared" si="159"/>
        <v>2.4496666666666664</v>
      </c>
      <c r="C905" s="9">
        <f t="shared" si="160"/>
        <v>0.83333333333301951</v>
      </c>
      <c r="D905" s="8" t="str">
        <f t="shared" si="161"/>
        <v>W</v>
      </c>
      <c r="E905" s="3">
        <f t="shared" si="162"/>
        <v>101</v>
      </c>
      <c r="F905" s="3" t="str">
        <f t="shared" si="163"/>
        <v>ack</v>
      </c>
      <c r="G905" s="3" t="str">
        <f t="shared" si="164"/>
        <v>9A</v>
      </c>
      <c r="H905" s="3" t="str">
        <f t="shared" si="165"/>
        <v/>
      </c>
      <c r="I905" s="3">
        <f t="shared" si="166"/>
        <v>154</v>
      </c>
      <c r="J905" s="5" t="str">
        <f>IF(E905=0,"Broadcast",IF(H905="",IF(I905="","",IF(I905&lt;128,"Connect "&amp;I905,INDEX(KdoCodeTab,MATCH(I905,KdoWertTab,0)))),"ReadStat "&amp;H905))</f>
        <v>RepMarkCmd</v>
      </c>
      <c r="K905" t="str">
        <f t="shared" si="156"/>
        <v/>
      </c>
      <c r="L905" t="str">
        <f t="shared" si="157"/>
        <v/>
      </c>
      <c r="M905" t="str">
        <f t="shared" si="158"/>
        <v>RepMarkCmd</v>
      </c>
    </row>
    <row r="906" spans="1:13" x14ac:dyDescent="0.25">
      <c r="A906" t="s">
        <v>480</v>
      </c>
      <c r="B906" s="6">
        <f t="shared" si="159"/>
        <v>2.4729999999999999</v>
      </c>
      <c r="C906" s="9">
        <f t="shared" si="160"/>
        <v>23.333333333333428</v>
      </c>
      <c r="D906" s="8" t="str">
        <f t="shared" si="161"/>
        <v>W</v>
      </c>
      <c r="E906" s="3">
        <f t="shared" si="162"/>
        <v>101</v>
      </c>
      <c r="F906" s="3" t="str">
        <f t="shared" si="163"/>
        <v>ack</v>
      </c>
      <c r="G906" s="3" t="str">
        <f t="shared" si="164"/>
        <v>A9</v>
      </c>
      <c r="H906" s="3" t="str">
        <f t="shared" si="165"/>
        <v/>
      </c>
      <c r="I906" s="3">
        <f t="shared" si="166"/>
        <v>169</v>
      </c>
      <c r="J906" s="5" t="str">
        <f>IF(E906=0,"Broadcast",IF(H906="",IF(I906="","",IF(I906&lt;128,"Connect "&amp;I906,INDEX(KdoCodeTab,MATCH(I906,KdoWertTab,0)))),"ReadStat "&amp;H906))</f>
        <v>Heartbeat</v>
      </c>
      <c r="K906" t="str">
        <f t="shared" si="156"/>
        <v/>
      </c>
      <c r="L906" t="str">
        <f t="shared" si="157"/>
        <v/>
      </c>
      <c r="M906" t="str">
        <f t="shared" si="158"/>
        <v>Heartbeat</v>
      </c>
    </row>
    <row r="907" spans="1:13" x14ac:dyDescent="0.25">
      <c r="A907" t="s">
        <v>481</v>
      </c>
      <c r="B907" s="6">
        <f t="shared" si="159"/>
        <v>2.4883333333333333</v>
      </c>
      <c r="C907" s="9">
        <f t="shared" si="160"/>
        <v>15.333333333333421</v>
      </c>
      <c r="D907" s="8" t="str">
        <f t="shared" si="161"/>
        <v>W</v>
      </c>
      <c r="E907" s="3">
        <f t="shared" si="162"/>
        <v>101</v>
      </c>
      <c r="F907" s="3" t="str">
        <f t="shared" si="163"/>
        <v>ack</v>
      </c>
      <c r="G907" s="3" t="str">
        <f t="shared" si="164"/>
        <v>93</v>
      </c>
      <c r="H907" s="3" t="str">
        <f t="shared" si="165"/>
        <v/>
      </c>
      <c r="I907" s="3">
        <f t="shared" si="166"/>
        <v>147</v>
      </c>
      <c r="J907" s="5" t="str">
        <f>IF(E907=0,"Broadcast",IF(H907="",IF(I907="","",IF(I907&lt;128,"Connect "&amp;I907,INDEX(KdoCodeTab,MATCH(I907,KdoWertTab,0)))),"ReadStat "&amp;H907))</f>
        <v>SpaceCmd</v>
      </c>
      <c r="K907" t="str">
        <f t="shared" si="156"/>
        <v/>
      </c>
      <c r="L907" t="str">
        <f t="shared" si="157"/>
        <v/>
      </c>
      <c r="M907" t="str">
        <f t="shared" si="158"/>
        <v>SpaceCmd</v>
      </c>
    </row>
    <row r="908" spans="1:13" x14ac:dyDescent="0.25">
      <c r="A908" t="s">
        <v>482</v>
      </c>
      <c r="B908" s="6">
        <f t="shared" si="159"/>
        <v>2.4891666666666667</v>
      </c>
      <c r="C908" s="9">
        <f t="shared" si="160"/>
        <v>0.8333333333334636</v>
      </c>
      <c r="D908" s="8" t="str">
        <f t="shared" si="161"/>
        <v>W</v>
      </c>
      <c r="E908" s="3">
        <f t="shared" si="162"/>
        <v>101</v>
      </c>
      <c r="F908" s="3" t="str">
        <f t="shared" si="163"/>
        <v>ack</v>
      </c>
      <c r="G908" s="3" t="str">
        <f t="shared" si="164"/>
        <v>96</v>
      </c>
      <c r="H908" s="3" t="str">
        <f t="shared" si="165"/>
        <v/>
      </c>
      <c r="I908" s="3">
        <f t="shared" si="166"/>
        <v>150</v>
      </c>
      <c r="J908" s="5" t="str">
        <f>IF(E908=0,"Broadcast",IF(H908="",IF(I908="","",IF(I908&lt;128,"Connect "&amp;I908,INDEX(KdoCodeTab,MATCH(I908,KdoWertTab,0)))),"ReadStat "&amp;H908))</f>
        <v>RepSpaceCmd</v>
      </c>
      <c r="K908" t="str">
        <f t="shared" si="156"/>
        <v/>
      </c>
      <c r="L908" t="str">
        <f t="shared" si="157"/>
        <v/>
      </c>
      <c r="M908" t="str">
        <f t="shared" si="158"/>
        <v>RepSpaceCmd</v>
      </c>
    </row>
    <row r="909" spans="1:13" x14ac:dyDescent="0.25">
      <c r="A909" t="s">
        <v>483</v>
      </c>
      <c r="B909" s="6">
        <f t="shared" si="159"/>
        <v>2.5085000000000002</v>
      </c>
      <c r="C909" s="9">
        <f t="shared" si="160"/>
        <v>19.333333333333425</v>
      </c>
      <c r="D909" s="8" t="str">
        <f t="shared" si="161"/>
        <v>W</v>
      </c>
      <c r="E909" s="3">
        <f t="shared" si="162"/>
        <v>101</v>
      </c>
      <c r="F909" s="3" t="str">
        <f t="shared" si="163"/>
        <v>ack</v>
      </c>
      <c r="G909" s="3" t="str">
        <f t="shared" si="164"/>
        <v>9C</v>
      </c>
      <c r="H909" s="3" t="str">
        <f t="shared" si="165"/>
        <v/>
      </c>
      <c r="I909" s="3">
        <f t="shared" si="166"/>
        <v>156</v>
      </c>
      <c r="J909" s="5" t="str">
        <f>IF(E909=0,"Broadcast",IF(H909="",IF(I909="","",IF(I909&lt;128,"Connect "&amp;I909,INDEX(KdoCodeTab,MATCH(I909,KdoWertTab,0)))),"ReadStat "&amp;H909))</f>
        <v>MarkCmd</v>
      </c>
      <c r="K909" t="str">
        <f t="shared" si="156"/>
        <v/>
      </c>
      <c r="L909" t="str">
        <f t="shared" si="157"/>
        <v/>
      </c>
      <c r="M909" t="str">
        <f t="shared" si="158"/>
        <v>MarkCmd</v>
      </c>
    </row>
    <row r="910" spans="1:13" x14ac:dyDescent="0.25">
      <c r="A910" t="s">
        <v>484</v>
      </c>
      <c r="B910" s="6">
        <f t="shared" si="159"/>
        <v>2.5093333333333332</v>
      </c>
      <c r="C910" s="9">
        <f t="shared" si="160"/>
        <v>0.83333333333301951</v>
      </c>
      <c r="D910" s="8" t="str">
        <f t="shared" si="161"/>
        <v>W</v>
      </c>
      <c r="E910" s="3">
        <f t="shared" si="162"/>
        <v>101</v>
      </c>
      <c r="F910" s="3" t="str">
        <f t="shared" si="163"/>
        <v>ack</v>
      </c>
      <c r="G910" s="3" t="str">
        <f t="shared" si="164"/>
        <v>9A</v>
      </c>
      <c r="H910" s="3" t="str">
        <f t="shared" si="165"/>
        <v/>
      </c>
      <c r="I910" s="3">
        <f t="shared" si="166"/>
        <v>154</v>
      </c>
      <c r="J910" s="5" t="str">
        <f>IF(E910=0,"Broadcast",IF(H910="",IF(I910="","",IF(I910&lt;128,"Connect "&amp;I910,INDEX(KdoCodeTab,MATCH(I910,KdoWertTab,0)))),"ReadStat "&amp;H910))</f>
        <v>RepMarkCmd</v>
      </c>
      <c r="K910" t="str">
        <f t="shared" si="156"/>
        <v/>
      </c>
      <c r="L910" t="str">
        <f t="shared" si="157"/>
        <v/>
      </c>
      <c r="M910" t="str">
        <f t="shared" si="158"/>
        <v>RepMarkCmd</v>
      </c>
    </row>
    <row r="911" spans="1:13" x14ac:dyDescent="0.25">
      <c r="A911" t="s">
        <v>485</v>
      </c>
      <c r="B911" s="6">
        <f t="shared" si="159"/>
        <v>2.5438333333333336</v>
      </c>
      <c r="C911" s="9">
        <f t="shared" si="160"/>
        <v>34.500000000000419</v>
      </c>
      <c r="D911" s="8" t="str">
        <f t="shared" si="161"/>
        <v>W</v>
      </c>
      <c r="E911" s="3">
        <f t="shared" si="162"/>
        <v>101</v>
      </c>
      <c r="F911" s="3" t="str">
        <f t="shared" si="163"/>
        <v>ack</v>
      </c>
      <c r="G911" s="3" t="str">
        <f t="shared" si="164"/>
        <v>93</v>
      </c>
      <c r="H911" s="3" t="str">
        <f t="shared" si="165"/>
        <v/>
      </c>
      <c r="I911" s="3">
        <f t="shared" si="166"/>
        <v>147</v>
      </c>
      <c r="J911" s="5" t="str">
        <f>IF(E911=0,"Broadcast",IF(H911="",IF(I911="","",IF(I911&lt;128,"Connect "&amp;I911,INDEX(KdoCodeTab,MATCH(I911,KdoWertTab,0)))),"ReadStat "&amp;H911))</f>
        <v>SpaceCmd</v>
      </c>
      <c r="K911" t="str">
        <f t="shared" si="156"/>
        <v/>
      </c>
      <c r="L911" t="str">
        <f t="shared" si="157"/>
        <v/>
      </c>
      <c r="M911" t="str">
        <f t="shared" si="158"/>
        <v>SpaceCmd</v>
      </c>
    </row>
    <row r="912" spans="1:13" x14ac:dyDescent="0.25">
      <c r="A912" t="s">
        <v>486</v>
      </c>
      <c r="B912" s="6">
        <f t="shared" si="159"/>
        <v>2.5446666666666666</v>
      </c>
      <c r="C912" s="9">
        <f t="shared" si="160"/>
        <v>0.83333333333301951</v>
      </c>
      <c r="D912" s="8" t="str">
        <f t="shared" si="161"/>
        <v>W</v>
      </c>
      <c r="E912" s="3">
        <f t="shared" si="162"/>
        <v>101</v>
      </c>
      <c r="F912" s="3" t="str">
        <f t="shared" si="163"/>
        <v>ack</v>
      </c>
      <c r="G912" s="3" t="str">
        <f t="shared" si="164"/>
        <v>96</v>
      </c>
      <c r="H912" s="3" t="str">
        <f t="shared" si="165"/>
        <v/>
      </c>
      <c r="I912" s="3">
        <f t="shared" si="166"/>
        <v>150</v>
      </c>
      <c r="J912" s="5" t="str">
        <f>IF(E912=0,"Broadcast",IF(H912="",IF(I912="","",IF(I912&lt;128,"Connect "&amp;I912,INDEX(KdoCodeTab,MATCH(I912,KdoWertTab,0)))),"ReadStat "&amp;H912))</f>
        <v>RepSpaceCmd</v>
      </c>
      <c r="K912" t="str">
        <f t="shared" si="156"/>
        <v/>
      </c>
      <c r="L912" t="str">
        <f t="shared" si="157"/>
        <v/>
      </c>
      <c r="M912" t="str">
        <f t="shared" si="158"/>
        <v>RepSpaceCmd</v>
      </c>
    </row>
    <row r="913" spans="1:13" x14ac:dyDescent="0.25">
      <c r="A913" t="s">
        <v>487</v>
      </c>
      <c r="B913" s="6">
        <f t="shared" si="159"/>
        <v>2.5638333333333336</v>
      </c>
      <c r="C913" s="9">
        <f t="shared" si="160"/>
        <v>19.166666666666998</v>
      </c>
      <c r="D913" s="8" t="str">
        <f t="shared" si="161"/>
        <v>W</v>
      </c>
      <c r="E913" s="3">
        <f t="shared" si="162"/>
        <v>101</v>
      </c>
      <c r="F913" s="3" t="str">
        <f t="shared" si="163"/>
        <v>ack</v>
      </c>
      <c r="G913" s="3" t="str">
        <f t="shared" si="164"/>
        <v>9C</v>
      </c>
      <c r="H913" s="3" t="str">
        <f t="shared" si="165"/>
        <v/>
      </c>
      <c r="I913" s="3">
        <f t="shared" si="166"/>
        <v>156</v>
      </c>
      <c r="J913" s="5" t="str">
        <f>IF(E913=0,"Broadcast",IF(H913="",IF(I913="","",IF(I913&lt;128,"Connect "&amp;I913,INDEX(KdoCodeTab,MATCH(I913,KdoWertTab,0)))),"ReadStat "&amp;H913))</f>
        <v>MarkCmd</v>
      </c>
      <c r="K913" t="str">
        <f t="shared" si="156"/>
        <v/>
      </c>
      <c r="L913" t="str">
        <f t="shared" si="157"/>
        <v/>
      </c>
      <c r="M913" t="str">
        <f t="shared" si="158"/>
        <v>MarkCmd</v>
      </c>
    </row>
    <row r="914" spans="1:13" x14ac:dyDescent="0.25">
      <c r="A914" t="s">
        <v>488</v>
      </c>
      <c r="B914" s="6">
        <f t="shared" si="159"/>
        <v>2.5648333333333335</v>
      </c>
      <c r="C914" s="9">
        <f t="shared" si="160"/>
        <v>0.99999999999988987</v>
      </c>
      <c r="D914" s="8" t="str">
        <f t="shared" si="161"/>
        <v>W</v>
      </c>
      <c r="E914" s="3">
        <f t="shared" si="162"/>
        <v>101</v>
      </c>
      <c r="F914" s="3" t="str">
        <f t="shared" si="163"/>
        <v>ack</v>
      </c>
      <c r="G914" s="3" t="str">
        <f t="shared" si="164"/>
        <v>9A</v>
      </c>
      <c r="H914" s="3" t="str">
        <f t="shared" si="165"/>
        <v/>
      </c>
      <c r="I914" s="3">
        <f t="shared" si="166"/>
        <v>154</v>
      </c>
      <c r="J914" s="5" t="str">
        <f>IF(E914=0,"Broadcast",IF(H914="",IF(I914="","",IF(I914&lt;128,"Connect "&amp;I914,INDEX(KdoCodeTab,MATCH(I914,KdoWertTab,0)))),"ReadStat "&amp;H914))</f>
        <v>RepMarkCmd</v>
      </c>
      <c r="K914" t="str">
        <f t="shared" si="156"/>
        <v/>
      </c>
      <c r="L914" t="str">
        <f t="shared" si="157"/>
        <v/>
      </c>
      <c r="M914" t="str">
        <f t="shared" si="158"/>
        <v>RepMarkCmd</v>
      </c>
    </row>
    <row r="915" spans="1:13" x14ac:dyDescent="0.25">
      <c r="A915" t="s">
        <v>489</v>
      </c>
      <c r="B915" s="6">
        <f t="shared" si="159"/>
        <v>2.5841666666666669</v>
      </c>
      <c r="C915" s="9">
        <f t="shared" si="160"/>
        <v>19.333333333333425</v>
      </c>
      <c r="D915" s="8" t="str">
        <f t="shared" si="161"/>
        <v>W</v>
      </c>
      <c r="E915" s="3">
        <f t="shared" si="162"/>
        <v>101</v>
      </c>
      <c r="F915" s="3" t="str">
        <f t="shared" si="163"/>
        <v>ack</v>
      </c>
      <c r="G915" s="3" t="str">
        <f t="shared" si="164"/>
        <v>93</v>
      </c>
      <c r="H915" s="3" t="str">
        <f t="shared" si="165"/>
        <v/>
      </c>
      <c r="I915" s="3">
        <f t="shared" si="166"/>
        <v>147</v>
      </c>
      <c r="J915" s="5" t="str">
        <f>IF(E915=0,"Broadcast",IF(H915="",IF(I915="","",IF(I915&lt;128,"Connect "&amp;I915,INDEX(KdoCodeTab,MATCH(I915,KdoWertTab,0)))),"ReadStat "&amp;H915))</f>
        <v>SpaceCmd</v>
      </c>
      <c r="K915" t="str">
        <f t="shared" si="156"/>
        <v/>
      </c>
      <c r="L915" t="str">
        <f t="shared" si="157"/>
        <v/>
      </c>
      <c r="M915" t="str">
        <f t="shared" si="158"/>
        <v>SpaceCmd</v>
      </c>
    </row>
    <row r="916" spans="1:13" x14ac:dyDescent="0.25">
      <c r="A916" t="s">
        <v>490</v>
      </c>
      <c r="B916" s="6">
        <f t="shared" si="159"/>
        <v>2.5851666666666668</v>
      </c>
      <c r="C916" s="9">
        <f t="shared" si="160"/>
        <v>0.99999999999988987</v>
      </c>
      <c r="D916" s="8" t="str">
        <f t="shared" si="161"/>
        <v>W</v>
      </c>
      <c r="E916" s="3">
        <f t="shared" si="162"/>
        <v>101</v>
      </c>
      <c r="F916" s="3" t="str">
        <f t="shared" si="163"/>
        <v>ack</v>
      </c>
      <c r="G916" s="3" t="str">
        <f t="shared" si="164"/>
        <v>96</v>
      </c>
      <c r="H916" s="3" t="str">
        <f t="shared" si="165"/>
        <v/>
      </c>
      <c r="I916" s="3">
        <f t="shared" si="166"/>
        <v>150</v>
      </c>
      <c r="J916" s="5" t="str">
        <f>IF(E916=0,"Broadcast",IF(H916="",IF(I916="","",IF(I916&lt;128,"Connect "&amp;I916,INDEX(KdoCodeTab,MATCH(I916,KdoWertTab,0)))),"ReadStat "&amp;H916))</f>
        <v>RepSpaceCmd</v>
      </c>
      <c r="K916" t="str">
        <f t="shared" si="156"/>
        <v/>
      </c>
      <c r="L916" t="str">
        <f t="shared" si="157"/>
        <v/>
      </c>
      <c r="M916" t="str">
        <f t="shared" si="158"/>
        <v>RepSpaceCmd</v>
      </c>
    </row>
    <row r="917" spans="1:13" x14ac:dyDescent="0.25">
      <c r="A917" t="s">
        <v>491</v>
      </c>
      <c r="B917" s="6">
        <f t="shared" si="159"/>
        <v>2.6640000000000001</v>
      </c>
      <c r="C917" s="9">
        <f t="shared" si="160"/>
        <v>78.833333333333314</v>
      </c>
      <c r="D917" s="8" t="str">
        <f t="shared" si="161"/>
        <v>W</v>
      </c>
      <c r="E917" s="3">
        <f t="shared" si="162"/>
        <v>101</v>
      </c>
      <c r="F917" s="3" t="str">
        <f t="shared" si="163"/>
        <v>ack</v>
      </c>
      <c r="G917" s="3" t="str">
        <f t="shared" si="164"/>
        <v>9C</v>
      </c>
      <c r="H917" s="3" t="str">
        <f t="shared" si="165"/>
        <v/>
      </c>
      <c r="I917" s="3">
        <f t="shared" si="166"/>
        <v>156</v>
      </c>
      <c r="J917" s="5" t="str">
        <f>IF(E917=0,"Broadcast",IF(H917="",IF(I917="","",IF(I917&lt;128,"Connect "&amp;I917,INDEX(KdoCodeTab,MATCH(I917,KdoWertTab,0)))),"ReadStat "&amp;H917))</f>
        <v>MarkCmd</v>
      </c>
      <c r="K917" t="str">
        <f t="shared" si="156"/>
        <v/>
      </c>
      <c r="L917" t="str">
        <f t="shared" si="157"/>
        <v/>
      </c>
      <c r="M917" t="str">
        <f t="shared" si="158"/>
        <v>MarkCmd</v>
      </c>
    </row>
    <row r="918" spans="1:13" x14ac:dyDescent="0.25">
      <c r="A918" t="s">
        <v>492</v>
      </c>
      <c r="B918" s="6">
        <f t="shared" si="159"/>
        <v>2.665</v>
      </c>
      <c r="C918" s="9">
        <f t="shared" si="160"/>
        <v>0.99999999999988987</v>
      </c>
      <c r="D918" s="8" t="str">
        <f t="shared" si="161"/>
        <v>W</v>
      </c>
      <c r="E918" s="3">
        <f t="shared" si="162"/>
        <v>101</v>
      </c>
      <c r="F918" s="3" t="str">
        <f t="shared" si="163"/>
        <v>ack</v>
      </c>
      <c r="G918" s="3" t="str">
        <f t="shared" si="164"/>
        <v>9A</v>
      </c>
      <c r="H918" s="3" t="str">
        <f t="shared" si="165"/>
        <v/>
      </c>
      <c r="I918" s="3">
        <f t="shared" si="166"/>
        <v>154</v>
      </c>
      <c r="J918" s="5" t="str">
        <f>IF(E918=0,"Broadcast",IF(H918="",IF(I918="","",IF(I918&lt;128,"Connect "&amp;I918,INDEX(KdoCodeTab,MATCH(I918,KdoWertTab,0)))),"ReadStat "&amp;H918))</f>
        <v>RepMarkCmd</v>
      </c>
      <c r="K918" t="str">
        <f t="shared" si="156"/>
        <v/>
      </c>
      <c r="L918" t="str">
        <f t="shared" si="157"/>
        <v/>
      </c>
      <c r="M918" t="str">
        <f t="shared" si="158"/>
        <v>RepMarkCmd</v>
      </c>
    </row>
    <row r="919" spans="1:13" x14ac:dyDescent="0.25">
      <c r="A919" t="s">
        <v>493</v>
      </c>
      <c r="B919" s="6">
        <f t="shared" si="159"/>
        <v>2.6943333333333332</v>
      </c>
      <c r="C919" s="9">
        <f t="shared" si="160"/>
        <v>29.333333333333211</v>
      </c>
      <c r="D919" s="8" t="str">
        <f t="shared" si="161"/>
        <v>W</v>
      </c>
      <c r="E919" s="3">
        <f t="shared" si="162"/>
        <v>101</v>
      </c>
      <c r="F919" s="3" t="str">
        <f t="shared" si="163"/>
        <v>ack</v>
      </c>
      <c r="G919" s="3" t="str">
        <f t="shared" si="164"/>
        <v>93</v>
      </c>
      <c r="H919" s="3" t="str">
        <f t="shared" si="165"/>
        <v/>
      </c>
      <c r="I919" s="3">
        <f t="shared" si="166"/>
        <v>147</v>
      </c>
      <c r="J919" s="5" t="str">
        <f>IF(E919=0,"Broadcast",IF(H919="",IF(I919="","",IF(I919&lt;128,"Connect "&amp;I919,INDEX(KdoCodeTab,MATCH(I919,KdoWertTab,0)))),"ReadStat "&amp;H919))</f>
        <v>SpaceCmd</v>
      </c>
      <c r="K919" t="str">
        <f t="shared" si="156"/>
        <v/>
      </c>
      <c r="L919" t="str">
        <f t="shared" si="157"/>
        <v/>
      </c>
      <c r="M919" t="str">
        <f t="shared" si="158"/>
        <v>SpaceCmd</v>
      </c>
    </row>
    <row r="920" spans="1:13" x14ac:dyDescent="0.25">
      <c r="A920" t="s">
        <v>494</v>
      </c>
      <c r="B920" s="6">
        <f t="shared" si="159"/>
        <v>2.6951666666666667</v>
      </c>
      <c r="C920" s="9">
        <f t="shared" si="160"/>
        <v>0.8333333333334636</v>
      </c>
      <c r="D920" s="8" t="str">
        <f t="shared" si="161"/>
        <v>W</v>
      </c>
      <c r="E920" s="3">
        <f t="shared" si="162"/>
        <v>101</v>
      </c>
      <c r="F920" s="3" t="str">
        <f t="shared" si="163"/>
        <v>ack</v>
      </c>
      <c r="G920" s="3" t="str">
        <f t="shared" si="164"/>
        <v>96</v>
      </c>
      <c r="H920" s="3" t="str">
        <f t="shared" si="165"/>
        <v/>
      </c>
      <c r="I920" s="3">
        <f t="shared" si="166"/>
        <v>150</v>
      </c>
      <c r="J920" s="5" t="str">
        <f>IF(E920=0,"Broadcast",IF(H920="",IF(I920="","",IF(I920&lt;128,"Connect "&amp;I920,INDEX(KdoCodeTab,MATCH(I920,KdoWertTab,0)))),"ReadStat "&amp;H920))</f>
        <v>RepSpaceCmd</v>
      </c>
      <c r="K920" t="str">
        <f t="shared" si="156"/>
        <v/>
      </c>
      <c r="L920" t="str">
        <f t="shared" si="157"/>
        <v/>
      </c>
      <c r="M920" t="str">
        <f t="shared" si="158"/>
        <v>RepSpaceCmd</v>
      </c>
    </row>
    <row r="921" spans="1:13" x14ac:dyDescent="0.25">
      <c r="A921" t="s">
        <v>495</v>
      </c>
      <c r="B921" s="6">
        <f t="shared" si="159"/>
        <v>2.7549999999999999</v>
      </c>
      <c r="C921" s="9">
        <f t="shared" si="160"/>
        <v>59.833333333333186</v>
      </c>
      <c r="D921" s="8" t="str">
        <f t="shared" si="161"/>
        <v>W</v>
      </c>
      <c r="E921" s="3">
        <f t="shared" si="162"/>
        <v>101</v>
      </c>
      <c r="F921" s="3" t="str">
        <f t="shared" si="163"/>
        <v>ack</v>
      </c>
      <c r="G921" s="3" t="str">
        <f t="shared" si="164"/>
        <v>9C</v>
      </c>
      <c r="H921" s="3" t="str">
        <f t="shared" si="165"/>
        <v/>
      </c>
      <c r="I921" s="3">
        <f t="shared" si="166"/>
        <v>156</v>
      </c>
      <c r="J921" s="5" t="str">
        <f>IF(E921=0,"Broadcast",IF(H921="",IF(I921="","",IF(I921&lt;128,"Connect "&amp;I921,INDEX(KdoCodeTab,MATCH(I921,KdoWertTab,0)))),"ReadStat "&amp;H921))</f>
        <v>MarkCmd</v>
      </c>
      <c r="K921" t="str">
        <f t="shared" si="156"/>
        <v/>
      </c>
      <c r="L921" t="str">
        <f t="shared" si="157"/>
        <v/>
      </c>
      <c r="M921" t="str">
        <f t="shared" si="158"/>
        <v>MarkCmd</v>
      </c>
    </row>
    <row r="922" spans="1:13" x14ac:dyDescent="0.25">
      <c r="A922" t="s">
        <v>496</v>
      </c>
      <c r="B922" s="6">
        <f t="shared" si="159"/>
        <v>2.7558333333333334</v>
      </c>
      <c r="C922" s="9">
        <f t="shared" si="160"/>
        <v>0.8333333333334636</v>
      </c>
      <c r="D922" s="8" t="str">
        <f t="shared" si="161"/>
        <v>W</v>
      </c>
      <c r="E922" s="3">
        <f t="shared" si="162"/>
        <v>101</v>
      </c>
      <c r="F922" s="3" t="str">
        <f t="shared" si="163"/>
        <v>ack</v>
      </c>
      <c r="G922" s="3" t="str">
        <f t="shared" si="164"/>
        <v>9A</v>
      </c>
      <c r="H922" s="3" t="str">
        <f t="shared" si="165"/>
        <v/>
      </c>
      <c r="I922" s="3">
        <f t="shared" si="166"/>
        <v>154</v>
      </c>
      <c r="J922" s="5" t="str">
        <f>IF(E922=0,"Broadcast",IF(H922="",IF(I922="","",IF(I922&lt;128,"Connect "&amp;I922,INDEX(KdoCodeTab,MATCH(I922,KdoWertTab,0)))),"ReadStat "&amp;H922))</f>
        <v>RepMarkCmd</v>
      </c>
      <c r="K922" t="str">
        <f t="shared" si="156"/>
        <v/>
      </c>
      <c r="L922" t="str">
        <f t="shared" si="157"/>
        <v/>
      </c>
      <c r="M922" t="str">
        <f t="shared" si="158"/>
        <v>RepMarkCmd</v>
      </c>
    </row>
    <row r="923" spans="1:13" x14ac:dyDescent="0.25">
      <c r="A923" t="s">
        <v>497</v>
      </c>
      <c r="B923" s="6">
        <f t="shared" si="159"/>
        <v>2.8446666666666665</v>
      </c>
      <c r="C923" s="9">
        <f t="shared" si="160"/>
        <v>88.833333333333101</v>
      </c>
      <c r="D923" s="8" t="str">
        <f t="shared" si="161"/>
        <v>W</v>
      </c>
      <c r="E923" s="3">
        <f t="shared" si="162"/>
        <v>31</v>
      </c>
      <c r="F923" s="3" t="str">
        <f t="shared" si="163"/>
        <v>ack</v>
      </c>
      <c r="G923" s="3" t="str">
        <f t="shared" si="164"/>
        <v>9A</v>
      </c>
      <c r="H923" s="3" t="str">
        <f t="shared" si="165"/>
        <v/>
      </c>
      <c r="I923" s="3">
        <f t="shared" si="166"/>
        <v>154</v>
      </c>
      <c r="J923" s="5" t="str">
        <f>IF(E923=0,"Broadcast",IF(H923="",IF(I923="","",IF(I923&lt;128,"Connect "&amp;I923,INDEX(KdoCodeTab,MATCH(I923,KdoWertTab,0)))),"ReadStat "&amp;H923))</f>
        <v>RepMarkCmd</v>
      </c>
      <c r="K923" t="str">
        <f t="shared" si="156"/>
        <v/>
      </c>
      <c r="L923" t="str">
        <f t="shared" si="157"/>
        <v>RepMarkCmd</v>
      </c>
      <c r="M923" t="str">
        <f t="shared" si="158"/>
        <v/>
      </c>
    </row>
    <row r="924" spans="1:13" x14ac:dyDescent="0.25">
      <c r="A924" t="s">
        <v>498</v>
      </c>
      <c r="B924" s="6">
        <f t="shared" si="159"/>
        <v>2.859</v>
      </c>
      <c r="C924" s="9">
        <f t="shared" si="160"/>
        <v>14.333333333333531</v>
      </c>
      <c r="D924" s="8" t="str">
        <f t="shared" si="161"/>
        <v>W</v>
      </c>
      <c r="E924" s="3">
        <f t="shared" si="162"/>
        <v>101</v>
      </c>
      <c r="F924" s="3" t="str">
        <f t="shared" si="163"/>
        <v>ack</v>
      </c>
      <c r="G924" s="3" t="str">
        <f t="shared" si="164"/>
        <v>93</v>
      </c>
      <c r="H924" s="3" t="str">
        <f t="shared" si="165"/>
        <v/>
      </c>
      <c r="I924" s="3">
        <f t="shared" si="166"/>
        <v>147</v>
      </c>
      <c r="J924" s="5" t="str">
        <f>IF(E924=0,"Broadcast",IF(H924="",IF(I924="","",IF(I924&lt;128,"Connect "&amp;I924,INDEX(KdoCodeTab,MATCH(I924,KdoWertTab,0)))),"ReadStat "&amp;H924))</f>
        <v>SpaceCmd</v>
      </c>
      <c r="K924" t="str">
        <f t="shared" si="156"/>
        <v/>
      </c>
      <c r="L924" t="str">
        <f t="shared" si="157"/>
        <v/>
      </c>
      <c r="M924" t="str">
        <f t="shared" si="158"/>
        <v>SpaceCmd</v>
      </c>
    </row>
    <row r="925" spans="1:13" x14ac:dyDescent="0.25">
      <c r="A925" t="s">
        <v>499</v>
      </c>
      <c r="B925" s="6">
        <f t="shared" si="159"/>
        <v>2.86</v>
      </c>
      <c r="C925" s="9">
        <f t="shared" si="160"/>
        <v>0.99999999999988987</v>
      </c>
      <c r="D925" s="8" t="str">
        <f t="shared" si="161"/>
        <v>W</v>
      </c>
      <c r="E925" s="3">
        <f t="shared" si="162"/>
        <v>101</v>
      </c>
      <c r="F925" s="3" t="str">
        <f t="shared" si="163"/>
        <v>ack</v>
      </c>
      <c r="G925" s="3" t="str">
        <f t="shared" si="164"/>
        <v>96</v>
      </c>
      <c r="H925" s="3" t="str">
        <f t="shared" si="165"/>
        <v/>
      </c>
      <c r="I925" s="3">
        <f t="shared" si="166"/>
        <v>150</v>
      </c>
      <c r="J925" s="5" t="str">
        <f>IF(E925=0,"Broadcast",IF(H925="",IF(I925="","",IF(I925&lt;128,"Connect "&amp;I925,INDEX(KdoCodeTab,MATCH(I925,KdoWertTab,0)))),"ReadStat "&amp;H925))</f>
        <v>RepSpaceCmd</v>
      </c>
      <c r="K925" t="str">
        <f t="shared" si="156"/>
        <v/>
      </c>
      <c r="L925" t="str">
        <f t="shared" si="157"/>
        <v/>
      </c>
      <c r="M925" t="str">
        <f t="shared" si="158"/>
        <v>RepSpaceCmd</v>
      </c>
    </row>
    <row r="926" spans="1:13" x14ac:dyDescent="0.25">
      <c r="A926" t="s">
        <v>500</v>
      </c>
      <c r="B926" s="6">
        <f t="shared" si="159"/>
        <v>2.9195000000000002</v>
      </c>
      <c r="C926" s="9">
        <f t="shared" si="160"/>
        <v>59.500000000000327</v>
      </c>
      <c r="D926" s="8" t="str">
        <f t="shared" si="161"/>
        <v>W</v>
      </c>
      <c r="E926" s="3">
        <f t="shared" si="162"/>
        <v>101</v>
      </c>
      <c r="F926" s="3" t="str">
        <f t="shared" si="163"/>
        <v>ack</v>
      </c>
      <c r="G926" s="3" t="str">
        <f t="shared" si="164"/>
        <v>9C</v>
      </c>
      <c r="H926" s="3" t="str">
        <f t="shared" si="165"/>
        <v/>
      </c>
      <c r="I926" s="3">
        <f t="shared" si="166"/>
        <v>156</v>
      </c>
      <c r="J926" s="5" t="str">
        <f>IF(E926=0,"Broadcast",IF(H926="",IF(I926="","",IF(I926&lt;128,"Connect "&amp;I926,INDEX(KdoCodeTab,MATCH(I926,KdoWertTab,0)))),"ReadStat "&amp;H926))</f>
        <v>MarkCmd</v>
      </c>
      <c r="K926" t="str">
        <f t="shared" si="156"/>
        <v/>
      </c>
      <c r="L926" t="str">
        <f t="shared" si="157"/>
        <v/>
      </c>
      <c r="M926" t="str">
        <f t="shared" si="158"/>
        <v>MarkCmd</v>
      </c>
    </row>
    <row r="927" spans="1:13" x14ac:dyDescent="0.25">
      <c r="A927" t="s">
        <v>501</v>
      </c>
      <c r="B927" s="6">
        <f t="shared" si="159"/>
        <v>2.9205000000000001</v>
      </c>
      <c r="C927" s="9">
        <f t="shared" si="160"/>
        <v>0.99999999999988987</v>
      </c>
      <c r="D927" s="8" t="str">
        <f t="shared" si="161"/>
        <v>W</v>
      </c>
      <c r="E927" s="3">
        <f t="shared" si="162"/>
        <v>101</v>
      </c>
      <c r="F927" s="3" t="str">
        <f t="shared" si="163"/>
        <v>ack</v>
      </c>
      <c r="G927" s="3" t="str">
        <f t="shared" si="164"/>
        <v>9A</v>
      </c>
      <c r="H927" s="3" t="str">
        <f t="shared" si="165"/>
        <v/>
      </c>
      <c r="I927" s="3">
        <f t="shared" si="166"/>
        <v>154</v>
      </c>
      <c r="J927" s="5" t="str">
        <f>IF(E927=0,"Broadcast",IF(H927="",IF(I927="","",IF(I927&lt;128,"Connect "&amp;I927,INDEX(KdoCodeTab,MATCH(I927,KdoWertTab,0)))),"ReadStat "&amp;H927))</f>
        <v>RepMarkCmd</v>
      </c>
      <c r="K927" t="str">
        <f t="shared" si="156"/>
        <v/>
      </c>
      <c r="L927" t="str">
        <f t="shared" si="157"/>
        <v/>
      </c>
      <c r="M927" t="str">
        <f t="shared" si="158"/>
        <v>RepMarkCmd</v>
      </c>
    </row>
    <row r="928" spans="1:13" x14ac:dyDescent="0.25">
      <c r="A928" t="s">
        <v>502</v>
      </c>
      <c r="B928" s="6">
        <f t="shared" si="159"/>
        <v>2.9396666666666667</v>
      </c>
      <c r="C928" s="9">
        <f t="shared" si="160"/>
        <v>19.166666666666554</v>
      </c>
      <c r="D928" s="8" t="str">
        <f t="shared" si="161"/>
        <v>W</v>
      </c>
      <c r="E928" s="3">
        <f t="shared" si="162"/>
        <v>101</v>
      </c>
      <c r="F928" s="3" t="str">
        <f t="shared" si="163"/>
        <v>ack</v>
      </c>
      <c r="G928" s="3" t="str">
        <f t="shared" si="164"/>
        <v>93</v>
      </c>
      <c r="H928" s="3" t="str">
        <f t="shared" si="165"/>
        <v/>
      </c>
      <c r="I928" s="3">
        <f t="shared" si="166"/>
        <v>147</v>
      </c>
      <c r="J928" s="5" t="str">
        <f>IF(E928=0,"Broadcast",IF(H928="",IF(I928="","",IF(I928&lt;128,"Connect "&amp;I928,INDEX(KdoCodeTab,MATCH(I928,KdoWertTab,0)))),"ReadStat "&amp;H928))</f>
        <v>SpaceCmd</v>
      </c>
      <c r="K928" t="str">
        <f t="shared" si="156"/>
        <v/>
      </c>
      <c r="L928" t="str">
        <f t="shared" si="157"/>
        <v/>
      </c>
      <c r="M928" t="str">
        <f t="shared" si="158"/>
        <v>SpaceCmd</v>
      </c>
    </row>
    <row r="929" spans="1:13" x14ac:dyDescent="0.25">
      <c r="A929" t="s">
        <v>503</v>
      </c>
      <c r="B929" s="6">
        <f t="shared" si="159"/>
        <v>2.9406666666666665</v>
      </c>
      <c r="C929" s="9">
        <f t="shared" si="160"/>
        <v>0.99999999999988987</v>
      </c>
      <c r="D929" s="8" t="str">
        <f t="shared" si="161"/>
        <v>W</v>
      </c>
      <c r="E929" s="3">
        <f t="shared" si="162"/>
        <v>101</v>
      </c>
      <c r="F929" s="3" t="str">
        <f t="shared" si="163"/>
        <v>ack</v>
      </c>
      <c r="G929" s="3" t="str">
        <f t="shared" si="164"/>
        <v>96</v>
      </c>
      <c r="H929" s="3" t="str">
        <f t="shared" si="165"/>
        <v/>
      </c>
      <c r="I929" s="3">
        <f t="shared" si="166"/>
        <v>150</v>
      </c>
      <c r="J929" s="5" t="str">
        <f>IF(E929=0,"Broadcast",IF(H929="",IF(I929="","",IF(I929&lt;128,"Connect "&amp;I929,INDEX(KdoCodeTab,MATCH(I929,KdoWertTab,0)))),"ReadStat "&amp;H929))</f>
        <v>RepSpaceCmd</v>
      </c>
      <c r="K929" t="str">
        <f t="shared" si="156"/>
        <v/>
      </c>
      <c r="L929" t="str">
        <f t="shared" si="157"/>
        <v/>
      </c>
      <c r="M929" t="str">
        <f t="shared" si="158"/>
        <v>RepSpaceCmd</v>
      </c>
    </row>
    <row r="930" spans="1:13" x14ac:dyDescent="0.25">
      <c r="A930" t="s">
        <v>504</v>
      </c>
      <c r="B930" s="6">
        <f t="shared" si="159"/>
        <v>2.9801666666666669</v>
      </c>
      <c r="C930" s="9">
        <f t="shared" si="160"/>
        <v>39.500000000000313</v>
      </c>
      <c r="D930" s="8" t="str">
        <f t="shared" si="161"/>
        <v>W</v>
      </c>
      <c r="E930" s="3">
        <f t="shared" si="162"/>
        <v>101</v>
      </c>
      <c r="F930" s="3" t="str">
        <f t="shared" si="163"/>
        <v>ack</v>
      </c>
      <c r="G930" s="3" t="str">
        <f t="shared" si="164"/>
        <v>9C</v>
      </c>
      <c r="H930" s="3" t="str">
        <f t="shared" si="165"/>
        <v/>
      </c>
      <c r="I930" s="3">
        <f t="shared" si="166"/>
        <v>156</v>
      </c>
      <c r="J930" s="5" t="str">
        <f>IF(E930=0,"Broadcast",IF(H930="",IF(I930="","",IF(I930&lt;128,"Connect "&amp;I930,INDEX(KdoCodeTab,MATCH(I930,KdoWertTab,0)))),"ReadStat "&amp;H930))</f>
        <v>MarkCmd</v>
      </c>
      <c r="K930" t="str">
        <f t="shared" si="156"/>
        <v/>
      </c>
      <c r="L930" t="str">
        <f t="shared" si="157"/>
        <v/>
      </c>
      <c r="M930" t="str">
        <f t="shared" si="158"/>
        <v>MarkCmd</v>
      </c>
    </row>
    <row r="931" spans="1:13" x14ac:dyDescent="0.25">
      <c r="A931" t="s">
        <v>505</v>
      </c>
      <c r="B931" s="6">
        <f t="shared" si="159"/>
        <v>2.9811666666666667</v>
      </c>
      <c r="C931" s="9">
        <f t="shared" si="160"/>
        <v>0.99999999999988987</v>
      </c>
      <c r="D931" s="8" t="str">
        <f t="shared" si="161"/>
        <v>W</v>
      </c>
      <c r="E931" s="3">
        <f t="shared" si="162"/>
        <v>101</v>
      </c>
      <c r="F931" s="3" t="str">
        <f t="shared" si="163"/>
        <v>ack</v>
      </c>
      <c r="G931" s="3" t="str">
        <f t="shared" si="164"/>
        <v>9A</v>
      </c>
      <c r="H931" s="3" t="str">
        <f t="shared" si="165"/>
        <v/>
      </c>
      <c r="I931" s="3">
        <f t="shared" si="166"/>
        <v>154</v>
      </c>
      <c r="J931" s="5" t="str">
        <f>IF(E931=0,"Broadcast",IF(H931="",IF(I931="","",IF(I931&lt;128,"Connect "&amp;I931,INDEX(KdoCodeTab,MATCH(I931,KdoWertTab,0)))),"ReadStat "&amp;H931))</f>
        <v>RepMarkCmd</v>
      </c>
      <c r="K931" t="str">
        <f t="shared" si="156"/>
        <v/>
      </c>
      <c r="L931" t="str">
        <f t="shared" si="157"/>
        <v/>
      </c>
      <c r="M931" t="str">
        <f t="shared" si="158"/>
        <v>RepMarkCmd</v>
      </c>
    </row>
    <row r="932" spans="1:13" x14ac:dyDescent="0.25">
      <c r="A932" t="s">
        <v>506</v>
      </c>
      <c r="B932" s="6">
        <f t="shared" si="159"/>
        <v>3.1548333333333334</v>
      </c>
      <c r="C932" s="9">
        <f t="shared" si="160"/>
        <v>173.66666666666663</v>
      </c>
      <c r="D932" s="8" t="str">
        <f t="shared" si="161"/>
        <v>W</v>
      </c>
      <c r="E932" s="3">
        <f t="shared" si="162"/>
        <v>101</v>
      </c>
      <c r="F932" s="3" t="str">
        <f t="shared" si="163"/>
        <v>ack</v>
      </c>
      <c r="G932" s="3" t="str">
        <f t="shared" si="164"/>
        <v>A9</v>
      </c>
      <c r="H932" s="3" t="str">
        <f t="shared" si="165"/>
        <v/>
      </c>
      <c r="I932" s="3">
        <f t="shared" si="166"/>
        <v>169</v>
      </c>
      <c r="J932" s="5" t="str">
        <f>IF(E932=0,"Broadcast",IF(H932="",IF(I932="","",IF(I932&lt;128,"Connect "&amp;I932,INDEX(KdoCodeTab,MATCH(I932,KdoWertTab,0)))),"ReadStat "&amp;H932))</f>
        <v>Heartbeat</v>
      </c>
      <c r="K932" t="str">
        <f t="shared" si="156"/>
        <v/>
      </c>
      <c r="L932" t="str">
        <f t="shared" si="157"/>
        <v/>
      </c>
      <c r="M932" t="str">
        <f t="shared" si="158"/>
        <v>Heartbeat</v>
      </c>
    </row>
    <row r="933" spans="1:13" x14ac:dyDescent="0.25">
      <c r="A933" t="s">
        <v>507</v>
      </c>
      <c r="B933" s="6">
        <f t="shared" si="159"/>
        <v>3.2559999999999998</v>
      </c>
      <c r="C933" s="9">
        <f t="shared" si="160"/>
        <v>101.1666666666664</v>
      </c>
      <c r="D933" s="8" t="str">
        <f t="shared" si="161"/>
        <v>W</v>
      </c>
      <c r="E933" s="3">
        <f t="shared" si="162"/>
        <v>101</v>
      </c>
      <c r="F933" s="3" t="str">
        <f t="shared" si="163"/>
        <v>ack</v>
      </c>
      <c r="G933" s="3" t="str">
        <f t="shared" si="164"/>
        <v>93</v>
      </c>
      <c r="H933" s="3" t="str">
        <f t="shared" si="165"/>
        <v/>
      </c>
      <c r="I933" s="3">
        <f t="shared" si="166"/>
        <v>147</v>
      </c>
      <c r="J933" s="5" t="str">
        <f>IF(E933=0,"Broadcast",IF(H933="",IF(I933="","",IF(I933&lt;128,"Connect "&amp;I933,INDEX(KdoCodeTab,MATCH(I933,KdoWertTab,0)))),"ReadStat "&amp;H933))</f>
        <v>SpaceCmd</v>
      </c>
      <c r="K933" t="str">
        <f t="shared" si="156"/>
        <v/>
      </c>
      <c r="L933" t="str">
        <f t="shared" si="157"/>
        <v/>
      </c>
      <c r="M933" t="str">
        <f t="shared" si="158"/>
        <v>SpaceCmd</v>
      </c>
    </row>
    <row r="934" spans="1:13" x14ac:dyDescent="0.25">
      <c r="A934" t="s">
        <v>508</v>
      </c>
      <c r="B934" s="6">
        <f t="shared" si="159"/>
        <v>3.2570000000000001</v>
      </c>
      <c r="C934" s="9">
        <f t="shared" si="160"/>
        <v>1.000000000000334</v>
      </c>
      <c r="D934" s="8" t="str">
        <f t="shared" si="161"/>
        <v>W</v>
      </c>
      <c r="E934" s="3">
        <f t="shared" si="162"/>
        <v>101</v>
      </c>
      <c r="F934" s="3" t="str">
        <f t="shared" si="163"/>
        <v>ack</v>
      </c>
      <c r="G934" s="3" t="str">
        <f t="shared" si="164"/>
        <v>96</v>
      </c>
      <c r="H934" s="3" t="str">
        <f t="shared" si="165"/>
        <v/>
      </c>
      <c r="I934" s="3">
        <f t="shared" si="166"/>
        <v>150</v>
      </c>
      <c r="J934" s="5" t="str">
        <f>IF(E934=0,"Broadcast",IF(H934="",IF(I934="","",IF(I934&lt;128,"Connect "&amp;I934,INDEX(KdoCodeTab,MATCH(I934,KdoWertTab,0)))),"ReadStat "&amp;H934))</f>
        <v>RepSpaceCmd</v>
      </c>
      <c r="K934" t="str">
        <f t="shared" si="156"/>
        <v/>
      </c>
      <c r="L934" t="str">
        <f t="shared" si="157"/>
        <v/>
      </c>
      <c r="M934" t="str">
        <f t="shared" si="158"/>
        <v>RepSpaceCmd</v>
      </c>
    </row>
    <row r="935" spans="1:13" x14ac:dyDescent="0.25">
      <c r="A935" t="s">
        <v>509</v>
      </c>
      <c r="B935" s="6">
        <f t="shared" si="159"/>
        <v>3.2761666666666667</v>
      </c>
      <c r="C935" s="9">
        <f t="shared" si="160"/>
        <v>19.166666666666554</v>
      </c>
      <c r="D935" s="8" t="str">
        <f t="shared" si="161"/>
        <v>W</v>
      </c>
      <c r="E935" s="3">
        <f t="shared" si="162"/>
        <v>101</v>
      </c>
      <c r="F935" s="3" t="str">
        <f t="shared" si="163"/>
        <v>ack</v>
      </c>
      <c r="G935" s="3" t="str">
        <f t="shared" si="164"/>
        <v>9C</v>
      </c>
      <c r="H935" s="3" t="str">
        <f t="shared" si="165"/>
        <v/>
      </c>
      <c r="I935" s="3">
        <f t="shared" si="166"/>
        <v>156</v>
      </c>
      <c r="J935" s="5" t="str">
        <f>IF(E935=0,"Broadcast",IF(H935="",IF(I935="","",IF(I935&lt;128,"Connect "&amp;I935,INDEX(KdoCodeTab,MATCH(I935,KdoWertTab,0)))),"ReadStat "&amp;H935))</f>
        <v>MarkCmd</v>
      </c>
      <c r="K935" t="str">
        <f t="shared" si="156"/>
        <v/>
      </c>
      <c r="L935" t="str">
        <f t="shared" si="157"/>
        <v/>
      </c>
      <c r="M935" t="str">
        <f t="shared" si="158"/>
        <v>MarkCmd</v>
      </c>
    </row>
    <row r="936" spans="1:13" x14ac:dyDescent="0.25">
      <c r="A936" t="s">
        <v>510</v>
      </c>
      <c r="B936" s="6">
        <f t="shared" si="159"/>
        <v>3.277166666666667</v>
      </c>
      <c r="C936" s="9">
        <f t="shared" si="160"/>
        <v>1.000000000000334</v>
      </c>
      <c r="D936" s="8" t="str">
        <f t="shared" si="161"/>
        <v>W</v>
      </c>
      <c r="E936" s="3">
        <f t="shared" si="162"/>
        <v>101</v>
      </c>
      <c r="F936" s="3" t="str">
        <f t="shared" si="163"/>
        <v>ack</v>
      </c>
      <c r="G936" s="3" t="str">
        <f t="shared" si="164"/>
        <v>9A</v>
      </c>
      <c r="H936" s="3" t="str">
        <f t="shared" si="165"/>
        <v/>
      </c>
      <c r="I936" s="3">
        <f t="shared" si="166"/>
        <v>154</v>
      </c>
      <c r="J936" s="5" t="str">
        <f>IF(E936=0,"Broadcast",IF(H936="",IF(I936="","",IF(I936&lt;128,"Connect "&amp;I936,INDEX(KdoCodeTab,MATCH(I936,KdoWertTab,0)))),"ReadStat "&amp;H936))</f>
        <v>RepMarkCmd</v>
      </c>
      <c r="K936" t="str">
        <f t="shared" si="156"/>
        <v/>
      </c>
      <c r="L936" t="str">
        <f t="shared" si="157"/>
        <v/>
      </c>
      <c r="M936" t="str">
        <f t="shared" si="158"/>
        <v>RepMarkCmd</v>
      </c>
    </row>
    <row r="937" spans="1:13" x14ac:dyDescent="0.25">
      <c r="A937" t="s">
        <v>511</v>
      </c>
      <c r="B937" s="6">
        <f t="shared" si="159"/>
        <v>3.3506666666666667</v>
      </c>
      <c r="C937" s="9">
        <f t="shared" si="160"/>
        <v>73.499999999999673</v>
      </c>
      <c r="D937" s="8" t="str">
        <f t="shared" si="161"/>
        <v>W</v>
      </c>
      <c r="E937" s="3">
        <f t="shared" si="162"/>
        <v>31</v>
      </c>
      <c r="F937" s="3" t="str">
        <f t="shared" si="163"/>
        <v>ack</v>
      </c>
      <c r="G937" s="3" t="str">
        <f t="shared" si="164"/>
        <v>9A</v>
      </c>
      <c r="H937" s="3" t="str">
        <f t="shared" si="165"/>
        <v/>
      </c>
      <c r="I937" s="3">
        <f t="shared" si="166"/>
        <v>154</v>
      </c>
      <c r="J937" s="5" t="str">
        <f>IF(E937=0,"Broadcast",IF(H937="",IF(I937="","",IF(I937&lt;128,"Connect "&amp;I937,INDEX(KdoCodeTab,MATCH(I937,KdoWertTab,0)))),"ReadStat "&amp;H937))</f>
        <v>RepMarkCmd</v>
      </c>
      <c r="K937" t="str">
        <f t="shared" si="156"/>
        <v/>
      </c>
      <c r="L937" t="str">
        <f t="shared" si="157"/>
        <v>RepMarkCmd</v>
      </c>
      <c r="M937" t="str">
        <f t="shared" si="158"/>
        <v/>
      </c>
    </row>
    <row r="938" spans="1:13" x14ac:dyDescent="0.25">
      <c r="A938" t="s">
        <v>512</v>
      </c>
      <c r="B938" s="6">
        <f t="shared" si="159"/>
        <v>3.3559999999999999</v>
      </c>
      <c r="C938" s="9">
        <f t="shared" si="160"/>
        <v>5.33333333333319</v>
      </c>
      <c r="D938" s="8" t="str">
        <f t="shared" si="161"/>
        <v>W</v>
      </c>
      <c r="E938" s="3">
        <f t="shared" si="162"/>
        <v>101</v>
      </c>
      <c r="F938" s="3" t="str">
        <f t="shared" si="163"/>
        <v>ack</v>
      </c>
      <c r="G938" s="3" t="str">
        <f t="shared" si="164"/>
        <v>93</v>
      </c>
      <c r="H938" s="3" t="str">
        <f t="shared" si="165"/>
        <v/>
      </c>
      <c r="I938" s="3">
        <f t="shared" si="166"/>
        <v>147</v>
      </c>
      <c r="J938" s="5" t="str">
        <f>IF(E938=0,"Broadcast",IF(H938="",IF(I938="","",IF(I938&lt;128,"Connect "&amp;I938,INDEX(KdoCodeTab,MATCH(I938,KdoWertTab,0)))),"ReadStat "&amp;H938))</f>
        <v>SpaceCmd</v>
      </c>
      <c r="K938" t="str">
        <f t="shared" si="156"/>
        <v/>
      </c>
      <c r="L938" t="str">
        <f t="shared" si="157"/>
        <v/>
      </c>
      <c r="M938" t="str">
        <f t="shared" si="158"/>
        <v>SpaceCmd</v>
      </c>
    </row>
    <row r="939" spans="1:13" x14ac:dyDescent="0.25">
      <c r="A939" t="s">
        <v>513</v>
      </c>
      <c r="B939" s="6">
        <f t="shared" si="159"/>
        <v>3.3570000000000002</v>
      </c>
      <c r="C939" s="9">
        <f t="shared" si="160"/>
        <v>1.000000000000334</v>
      </c>
      <c r="D939" s="8" t="str">
        <f t="shared" si="161"/>
        <v>W</v>
      </c>
      <c r="E939" s="3">
        <f t="shared" si="162"/>
        <v>101</v>
      </c>
      <c r="F939" s="3" t="str">
        <f t="shared" si="163"/>
        <v>ack</v>
      </c>
      <c r="G939" s="3" t="str">
        <f t="shared" si="164"/>
        <v>96</v>
      </c>
      <c r="H939" s="3" t="str">
        <f t="shared" si="165"/>
        <v/>
      </c>
      <c r="I939" s="3">
        <f t="shared" si="166"/>
        <v>150</v>
      </c>
      <c r="J939" s="5" t="str">
        <f>IF(E939=0,"Broadcast",IF(H939="",IF(I939="","",IF(I939&lt;128,"Connect "&amp;I939,INDEX(KdoCodeTab,MATCH(I939,KdoWertTab,0)))),"ReadStat "&amp;H939))</f>
        <v>RepSpaceCmd</v>
      </c>
      <c r="K939" t="str">
        <f t="shared" si="156"/>
        <v/>
      </c>
      <c r="L939" t="str">
        <f t="shared" si="157"/>
        <v/>
      </c>
      <c r="M939" t="str">
        <f t="shared" si="158"/>
        <v>RepSpaceCmd</v>
      </c>
    </row>
    <row r="940" spans="1:13" x14ac:dyDescent="0.25">
      <c r="A940" t="s">
        <v>514</v>
      </c>
      <c r="B940" s="6">
        <f t="shared" si="159"/>
        <v>3.3761666666666668</v>
      </c>
      <c r="C940" s="9">
        <f t="shared" si="160"/>
        <v>19.166666666666554</v>
      </c>
      <c r="D940" s="8" t="str">
        <f t="shared" si="161"/>
        <v>W</v>
      </c>
      <c r="E940" s="3">
        <f t="shared" si="162"/>
        <v>101</v>
      </c>
      <c r="F940" s="3" t="str">
        <f t="shared" si="163"/>
        <v>ack</v>
      </c>
      <c r="G940" s="3" t="str">
        <f t="shared" si="164"/>
        <v>9C</v>
      </c>
      <c r="H940" s="3" t="str">
        <f t="shared" si="165"/>
        <v/>
      </c>
      <c r="I940" s="3">
        <f t="shared" si="166"/>
        <v>156</v>
      </c>
      <c r="J940" s="5" t="str">
        <f>IF(E940=0,"Broadcast",IF(H940="",IF(I940="","",IF(I940&lt;128,"Connect "&amp;I940,INDEX(KdoCodeTab,MATCH(I940,KdoWertTab,0)))),"ReadStat "&amp;H940))</f>
        <v>MarkCmd</v>
      </c>
      <c r="K940" t="str">
        <f t="shared" si="156"/>
        <v/>
      </c>
      <c r="L940" t="str">
        <f t="shared" si="157"/>
        <v/>
      </c>
      <c r="M940" t="str">
        <f t="shared" si="158"/>
        <v>MarkCmd</v>
      </c>
    </row>
    <row r="941" spans="1:13" x14ac:dyDescent="0.25">
      <c r="A941" t="s">
        <v>515</v>
      </c>
      <c r="B941" s="6">
        <f t="shared" si="159"/>
        <v>3.3771666666666667</v>
      </c>
      <c r="C941" s="9">
        <f t="shared" si="160"/>
        <v>0.99999999999988987</v>
      </c>
      <c r="D941" s="8" t="str">
        <f t="shared" si="161"/>
        <v>W</v>
      </c>
      <c r="E941" s="3">
        <f t="shared" si="162"/>
        <v>101</v>
      </c>
      <c r="F941" s="3" t="str">
        <f t="shared" si="163"/>
        <v>ack</v>
      </c>
      <c r="G941" s="3" t="str">
        <f t="shared" si="164"/>
        <v>9A</v>
      </c>
      <c r="H941" s="3" t="str">
        <f t="shared" si="165"/>
        <v/>
      </c>
      <c r="I941" s="3">
        <f t="shared" si="166"/>
        <v>154</v>
      </c>
      <c r="J941" s="5" t="str">
        <f>IF(E941=0,"Broadcast",IF(H941="",IF(I941="","",IF(I941&lt;128,"Connect "&amp;I941,INDEX(KdoCodeTab,MATCH(I941,KdoWertTab,0)))),"ReadStat "&amp;H941))</f>
        <v>RepMarkCmd</v>
      </c>
      <c r="K941" t="str">
        <f t="shared" si="156"/>
        <v/>
      </c>
      <c r="L941" t="str">
        <f t="shared" si="157"/>
        <v/>
      </c>
      <c r="M941" t="str">
        <f t="shared" si="158"/>
        <v>RepMarkCmd</v>
      </c>
    </row>
    <row r="942" spans="1:13" x14ac:dyDescent="0.25">
      <c r="A942" t="s">
        <v>516</v>
      </c>
      <c r="B942" s="6">
        <f t="shared" si="159"/>
        <v>3.456</v>
      </c>
      <c r="C942" s="9">
        <f t="shared" si="160"/>
        <v>78.833333333333314</v>
      </c>
      <c r="D942" s="8" t="str">
        <f t="shared" si="161"/>
        <v>W</v>
      </c>
      <c r="E942" s="3">
        <f t="shared" si="162"/>
        <v>101</v>
      </c>
      <c r="F942" s="3" t="str">
        <f t="shared" si="163"/>
        <v>ack</v>
      </c>
      <c r="G942" s="3" t="str">
        <f t="shared" si="164"/>
        <v>93</v>
      </c>
      <c r="H942" s="3" t="str">
        <f t="shared" si="165"/>
        <v/>
      </c>
      <c r="I942" s="3">
        <f t="shared" si="166"/>
        <v>147</v>
      </c>
      <c r="J942" s="5" t="str">
        <f>IF(E942=0,"Broadcast",IF(H942="",IF(I942="","",IF(I942&lt;128,"Connect "&amp;I942,INDEX(KdoCodeTab,MATCH(I942,KdoWertTab,0)))),"ReadStat "&amp;H942))</f>
        <v>SpaceCmd</v>
      </c>
      <c r="K942" t="str">
        <f t="shared" si="156"/>
        <v/>
      </c>
      <c r="L942" t="str">
        <f t="shared" si="157"/>
        <v/>
      </c>
      <c r="M942" t="str">
        <f t="shared" si="158"/>
        <v>SpaceCmd</v>
      </c>
    </row>
    <row r="943" spans="1:13" x14ac:dyDescent="0.25">
      <c r="A943" t="s">
        <v>517</v>
      </c>
      <c r="B943" s="6">
        <f t="shared" si="159"/>
        <v>3.4568333333333334</v>
      </c>
      <c r="C943" s="9">
        <f t="shared" si="160"/>
        <v>0.8333333333334636</v>
      </c>
      <c r="D943" s="8" t="str">
        <f t="shared" si="161"/>
        <v>W</v>
      </c>
      <c r="E943" s="3">
        <f t="shared" si="162"/>
        <v>101</v>
      </c>
      <c r="F943" s="3" t="str">
        <f t="shared" si="163"/>
        <v>ack</v>
      </c>
      <c r="G943" s="3" t="str">
        <f t="shared" si="164"/>
        <v>96</v>
      </c>
      <c r="H943" s="3" t="str">
        <f t="shared" si="165"/>
        <v/>
      </c>
      <c r="I943" s="3">
        <f t="shared" si="166"/>
        <v>150</v>
      </c>
      <c r="J943" s="5" t="str">
        <f>IF(E943=0,"Broadcast",IF(H943="",IF(I943="","",IF(I943&lt;128,"Connect "&amp;I943,INDEX(KdoCodeTab,MATCH(I943,KdoWertTab,0)))),"ReadStat "&amp;H943))</f>
        <v>RepSpaceCmd</v>
      </c>
      <c r="K943" t="str">
        <f t="shared" si="156"/>
        <v/>
      </c>
      <c r="L943" t="str">
        <f t="shared" si="157"/>
        <v/>
      </c>
      <c r="M943" t="str">
        <f t="shared" si="158"/>
        <v>RepSpaceCmd</v>
      </c>
    </row>
    <row r="944" spans="1:13" x14ac:dyDescent="0.25">
      <c r="A944" t="s">
        <v>518</v>
      </c>
      <c r="B944" s="6">
        <f t="shared" si="159"/>
        <v>3.4965000000000002</v>
      </c>
      <c r="C944" s="9">
        <f t="shared" si="160"/>
        <v>39.666666666666742</v>
      </c>
      <c r="D944" s="8" t="str">
        <f t="shared" si="161"/>
        <v>W</v>
      </c>
      <c r="E944" s="3">
        <f t="shared" si="162"/>
        <v>101</v>
      </c>
      <c r="F944" s="3" t="str">
        <f t="shared" si="163"/>
        <v>ack</v>
      </c>
      <c r="G944" s="3" t="str">
        <f t="shared" si="164"/>
        <v>9C</v>
      </c>
      <c r="H944" s="3" t="str">
        <f t="shared" si="165"/>
        <v/>
      </c>
      <c r="I944" s="3">
        <f t="shared" si="166"/>
        <v>156</v>
      </c>
      <c r="J944" s="5" t="str">
        <f>IF(E944=0,"Broadcast",IF(H944="",IF(I944="","",IF(I944&lt;128,"Connect "&amp;I944,INDEX(KdoCodeTab,MATCH(I944,KdoWertTab,0)))),"ReadStat "&amp;H944))</f>
        <v>MarkCmd</v>
      </c>
      <c r="K944" t="str">
        <f t="shared" si="156"/>
        <v/>
      </c>
      <c r="L944" t="str">
        <f t="shared" si="157"/>
        <v/>
      </c>
      <c r="M944" t="str">
        <f t="shared" si="158"/>
        <v>MarkCmd</v>
      </c>
    </row>
    <row r="945" spans="1:13" x14ac:dyDescent="0.25">
      <c r="A945" t="s">
        <v>519</v>
      </c>
      <c r="B945" s="6">
        <f t="shared" si="159"/>
        <v>3.4973333333333332</v>
      </c>
      <c r="C945" s="9">
        <f t="shared" si="160"/>
        <v>0.83333333333301951</v>
      </c>
      <c r="D945" s="8" t="str">
        <f t="shared" si="161"/>
        <v>W</v>
      </c>
      <c r="E945" s="3">
        <f t="shared" si="162"/>
        <v>101</v>
      </c>
      <c r="F945" s="3" t="str">
        <f t="shared" si="163"/>
        <v>ack</v>
      </c>
      <c r="G945" s="3" t="str">
        <f t="shared" si="164"/>
        <v>9A</v>
      </c>
      <c r="H945" s="3" t="str">
        <f t="shared" si="165"/>
        <v/>
      </c>
      <c r="I945" s="3">
        <f t="shared" si="166"/>
        <v>154</v>
      </c>
      <c r="J945" s="5" t="str">
        <f>IF(E945=0,"Broadcast",IF(H945="",IF(I945="","",IF(I945&lt;128,"Connect "&amp;I945,INDEX(KdoCodeTab,MATCH(I945,KdoWertTab,0)))),"ReadStat "&amp;H945))</f>
        <v>RepMarkCmd</v>
      </c>
      <c r="K945" t="str">
        <f t="shared" si="156"/>
        <v/>
      </c>
      <c r="L945" t="str">
        <f t="shared" si="157"/>
        <v/>
      </c>
      <c r="M945" t="str">
        <f t="shared" si="158"/>
        <v>RepMarkCmd</v>
      </c>
    </row>
    <row r="946" spans="1:13" x14ac:dyDescent="0.25">
      <c r="A946" t="s">
        <v>520</v>
      </c>
      <c r="B946" s="6">
        <f t="shared" si="159"/>
        <v>3.5166666666666666</v>
      </c>
      <c r="C946" s="9">
        <f t="shared" si="160"/>
        <v>19.333333333333425</v>
      </c>
      <c r="D946" s="8" t="str">
        <f t="shared" si="161"/>
        <v>W</v>
      </c>
      <c r="E946" s="3">
        <f t="shared" si="162"/>
        <v>101</v>
      </c>
      <c r="F946" s="3" t="str">
        <f t="shared" si="163"/>
        <v>ack</v>
      </c>
      <c r="G946" s="3" t="str">
        <f t="shared" si="164"/>
        <v>93</v>
      </c>
      <c r="H946" s="3" t="str">
        <f t="shared" si="165"/>
        <v/>
      </c>
      <c r="I946" s="3">
        <f t="shared" si="166"/>
        <v>147</v>
      </c>
      <c r="J946" s="5" t="str">
        <f>IF(E946=0,"Broadcast",IF(H946="",IF(I946="","",IF(I946&lt;128,"Connect "&amp;I946,INDEX(KdoCodeTab,MATCH(I946,KdoWertTab,0)))),"ReadStat "&amp;H946))</f>
        <v>SpaceCmd</v>
      </c>
      <c r="K946" t="str">
        <f t="shared" si="156"/>
        <v/>
      </c>
      <c r="L946" t="str">
        <f t="shared" si="157"/>
        <v/>
      </c>
      <c r="M946" t="str">
        <f t="shared" si="158"/>
        <v>SpaceCmd</v>
      </c>
    </row>
    <row r="947" spans="1:13" x14ac:dyDescent="0.25">
      <c r="A947" t="s">
        <v>521</v>
      </c>
      <c r="B947" s="6">
        <f t="shared" si="159"/>
        <v>3.5175000000000001</v>
      </c>
      <c r="C947" s="9">
        <f t="shared" si="160"/>
        <v>0.8333333333334636</v>
      </c>
      <c r="D947" s="8" t="str">
        <f t="shared" si="161"/>
        <v>W</v>
      </c>
      <c r="E947" s="3">
        <f t="shared" si="162"/>
        <v>101</v>
      </c>
      <c r="F947" s="3" t="str">
        <f t="shared" si="163"/>
        <v>ack</v>
      </c>
      <c r="G947" s="3" t="str">
        <f t="shared" si="164"/>
        <v>96</v>
      </c>
      <c r="H947" s="3" t="str">
        <f t="shared" si="165"/>
        <v/>
      </c>
      <c r="I947" s="3">
        <f t="shared" si="166"/>
        <v>150</v>
      </c>
      <c r="J947" s="5" t="str">
        <f>IF(E947=0,"Broadcast",IF(H947="",IF(I947="","",IF(I947&lt;128,"Connect "&amp;I947,INDEX(KdoCodeTab,MATCH(I947,KdoWertTab,0)))),"ReadStat "&amp;H947))</f>
        <v>RepSpaceCmd</v>
      </c>
      <c r="K947" t="str">
        <f t="shared" si="156"/>
        <v/>
      </c>
      <c r="L947" t="str">
        <f t="shared" si="157"/>
        <v/>
      </c>
      <c r="M947" t="str">
        <f t="shared" si="158"/>
        <v>RepSpaceCmd</v>
      </c>
    </row>
    <row r="948" spans="1:13" x14ac:dyDescent="0.25">
      <c r="A948" t="s">
        <v>522</v>
      </c>
      <c r="B948" s="6">
        <f t="shared" si="159"/>
        <v>3.556</v>
      </c>
      <c r="C948" s="9">
        <f t="shared" si="160"/>
        <v>38.499999999999979</v>
      </c>
      <c r="D948" s="8" t="str">
        <f t="shared" si="161"/>
        <v>W</v>
      </c>
      <c r="E948" s="3">
        <f t="shared" si="162"/>
        <v>101</v>
      </c>
      <c r="F948" s="3" t="str">
        <f t="shared" si="163"/>
        <v>ack</v>
      </c>
      <c r="G948" s="3" t="str">
        <f t="shared" si="164"/>
        <v>9C</v>
      </c>
      <c r="H948" s="3" t="str">
        <f t="shared" si="165"/>
        <v/>
      </c>
      <c r="I948" s="3">
        <f t="shared" si="166"/>
        <v>156</v>
      </c>
      <c r="J948" s="5" t="str">
        <f>IF(E948=0,"Broadcast",IF(H948="",IF(I948="","",IF(I948&lt;128,"Connect "&amp;I948,INDEX(KdoCodeTab,MATCH(I948,KdoWertTab,0)))),"ReadStat "&amp;H948))</f>
        <v>MarkCmd</v>
      </c>
      <c r="K948" t="str">
        <f t="shared" si="156"/>
        <v/>
      </c>
      <c r="L948" t="str">
        <f t="shared" si="157"/>
        <v/>
      </c>
      <c r="M948" t="str">
        <f t="shared" si="158"/>
        <v>MarkCmd</v>
      </c>
    </row>
    <row r="949" spans="1:13" x14ac:dyDescent="0.25">
      <c r="A949" t="s">
        <v>523</v>
      </c>
      <c r="B949" s="6">
        <f t="shared" si="159"/>
        <v>3.5569999999999999</v>
      </c>
      <c r="C949" s="9">
        <f t="shared" si="160"/>
        <v>0.99999999999988987</v>
      </c>
      <c r="D949" s="8" t="str">
        <f t="shared" si="161"/>
        <v>W</v>
      </c>
      <c r="E949" s="3">
        <f t="shared" si="162"/>
        <v>101</v>
      </c>
      <c r="F949" s="3" t="str">
        <f t="shared" si="163"/>
        <v>ack</v>
      </c>
      <c r="G949" s="3" t="str">
        <f t="shared" si="164"/>
        <v>9A</v>
      </c>
      <c r="H949" s="3" t="str">
        <f t="shared" si="165"/>
        <v/>
      </c>
      <c r="I949" s="3">
        <f t="shared" si="166"/>
        <v>154</v>
      </c>
      <c r="J949" s="5" t="str">
        <f>IF(E949=0,"Broadcast",IF(H949="",IF(I949="","",IF(I949&lt;128,"Connect "&amp;I949,INDEX(KdoCodeTab,MATCH(I949,KdoWertTab,0)))),"ReadStat "&amp;H949))</f>
        <v>RepMarkCmd</v>
      </c>
      <c r="K949" t="str">
        <f t="shared" si="156"/>
        <v/>
      </c>
      <c r="L949" t="str">
        <f t="shared" si="157"/>
        <v/>
      </c>
      <c r="M949" t="str">
        <f t="shared" si="158"/>
        <v>RepMarkCmd</v>
      </c>
    </row>
    <row r="950" spans="1:13" x14ac:dyDescent="0.25">
      <c r="A950" t="s">
        <v>524</v>
      </c>
      <c r="B950" s="6">
        <f t="shared" si="159"/>
        <v>3.6056666666666666</v>
      </c>
      <c r="C950" s="9">
        <f t="shared" si="160"/>
        <v>48.666666666666636</v>
      </c>
      <c r="D950" s="8" t="str">
        <f t="shared" si="161"/>
        <v>W</v>
      </c>
      <c r="E950" s="3">
        <f t="shared" si="162"/>
        <v>101</v>
      </c>
      <c r="F950" s="3" t="str">
        <f t="shared" si="163"/>
        <v>ack</v>
      </c>
      <c r="G950" s="3" t="str">
        <f t="shared" si="164"/>
        <v>93</v>
      </c>
      <c r="H950" s="3" t="str">
        <f t="shared" si="165"/>
        <v/>
      </c>
      <c r="I950" s="3">
        <f t="shared" si="166"/>
        <v>147</v>
      </c>
      <c r="J950" s="5" t="str">
        <f>IF(E950=0,"Broadcast",IF(H950="",IF(I950="","",IF(I950&lt;128,"Connect "&amp;I950,INDEX(KdoCodeTab,MATCH(I950,KdoWertTab,0)))),"ReadStat "&amp;H950))</f>
        <v>SpaceCmd</v>
      </c>
      <c r="K950" t="str">
        <f t="shared" si="156"/>
        <v/>
      </c>
      <c r="L950" t="str">
        <f t="shared" si="157"/>
        <v/>
      </c>
      <c r="M950" t="str">
        <f t="shared" si="158"/>
        <v>SpaceCmd</v>
      </c>
    </row>
    <row r="951" spans="1:13" x14ac:dyDescent="0.25">
      <c r="A951" t="s">
        <v>525</v>
      </c>
      <c r="B951" s="6">
        <f t="shared" si="159"/>
        <v>3.6065</v>
      </c>
      <c r="C951" s="9">
        <f t="shared" si="160"/>
        <v>0.8333333333334636</v>
      </c>
      <c r="D951" s="8" t="str">
        <f t="shared" si="161"/>
        <v>W</v>
      </c>
      <c r="E951" s="3">
        <f t="shared" si="162"/>
        <v>101</v>
      </c>
      <c r="F951" s="3" t="str">
        <f t="shared" si="163"/>
        <v>ack</v>
      </c>
      <c r="G951" s="3" t="str">
        <f t="shared" si="164"/>
        <v>96</v>
      </c>
      <c r="H951" s="3" t="str">
        <f t="shared" si="165"/>
        <v/>
      </c>
      <c r="I951" s="3">
        <f t="shared" si="166"/>
        <v>150</v>
      </c>
      <c r="J951" s="5" t="str">
        <f>IF(E951=0,"Broadcast",IF(H951="",IF(I951="","",IF(I951&lt;128,"Connect "&amp;I951,INDEX(KdoCodeTab,MATCH(I951,KdoWertTab,0)))),"ReadStat "&amp;H951))</f>
        <v>RepSpaceCmd</v>
      </c>
      <c r="K951" t="str">
        <f t="shared" si="156"/>
        <v/>
      </c>
      <c r="L951" t="str">
        <f t="shared" si="157"/>
        <v/>
      </c>
      <c r="M951" t="str">
        <f t="shared" si="158"/>
        <v>RepSpaceCmd</v>
      </c>
    </row>
    <row r="952" spans="1:13" x14ac:dyDescent="0.25">
      <c r="A952" t="s">
        <v>526</v>
      </c>
      <c r="B952" s="6">
        <f t="shared" si="159"/>
        <v>3.6268333333333334</v>
      </c>
      <c r="C952" s="9">
        <f t="shared" si="160"/>
        <v>20.333333333333314</v>
      </c>
      <c r="D952" s="8" t="str">
        <f t="shared" si="161"/>
        <v>W</v>
      </c>
      <c r="E952" s="3">
        <f t="shared" si="162"/>
        <v>101</v>
      </c>
      <c r="F952" s="3" t="str">
        <f t="shared" si="163"/>
        <v>ack</v>
      </c>
      <c r="G952" s="3" t="str">
        <f t="shared" si="164"/>
        <v>9C</v>
      </c>
      <c r="H952" s="3" t="str">
        <f t="shared" si="165"/>
        <v/>
      </c>
      <c r="I952" s="3">
        <f t="shared" si="166"/>
        <v>156</v>
      </c>
      <c r="J952" s="5" t="str">
        <f>IF(E952=0,"Broadcast",IF(H952="",IF(I952="","",IF(I952&lt;128,"Connect "&amp;I952,INDEX(KdoCodeTab,MATCH(I952,KdoWertTab,0)))),"ReadStat "&amp;H952))</f>
        <v>MarkCmd</v>
      </c>
      <c r="K952" t="str">
        <f t="shared" si="156"/>
        <v/>
      </c>
      <c r="L952" t="str">
        <f t="shared" si="157"/>
        <v/>
      </c>
      <c r="M952" t="str">
        <f t="shared" si="158"/>
        <v>MarkCmd</v>
      </c>
    </row>
    <row r="953" spans="1:13" x14ac:dyDescent="0.25">
      <c r="A953" t="s">
        <v>527</v>
      </c>
      <c r="B953" s="6">
        <f t="shared" si="159"/>
        <v>3.6278333333333332</v>
      </c>
      <c r="C953" s="9">
        <f t="shared" si="160"/>
        <v>0.99999999999988987</v>
      </c>
      <c r="D953" s="8" t="str">
        <f t="shared" si="161"/>
        <v>W</v>
      </c>
      <c r="E953" s="3">
        <f t="shared" si="162"/>
        <v>101</v>
      </c>
      <c r="F953" s="3" t="str">
        <f t="shared" si="163"/>
        <v>ack</v>
      </c>
      <c r="G953" s="3" t="str">
        <f t="shared" si="164"/>
        <v>9A</v>
      </c>
      <c r="H953" s="3" t="str">
        <f t="shared" si="165"/>
        <v/>
      </c>
      <c r="I953" s="3">
        <f t="shared" si="166"/>
        <v>154</v>
      </c>
      <c r="J953" s="5" t="str">
        <f>IF(E953=0,"Broadcast",IF(H953="",IF(I953="","",IF(I953&lt;128,"Connect "&amp;I953,INDEX(KdoCodeTab,MATCH(I953,KdoWertTab,0)))),"ReadStat "&amp;H953))</f>
        <v>RepMarkCmd</v>
      </c>
      <c r="K953" t="str">
        <f t="shared" si="156"/>
        <v/>
      </c>
      <c r="L953" t="str">
        <f t="shared" si="157"/>
        <v/>
      </c>
      <c r="M953" t="str">
        <f t="shared" si="158"/>
        <v>RepMarkCmd</v>
      </c>
    </row>
    <row r="954" spans="1:13" x14ac:dyDescent="0.25">
      <c r="A954" t="s">
        <v>528</v>
      </c>
      <c r="B954" s="6">
        <f t="shared" si="159"/>
        <v>3.6469999999999998</v>
      </c>
      <c r="C954" s="9">
        <f t="shared" si="160"/>
        <v>19.166666666666554</v>
      </c>
      <c r="D954" s="8" t="str">
        <f t="shared" si="161"/>
        <v>W</v>
      </c>
      <c r="E954" s="3">
        <f t="shared" si="162"/>
        <v>101</v>
      </c>
      <c r="F954" s="3" t="str">
        <f t="shared" si="163"/>
        <v>ack</v>
      </c>
      <c r="G954" s="3" t="str">
        <f t="shared" si="164"/>
        <v>93</v>
      </c>
      <c r="H954" s="3" t="str">
        <f t="shared" si="165"/>
        <v/>
      </c>
      <c r="I954" s="3">
        <f t="shared" si="166"/>
        <v>147</v>
      </c>
      <c r="J954" s="5" t="str">
        <f>IF(E954=0,"Broadcast",IF(H954="",IF(I954="","",IF(I954&lt;128,"Connect "&amp;I954,INDEX(KdoCodeTab,MATCH(I954,KdoWertTab,0)))),"ReadStat "&amp;H954))</f>
        <v>SpaceCmd</v>
      </c>
      <c r="K954" t="str">
        <f t="shared" si="156"/>
        <v/>
      </c>
      <c r="L954" t="str">
        <f t="shared" si="157"/>
        <v/>
      </c>
      <c r="M954" t="str">
        <f t="shared" si="158"/>
        <v>SpaceCmd</v>
      </c>
    </row>
    <row r="955" spans="1:13" x14ac:dyDescent="0.25">
      <c r="A955" t="s">
        <v>529</v>
      </c>
      <c r="B955" s="6">
        <f t="shared" si="159"/>
        <v>3.6480000000000001</v>
      </c>
      <c r="C955" s="9">
        <f t="shared" si="160"/>
        <v>1.000000000000334</v>
      </c>
      <c r="D955" s="8" t="str">
        <f t="shared" si="161"/>
        <v>W</v>
      </c>
      <c r="E955" s="3">
        <f t="shared" si="162"/>
        <v>101</v>
      </c>
      <c r="F955" s="3" t="str">
        <f t="shared" si="163"/>
        <v>ack</v>
      </c>
      <c r="G955" s="3" t="str">
        <f t="shared" si="164"/>
        <v>96</v>
      </c>
      <c r="H955" s="3" t="str">
        <f t="shared" si="165"/>
        <v/>
      </c>
      <c r="I955" s="3">
        <f t="shared" si="166"/>
        <v>150</v>
      </c>
      <c r="J955" s="5" t="str">
        <f>IF(E955=0,"Broadcast",IF(H955="",IF(I955="","",IF(I955&lt;128,"Connect "&amp;I955,INDEX(KdoCodeTab,MATCH(I955,KdoWertTab,0)))),"ReadStat "&amp;H955))</f>
        <v>RepSpaceCmd</v>
      </c>
      <c r="K955" t="str">
        <f t="shared" ref="K955:K1018" si="167">IF(E955=$K$2,J955,"")</f>
        <v/>
      </c>
      <c r="L955" t="str">
        <f t="shared" ref="L955:L1018" si="168">IF(E955=$L$2,J955,"")</f>
        <v/>
      </c>
      <c r="M955" t="str">
        <f t="shared" ref="M955:M1018" si="169">IF(K955&amp;L955="",J955,"")</f>
        <v>RepSpaceCmd</v>
      </c>
    </row>
    <row r="956" spans="1:13" x14ac:dyDescent="0.25">
      <c r="A956" t="s">
        <v>530</v>
      </c>
      <c r="B956" s="6">
        <f t="shared" si="159"/>
        <v>3.7268333333333334</v>
      </c>
      <c r="C956" s="9">
        <f t="shared" si="160"/>
        <v>78.833333333333314</v>
      </c>
      <c r="D956" s="8" t="str">
        <f t="shared" si="161"/>
        <v>W</v>
      </c>
      <c r="E956" s="3">
        <f t="shared" si="162"/>
        <v>101</v>
      </c>
      <c r="F956" s="3" t="str">
        <f t="shared" si="163"/>
        <v>ack</v>
      </c>
      <c r="G956" s="3" t="str">
        <f t="shared" si="164"/>
        <v>9C</v>
      </c>
      <c r="H956" s="3" t="str">
        <f t="shared" si="165"/>
        <v/>
      </c>
      <c r="I956" s="3">
        <f t="shared" si="166"/>
        <v>156</v>
      </c>
      <c r="J956" s="5" t="str">
        <f>IF(E956=0,"Broadcast",IF(H956="",IF(I956="","",IF(I956&lt;128,"Connect "&amp;I956,INDEX(KdoCodeTab,MATCH(I956,KdoWertTab,0)))),"ReadStat "&amp;H956))</f>
        <v>MarkCmd</v>
      </c>
      <c r="K956" t="str">
        <f t="shared" si="167"/>
        <v/>
      </c>
      <c r="L956" t="str">
        <f t="shared" si="168"/>
        <v/>
      </c>
      <c r="M956" t="str">
        <f t="shared" si="169"/>
        <v>MarkCmd</v>
      </c>
    </row>
    <row r="957" spans="1:13" x14ac:dyDescent="0.25">
      <c r="A957" t="s">
        <v>531</v>
      </c>
      <c r="B957" s="6">
        <f t="shared" si="159"/>
        <v>3.7276666666666665</v>
      </c>
      <c r="C957" s="9">
        <f t="shared" si="160"/>
        <v>0.83333333333301951</v>
      </c>
      <c r="D957" s="8" t="str">
        <f t="shared" si="161"/>
        <v>W</v>
      </c>
      <c r="E957" s="3">
        <f t="shared" si="162"/>
        <v>101</v>
      </c>
      <c r="F957" s="3" t="str">
        <f t="shared" si="163"/>
        <v>ack</v>
      </c>
      <c r="G957" s="3" t="str">
        <f t="shared" si="164"/>
        <v>9A</v>
      </c>
      <c r="H957" s="3" t="str">
        <f t="shared" si="165"/>
        <v/>
      </c>
      <c r="I957" s="3">
        <f t="shared" si="166"/>
        <v>154</v>
      </c>
      <c r="J957" s="5" t="str">
        <f>IF(E957=0,"Broadcast",IF(H957="",IF(I957="","",IF(I957&lt;128,"Connect "&amp;I957,INDEX(KdoCodeTab,MATCH(I957,KdoWertTab,0)))),"ReadStat "&amp;H957))</f>
        <v>RepMarkCmd</v>
      </c>
      <c r="K957" t="str">
        <f t="shared" si="167"/>
        <v/>
      </c>
      <c r="L957" t="str">
        <f t="shared" si="168"/>
        <v/>
      </c>
      <c r="M957" t="str">
        <f t="shared" si="169"/>
        <v>RepMarkCmd</v>
      </c>
    </row>
    <row r="958" spans="1:13" x14ac:dyDescent="0.25">
      <c r="A958" t="s">
        <v>532</v>
      </c>
      <c r="B958" s="6">
        <f t="shared" si="159"/>
        <v>3.7561666666666667</v>
      </c>
      <c r="C958" s="9">
        <f t="shared" si="160"/>
        <v>28.500000000000192</v>
      </c>
      <c r="D958" s="8" t="str">
        <f t="shared" si="161"/>
        <v>W</v>
      </c>
      <c r="E958" s="3">
        <f t="shared" si="162"/>
        <v>101</v>
      </c>
      <c r="F958" s="3" t="str">
        <f t="shared" si="163"/>
        <v>ack</v>
      </c>
      <c r="G958" s="3" t="str">
        <f t="shared" si="164"/>
        <v>93</v>
      </c>
      <c r="H958" s="3" t="str">
        <f t="shared" si="165"/>
        <v/>
      </c>
      <c r="I958" s="3">
        <f t="shared" si="166"/>
        <v>147</v>
      </c>
      <c r="J958" s="5" t="str">
        <f>IF(E958=0,"Broadcast",IF(H958="",IF(I958="","",IF(I958&lt;128,"Connect "&amp;I958,INDEX(KdoCodeTab,MATCH(I958,KdoWertTab,0)))),"ReadStat "&amp;H958))</f>
        <v>SpaceCmd</v>
      </c>
      <c r="K958" t="str">
        <f t="shared" si="167"/>
        <v/>
      </c>
      <c r="L958" t="str">
        <f t="shared" si="168"/>
        <v/>
      </c>
      <c r="M958" t="str">
        <f t="shared" si="169"/>
        <v>SpaceCmd</v>
      </c>
    </row>
    <row r="959" spans="1:13" x14ac:dyDescent="0.25">
      <c r="A959" t="s">
        <v>533</v>
      </c>
      <c r="B959" s="6">
        <f t="shared" si="159"/>
        <v>3.7570000000000001</v>
      </c>
      <c r="C959" s="9">
        <f t="shared" si="160"/>
        <v>0.8333333333334636</v>
      </c>
      <c r="D959" s="8" t="str">
        <f t="shared" si="161"/>
        <v>W</v>
      </c>
      <c r="E959" s="3">
        <f t="shared" si="162"/>
        <v>101</v>
      </c>
      <c r="F959" s="3" t="str">
        <f t="shared" si="163"/>
        <v>ack</v>
      </c>
      <c r="G959" s="3" t="str">
        <f t="shared" si="164"/>
        <v>96</v>
      </c>
      <c r="H959" s="3" t="str">
        <f t="shared" si="165"/>
        <v/>
      </c>
      <c r="I959" s="3">
        <f t="shared" si="166"/>
        <v>150</v>
      </c>
      <c r="J959" s="5" t="str">
        <f>IF(E959=0,"Broadcast",IF(H959="",IF(I959="","",IF(I959&lt;128,"Connect "&amp;I959,INDEX(KdoCodeTab,MATCH(I959,KdoWertTab,0)))),"ReadStat "&amp;H959))</f>
        <v>RepSpaceCmd</v>
      </c>
      <c r="K959" t="str">
        <f t="shared" si="167"/>
        <v/>
      </c>
      <c r="L959" t="str">
        <f t="shared" si="168"/>
        <v/>
      </c>
      <c r="M959" t="str">
        <f t="shared" si="169"/>
        <v>RepSpaceCmd</v>
      </c>
    </row>
    <row r="960" spans="1:13" x14ac:dyDescent="0.25">
      <c r="A960" t="s">
        <v>534</v>
      </c>
      <c r="B960" s="6">
        <f t="shared" si="159"/>
        <v>3.7965</v>
      </c>
      <c r="C960" s="9">
        <f t="shared" si="160"/>
        <v>39.499999999999872</v>
      </c>
      <c r="D960" s="8" t="str">
        <f t="shared" si="161"/>
        <v>W</v>
      </c>
      <c r="E960" s="3">
        <f t="shared" si="162"/>
        <v>101</v>
      </c>
      <c r="F960" s="3" t="str">
        <f t="shared" si="163"/>
        <v>ack</v>
      </c>
      <c r="G960" s="3" t="str">
        <f t="shared" si="164"/>
        <v>9C</v>
      </c>
      <c r="H960" s="3" t="str">
        <f t="shared" si="165"/>
        <v/>
      </c>
      <c r="I960" s="3">
        <f t="shared" si="166"/>
        <v>156</v>
      </c>
      <c r="J960" s="5" t="str">
        <f>IF(E960=0,"Broadcast",IF(H960="",IF(I960="","",IF(I960&lt;128,"Connect "&amp;I960,INDEX(KdoCodeTab,MATCH(I960,KdoWertTab,0)))),"ReadStat "&amp;H960))</f>
        <v>MarkCmd</v>
      </c>
      <c r="K960" t="str">
        <f t="shared" si="167"/>
        <v/>
      </c>
      <c r="L960" t="str">
        <f t="shared" si="168"/>
        <v/>
      </c>
      <c r="M960" t="str">
        <f t="shared" si="169"/>
        <v>MarkCmd</v>
      </c>
    </row>
    <row r="961" spans="1:13" x14ac:dyDescent="0.25">
      <c r="A961" t="s">
        <v>535</v>
      </c>
      <c r="B961" s="6">
        <f t="shared" si="159"/>
        <v>3.7973333333333334</v>
      </c>
      <c r="C961" s="9">
        <f t="shared" si="160"/>
        <v>0.8333333333334636</v>
      </c>
      <c r="D961" s="8" t="str">
        <f t="shared" si="161"/>
        <v>W</v>
      </c>
      <c r="E961" s="3">
        <f t="shared" si="162"/>
        <v>101</v>
      </c>
      <c r="F961" s="3" t="str">
        <f t="shared" si="163"/>
        <v>ack</v>
      </c>
      <c r="G961" s="3" t="str">
        <f t="shared" si="164"/>
        <v>9A</v>
      </c>
      <c r="H961" s="3" t="str">
        <f t="shared" si="165"/>
        <v/>
      </c>
      <c r="I961" s="3">
        <f t="shared" si="166"/>
        <v>154</v>
      </c>
      <c r="J961" s="5" t="str">
        <f>IF(E961=0,"Broadcast",IF(H961="",IF(I961="","",IF(I961&lt;128,"Connect "&amp;I961,INDEX(KdoCodeTab,MATCH(I961,KdoWertTab,0)))),"ReadStat "&amp;H961))</f>
        <v>RepMarkCmd</v>
      </c>
      <c r="K961" t="str">
        <f t="shared" si="167"/>
        <v/>
      </c>
      <c r="L961" t="str">
        <f t="shared" si="168"/>
        <v/>
      </c>
      <c r="M961" t="str">
        <f t="shared" si="169"/>
        <v>RepMarkCmd</v>
      </c>
    </row>
    <row r="962" spans="1:13" x14ac:dyDescent="0.25">
      <c r="A962" t="s">
        <v>536</v>
      </c>
      <c r="B962" s="6">
        <f t="shared" si="159"/>
        <v>3.8368333333333333</v>
      </c>
      <c r="C962" s="9">
        <f t="shared" si="160"/>
        <v>39.499999999999872</v>
      </c>
      <c r="D962" s="8" t="str">
        <f t="shared" si="161"/>
        <v>W</v>
      </c>
      <c r="E962" s="3">
        <f t="shared" si="162"/>
        <v>101</v>
      </c>
      <c r="F962" s="3" t="str">
        <f t="shared" si="163"/>
        <v>ack</v>
      </c>
      <c r="G962" s="3" t="str">
        <f t="shared" si="164"/>
        <v>A9</v>
      </c>
      <c r="H962" s="3" t="str">
        <f t="shared" si="165"/>
        <v/>
      </c>
      <c r="I962" s="3">
        <f t="shared" si="166"/>
        <v>169</v>
      </c>
      <c r="J962" s="5" t="str">
        <f>IF(E962=0,"Broadcast",IF(H962="",IF(I962="","",IF(I962&lt;128,"Connect "&amp;I962,INDEX(KdoCodeTab,MATCH(I962,KdoWertTab,0)))),"ReadStat "&amp;H962))</f>
        <v>Heartbeat</v>
      </c>
      <c r="K962" t="str">
        <f t="shared" si="167"/>
        <v/>
      </c>
      <c r="L962" t="str">
        <f t="shared" si="168"/>
        <v/>
      </c>
      <c r="M962" t="str">
        <f t="shared" si="169"/>
        <v>Heartbeat</v>
      </c>
    </row>
    <row r="963" spans="1:13" x14ac:dyDescent="0.25">
      <c r="A963" t="s">
        <v>537</v>
      </c>
      <c r="B963" s="6">
        <f t="shared" si="159"/>
        <v>3.8378333333333337</v>
      </c>
      <c r="C963" s="9">
        <f t="shared" si="160"/>
        <v>1.000000000000334</v>
      </c>
      <c r="D963" s="8" t="str">
        <f t="shared" si="161"/>
        <v>W</v>
      </c>
      <c r="E963" s="3">
        <f t="shared" si="162"/>
        <v>101</v>
      </c>
      <c r="F963" s="3" t="str">
        <f t="shared" si="163"/>
        <v>ack</v>
      </c>
      <c r="G963" s="3" t="str">
        <f t="shared" si="164"/>
        <v>93</v>
      </c>
      <c r="H963" s="3" t="str">
        <f t="shared" si="165"/>
        <v/>
      </c>
      <c r="I963" s="3">
        <f t="shared" si="166"/>
        <v>147</v>
      </c>
      <c r="J963" s="5" t="str">
        <f>IF(E963=0,"Broadcast",IF(H963="",IF(I963="","",IF(I963&lt;128,"Connect "&amp;I963,INDEX(KdoCodeTab,MATCH(I963,KdoWertTab,0)))),"ReadStat "&amp;H963))</f>
        <v>SpaceCmd</v>
      </c>
      <c r="K963" t="str">
        <f t="shared" si="167"/>
        <v/>
      </c>
      <c r="L963" t="str">
        <f t="shared" si="168"/>
        <v/>
      </c>
      <c r="M963" t="str">
        <f t="shared" si="169"/>
        <v>SpaceCmd</v>
      </c>
    </row>
    <row r="964" spans="1:13" x14ac:dyDescent="0.25">
      <c r="A964" t="s">
        <v>538</v>
      </c>
      <c r="B964" s="6">
        <f t="shared" si="159"/>
        <v>3.8386666666666667</v>
      </c>
      <c r="C964" s="9">
        <f t="shared" si="160"/>
        <v>0.83333333333301951</v>
      </c>
      <c r="D964" s="8" t="str">
        <f t="shared" si="161"/>
        <v>W</v>
      </c>
      <c r="E964" s="3">
        <f t="shared" si="162"/>
        <v>101</v>
      </c>
      <c r="F964" s="3" t="str">
        <f t="shared" si="163"/>
        <v>ack</v>
      </c>
      <c r="G964" s="3" t="str">
        <f t="shared" si="164"/>
        <v>96</v>
      </c>
      <c r="H964" s="3" t="str">
        <f t="shared" si="165"/>
        <v/>
      </c>
      <c r="I964" s="3">
        <f t="shared" si="166"/>
        <v>150</v>
      </c>
      <c r="J964" s="5" t="str">
        <f>IF(E964=0,"Broadcast",IF(H964="",IF(I964="","",IF(I964&lt;128,"Connect "&amp;I964,INDEX(KdoCodeTab,MATCH(I964,KdoWertTab,0)))),"ReadStat "&amp;H964))</f>
        <v>RepSpaceCmd</v>
      </c>
      <c r="K964" t="str">
        <f t="shared" si="167"/>
        <v/>
      </c>
      <c r="L964" t="str">
        <f t="shared" si="168"/>
        <v/>
      </c>
      <c r="M964" t="str">
        <f t="shared" si="169"/>
        <v>RepSpaceCmd</v>
      </c>
    </row>
    <row r="965" spans="1:13" x14ac:dyDescent="0.25">
      <c r="A965" t="s">
        <v>539</v>
      </c>
      <c r="B965" s="6">
        <f t="shared" ref="B965:B1028" si="170">MID(A965,1,5)/1000+(CODE(MID(A965,6,1))-CODE("a"))/6000</f>
        <v>3.8566666666666665</v>
      </c>
      <c r="C965" s="9">
        <f t="shared" ref="C965:C1028" si="171">(B965-B964+IF(B965&gt;B964,0,11))*1000</f>
        <v>17.999999999999794</v>
      </c>
      <c r="D965" s="8" t="str">
        <f t="shared" ref="D965:D1028" si="172">IF(MID(A965,10,1)="&lt;","R",IF(MID(A965,10,1)="&gt;","W","?"))</f>
        <v>W</v>
      </c>
      <c r="E965" s="3">
        <f t="shared" ref="E965:E1028" si="173">INT(HEX2DEC(MID(A965,8,2))/2)</f>
        <v>31</v>
      </c>
      <c r="F965" s="3" t="str">
        <f t="shared" ref="F965:F1028" si="174">IF(MID(A965,11,1)="+","ack","NACK")</f>
        <v>ack</v>
      </c>
      <c r="G965" s="3" t="str">
        <f t="shared" ref="G965:G1028" si="175">IF(F965="ack",SUBSTITUTE(MID(A965,12,LEN(A965)-12),"+","  "),"")</f>
        <v>9A</v>
      </c>
      <c r="H965" s="3" t="str">
        <f t="shared" ref="H965:H1028" si="176">IF(MID(A965,10,2)="&lt;+",MID(A965,12,2),"")</f>
        <v/>
      </c>
      <c r="I965" s="3">
        <f t="shared" ref="I965:I1028" si="177">IF(MID(A965,10,2)="&gt;+",HEX2DEC(MID(A965,12,2)),"")</f>
        <v>154</v>
      </c>
      <c r="J965" s="5" t="str">
        <f>IF(E965=0,"Broadcast",IF(H965="",IF(I965="","",IF(I965&lt;128,"Connect "&amp;I965,INDEX(KdoCodeTab,MATCH(I965,KdoWertTab,0)))),"ReadStat "&amp;H965))</f>
        <v>RepMarkCmd</v>
      </c>
      <c r="K965" t="str">
        <f t="shared" si="167"/>
        <v/>
      </c>
      <c r="L965" t="str">
        <f t="shared" si="168"/>
        <v>RepMarkCmd</v>
      </c>
      <c r="M965" t="str">
        <f t="shared" si="169"/>
        <v/>
      </c>
    </row>
    <row r="966" spans="1:13" x14ac:dyDescent="0.25">
      <c r="A966" t="s">
        <v>540</v>
      </c>
      <c r="B966" s="6">
        <f t="shared" si="170"/>
        <v>3.8763333333333332</v>
      </c>
      <c r="C966" s="9">
        <f t="shared" si="171"/>
        <v>19.666666666666721</v>
      </c>
      <c r="D966" s="8" t="str">
        <f t="shared" si="172"/>
        <v>W</v>
      </c>
      <c r="E966" s="3">
        <f t="shared" si="173"/>
        <v>101</v>
      </c>
      <c r="F966" s="3" t="str">
        <f t="shared" si="174"/>
        <v>ack</v>
      </c>
      <c r="G966" s="3" t="str">
        <f t="shared" si="175"/>
        <v>9C</v>
      </c>
      <c r="H966" s="3" t="str">
        <f t="shared" si="176"/>
        <v/>
      </c>
      <c r="I966" s="3">
        <f t="shared" si="177"/>
        <v>156</v>
      </c>
      <c r="J966" s="5" t="str">
        <f>IF(E966=0,"Broadcast",IF(H966="",IF(I966="","",IF(I966&lt;128,"Connect "&amp;I966,INDEX(KdoCodeTab,MATCH(I966,KdoWertTab,0)))),"ReadStat "&amp;H966))</f>
        <v>MarkCmd</v>
      </c>
      <c r="K966" t="str">
        <f t="shared" si="167"/>
        <v/>
      </c>
      <c r="L966" t="str">
        <f t="shared" si="168"/>
        <v/>
      </c>
      <c r="M966" t="str">
        <f t="shared" si="169"/>
        <v>MarkCmd</v>
      </c>
    </row>
    <row r="967" spans="1:13" x14ac:dyDescent="0.25">
      <c r="A967" t="s">
        <v>541</v>
      </c>
      <c r="B967" s="6">
        <f t="shared" si="170"/>
        <v>3.8771666666666667</v>
      </c>
      <c r="C967" s="9">
        <f t="shared" si="171"/>
        <v>0.8333333333334636</v>
      </c>
      <c r="D967" s="8" t="str">
        <f t="shared" si="172"/>
        <v>W</v>
      </c>
      <c r="E967" s="3">
        <f t="shared" si="173"/>
        <v>101</v>
      </c>
      <c r="F967" s="3" t="str">
        <f t="shared" si="174"/>
        <v>ack</v>
      </c>
      <c r="G967" s="3" t="str">
        <f t="shared" si="175"/>
        <v>9A</v>
      </c>
      <c r="H967" s="3" t="str">
        <f t="shared" si="176"/>
        <v/>
      </c>
      <c r="I967" s="3">
        <f t="shared" si="177"/>
        <v>154</v>
      </c>
      <c r="J967" s="5" t="str">
        <f>IF(E967=0,"Broadcast",IF(H967="",IF(I967="","",IF(I967&lt;128,"Connect "&amp;I967,INDEX(KdoCodeTab,MATCH(I967,KdoWertTab,0)))),"ReadStat "&amp;H967))</f>
        <v>RepMarkCmd</v>
      </c>
      <c r="K967" t="str">
        <f t="shared" si="167"/>
        <v/>
      </c>
      <c r="L967" t="str">
        <f t="shared" si="168"/>
        <v/>
      </c>
      <c r="M967" t="str">
        <f t="shared" si="169"/>
        <v>RepMarkCmd</v>
      </c>
    </row>
    <row r="968" spans="1:13" x14ac:dyDescent="0.25">
      <c r="A968" t="s">
        <v>542</v>
      </c>
      <c r="B968" s="6">
        <f t="shared" si="170"/>
        <v>3.9126666666666665</v>
      </c>
      <c r="C968" s="9">
        <f t="shared" si="171"/>
        <v>35.499999999999865</v>
      </c>
      <c r="D968" s="8" t="str">
        <f t="shared" si="172"/>
        <v>W</v>
      </c>
      <c r="E968" s="3">
        <f t="shared" si="173"/>
        <v>101</v>
      </c>
      <c r="F968" s="3" t="str">
        <f t="shared" si="174"/>
        <v>ack</v>
      </c>
      <c r="G968" s="3" t="str">
        <f t="shared" si="175"/>
        <v>93</v>
      </c>
      <c r="H968" s="3" t="str">
        <f t="shared" si="176"/>
        <v/>
      </c>
      <c r="I968" s="3">
        <f t="shared" si="177"/>
        <v>147</v>
      </c>
      <c r="J968" s="5" t="str">
        <f>IF(E968=0,"Broadcast",IF(H968="",IF(I968="","",IF(I968&lt;128,"Connect "&amp;I968,INDEX(KdoCodeTab,MATCH(I968,KdoWertTab,0)))),"ReadStat "&amp;H968))</f>
        <v>SpaceCmd</v>
      </c>
      <c r="K968" t="str">
        <f t="shared" si="167"/>
        <v/>
      </c>
      <c r="L968" t="str">
        <f t="shared" si="168"/>
        <v/>
      </c>
      <c r="M968" t="str">
        <f t="shared" si="169"/>
        <v>SpaceCmd</v>
      </c>
    </row>
    <row r="969" spans="1:13" x14ac:dyDescent="0.25">
      <c r="A969" t="s">
        <v>543</v>
      </c>
      <c r="B969" s="6">
        <f t="shared" si="170"/>
        <v>3.9136666666666664</v>
      </c>
      <c r="C969" s="9">
        <f t="shared" si="171"/>
        <v>0.99999999999988987</v>
      </c>
      <c r="D969" s="8" t="str">
        <f t="shared" si="172"/>
        <v>W</v>
      </c>
      <c r="E969" s="3">
        <f t="shared" si="173"/>
        <v>101</v>
      </c>
      <c r="F969" s="3" t="str">
        <f t="shared" si="174"/>
        <v>ack</v>
      </c>
      <c r="G969" s="3" t="str">
        <f t="shared" si="175"/>
        <v>96</v>
      </c>
      <c r="H969" s="3" t="str">
        <f t="shared" si="176"/>
        <v/>
      </c>
      <c r="I969" s="3">
        <f t="shared" si="177"/>
        <v>150</v>
      </c>
      <c r="J969" s="5" t="str">
        <f>IF(E969=0,"Broadcast",IF(H969="",IF(I969="","",IF(I969&lt;128,"Connect "&amp;I969,INDEX(KdoCodeTab,MATCH(I969,KdoWertTab,0)))),"ReadStat "&amp;H969))</f>
        <v>RepSpaceCmd</v>
      </c>
      <c r="K969" t="str">
        <f t="shared" si="167"/>
        <v/>
      </c>
      <c r="L969" t="str">
        <f t="shared" si="168"/>
        <v/>
      </c>
      <c r="M969" t="str">
        <f t="shared" si="169"/>
        <v>RepSpaceCmd</v>
      </c>
    </row>
    <row r="970" spans="1:13" x14ac:dyDescent="0.25">
      <c r="A970" t="s">
        <v>544</v>
      </c>
      <c r="B970" s="6">
        <f t="shared" si="170"/>
        <v>3.9733333333333332</v>
      </c>
      <c r="C970" s="9">
        <f t="shared" si="171"/>
        <v>59.666666666666757</v>
      </c>
      <c r="D970" s="8" t="str">
        <f t="shared" si="172"/>
        <v>W</v>
      </c>
      <c r="E970" s="3">
        <f t="shared" si="173"/>
        <v>101</v>
      </c>
      <c r="F970" s="3" t="str">
        <f t="shared" si="174"/>
        <v>ack</v>
      </c>
      <c r="G970" s="3" t="str">
        <f t="shared" si="175"/>
        <v>9C</v>
      </c>
      <c r="H970" s="3" t="str">
        <f t="shared" si="176"/>
        <v/>
      </c>
      <c r="I970" s="3">
        <f t="shared" si="177"/>
        <v>156</v>
      </c>
      <c r="J970" s="5" t="str">
        <f>IF(E970=0,"Broadcast",IF(H970="",IF(I970="","",IF(I970&lt;128,"Connect "&amp;I970,INDEX(KdoCodeTab,MATCH(I970,KdoWertTab,0)))),"ReadStat "&amp;H970))</f>
        <v>MarkCmd</v>
      </c>
      <c r="K970" t="str">
        <f t="shared" si="167"/>
        <v/>
      </c>
      <c r="L970" t="str">
        <f t="shared" si="168"/>
        <v/>
      </c>
      <c r="M970" t="str">
        <f t="shared" si="169"/>
        <v>MarkCmd</v>
      </c>
    </row>
    <row r="971" spans="1:13" x14ac:dyDescent="0.25">
      <c r="A971" t="s">
        <v>545</v>
      </c>
      <c r="B971" s="6">
        <f t="shared" si="170"/>
        <v>3.9743333333333335</v>
      </c>
      <c r="C971" s="9">
        <f t="shared" si="171"/>
        <v>1.000000000000334</v>
      </c>
      <c r="D971" s="8" t="str">
        <f t="shared" si="172"/>
        <v>W</v>
      </c>
      <c r="E971" s="3">
        <f t="shared" si="173"/>
        <v>101</v>
      </c>
      <c r="F971" s="3" t="str">
        <f t="shared" si="174"/>
        <v>ack</v>
      </c>
      <c r="G971" s="3" t="str">
        <f t="shared" si="175"/>
        <v>9A</v>
      </c>
      <c r="H971" s="3" t="str">
        <f t="shared" si="176"/>
        <v/>
      </c>
      <c r="I971" s="3">
        <f t="shared" si="177"/>
        <v>154</v>
      </c>
      <c r="J971" s="5" t="str">
        <f>IF(E971=0,"Broadcast",IF(H971="",IF(I971="","",IF(I971&lt;128,"Connect "&amp;I971,INDEX(KdoCodeTab,MATCH(I971,KdoWertTab,0)))),"ReadStat "&amp;H971))</f>
        <v>RepMarkCmd</v>
      </c>
      <c r="K971" t="str">
        <f t="shared" si="167"/>
        <v/>
      </c>
      <c r="L971" t="str">
        <f t="shared" si="168"/>
        <v/>
      </c>
      <c r="M971" t="str">
        <f t="shared" si="169"/>
        <v>RepMarkCmd</v>
      </c>
    </row>
    <row r="972" spans="1:13" x14ac:dyDescent="0.25">
      <c r="A972" t="s">
        <v>546</v>
      </c>
      <c r="B972" s="6">
        <f t="shared" si="170"/>
        <v>4.0126666666666662</v>
      </c>
      <c r="C972" s="9">
        <f t="shared" si="171"/>
        <v>38.333333333332661</v>
      </c>
      <c r="D972" s="8" t="str">
        <f t="shared" si="172"/>
        <v>W</v>
      </c>
      <c r="E972" s="3">
        <f t="shared" si="173"/>
        <v>101</v>
      </c>
      <c r="F972" s="3" t="str">
        <f t="shared" si="174"/>
        <v>ack</v>
      </c>
      <c r="G972" s="3" t="str">
        <f t="shared" si="175"/>
        <v>93</v>
      </c>
      <c r="H972" s="3" t="str">
        <f t="shared" si="176"/>
        <v/>
      </c>
      <c r="I972" s="3">
        <f t="shared" si="177"/>
        <v>147</v>
      </c>
      <c r="J972" s="5" t="str">
        <f>IF(E972=0,"Broadcast",IF(H972="",IF(I972="","",IF(I972&lt;128,"Connect "&amp;I972,INDEX(KdoCodeTab,MATCH(I972,KdoWertTab,0)))),"ReadStat "&amp;H972))</f>
        <v>SpaceCmd</v>
      </c>
      <c r="K972" t="str">
        <f t="shared" si="167"/>
        <v/>
      </c>
      <c r="L972" t="str">
        <f t="shared" si="168"/>
        <v/>
      </c>
      <c r="M972" t="str">
        <f t="shared" si="169"/>
        <v>SpaceCmd</v>
      </c>
    </row>
    <row r="973" spans="1:13" x14ac:dyDescent="0.25">
      <c r="A973" t="s">
        <v>547</v>
      </c>
      <c r="B973" s="6">
        <f t="shared" si="170"/>
        <v>4.0136666666666665</v>
      </c>
      <c r="C973" s="9">
        <f t="shared" si="171"/>
        <v>1.000000000000334</v>
      </c>
      <c r="D973" s="8" t="str">
        <f t="shared" si="172"/>
        <v>W</v>
      </c>
      <c r="E973" s="3">
        <f t="shared" si="173"/>
        <v>101</v>
      </c>
      <c r="F973" s="3" t="str">
        <f t="shared" si="174"/>
        <v>ack</v>
      </c>
      <c r="G973" s="3" t="str">
        <f t="shared" si="175"/>
        <v>96</v>
      </c>
      <c r="H973" s="3" t="str">
        <f t="shared" si="176"/>
        <v/>
      </c>
      <c r="I973" s="3">
        <f t="shared" si="177"/>
        <v>150</v>
      </c>
      <c r="J973" s="5" t="str">
        <f>IF(E973=0,"Broadcast",IF(H973="",IF(I973="","",IF(I973&lt;128,"Connect "&amp;I973,INDEX(KdoCodeTab,MATCH(I973,KdoWertTab,0)))),"ReadStat "&amp;H973))</f>
        <v>RepSpaceCmd</v>
      </c>
      <c r="K973" t="str">
        <f t="shared" si="167"/>
        <v/>
      </c>
      <c r="L973" t="str">
        <f t="shared" si="168"/>
        <v/>
      </c>
      <c r="M973" t="str">
        <f t="shared" si="169"/>
        <v>RepSpaceCmd</v>
      </c>
    </row>
    <row r="974" spans="1:13" x14ac:dyDescent="0.25">
      <c r="A974" t="s">
        <v>548</v>
      </c>
      <c r="B974" s="6">
        <f t="shared" si="170"/>
        <v>4.0328333333333335</v>
      </c>
      <c r="C974" s="9">
        <f t="shared" si="171"/>
        <v>19.166666666666998</v>
      </c>
      <c r="D974" s="8" t="str">
        <f t="shared" si="172"/>
        <v>W</v>
      </c>
      <c r="E974" s="3">
        <f t="shared" si="173"/>
        <v>101</v>
      </c>
      <c r="F974" s="3" t="str">
        <f t="shared" si="174"/>
        <v>ack</v>
      </c>
      <c r="G974" s="3" t="str">
        <f t="shared" si="175"/>
        <v>9C</v>
      </c>
      <c r="H974" s="3" t="str">
        <f t="shared" si="176"/>
        <v/>
      </c>
      <c r="I974" s="3">
        <f t="shared" si="177"/>
        <v>156</v>
      </c>
      <c r="J974" s="5" t="str">
        <f>IF(E974=0,"Broadcast",IF(H974="",IF(I974="","",IF(I974&lt;128,"Connect "&amp;I974,INDEX(KdoCodeTab,MATCH(I974,KdoWertTab,0)))),"ReadStat "&amp;H974))</f>
        <v>MarkCmd</v>
      </c>
      <c r="K974" t="str">
        <f t="shared" si="167"/>
        <v/>
      </c>
      <c r="L974" t="str">
        <f t="shared" si="168"/>
        <v/>
      </c>
      <c r="M974" t="str">
        <f t="shared" si="169"/>
        <v>MarkCmd</v>
      </c>
    </row>
    <row r="975" spans="1:13" x14ac:dyDescent="0.25">
      <c r="A975" t="s">
        <v>549</v>
      </c>
      <c r="B975" s="6">
        <f t="shared" si="170"/>
        <v>4.0338333333333338</v>
      </c>
      <c r="C975" s="9">
        <f t="shared" si="171"/>
        <v>1.000000000000334</v>
      </c>
      <c r="D975" s="8" t="str">
        <f t="shared" si="172"/>
        <v>W</v>
      </c>
      <c r="E975" s="3">
        <f t="shared" si="173"/>
        <v>101</v>
      </c>
      <c r="F975" s="3" t="str">
        <f t="shared" si="174"/>
        <v>ack</v>
      </c>
      <c r="G975" s="3" t="str">
        <f t="shared" si="175"/>
        <v>9A</v>
      </c>
      <c r="H975" s="3" t="str">
        <f t="shared" si="176"/>
        <v/>
      </c>
      <c r="I975" s="3">
        <f t="shared" si="177"/>
        <v>154</v>
      </c>
      <c r="J975" s="5" t="str">
        <f>IF(E975=0,"Broadcast",IF(H975="",IF(I975="","",IF(I975&lt;128,"Connect "&amp;I975,INDEX(KdoCodeTab,MATCH(I975,KdoWertTab,0)))),"ReadStat "&amp;H975))</f>
        <v>RepMarkCmd</v>
      </c>
      <c r="K975" t="str">
        <f t="shared" si="167"/>
        <v/>
      </c>
      <c r="L975" t="str">
        <f t="shared" si="168"/>
        <v/>
      </c>
      <c r="M975" t="str">
        <f t="shared" si="169"/>
        <v>RepMarkCmd</v>
      </c>
    </row>
    <row r="976" spans="1:13" x14ac:dyDescent="0.25">
      <c r="A976" t="s">
        <v>550</v>
      </c>
      <c r="B976" s="6">
        <f t="shared" si="170"/>
        <v>4.0631666666666666</v>
      </c>
      <c r="C976" s="9">
        <f t="shared" si="171"/>
        <v>29.333333333332767</v>
      </c>
      <c r="D976" s="8" t="str">
        <f t="shared" si="172"/>
        <v>W</v>
      </c>
      <c r="E976" s="3">
        <f t="shared" si="173"/>
        <v>101</v>
      </c>
      <c r="F976" s="3" t="str">
        <f t="shared" si="174"/>
        <v>ack</v>
      </c>
      <c r="G976" s="3" t="str">
        <f t="shared" si="175"/>
        <v>93</v>
      </c>
      <c r="H976" s="3" t="str">
        <f t="shared" si="176"/>
        <v/>
      </c>
      <c r="I976" s="3">
        <f t="shared" si="177"/>
        <v>147</v>
      </c>
      <c r="J976" s="5" t="str">
        <f>IF(E976=0,"Broadcast",IF(H976="",IF(I976="","",IF(I976&lt;128,"Connect "&amp;I976,INDEX(KdoCodeTab,MATCH(I976,KdoWertTab,0)))),"ReadStat "&amp;H976))</f>
        <v>SpaceCmd</v>
      </c>
      <c r="K976" t="str">
        <f t="shared" si="167"/>
        <v/>
      </c>
      <c r="L976" t="str">
        <f t="shared" si="168"/>
        <v/>
      </c>
      <c r="M976" t="str">
        <f t="shared" si="169"/>
        <v>SpaceCmd</v>
      </c>
    </row>
    <row r="977" spans="1:13" x14ac:dyDescent="0.25">
      <c r="A977" t="s">
        <v>551</v>
      </c>
      <c r="B977" s="6">
        <f t="shared" si="170"/>
        <v>4.0640000000000001</v>
      </c>
      <c r="C977" s="9">
        <f t="shared" si="171"/>
        <v>0.8333333333334636</v>
      </c>
      <c r="D977" s="8" t="str">
        <f t="shared" si="172"/>
        <v>W</v>
      </c>
      <c r="E977" s="3">
        <f t="shared" si="173"/>
        <v>101</v>
      </c>
      <c r="F977" s="3" t="str">
        <f t="shared" si="174"/>
        <v>ack</v>
      </c>
      <c r="G977" s="3" t="str">
        <f t="shared" si="175"/>
        <v>96</v>
      </c>
      <c r="H977" s="3" t="str">
        <f t="shared" si="176"/>
        <v/>
      </c>
      <c r="I977" s="3">
        <f t="shared" si="177"/>
        <v>150</v>
      </c>
      <c r="J977" s="5" t="str">
        <f>IF(E977=0,"Broadcast",IF(H977="",IF(I977="","",IF(I977&lt;128,"Connect "&amp;I977,INDEX(KdoCodeTab,MATCH(I977,KdoWertTab,0)))),"ReadStat "&amp;H977))</f>
        <v>RepSpaceCmd</v>
      </c>
      <c r="K977" t="str">
        <f t="shared" si="167"/>
        <v/>
      </c>
      <c r="L977" t="str">
        <f t="shared" si="168"/>
        <v/>
      </c>
      <c r="M977" t="str">
        <f t="shared" si="169"/>
        <v>RepSpaceCmd</v>
      </c>
    </row>
    <row r="978" spans="1:13" x14ac:dyDescent="0.25">
      <c r="A978" t="s">
        <v>552</v>
      </c>
      <c r="B978" s="6">
        <f t="shared" si="170"/>
        <v>4.0823333333333336</v>
      </c>
      <c r="C978" s="9">
        <f t="shared" si="171"/>
        <v>18.333333333333535</v>
      </c>
      <c r="D978" s="8" t="str">
        <f t="shared" si="172"/>
        <v>W</v>
      </c>
      <c r="E978" s="3">
        <f t="shared" si="173"/>
        <v>101</v>
      </c>
      <c r="F978" s="3" t="str">
        <f t="shared" si="174"/>
        <v>ack</v>
      </c>
      <c r="G978" s="3" t="str">
        <f t="shared" si="175"/>
        <v>9C</v>
      </c>
      <c r="H978" s="3" t="str">
        <f t="shared" si="176"/>
        <v/>
      </c>
      <c r="I978" s="3">
        <f t="shared" si="177"/>
        <v>156</v>
      </c>
      <c r="J978" s="5" t="str">
        <f>IF(E978=0,"Broadcast",IF(H978="",IF(I978="","",IF(I978&lt;128,"Connect "&amp;I978,INDEX(KdoCodeTab,MATCH(I978,KdoWertTab,0)))),"ReadStat "&amp;H978))</f>
        <v>MarkCmd</v>
      </c>
      <c r="K978" t="str">
        <f t="shared" si="167"/>
        <v/>
      </c>
      <c r="L978" t="str">
        <f t="shared" si="168"/>
        <v/>
      </c>
      <c r="M978" t="str">
        <f t="shared" si="169"/>
        <v>MarkCmd</v>
      </c>
    </row>
    <row r="979" spans="1:13" x14ac:dyDescent="0.25">
      <c r="A979" t="s">
        <v>553</v>
      </c>
      <c r="B979" s="6">
        <f t="shared" si="170"/>
        <v>4.0833333333333339</v>
      </c>
      <c r="C979" s="9">
        <f t="shared" si="171"/>
        <v>1.000000000000334</v>
      </c>
      <c r="D979" s="8" t="str">
        <f t="shared" si="172"/>
        <v>W</v>
      </c>
      <c r="E979" s="3">
        <f t="shared" si="173"/>
        <v>101</v>
      </c>
      <c r="F979" s="3" t="str">
        <f t="shared" si="174"/>
        <v>ack</v>
      </c>
      <c r="G979" s="3" t="str">
        <f t="shared" si="175"/>
        <v>9A</v>
      </c>
      <c r="H979" s="3" t="str">
        <f t="shared" si="176"/>
        <v/>
      </c>
      <c r="I979" s="3">
        <f t="shared" si="177"/>
        <v>154</v>
      </c>
      <c r="J979" s="5" t="str">
        <f>IF(E979=0,"Broadcast",IF(H979="",IF(I979="","",IF(I979&lt;128,"Connect "&amp;I979,INDEX(KdoCodeTab,MATCH(I979,KdoWertTab,0)))),"ReadStat "&amp;H979))</f>
        <v>RepMarkCmd</v>
      </c>
      <c r="K979" t="str">
        <f t="shared" si="167"/>
        <v/>
      </c>
      <c r="L979" t="str">
        <f t="shared" si="168"/>
        <v/>
      </c>
      <c r="M979" t="str">
        <f t="shared" si="169"/>
        <v>RepMarkCmd</v>
      </c>
    </row>
    <row r="980" spans="1:13" x14ac:dyDescent="0.25">
      <c r="A980" t="s">
        <v>554</v>
      </c>
      <c r="B980" s="6">
        <f t="shared" si="170"/>
        <v>4.1026666666666669</v>
      </c>
      <c r="C980" s="9">
        <f t="shared" si="171"/>
        <v>19.33333333333298</v>
      </c>
      <c r="D980" s="8" t="str">
        <f t="shared" si="172"/>
        <v>W</v>
      </c>
      <c r="E980" s="3">
        <f t="shared" si="173"/>
        <v>101</v>
      </c>
      <c r="F980" s="3" t="str">
        <f t="shared" si="174"/>
        <v>ack</v>
      </c>
      <c r="G980" s="3" t="str">
        <f t="shared" si="175"/>
        <v>93</v>
      </c>
      <c r="H980" s="3" t="str">
        <f t="shared" si="176"/>
        <v/>
      </c>
      <c r="I980" s="3">
        <f t="shared" si="177"/>
        <v>147</v>
      </c>
      <c r="J980" s="5" t="str">
        <f>IF(E980=0,"Broadcast",IF(H980="",IF(I980="","",IF(I980&lt;128,"Connect "&amp;I980,INDEX(KdoCodeTab,MATCH(I980,KdoWertTab,0)))),"ReadStat "&amp;H980))</f>
        <v>SpaceCmd</v>
      </c>
      <c r="K980" t="str">
        <f t="shared" si="167"/>
        <v/>
      </c>
      <c r="L980" t="str">
        <f t="shared" si="168"/>
        <v/>
      </c>
      <c r="M980" t="str">
        <f t="shared" si="169"/>
        <v>SpaceCmd</v>
      </c>
    </row>
    <row r="981" spans="1:13" x14ac:dyDescent="0.25">
      <c r="A981" t="s">
        <v>555</v>
      </c>
      <c r="B981" s="6">
        <f t="shared" si="170"/>
        <v>4.1034999999999995</v>
      </c>
      <c r="C981" s="9">
        <f t="shared" si="171"/>
        <v>0.83333333333257542</v>
      </c>
      <c r="D981" s="8" t="str">
        <f t="shared" si="172"/>
        <v>W</v>
      </c>
      <c r="E981" s="3">
        <f t="shared" si="173"/>
        <v>101</v>
      </c>
      <c r="F981" s="3" t="str">
        <f t="shared" si="174"/>
        <v>ack</v>
      </c>
      <c r="G981" s="3" t="str">
        <f t="shared" si="175"/>
        <v>96</v>
      </c>
      <c r="H981" s="3" t="str">
        <f t="shared" si="176"/>
        <v/>
      </c>
      <c r="I981" s="3">
        <f t="shared" si="177"/>
        <v>150</v>
      </c>
      <c r="J981" s="5" t="str">
        <f>IF(E981=0,"Broadcast",IF(H981="",IF(I981="","",IF(I981&lt;128,"Connect "&amp;I981,INDEX(KdoCodeTab,MATCH(I981,KdoWertTab,0)))),"ReadStat "&amp;H981))</f>
        <v>RepSpaceCmd</v>
      </c>
      <c r="K981" t="str">
        <f t="shared" si="167"/>
        <v/>
      </c>
      <c r="L981" t="str">
        <f t="shared" si="168"/>
        <v/>
      </c>
      <c r="M981" t="str">
        <f t="shared" si="169"/>
        <v>RepSpaceCmd</v>
      </c>
    </row>
    <row r="982" spans="1:13" x14ac:dyDescent="0.25">
      <c r="A982" t="s">
        <v>556</v>
      </c>
      <c r="B982" s="6">
        <f t="shared" si="170"/>
        <v>4.1825000000000001</v>
      </c>
      <c r="C982" s="9">
        <f t="shared" si="171"/>
        <v>79.000000000000625</v>
      </c>
      <c r="D982" s="8" t="str">
        <f t="shared" si="172"/>
        <v>W</v>
      </c>
      <c r="E982" s="3">
        <f t="shared" si="173"/>
        <v>101</v>
      </c>
      <c r="F982" s="3" t="str">
        <f t="shared" si="174"/>
        <v>ack</v>
      </c>
      <c r="G982" s="3" t="str">
        <f t="shared" si="175"/>
        <v>9C</v>
      </c>
      <c r="H982" s="3" t="str">
        <f t="shared" si="176"/>
        <v/>
      </c>
      <c r="I982" s="3">
        <f t="shared" si="177"/>
        <v>156</v>
      </c>
      <c r="J982" s="5" t="str">
        <f>IF(E982=0,"Broadcast",IF(H982="",IF(I982="","",IF(I982&lt;128,"Connect "&amp;I982,INDEX(KdoCodeTab,MATCH(I982,KdoWertTab,0)))),"ReadStat "&amp;H982))</f>
        <v>MarkCmd</v>
      </c>
      <c r="K982" t="str">
        <f t="shared" si="167"/>
        <v/>
      </c>
      <c r="L982" t="str">
        <f t="shared" si="168"/>
        <v/>
      </c>
      <c r="M982" t="str">
        <f t="shared" si="169"/>
        <v>MarkCmd</v>
      </c>
    </row>
    <row r="983" spans="1:13" x14ac:dyDescent="0.25">
      <c r="A983" t="s">
        <v>557</v>
      </c>
      <c r="B983" s="6">
        <f t="shared" si="170"/>
        <v>4.1834999999999996</v>
      </c>
      <c r="C983" s="9">
        <f t="shared" si="171"/>
        <v>0.99999999999944578</v>
      </c>
      <c r="D983" s="8" t="str">
        <f t="shared" si="172"/>
        <v>W</v>
      </c>
      <c r="E983" s="3">
        <f t="shared" si="173"/>
        <v>101</v>
      </c>
      <c r="F983" s="3" t="str">
        <f t="shared" si="174"/>
        <v>ack</v>
      </c>
      <c r="G983" s="3" t="str">
        <f t="shared" si="175"/>
        <v>9A</v>
      </c>
      <c r="H983" s="3" t="str">
        <f t="shared" si="176"/>
        <v/>
      </c>
      <c r="I983" s="3">
        <f t="shared" si="177"/>
        <v>154</v>
      </c>
      <c r="J983" s="5" t="str">
        <f>IF(E983=0,"Broadcast",IF(H983="",IF(I983="","",IF(I983&lt;128,"Connect "&amp;I983,INDEX(KdoCodeTab,MATCH(I983,KdoWertTab,0)))),"ReadStat "&amp;H983))</f>
        <v>RepMarkCmd</v>
      </c>
      <c r="K983" t="str">
        <f t="shared" si="167"/>
        <v/>
      </c>
      <c r="L983" t="str">
        <f t="shared" si="168"/>
        <v/>
      </c>
      <c r="M983" t="str">
        <f t="shared" si="169"/>
        <v>RepMarkCmd</v>
      </c>
    </row>
    <row r="984" spans="1:13" x14ac:dyDescent="0.25">
      <c r="A984" t="s">
        <v>558</v>
      </c>
      <c r="B984" s="6">
        <f t="shared" si="170"/>
        <v>4.2128333333333332</v>
      </c>
      <c r="C984" s="9">
        <f t="shared" si="171"/>
        <v>29.333333333333655</v>
      </c>
      <c r="D984" s="8" t="str">
        <f t="shared" si="172"/>
        <v>W</v>
      </c>
      <c r="E984" s="3">
        <f t="shared" si="173"/>
        <v>101</v>
      </c>
      <c r="F984" s="3" t="str">
        <f t="shared" si="174"/>
        <v>ack</v>
      </c>
      <c r="G984" s="3" t="str">
        <f t="shared" si="175"/>
        <v>93</v>
      </c>
      <c r="H984" s="3" t="str">
        <f t="shared" si="176"/>
        <v/>
      </c>
      <c r="I984" s="3">
        <f t="shared" si="177"/>
        <v>147</v>
      </c>
      <c r="J984" s="5" t="str">
        <f>IF(E984=0,"Broadcast",IF(H984="",IF(I984="","",IF(I984&lt;128,"Connect "&amp;I984,INDEX(KdoCodeTab,MATCH(I984,KdoWertTab,0)))),"ReadStat "&amp;H984))</f>
        <v>SpaceCmd</v>
      </c>
      <c r="K984" t="str">
        <f t="shared" si="167"/>
        <v/>
      </c>
      <c r="L984" t="str">
        <f t="shared" si="168"/>
        <v/>
      </c>
      <c r="M984" t="str">
        <f t="shared" si="169"/>
        <v>SpaceCmd</v>
      </c>
    </row>
    <row r="985" spans="1:13" x14ac:dyDescent="0.25">
      <c r="A985" t="s">
        <v>559</v>
      </c>
      <c r="B985" s="6">
        <f t="shared" si="170"/>
        <v>4.2136666666666667</v>
      </c>
      <c r="C985" s="9">
        <f t="shared" si="171"/>
        <v>0.8333333333334636</v>
      </c>
      <c r="D985" s="8" t="str">
        <f t="shared" si="172"/>
        <v>W</v>
      </c>
      <c r="E985" s="3">
        <f t="shared" si="173"/>
        <v>101</v>
      </c>
      <c r="F985" s="3" t="str">
        <f t="shared" si="174"/>
        <v>ack</v>
      </c>
      <c r="G985" s="3" t="str">
        <f t="shared" si="175"/>
        <v>96</v>
      </c>
      <c r="H985" s="3" t="str">
        <f t="shared" si="176"/>
        <v/>
      </c>
      <c r="I985" s="3">
        <f t="shared" si="177"/>
        <v>150</v>
      </c>
      <c r="J985" s="5" t="str">
        <f>IF(E985=0,"Broadcast",IF(H985="",IF(I985="","",IF(I985&lt;128,"Connect "&amp;I985,INDEX(KdoCodeTab,MATCH(I985,KdoWertTab,0)))),"ReadStat "&amp;H985))</f>
        <v>RepSpaceCmd</v>
      </c>
      <c r="K985" t="str">
        <f t="shared" si="167"/>
        <v/>
      </c>
      <c r="L985" t="str">
        <f t="shared" si="168"/>
        <v/>
      </c>
      <c r="M985" t="str">
        <f t="shared" si="169"/>
        <v>RepSpaceCmd</v>
      </c>
    </row>
    <row r="986" spans="1:13" x14ac:dyDescent="0.25">
      <c r="A986" t="s">
        <v>560</v>
      </c>
      <c r="B986" s="6">
        <f t="shared" si="170"/>
        <v>4.272333333333334</v>
      </c>
      <c r="C986" s="9">
        <f t="shared" si="171"/>
        <v>58.666666666667311</v>
      </c>
      <c r="D986" s="8" t="str">
        <f t="shared" si="172"/>
        <v>W</v>
      </c>
      <c r="E986" s="3">
        <f t="shared" si="173"/>
        <v>101</v>
      </c>
      <c r="F986" s="3" t="str">
        <f t="shared" si="174"/>
        <v>ack</v>
      </c>
      <c r="G986" s="3" t="str">
        <f t="shared" si="175"/>
        <v>9C</v>
      </c>
      <c r="H986" s="3" t="str">
        <f t="shared" si="176"/>
        <v/>
      </c>
      <c r="I986" s="3">
        <f t="shared" si="177"/>
        <v>156</v>
      </c>
      <c r="J986" s="5" t="str">
        <f>IF(E986=0,"Broadcast",IF(H986="",IF(I986="","",IF(I986&lt;128,"Connect "&amp;I986,INDEX(KdoCodeTab,MATCH(I986,KdoWertTab,0)))),"ReadStat "&amp;H986))</f>
        <v>MarkCmd</v>
      </c>
      <c r="K986" t="str">
        <f t="shared" si="167"/>
        <v/>
      </c>
      <c r="L986" t="str">
        <f t="shared" si="168"/>
        <v/>
      </c>
      <c r="M986" t="str">
        <f t="shared" si="169"/>
        <v>MarkCmd</v>
      </c>
    </row>
    <row r="987" spans="1:13" x14ac:dyDescent="0.25">
      <c r="A987" t="s">
        <v>561</v>
      </c>
      <c r="B987" s="6">
        <f t="shared" si="170"/>
        <v>4.2733333333333334</v>
      </c>
      <c r="C987" s="9">
        <f t="shared" si="171"/>
        <v>0.99999999999944578</v>
      </c>
      <c r="D987" s="8" t="str">
        <f t="shared" si="172"/>
        <v>W</v>
      </c>
      <c r="E987" s="3">
        <f t="shared" si="173"/>
        <v>101</v>
      </c>
      <c r="F987" s="3" t="str">
        <f t="shared" si="174"/>
        <v>ack</v>
      </c>
      <c r="G987" s="3" t="str">
        <f t="shared" si="175"/>
        <v>9A</v>
      </c>
      <c r="H987" s="3" t="str">
        <f t="shared" si="176"/>
        <v/>
      </c>
      <c r="I987" s="3">
        <f t="shared" si="177"/>
        <v>154</v>
      </c>
      <c r="J987" s="5" t="str">
        <f>IF(E987=0,"Broadcast",IF(H987="",IF(I987="","",IF(I987&lt;128,"Connect "&amp;I987,INDEX(KdoCodeTab,MATCH(I987,KdoWertTab,0)))),"ReadStat "&amp;H987))</f>
        <v>RepMarkCmd</v>
      </c>
      <c r="K987" t="str">
        <f t="shared" si="167"/>
        <v/>
      </c>
      <c r="L987" t="str">
        <f t="shared" si="168"/>
        <v/>
      </c>
      <c r="M987" t="str">
        <f t="shared" si="169"/>
        <v>RepMarkCmd</v>
      </c>
    </row>
    <row r="988" spans="1:13" x14ac:dyDescent="0.25">
      <c r="A988" t="s">
        <v>562</v>
      </c>
      <c r="B988" s="6">
        <f t="shared" si="170"/>
        <v>4.3128333333333337</v>
      </c>
      <c r="C988" s="9">
        <f t="shared" si="171"/>
        <v>39.500000000000313</v>
      </c>
      <c r="D988" s="8" t="str">
        <f t="shared" si="172"/>
        <v>W</v>
      </c>
      <c r="E988" s="3">
        <f t="shared" si="173"/>
        <v>101</v>
      </c>
      <c r="F988" s="3" t="str">
        <f t="shared" si="174"/>
        <v>ack</v>
      </c>
      <c r="G988" s="3" t="str">
        <f t="shared" si="175"/>
        <v>93</v>
      </c>
      <c r="H988" s="3" t="str">
        <f t="shared" si="176"/>
        <v/>
      </c>
      <c r="I988" s="3">
        <f t="shared" si="177"/>
        <v>147</v>
      </c>
      <c r="J988" s="5" t="str">
        <f>IF(E988=0,"Broadcast",IF(H988="",IF(I988="","",IF(I988&lt;128,"Connect "&amp;I988,INDEX(KdoCodeTab,MATCH(I988,KdoWertTab,0)))),"ReadStat "&amp;H988))</f>
        <v>SpaceCmd</v>
      </c>
      <c r="K988" t="str">
        <f t="shared" si="167"/>
        <v/>
      </c>
      <c r="L988" t="str">
        <f t="shared" si="168"/>
        <v/>
      </c>
      <c r="M988" t="str">
        <f t="shared" si="169"/>
        <v>SpaceCmd</v>
      </c>
    </row>
    <row r="989" spans="1:13" x14ac:dyDescent="0.25">
      <c r="A989" t="s">
        <v>563</v>
      </c>
      <c r="B989" s="6">
        <f t="shared" si="170"/>
        <v>4.3136666666666663</v>
      </c>
      <c r="C989" s="9">
        <f t="shared" si="171"/>
        <v>0.83333333333257542</v>
      </c>
      <c r="D989" s="8" t="str">
        <f t="shared" si="172"/>
        <v>W</v>
      </c>
      <c r="E989" s="3">
        <f t="shared" si="173"/>
        <v>101</v>
      </c>
      <c r="F989" s="3" t="str">
        <f t="shared" si="174"/>
        <v>ack</v>
      </c>
      <c r="G989" s="3" t="str">
        <f t="shared" si="175"/>
        <v>96</v>
      </c>
      <c r="H989" s="3" t="str">
        <f t="shared" si="176"/>
        <v/>
      </c>
      <c r="I989" s="3">
        <f t="shared" si="177"/>
        <v>150</v>
      </c>
      <c r="J989" s="5" t="str">
        <f>IF(E989=0,"Broadcast",IF(H989="",IF(I989="","",IF(I989&lt;128,"Connect "&amp;I989,INDEX(KdoCodeTab,MATCH(I989,KdoWertTab,0)))),"ReadStat "&amp;H989))</f>
        <v>RepSpaceCmd</v>
      </c>
      <c r="K989" t="str">
        <f t="shared" si="167"/>
        <v/>
      </c>
      <c r="L989" t="str">
        <f t="shared" si="168"/>
        <v/>
      </c>
      <c r="M989" t="str">
        <f t="shared" si="169"/>
        <v>RepSpaceCmd</v>
      </c>
    </row>
    <row r="990" spans="1:13" x14ac:dyDescent="0.25">
      <c r="A990" t="s">
        <v>564</v>
      </c>
      <c r="B990" s="6">
        <f t="shared" si="170"/>
        <v>4.3330000000000002</v>
      </c>
      <c r="C990" s="9">
        <f t="shared" si="171"/>
        <v>19.333333333333869</v>
      </c>
      <c r="D990" s="8" t="str">
        <f t="shared" si="172"/>
        <v>W</v>
      </c>
      <c r="E990" s="3">
        <f t="shared" si="173"/>
        <v>101</v>
      </c>
      <c r="F990" s="3" t="str">
        <f t="shared" si="174"/>
        <v>ack</v>
      </c>
      <c r="G990" s="3" t="str">
        <f t="shared" si="175"/>
        <v>9C</v>
      </c>
      <c r="H990" s="3" t="str">
        <f t="shared" si="176"/>
        <v/>
      </c>
      <c r="I990" s="3">
        <f t="shared" si="177"/>
        <v>156</v>
      </c>
      <c r="J990" s="5" t="str">
        <f>IF(E990=0,"Broadcast",IF(H990="",IF(I990="","",IF(I990&lt;128,"Connect "&amp;I990,INDEX(KdoCodeTab,MATCH(I990,KdoWertTab,0)))),"ReadStat "&amp;H990))</f>
        <v>MarkCmd</v>
      </c>
      <c r="K990" t="str">
        <f t="shared" si="167"/>
        <v/>
      </c>
      <c r="L990" t="str">
        <f t="shared" si="168"/>
        <v/>
      </c>
      <c r="M990" t="str">
        <f t="shared" si="169"/>
        <v>MarkCmd</v>
      </c>
    </row>
    <row r="991" spans="1:13" x14ac:dyDescent="0.25">
      <c r="A991" t="s">
        <v>565</v>
      </c>
      <c r="B991" s="6">
        <f t="shared" si="170"/>
        <v>4.3338333333333336</v>
      </c>
      <c r="C991" s="9">
        <f t="shared" si="171"/>
        <v>0.8333333333334636</v>
      </c>
      <c r="D991" s="8" t="str">
        <f t="shared" si="172"/>
        <v>W</v>
      </c>
      <c r="E991" s="3">
        <f t="shared" si="173"/>
        <v>101</v>
      </c>
      <c r="F991" s="3" t="str">
        <f t="shared" si="174"/>
        <v>ack</v>
      </c>
      <c r="G991" s="3" t="str">
        <f t="shared" si="175"/>
        <v>9A</v>
      </c>
      <c r="H991" s="3" t="str">
        <f t="shared" si="176"/>
        <v/>
      </c>
      <c r="I991" s="3">
        <f t="shared" si="177"/>
        <v>154</v>
      </c>
      <c r="J991" s="5" t="str">
        <f>IF(E991=0,"Broadcast",IF(H991="",IF(I991="","",IF(I991&lt;128,"Connect "&amp;I991,INDEX(KdoCodeTab,MATCH(I991,KdoWertTab,0)))),"ReadStat "&amp;H991))</f>
        <v>RepMarkCmd</v>
      </c>
      <c r="K991" t="str">
        <f t="shared" si="167"/>
        <v/>
      </c>
      <c r="L991" t="str">
        <f t="shared" si="168"/>
        <v/>
      </c>
      <c r="M991" t="str">
        <f t="shared" si="169"/>
        <v>RepMarkCmd</v>
      </c>
    </row>
    <row r="992" spans="1:13" x14ac:dyDescent="0.25">
      <c r="A992" t="s">
        <v>566</v>
      </c>
      <c r="B992" s="6">
        <f t="shared" si="170"/>
        <v>4.3623333333333338</v>
      </c>
      <c r="C992" s="9">
        <f t="shared" si="171"/>
        <v>28.500000000000192</v>
      </c>
      <c r="D992" s="8" t="str">
        <f t="shared" si="172"/>
        <v>W</v>
      </c>
      <c r="E992" s="3">
        <f t="shared" si="173"/>
        <v>101</v>
      </c>
      <c r="F992" s="3" t="str">
        <f t="shared" si="174"/>
        <v>ack</v>
      </c>
      <c r="G992" s="3" t="str">
        <f t="shared" si="175"/>
        <v>93</v>
      </c>
      <c r="H992" s="3" t="str">
        <f t="shared" si="176"/>
        <v/>
      </c>
      <c r="I992" s="3">
        <f t="shared" si="177"/>
        <v>147</v>
      </c>
      <c r="J992" s="5" t="str">
        <f>IF(E992=0,"Broadcast",IF(H992="",IF(I992="","",IF(I992&lt;128,"Connect "&amp;I992,INDEX(KdoCodeTab,MATCH(I992,KdoWertTab,0)))),"ReadStat "&amp;H992))</f>
        <v>SpaceCmd</v>
      </c>
      <c r="K992" t="str">
        <f t="shared" si="167"/>
        <v/>
      </c>
      <c r="L992" t="str">
        <f t="shared" si="168"/>
        <v/>
      </c>
      <c r="M992" t="str">
        <f t="shared" si="169"/>
        <v>SpaceCmd</v>
      </c>
    </row>
    <row r="993" spans="1:13" x14ac:dyDescent="0.25">
      <c r="A993" t="s">
        <v>567</v>
      </c>
      <c r="B993" s="6">
        <f t="shared" si="170"/>
        <v>4.3630000000000004</v>
      </c>
      <c r="C993" s="9">
        <f t="shared" si="171"/>
        <v>0.66666666666659324</v>
      </c>
      <c r="D993" s="8" t="str">
        <f t="shared" si="172"/>
        <v>W</v>
      </c>
      <c r="E993" s="3">
        <f t="shared" si="173"/>
        <v>31</v>
      </c>
      <c r="F993" s="3" t="str">
        <f t="shared" si="174"/>
        <v>ack</v>
      </c>
      <c r="G993" s="3" t="str">
        <f t="shared" si="175"/>
        <v>9A</v>
      </c>
      <c r="H993" s="3" t="str">
        <f t="shared" si="176"/>
        <v/>
      </c>
      <c r="I993" s="3">
        <f t="shared" si="177"/>
        <v>154</v>
      </c>
      <c r="J993" s="5" t="str">
        <f>IF(E993=0,"Broadcast",IF(H993="",IF(I993="","",IF(I993&lt;128,"Connect "&amp;I993,INDEX(KdoCodeTab,MATCH(I993,KdoWertTab,0)))),"ReadStat "&amp;H993))</f>
        <v>RepMarkCmd</v>
      </c>
      <c r="K993" t="str">
        <f t="shared" si="167"/>
        <v/>
      </c>
      <c r="L993" t="str">
        <f t="shared" si="168"/>
        <v>RepMarkCmd</v>
      </c>
      <c r="M993" t="str">
        <f t="shared" si="169"/>
        <v/>
      </c>
    </row>
    <row r="994" spans="1:13" x14ac:dyDescent="0.25">
      <c r="A994" t="s">
        <v>568</v>
      </c>
      <c r="B994" s="6">
        <f t="shared" si="170"/>
        <v>4.363666666666667</v>
      </c>
      <c r="C994" s="9">
        <f t="shared" si="171"/>
        <v>0.66666666666659324</v>
      </c>
      <c r="D994" s="8" t="str">
        <f t="shared" si="172"/>
        <v>W</v>
      </c>
      <c r="E994" s="3">
        <f t="shared" si="173"/>
        <v>101</v>
      </c>
      <c r="F994" s="3" t="str">
        <f t="shared" si="174"/>
        <v>ack</v>
      </c>
      <c r="G994" s="3" t="str">
        <f t="shared" si="175"/>
        <v>96</v>
      </c>
      <c r="H994" s="3" t="str">
        <f t="shared" si="176"/>
        <v/>
      </c>
      <c r="I994" s="3">
        <f t="shared" si="177"/>
        <v>150</v>
      </c>
      <c r="J994" s="5" t="str">
        <f>IF(E994=0,"Broadcast",IF(H994="",IF(I994="","",IF(I994&lt;128,"Connect "&amp;I994,INDEX(KdoCodeTab,MATCH(I994,KdoWertTab,0)))),"ReadStat "&amp;H994))</f>
        <v>RepSpaceCmd</v>
      </c>
      <c r="K994" t="str">
        <f t="shared" si="167"/>
        <v/>
      </c>
      <c r="L994" t="str">
        <f t="shared" si="168"/>
        <v/>
      </c>
      <c r="M994" t="str">
        <f t="shared" si="169"/>
        <v>RepSpaceCmd</v>
      </c>
    </row>
    <row r="995" spans="1:13" x14ac:dyDescent="0.25">
      <c r="A995" t="s">
        <v>569</v>
      </c>
      <c r="B995" s="6">
        <f t="shared" si="170"/>
        <v>4.4228333333333332</v>
      </c>
      <c r="C995" s="9">
        <f t="shared" si="171"/>
        <v>59.166666666666146</v>
      </c>
      <c r="D995" s="8" t="str">
        <f t="shared" si="172"/>
        <v>W</v>
      </c>
      <c r="E995" s="3">
        <f t="shared" si="173"/>
        <v>101</v>
      </c>
      <c r="F995" s="3" t="str">
        <f t="shared" si="174"/>
        <v>ack</v>
      </c>
      <c r="G995" s="3" t="str">
        <f t="shared" si="175"/>
        <v>9C</v>
      </c>
      <c r="H995" s="3" t="str">
        <f t="shared" si="176"/>
        <v/>
      </c>
      <c r="I995" s="3">
        <f t="shared" si="177"/>
        <v>156</v>
      </c>
      <c r="J995" s="5" t="str">
        <f>IF(E995=0,"Broadcast",IF(H995="",IF(I995="","",IF(I995&lt;128,"Connect "&amp;I995,INDEX(KdoCodeTab,MATCH(I995,KdoWertTab,0)))),"ReadStat "&amp;H995))</f>
        <v>MarkCmd</v>
      </c>
      <c r="K995" t="str">
        <f t="shared" si="167"/>
        <v/>
      </c>
      <c r="L995" t="str">
        <f t="shared" si="168"/>
        <v/>
      </c>
      <c r="M995" t="str">
        <f t="shared" si="169"/>
        <v>MarkCmd</v>
      </c>
    </row>
    <row r="996" spans="1:13" x14ac:dyDescent="0.25">
      <c r="A996" t="s">
        <v>570</v>
      </c>
      <c r="B996" s="6">
        <f t="shared" si="170"/>
        <v>4.4238333333333335</v>
      </c>
      <c r="C996" s="9">
        <f t="shared" si="171"/>
        <v>1.000000000000334</v>
      </c>
      <c r="D996" s="8" t="str">
        <f t="shared" si="172"/>
        <v>W</v>
      </c>
      <c r="E996" s="3">
        <f t="shared" si="173"/>
        <v>101</v>
      </c>
      <c r="F996" s="3" t="str">
        <f t="shared" si="174"/>
        <v>ack</v>
      </c>
      <c r="G996" s="3" t="str">
        <f t="shared" si="175"/>
        <v>9A</v>
      </c>
      <c r="H996" s="3" t="str">
        <f t="shared" si="176"/>
        <v/>
      </c>
      <c r="I996" s="3">
        <f t="shared" si="177"/>
        <v>154</v>
      </c>
      <c r="J996" s="5" t="str">
        <f>IF(E996=0,"Broadcast",IF(H996="",IF(I996="","",IF(I996&lt;128,"Connect "&amp;I996,INDEX(KdoCodeTab,MATCH(I996,KdoWertTab,0)))),"ReadStat "&amp;H996))</f>
        <v>RepMarkCmd</v>
      </c>
      <c r="K996" t="str">
        <f t="shared" si="167"/>
        <v/>
      </c>
      <c r="L996" t="str">
        <f t="shared" si="168"/>
        <v/>
      </c>
      <c r="M996" t="str">
        <f t="shared" si="169"/>
        <v>RepMarkCmd</v>
      </c>
    </row>
    <row r="997" spans="1:13" x14ac:dyDescent="0.25">
      <c r="A997" t="s">
        <v>571</v>
      </c>
      <c r="B997" s="6">
        <f t="shared" si="170"/>
        <v>4.4431666666666665</v>
      </c>
      <c r="C997" s="9">
        <f t="shared" si="171"/>
        <v>19.33333333333298</v>
      </c>
      <c r="D997" s="8" t="str">
        <f t="shared" si="172"/>
        <v>W</v>
      </c>
      <c r="E997" s="3">
        <f t="shared" si="173"/>
        <v>101</v>
      </c>
      <c r="F997" s="3" t="str">
        <f t="shared" si="174"/>
        <v>ack</v>
      </c>
      <c r="G997" s="3" t="str">
        <f t="shared" si="175"/>
        <v>93</v>
      </c>
      <c r="H997" s="3" t="str">
        <f t="shared" si="176"/>
        <v/>
      </c>
      <c r="I997" s="3">
        <f t="shared" si="177"/>
        <v>147</v>
      </c>
      <c r="J997" s="5" t="str">
        <f>IF(E997=0,"Broadcast",IF(H997="",IF(I997="","",IF(I997&lt;128,"Connect "&amp;I997,INDEX(KdoCodeTab,MATCH(I997,KdoWertTab,0)))),"ReadStat "&amp;H997))</f>
        <v>SpaceCmd</v>
      </c>
      <c r="K997" t="str">
        <f t="shared" si="167"/>
        <v/>
      </c>
      <c r="L997" t="str">
        <f t="shared" si="168"/>
        <v/>
      </c>
      <c r="M997" t="str">
        <f t="shared" si="169"/>
        <v>SpaceCmd</v>
      </c>
    </row>
    <row r="998" spans="1:13" x14ac:dyDescent="0.25">
      <c r="A998" t="s">
        <v>572</v>
      </c>
      <c r="B998" s="6">
        <f t="shared" si="170"/>
        <v>4.444</v>
      </c>
      <c r="C998" s="9">
        <f t="shared" si="171"/>
        <v>0.8333333333334636</v>
      </c>
      <c r="D998" s="8" t="str">
        <f t="shared" si="172"/>
        <v>W</v>
      </c>
      <c r="E998" s="3">
        <f t="shared" si="173"/>
        <v>101</v>
      </c>
      <c r="F998" s="3" t="str">
        <f t="shared" si="174"/>
        <v>ack</v>
      </c>
      <c r="G998" s="3" t="str">
        <f t="shared" si="175"/>
        <v>96</v>
      </c>
      <c r="H998" s="3" t="str">
        <f t="shared" si="176"/>
        <v/>
      </c>
      <c r="I998" s="3">
        <f t="shared" si="177"/>
        <v>150</v>
      </c>
      <c r="J998" s="5" t="str">
        <f>IF(E998=0,"Broadcast",IF(H998="",IF(I998="","",IF(I998&lt;128,"Connect "&amp;I998,INDEX(KdoCodeTab,MATCH(I998,KdoWertTab,0)))),"ReadStat "&amp;H998))</f>
        <v>RepSpaceCmd</v>
      </c>
      <c r="K998" t="str">
        <f t="shared" si="167"/>
        <v/>
      </c>
      <c r="L998" t="str">
        <f t="shared" si="168"/>
        <v/>
      </c>
      <c r="M998" t="str">
        <f t="shared" si="169"/>
        <v>RepSpaceCmd</v>
      </c>
    </row>
    <row r="999" spans="1:13" x14ac:dyDescent="0.25">
      <c r="A999" t="s">
        <v>573</v>
      </c>
      <c r="B999" s="6">
        <f t="shared" si="170"/>
        <v>4.4834999999999994</v>
      </c>
      <c r="C999" s="9">
        <f t="shared" si="171"/>
        <v>39.499999999999424</v>
      </c>
      <c r="D999" s="8" t="str">
        <f t="shared" si="172"/>
        <v>W</v>
      </c>
      <c r="E999" s="3">
        <f t="shared" si="173"/>
        <v>101</v>
      </c>
      <c r="F999" s="3" t="str">
        <f t="shared" si="174"/>
        <v>ack</v>
      </c>
      <c r="G999" s="3" t="str">
        <f t="shared" si="175"/>
        <v>9C</v>
      </c>
      <c r="H999" s="3" t="str">
        <f t="shared" si="176"/>
        <v/>
      </c>
      <c r="I999" s="3">
        <f t="shared" si="177"/>
        <v>156</v>
      </c>
      <c r="J999" s="5" t="str">
        <f>IF(E999=0,"Broadcast",IF(H999="",IF(I999="","",IF(I999&lt;128,"Connect "&amp;I999,INDEX(KdoCodeTab,MATCH(I999,KdoWertTab,0)))),"ReadStat "&amp;H999))</f>
        <v>MarkCmd</v>
      </c>
      <c r="K999" t="str">
        <f t="shared" si="167"/>
        <v/>
      </c>
      <c r="L999" t="str">
        <f t="shared" si="168"/>
        <v/>
      </c>
      <c r="M999" t="str">
        <f t="shared" si="169"/>
        <v>MarkCmd</v>
      </c>
    </row>
    <row r="1000" spans="1:13" x14ac:dyDescent="0.25">
      <c r="A1000" t="s">
        <v>574</v>
      </c>
      <c r="B1000" s="6">
        <f t="shared" si="170"/>
        <v>4.4844999999999997</v>
      </c>
      <c r="C1000" s="9">
        <f t="shared" si="171"/>
        <v>1.000000000000334</v>
      </c>
      <c r="D1000" s="8" t="str">
        <f t="shared" si="172"/>
        <v>W</v>
      </c>
      <c r="E1000" s="3">
        <f t="shared" si="173"/>
        <v>101</v>
      </c>
      <c r="F1000" s="3" t="str">
        <f t="shared" si="174"/>
        <v>ack</v>
      </c>
      <c r="G1000" s="3" t="str">
        <f t="shared" si="175"/>
        <v>9A</v>
      </c>
      <c r="H1000" s="3" t="str">
        <f t="shared" si="176"/>
        <v/>
      </c>
      <c r="I1000" s="3">
        <f t="shared" si="177"/>
        <v>154</v>
      </c>
      <c r="J1000" s="5" t="str">
        <f>IF(E1000=0,"Broadcast",IF(H1000="",IF(I1000="","",IF(I1000&lt;128,"Connect "&amp;I1000,INDEX(KdoCodeTab,MATCH(I1000,KdoWertTab,0)))),"ReadStat "&amp;H1000))</f>
        <v>RepMarkCmd</v>
      </c>
      <c r="K1000" t="str">
        <f t="shared" si="167"/>
        <v/>
      </c>
      <c r="L1000" t="str">
        <f t="shared" si="168"/>
        <v/>
      </c>
      <c r="M1000" t="str">
        <f t="shared" si="169"/>
        <v>RepMarkCmd</v>
      </c>
    </row>
    <row r="1001" spans="1:13" x14ac:dyDescent="0.25">
      <c r="A1001" t="s">
        <v>575</v>
      </c>
      <c r="B1001" s="6">
        <f t="shared" si="170"/>
        <v>4.5186666666666664</v>
      </c>
      <c r="C1001" s="9">
        <f t="shared" si="171"/>
        <v>34.166666666666679</v>
      </c>
      <c r="D1001" s="8" t="str">
        <f t="shared" si="172"/>
        <v>W</v>
      </c>
      <c r="E1001" s="3">
        <f t="shared" si="173"/>
        <v>101</v>
      </c>
      <c r="F1001" s="3" t="str">
        <f t="shared" si="174"/>
        <v>ack</v>
      </c>
      <c r="G1001" s="3" t="str">
        <f t="shared" si="175"/>
        <v>A9</v>
      </c>
      <c r="H1001" s="3" t="str">
        <f t="shared" si="176"/>
        <v/>
      </c>
      <c r="I1001" s="3">
        <f t="shared" si="177"/>
        <v>169</v>
      </c>
      <c r="J1001" s="5" t="str">
        <f>IF(E1001=0,"Broadcast",IF(H1001="",IF(I1001="","",IF(I1001&lt;128,"Connect "&amp;I1001,INDEX(KdoCodeTab,MATCH(I1001,KdoWertTab,0)))),"ReadStat "&amp;H1001))</f>
        <v>Heartbeat</v>
      </c>
      <c r="K1001" t="str">
        <f t="shared" si="167"/>
        <v/>
      </c>
      <c r="L1001" t="str">
        <f t="shared" si="168"/>
        <v/>
      </c>
      <c r="M1001" t="str">
        <f t="shared" si="169"/>
        <v>Heartbeat</v>
      </c>
    </row>
    <row r="1002" spans="1:13" x14ac:dyDescent="0.25">
      <c r="A1002" t="s">
        <v>576</v>
      </c>
      <c r="B1002" s="6">
        <f t="shared" si="170"/>
        <v>4.652166666666667</v>
      </c>
      <c r="C1002" s="9">
        <f t="shared" si="171"/>
        <v>133.50000000000063</v>
      </c>
      <c r="D1002" s="8" t="str">
        <f t="shared" si="172"/>
        <v>W</v>
      </c>
      <c r="E1002" s="3">
        <f t="shared" si="173"/>
        <v>101</v>
      </c>
      <c r="F1002" s="3" t="str">
        <f t="shared" si="174"/>
        <v>ack</v>
      </c>
      <c r="G1002" s="3" t="str">
        <f t="shared" si="175"/>
        <v>93</v>
      </c>
      <c r="H1002" s="3" t="str">
        <f t="shared" si="176"/>
        <v/>
      </c>
      <c r="I1002" s="3">
        <f t="shared" si="177"/>
        <v>147</v>
      </c>
      <c r="J1002" s="5" t="str">
        <f>IF(E1002=0,"Broadcast",IF(H1002="",IF(I1002="","",IF(I1002&lt;128,"Connect "&amp;I1002,INDEX(KdoCodeTab,MATCH(I1002,KdoWertTab,0)))),"ReadStat "&amp;H1002))</f>
        <v>SpaceCmd</v>
      </c>
      <c r="K1002" t="str">
        <f t="shared" si="167"/>
        <v/>
      </c>
      <c r="L1002" t="str">
        <f t="shared" si="168"/>
        <v/>
      </c>
      <c r="M1002" t="str">
        <f t="shared" si="169"/>
        <v>SpaceCmd</v>
      </c>
    </row>
    <row r="1003" spans="1:13" x14ac:dyDescent="0.25">
      <c r="A1003" t="s">
        <v>577</v>
      </c>
      <c r="B1003" s="6">
        <f t="shared" si="170"/>
        <v>4.6531666666666665</v>
      </c>
      <c r="C1003" s="9">
        <f t="shared" si="171"/>
        <v>0.99999999999944578</v>
      </c>
      <c r="D1003" s="8" t="str">
        <f t="shared" si="172"/>
        <v>W</v>
      </c>
      <c r="E1003" s="3">
        <f t="shared" si="173"/>
        <v>101</v>
      </c>
      <c r="F1003" s="3" t="str">
        <f t="shared" si="174"/>
        <v>ack</v>
      </c>
      <c r="G1003" s="3" t="str">
        <f t="shared" si="175"/>
        <v>96</v>
      </c>
      <c r="H1003" s="3" t="str">
        <f t="shared" si="176"/>
        <v/>
      </c>
      <c r="I1003" s="3">
        <f t="shared" si="177"/>
        <v>150</v>
      </c>
      <c r="J1003" s="5" t="str">
        <f>IF(E1003=0,"Broadcast",IF(H1003="",IF(I1003="","",IF(I1003&lt;128,"Connect "&amp;I1003,INDEX(KdoCodeTab,MATCH(I1003,KdoWertTab,0)))),"ReadStat "&amp;H1003))</f>
        <v>RepSpaceCmd</v>
      </c>
      <c r="K1003" t="str">
        <f t="shared" si="167"/>
        <v/>
      </c>
      <c r="L1003" t="str">
        <f t="shared" si="168"/>
        <v/>
      </c>
      <c r="M1003" t="str">
        <f t="shared" si="169"/>
        <v>RepSpaceCmd</v>
      </c>
    </row>
    <row r="1004" spans="1:13" x14ac:dyDescent="0.25">
      <c r="A1004" t="s">
        <v>578</v>
      </c>
      <c r="B1004" s="6">
        <f t="shared" si="170"/>
        <v>4.7523333333333335</v>
      </c>
      <c r="C1004" s="9">
        <f t="shared" si="171"/>
        <v>99.166666666667069</v>
      </c>
      <c r="D1004" s="8" t="str">
        <f t="shared" si="172"/>
        <v>W</v>
      </c>
      <c r="E1004" s="3">
        <f t="shared" si="173"/>
        <v>101</v>
      </c>
      <c r="F1004" s="3" t="str">
        <f t="shared" si="174"/>
        <v>ack</v>
      </c>
      <c r="G1004" s="3" t="str">
        <f t="shared" si="175"/>
        <v>9C</v>
      </c>
      <c r="H1004" s="3" t="str">
        <f t="shared" si="176"/>
        <v/>
      </c>
      <c r="I1004" s="3">
        <f t="shared" si="177"/>
        <v>156</v>
      </c>
      <c r="J1004" s="5" t="str">
        <f>IF(E1004=0,"Broadcast",IF(H1004="",IF(I1004="","",IF(I1004&lt;128,"Connect "&amp;I1004,INDEX(KdoCodeTab,MATCH(I1004,KdoWertTab,0)))),"ReadStat "&amp;H1004))</f>
        <v>MarkCmd</v>
      </c>
      <c r="K1004" t="str">
        <f t="shared" si="167"/>
        <v/>
      </c>
      <c r="L1004" t="str">
        <f t="shared" si="168"/>
        <v/>
      </c>
      <c r="M1004" t="str">
        <f t="shared" si="169"/>
        <v>MarkCmd</v>
      </c>
    </row>
    <row r="1005" spans="1:13" x14ac:dyDescent="0.25">
      <c r="A1005" t="s">
        <v>579</v>
      </c>
      <c r="B1005" s="6">
        <f t="shared" si="170"/>
        <v>4.753166666666667</v>
      </c>
      <c r="C1005" s="9">
        <f t="shared" si="171"/>
        <v>0.8333333333334636</v>
      </c>
      <c r="D1005" s="8" t="str">
        <f t="shared" si="172"/>
        <v>W</v>
      </c>
      <c r="E1005" s="3">
        <f t="shared" si="173"/>
        <v>101</v>
      </c>
      <c r="F1005" s="3" t="str">
        <f t="shared" si="174"/>
        <v>ack</v>
      </c>
      <c r="G1005" s="3" t="str">
        <f t="shared" si="175"/>
        <v>9A</v>
      </c>
      <c r="H1005" s="3" t="str">
        <f t="shared" si="176"/>
        <v/>
      </c>
      <c r="I1005" s="3">
        <f t="shared" si="177"/>
        <v>154</v>
      </c>
      <c r="J1005" s="5" t="str">
        <f>IF(E1005=0,"Broadcast",IF(H1005="",IF(I1005="","",IF(I1005&lt;128,"Connect "&amp;I1005,INDEX(KdoCodeTab,MATCH(I1005,KdoWertTab,0)))),"ReadStat "&amp;H1005))</f>
        <v>RepMarkCmd</v>
      </c>
      <c r="K1005" t="str">
        <f t="shared" si="167"/>
        <v/>
      </c>
      <c r="L1005" t="str">
        <f t="shared" si="168"/>
        <v/>
      </c>
      <c r="M1005" t="str">
        <f t="shared" si="169"/>
        <v>RepMarkCmd</v>
      </c>
    </row>
    <row r="1006" spans="1:13" x14ac:dyDescent="0.25">
      <c r="A1006" t="s">
        <v>580</v>
      </c>
      <c r="B1006" s="6">
        <f t="shared" si="170"/>
        <v>4.8028333333333331</v>
      </c>
      <c r="C1006" s="9">
        <f t="shared" si="171"/>
        <v>49.666666666666082</v>
      </c>
      <c r="D1006" s="8" t="str">
        <f t="shared" si="172"/>
        <v>W</v>
      </c>
      <c r="E1006" s="3">
        <f t="shared" si="173"/>
        <v>101</v>
      </c>
      <c r="F1006" s="3" t="str">
        <f t="shared" si="174"/>
        <v>ack</v>
      </c>
      <c r="G1006" s="3" t="str">
        <f t="shared" si="175"/>
        <v>93</v>
      </c>
      <c r="H1006" s="3" t="str">
        <f t="shared" si="176"/>
        <v/>
      </c>
      <c r="I1006" s="3">
        <f t="shared" si="177"/>
        <v>147</v>
      </c>
      <c r="J1006" s="5" t="str">
        <f>IF(E1006=0,"Broadcast",IF(H1006="",IF(I1006="","",IF(I1006&lt;128,"Connect "&amp;I1006,INDEX(KdoCodeTab,MATCH(I1006,KdoWertTab,0)))),"ReadStat "&amp;H1006))</f>
        <v>SpaceCmd</v>
      </c>
      <c r="K1006" t="str">
        <f t="shared" si="167"/>
        <v/>
      </c>
      <c r="L1006" t="str">
        <f t="shared" si="168"/>
        <v/>
      </c>
      <c r="M1006" t="str">
        <f t="shared" si="169"/>
        <v>SpaceCmd</v>
      </c>
    </row>
    <row r="1007" spans="1:13" x14ac:dyDescent="0.25">
      <c r="A1007" t="s">
        <v>581</v>
      </c>
      <c r="B1007" s="6">
        <f t="shared" si="170"/>
        <v>4.8036666666666665</v>
      </c>
      <c r="C1007" s="9">
        <f t="shared" si="171"/>
        <v>0.8333333333334636</v>
      </c>
      <c r="D1007" s="8" t="str">
        <f t="shared" si="172"/>
        <v>W</v>
      </c>
      <c r="E1007" s="3">
        <f t="shared" si="173"/>
        <v>101</v>
      </c>
      <c r="F1007" s="3" t="str">
        <f t="shared" si="174"/>
        <v>ack</v>
      </c>
      <c r="G1007" s="3" t="str">
        <f t="shared" si="175"/>
        <v>96</v>
      </c>
      <c r="H1007" s="3" t="str">
        <f t="shared" si="176"/>
        <v/>
      </c>
      <c r="I1007" s="3">
        <f t="shared" si="177"/>
        <v>150</v>
      </c>
      <c r="J1007" s="5" t="str">
        <f>IF(E1007=0,"Broadcast",IF(H1007="",IF(I1007="","",IF(I1007&lt;128,"Connect "&amp;I1007,INDEX(KdoCodeTab,MATCH(I1007,KdoWertTab,0)))),"ReadStat "&amp;H1007))</f>
        <v>RepSpaceCmd</v>
      </c>
      <c r="K1007" t="str">
        <f t="shared" si="167"/>
        <v/>
      </c>
      <c r="L1007" t="str">
        <f t="shared" si="168"/>
        <v/>
      </c>
      <c r="M1007" t="str">
        <f t="shared" si="169"/>
        <v>RepSpaceCmd</v>
      </c>
    </row>
    <row r="1008" spans="1:13" x14ac:dyDescent="0.25">
      <c r="A1008" t="s">
        <v>582</v>
      </c>
      <c r="B1008" s="6">
        <f t="shared" si="170"/>
        <v>4.8230000000000004</v>
      </c>
      <c r="C1008" s="9">
        <f t="shared" si="171"/>
        <v>19.333333333333869</v>
      </c>
      <c r="D1008" s="8" t="str">
        <f t="shared" si="172"/>
        <v>W</v>
      </c>
      <c r="E1008" s="3">
        <f t="shared" si="173"/>
        <v>101</v>
      </c>
      <c r="F1008" s="3" t="str">
        <f t="shared" si="174"/>
        <v>ack</v>
      </c>
      <c r="G1008" s="3" t="str">
        <f t="shared" si="175"/>
        <v>9C</v>
      </c>
      <c r="H1008" s="3" t="str">
        <f t="shared" si="176"/>
        <v/>
      </c>
      <c r="I1008" s="3">
        <f t="shared" si="177"/>
        <v>156</v>
      </c>
      <c r="J1008" s="5" t="str">
        <f>IF(E1008=0,"Broadcast",IF(H1008="",IF(I1008="","",IF(I1008&lt;128,"Connect "&amp;I1008,INDEX(KdoCodeTab,MATCH(I1008,KdoWertTab,0)))),"ReadStat "&amp;H1008))</f>
        <v>MarkCmd</v>
      </c>
      <c r="K1008" t="str">
        <f t="shared" si="167"/>
        <v/>
      </c>
      <c r="L1008" t="str">
        <f t="shared" si="168"/>
        <v/>
      </c>
      <c r="M1008" t="str">
        <f t="shared" si="169"/>
        <v>MarkCmd</v>
      </c>
    </row>
    <row r="1009" spans="1:13" x14ac:dyDescent="0.25">
      <c r="A1009" t="s">
        <v>583</v>
      </c>
      <c r="B1009" s="6">
        <f t="shared" si="170"/>
        <v>4.8238333333333339</v>
      </c>
      <c r="C1009" s="9">
        <f t="shared" si="171"/>
        <v>0.8333333333334636</v>
      </c>
      <c r="D1009" s="8" t="str">
        <f t="shared" si="172"/>
        <v>W</v>
      </c>
      <c r="E1009" s="3">
        <f t="shared" si="173"/>
        <v>101</v>
      </c>
      <c r="F1009" s="3" t="str">
        <f t="shared" si="174"/>
        <v>ack</v>
      </c>
      <c r="G1009" s="3" t="str">
        <f t="shared" si="175"/>
        <v>9A</v>
      </c>
      <c r="H1009" s="3" t="str">
        <f t="shared" si="176"/>
        <v/>
      </c>
      <c r="I1009" s="3">
        <f t="shared" si="177"/>
        <v>154</v>
      </c>
      <c r="J1009" s="5" t="str">
        <f>IF(E1009=0,"Broadcast",IF(H1009="",IF(I1009="","",IF(I1009&lt;128,"Connect "&amp;I1009,INDEX(KdoCodeTab,MATCH(I1009,KdoWertTab,0)))),"ReadStat "&amp;H1009))</f>
        <v>RepMarkCmd</v>
      </c>
      <c r="K1009" t="str">
        <f t="shared" si="167"/>
        <v/>
      </c>
      <c r="L1009" t="str">
        <f t="shared" si="168"/>
        <v/>
      </c>
      <c r="M1009" t="str">
        <f t="shared" si="169"/>
        <v>RepMarkCmd</v>
      </c>
    </row>
    <row r="1010" spans="1:13" x14ac:dyDescent="0.25">
      <c r="A1010" t="s">
        <v>584</v>
      </c>
      <c r="B1010" s="6">
        <f t="shared" si="170"/>
        <v>4.8431666666666668</v>
      </c>
      <c r="C1010" s="9">
        <f t="shared" si="171"/>
        <v>19.33333333333298</v>
      </c>
      <c r="D1010" s="8" t="str">
        <f t="shared" si="172"/>
        <v>W</v>
      </c>
      <c r="E1010" s="3">
        <f t="shared" si="173"/>
        <v>101</v>
      </c>
      <c r="F1010" s="3" t="str">
        <f t="shared" si="174"/>
        <v>ack</v>
      </c>
      <c r="G1010" s="3" t="str">
        <f t="shared" si="175"/>
        <v>93</v>
      </c>
      <c r="H1010" s="3" t="str">
        <f t="shared" si="176"/>
        <v/>
      </c>
      <c r="I1010" s="3">
        <f t="shared" si="177"/>
        <v>147</v>
      </c>
      <c r="J1010" s="5" t="str">
        <f>IF(E1010=0,"Broadcast",IF(H1010="",IF(I1010="","",IF(I1010&lt;128,"Connect "&amp;I1010,INDEX(KdoCodeTab,MATCH(I1010,KdoWertTab,0)))),"ReadStat "&amp;H1010))</f>
        <v>SpaceCmd</v>
      </c>
      <c r="K1010" t="str">
        <f t="shared" si="167"/>
        <v/>
      </c>
      <c r="L1010" t="str">
        <f t="shared" si="168"/>
        <v/>
      </c>
      <c r="M1010" t="str">
        <f t="shared" si="169"/>
        <v>SpaceCmd</v>
      </c>
    </row>
    <row r="1011" spans="1:13" x14ac:dyDescent="0.25">
      <c r="A1011" t="s">
        <v>585</v>
      </c>
      <c r="B1011" s="6">
        <f t="shared" si="170"/>
        <v>4.8440000000000003</v>
      </c>
      <c r="C1011" s="9">
        <f t="shared" si="171"/>
        <v>0.8333333333334636</v>
      </c>
      <c r="D1011" s="8" t="str">
        <f t="shared" si="172"/>
        <v>W</v>
      </c>
      <c r="E1011" s="3">
        <f t="shared" si="173"/>
        <v>101</v>
      </c>
      <c r="F1011" s="3" t="str">
        <f t="shared" si="174"/>
        <v>ack</v>
      </c>
      <c r="G1011" s="3" t="str">
        <f t="shared" si="175"/>
        <v>96</v>
      </c>
      <c r="H1011" s="3" t="str">
        <f t="shared" si="176"/>
        <v/>
      </c>
      <c r="I1011" s="3">
        <f t="shared" si="177"/>
        <v>150</v>
      </c>
      <c r="J1011" s="5" t="str">
        <f>IF(E1011=0,"Broadcast",IF(H1011="",IF(I1011="","",IF(I1011&lt;128,"Connect "&amp;I1011,INDEX(KdoCodeTab,MATCH(I1011,KdoWertTab,0)))),"ReadStat "&amp;H1011))</f>
        <v>RepSpaceCmd</v>
      </c>
      <c r="K1011" t="str">
        <f t="shared" si="167"/>
        <v/>
      </c>
      <c r="L1011" t="str">
        <f t="shared" si="168"/>
        <v/>
      </c>
      <c r="M1011" t="str">
        <f t="shared" si="169"/>
        <v>RepSpaceCmd</v>
      </c>
    </row>
    <row r="1012" spans="1:13" x14ac:dyDescent="0.25">
      <c r="A1012" t="s">
        <v>586</v>
      </c>
      <c r="B1012" s="6">
        <f t="shared" si="170"/>
        <v>4.8686666666666669</v>
      </c>
      <c r="C1012" s="9">
        <f t="shared" si="171"/>
        <v>24.666666666666615</v>
      </c>
      <c r="D1012" s="8" t="str">
        <f t="shared" si="172"/>
        <v>W</v>
      </c>
      <c r="E1012" s="3">
        <f t="shared" si="173"/>
        <v>31</v>
      </c>
      <c r="F1012" s="3" t="str">
        <f t="shared" si="174"/>
        <v>ack</v>
      </c>
      <c r="G1012" s="3" t="str">
        <f t="shared" si="175"/>
        <v>9A</v>
      </c>
      <c r="H1012" s="3" t="str">
        <f t="shared" si="176"/>
        <v/>
      </c>
      <c r="I1012" s="3">
        <f t="shared" si="177"/>
        <v>154</v>
      </c>
      <c r="J1012" s="5" t="str">
        <f>IF(E1012=0,"Broadcast",IF(H1012="",IF(I1012="","",IF(I1012&lt;128,"Connect "&amp;I1012,INDEX(KdoCodeTab,MATCH(I1012,KdoWertTab,0)))),"ReadStat "&amp;H1012))</f>
        <v>RepMarkCmd</v>
      </c>
      <c r="K1012" t="str">
        <f t="shared" si="167"/>
        <v/>
      </c>
      <c r="L1012" t="str">
        <f t="shared" si="168"/>
        <v>RepMarkCmd</v>
      </c>
      <c r="M1012" t="str">
        <f t="shared" si="169"/>
        <v/>
      </c>
    </row>
    <row r="1013" spans="1:13" x14ac:dyDescent="0.25">
      <c r="A1013" t="s">
        <v>587</v>
      </c>
      <c r="B1013" s="6">
        <f t="shared" si="170"/>
        <v>4.923</v>
      </c>
      <c r="C1013" s="9">
        <f t="shared" si="171"/>
        <v>54.333333333333123</v>
      </c>
      <c r="D1013" s="8" t="str">
        <f t="shared" si="172"/>
        <v>W</v>
      </c>
      <c r="E1013" s="3">
        <f t="shared" si="173"/>
        <v>101</v>
      </c>
      <c r="F1013" s="3" t="str">
        <f t="shared" si="174"/>
        <v>ack</v>
      </c>
      <c r="G1013" s="3" t="str">
        <f t="shared" si="175"/>
        <v>9C</v>
      </c>
      <c r="H1013" s="3" t="str">
        <f t="shared" si="176"/>
        <v/>
      </c>
      <c r="I1013" s="3">
        <f t="shared" si="177"/>
        <v>156</v>
      </c>
      <c r="J1013" s="5" t="str">
        <f>IF(E1013=0,"Broadcast",IF(H1013="",IF(I1013="","",IF(I1013&lt;128,"Connect "&amp;I1013,INDEX(KdoCodeTab,MATCH(I1013,KdoWertTab,0)))),"ReadStat "&amp;H1013))</f>
        <v>MarkCmd</v>
      </c>
      <c r="K1013" t="str">
        <f t="shared" si="167"/>
        <v/>
      </c>
      <c r="L1013" t="str">
        <f t="shared" si="168"/>
        <v/>
      </c>
      <c r="M1013" t="str">
        <f t="shared" si="169"/>
        <v>MarkCmd</v>
      </c>
    </row>
    <row r="1014" spans="1:13" x14ac:dyDescent="0.25">
      <c r="A1014" t="s">
        <v>588</v>
      </c>
      <c r="B1014" s="6">
        <f t="shared" si="170"/>
        <v>4.9240000000000004</v>
      </c>
      <c r="C1014" s="9">
        <f t="shared" si="171"/>
        <v>1.000000000000334</v>
      </c>
      <c r="D1014" s="8" t="str">
        <f t="shared" si="172"/>
        <v>W</v>
      </c>
      <c r="E1014" s="3">
        <f t="shared" si="173"/>
        <v>101</v>
      </c>
      <c r="F1014" s="3" t="str">
        <f t="shared" si="174"/>
        <v>ack</v>
      </c>
      <c r="G1014" s="3" t="str">
        <f t="shared" si="175"/>
        <v>9A</v>
      </c>
      <c r="H1014" s="3" t="str">
        <f t="shared" si="176"/>
        <v/>
      </c>
      <c r="I1014" s="3">
        <f t="shared" si="177"/>
        <v>154</v>
      </c>
      <c r="J1014" s="5" t="str">
        <f>IF(E1014=0,"Broadcast",IF(H1014="",IF(I1014="","",IF(I1014&lt;128,"Connect "&amp;I1014,INDEX(KdoCodeTab,MATCH(I1014,KdoWertTab,0)))),"ReadStat "&amp;H1014))</f>
        <v>RepMarkCmd</v>
      </c>
      <c r="K1014" t="str">
        <f t="shared" si="167"/>
        <v/>
      </c>
      <c r="L1014" t="str">
        <f t="shared" si="168"/>
        <v/>
      </c>
      <c r="M1014" t="str">
        <f t="shared" si="169"/>
        <v>RepMarkCmd</v>
      </c>
    </row>
    <row r="1015" spans="1:13" x14ac:dyDescent="0.25">
      <c r="A1015" t="s">
        <v>589</v>
      </c>
      <c r="B1015" s="6">
        <f t="shared" si="170"/>
        <v>4.9864999999999995</v>
      </c>
      <c r="C1015" s="9">
        <f t="shared" si="171"/>
        <v>62.499999999999112</v>
      </c>
      <c r="D1015" s="8" t="str">
        <f t="shared" si="172"/>
        <v>W</v>
      </c>
      <c r="E1015" s="3">
        <f t="shared" si="173"/>
        <v>101</v>
      </c>
      <c r="F1015" s="3" t="str">
        <f t="shared" si="174"/>
        <v>ack</v>
      </c>
      <c r="G1015" s="3" t="str">
        <f t="shared" si="175"/>
        <v>93</v>
      </c>
      <c r="H1015" s="3" t="str">
        <f t="shared" si="176"/>
        <v/>
      </c>
      <c r="I1015" s="3">
        <f t="shared" si="177"/>
        <v>147</v>
      </c>
      <c r="J1015" s="5" t="str">
        <f>IF(E1015=0,"Broadcast",IF(H1015="",IF(I1015="","",IF(I1015&lt;128,"Connect "&amp;I1015,INDEX(KdoCodeTab,MATCH(I1015,KdoWertTab,0)))),"ReadStat "&amp;H1015))</f>
        <v>SpaceCmd</v>
      </c>
      <c r="K1015" t="str">
        <f t="shared" si="167"/>
        <v/>
      </c>
      <c r="L1015" t="str">
        <f t="shared" si="168"/>
        <v/>
      </c>
      <c r="M1015" t="str">
        <f t="shared" si="169"/>
        <v>SpaceCmd</v>
      </c>
    </row>
    <row r="1016" spans="1:13" x14ac:dyDescent="0.25">
      <c r="A1016" t="s">
        <v>590</v>
      </c>
      <c r="B1016" s="6">
        <f t="shared" si="170"/>
        <v>4.9874999999999998</v>
      </c>
      <c r="C1016" s="9">
        <f t="shared" si="171"/>
        <v>1.000000000000334</v>
      </c>
      <c r="D1016" s="8" t="str">
        <f t="shared" si="172"/>
        <v>W</v>
      </c>
      <c r="E1016" s="3">
        <f t="shared" si="173"/>
        <v>101</v>
      </c>
      <c r="F1016" s="3" t="str">
        <f t="shared" si="174"/>
        <v>ack</v>
      </c>
      <c r="G1016" s="3" t="str">
        <f t="shared" si="175"/>
        <v>96</v>
      </c>
      <c r="H1016" s="3" t="str">
        <f t="shared" si="176"/>
        <v/>
      </c>
      <c r="I1016" s="3">
        <f t="shared" si="177"/>
        <v>150</v>
      </c>
      <c r="J1016" s="5" t="str">
        <f>IF(E1016=0,"Broadcast",IF(H1016="",IF(I1016="","",IF(I1016&lt;128,"Connect "&amp;I1016,INDEX(KdoCodeTab,MATCH(I1016,KdoWertTab,0)))),"ReadStat "&amp;H1016))</f>
        <v>RepSpaceCmd</v>
      </c>
      <c r="K1016" t="str">
        <f t="shared" si="167"/>
        <v/>
      </c>
      <c r="L1016" t="str">
        <f t="shared" si="168"/>
        <v/>
      </c>
      <c r="M1016" t="str">
        <f t="shared" si="169"/>
        <v>RepSpaceCmd</v>
      </c>
    </row>
    <row r="1017" spans="1:13" x14ac:dyDescent="0.25">
      <c r="A1017" t="s">
        <v>591</v>
      </c>
      <c r="B1017" s="6">
        <f t="shared" si="170"/>
        <v>5.0078333333333331</v>
      </c>
      <c r="C1017" s="9">
        <f t="shared" si="171"/>
        <v>20.333333333333314</v>
      </c>
      <c r="D1017" s="8" t="str">
        <f t="shared" si="172"/>
        <v>W</v>
      </c>
      <c r="E1017" s="3">
        <f t="shared" si="173"/>
        <v>101</v>
      </c>
      <c r="F1017" s="3" t="str">
        <f t="shared" si="174"/>
        <v>ack</v>
      </c>
      <c r="G1017" s="3" t="str">
        <f t="shared" si="175"/>
        <v>9C</v>
      </c>
      <c r="H1017" s="3" t="str">
        <f t="shared" si="176"/>
        <v/>
      </c>
      <c r="I1017" s="3">
        <f t="shared" si="177"/>
        <v>156</v>
      </c>
      <c r="J1017" s="5" t="str">
        <f>IF(E1017=0,"Broadcast",IF(H1017="",IF(I1017="","",IF(I1017&lt;128,"Connect "&amp;I1017,INDEX(KdoCodeTab,MATCH(I1017,KdoWertTab,0)))),"ReadStat "&amp;H1017))</f>
        <v>MarkCmd</v>
      </c>
      <c r="K1017" t="str">
        <f t="shared" si="167"/>
        <v/>
      </c>
      <c r="L1017" t="str">
        <f t="shared" si="168"/>
        <v/>
      </c>
      <c r="M1017" t="str">
        <f t="shared" si="169"/>
        <v>MarkCmd</v>
      </c>
    </row>
    <row r="1018" spans="1:13" x14ac:dyDescent="0.25">
      <c r="A1018" t="s">
        <v>592</v>
      </c>
      <c r="B1018" s="6">
        <f t="shared" si="170"/>
        <v>5.0088333333333335</v>
      </c>
      <c r="C1018" s="9">
        <f t="shared" si="171"/>
        <v>1.000000000000334</v>
      </c>
      <c r="D1018" s="8" t="str">
        <f t="shared" si="172"/>
        <v>W</v>
      </c>
      <c r="E1018" s="3">
        <f t="shared" si="173"/>
        <v>101</v>
      </c>
      <c r="F1018" s="3" t="str">
        <f t="shared" si="174"/>
        <v>ack</v>
      </c>
      <c r="G1018" s="3" t="str">
        <f t="shared" si="175"/>
        <v>9A</v>
      </c>
      <c r="H1018" s="3" t="str">
        <f t="shared" si="176"/>
        <v/>
      </c>
      <c r="I1018" s="3">
        <f t="shared" si="177"/>
        <v>154</v>
      </c>
      <c r="J1018" s="5" t="str">
        <f>IF(E1018=0,"Broadcast",IF(H1018="",IF(I1018="","",IF(I1018&lt;128,"Connect "&amp;I1018,INDEX(KdoCodeTab,MATCH(I1018,KdoWertTab,0)))),"ReadStat "&amp;H1018))</f>
        <v>RepMarkCmd</v>
      </c>
      <c r="K1018" t="str">
        <f t="shared" si="167"/>
        <v/>
      </c>
      <c r="L1018" t="str">
        <f t="shared" si="168"/>
        <v/>
      </c>
      <c r="M1018" t="str">
        <f t="shared" si="169"/>
        <v>RepMarkCmd</v>
      </c>
    </row>
    <row r="1019" spans="1:13" x14ac:dyDescent="0.25">
      <c r="A1019" t="s">
        <v>593</v>
      </c>
      <c r="B1019" s="6">
        <f t="shared" si="170"/>
        <v>5.027166666666667</v>
      </c>
      <c r="C1019" s="9">
        <f t="shared" si="171"/>
        <v>18.333333333333535</v>
      </c>
      <c r="D1019" s="8" t="str">
        <f t="shared" si="172"/>
        <v>W</v>
      </c>
      <c r="E1019" s="3">
        <f t="shared" si="173"/>
        <v>101</v>
      </c>
      <c r="F1019" s="3" t="str">
        <f t="shared" si="174"/>
        <v>ack</v>
      </c>
      <c r="G1019" s="3" t="str">
        <f t="shared" si="175"/>
        <v>93</v>
      </c>
      <c r="H1019" s="3" t="str">
        <f t="shared" si="176"/>
        <v/>
      </c>
      <c r="I1019" s="3">
        <f t="shared" si="177"/>
        <v>147</v>
      </c>
      <c r="J1019" s="5" t="str">
        <f>IF(E1019=0,"Broadcast",IF(H1019="",IF(I1019="","",IF(I1019&lt;128,"Connect "&amp;I1019,INDEX(KdoCodeTab,MATCH(I1019,KdoWertTab,0)))),"ReadStat "&amp;H1019))</f>
        <v>SpaceCmd</v>
      </c>
      <c r="K1019" t="str">
        <f t="shared" ref="K1019:K1082" si="178">IF(E1019=$K$2,J1019,"")</f>
        <v/>
      </c>
      <c r="L1019" t="str">
        <f t="shared" ref="L1019:L1082" si="179">IF(E1019=$L$2,J1019,"")</f>
        <v/>
      </c>
      <c r="M1019" t="str">
        <f t="shared" ref="M1019:M1082" si="180">IF(K1019&amp;L1019="",J1019,"")</f>
        <v>SpaceCmd</v>
      </c>
    </row>
    <row r="1020" spans="1:13" x14ac:dyDescent="0.25">
      <c r="A1020" t="s">
        <v>594</v>
      </c>
      <c r="B1020" s="6">
        <f t="shared" si="170"/>
        <v>5.0279999999999996</v>
      </c>
      <c r="C1020" s="9">
        <f t="shared" si="171"/>
        <v>0.83333333333257542</v>
      </c>
      <c r="D1020" s="8" t="str">
        <f t="shared" si="172"/>
        <v>W</v>
      </c>
      <c r="E1020" s="3">
        <f t="shared" si="173"/>
        <v>101</v>
      </c>
      <c r="F1020" s="3" t="str">
        <f t="shared" si="174"/>
        <v>ack</v>
      </c>
      <c r="G1020" s="3" t="str">
        <f t="shared" si="175"/>
        <v>96</v>
      </c>
      <c r="H1020" s="3" t="str">
        <f t="shared" si="176"/>
        <v/>
      </c>
      <c r="I1020" s="3">
        <f t="shared" si="177"/>
        <v>150</v>
      </c>
      <c r="J1020" s="5" t="str">
        <f>IF(E1020=0,"Broadcast",IF(H1020="",IF(I1020="","",IF(I1020&lt;128,"Connect "&amp;I1020,INDEX(KdoCodeTab,MATCH(I1020,KdoWertTab,0)))),"ReadStat "&amp;H1020))</f>
        <v>RepSpaceCmd</v>
      </c>
      <c r="K1020" t="str">
        <f t="shared" si="178"/>
        <v/>
      </c>
      <c r="L1020" t="str">
        <f t="shared" si="179"/>
        <v/>
      </c>
      <c r="M1020" t="str">
        <f t="shared" si="180"/>
        <v>RepSpaceCmd</v>
      </c>
    </row>
    <row r="1021" spans="1:13" x14ac:dyDescent="0.25">
      <c r="A1021" t="s">
        <v>595</v>
      </c>
      <c r="B1021" s="6">
        <f t="shared" si="170"/>
        <v>5.0473333333333334</v>
      </c>
      <c r="C1021" s="9">
        <f t="shared" si="171"/>
        <v>19.333333333333869</v>
      </c>
      <c r="D1021" s="8" t="str">
        <f t="shared" si="172"/>
        <v>W</v>
      </c>
      <c r="E1021" s="3">
        <f t="shared" si="173"/>
        <v>101</v>
      </c>
      <c r="F1021" s="3" t="str">
        <f t="shared" si="174"/>
        <v>ack</v>
      </c>
      <c r="G1021" s="3" t="str">
        <f t="shared" si="175"/>
        <v>9C</v>
      </c>
      <c r="H1021" s="3" t="str">
        <f t="shared" si="176"/>
        <v/>
      </c>
      <c r="I1021" s="3">
        <f t="shared" si="177"/>
        <v>156</v>
      </c>
      <c r="J1021" s="5" t="str">
        <f>IF(E1021=0,"Broadcast",IF(H1021="",IF(I1021="","",IF(I1021&lt;128,"Connect "&amp;I1021,INDEX(KdoCodeTab,MATCH(I1021,KdoWertTab,0)))),"ReadStat "&amp;H1021))</f>
        <v>MarkCmd</v>
      </c>
      <c r="K1021" t="str">
        <f t="shared" si="178"/>
        <v/>
      </c>
      <c r="L1021" t="str">
        <f t="shared" si="179"/>
        <v/>
      </c>
      <c r="M1021" t="str">
        <f t="shared" si="180"/>
        <v>MarkCmd</v>
      </c>
    </row>
    <row r="1022" spans="1:13" x14ac:dyDescent="0.25">
      <c r="A1022" t="s">
        <v>596</v>
      </c>
      <c r="B1022" s="6">
        <f t="shared" si="170"/>
        <v>5.0481666666666669</v>
      </c>
      <c r="C1022" s="9">
        <f t="shared" si="171"/>
        <v>0.8333333333334636</v>
      </c>
      <c r="D1022" s="8" t="str">
        <f t="shared" si="172"/>
        <v>W</v>
      </c>
      <c r="E1022" s="3">
        <f t="shared" si="173"/>
        <v>101</v>
      </c>
      <c r="F1022" s="3" t="str">
        <f t="shared" si="174"/>
        <v>ack</v>
      </c>
      <c r="G1022" s="3" t="str">
        <f t="shared" si="175"/>
        <v>9A</v>
      </c>
      <c r="H1022" s="3" t="str">
        <f t="shared" si="176"/>
        <v/>
      </c>
      <c r="I1022" s="3">
        <f t="shared" si="177"/>
        <v>154</v>
      </c>
      <c r="J1022" s="5" t="str">
        <f>IF(E1022=0,"Broadcast",IF(H1022="",IF(I1022="","",IF(I1022&lt;128,"Connect "&amp;I1022,INDEX(KdoCodeTab,MATCH(I1022,KdoWertTab,0)))),"ReadStat "&amp;H1022))</f>
        <v>RepMarkCmd</v>
      </c>
      <c r="K1022" t="str">
        <f t="shared" si="178"/>
        <v/>
      </c>
      <c r="L1022" t="str">
        <f t="shared" si="179"/>
        <v/>
      </c>
      <c r="M1022" t="str">
        <f t="shared" si="180"/>
        <v>RepMarkCmd</v>
      </c>
    </row>
    <row r="1023" spans="1:13" x14ac:dyDescent="0.25">
      <c r="A1023" t="s">
        <v>597</v>
      </c>
      <c r="B1023" s="6">
        <f t="shared" si="170"/>
        <v>5.0674999999999999</v>
      </c>
      <c r="C1023" s="9">
        <f t="shared" si="171"/>
        <v>19.33333333333298</v>
      </c>
      <c r="D1023" s="8" t="str">
        <f t="shared" si="172"/>
        <v>W</v>
      </c>
      <c r="E1023" s="3">
        <f t="shared" si="173"/>
        <v>101</v>
      </c>
      <c r="F1023" s="3" t="str">
        <f t="shared" si="174"/>
        <v>ack</v>
      </c>
      <c r="G1023" s="3" t="str">
        <f t="shared" si="175"/>
        <v>93</v>
      </c>
      <c r="H1023" s="3" t="str">
        <f t="shared" si="176"/>
        <v/>
      </c>
      <c r="I1023" s="3">
        <f t="shared" si="177"/>
        <v>147</v>
      </c>
      <c r="J1023" s="5" t="str">
        <f>IF(E1023=0,"Broadcast",IF(H1023="",IF(I1023="","",IF(I1023&lt;128,"Connect "&amp;I1023,INDEX(KdoCodeTab,MATCH(I1023,KdoWertTab,0)))),"ReadStat "&amp;H1023))</f>
        <v>SpaceCmd</v>
      </c>
      <c r="K1023" t="str">
        <f t="shared" si="178"/>
        <v/>
      </c>
      <c r="L1023" t="str">
        <f t="shared" si="179"/>
        <v/>
      </c>
      <c r="M1023" t="str">
        <f t="shared" si="180"/>
        <v>SpaceCmd</v>
      </c>
    </row>
    <row r="1024" spans="1:13" x14ac:dyDescent="0.25">
      <c r="A1024" t="s">
        <v>598</v>
      </c>
      <c r="B1024" s="6">
        <f t="shared" si="170"/>
        <v>5.0683333333333334</v>
      </c>
      <c r="C1024" s="9">
        <f t="shared" si="171"/>
        <v>0.8333333333334636</v>
      </c>
      <c r="D1024" s="8" t="str">
        <f t="shared" si="172"/>
        <v>W</v>
      </c>
      <c r="E1024" s="3">
        <f t="shared" si="173"/>
        <v>101</v>
      </c>
      <c r="F1024" s="3" t="str">
        <f t="shared" si="174"/>
        <v>ack</v>
      </c>
      <c r="G1024" s="3" t="str">
        <f t="shared" si="175"/>
        <v>96</v>
      </c>
      <c r="H1024" s="3" t="str">
        <f t="shared" si="176"/>
        <v/>
      </c>
      <c r="I1024" s="3">
        <f t="shared" si="177"/>
        <v>150</v>
      </c>
      <c r="J1024" s="5" t="str">
        <f>IF(E1024=0,"Broadcast",IF(H1024="",IF(I1024="","",IF(I1024&lt;128,"Connect "&amp;I1024,INDEX(KdoCodeTab,MATCH(I1024,KdoWertTab,0)))),"ReadStat "&amp;H1024))</f>
        <v>RepSpaceCmd</v>
      </c>
      <c r="K1024" t="str">
        <f t="shared" si="178"/>
        <v/>
      </c>
      <c r="L1024" t="str">
        <f t="shared" si="179"/>
        <v/>
      </c>
      <c r="M1024" t="str">
        <f t="shared" si="180"/>
        <v>RepSpaceCmd</v>
      </c>
    </row>
    <row r="1025" spans="1:13" x14ac:dyDescent="0.25">
      <c r="A1025" t="s">
        <v>599</v>
      </c>
      <c r="B1025" s="6">
        <f t="shared" si="170"/>
        <v>5.1079999999999997</v>
      </c>
      <c r="C1025" s="9">
        <f t="shared" si="171"/>
        <v>39.666666666666295</v>
      </c>
      <c r="D1025" s="8" t="str">
        <f t="shared" si="172"/>
        <v>W</v>
      </c>
      <c r="E1025" s="3">
        <f t="shared" si="173"/>
        <v>101</v>
      </c>
      <c r="F1025" s="3" t="str">
        <f t="shared" si="174"/>
        <v>ack</v>
      </c>
      <c r="G1025" s="3" t="str">
        <f t="shared" si="175"/>
        <v>9C</v>
      </c>
      <c r="H1025" s="3" t="str">
        <f t="shared" si="176"/>
        <v/>
      </c>
      <c r="I1025" s="3">
        <f t="shared" si="177"/>
        <v>156</v>
      </c>
      <c r="J1025" s="5" t="str">
        <f>IF(E1025=0,"Broadcast",IF(H1025="",IF(I1025="","",IF(I1025&lt;128,"Connect "&amp;I1025,INDEX(KdoCodeTab,MATCH(I1025,KdoWertTab,0)))),"ReadStat "&amp;H1025))</f>
        <v>MarkCmd</v>
      </c>
      <c r="K1025" t="str">
        <f t="shared" si="178"/>
        <v/>
      </c>
      <c r="L1025" t="str">
        <f t="shared" si="179"/>
        <v/>
      </c>
      <c r="M1025" t="str">
        <f t="shared" si="180"/>
        <v>MarkCmd</v>
      </c>
    </row>
    <row r="1026" spans="1:13" x14ac:dyDescent="0.25">
      <c r="A1026" t="s">
        <v>600</v>
      </c>
      <c r="B1026" s="6">
        <f t="shared" si="170"/>
        <v>5.1088333333333331</v>
      </c>
      <c r="C1026" s="9">
        <f t="shared" si="171"/>
        <v>0.8333333333334636</v>
      </c>
      <c r="D1026" s="8" t="str">
        <f t="shared" si="172"/>
        <v>W</v>
      </c>
      <c r="E1026" s="3">
        <f t="shared" si="173"/>
        <v>101</v>
      </c>
      <c r="F1026" s="3" t="str">
        <f t="shared" si="174"/>
        <v>ack</v>
      </c>
      <c r="G1026" s="3" t="str">
        <f t="shared" si="175"/>
        <v>9A</v>
      </c>
      <c r="H1026" s="3" t="str">
        <f t="shared" si="176"/>
        <v/>
      </c>
      <c r="I1026" s="3">
        <f t="shared" si="177"/>
        <v>154</v>
      </c>
      <c r="J1026" s="5" t="str">
        <f>IF(E1026=0,"Broadcast",IF(H1026="",IF(I1026="","",IF(I1026&lt;128,"Connect "&amp;I1026,INDEX(KdoCodeTab,MATCH(I1026,KdoWertTab,0)))),"ReadStat "&amp;H1026))</f>
        <v>RepMarkCmd</v>
      </c>
      <c r="K1026" t="str">
        <f t="shared" si="178"/>
        <v/>
      </c>
      <c r="L1026" t="str">
        <f t="shared" si="179"/>
        <v/>
      </c>
      <c r="M1026" t="str">
        <f t="shared" si="180"/>
        <v>RepMarkCmd</v>
      </c>
    </row>
    <row r="1027" spans="1:13" x14ac:dyDescent="0.25">
      <c r="A1027" t="s">
        <v>601</v>
      </c>
      <c r="B1027" s="6">
        <f t="shared" si="170"/>
        <v>5.1371666666666664</v>
      </c>
      <c r="C1027" s="9">
        <f t="shared" si="171"/>
        <v>28.333333333333321</v>
      </c>
      <c r="D1027" s="8" t="str">
        <f t="shared" si="172"/>
        <v>W</v>
      </c>
      <c r="E1027" s="3">
        <f t="shared" si="173"/>
        <v>101</v>
      </c>
      <c r="F1027" s="3" t="str">
        <f t="shared" si="174"/>
        <v>ack</v>
      </c>
      <c r="G1027" s="3" t="str">
        <f t="shared" si="175"/>
        <v>93</v>
      </c>
      <c r="H1027" s="3" t="str">
        <f t="shared" si="176"/>
        <v/>
      </c>
      <c r="I1027" s="3">
        <f t="shared" si="177"/>
        <v>147</v>
      </c>
      <c r="J1027" s="5" t="str">
        <f>IF(E1027=0,"Broadcast",IF(H1027="",IF(I1027="","",IF(I1027&lt;128,"Connect "&amp;I1027,INDEX(KdoCodeTab,MATCH(I1027,KdoWertTab,0)))),"ReadStat "&amp;H1027))</f>
        <v>SpaceCmd</v>
      </c>
      <c r="K1027" t="str">
        <f t="shared" si="178"/>
        <v/>
      </c>
      <c r="L1027" t="str">
        <f t="shared" si="179"/>
        <v/>
      </c>
      <c r="M1027" t="str">
        <f t="shared" si="180"/>
        <v>SpaceCmd</v>
      </c>
    </row>
    <row r="1028" spans="1:13" x14ac:dyDescent="0.25">
      <c r="A1028" t="s">
        <v>602</v>
      </c>
      <c r="B1028" s="6">
        <f t="shared" si="170"/>
        <v>5.1379999999999999</v>
      </c>
      <c r="C1028" s="9">
        <f t="shared" si="171"/>
        <v>0.8333333333334636</v>
      </c>
      <c r="D1028" s="8" t="str">
        <f t="shared" si="172"/>
        <v>W</v>
      </c>
      <c r="E1028" s="3">
        <f t="shared" si="173"/>
        <v>101</v>
      </c>
      <c r="F1028" s="3" t="str">
        <f t="shared" si="174"/>
        <v>ack</v>
      </c>
      <c r="G1028" s="3" t="str">
        <f t="shared" si="175"/>
        <v>96</v>
      </c>
      <c r="H1028" s="3" t="str">
        <f t="shared" si="176"/>
        <v/>
      </c>
      <c r="I1028" s="3">
        <f t="shared" si="177"/>
        <v>150</v>
      </c>
      <c r="J1028" s="5" t="str">
        <f>IF(E1028=0,"Broadcast",IF(H1028="",IF(I1028="","",IF(I1028&lt;128,"Connect "&amp;I1028,INDEX(KdoCodeTab,MATCH(I1028,KdoWertTab,0)))),"ReadStat "&amp;H1028))</f>
        <v>RepSpaceCmd</v>
      </c>
      <c r="K1028" t="str">
        <f t="shared" si="178"/>
        <v/>
      </c>
      <c r="L1028" t="str">
        <f t="shared" si="179"/>
        <v/>
      </c>
      <c r="M1028" t="str">
        <f t="shared" si="180"/>
        <v>RepSpaceCmd</v>
      </c>
    </row>
    <row r="1029" spans="1:13" x14ac:dyDescent="0.25">
      <c r="A1029" t="s">
        <v>603</v>
      </c>
      <c r="B1029" s="6">
        <f t="shared" ref="B1029:B1092" si="181">MID(A1029,1,5)/1000+(CODE(MID(A1029,6,1))-CODE("a"))/6000</f>
        <v>5.2006666666666668</v>
      </c>
      <c r="C1029" s="9">
        <f t="shared" ref="C1029:C1092" si="182">(B1029-B1028+IF(B1029&gt;B1028,0,11))*1000</f>
        <v>62.66666666666687</v>
      </c>
      <c r="D1029" s="8" t="str">
        <f t="shared" ref="D1029:D1092" si="183">IF(MID(A1029,10,1)="&lt;","R",IF(MID(A1029,10,1)="&gt;","W","?"))</f>
        <v>W</v>
      </c>
      <c r="E1029" s="3">
        <f t="shared" ref="E1029:E1092" si="184">INT(HEX2DEC(MID(A1029,8,2))/2)</f>
        <v>101</v>
      </c>
      <c r="F1029" s="3" t="str">
        <f t="shared" ref="F1029:F1092" si="185">IF(MID(A1029,11,1)="+","ack","NACK")</f>
        <v>ack</v>
      </c>
      <c r="G1029" s="3" t="str">
        <f t="shared" ref="G1029:G1092" si="186">IF(F1029="ack",SUBSTITUTE(MID(A1029,12,LEN(A1029)-12),"+","  "),"")</f>
        <v>A9</v>
      </c>
      <c r="H1029" s="3" t="str">
        <f t="shared" ref="H1029:H1092" si="187">IF(MID(A1029,10,2)="&lt;+",MID(A1029,12,2),"")</f>
        <v/>
      </c>
      <c r="I1029" s="3">
        <f t="shared" ref="I1029:I1092" si="188">IF(MID(A1029,10,2)="&gt;+",HEX2DEC(MID(A1029,12,2)),"")</f>
        <v>169</v>
      </c>
      <c r="J1029" s="5" t="str">
        <f>IF(E1029=0,"Broadcast",IF(H1029="",IF(I1029="","",IF(I1029&lt;128,"Connect "&amp;I1029,INDEX(KdoCodeTab,MATCH(I1029,KdoWertTab,0)))),"ReadStat "&amp;H1029))</f>
        <v>Heartbeat</v>
      </c>
      <c r="K1029" t="str">
        <f t="shared" si="178"/>
        <v/>
      </c>
      <c r="L1029" t="str">
        <f t="shared" si="179"/>
        <v/>
      </c>
      <c r="M1029" t="str">
        <f t="shared" si="180"/>
        <v>Heartbeat</v>
      </c>
    </row>
    <row r="1030" spans="1:13" x14ac:dyDescent="0.25">
      <c r="A1030" t="s">
        <v>604</v>
      </c>
      <c r="B1030" s="6">
        <f t="shared" si="181"/>
        <v>5.237166666666667</v>
      </c>
      <c r="C1030" s="9">
        <f t="shared" si="182"/>
        <v>36.500000000000199</v>
      </c>
      <c r="D1030" s="8" t="str">
        <f t="shared" si="183"/>
        <v>W</v>
      </c>
      <c r="E1030" s="3">
        <f t="shared" si="184"/>
        <v>101</v>
      </c>
      <c r="F1030" s="3" t="str">
        <f t="shared" si="185"/>
        <v>ack</v>
      </c>
      <c r="G1030" s="3" t="str">
        <f t="shared" si="186"/>
        <v>9C</v>
      </c>
      <c r="H1030" s="3" t="str">
        <f t="shared" si="187"/>
        <v/>
      </c>
      <c r="I1030" s="3">
        <f t="shared" si="188"/>
        <v>156</v>
      </c>
      <c r="J1030" s="5" t="str">
        <f>IF(E1030=0,"Broadcast",IF(H1030="",IF(I1030="","",IF(I1030&lt;128,"Connect "&amp;I1030,INDEX(KdoCodeTab,MATCH(I1030,KdoWertTab,0)))),"ReadStat "&amp;H1030))</f>
        <v>MarkCmd</v>
      </c>
      <c r="K1030" t="str">
        <f t="shared" si="178"/>
        <v/>
      </c>
      <c r="L1030" t="str">
        <f t="shared" si="179"/>
        <v/>
      </c>
      <c r="M1030" t="str">
        <f t="shared" si="180"/>
        <v>MarkCmd</v>
      </c>
    </row>
    <row r="1031" spans="1:13" x14ac:dyDescent="0.25">
      <c r="A1031" t="s">
        <v>605</v>
      </c>
      <c r="B1031" s="6">
        <f t="shared" si="181"/>
        <v>5.2381666666666673</v>
      </c>
      <c r="C1031" s="9">
        <f t="shared" si="182"/>
        <v>1.000000000000334</v>
      </c>
      <c r="D1031" s="8" t="str">
        <f t="shared" si="183"/>
        <v>W</v>
      </c>
      <c r="E1031" s="3">
        <f t="shared" si="184"/>
        <v>101</v>
      </c>
      <c r="F1031" s="3" t="str">
        <f t="shared" si="185"/>
        <v>ack</v>
      </c>
      <c r="G1031" s="3" t="str">
        <f t="shared" si="186"/>
        <v>9A</v>
      </c>
      <c r="H1031" s="3" t="str">
        <f t="shared" si="187"/>
        <v/>
      </c>
      <c r="I1031" s="3">
        <f t="shared" si="188"/>
        <v>154</v>
      </c>
      <c r="J1031" s="5" t="str">
        <f>IF(E1031=0,"Broadcast",IF(H1031="",IF(I1031="","",IF(I1031&lt;128,"Connect "&amp;I1031,INDEX(KdoCodeTab,MATCH(I1031,KdoWertTab,0)))),"ReadStat "&amp;H1031))</f>
        <v>RepMarkCmd</v>
      </c>
      <c r="K1031" t="str">
        <f t="shared" si="178"/>
        <v/>
      </c>
      <c r="L1031" t="str">
        <f t="shared" si="179"/>
        <v/>
      </c>
      <c r="M1031" t="str">
        <f t="shared" si="180"/>
        <v>RepMarkCmd</v>
      </c>
    </row>
    <row r="1032" spans="1:13" x14ac:dyDescent="0.25">
      <c r="A1032" t="s">
        <v>606</v>
      </c>
      <c r="B1032" s="6">
        <f t="shared" si="181"/>
        <v>5.3746666666666663</v>
      </c>
      <c r="C1032" s="9">
        <f t="shared" si="182"/>
        <v>136.49999999999895</v>
      </c>
      <c r="D1032" s="8" t="str">
        <f t="shared" si="183"/>
        <v>W</v>
      </c>
      <c r="E1032" s="3">
        <f t="shared" si="184"/>
        <v>31</v>
      </c>
      <c r="F1032" s="3" t="str">
        <f t="shared" si="185"/>
        <v>ack</v>
      </c>
      <c r="G1032" s="3" t="str">
        <f t="shared" si="186"/>
        <v>9A</v>
      </c>
      <c r="H1032" s="3" t="str">
        <f t="shared" si="187"/>
        <v/>
      </c>
      <c r="I1032" s="3">
        <f t="shared" si="188"/>
        <v>154</v>
      </c>
      <c r="J1032" s="5" t="str">
        <f>IF(E1032=0,"Broadcast",IF(H1032="",IF(I1032="","",IF(I1032&lt;128,"Connect "&amp;I1032,INDEX(KdoCodeTab,MATCH(I1032,KdoWertTab,0)))),"ReadStat "&amp;H1032))</f>
        <v>RepMarkCmd</v>
      </c>
      <c r="K1032" t="str">
        <f t="shared" si="178"/>
        <v/>
      </c>
      <c r="L1032" t="str">
        <f t="shared" si="179"/>
        <v>RepMarkCmd</v>
      </c>
      <c r="M1032" t="str">
        <f t="shared" si="180"/>
        <v/>
      </c>
    </row>
    <row r="1033" spans="1:13" x14ac:dyDescent="0.25">
      <c r="A1033" t="s">
        <v>607</v>
      </c>
      <c r="B1033" s="6">
        <f t="shared" si="181"/>
        <v>5.7523333333333335</v>
      </c>
      <c r="C1033" s="9">
        <f t="shared" si="182"/>
        <v>377.66666666666725</v>
      </c>
      <c r="D1033" s="8" t="str">
        <f t="shared" si="183"/>
        <v>W</v>
      </c>
      <c r="E1033" s="3">
        <f t="shared" si="184"/>
        <v>101</v>
      </c>
      <c r="F1033" s="3" t="str">
        <f t="shared" si="185"/>
        <v>ack</v>
      </c>
      <c r="G1033" s="3" t="str">
        <f t="shared" si="186"/>
        <v>93</v>
      </c>
      <c r="H1033" s="3" t="str">
        <f t="shared" si="187"/>
        <v/>
      </c>
      <c r="I1033" s="3">
        <f t="shared" si="188"/>
        <v>147</v>
      </c>
      <c r="J1033" s="5" t="str">
        <f>IF(E1033=0,"Broadcast",IF(H1033="",IF(I1033="","",IF(I1033&lt;128,"Connect "&amp;I1033,INDEX(KdoCodeTab,MATCH(I1033,KdoWertTab,0)))),"ReadStat "&amp;H1033))</f>
        <v>SpaceCmd</v>
      </c>
      <c r="K1033" t="str">
        <f t="shared" si="178"/>
        <v/>
      </c>
      <c r="L1033" t="str">
        <f t="shared" si="179"/>
        <v/>
      </c>
      <c r="M1033" t="str">
        <f t="shared" si="180"/>
        <v>SpaceCmd</v>
      </c>
    </row>
    <row r="1034" spans="1:13" x14ac:dyDescent="0.25">
      <c r="A1034" t="s">
        <v>608</v>
      </c>
      <c r="B1034" s="6">
        <f t="shared" si="181"/>
        <v>5.7533333333333339</v>
      </c>
      <c r="C1034" s="9">
        <f t="shared" si="182"/>
        <v>1.000000000000334</v>
      </c>
      <c r="D1034" s="8" t="str">
        <f t="shared" si="183"/>
        <v>W</v>
      </c>
      <c r="E1034" s="3">
        <f t="shared" si="184"/>
        <v>101</v>
      </c>
      <c r="F1034" s="3" t="str">
        <f t="shared" si="185"/>
        <v>ack</v>
      </c>
      <c r="G1034" s="3" t="str">
        <f t="shared" si="186"/>
        <v>96</v>
      </c>
      <c r="H1034" s="3" t="str">
        <f t="shared" si="187"/>
        <v/>
      </c>
      <c r="I1034" s="3">
        <f t="shared" si="188"/>
        <v>150</v>
      </c>
      <c r="J1034" s="5" t="str">
        <f>IF(E1034=0,"Broadcast",IF(H1034="",IF(I1034="","",IF(I1034&lt;128,"Connect "&amp;I1034,INDEX(KdoCodeTab,MATCH(I1034,KdoWertTab,0)))),"ReadStat "&amp;H1034))</f>
        <v>RepSpaceCmd</v>
      </c>
      <c r="K1034" t="str">
        <f t="shared" si="178"/>
        <v/>
      </c>
      <c r="L1034" t="str">
        <f t="shared" si="179"/>
        <v/>
      </c>
      <c r="M1034" t="str">
        <f t="shared" si="180"/>
        <v>RepSpaceCmd</v>
      </c>
    </row>
    <row r="1035" spans="1:13" x14ac:dyDescent="0.25">
      <c r="A1035" t="s">
        <v>609</v>
      </c>
      <c r="B1035" s="6">
        <f t="shared" si="181"/>
        <v>5.7736666666666663</v>
      </c>
      <c r="C1035" s="9">
        <f t="shared" si="182"/>
        <v>20.333333333332426</v>
      </c>
      <c r="D1035" s="8" t="str">
        <f t="shared" si="183"/>
        <v>W</v>
      </c>
      <c r="E1035" s="3">
        <f t="shared" si="184"/>
        <v>101</v>
      </c>
      <c r="F1035" s="3" t="str">
        <f t="shared" si="185"/>
        <v>ack</v>
      </c>
      <c r="G1035" s="3" t="str">
        <f t="shared" si="186"/>
        <v>9C</v>
      </c>
      <c r="H1035" s="3" t="str">
        <f t="shared" si="187"/>
        <v/>
      </c>
      <c r="I1035" s="3">
        <f t="shared" si="188"/>
        <v>156</v>
      </c>
      <c r="J1035" s="5" t="str">
        <f>IF(E1035=0,"Broadcast",IF(H1035="",IF(I1035="","",IF(I1035&lt;128,"Connect "&amp;I1035,INDEX(KdoCodeTab,MATCH(I1035,KdoWertTab,0)))),"ReadStat "&amp;H1035))</f>
        <v>MarkCmd</v>
      </c>
      <c r="K1035" t="str">
        <f t="shared" si="178"/>
        <v/>
      </c>
      <c r="L1035" t="str">
        <f t="shared" si="179"/>
        <v/>
      </c>
      <c r="M1035" t="str">
        <f t="shared" si="180"/>
        <v>MarkCmd</v>
      </c>
    </row>
    <row r="1036" spans="1:13" x14ac:dyDescent="0.25">
      <c r="A1036" t="s">
        <v>610</v>
      </c>
      <c r="B1036" s="6">
        <f t="shared" si="181"/>
        <v>5.7744999999999997</v>
      </c>
      <c r="C1036" s="9">
        <f t="shared" si="182"/>
        <v>0.8333333333334636</v>
      </c>
      <c r="D1036" s="8" t="str">
        <f t="shared" si="183"/>
        <v>W</v>
      </c>
      <c r="E1036" s="3">
        <f t="shared" si="184"/>
        <v>101</v>
      </c>
      <c r="F1036" s="3" t="str">
        <f t="shared" si="185"/>
        <v>ack</v>
      </c>
      <c r="G1036" s="3" t="str">
        <f t="shared" si="186"/>
        <v>9A</v>
      </c>
      <c r="H1036" s="3" t="str">
        <f t="shared" si="187"/>
        <v/>
      </c>
      <c r="I1036" s="3">
        <f t="shared" si="188"/>
        <v>154</v>
      </c>
      <c r="J1036" s="5" t="str">
        <f>IF(E1036=0,"Broadcast",IF(H1036="",IF(I1036="","",IF(I1036&lt;128,"Connect "&amp;I1036,INDEX(KdoCodeTab,MATCH(I1036,KdoWertTab,0)))),"ReadStat "&amp;H1036))</f>
        <v>RepMarkCmd</v>
      </c>
      <c r="K1036" t="str">
        <f t="shared" si="178"/>
        <v/>
      </c>
      <c r="L1036" t="str">
        <f t="shared" si="179"/>
        <v/>
      </c>
      <c r="M1036" t="str">
        <f t="shared" si="180"/>
        <v>RepMarkCmd</v>
      </c>
    </row>
    <row r="1037" spans="1:13" x14ac:dyDescent="0.25">
      <c r="A1037" t="s">
        <v>611</v>
      </c>
      <c r="B1037" s="6">
        <f t="shared" si="181"/>
        <v>5.8131666666666666</v>
      </c>
      <c r="C1037" s="9">
        <f t="shared" si="182"/>
        <v>38.666666666666849</v>
      </c>
      <c r="D1037" s="8" t="str">
        <f t="shared" si="183"/>
        <v>W</v>
      </c>
      <c r="E1037" s="3">
        <f t="shared" si="184"/>
        <v>101</v>
      </c>
      <c r="F1037" s="3" t="str">
        <f t="shared" si="185"/>
        <v>ack</v>
      </c>
      <c r="G1037" s="3" t="str">
        <f t="shared" si="186"/>
        <v>93</v>
      </c>
      <c r="H1037" s="3" t="str">
        <f t="shared" si="187"/>
        <v/>
      </c>
      <c r="I1037" s="3">
        <f t="shared" si="188"/>
        <v>147</v>
      </c>
      <c r="J1037" s="5" t="str">
        <f>IF(E1037=0,"Broadcast",IF(H1037="",IF(I1037="","",IF(I1037&lt;128,"Connect "&amp;I1037,INDEX(KdoCodeTab,MATCH(I1037,KdoWertTab,0)))),"ReadStat "&amp;H1037))</f>
        <v>SpaceCmd</v>
      </c>
      <c r="K1037" t="str">
        <f t="shared" si="178"/>
        <v/>
      </c>
      <c r="L1037" t="str">
        <f t="shared" si="179"/>
        <v/>
      </c>
      <c r="M1037" t="str">
        <f t="shared" si="180"/>
        <v>SpaceCmd</v>
      </c>
    </row>
    <row r="1038" spans="1:13" x14ac:dyDescent="0.25">
      <c r="A1038" t="s">
        <v>612</v>
      </c>
      <c r="B1038" s="6">
        <f t="shared" si="181"/>
        <v>5.8140000000000001</v>
      </c>
      <c r="C1038" s="9">
        <f t="shared" si="182"/>
        <v>0.8333333333334636</v>
      </c>
      <c r="D1038" s="8" t="str">
        <f t="shared" si="183"/>
        <v>W</v>
      </c>
      <c r="E1038" s="3">
        <f t="shared" si="184"/>
        <v>101</v>
      </c>
      <c r="F1038" s="3" t="str">
        <f t="shared" si="185"/>
        <v>ack</v>
      </c>
      <c r="G1038" s="3" t="str">
        <f t="shared" si="186"/>
        <v>96</v>
      </c>
      <c r="H1038" s="3" t="str">
        <f t="shared" si="187"/>
        <v/>
      </c>
      <c r="I1038" s="3">
        <f t="shared" si="188"/>
        <v>150</v>
      </c>
      <c r="J1038" s="5" t="str">
        <f>IF(E1038=0,"Broadcast",IF(H1038="",IF(I1038="","",IF(I1038&lt;128,"Connect "&amp;I1038,INDEX(KdoCodeTab,MATCH(I1038,KdoWertTab,0)))),"ReadStat "&amp;H1038))</f>
        <v>RepSpaceCmd</v>
      </c>
      <c r="K1038" t="str">
        <f t="shared" si="178"/>
        <v/>
      </c>
      <c r="L1038" t="str">
        <f t="shared" si="179"/>
        <v/>
      </c>
      <c r="M1038" t="str">
        <f t="shared" si="180"/>
        <v>RepSpaceCmd</v>
      </c>
    </row>
    <row r="1039" spans="1:13" x14ac:dyDescent="0.25">
      <c r="A1039" t="s">
        <v>613</v>
      </c>
      <c r="B1039" s="6">
        <f t="shared" si="181"/>
        <v>5.8321666666666667</v>
      </c>
      <c r="C1039" s="9">
        <f t="shared" si="182"/>
        <v>18.166666666666664</v>
      </c>
      <c r="D1039" s="8" t="str">
        <f t="shared" si="183"/>
        <v>W</v>
      </c>
      <c r="E1039" s="3">
        <f t="shared" si="184"/>
        <v>101</v>
      </c>
      <c r="F1039" s="3" t="str">
        <f t="shared" si="185"/>
        <v>ack</v>
      </c>
      <c r="G1039" s="3" t="str">
        <f t="shared" si="186"/>
        <v>9C</v>
      </c>
      <c r="H1039" s="3" t="str">
        <f t="shared" si="187"/>
        <v/>
      </c>
      <c r="I1039" s="3">
        <f t="shared" si="188"/>
        <v>156</v>
      </c>
      <c r="J1039" s="5" t="str">
        <f>IF(E1039=0,"Broadcast",IF(H1039="",IF(I1039="","",IF(I1039&lt;128,"Connect "&amp;I1039,INDEX(KdoCodeTab,MATCH(I1039,KdoWertTab,0)))),"ReadStat "&amp;H1039))</f>
        <v>MarkCmd</v>
      </c>
      <c r="K1039" t="str">
        <f t="shared" si="178"/>
        <v/>
      </c>
      <c r="L1039" t="str">
        <f t="shared" si="179"/>
        <v/>
      </c>
      <c r="M1039" t="str">
        <f t="shared" si="180"/>
        <v>MarkCmd</v>
      </c>
    </row>
    <row r="1040" spans="1:13" x14ac:dyDescent="0.25">
      <c r="A1040" t="s">
        <v>614</v>
      </c>
      <c r="B1040" s="6">
        <f t="shared" si="181"/>
        <v>5.8331666666666671</v>
      </c>
      <c r="C1040" s="9">
        <f t="shared" si="182"/>
        <v>1.000000000000334</v>
      </c>
      <c r="D1040" s="8" t="str">
        <f t="shared" si="183"/>
        <v>W</v>
      </c>
      <c r="E1040" s="3">
        <f t="shared" si="184"/>
        <v>101</v>
      </c>
      <c r="F1040" s="3" t="str">
        <f t="shared" si="185"/>
        <v>ack</v>
      </c>
      <c r="G1040" s="3" t="str">
        <f t="shared" si="186"/>
        <v>9A</v>
      </c>
      <c r="H1040" s="3" t="str">
        <f t="shared" si="187"/>
        <v/>
      </c>
      <c r="I1040" s="3">
        <f t="shared" si="188"/>
        <v>154</v>
      </c>
      <c r="J1040" s="5" t="str">
        <f>IF(E1040=0,"Broadcast",IF(H1040="",IF(I1040="","",IF(I1040&lt;128,"Connect "&amp;I1040,INDEX(KdoCodeTab,MATCH(I1040,KdoWertTab,0)))),"ReadStat "&amp;H1040))</f>
        <v>RepMarkCmd</v>
      </c>
      <c r="K1040" t="str">
        <f t="shared" si="178"/>
        <v/>
      </c>
      <c r="L1040" t="str">
        <f t="shared" si="179"/>
        <v/>
      </c>
      <c r="M1040" t="str">
        <f t="shared" si="180"/>
        <v>RepMarkCmd</v>
      </c>
    </row>
    <row r="1041" spans="1:13" x14ac:dyDescent="0.25">
      <c r="A1041" t="s">
        <v>615</v>
      </c>
      <c r="B1041" s="6">
        <f t="shared" si="181"/>
        <v>5.8806666666666665</v>
      </c>
      <c r="C1041" s="9">
        <f t="shared" si="182"/>
        <v>47.499999999999432</v>
      </c>
      <c r="D1041" s="8" t="str">
        <f t="shared" si="183"/>
        <v>W</v>
      </c>
      <c r="E1041" s="3">
        <f t="shared" si="184"/>
        <v>31</v>
      </c>
      <c r="F1041" s="3" t="str">
        <f t="shared" si="185"/>
        <v>ack</v>
      </c>
      <c r="G1041" s="3" t="str">
        <f t="shared" si="186"/>
        <v>9A</v>
      </c>
      <c r="H1041" s="3" t="str">
        <f t="shared" si="187"/>
        <v/>
      </c>
      <c r="I1041" s="3">
        <f t="shared" si="188"/>
        <v>154</v>
      </c>
      <c r="J1041" s="5" t="str">
        <f>IF(E1041=0,"Broadcast",IF(H1041="",IF(I1041="","",IF(I1041&lt;128,"Connect "&amp;I1041,INDEX(KdoCodeTab,MATCH(I1041,KdoWertTab,0)))),"ReadStat "&amp;H1041))</f>
        <v>RepMarkCmd</v>
      </c>
      <c r="K1041" t="str">
        <f t="shared" si="178"/>
        <v/>
      </c>
      <c r="L1041" t="str">
        <f t="shared" si="179"/>
        <v>RepMarkCmd</v>
      </c>
      <c r="M1041" t="str">
        <f t="shared" si="180"/>
        <v/>
      </c>
    </row>
    <row r="1042" spans="1:13" x14ac:dyDescent="0.25">
      <c r="A1042" t="s">
        <v>616</v>
      </c>
      <c r="B1042" s="6">
        <f t="shared" si="181"/>
        <v>5.8826666666666663</v>
      </c>
      <c r="C1042" s="9">
        <f t="shared" si="182"/>
        <v>1.9999999999997797</v>
      </c>
      <c r="D1042" s="8" t="str">
        <f t="shared" si="183"/>
        <v>W</v>
      </c>
      <c r="E1042" s="3">
        <f t="shared" si="184"/>
        <v>101</v>
      </c>
      <c r="F1042" s="3" t="str">
        <f t="shared" si="185"/>
        <v>ack</v>
      </c>
      <c r="G1042" s="3" t="str">
        <f t="shared" si="186"/>
        <v>A9</v>
      </c>
      <c r="H1042" s="3" t="str">
        <f t="shared" si="187"/>
        <v/>
      </c>
      <c r="I1042" s="3">
        <f t="shared" si="188"/>
        <v>169</v>
      </c>
      <c r="J1042" s="5" t="str">
        <f>IF(E1042=0,"Broadcast",IF(H1042="",IF(I1042="","",IF(I1042&lt;128,"Connect "&amp;I1042,INDEX(KdoCodeTab,MATCH(I1042,KdoWertTab,0)))),"ReadStat "&amp;H1042))</f>
        <v>Heartbeat</v>
      </c>
      <c r="K1042" t="str">
        <f t="shared" si="178"/>
        <v/>
      </c>
      <c r="L1042" t="str">
        <f t="shared" si="179"/>
        <v/>
      </c>
      <c r="M1042" t="str">
        <f t="shared" si="180"/>
        <v>Heartbeat</v>
      </c>
    </row>
    <row r="1043" spans="1:13" x14ac:dyDescent="0.25">
      <c r="A1043" t="s">
        <v>617</v>
      </c>
      <c r="B1043" s="6">
        <f t="shared" si="181"/>
        <v>5.9029999999999996</v>
      </c>
      <c r="C1043" s="9">
        <f t="shared" si="182"/>
        <v>20.333333333333314</v>
      </c>
      <c r="D1043" s="8" t="str">
        <f t="shared" si="183"/>
        <v>W</v>
      </c>
      <c r="E1043" s="3">
        <f t="shared" si="184"/>
        <v>101</v>
      </c>
      <c r="F1043" s="3" t="str">
        <f t="shared" si="185"/>
        <v>ack</v>
      </c>
      <c r="G1043" s="3" t="str">
        <f t="shared" si="186"/>
        <v>93</v>
      </c>
      <c r="H1043" s="3" t="str">
        <f t="shared" si="187"/>
        <v/>
      </c>
      <c r="I1043" s="3">
        <f t="shared" si="188"/>
        <v>147</v>
      </c>
      <c r="J1043" s="5" t="str">
        <f>IF(E1043=0,"Broadcast",IF(H1043="",IF(I1043="","",IF(I1043&lt;128,"Connect "&amp;I1043,INDEX(KdoCodeTab,MATCH(I1043,KdoWertTab,0)))),"ReadStat "&amp;H1043))</f>
        <v>SpaceCmd</v>
      </c>
      <c r="K1043" t="str">
        <f t="shared" si="178"/>
        <v/>
      </c>
      <c r="L1043" t="str">
        <f t="shared" si="179"/>
        <v/>
      </c>
      <c r="M1043" t="str">
        <f t="shared" si="180"/>
        <v>SpaceCmd</v>
      </c>
    </row>
    <row r="1044" spans="1:13" x14ac:dyDescent="0.25">
      <c r="A1044" t="s">
        <v>618</v>
      </c>
      <c r="B1044" s="6">
        <f t="shared" si="181"/>
        <v>5.903833333333333</v>
      </c>
      <c r="C1044" s="9">
        <f t="shared" si="182"/>
        <v>0.8333333333334636</v>
      </c>
      <c r="D1044" s="8" t="str">
        <f t="shared" si="183"/>
        <v>W</v>
      </c>
      <c r="E1044" s="3">
        <f t="shared" si="184"/>
        <v>101</v>
      </c>
      <c r="F1044" s="3" t="str">
        <f t="shared" si="185"/>
        <v>ack</v>
      </c>
      <c r="G1044" s="3" t="str">
        <f t="shared" si="186"/>
        <v>96</v>
      </c>
      <c r="H1044" s="3" t="str">
        <f t="shared" si="187"/>
        <v/>
      </c>
      <c r="I1044" s="3">
        <f t="shared" si="188"/>
        <v>150</v>
      </c>
      <c r="J1044" s="5" t="str">
        <f>IF(E1044=0,"Broadcast",IF(H1044="",IF(I1044="","",IF(I1044&lt;128,"Connect "&amp;I1044,INDEX(KdoCodeTab,MATCH(I1044,KdoWertTab,0)))),"ReadStat "&amp;H1044))</f>
        <v>RepSpaceCmd</v>
      </c>
      <c r="K1044" t="str">
        <f t="shared" si="178"/>
        <v/>
      </c>
      <c r="L1044" t="str">
        <f t="shared" si="179"/>
        <v/>
      </c>
      <c r="M1044" t="str">
        <f t="shared" si="180"/>
        <v>RepSpaceCmd</v>
      </c>
    </row>
    <row r="1045" spans="1:13" x14ac:dyDescent="0.25">
      <c r="A1045" t="s">
        <v>619</v>
      </c>
      <c r="B1045" s="6">
        <f t="shared" si="181"/>
        <v>5.9626666666666663</v>
      </c>
      <c r="C1045" s="9">
        <f t="shared" si="182"/>
        <v>58.833333333333293</v>
      </c>
      <c r="D1045" s="8" t="str">
        <f t="shared" si="183"/>
        <v>W</v>
      </c>
      <c r="E1045" s="3">
        <f t="shared" si="184"/>
        <v>101</v>
      </c>
      <c r="F1045" s="3" t="str">
        <f t="shared" si="185"/>
        <v>ack</v>
      </c>
      <c r="G1045" s="3" t="str">
        <f t="shared" si="186"/>
        <v>9C</v>
      </c>
      <c r="H1045" s="3" t="str">
        <f t="shared" si="187"/>
        <v/>
      </c>
      <c r="I1045" s="3">
        <f t="shared" si="188"/>
        <v>156</v>
      </c>
      <c r="J1045" s="5" t="str">
        <f>IF(E1045=0,"Broadcast",IF(H1045="",IF(I1045="","",IF(I1045&lt;128,"Connect "&amp;I1045,INDEX(KdoCodeTab,MATCH(I1045,KdoWertTab,0)))),"ReadStat "&amp;H1045))</f>
        <v>MarkCmd</v>
      </c>
      <c r="K1045" t="str">
        <f t="shared" si="178"/>
        <v/>
      </c>
      <c r="L1045" t="str">
        <f t="shared" si="179"/>
        <v/>
      </c>
      <c r="M1045" t="str">
        <f t="shared" si="180"/>
        <v>MarkCmd</v>
      </c>
    </row>
    <row r="1046" spans="1:13" x14ac:dyDescent="0.25">
      <c r="A1046" t="s">
        <v>620</v>
      </c>
      <c r="B1046" s="6">
        <f t="shared" si="181"/>
        <v>5.9634999999999998</v>
      </c>
      <c r="C1046" s="9">
        <f t="shared" si="182"/>
        <v>0.8333333333334636</v>
      </c>
      <c r="D1046" s="8" t="str">
        <f t="shared" si="183"/>
        <v>W</v>
      </c>
      <c r="E1046" s="3">
        <f t="shared" si="184"/>
        <v>101</v>
      </c>
      <c r="F1046" s="3" t="str">
        <f t="shared" si="185"/>
        <v>ack</v>
      </c>
      <c r="G1046" s="3" t="str">
        <f t="shared" si="186"/>
        <v>9A</v>
      </c>
      <c r="H1046" s="3" t="str">
        <f t="shared" si="187"/>
        <v/>
      </c>
      <c r="I1046" s="3">
        <f t="shared" si="188"/>
        <v>154</v>
      </c>
      <c r="J1046" s="5" t="str">
        <f>IF(E1046=0,"Broadcast",IF(H1046="",IF(I1046="","",IF(I1046&lt;128,"Connect "&amp;I1046,INDEX(KdoCodeTab,MATCH(I1046,KdoWertTab,0)))),"ReadStat "&amp;H1046))</f>
        <v>RepMarkCmd</v>
      </c>
      <c r="K1046" t="str">
        <f t="shared" si="178"/>
        <v/>
      </c>
      <c r="L1046" t="str">
        <f t="shared" si="179"/>
        <v/>
      </c>
      <c r="M1046" t="str">
        <f t="shared" si="180"/>
        <v>RepMarkCmd</v>
      </c>
    </row>
    <row r="1047" spans="1:13" x14ac:dyDescent="0.25">
      <c r="A1047" t="s">
        <v>621</v>
      </c>
      <c r="B1047" s="6">
        <f t="shared" si="181"/>
        <v>6.0524999999999993</v>
      </c>
      <c r="C1047" s="9">
        <f t="shared" si="182"/>
        <v>88.999999999999517</v>
      </c>
      <c r="D1047" s="8" t="str">
        <f t="shared" si="183"/>
        <v>W</v>
      </c>
      <c r="E1047" s="3">
        <f t="shared" si="184"/>
        <v>101</v>
      </c>
      <c r="F1047" s="3" t="str">
        <f t="shared" si="185"/>
        <v>ack</v>
      </c>
      <c r="G1047" s="3" t="str">
        <f t="shared" si="186"/>
        <v>93</v>
      </c>
      <c r="H1047" s="3" t="str">
        <f t="shared" si="187"/>
        <v/>
      </c>
      <c r="I1047" s="3">
        <f t="shared" si="188"/>
        <v>147</v>
      </c>
      <c r="J1047" s="5" t="str">
        <f>IF(E1047=0,"Broadcast",IF(H1047="",IF(I1047="","",IF(I1047&lt;128,"Connect "&amp;I1047,INDEX(KdoCodeTab,MATCH(I1047,KdoWertTab,0)))),"ReadStat "&amp;H1047))</f>
        <v>SpaceCmd</v>
      </c>
      <c r="K1047" t="str">
        <f t="shared" si="178"/>
        <v/>
      </c>
      <c r="L1047" t="str">
        <f t="shared" si="179"/>
        <v/>
      </c>
      <c r="M1047" t="str">
        <f t="shared" si="180"/>
        <v>SpaceCmd</v>
      </c>
    </row>
    <row r="1048" spans="1:13" x14ac:dyDescent="0.25">
      <c r="A1048" t="s">
        <v>622</v>
      </c>
      <c r="B1048" s="6">
        <f t="shared" si="181"/>
        <v>6.0533333333333337</v>
      </c>
      <c r="C1048" s="9">
        <f t="shared" si="182"/>
        <v>0.83333333333435178</v>
      </c>
      <c r="D1048" s="8" t="str">
        <f t="shared" si="183"/>
        <v>W</v>
      </c>
      <c r="E1048" s="3">
        <f t="shared" si="184"/>
        <v>101</v>
      </c>
      <c r="F1048" s="3" t="str">
        <f t="shared" si="185"/>
        <v>ack</v>
      </c>
      <c r="G1048" s="3" t="str">
        <f t="shared" si="186"/>
        <v>96</v>
      </c>
      <c r="H1048" s="3" t="str">
        <f t="shared" si="187"/>
        <v/>
      </c>
      <c r="I1048" s="3">
        <f t="shared" si="188"/>
        <v>150</v>
      </c>
      <c r="J1048" s="5" t="str">
        <f>IF(E1048=0,"Broadcast",IF(H1048="",IF(I1048="","",IF(I1048&lt;128,"Connect "&amp;I1048,INDEX(KdoCodeTab,MATCH(I1048,KdoWertTab,0)))),"ReadStat "&amp;H1048))</f>
        <v>RepSpaceCmd</v>
      </c>
      <c r="K1048" t="str">
        <f t="shared" si="178"/>
        <v/>
      </c>
      <c r="L1048" t="str">
        <f t="shared" si="179"/>
        <v/>
      </c>
      <c r="M1048" t="str">
        <f t="shared" si="180"/>
        <v>RepSpaceCmd</v>
      </c>
    </row>
    <row r="1049" spans="1:13" x14ac:dyDescent="0.25">
      <c r="A1049" t="s">
        <v>623</v>
      </c>
      <c r="B1049" s="6">
        <f t="shared" si="181"/>
        <v>6.1131666666666673</v>
      </c>
      <c r="C1049" s="9">
        <f t="shared" si="182"/>
        <v>59.833333333333627</v>
      </c>
      <c r="D1049" s="8" t="str">
        <f t="shared" si="183"/>
        <v>W</v>
      </c>
      <c r="E1049" s="3">
        <f t="shared" si="184"/>
        <v>101</v>
      </c>
      <c r="F1049" s="3" t="str">
        <f t="shared" si="185"/>
        <v>ack</v>
      </c>
      <c r="G1049" s="3" t="str">
        <f t="shared" si="186"/>
        <v>9C</v>
      </c>
      <c r="H1049" s="3" t="str">
        <f t="shared" si="187"/>
        <v/>
      </c>
      <c r="I1049" s="3">
        <f t="shared" si="188"/>
        <v>156</v>
      </c>
      <c r="J1049" s="5" t="str">
        <f>IF(E1049=0,"Broadcast",IF(H1049="",IF(I1049="","",IF(I1049&lt;128,"Connect "&amp;I1049,INDEX(KdoCodeTab,MATCH(I1049,KdoWertTab,0)))),"ReadStat "&amp;H1049))</f>
        <v>MarkCmd</v>
      </c>
      <c r="K1049" t="str">
        <f t="shared" si="178"/>
        <v/>
      </c>
      <c r="L1049" t="str">
        <f t="shared" si="179"/>
        <v/>
      </c>
      <c r="M1049" t="str">
        <f t="shared" si="180"/>
        <v>MarkCmd</v>
      </c>
    </row>
    <row r="1050" spans="1:13" x14ac:dyDescent="0.25">
      <c r="A1050" t="s">
        <v>624</v>
      </c>
      <c r="B1050" s="6">
        <f t="shared" si="181"/>
        <v>6.1139999999999999</v>
      </c>
      <c r="C1050" s="9">
        <f t="shared" si="182"/>
        <v>0.83333333333257542</v>
      </c>
      <c r="D1050" s="8" t="str">
        <f t="shared" si="183"/>
        <v>W</v>
      </c>
      <c r="E1050" s="3">
        <f t="shared" si="184"/>
        <v>101</v>
      </c>
      <c r="F1050" s="3" t="str">
        <f t="shared" si="185"/>
        <v>ack</v>
      </c>
      <c r="G1050" s="3" t="str">
        <f t="shared" si="186"/>
        <v>9A</v>
      </c>
      <c r="H1050" s="3" t="str">
        <f t="shared" si="187"/>
        <v/>
      </c>
      <c r="I1050" s="3">
        <f t="shared" si="188"/>
        <v>154</v>
      </c>
      <c r="J1050" s="5" t="str">
        <f>IF(E1050=0,"Broadcast",IF(H1050="",IF(I1050="","",IF(I1050&lt;128,"Connect "&amp;I1050,INDEX(KdoCodeTab,MATCH(I1050,KdoWertTab,0)))),"ReadStat "&amp;H1050))</f>
        <v>RepMarkCmd</v>
      </c>
      <c r="K1050" t="str">
        <f t="shared" si="178"/>
        <v/>
      </c>
      <c r="L1050" t="str">
        <f t="shared" si="179"/>
        <v/>
      </c>
      <c r="M1050" t="str">
        <f t="shared" si="180"/>
        <v>RepMarkCmd</v>
      </c>
    </row>
    <row r="1051" spans="1:13" x14ac:dyDescent="0.25">
      <c r="A1051" t="s">
        <v>625</v>
      </c>
      <c r="B1051" s="6">
        <f t="shared" si="181"/>
        <v>6.2030000000000003</v>
      </c>
      <c r="C1051" s="9">
        <f t="shared" si="182"/>
        <v>89.000000000000412</v>
      </c>
      <c r="D1051" s="8" t="str">
        <f t="shared" si="183"/>
        <v>W</v>
      </c>
      <c r="E1051" s="3">
        <f t="shared" si="184"/>
        <v>101</v>
      </c>
      <c r="F1051" s="3" t="str">
        <f t="shared" si="185"/>
        <v>ack</v>
      </c>
      <c r="G1051" s="3" t="str">
        <f t="shared" si="186"/>
        <v>93</v>
      </c>
      <c r="H1051" s="3" t="str">
        <f t="shared" si="187"/>
        <v/>
      </c>
      <c r="I1051" s="3">
        <f t="shared" si="188"/>
        <v>147</v>
      </c>
      <c r="J1051" s="5" t="str">
        <f>IF(E1051=0,"Broadcast",IF(H1051="",IF(I1051="","",IF(I1051&lt;128,"Connect "&amp;I1051,INDEX(KdoCodeTab,MATCH(I1051,KdoWertTab,0)))),"ReadStat "&amp;H1051))</f>
        <v>SpaceCmd</v>
      </c>
      <c r="K1051" t="str">
        <f t="shared" si="178"/>
        <v/>
      </c>
      <c r="L1051" t="str">
        <f t="shared" si="179"/>
        <v/>
      </c>
      <c r="M1051" t="str">
        <f t="shared" si="180"/>
        <v>SpaceCmd</v>
      </c>
    </row>
    <row r="1052" spans="1:13" x14ac:dyDescent="0.25">
      <c r="A1052" t="s">
        <v>626</v>
      </c>
      <c r="B1052" s="6">
        <f t="shared" si="181"/>
        <v>6.2038333333333338</v>
      </c>
      <c r="C1052" s="9">
        <f t="shared" si="182"/>
        <v>0.8333333333334636</v>
      </c>
      <c r="D1052" s="8" t="str">
        <f t="shared" si="183"/>
        <v>W</v>
      </c>
      <c r="E1052" s="3">
        <f t="shared" si="184"/>
        <v>101</v>
      </c>
      <c r="F1052" s="3" t="str">
        <f t="shared" si="185"/>
        <v>ack</v>
      </c>
      <c r="G1052" s="3" t="str">
        <f t="shared" si="186"/>
        <v>96</v>
      </c>
      <c r="H1052" s="3" t="str">
        <f t="shared" si="187"/>
        <v/>
      </c>
      <c r="I1052" s="3">
        <f t="shared" si="188"/>
        <v>150</v>
      </c>
      <c r="J1052" s="5" t="str">
        <f>IF(E1052=0,"Broadcast",IF(H1052="",IF(I1052="","",IF(I1052&lt;128,"Connect "&amp;I1052,INDEX(KdoCodeTab,MATCH(I1052,KdoWertTab,0)))),"ReadStat "&amp;H1052))</f>
        <v>RepSpaceCmd</v>
      </c>
      <c r="K1052" t="str">
        <f t="shared" si="178"/>
        <v/>
      </c>
      <c r="L1052" t="str">
        <f t="shared" si="179"/>
        <v/>
      </c>
      <c r="M1052" t="str">
        <f t="shared" si="180"/>
        <v>RepSpaceCmd</v>
      </c>
    </row>
    <row r="1053" spans="1:13" x14ac:dyDescent="0.25">
      <c r="A1053" t="s">
        <v>627</v>
      </c>
      <c r="B1053" s="6">
        <f t="shared" si="181"/>
        <v>6.2624999999999993</v>
      </c>
      <c r="C1053" s="9">
        <f t="shared" si="182"/>
        <v>58.666666666665535</v>
      </c>
      <c r="D1053" s="8" t="str">
        <f t="shared" si="183"/>
        <v>W</v>
      </c>
      <c r="E1053" s="3">
        <f t="shared" si="184"/>
        <v>101</v>
      </c>
      <c r="F1053" s="3" t="str">
        <f t="shared" si="185"/>
        <v>ack</v>
      </c>
      <c r="G1053" s="3" t="str">
        <f t="shared" si="186"/>
        <v>9C</v>
      </c>
      <c r="H1053" s="3" t="str">
        <f t="shared" si="187"/>
        <v/>
      </c>
      <c r="I1053" s="3">
        <f t="shared" si="188"/>
        <v>156</v>
      </c>
      <c r="J1053" s="5" t="str">
        <f>IF(E1053=0,"Broadcast",IF(H1053="",IF(I1053="","",IF(I1053&lt;128,"Connect "&amp;I1053,INDEX(KdoCodeTab,MATCH(I1053,KdoWertTab,0)))),"ReadStat "&amp;H1053))</f>
        <v>MarkCmd</v>
      </c>
      <c r="K1053" t="str">
        <f t="shared" si="178"/>
        <v/>
      </c>
      <c r="L1053" t="str">
        <f t="shared" si="179"/>
        <v/>
      </c>
      <c r="M1053" t="str">
        <f t="shared" si="180"/>
        <v>MarkCmd</v>
      </c>
    </row>
    <row r="1054" spans="1:13" x14ac:dyDescent="0.25">
      <c r="A1054" t="s">
        <v>628</v>
      </c>
      <c r="B1054" s="6">
        <f t="shared" si="181"/>
        <v>6.2634999999999996</v>
      </c>
      <c r="C1054" s="9">
        <f t="shared" si="182"/>
        <v>1.000000000000334</v>
      </c>
      <c r="D1054" s="8" t="str">
        <f t="shared" si="183"/>
        <v>W</v>
      </c>
      <c r="E1054" s="3">
        <f t="shared" si="184"/>
        <v>101</v>
      </c>
      <c r="F1054" s="3" t="str">
        <f t="shared" si="185"/>
        <v>ack</v>
      </c>
      <c r="G1054" s="3" t="str">
        <f t="shared" si="186"/>
        <v>9A</v>
      </c>
      <c r="H1054" s="3" t="str">
        <f t="shared" si="187"/>
        <v/>
      </c>
      <c r="I1054" s="3">
        <f t="shared" si="188"/>
        <v>154</v>
      </c>
      <c r="J1054" s="5" t="str">
        <f>IF(E1054=0,"Broadcast",IF(H1054="",IF(I1054="","",IF(I1054&lt;128,"Connect "&amp;I1054,INDEX(KdoCodeTab,MATCH(I1054,KdoWertTab,0)))),"ReadStat "&amp;H1054))</f>
        <v>RepMarkCmd</v>
      </c>
      <c r="K1054" t="str">
        <f t="shared" si="178"/>
        <v/>
      </c>
      <c r="L1054" t="str">
        <f t="shared" si="179"/>
        <v/>
      </c>
      <c r="M1054" t="str">
        <f t="shared" si="180"/>
        <v>RepMarkCmd</v>
      </c>
    </row>
    <row r="1055" spans="1:13" x14ac:dyDescent="0.25">
      <c r="A1055" t="s">
        <v>629</v>
      </c>
      <c r="B1055" s="6">
        <f t="shared" si="181"/>
        <v>6.3866666666666667</v>
      </c>
      <c r="C1055" s="9">
        <f t="shared" si="182"/>
        <v>123.16666666666708</v>
      </c>
      <c r="D1055" s="8" t="str">
        <f t="shared" si="183"/>
        <v>W</v>
      </c>
      <c r="E1055" s="3">
        <f t="shared" si="184"/>
        <v>31</v>
      </c>
      <c r="F1055" s="3" t="str">
        <f t="shared" si="185"/>
        <v>ack</v>
      </c>
      <c r="G1055" s="3" t="str">
        <f t="shared" si="186"/>
        <v>9A</v>
      </c>
      <c r="H1055" s="3" t="str">
        <f t="shared" si="187"/>
        <v/>
      </c>
      <c r="I1055" s="3">
        <f t="shared" si="188"/>
        <v>154</v>
      </c>
      <c r="J1055" s="5" t="str">
        <f>IF(E1055=0,"Broadcast",IF(H1055="",IF(I1055="","",IF(I1055&lt;128,"Connect "&amp;I1055,INDEX(KdoCodeTab,MATCH(I1055,KdoWertTab,0)))),"ReadStat "&amp;H1055))</f>
        <v>RepMarkCmd</v>
      </c>
      <c r="K1055" t="str">
        <f t="shared" si="178"/>
        <v/>
      </c>
      <c r="L1055" t="str">
        <f t="shared" si="179"/>
        <v>RepMarkCmd</v>
      </c>
      <c r="M1055" t="str">
        <f t="shared" si="180"/>
        <v/>
      </c>
    </row>
    <row r="1056" spans="1:13" x14ac:dyDescent="0.25">
      <c r="A1056" t="s">
        <v>630</v>
      </c>
      <c r="B1056" s="6">
        <f t="shared" si="181"/>
        <v>6.5644999999999998</v>
      </c>
      <c r="C1056" s="9">
        <f t="shared" si="182"/>
        <v>177.83333333333306</v>
      </c>
      <c r="D1056" s="8" t="str">
        <f t="shared" si="183"/>
        <v>W</v>
      </c>
      <c r="E1056" s="3">
        <f t="shared" si="184"/>
        <v>101</v>
      </c>
      <c r="F1056" s="3" t="str">
        <f t="shared" si="185"/>
        <v>ack</v>
      </c>
      <c r="G1056" s="3" t="str">
        <f t="shared" si="186"/>
        <v>A9</v>
      </c>
      <c r="H1056" s="3" t="str">
        <f t="shared" si="187"/>
        <v/>
      </c>
      <c r="I1056" s="3">
        <f t="shared" si="188"/>
        <v>169</v>
      </c>
      <c r="J1056" s="5" t="str">
        <f>IF(E1056=0,"Broadcast",IF(H1056="",IF(I1056="","",IF(I1056&lt;128,"Connect "&amp;I1056,INDEX(KdoCodeTab,MATCH(I1056,KdoWertTab,0)))),"ReadStat "&amp;H1056))</f>
        <v>Heartbeat</v>
      </c>
      <c r="K1056" t="str">
        <f t="shared" si="178"/>
        <v/>
      </c>
      <c r="L1056" t="str">
        <f t="shared" si="179"/>
        <v/>
      </c>
      <c r="M1056" t="str">
        <f t="shared" si="180"/>
        <v>Heartbeat</v>
      </c>
    </row>
    <row r="1057" spans="1:13" x14ac:dyDescent="0.25">
      <c r="A1057" t="s">
        <v>631</v>
      </c>
      <c r="B1057" s="6">
        <f t="shared" si="181"/>
        <v>6.5860000000000003</v>
      </c>
      <c r="C1057" s="9">
        <f t="shared" si="182"/>
        <v>21.500000000000519</v>
      </c>
      <c r="D1057" s="8" t="str">
        <f t="shared" si="183"/>
        <v>W</v>
      </c>
      <c r="E1057" s="3">
        <f t="shared" si="184"/>
        <v>101</v>
      </c>
      <c r="F1057" s="3" t="str">
        <f t="shared" si="185"/>
        <v>ack</v>
      </c>
      <c r="G1057" s="3" t="str">
        <f t="shared" si="186"/>
        <v>93</v>
      </c>
      <c r="H1057" s="3" t="str">
        <f t="shared" si="187"/>
        <v/>
      </c>
      <c r="I1057" s="3">
        <f t="shared" si="188"/>
        <v>147</v>
      </c>
      <c r="J1057" s="5" t="str">
        <f>IF(E1057=0,"Broadcast",IF(H1057="",IF(I1057="","",IF(I1057&lt;128,"Connect "&amp;I1057,INDEX(KdoCodeTab,MATCH(I1057,KdoWertTab,0)))),"ReadStat "&amp;H1057))</f>
        <v>SpaceCmd</v>
      </c>
      <c r="K1057" t="str">
        <f t="shared" si="178"/>
        <v/>
      </c>
      <c r="L1057" t="str">
        <f t="shared" si="179"/>
        <v/>
      </c>
      <c r="M1057" t="str">
        <f t="shared" si="180"/>
        <v>SpaceCmd</v>
      </c>
    </row>
    <row r="1058" spans="1:13" x14ac:dyDescent="0.25">
      <c r="A1058" t="s">
        <v>632</v>
      </c>
      <c r="B1058" s="6">
        <f t="shared" si="181"/>
        <v>6.5868333333333338</v>
      </c>
      <c r="C1058" s="9">
        <f t="shared" si="182"/>
        <v>0.8333333333334636</v>
      </c>
      <c r="D1058" s="8" t="str">
        <f t="shared" si="183"/>
        <v>W</v>
      </c>
      <c r="E1058" s="3">
        <f t="shared" si="184"/>
        <v>101</v>
      </c>
      <c r="F1058" s="3" t="str">
        <f t="shared" si="185"/>
        <v>ack</v>
      </c>
      <c r="G1058" s="3" t="str">
        <f t="shared" si="186"/>
        <v>96</v>
      </c>
      <c r="H1058" s="3" t="str">
        <f t="shared" si="187"/>
        <v/>
      </c>
      <c r="I1058" s="3">
        <f t="shared" si="188"/>
        <v>150</v>
      </c>
      <c r="J1058" s="5" t="str">
        <f>IF(E1058=0,"Broadcast",IF(H1058="",IF(I1058="","",IF(I1058&lt;128,"Connect "&amp;I1058,INDEX(KdoCodeTab,MATCH(I1058,KdoWertTab,0)))),"ReadStat "&amp;H1058))</f>
        <v>RepSpaceCmd</v>
      </c>
      <c r="K1058" t="str">
        <f t="shared" si="178"/>
        <v/>
      </c>
      <c r="L1058" t="str">
        <f t="shared" si="179"/>
        <v/>
      </c>
      <c r="M1058" t="str">
        <f t="shared" si="180"/>
        <v>RepSpaceCmd</v>
      </c>
    </row>
    <row r="1059" spans="1:13" x14ac:dyDescent="0.25">
      <c r="A1059" t="s">
        <v>633</v>
      </c>
      <c r="B1059" s="6">
        <f t="shared" si="181"/>
        <v>6.6658333333333335</v>
      </c>
      <c r="C1059" s="9">
        <f t="shared" si="182"/>
        <v>78.999999999999744</v>
      </c>
      <c r="D1059" s="8" t="str">
        <f t="shared" si="183"/>
        <v>W</v>
      </c>
      <c r="E1059" s="3">
        <f t="shared" si="184"/>
        <v>101</v>
      </c>
      <c r="F1059" s="3" t="str">
        <f t="shared" si="185"/>
        <v>ack</v>
      </c>
      <c r="G1059" s="3" t="str">
        <f t="shared" si="186"/>
        <v>9C</v>
      </c>
      <c r="H1059" s="3" t="str">
        <f t="shared" si="187"/>
        <v/>
      </c>
      <c r="I1059" s="3">
        <f t="shared" si="188"/>
        <v>156</v>
      </c>
      <c r="J1059" s="5" t="str">
        <f>IF(E1059=0,"Broadcast",IF(H1059="",IF(I1059="","",IF(I1059&lt;128,"Connect "&amp;I1059,INDEX(KdoCodeTab,MATCH(I1059,KdoWertTab,0)))),"ReadStat "&amp;H1059))</f>
        <v>MarkCmd</v>
      </c>
      <c r="K1059" t="str">
        <f t="shared" si="178"/>
        <v/>
      </c>
      <c r="L1059" t="str">
        <f t="shared" si="179"/>
        <v/>
      </c>
      <c r="M1059" t="str">
        <f t="shared" si="180"/>
        <v>MarkCmd</v>
      </c>
    </row>
    <row r="1060" spans="1:13" x14ac:dyDescent="0.25">
      <c r="A1060" t="s">
        <v>634</v>
      </c>
      <c r="B1060" s="6">
        <f t="shared" si="181"/>
        <v>6.666666666666667</v>
      </c>
      <c r="C1060" s="9">
        <f t="shared" si="182"/>
        <v>0.8333333333334636</v>
      </c>
      <c r="D1060" s="8" t="str">
        <f t="shared" si="183"/>
        <v>W</v>
      </c>
      <c r="E1060" s="3">
        <f t="shared" si="184"/>
        <v>101</v>
      </c>
      <c r="F1060" s="3" t="str">
        <f t="shared" si="185"/>
        <v>ack</v>
      </c>
      <c r="G1060" s="3" t="str">
        <f t="shared" si="186"/>
        <v>9A</v>
      </c>
      <c r="H1060" s="3" t="str">
        <f t="shared" si="187"/>
        <v/>
      </c>
      <c r="I1060" s="3">
        <f t="shared" si="188"/>
        <v>154</v>
      </c>
      <c r="J1060" s="5" t="str">
        <f>IF(E1060=0,"Broadcast",IF(H1060="",IF(I1060="","",IF(I1060&lt;128,"Connect "&amp;I1060,INDEX(KdoCodeTab,MATCH(I1060,KdoWertTab,0)))),"ReadStat "&amp;H1060))</f>
        <v>RepMarkCmd</v>
      </c>
      <c r="K1060" t="str">
        <f t="shared" si="178"/>
        <v/>
      </c>
      <c r="L1060" t="str">
        <f t="shared" si="179"/>
        <v/>
      </c>
      <c r="M1060" t="str">
        <f t="shared" si="180"/>
        <v>RepMarkCmd</v>
      </c>
    </row>
    <row r="1061" spans="1:13" x14ac:dyDescent="0.25">
      <c r="A1061" t="s">
        <v>635</v>
      </c>
      <c r="B1061" s="6">
        <f t="shared" si="181"/>
        <v>6.6859999999999999</v>
      </c>
      <c r="C1061" s="9">
        <f t="shared" si="182"/>
        <v>19.33333333333298</v>
      </c>
      <c r="D1061" s="8" t="str">
        <f t="shared" si="183"/>
        <v>W</v>
      </c>
      <c r="E1061" s="3">
        <f t="shared" si="184"/>
        <v>101</v>
      </c>
      <c r="F1061" s="3" t="str">
        <f t="shared" si="185"/>
        <v>ack</v>
      </c>
      <c r="G1061" s="3" t="str">
        <f t="shared" si="186"/>
        <v>93</v>
      </c>
      <c r="H1061" s="3" t="str">
        <f t="shared" si="187"/>
        <v/>
      </c>
      <c r="I1061" s="3">
        <f t="shared" si="188"/>
        <v>147</v>
      </c>
      <c r="J1061" s="5" t="str">
        <f>IF(E1061=0,"Broadcast",IF(H1061="",IF(I1061="","",IF(I1061&lt;128,"Connect "&amp;I1061,INDEX(KdoCodeTab,MATCH(I1061,KdoWertTab,0)))),"ReadStat "&amp;H1061))</f>
        <v>SpaceCmd</v>
      </c>
      <c r="K1061" t="str">
        <f t="shared" si="178"/>
        <v/>
      </c>
      <c r="L1061" t="str">
        <f t="shared" si="179"/>
        <v/>
      </c>
      <c r="M1061" t="str">
        <f t="shared" si="180"/>
        <v>SpaceCmd</v>
      </c>
    </row>
    <row r="1062" spans="1:13" x14ac:dyDescent="0.25">
      <c r="A1062" t="s">
        <v>636</v>
      </c>
      <c r="B1062" s="6">
        <f t="shared" si="181"/>
        <v>6.6868333333333334</v>
      </c>
      <c r="C1062" s="9">
        <f t="shared" si="182"/>
        <v>0.8333333333334636</v>
      </c>
      <c r="D1062" s="8" t="str">
        <f t="shared" si="183"/>
        <v>W</v>
      </c>
      <c r="E1062" s="3">
        <f t="shared" si="184"/>
        <v>101</v>
      </c>
      <c r="F1062" s="3" t="str">
        <f t="shared" si="185"/>
        <v>ack</v>
      </c>
      <c r="G1062" s="3" t="str">
        <f t="shared" si="186"/>
        <v>96</v>
      </c>
      <c r="H1062" s="3" t="str">
        <f t="shared" si="187"/>
        <v/>
      </c>
      <c r="I1062" s="3">
        <f t="shared" si="188"/>
        <v>150</v>
      </c>
      <c r="J1062" s="5" t="str">
        <f>IF(E1062=0,"Broadcast",IF(H1062="",IF(I1062="","",IF(I1062&lt;128,"Connect "&amp;I1062,INDEX(KdoCodeTab,MATCH(I1062,KdoWertTab,0)))),"ReadStat "&amp;H1062))</f>
        <v>RepSpaceCmd</v>
      </c>
      <c r="K1062" t="str">
        <f t="shared" si="178"/>
        <v/>
      </c>
      <c r="L1062" t="str">
        <f t="shared" si="179"/>
        <v/>
      </c>
      <c r="M1062" t="str">
        <f t="shared" si="180"/>
        <v>RepSpaceCmd</v>
      </c>
    </row>
    <row r="1063" spans="1:13" x14ac:dyDescent="0.25">
      <c r="A1063" t="s">
        <v>637</v>
      </c>
      <c r="B1063" s="6">
        <f t="shared" si="181"/>
        <v>6.7060000000000004</v>
      </c>
      <c r="C1063" s="9">
        <f t="shared" si="182"/>
        <v>19.166666666666998</v>
      </c>
      <c r="D1063" s="8" t="str">
        <f t="shared" si="183"/>
        <v>W</v>
      </c>
      <c r="E1063" s="3">
        <f t="shared" si="184"/>
        <v>101</v>
      </c>
      <c r="F1063" s="3" t="str">
        <f t="shared" si="185"/>
        <v>ack</v>
      </c>
      <c r="G1063" s="3" t="str">
        <f t="shared" si="186"/>
        <v>9C</v>
      </c>
      <c r="H1063" s="3" t="str">
        <f t="shared" si="187"/>
        <v/>
      </c>
      <c r="I1063" s="3">
        <f t="shared" si="188"/>
        <v>156</v>
      </c>
      <c r="J1063" s="5" t="str">
        <f>IF(E1063=0,"Broadcast",IF(H1063="",IF(I1063="","",IF(I1063&lt;128,"Connect "&amp;I1063,INDEX(KdoCodeTab,MATCH(I1063,KdoWertTab,0)))),"ReadStat "&amp;H1063))</f>
        <v>MarkCmd</v>
      </c>
      <c r="K1063" t="str">
        <f t="shared" si="178"/>
        <v/>
      </c>
      <c r="L1063" t="str">
        <f t="shared" si="179"/>
        <v/>
      </c>
      <c r="M1063" t="str">
        <f t="shared" si="180"/>
        <v>MarkCmd</v>
      </c>
    </row>
    <row r="1064" spans="1:13" x14ac:dyDescent="0.25">
      <c r="A1064" t="s">
        <v>638</v>
      </c>
      <c r="B1064" s="6">
        <f t="shared" si="181"/>
        <v>6.7069999999999999</v>
      </c>
      <c r="C1064" s="9">
        <f t="shared" si="182"/>
        <v>0.99999999999944578</v>
      </c>
      <c r="D1064" s="8" t="str">
        <f t="shared" si="183"/>
        <v>W</v>
      </c>
      <c r="E1064" s="3">
        <f t="shared" si="184"/>
        <v>101</v>
      </c>
      <c r="F1064" s="3" t="str">
        <f t="shared" si="185"/>
        <v>ack</v>
      </c>
      <c r="G1064" s="3" t="str">
        <f t="shared" si="186"/>
        <v>9A</v>
      </c>
      <c r="H1064" s="3" t="str">
        <f t="shared" si="187"/>
        <v/>
      </c>
      <c r="I1064" s="3">
        <f t="shared" si="188"/>
        <v>154</v>
      </c>
      <c r="J1064" s="5" t="str">
        <f>IF(E1064=0,"Broadcast",IF(H1064="",IF(I1064="","",IF(I1064&lt;128,"Connect "&amp;I1064,INDEX(KdoCodeTab,MATCH(I1064,KdoWertTab,0)))),"ReadStat "&amp;H1064))</f>
        <v>RepMarkCmd</v>
      </c>
      <c r="K1064" t="str">
        <f t="shared" si="178"/>
        <v/>
      </c>
      <c r="L1064" t="str">
        <f t="shared" si="179"/>
        <v/>
      </c>
      <c r="M1064" t="str">
        <f t="shared" si="180"/>
        <v>RepMarkCmd</v>
      </c>
    </row>
    <row r="1065" spans="1:13" x14ac:dyDescent="0.25">
      <c r="A1065" t="s">
        <v>639</v>
      </c>
      <c r="B1065" s="6">
        <f t="shared" si="181"/>
        <v>6.828333333333334</v>
      </c>
      <c r="C1065" s="9">
        <f t="shared" si="182"/>
        <v>121.33333333333418</v>
      </c>
      <c r="D1065" s="8" t="str">
        <f t="shared" si="183"/>
        <v>W</v>
      </c>
      <c r="E1065" s="3">
        <f t="shared" si="184"/>
        <v>101</v>
      </c>
      <c r="F1065" s="3" t="str">
        <f t="shared" si="185"/>
        <v>ack</v>
      </c>
      <c r="G1065" s="3" t="str">
        <f t="shared" si="186"/>
        <v>93</v>
      </c>
      <c r="H1065" s="3" t="str">
        <f t="shared" si="187"/>
        <v/>
      </c>
      <c r="I1065" s="3">
        <f t="shared" si="188"/>
        <v>147</v>
      </c>
      <c r="J1065" s="5" t="str">
        <f>IF(E1065=0,"Broadcast",IF(H1065="",IF(I1065="","",IF(I1065&lt;128,"Connect "&amp;I1065,INDEX(KdoCodeTab,MATCH(I1065,KdoWertTab,0)))),"ReadStat "&amp;H1065))</f>
        <v>SpaceCmd</v>
      </c>
      <c r="K1065" t="str">
        <f t="shared" si="178"/>
        <v/>
      </c>
      <c r="L1065" t="str">
        <f t="shared" si="179"/>
        <v/>
      </c>
      <c r="M1065" t="str">
        <f t="shared" si="180"/>
        <v>SpaceCmd</v>
      </c>
    </row>
    <row r="1066" spans="1:13" x14ac:dyDescent="0.25">
      <c r="A1066" t="s">
        <v>640</v>
      </c>
      <c r="B1066" s="6">
        <f t="shared" si="181"/>
        <v>6.8293333333333335</v>
      </c>
      <c r="C1066" s="9">
        <f t="shared" si="182"/>
        <v>0.99999999999944578</v>
      </c>
      <c r="D1066" s="8" t="str">
        <f t="shared" si="183"/>
        <v>W</v>
      </c>
      <c r="E1066" s="3">
        <f t="shared" si="184"/>
        <v>101</v>
      </c>
      <c r="F1066" s="3" t="str">
        <f t="shared" si="185"/>
        <v>ack</v>
      </c>
      <c r="G1066" s="3" t="str">
        <f t="shared" si="186"/>
        <v>96</v>
      </c>
      <c r="H1066" s="3" t="str">
        <f t="shared" si="187"/>
        <v/>
      </c>
      <c r="I1066" s="3">
        <f t="shared" si="188"/>
        <v>150</v>
      </c>
      <c r="J1066" s="5" t="str">
        <f>IF(E1066=0,"Broadcast",IF(H1066="",IF(I1066="","",IF(I1066&lt;128,"Connect "&amp;I1066,INDEX(KdoCodeTab,MATCH(I1066,KdoWertTab,0)))),"ReadStat "&amp;H1066))</f>
        <v>RepSpaceCmd</v>
      </c>
      <c r="K1066" t="str">
        <f t="shared" si="178"/>
        <v/>
      </c>
      <c r="L1066" t="str">
        <f t="shared" si="179"/>
        <v/>
      </c>
      <c r="M1066" t="str">
        <f t="shared" si="180"/>
        <v>RepSpaceCmd</v>
      </c>
    </row>
    <row r="1067" spans="1:13" x14ac:dyDescent="0.25">
      <c r="A1067" t="s">
        <v>641</v>
      </c>
      <c r="B1067" s="6">
        <f t="shared" si="181"/>
        <v>6.8686666666666669</v>
      </c>
      <c r="C1067" s="9">
        <f t="shared" si="182"/>
        <v>39.333333333333442</v>
      </c>
      <c r="D1067" s="8" t="str">
        <f t="shared" si="183"/>
        <v>W</v>
      </c>
      <c r="E1067" s="3">
        <f t="shared" si="184"/>
        <v>101</v>
      </c>
      <c r="F1067" s="3" t="str">
        <f t="shared" si="185"/>
        <v>ack</v>
      </c>
      <c r="G1067" s="3" t="str">
        <f t="shared" si="186"/>
        <v>9C</v>
      </c>
      <c r="H1067" s="3" t="str">
        <f t="shared" si="187"/>
        <v/>
      </c>
      <c r="I1067" s="3">
        <f t="shared" si="188"/>
        <v>156</v>
      </c>
      <c r="J1067" s="5" t="str">
        <f>IF(E1067=0,"Broadcast",IF(H1067="",IF(I1067="","",IF(I1067&lt;128,"Connect "&amp;I1067,INDEX(KdoCodeTab,MATCH(I1067,KdoWertTab,0)))),"ReadStat "&amp;H1067))</f>
        <v>MarkCmd</v>
      </c>
      <c r="K1067" t="str">
        <f t="shared" si="178"/>
        <v/>
      </c>
      <c r="L1067" t="str">
        <f t="shared" si="179"/>
        <v/>
      </c>
      <c r="M1067" t="str">
        <f t="shared" si="180"/>
        <v>MarkCmd</v>
      </c>
    </row>
    <row r="1068" spans="1:13" x14ac:dyDescent="0.25">
      <c r="A1068" t="s">
        <v>642</v>
      </c>
      <c r="B1068" s="6">
        <f t="shared" si="181"/>
        <v>6.8696666666666664</v>
      </c>
      <c r="C1068" s="9">
        <f t="shared" si="182"/>
        <v>0.99999999999944578</v>
      </c>
      <c r="D1068" s="8" t="str">
        <f t="shared" si="183"/>
        <v>W</v>
      </c>
      <c r="E1068" s="3">
        <f t="shared" si="184"/>
        <v>101</v>
      </c>
      <c r="F1068" s="3" t="str">
        <f t="shared" si="185"/>
        <v>ack</v>
      </c>
      <c r="G1068" s="3" t="str">
        <f t="shared" si="186"/>
        <v>9A</v>
      </c>
      <c r="H1068" s="3" t="str">
        <f t="shared" si="187"/>
        <v/>
      </c>
      <c r="I1068" s="3">
        <f t="shared" si="188"/>
        <v>154</v>
      </c>
      <c r="J1068" s="5" t="str">
        <f>IF(E1068=0,"Broadcast",IF(H1068="",IF(I1068="","",IF(I1068&lt;128,"Connect "&amp;I1068,INDEX(KdoCodeTab,MATCH(I1068,KdoWertTab,0)))),"ReadStat "&amp;H1068))</f>
        <v>RepMarkCmd</v>
      </c>
      <c r="K1068" t="str">
        <f t="shared" si="178"/>
        <v/>
      </c>
      <c r="L1068" t="str">
        <f t="shared" si="179"/>
        <v/>
      </c>
      <c r="M1068" t="str">
        <f t="shared" si="180"/>
        <v>RepMarkCmd</v>
      </c>
    </row>
    <row r="1069" spans="1:13" x14ac:dyDescent="0.25">
      <c r="A1069" t="s">
        <v>643</v>
      </c>
      <c r="B1069" s="6">
        <f t="shared" si="181"/>
        <v>6.8890000000000002</v>
      </c>
      <c r="C1069" s="9">
        <f t="shared" si="182"/>
        <v>19.333333333333869</v>
      </c>
      <c r="D1069" s="8" t="str">
        <f t="shared" si="183"/>
        <v>W</v>
      </c>
      <c r="E1069" s="3">
        <f t="shared" si="184"/>
        <v>101</v>
      </c>
      <c r="F1069" s="3" t="str">
        <f t="shared" si="185"/>
        <v>ack</v>
      </c>
      <c r="G1069" s="3" t="str">
        <f t="shared" si="186"/>
        <v>93</v>
      </c>
      <c r="H1069" s="3" t="str">
        <f t="shared" si="187"/>
        <v/>
      </c>
      <c r="I1069" s="3">
        <f t="shared" si="188"/>
        <v>147</v>
      </c>
      <c r="J1069" s="5" t="str">
        <f>IF(E1069=0,"Broadcast",IF(H1069="",IF(I1069="","",IF(I1069&lt;128,"Connect "&amp;I1069,INDEX(KdoCodeTab,MATCH(I1069,KdoWertTab,0)))),"ReadStat "&amp;H1069))</f>
        <v>SpaceCmd</v>
      </c>
      <c r="K1069" t="str">
        <f t="shared" si="178"/>
        <v/>
      </c>
      <c r="L1069" t="str">
        <f t="shared" si="179"/>
        <v/>
      </c>
      <c r="M1069" t="str">
        <f t="shared" si="180"/>
        <v>SpaceCmd</v>
      </c>
    </row>
    <row r="1070" spans="1:13" x14ac:dyDescent="0.25">
      <c r="A1070" t="s">
        <v>644</v>
      </c>
      <c r="B1070" s="6">
        <f t="shared" si="181"/>
        <v>6.89</v>
      </c>
      <c r="C1070" s="9">
        <f t="shared" si="182"/>
        <v>0.99999999999944578</v>
      </c>
      <c r="D1070" s="8" t="str">
        <f t="shared" si="183"/>
        <v>W</v>
      </c>
      <c r="E1070" s="3">
        <f t="shared" si="184"/>
        <v>101</v>
      </c>
      <c r="F1070" s="3" t="str">
        <f t="shared" si="185"/>
        <v>ack</v>
      </c>
      <c r="G1070" s="3" t="str">
        <f t="shared" si="186"/>
        <v>96</v>
      </c>
      <c r="H1070" s="3" t="str">
        <f t="shared" si="187"/>
        <v/>
      </c>
      <c r="I1070" s="3">
        <f t="shared" si="188"/>
        <v>150</v>
      </c>
      <c r="J1070" s="5" t="str">
        <f>IF(E1070=0,"Broadcast",IF(H1070="",IF(I1070="","",IF(I1070&lt;128,"Connect "&amp;I1070,INDEX(KdoCodeTab,MATCH(I1070,KdoWertTab,0)))),"ReadStat "&amp;H1070))</f>
        <v>RepSpaceCmd</v>
      </c>
      <c r="K1070" t="str">
        <f t="shared" si="178"/>
        <v/>
      </c>
      <c r="L1070" t="str">
        <f t="shared" si="179"/>
        <v/>
      </c>
      <c r="M1070" t="str">
        <f t="shared" si="180"/>
        <v>RepSpaceCmd</v>
      </c>
    </row>
    <row r="1071" spans="1:13" x14ac:dyDescent="0.25">
      <c r="A1071" t="s">
        <v>645</v>
      </c>
      <c r="B1071" s="6">
        <f t="shared" si="181"/>
        <v>6.8928333333333338</v>
      </c>
      <c r="C1071" s="9">
        <f t="shared" si="182"/>
        <v>2.8333333333341315</v>
      </c>
      <c r="D1071" s="8" t="str">
        <f t="shared" si="183"/>
        <v>W</v>
      </c>
      <c r="E1071" s="3">
        <f t="shared" si="184"/>
        <v>31</v>
      </c>
      <c r="F1071" s="3" t="str">
        <f t="shared" si="185"/>
        <v>ack</v>
      </c>
      <c r="G1071" s="3" t="str">
        <f t="shared" si="186"/>
        <v>9A</v>
      </c>
      <c r="H1071" s="3" t="str">
        <f t="shared" si="187"/>
        <v/>
      </c>
      <c r="I1071" s="3">
        <f t="shared" si="188"/>
        <v>154</v>
      </c>
      <c r="J1071" s="5" t="str">
        <f>IF(E1071=0,"Broadcast",IF(H1071="",IF(I1071="","",IF(I1071&lt;128,"Connect "&amp;I1071,INDEX(KdoCodeTab,MATCH(I1071,KdoWertTab,0)))),"ReadStat "&amp;H1071))</f>
        <v>RepMarkCmd</v>
      </c>
      <c r="K1071" t="str">
        <f t="shared" si="178"/>
        <v/>
      </c>
      <c r="L1071" t="str">
        <f t="shared" si="179"/>
        <v>RepMarkCmd</v>
      </c>
      <c r="M1071" t="str">
        <f t="shared" si="180"/>
        <v/>
      </c>
    </row>
    <row r="1072" spans="1:13" x14ac:dyDescent="0.25">
      <c r="A1072" t="s">
        <v>646</v>
      </c>
      <c r="B1072" s="6">
        <f t="shared" si="181"/>
        <v>6.9494999999999996</v>
      </c>
      <c r="C1072" s="9">
        <f t="shared" si="182"/>
        <v>56.666666666665755</v>
      </c>
      <c r="D1072" s="8" t="str">
        <f t="shared" si="183"/>
        <v>W</v>
      </c>
      <c r="E1072" s="3">
        <f t="shared" si="184"/>
        <v>101</v>
      </c>
      <c r="F1072" s="3" t="str">
        <f t="shared" si="185"/>
        <v>ack</v>
      </c>
      <c r="G1072" s="3" t="str">
        <f t="shared" si="186"/>
        <v>9C</v>
      </c>
      <c r="H1072" s="3" t="str">
        <f t="shared" si="187"/>
        <v/>
      </c>
      <c r="I1072" s="3">
        <f t="shared" si="188"/>
        <v>156</v>
      </c>
      <c r="J1072" s="5" t="str">
        <f>IF(E1072=0,"Broadcast",IF(H1072="",IF(I1072="","",IF(I1072&lt;128,"Connect "&amp;I1072,INDEX(KdoCodeTab,MATCH(I1072,KdoWertTab,0)))),"ReadStat "&amp;H1072))</f>
        <v>MarkCmd</v>
      </c>
      <c r="K1072" t="str">
        <f t="shared" si="178"/>
        <v/>
      </c>
      <c r="L1072" t="str">
        <f t="shared" si="179"/>
        <v/>
      </c>
      <c r="M1072" t="str">
        <f t="shared" si="180"/>
        <v>MarkCmd</v>
      </c>
    </row>
    <row r="1073" spans="1:13" x14ac:dyDescent="0.25">
      <c r="A1073" t="s">
        <v>647</v>
      </c>
      <c r="B1073" s="6">
        <f t="shared" si="181"/>
        <v>6.9504999999999999</v>
      </c>
      <c r="C1073" s="9">
        <f t="shared" si="182"/>
        <v>1.000000000000334</v>
      </c>
      <c r="D1073" s="8" t="str">
        <f t="shared" si="183"/>
        <v>W</v>
      </c>
      <c r="E1073" s="3">
        <f t="shared" si="184"/>
        <v>101</v>
      </c>
      <c r="F1073" s="3" t="str">
        <f t="shared" si="185"/>
        <v>ack</v>
      </c>
      <c r="G1073" s="3" t="str">
        <f t="shared" si="186"/>
        <v>9A</v>
      </c>
      <c r="H1073" s="3" t="str">
        <f t="shared" si="187"/>
        <v/>
      </c>
      <c r="I1073" s="3">
        <f t="shared" si="188"/>
        <v>154</v>
      </c>
      <c r="J1073" s="5" t="str">
        <f>IF(E1073=0,"Broadcast",IF(H1073="",IF(I1073="","",IF(I1073&lt;128,"Connect "&amp;I1073,INDEX(KdoCodeTab,MATCH(I1073,KdoWertTab,0)))),"ReadStat "&amp;H1073))</f>
        <v>RepMarkCmd</v>
      </c>
      <c r="K1073" t="str">
        <f t="shared" si="178"/>
        <v/>
      </c>
      <c r="L1073" t="str">
        <f t="shared" si="179"/>
        <v/>
      </c>
      <c r="M1073" t="str">
        <f t="shared" si="180"/>
        <v>RepMarkCmd</v>
      </c>
    </row>
    <row r="1074" spans="1:13" x14ac:dyDescent="0.25">
      <c r="A1074" t="s">
        <v>648</v>
      </c>
      <c r="B1074" s="6">
        <f t="shared" si="181"/>
        <v>7.2465000000000002</v>
      </c>
      <c r="C1074" s="9">
        <f t="shared" si="182"/>
        <v>296.00000000000028</v>
      </c>
      <c r="D1074" s="8" t="str">
        <f t="shared" si="183"/>
        <v>W</v>
      </c>
      <c r="E1074" s="3">
        <f t="shared" si="184"/>
        <v>101</v>
      </c>
      <c r="F1074" s="3" t="str">
        <f t="shared" si="185"/>
        <v>ack</v>
      </c>
      <c r="G1074" s="3" t="str">
        <f t="shared" si="186"/>
        <v>A9</v>
      </c>
      <c r="H1074" s="3" t="str">
        <f t="shared" si="187"/>
        <v/>
      </c>
      <c r="I1074" s="3">
        <f t="shared" si="188"/>
        <v>169</v>
      </c>
      <c r="J1074" s="5" t="str">
        <f>IF(E1074=0,"Broadcast",IF(H1074="",IF(I1074="","",IF(I1074&lt;128,"Connect "&amp;I1074,INDEX(KdoCodeTab,MATCH(I1074,KdoWertTab,0)))),"ReadStat "&amp;H1074))</f>
        <v>Heartbeat</v>
      </c>
      <c r="K1074" t="str">
        <f t="shared" si="178"/>
        <v/>
      </c>
      <c r="L1074" t="str">
        <f t="shared" si="179"/>
        <v/>
      </c>
      <c r="M1074" t="str">
        <f t="shared" si="180"/>
        <v>Heartbeat</v>
      </c>
    </row>
    <row r="1075" spans="1:13" x14ac:dyDescent="0.25">
      <c r="A1075" t="s">
        <v>649</v>
      </c>
      <c r="B1075" s="6">
        <f t="shared" si="181"/>
        <v>7.3988333333333332</v>
      </c>
      <c r="C1075" s="9">
        <f t="shared" si="182"/>
        <v>152.33333333333297</v>
      </c>
      <c r="D1075" s="8" t="str">
        <f t="shared" si="183"/>
        <v>W</v>
      </c>
      <c r="E1075" s="3">
        <f t="shared" si="184"/>
        <v>31</v>
      </c>
      <c r="F1075" s="3" t="str">
        <f t="shared" si="185"/>
        <v>ack</v>
      </c>
      <c r="G1075" s="3" t="str">
        <f t="shared" si="186"/>
        <v>9A</v>
      </c>
      <c r="H1075" s="3" t="str">
        <f t="shared" si="187"/>
        <v/>
      </c>
      <c r="I1075" s="3">
        <f t="shared" si="188"/>
        <v>154</v>
      </c>
      <c r="J1075" s="5" t="str">
        <f>IF(E1075=0,"Broadcast",IF(H1075="",IF(I1075="","",IF(I1075&lt;128,"Connect "&amp;I1075,INDEX(KdoCodeTab,MATCH(I1075,KdoWertTab,0)))),"ReadStat "&amp;H1075))</f>
        <v>RepMarkCmd</v>
      </c>
      <c r="K1075" t="str">
        <f t="shared" si="178"/>
        <v/>
      </c>
      <c r="L1075" t="str">
        <f t="shared" si="179"/>
        <v>RepMarkCmd</v>
      </c>
      <c r="M1075" t="str">
        <f t="shared" si="180"/>
        <v/>
      </c>
    </row>
    <row r="1076" spans="1:13" x14ac:dyDescent="0.25">
      <c r="A1076" t="s">
        <v>650</v>
      </c>
      <c r="B1076" s="6">
        <f t="shared" si="181"/>
        <v>7.9048333333333334</v>
      </c>
      <c r="C1076" s="9">
        <f t="shared" si="182"/>
        <v>506.00000000000023</v>
      </c>
      <c r="D1076" s="8" t="str">
        <f t="shared" si="183"/>
        <v>W</v>
      </c>
      <c r="E1076" s="3">
        <f t="shared" si="184"/>
        <v>31</v>
      </c>
      <c r="F1076" s="3" t="str">
        <f t="shared" si="185"/>
        <v>ack</v>
      </c>
      <c r="G1076" s="3" t="str">
        <f t="shared" si="186"/>
        <v>9A</v>
      </c>
      <c r="H1076" s="3" t="str">
        <f t="shared" si="187"/>
        <v/>
      </c>
      <c r="I1076" s="3">
        <f t="shared" si="188"/>
        <v>154</v>
      </c>
      <c r="J1076" s="5" t="str">
        <f>IF(E1076=0,"Broadcast",IF(H1076="",IF(I1076="","",IF(I1076&lt;128,"Connect "&amp;I1076,INDEX(KdoCodeTab,MATCH(I1076,KdoWertTab,0)))),"ReadStat "&amp;H1076))</f>
        <v>RepMarkCmd</v>
      </c>
      <c r="K1076" t="str">
        <f t="shared" si="178"/>
        <v/>
      </c>
      <c r="L1076" t="str">
        <f t="shared" si="179"/>
        <v>RepMarkCmd</v>
      </c>
      <c r="M1076" t="str">
        <f t="shared" si="180"/>
        <v/>
      </c>
    </row>
    <row r="1077" spans="1:13" x14ac:dyDescent="0.25">
      <c r="A1077" t="s">
        <v>651</v>
      </c>
      <c r="B1077" s="6">
        <f t="shared" si="181"/>
        <v>7.9284999999999997</v>
      </c>
      <c r="C1077" s="9">
        <f t="shared" si="182"/>
        <v>23.666666666666281</v>
      </c>
      <c r="D1077" s="8" t="str">
        <f t="shared" si="183"/>
        <v>W</v>
      </c>
      <c r="E1077" s="3">
        <f t="shared" si="184"/>
        <v>101</v>
      </c>
      <c r="F1077" s="3" t="str">
        <f t="shared" si="185"/>
        <v>ack</v>
      </c>
      <c r="G1077" s="3" t="str">
        <f t="shared" si="186"/>
        <v>A9</v>
      </c>
      <c r="H1077" s="3" t="str">
        <f t="shared" si="187"/>
        <v/>
      </c>
      <c r="I1077" s="3">
        <f t="shared" si="188"/>
        <v>169</v>
      </c>
      <c r="J1077" s="5" t="str">
        <f>IF(E1077=0,"Broadcast",IF(H1077="",IF(I1077="","",IF(I1077&lt;128,"Connect "&amp;I1077,INDEX(KdoCodeTab,MATCH(I1077,KdoWertTab,0)))),"ReadStat "&amp;H1077))</f>
        <v>Heartbeat</v>
      </c>
      <c r="K1077" t="str">
        <f t="shared" si="178"/>
        <v/>
      </c>
      <c r="L1077" t="str">
        <f t="shared" si="179"/>
        <v/>
      </c>
      <c r="M1077" t="str">
        <f t="shared" si="180"/>
        <v>Heartbeat</v>
      </c>
    </row>
    <row r="1078" spans="1:13" x14ac:dyDescent="0.25">
      <c r="A1078" t="s">
        <v>652</v>
      </c>
      <c r="B1078" s="6">
        <f t="shared" si="181"/>
        <v>8.0276666666666667</v>
      </c>
      <c r="C1078" s="9">
        <f t="shared" si="182"/>
        <v>99.166666666667069</v>
      </c>
      <c r="D1078" s="8" t="str">
        <f t="shared" si="183"/>
        <v>W</v>
      </c>
      <c r="E1078" s="3">
        <f t="shared" si="184"/>
        <v>101</v>
      </c>
      <c r="F1078" s="3" t="str">
        <f t="shared" si="185"/>
        <v>ack</v>
      </c>
      <c r="G1078" s="3" t="str">
        <f t="shared" si="186"/>
        <v>93</v>
      </c>
      <c r="H1078" s="3" t="str">
        <f t="shared" si="187"/>
        <v/>
      </c>
      <c r="I1078" s="3">
        <f t="shared" si="188"/>
        <v>147</v>
      </c>
      <c r="J1078" s="5" t="str">
        <f>IF(E1078=0,"Broadcast",IF(H1078="",IF(I1078="","",IF(I1078&lt;128,"Connect "&amp;I1078,INDEX(KdoCodeTab,MATCH(I1078,KdoWertTab,0)))),"ReadStat "&amp;H1078))</f>
        <v>SpaceCmd</v>
      </c>
      <c r="K1078" t="str">
        <f t="shared" si="178"/>
        <v/>
      </c>
      <c r="L1078" t="str">
        <f t="shared" si="179"/>
        <v/>
      </c>
      <c r="M1078" t="str">
        <f t="shared" si="180"/>
        <v>SpaceCmd</v>
      </c>
    </row>
    <row r="1079" spans="1:13" x14ac:dyDescent="0.25">
      <c r="A1079" t="s">
        <v>653</v>
      </c>
      <c r="B1079" s="6">
        <f t="shared" si="181"/>
        <v>8.0285000000000011</v>
      </c>
      <c r="C1079" s="9">
        <f t="shared" si="182"/>
        <v>0.83333333333435178</v>
      </c>
      <c r="D1079" s="8" t="str">
        <f t="shared" si="183"/>
        <v>W</v>
      </c>
      <c r="E1079" s="3">
        <f t="shared" si="184"/>
        <v>101</v>
      </c>
      <c r="F1079" s="3" t="str">
        <f t="shared" si="185"/>
        <v>ack</v>
      </c>
      <c r="G1079" s="3" t="str">
        <f t="shared" si="186"/>
        <v>96</v>
      </c>
      <c r="H1079" s="3" t="str">
        <f t="shared" si="187"/>
        <v/>
      </c>
      <c r="I1079" s="3">
        <f t="shared" si="188"/>
        <v>150</v>
      </c>
      <c r="J1079" s="5" t="str">
        <f>IF(E1079=0,"Broadcast",IF(H1079="",IF(I1079="","",IF(I1079&lt;128,"Connect "&amp;I1079,INDEX(KdoCodeTab,MATCH(I1079,KdoWertTab,0)))),"ReadStat "&amp;H1079))</f>
        <v>RepSpaceCmd</v>
      </c>
      <c r="K1079" t="str">
        <f t="shared" si="178"/>
        <v/>
      </c>
      <c r="L1079" t="str">
        <f t="shared" si="179"/>
        <v/>
      </c>
      <c r="M1079" t="str">
        <f t="shared" si="180"/>
        <v>RepSpaceCmd</v>
      </c>
    </row>
    <row r="1080" spans="1:13" x14ac:dyDescent="0.25">
      <c r="A1080" t="s">
        <v>654</v>
      </c>
      <c r="B1080" s="6">
        <f t="shared" si="181"/>
        <v>8.0478333333333332</v>
      </c>
      <c r="C1080" s="9">
        <f t="shared" si="182"/>
        <v>19.333333333332092</v>
      </c>
      <c r="D1080" s="8" t="str">
        <f t="shared" si="183"/>
        <v>W</v>
      </c>
      <c r="E1080" s="3">
        <f t="shared" si="184"/>
        <v>101</v>
      </c>
      <c r="F1080" s="3" t="str">
        <f t="shared" si="185"/>
        <v>ack</v>
      </c>
      <c r="G1080" s="3" t="str">
        <f t="shared" si="186"/>
        <v>9C</v>
      </c>
      <c r="H1080" s="3" t="str">
        <f t="shared" si="187"/>
        <v/>
      </c>
      <c r="I1080" s="3">
        <f t="shared" si="188"/>
        <v>156</v>
      </c>
      <c r="J1080" s="5" t="str">
        <f>IF(E1080=0,"Broadcast",IF(H1080="",IF(I1080="","",IF(I1080&lt;128,"Connect "&amp;I1080,INDEX(KdoCodeTab,MATCH(I1080,KdoWertTab,0)))),"ReadStat "&amp;H1080))</f>
        <v>MarkCmd</v>
      </c>
      <c r="K1080" t="str">
        <f t="shared" si="178"/>
        <v/>
      </c>
      <c r="L1080" t="str">
        <f t="shared" si="179"/>
        <v/>
      </c>
      <c r="M1080" t="str">
        <f t="shared" si="180"/>
        <v>MarkCmd</v>
      </c>
    </row>
    <row r="1081" spans="1:13" x14ac:dyDescent="0.25">
      <c r="A1081" t="s">
        <v>655</v>
      </c>
      <c r="B1081" s="6">
        <f t="shared" si="181"/>
        <v>8.0486666666666675</v>
      </c>
      <c r="C1081" s="9">
        <f t="shared" si="182"/>
        <v>0.83333333333435178</v>
      </c>
      <c r="D1081" s="8" t="str">
        <f t="shared" si="183"/>
        <v>W</v>
      </c>
      <c r="E1081" s="3">
        <f t="shared" si="184"/>
        <v>101</v>
      </c>
      <c r="F1081" s="3" t="str">
        <f t="shared" si="185"/>
        <v>ack</v>
      </c>
      <c r="G1081" s="3" t="str">
        <f t="shared" si="186"/>
        <v>9A</v>
      </c>
      <c r="H1081" s="3" t="str">
        <f t="shared" si="187"/>
        <v/>
      </c>
      <c r="I1081" s="3">
        <f t="shared" si="188"/>
        <v>154</v>
      </c>
      <c r="J1081" s="5" t="str">
        <f>IF(E1081=0,"Broadcast",IF(H1081="",IF(I1081="","",IF(I1081&lt;128,"Connect "&amp;I1081,INDEX(KdoCodeTab,MATCH(I1081,KdoWertTab,0)))),"ReadStat "&amp;H1081))</f>
        <v>RepMarkCmd</v>
      </c>
      <c r="K1081" t="str">
        <f t="shared" si="178"/>
        <v/>
      </c>
      <c r="L1081" t="str">
        <f t="shared" si="179"/>
        <v/>
      </c>
      <c r="M1081" t="str">
        <f t="shared" si="180"/>
        <v>RepMarkCmd</v>
      </c>
    </row>
    <row r="1082" spans="1:13" x14ac:dyDescent="0.25">
      <c r="A1082" t="s">
        <v>656</v>
      </c>
      <c r="B1082" s="6">
        <f t="shared" si="181"/>
        <v>8.0670000000000002</v>
      </c>
      <c r="C1082" s="9">
        <f t="shared" si="182"/>
        <v>18.333333333332646</v>
      </c>
      <c r="D1082" s="8" t="str">
        <f t="shared" si="183"/>
        <v>W</v>
      </c>
      <c r="E1082" s="3">
        <f t="shared" si="184"/>
        <v>101</v>
      </c>
      <c r="F1082" s="3" t="str">
        <f t="shared" si="185"/>
        <v>ack</v>
      </c>
      <c r="G1082" s="3" t="str">
        <f t="shared" si="186"/>
        <v>93</v>
      </c>
      <c r="H1082" s="3" t="str">
        <f t="shared" si="187"/>
        <v/>
      </c>
      <c r="I1082" s="3">
        <f t="shared" si="188"/>
        <v>147</v>
      </c>
      <c r="J1082" s="5" t="str">
        <f>IF(E1082=0,"Broadcast",IF(H1082="",IF(I1082="","",IF(I1082&lt;128,"Connect "&amp;I1082,INDEX(KdoCodeTab,MATCH(I1082,KdoWertTab,0)))),"ReadStat "&amp;H1082))</f>
        <v>SpaceCmd</v>
      </c>
      <c r="K1082" t="str">
        <f t="shared" si="178"/>
        <v/>
      </c>
      <c r="L1082" t="str">
        <f t="shared" si="179"/>
        <v/>
      </c>
      <c r="M1082" t="str">
        <f t="shared" si="180"/>
        <v>SpaceCmd</v>
      </c>
    </row>
    <row r="1083" spans="1:13" x14ac:dyDescent="0.25">
      <c r="A1083" t="s">
        <v>657</v>
      </c>
      <c r="B1083" s="6">
        <f t="shared" si="181"/>
        <v>8.0679999999999996</v>
      </c>
      <c r="C1083" s="9">
        <f t="shared" si="182"/>
        <v>0.99999999999944578</v>
      </c>
      <c r="D1083" s="8" t="str">
        <f t="shared" si="183"/>
        <v>W</v>
      </c>
      <c r="E1083" s="3">
        <f t="shared" si="184"/>
        <v>101</v>
      </c>
      <c r="F1083" s="3" t="str">
        <f t="shared" si="185"/>
        <v>ack</v>
      </c>
      <c r="G1083" s="3" t="str">
        <f t="shared" si="186"/>
        <v>96</v>
      </c>
      <c r="H1083" s="3" t="str">
        <f t="shared" si="187"/>
        <v/>
      </c>
      <c r="I1083" s="3">
        <f t="shared" si="188"/>
        <v>150</v>
      </c>
      <c r="J1083" s="5" t="str">
        <f>IF(E1083=0,"Broadcast",IF(H1083="",IF(I1083="","",IF(I1083&lt;128,"Connect "&amp;I1083,INDEX(KdoCodeTab,MATCH(I1083,KdoWertTab,0)))),"ReadStat "&amp;H1083))</f>
        <v>RepSpaceCmd</v>
      </c>
      <c r="K1083" t="str">
        <f t="shared" ref="K1083:K1146" si="189">IF(E1083=$K$2,J1083,"")</f>
        <v/>
      </c>
      <c r="L1083" t="str">
        <f t="shared" ref="L1083:L1146" si="190">IF(E1083=$L$2,J1083,"")</f>
        <v/>
      </c>
      <c r="M1083" t="str">
        <f t="shared" ref="M1083:M1146" si="191">IF(K1083&amp;L1083="",J1083,"")</f>
        <v>RepSpaceCmd</v>
      </c>
    </row>
    <row r="1084" spans="1:13" x14ac:dyDescent="0.25">
      <c r="A1084" t="s">
        <v>658</v>
      </c>
      <c r="B1084" s="6">
        <f t="shared" si="181"/>
        <v>8.1275000000000013</v>
      </c>
      <c r="C1084" s="9">
        <f t="shared" si="182"/>
        <v>59.500000000001663</v>
      </c>
      <c r="D1084" s="8" t="str">
        <f t="shared" si="183"/>
        <v>W</v>
      </c>
      <c r="E1084" s="3">
        <f t="shared" si="184"/>
        <v>101</v>
      </c>
      <c r="F1084" s="3" t="str">
        <f t="shared" si="185"/>
        <v>ack</v>
      </c>
      <c r="G1084" s="3" t="str">
        <f t="shared" si="186"/>
        <v>9C</v>
      </c>
      <c r="H1084" s="3" t="str">
        <f t="shared" si="187"/>
        <v/>
      </c>
      <c r="I1084" s="3">
        <f t="shared" si="188"/>
        <v>156</v>
      </c>
      <c r="J1084" s="5" t="str">
        <f>IF(E1084=0,"Broadcast",IF(H1084="",IF(I1084="","",IF(I1084&lt;128,"Connect "&amp;I1084,INDEX(KdoCodeTab,MATCH(I1084,KdoWertTab,0)))),"ReadStat "&amp;H1084))</f>
        <v>MarkCmd</v>
      </c>
      <c r="K1084" t="str">
        <f t="shared" si="189"/>
        <v/>
      </c>
      <c r="L1084" t="str">
        <f t="shared" si="190"/>
        <v/>
      </c>
      <c r="M1084" t="str">
        <f t="shared" si="191"/>
        <v>MarkCmd</v>
      </c>
    </row>
    <row r="1085" spans="1:13" x14ac:dyDescent="0.25">
      <c r="A1085" t="s">
        <v>659</v>
      </c>
      <c r="B1085" s="6">
        <f t="shared" si="181"/>
        <v>8.1285000000000007</v>
      </c>
      <c r="C1085" s="9">
        <f t="shared" si="182"/>
        <v>0.99999999999944578</v>
      </c>
      <c r="D1085" s="8" t="str">
        <f t="shared" si="183"/>
        <v>W</v>
      </c>
      <c r="E1085" s="3">
        <f t="shared" si="184"/>
        <v>101</v>
      </c>
      <c r="F1085" s="3" t="str">
        <f t="shared" si="185"/>
        <v>ack</v>
      </c>
      <c r="G1085" s="3" t="str">
        <f t="shared" si="186"/>
        <v>9A</v>
      </c>
      <c r="H1085" s="3" t="str">
        <f t="shared" si="187"/>
        <v/>
      </c>
      <c r="I1085" s="3">
        <f t="shared" si="188"/>
        <v>154</v>
      </c>
      <c r="J1085" s="5" t="str">
        <f>IF(E1085=0,"Broadcast",IF(H1085="",IF(I1085="","",IF(I1085&lt;128,"Connect "&amp;I1085,INDEX(KdoCodeTab,MATCH(I1085,KdoWertTab,0)))),"ReadStat "&amp;H1085))</f>
        <v>RepMarkCmd</v>
      </c>
      <c r="K1085" t="str">
        <f t="shared" si="189"/>
        <v/>
      </c>
      <c r="L1085" t="str">
        <f t="shared" si="190"/>
        <v/>
      </c>
      <c r="M1085" t="str">
        <f t="shared" si="191"/>
        <v>RepMarkCmd</v>
      </c>
    </row>
    <row r="1086" spans="1:13" x14ac:dyDescent="0.25">
      <c r="A1086" t="s">
        <v>660</v>
      </c>
      <c r="B1086" s="6">
        <f t="shared" si="181"/>
        <v>8.1873333333333331</v>
      </c>
      <c r="C1086" s="9">
        <f t="shared" si="182"/>
        <v>58.833333333332405</v>
      </c>
      <c r="D1086" s="8" t="str">
        <f t="shared" si="183"/>
        <v>W</v>
      </c>
      <c r="E1086" s="3">
        <f t="shared" si="184"/>
        <v>101</v>
      </c>
      <c r="F1086" s="3" t="str">
        <f t="shared" si="185"/>
        <v>ack</v>
      </c>
      <c r="G1086" s="3" t="str">
        <f t="shared" si="186"/>
        <v>93</v>
      </c>
      <c r="H1086" s="3" t="str">
        <f t="shared" si="187"/>
        <v/>
      </c>
      <c r="I1086" s="3">
        <f t="shared" si="188"/>
        <v>147</v>
      </c>
      <c r="J1086" s="5" t="str">
        <f>IF(E1086=0,"Broadcast",IF(H1086="",IF(I1086="","",IF(I1086&lt;128,"Connect "&amp;I1086,INDEX(KdoCodeTab,MATCH(I1086,KdoWertTab,0)))),"ReadStat "&amp;H1086))</f>
        <v>SpaceCmd</v>
      </c>
      <c r="K1086" t="str">
        <f t="shared" si="189"/>
        <v/>
      </c>
      <c r="L1086" t="str">
        <f t="shared" si="190"/>
        <v/>
      </c>
      <c r="M1086" t="str">
        <f t="shared" si="191"/>
        <v>SpaceCmd</v>
      </c>
    </row>
    <row r="1087" spans="1:13" x14ac:dyDescent="0.25">
      <c r="A1087" t="s">
        <v>661</v>
      </c>
      <c r="B1087" s="6">
        <f t="shared" si="181"/>
        <v>8.1881666666666675</v>
      </c>
      <c r="C1087" s="9">
        <f t="shared" si="182"/>
        <v>0.83333333333435178</v>
      </c>
      <c r="D1087" s="8" t="str">
        <f t="shared" si="183"/>
        <v>W</v>
      </c>
      <c r="E1087" s="3">
        <f t="shared" si="184"/>
        <v>101</v>
      </c>
      <c r="F1087" s="3" t="str">
        <f t="shared" si="185"/>
        <v>ack</v>
      </c>
      <c r="G1087" s="3" t="str">
        <f t="shared" si="186"/>
        <v>96</v>
      </c>
      <c r="H1087" s="3" t="str">
        <f t="shared" si="187"/>
        <v/>
      </c>
      <c r="I1087" s="3">
        <f t="shared" si="188"/>
        <v>150</v>
      </c>
      <c r="J1087" s="5" t="str">
        <f>IF(E1087=0,"Broadcast",IF(H1087="",IF(I1087="","",IF(I1087&lt;128,"Connect "&amp;I1087,INDEX(KdoCodeTab,MATCH(I1087,KdoWertTab,0)))),"ReadStat "&amp;H1087))</f>
        <v>RepSpaceCmd</v>
      </c>
      <c r="K1087" t="str">
        <f t="shared" si="189"/>
        <v/>
      </c>
      <c r="L1087" t="str">
        <f t="shared" si="190"/>
        <v/>
      </c>
      <c r="M1087" t="str">
        <f t="shared" si="191"/>
        <v>RepSpaceCmd</v>
      </c>
    </row>
    <row r="1088" spans="1:13" x14ac:dyDescent="0.25">
      <c r="A1088" t="s">
        <v>662</v>
      </c>
      <c r="B1088" s="6">
        <f t="shared" si="181"/>
        <v>8.2075000000000014</v>
      </c>
      <c r="C1088" s="9">
        <f t="shared" si="182"/>
        <v>19.333333333333869</v>
      </c>
      <c r="D1088" s="8" t="str">
        <f t="shared" si="183"/>
        <v>W</v>
      </c>
      <c r="E1088" s="3">
        <f t="shared" si="184"/>
        <v>101</v>
      </c>
      <c r="F1088" s="3" t="str">
        <f t="shared" si="185"/>
        <v>ack</v>
      </c>
      <c r="G1088" s="3" t="str">
        <f t="shared" si="186"/>
        <v>9C</v>
      </c>
      <c r="H1088" s="3" t="str">
        <f t="shared" si="187"/>
        <v/>
      </c>
      <c r="I1088" s="3">
        <f t="shared" si="188"/>
        <v>156</v>
      </c>
      <c r="J1088" s="5" t="str">
        <f>IF(E1088=0,"Broadcast",IF(H1088="",IF(I1088="","",IF(I1088&lt;128,"Connect "&amp;I1088,INDEX(KdoCodeTab,MATCH(I1088,KdoWertTab,0)))),"ReadStat "&amp;H1088))</f>
        <v>MarkCmd</v>
      </c>
      <c r="K1088" t="str">
        <f t="shared" si="189"/>
        <v/>
      </c>
      <c r="L1088" t="str">
        <f t="shared" si="190"/>
        <v/>
      </c>
      <c r="M1088" t="str">
        <f t="shared" si="191"/>
        <v>MarkCmd</v>
      </c>
    </row>
    <row r="1089" spans="1:13" x14ac:dyDescent="0.25">
      <c r="A1089" t="s">
        <v>663</v>
      </c>
      <c r="B1089" s="6">
        <f t="shared" si="181"/>
        <v>8.2083333333333339</v>
      </c>
      <c r="C1089" s="9">
        <f t="shared" si="182"/>
        <v>0.83333333333257542</v>
      </c>
      <c r="D1089" s="8" t="str">
        <f t="shared" si="183"/>
        <v>W</v>
      </c>
      <c r="E1089" s="3">
        <f t="shared" si="184"/>
        <v>101</v>
      </c>
      <c r="F1089" s="3" t="str">
        <f t="shared" si="185"/>
        <v>ack</v>
      </c>
      <c r="G1089" s="3" t="str">
        <f t="shared" si="186"/>
        <v>9A</v>
      </c>
      <c r="H1089" s="3" t="str">
        <f t="shared" si="187"/>
        <v/>
      </c>
      <c r="I1089" s="3">
        <f t="shared" si="188"/>
        <v>154</v>
      </c>
      <c r="J1089" s="5" t="str">
        <f>IF(E1089=0,"Broadcast",IF(H1089="",IF(I1089="","",IF(I1089&lt;128,"Connect "&amp;I1089,INDEX(KdoCodeTab,MATCH(I1089,KdoWertTab,0)))),"ReadStat "&amp;H1089))</f>
        <v>RepMarkCmd</v>
      </c>
      <c r="K1089" t="str">
        <f t="shared" si="189"/>
        <v/>
      </c>
      <c r="L1089" t="str">
        <f t="shared" si="190"/>
        <v/>
      </c>
      <c r="M1089" t="str">
        <f t="shared" si="191"/>
        <v>RepMarkCmd</v>
      </c>
    </row>
    <row r="1090" spans="1:13" x14ac:dyDescent="0.25">
      <c r="A1090" t="s">
        <v>664</v>
      </c>
      <c r="B1090" s="6">
        <f t="shared" si="181"/>
        <v>8.2276666666666678</v>
      </c>
      <c r="C1090" s="9">
        <f t="shared" si="182"/>
        <v>19.333333333333869</v>
      </c>
      <c r="D1090" s="8" t="str">
        <f t="shared" si="183"/>
        <v>W</v>
      </c>
      <c r="E1090" s="3">
        <f t="shared" si="184"/>
        <v>101</v>
      </c>
      <c r="F1090" s="3" t="str">
        <f t="shared" si="185"/>
        <v>ack</v>
      </c>
      <c r="G1090" s="3" t="str">
        <f t="shared" si="186"/>
        <v>93</v>
      </c>
      <c r="H1090" s="3" t="str">
        <f t="shared" si="187"/>
        <v/>
      </c>
      <c r="I1090" s="3">
        <f t="shared" si="188"/>
        <v>147</v>
      </c>
      <c r="J1090" s="5" t="str">
        <f>IF(E1090=0,"Broadcast",IF(H1090="",IF(I1090="","",IF(I1090&lt;128,"Connect "&amp;I1090,INDEX(KdoCodeTab,MATCH(I1090,KdoWertTab,0)))),"ReadStat "&amp;H1090))</f>
        <v>SpaceCmd</v>
      </c>
      <c r="K1090" t="str">
        <f t="shared" si="189"/>
        <v/>
      </c>
      <c r="L1090" t="str">
        <f t="shared" si="190"/>
        <v/>
      </c>
      <c r="M1090" t="str">
        <f t="shared" si="191"/>
        <v>SpaceCmd</v>
      </c>
    </row>
    <row r="1091" spans="1:13" x14ac:dyDescent="0.25">
      <c r="A1091" t="s">
        <v>665</v>
      </c>
      <c r="B1091" s="6">
        <f t="shared" si="181"/>
        <v>8.2285000000000004</v>
      </c>
      <c r="C1091" s="9">
        <f t="shared" si="182"/>
        <v>0.83333333333257542</v>
      </c>
      <c r="D1091" s="8" t="str">
        <f t="shared" si="183"/>
        <v>W</v>
      </c>
      <c r="E1091" s="3">
        <f t="shared" si="184"/>
        <v>101</v>
      </c>
      <c r="F1091" s="3" t="str">
        <f t="shared" si="185"/>
        <v>ack</v>
      </c>
      <c r="G1091" s="3" t="str">
        <f t="shared" si="186"/>
        <v>96</v>
      </c>
      <c r="H1091" s="3" t="str">
        <f t="shared" si="187"/>
        <v/>
      </c>
      <c r="I1091" s="3">
        <f t="shared" si="188"/>
        <v>150</v>
      </c>
      <c r="J1091" s="5" t="str">
        <f>IF(E1091=0,"Broadcast",IF(H1091="",IF(I1091="","",IF(I1091&lt;128,"Connect "&amp;I1091,INDEX(KdoCodeTab,MATCH(I1091,KdoWertTab,0)))),"ReadStat "&amp;H1091))</f>
        <v>RepSpaceCmd</v>
      </c>
      <c r="K1091" t="str">
        <f t="shared" si="189"/>
        <v/>
      </c>
      <c r="L1091" t="str">
        <f t="shared" si="190"/>
        <v/>
      </c>
      <c r="M1091" t="str">
        <f t="shared" si="191"/>
        <v>RepSpaceCmd</v>
      </c>
    </row>
    <row r="1092" spans="1:13" x14ac:dyDescent="0.25">
      <c r="A1092" t="s">
        <v>666</v>
      </c>
      <c r="B1092" s="6">
        <f t="shared" si="181"/>
        <v>8.2871666666666677</v>
      </c>
      <c r="C1092" s="9">
        <f t="shared" si="182"/>
        <v>58.666666666667311</v>
      </c>
      <c r="D1092" s="8" t="str">
        <f t="shared" si="183"/>
        <v>W</v>
      </c>
      <c r="E1092" s="3">
        <f t="shared" si="184"/>
        <v>101</v>
      </c>
      <c r="F1092" s="3" t="str">
        <f t="shared" si="185"/>
        <v>ack</v>
      </c>
      <c r="G1092" s="3" t="str">
        <f t="shared" si="186"/>
        <v>9C</v>
      </c>
      <c r="H1092" s="3" t="str">
        <f t="shared" si="187"/>
        <v/>
      </c>
      <c r="I1092" s="3">
        <f t="shared" si="188"/>
        <v>156</v>
      </c>
      <c r="J1092" s="5" t="str">
        <f>IF(E1092=0,"Broadcast",IF(H1092="",IF(I1092="","",IF(I1092&lt;128,"Connect "&amp;I1092,INDEX(KdoCodeTab,MATCH(I1092,KdoWertTab,0)))),"ReadStat "&amp;H1092))</f>
        <v>MarkCmd</v>
      </c>
      <c r="K1092" t="str">
        <f t="shared" si="189"/>
        <v/>
      </c>
      <c r="L1092" t="str">
        <f t="shared" si="190"/>
        <v/>
      </c>
      <c r="M1092" t="str">
        <f t="shared" si="191"/>
        <v>MarkCmd</v>
      </c>
    </row>
    <row r="1093" spans="1:13" x14ac:dyDescent="0.25">
      <c r="A1093" t="s">
        <v>667</v>
      </c>
      <c r="B1093" s="6">
        <f t="shared" ref="B1093:B1156" si="192">MID(A1093,1,5)/1000+(CODE(MID(A1093,6,1))-CODE("a"))/6000</f>
        <v>8.2881666666666671</v>
      </c>
      <c r="C1093" s="9">
        <f t="shared" ref="C1093:C1156" si="193">(B1093-B1092+IF(B1093&gt;B1092,0,11))*1000</f>
        <v>0.99999999999944578</v>
      </c>
      <c r="D1093" s="8" t="str">
        <f t="shared" ref="D1093:D1156" si="194">IF(MID(A1093,10,1)="&lt;","R",IF(MID(A1093,10,1)="&gt;","W","?"))</f>
        <v>W</v>
      </c>
      <c r="E1093" s="3">
        <f t="shared" ref="E1093:E1156" si="195">INT(HEX2DEC(MID(A1093,8,2))/2)</f>
        <v>101</v>
      </c>
      <c r="F1093" s="3" t="str">
        <f t="shared" ref="F1093:F1156" si="196">IF(MID(A1093,11,1)="+","ack","NACK")</f>
        <v>ack</v>
      </c>
      <c r="G1093" s="3" t="str">
        <f t="shared" ref="G1093:G1156" si="197">IF(F1093="ack",SUBSTITUTE(MID(A1093,12,LEN(A1093)-12),"+","  "),"")</f>
        <v>9A</v>
      </c>
      <c r="H1093" s="3" t="str">
        <f t="shared" ref="H1093:H1156" si="198">IF(MID(A1093,10,2)="&lt;+",MID(A1093,12,2),"")</f>
        <v/>
      </c>
      <c r="I1093" s="3">
        <f t="shared" ref="I1093:I1156" si="199">IF(MID(A1093,10,2)="&gt;+",HEX2DEC(MID(A1093,12,2)),"")</f>
        <v>154</v>
      </c>
      <c r="J1093" s="5" t="str">
        <f>IF(E1093=0,"Broadcast",IF(H1093="",IF(I1093="","",IF(I1093&lt;128,"Connect "&amp;I1093,INDEX(KdoCodeTab,MATCH(I1093,KdoWertTab,0)))),"ReadStat "&amp;H1093))</f>
        <v>RepMarkCmd</v>
      </c>
      <c r="K1093" t="str">
        <f t="shared" si="189"/>
        <v/>
      </c>
      <c r="L1093" t="str">
        <f t="shared" si="190"/>
        <v/>
      </c>
      <c r="M1093" t="str">
        <f t="shared" si="191"/>
        <v>RepMarkCmd</v>
      </c>
    </row>
    <row r="1094" spans="1:13" x14ac:dyDescent="0.25">
      <c r="A1094" t="s">
        <v>668</v>
      </c>
      <c r="B1094" s="6">
        <f t="shared" si="192"/>
        <v>8.3458333333333332</v>
      </c>
      <c r="C1094" s="9">
        <f t="shared" si="193"/>
        <v>57.666666666666089</v>
      </c>
      <c r="D1094" s="8" t="str">
        <f t="shared" si="194"/>
        <v>W</v>
      </c>
      <c r="E1094" s="3">
        <f t="shared" si="195"/>
        <v>101</v>
      </c>
      <c r="F1094" s="3" t="str">
        <f t="shared" si="196"/>
        <v>ack</v>
      </c>
      <c r="G1094" s="3" t="str">
        <f t="shared" si="197"/>
        <v>93</v>
      </c>
      <c r="H1094" s="3" t="str">
        <f t="shared" si="198"/>
        <v/>
      </c>
      <c r="I1094" s="3">
        <f t="shared" si="199"/>
        <v>147</v>
      </c>
      <c r="J1094" s="5" t="str">
        <f>IF(E1094=0,"Broadcast",IF(H1094="",IF(I1094="","",IF(I1094&lt;128,"Connect "&amp;I1094,INDEX(KdoCodeTab,MATCH(I1094,KdoWertTab,0)))),"ReadStat "&amp;H1094))</f>
        <v>SpaceCmd</v>
      </c>
      <c r="K1094" t="str">
        <f t="shared" si="189"/>
        <v/>
      </c>
      <c r="L1094" t="str">
        <f t="shared" si="190"/>
        <v/>
      </c>
      <c r="M1094" t="str">
        <f t="shared" si="191"/>
        <v>SpaceCmd</v>
      </c>
    </row>
    <row r="1095" spans="1:13" x14ac:dyDescent="0.25">
      <c r="A1095" t="s">
        <v>669</v>
      </c>
      <c r="B1095" s="6">
        <f t="shared" si="192"/>
        <v>8.3466666666666676</v>
      </c>
      <c r="C1095" s="9">
        <f t="shared" si="193"/>
        <v>0.83333333333435178</v>
      </c>
      <c r="D1095" s="8" t="str">
        <f t="shared" si="194"/>
        <v>W</v>
      </c>
      <c r="E1095" s="3">
        <f t="shared" si="195"/>
        <v>101</v>
      </c>
      <c r="F1095" s="3" t="str">
        <f t="shared" si="196"/>
        <v>ack</v>
      </c>
      <c r="G1095" s="3" t="str">
        <f t="shared" si="197"/>
        <v>96</v>
      </c>
      <c r="H1095" s="3" t="str">
        <f t="shared" si="198"/>
        <v/>
      </c>
      <c r="I1095" s="3">
        <f t="shared" si="199"/>
        <v>150</v>
      </c>
      <c r="J1095" s="5" t="str">
        <f>IF(E1095=0,"Broadcast",IF(H1095="",IF(I1095="","",IF(I1095&lt;128,"Connect "&amp;I1095,INDEX(KdoCodeTab,MATCH(I1095,KdoWertTab,0)))),"ReadStat "&amp;H1095))</f>
        <v>RepSpaceCmd</v>
      </c>
      <c r="K1095" t="str">
        <f t="shared" si="189"/>
        <v/>
      </c>
      <c r="L1095" t="str">
        <f t="shared" si="190"/>
        <v/>
      </c>
      <c r="M1095" t="str">
        <f t="shared" si="191"/>
        <v>RepSpaceCmd</v>
      </c>
    </row>
    <row r="1096" spans="1:13" x14ac:dyDescent="0.25">
      <c r="A1096" t="s">
        <v>670</v>
      </c>
      <c r="B1096" s="6">
        <f t="shared" si="192"/>
        <v>8.3650000000000002</v>
      </c>
      <c r="C1096" s="9">
        <f t="shared" si="193"/>
        <v>18.333333333332646</v>
      </c>
      <c r="D1096" s="8" t="str">
        <f t="shared" si="194"/>
        <v>W</v>
      </c>
      <c r="E1096" s="3">
        <f t="shared" si="195"/>
        <v>101</v>
      </c>
      <c r="F1096" s="3" t="str">
        <f t="shared" si="196"/>
        <v>ack</v>
      </c>
      <c r="G1096" s="3" t="str">
        <f t="shared" si="197"/>
        <v>9C</v>
      </c>
      <c r="H1096" s="3" t="str">
        <f t="shared" si="198"/>
        <v/>
      </c>
      <c r="I1096" s="3">
        <f t="shared" si="199"/>
        <v>156</v>
      </c>
      <c r="J1096" s="5" t="str">
        <f>IF(E1096=0,"Broadcast",IF(H1096="",IF(I1096="","",IF(I1096&lt;128,"Connect "&amp;I1096,INDEX(KdoCodeTab,MATCH(I1096,KdoWertTab,0)))),"ReadStat "&amp;H1096))</f>
        <v>MarkCmd</v>
      </c>
      <c r="K1096" t="str">
        <f t="shared" si="189"/>
        <v/>
      </c>
      <c r="L1096" t="str">
        <f t="shared" si="190"/>
        <v/>
      </c>
      <c r="M1096" t="str">
        <f t="shared" si="191"/>
        <v>MarkCmd</v>
      </c>
    </row>
    <row r="1097" spans="1:13" x14ac:dyDescent="0.25">
      <c r="A1097" t="s">
        <v>671</v>
      </c>
      <c r="B1097" s="6">
        <f t="shared" si="192"/>
        <v>8.3659999999999997</v>
      </c>
      <c r="C1097" s="9">
        <f t="shared" si="193"/>
        <v>0.99999999999944578</v>
      </c>
      <c r="D1097" s="8" t="str">
        <f t="shared" si="194"/>
        <v>W</v>
      </c>
      <c r="E1097" s="3">
        <f t="shared" si="195"/>
        <v>101</v>
      </c>
      <c r="F1097" s="3" t="str">
        <f t="shared" si="196"/>
        <v>ack</v>
      </c>
      <c r="G1097" s="3" t="str">
        <f t="shared" si="197"/>
        <v>9A</v>
      </c>
      <c r="H1097" s="3" t="str">
        <f t="shared" si="198"/>
        <v/>
      </c>
      <c r="I1097" s="3">
        <f t="shared" si="199"/>
        <v>154</v>
      </c>
      <c r="J1097" s="5" t="str">
        <f>IF(E1097=0,"Broadcast",IF(H1097="",IF(I1097="","",IF(I1097&lt;128,"Connect "&amp;I1097,INDEX(KdoCodeTab,MATCH(I1097,KdoWertTab,0)))),"ReadStat "&amp;H1097))</f>
        <v>RepMarkCmd</v>
      </c>
      <c r="K1097" t="str">
        <f t="shared" si="189"/>
        <v/>
      </c>
      <c r="L1097" t="str">
        <f t="shared" si="190"/>
        <v/>
      </c>
      <c r="M1097" t="str">
        <f t="shared" si="191"/>
        <v>RepMarkCmd</v>
      </c>
    </row>
    <row r="1098" spans="1:13" x14ac:dyDescent="0.25">
      <c r="A1098" t="s">
        <v>672</v>
      </c>
      <c r="B1098" s="6">
        <f t="shared" si="192"/>
        <v>8.3851666666666667</v>
      </c>
      <c r="C1098" s="9">
        <f t="shared" si="193"/>
        <v>19.166666666666998</v>
      </c>
      <c r="D1098" s="8" t="str">
        <f t="shared" si="194"/>
        <v>W</v>
      </c>
      <c r="E1098" s="3">
        <f t="shared" si="195"/>
        <v>101</v>
      </c>
      <c r="F1098" s="3" t="str">
        <f t="shared" si="196"/>
        <v>ack</v>
      </c>
      <c r="G1098" s="3" t="str">
        <f t="shared" si="197"/>
        <v>93</v>
      </c>
      <c r="H1098" s="3" t="str">
        <f t="shared" si="198"/>
        <v/>
      </c>
      <c r="I1098" s="3">
        <f t="shared" si="199"/>
        <v>147</v>
      </c>
      <c r="J1098" s="5" t="str">
        <f>IF(E1098=0,"Broadcast",IF(H1098="",IF(I1098="","",IF(I1098&lt;128,"Connect "&amp;I1098,INDEX(KdoCodeTab,MATCH(I1098,KdoWertTab,0)))),"ReadStat "&amp;H1098))</f>
        <v>SpaceCmd</v>
      </c>
      <c r="K1098" t="str">
        <f t="shared" si="189"/>
        <v/>
      </c>
      <c r="L1098" t="str">
        <f t="shared" si="190"/>
        <v/>
      </c>
      <c r="M1098" t="str">
        <f t="shared" si="191"/>
        <v>SpaceCmd</v>
      </c>
    </row>
    <row r="1099" spans="1:13" x14ac:dyDescent="0.25">
      <c r="A1099" t="s">
        <v>673</v>
      </c>
      <c r="B1099" s="6">
        <f t="shared" si="192"/>
        <v>8.3861666666666661</v>
      </c>
      <c r="C1099" s="9">
        <f t="shared" si="193"/>
        <v>0.99999999999944578</v>
      </c>
      <c r="D1099" s="8" t="str">
        <f t="shared" si="194"/>
        <v>W</v>
      </c>
      <c r="E1099" s="3">
        <f t="shared" si="195"/>
        <v>101</v>
      </c>
      <c r="F1099" s="3" t="str">
        <f t="shared" si="196"/>
        <v>ack</v>
      </c>
      <c r="G1099" s="3" t="str">
        <f t="shared" si="197"/>
        <v>96</v>
      </c>
      <c r="H1099" s="3" t="str">
        <f t="shared" si="198"/>
        <v/>
      </c>
      <c r="I1099" s="3">
        <f t="shared" si="199"/>
        <v>150</v>
      </c>
      <c r="J1099" s="5" t="str">
        <f>IF(E1099=0,"Broadcast",IF(H1099="",IF(I1099="","",IF(I1099&lt;128,"Connect "&amp;I1099,INDEX(KdoCodeTab,MATCH(I1099,KdoWertTab,0)))),"ReadStat "&amp;H1099))</f>
        <v>RepSpaceCmd</v>
      </c>
      <c r="K1099" t="str">
        <f t="shared" si="189"/>
        <v/>
      </c>
      <c r="L1099" t="str">
        <f t="shared" si="190"/>
        <v/>
      </c>
      <c r="M1099" t="str">
        <f t="shared" si="191"/>
        <v>RepSpaceCmd</v>
      </c>
    </row>
    <row r="1100" spans="1:13" x14ac:dyDescent="0.25">
      <c r="A1100" t="s">
        <v>674</v>
      </c>
      <c r="B1100" s="6">
        <f t="shared" si="192"/>
        <v>8.4108333333333327</v>
      </c>
      <c r="C1100" s="9">
        <f t="shared" si="193"/>
        <v>24.666666666666615</v>
      </c>
      <c r="D1100" s="8" t="str">
        <f t="shared" si="194"/>
        <v>W</v>
      </c>
      <c r="E1100" s="3">
        <f t="shared" si="195"/>
        <v>31</v>
      </c>
      <c r="F1100" s="3" t="str">
        <f t="shared" si="196"/>
        <v>ack</v>
      </c>
      <c r="G1100" s="3" t="str">
        <f t="shared" si="197"/>
        <v>9A</v>
      </c>
      <c r="H1100" s="3" t="str">
        <f t="shared" si="198"/>
        <v/>
      </c>
      <c r="I1100" s="3">
        <f t="shared" si="199"/>
        <v>154</v>
      </c>
      <c r="J1100" s="5" t="str">
        <f>IF(E1100=0,"Broadcast",IF(H1100="",IF(I1100="","",IF(I1100&lt;128,"Connect "&amp;I1100,INDEX(KdoCodeTab,MATCH(I1100,KdoWertTab,0)))),"ReadStat "&amp;H1100))</f>
        <v>RepMarkCmd</v>
      </c>
      <c r="K1100" t="str">
        <f t="shared" si="189"/>
        <v/>
      </c>
      <c r="L1100" t="str">
        <f t="shared" si="190"/>
        <v>RepMarkCmd</v>
      </c>
      <c r="M1100" t="str">
        <f t="shared" si="191"/>
        <v/>
      </c>
    </row>
    <row r="1101" spans="1:13" x14ac:dyDescent="0.25">
      <c r="A1101" t="s">
        <v>675</v>
      </c>
      <c r="B1101" s="6">
        <f t="shared" si="192"/>
        <v>8.4458333333333329</v>
      </c>
      <c r="C1101" s="9">
        <f t="shared" si="193"/>
        <v>35.000000000000142</v>
      </c>
      <c r="D1101" s="8" t="str">
        <f t="shared" si="194"/>
        <v>W</v>
      </c>
      <c r="E1101" s="3">
        <f t="shared" si="195"/>
        <v>101</v>
      </c>
      <c r="F1101" s="3" t="str">
        <f t="shared" si="196"/>
        <v>ack</v>
      </c>
      <c r="G1101" s="3" t="str">
        <f t="shared" si="197"/>
        <v>9C</v>
      </c>
      <c r="H1101" s="3" t="str">
        <f t="shared" si="198"/>
        <v/>
      </c>
      <c r="I1101" s="3">
        <f t="shared" si="199"/>
        <v>156</v>
      </c>
      <c r="J1101" s="5" t="str">
        <f>IF(E1101=0,"Broadcast",IF(H1101="",IF(I1101="","",IF(I1101&lt;128,"Connect "&amp;I1101,INDEX(KdoCodeTab,MATCH(I1101,KdoWertTab,0)))),"ReadStat "&amp;H1101))</f>
        <v>MarkCmd</v>
      </c>
      <c r="K1101" t="str">
        <f t="shared" si="189"/>
        <v/>
      </c>
      <c r="L1101" t="str">
        <f t="shared" si="190"/>
        <v/>
      </c>
      <c r="M1101" t="str">
        <f t="shared" si="191"/>
        <v>MarkCmd</v>
      </c>
    </row>
    <row r="1102" spans="1:13" x14ac:dyDescent="0.25">
      <c r="A1102" t="s">
        <v>676</v>
      </c>
      <c r="B1102" s="6">
        <f t="shared" si="192"/>
        <v>8.4466666666666672</v>
      </c>
      <c r="C1102" s="9">
        <f t="shared" si="193"/>
        <v>0.83333333333435178</v>
      </c>
      <c r="D1102" s="8" t="str">
        <f t="shared" si="194"/>
        <v>W</v>
      </c>
      <c r="E1102" s="3">
        <f t="shared" si="195"/>
        <v>101</v>
      </c>
      <c r="F1102" s="3" t="str">
        <f t="shared" si="196"/>
        <v>ack</v>
      </c>
      <c r="G1102" s="3" t="str">
        <f t="shared" si="197"/>
        <v>9A</v>
      </c>
      <c r="H1102" s="3" t="str">
        <f t="shared" si="198"/>
        <v/>
      </c>
      <c r="I1102" s="3">
        <f t="shared" si="199"/>
        <v>154</v>
      </c>
      <c r="J1102" s="5" t="str">
        <f>IF(E1102=0,"Broadcast",IF(H1102="",IF(I1102="","",IF(I1102&lt;128,"Connect "&amp;I1102,INDEX(KdoCodeTab,MATCH(I1102,KdoWertTab,0)))),"ReadStat "&amp;H1102))</f>
        <v>RepMarkCmd</v>
      </c>
      <c r="K1102" t="str">
        <f t="shared" si="189"/>
        <v/>
      </c>
      <c r="L1102" t="str">
        <f t="shared" si="190"/>
        <v/>
      </c>
      <c r="M1102" t="str">
        <f t="shared" si="191"/>
        <v>RepMarkCmd</v>
      </c>
    </row>
    <row r="1103" spans="1:13" x14ac:dyDescent="0.25">
      <c r="A1103" t="s">
        <v>677</v>
      </c>
      <c r="B1103" s="6">
        <f t="shared" si="192"/>
        <v>8.5093333333333341</v>
      </c>
      <c r="C1103" s="9">
        <f t="shared" si="193"/>
        <v>62.66666666666687</v>
      </c>
      <c r="D1103" s="8" t="str">
        <f t="shared" si="194"/>
        <v>W</v>
      </c>
      <c r="E1103" s="3">
        <f t="shared" si="195"/>
        <v>101</v>
      </c>
      <c r="F1103" s="3" t="str">
        <f t="shared" si="196"/>
        <v>ack</v>
      </c>
      <c r="G1103" s="3" t="str">
        <f t="shared" si="197"/>
        <v>93</v>
      </c>
      <c r="H1103" s="3" t="str">
        <f t="shared" si="198"/>
        <v/>
      </c>
      <c r="I1103" s="3">
        <f t="shared" si="199"/>
        <v>147</v>
      </c>
      <c r="J1103" s="5" t="str">
        <f>IF(E1103=0,"Broadcast",IF(H1103="",IF(I1103="","",IF(I1103&lt;128,"Connect "&amp;I1103,INDEX(KdoCodeTab,MATCH(I1103,KdoWertTab,0)))),"ReadStat "&amp;H1103))</f>
        <v>SpaceCmd</v>
      </c>
      <c r="K1103" t="str">
        <f t="shared" si="189"/>
        <v/>
      </c>
      <c r="L1103" t="str">
        <f t="shared" si="190"/>
        <v/>
      </c>
      <c r="M1103" t="str">
        <f t="shared" si="191"/>
        <v>SpaceCmd</v>
      </c>
    </row>
    <row r="1104" spans="1:13" x14ac:dyDescent="0.25">
      <c r="A1104" t="s">
        <v>678</v>
      </c>
      <c r="B1104" s="6">
        <f t="shared" si="192"/>
        <v>8.5103333333333335</v>
      </c>
      <c r="C1104" s="9">
        <f t="shared" si="193"/>
        <v>0.99999999999944578</v>
      </c>
      <c r="D1104" s="8" t="str">
        <f t="shared" si="194"/>
        <v>W</v>
      </c>
      <c r="E1104" s="3">
        <f t="shared" si="195"/>
        <v>101</v>
      </c>
      <c r="F1104" s="3" t="str">
        <f t="shared" si="196"/>
        <v>ack</v>
      </c>
      <c r="G1104" s="3" t="str">
        <f t="shared" si="197"/>
        <v>96</v>
      </c>
      <c r="H1104" s="3" t="str">
        <f t="shared" si="198"/>
        <v/>
      </c>
      <c r="I1104" s="3">
        <f t="shared" si="199"/>
        <v>150</v>
      </c>
      <c r="J1104" s="5" t="str">
        <f>IF(E1104=0,"Broadcast",IF(H1104="",IF(I1104="","",IF(I1104&lt;128,"Connect "&amp;I1104,INDEX(KdoCodeTab,MATCH(I1104,KdoWertTab,0)))),"ReadStat "&amp;H1104))</f>
        <v>RepSpaceCmd</v>
      </c>
      <c r="K1104" t="str">
        <f t="shared" si="189"/>
        <v/>
      </c>
      <c r="L1104" t="str">
        <f t="shared" si="190"/>
        <v/>
      </c>
      <c r="M1104" t="str">
        <f t="shared" si="191"/>
        <v>RepSpaceCmd</v>
      </c>
    </row>
    <row r="1105" spans="1:13" x14ac:dyDescent="0.25">
      <c r="A1105" t="s">
        <v>679</v>
      </c>
      <c r="B1105" s="6">
        <f t="shared" si="192"/>
        <v>8.5296666666666674</v>
      </c>
      <c r="C1105" s="9">
        <f t="shared" si="193"/>
        <v>19.333333333333869</v>
      </c>
      <c r="D1105" s="8" t="str">
        <f t="shared" si="194"/>
        <v>W</v>
      </c>
      <c r="E1105" s="3">
        <f t="shared" si="195"/>
        <v>101</v>
      </c>
      <c r="F1105" s="3" t="str">
        <f t="shared" si="196"/>
        <v>ack</v>
      </c>
      <c r="G1105" s="3" t="str">
        <f t="shared" si="197"/>
        <v>9C</v>
      </c>
      <c r="H1105" s="3" t="str">
        <f t="shared" si="198"/>
        <v/>
      </c>
      <c r="I1105" s="3">
        <f t="shared" si="199"/>
        <v>156</v>
      </c>
      <c r="J1105" s="5" t="str">
        <f>IF(E1105=0,"Broadcast",IF(H1105="",IF(I1105="","",IF(I1105&lt;128,"Connect "&amp;I1105,INDEX(KdoCodeTab,MATCH(I1105,KdoWertTab,0)))),"ReadStat "&amp;H1105))</f>
        <v>MarkCmd</v>
      </c>
      <c r="K1105" t="str">
        <f t="shared" si="189"/>
        <v/>
      </c>
      <c r="L1105" t="str">
        <f t="shared" si="190"/>
        <v/>
      </c>
      <c r="M1105" t="str">
        <f t="shared" si="191"/>
        <v>MarkCmd</v>
      </c>
    </row>
    <row r="1106" spans="1:13" x14ac:dyDescent="0.25">
      <c r="A1106" t="s">
        <v>680</v>
      </c>
      <c r="B1106" s="6">
        <f t="shared" si="192"/>
        <v>8.5305</v>
      </c>
      <c r="C1106" s="9">
        <f t="shared" si="193"/>
        <v>0.83333333333257542</v>
      </c>
      <c r="D1106" s="8" t="str">
        <f t="shared" si="194"/>
        <v>W</v>
      </c>
      <c r="E1106" s="3">
        <f t="shared" si="195"/>
        <v>101</v>
      </c>
      <c r="F1106" s="3" t="str">
        <f t="shared" si="196"/>
        <v>ack</v>
      </c>
      <c r="G1106" s="3" t="str">
        <f t="shared" si="197"/>
        <v>9A</v>
      </c>
      <c r="H1106" s="3" t="str">
        <f t="shared" si="198"/>
        <v/>
      </c>
      <c r="I1106" s="3">
        <f t="shared" si="199"/>
        <v>154</v>
      </c>
      <c r="J1106" s="5" t="str">
        <f>IF(E1106=0,"Broadcast",IF(H1106="",IF(I1106="","",IF(I1106&lt;128,"Connect "&amp;I1106,INDEX(KdoCodeTab,MATCH(I1106,KdoWertTab,0)))),"ReadStat "&amp;H1106))</f>
        <v>RepMarkCmd</v>
      </c>
      <c r="K1106" t="str">
        <f t="shared" si="189"/>
        <v/>
      </c>
      <c r="L1106" t="str">
        <f t="shared" si="190"/>
        <v/>
      </c>
      <c r="M1106" t="str">
        <f t="shared" si="191"/>
        <v>RepMarkCmd</v>
      </c>
    </row>
    <row r="1107" spans="1:13" x14ac:dyDescent="0.25">
      <c r="A1107" t="s">
        <v>681</v>
      </c>
      <c r="B1107" s="6">
        <f t="shared" si="192"/>
        <v>8.5498333333333321</v>
      </c>
      <c r="C1107" s="9">
        <f t="shared" si="193"/>
        <v>19.333333333332092</v>
      </c>
      <c r="D1107" s="8" t="str">
        <f t="shared" si="194"/>
        <v>W</v>
      </c>
      <c r="E1107" s="3">
        <f t="shared" si="195"/>
        <v>101</v>
      </c>
      <c r="F1107" s="3" t="str">
        <f t="shared" si="196"/>
        <v>ack</v>
      </c>
      <c r="G1107" s="3" t="str">
        <f t="shared" si="197"/>
        <v>93</v>
      </c>
      <c r="H1107" s="3" t="str">
        <f t="shared" si="198"/>
        <v/>
      </c>
      <c r="I1107" s="3">
        <f t="shared" si="199"/>
        <v>147</v>
      </c>
      <c r="J1107" s="5" t="str">
        <f>IF(E1107=0,"Broadcast",IF(H1107="",IF(I1107="","",IF(I1107&lt;128,"Connect "&amp;I1107,INDEX(KdoCodeTab,MATCH(I1107,KdoWertTab,0)))),"ReadStat "&amp;H1107))</f>
        <v>SpaceCmd</v>
      </c>
      <c r="K1107" t="str">
        <f t="shared" si="189"/>
        <v/>
      </c>
      <c r="L1107" t="str">
        <f t="shared" si="190"/>
        <v/>
      </c>
      <c r="M1107" t="str">
        <f t="shared" si="191"/>
        <v>SpaceCmd</v>
      </c>
    </row>
    <row r="1108" spans="1:13" x14ac:dyDescent="0.25">
      <c r="A1108" t="s">
        <v>682</v>
      </c>
      <c r="B1108" s="6">
        <f t="shared" si="192"/>
        <v>8.5508333333333333</v>
      </c>
      <c r="C1108" s="9">
        <f t="shared" si="193"/>
        <v>1.0000000000012221</v>
      </c>
      <c r="D1108" s="8" t="str">
        <f t="shared" si="194"/>
        <v>W</v>
      </c>
      <c r="E1108" s="3">
        <f t="shared" si="195"/>
        <v>101</v>
      </c>
      <c r="F1108" s="3" t="str">
        <f t="shared" si="196"/>
        <v>ack</v>
      </c>
      <c r="G1108" s="3" t="str">
        <f t="shared" si="197"/>
        <v>96</v>
      </c>
      <c r="H1108" s="3" t="str">
        <f t="shared" si="198"/>
        <v/>
      </c>
      <c r="I1108" s="3">
        <f t="shared" si="199"/>
        <v>150</v>
      </c>
      <c r="J1108" s="5" t="str">
        <f>IF(E1108=0,"Broadcast",IF(H1108="",IF(I1108="","",IF(I1108&lt;128,"Connect "&amp;I1108,INDEX(KdoCodeTab,MATCH(I1108,KdoWertTab,0)))),"ReadStat "&amp;H1108))</f>
        <v>RepSpaceCmd</v>
      </c>
      <c r="K1108" t="str">
        <f t="shared" si="189"/>
        <v/>
      </c>
      <c r="L1108" t="str">
        <f t="shared" si="190"/>
        <v/>
      </c>
      <c r="M1108" t="str">
        <f t="shared" si="191"/>
        <v>RepSpaceCmd</v>
      </c>
    </row>
    <row r="1109" spans="1:13" x14ac:dyDescent="0.25">
      <c r="A1109" t="s">
        <v>683</v>
      </c>
      <c r="B1109" s="6">
        <f t="shared" si="192"/>
        <v>8.6095000000000006</v>
      </c>
      <c r="C1109" s="9">
        <f t="shared" si="193"/>
        <v>58.666666666667311</v>
      </c>
      <c r="D1109" s="8" t="str">
        <f t="shared" si="194"/>
        <v>W</v>
      </c>
      <c r="E1109" s="3">
        <f t="shared" si="195"/>
        <v>101</v>
      </c>
      <c r="F1109" s="3" t="str">
        <f t="shared" si="196"/>
        <v>ack</v>
      </c>
      <c r="G1109" s="3" t="str">
        <f t="shared" si="197"/>
        <v>9C</v>
      </c>
      <c r="H1109" s="3" t="str">
        <f t="shared" si="198"/>
        <v/>
      </c>
      <c r="I1109" s="3">
        <f t="shared" si="199"/>
        <v>156</v>
      </c>
      <c r="J1109" s="5" t="str">
        <f>IF(E1109=0,"Broadcast",IF(H1109="",IF(I1109="","",IF(I1109&lt;128,"Connect "&amp;I1109,INDEX(KdoCodeTab,MATCH(I1109,KdoWertTab,0)))),"ReadStat "&amp;H1109))</f>
        <v>MarkCmd</v>
      </c>
      <c r="K1109" t="str">
        <f t="shared" si="189"/>
        <v/>
      </c>
      <c r="L1109" t="str">
        <f t="shared" si="190"/>
        <v/>
      </c>
      <c r="M1109" t="str">
        <f t="shared" si="191"/>
        <v>MarkCmd</v>
      </c>
    </row>
    <row r="1110" spans="1:13" x14ac:dyDescent="0.25">
      <c r="A1110" t="s">
        <v>684</v>
      </c>
      <c r="B1110" s="6">
        <f t="shared" si="192"/>
        <v>8.6105</v>
      </c>
      <c r="C1110" s="9">
        <f t="shared" si="193"/>
        <v>0.99999999999944578</v>
      </c>
      <c r="D1110" s="8" t="str">
        <f t="shared" si="194"/>
        <v>W</v>
      </c>
      <c r="E1110" s="3">
        <f t="shared" si="195"/>
        <v>101</v>
      </c>
      <c r="F1110" s="3" t="str">
        <f t="shared" si="196"/>
        <v>ack</v>
      </c>
      <c r="G1110" s="3" t="str">
        <f t="shared" si="197"/>
        <v>9A</v>
      </c>
      <c r="H1110" s="3" t="str">
        <f t="shared" si="198"/>
        <v/>
      </c>
      <c r="I1110" s="3">
        <f t="shared" si="199"/>
        <v>154</v>
      </c>
      <c r="J1110" s="5" t="str">
        <f>IF(E1110=0,"Broadcast",IF(H1110="",IF(I1110="","",IF(I1110&lt;128,"Connect "&amp;I1110,INDEX(KdoCodeTab,MATCH(I1110,KdoWertTab,0)))),"ReadStat "&amp;H1110))</f>
        <v>RepMarkCmd</v>
      </c>
      <c r="K1110" t="str">
        <f t="shared" si="189"/>
        <v/>
      </c>
      <c r="L1110" t="str">
        <f t="shared" si="190"/>
        <v/>
      </c>
      <c r="M1110" t="str">
        <f t="shared" si="191"/>
        <v>RepMarkCmd</v>
      </c>
    </row>
    <row r="1111" spans="1:13" x14ac:dyDescent="0.25">
      <c r="A1111" t="s">
        <v>685</v>
      </c>
      <c r="B1111" s="6">
        <f t="shared" si="192"/>
        <v>8.6111666666666675</v>
      </c>
      <c r="C1111" s="9">
        <f t="shared" si="193"/>
        <v>0.66666666666748142</v>
      </c>
      <c r="D1111" s="8" t="str">
        <f t="shared" si="194"/>
        <v>W</v>
      </c>
      <c r="E1111" s="3">
        <f t="shared" si="195"/>
        <v>101</v>
      </c>
      <c r="F1111" s="3" t="str">
        <f t="shared" si="196"/>
        <v>ack</v>
      </c>
      <c r="G1111" s="3" t="str">
        <f t="shared" si="197"/>
        <v>A9</v>
      </c>
      <c r="H1111" s="3" t="str">
        <f t="shared" si="198"/>
        <v/>
      </c>
      <c r="I1111" s="3">
        <f t="shared" si="199"/>
        <v>169</v>
      </c>
      <c r="J1111" s="5" t="str">
        <f>IF(E1111=0,"Broadcast",IF(H1111="",IF(I1111="","",IF(I1111&lt;128,"Connect "&amp;I1111,INDEX(KdoCodeTab,MATCH(I1111,KdoWertTab,0)))),"ReadStat "&amp;H1111))</f>
        <v>Heartbeat</v>
      </c>
      <c r="K1111" t="str">
        <f t="shared" si="189"/>
        <v/>
      </c>
      <c r="L1111" t="str">
        <f t="shared" si="190"/>
        <v/>
      </c>
      <c r="M1111" t="str">
        <f t="shared" si="191"/>
        <v>Heartbeat</v>
      </c>
    </row>
    <row r="1112" spans="1:13" x14ac:dyDescent="0.25">
      <c r="A1112" t="s">
        <v>686</v>
      </c>
      <c r="B1112" s="6">
        <f t="shared" si="192"/>
        <v>8.6671666666666667</v>
      </c>
      <c r="C1112" s="9">
        <f t="shared" si="193"/>
        <v>55.999999999999162</v>
      </c>
      <c r="D1112" s="8" t="str">
        <f t="shared" si="194"/>
        <v>W</v>
      </c>
      <c r="E1112" s="3">
        <f t="shared" si="195"/>
        <v>101</v>
      </c>
      <c r="F1112" s="3" t="str">
        <f t="shared" si="196"/>
        <v>ack</v>
      </c>
      <c r="G1112" s="3" t="str">
        <f t="shared" si="197"/>
        <v>93</v>
      </c>
      <c r="H1112" s="3" t="str">
        <f t="shared" si="198"/>
        <v/>
      </c>
      <c r="I1112" s="3">
        <f t="shared" si="199"/>
        <v>147</v>
      </c>
      <c r="J1112" s="5" t="str">
        <f>IF(E1112=0,"Broadcast",IF(H1112="",IF(I1112="","",IF(I1112&lt;128,"Connect "&amp;I1112,INDEX(KdoCodeTab,MATCH(I1112,KdoWertTab,0)))),"ReadStat "&amp;H1112))</f>
        <v>SpaceCmd</v>
      </c>
      <c r="K1112" t="str">
        <f t="shared" si="189"/>
        <v/>
      </c>
      <c r="L1112" t="str">
        <f t="shared" si="190"/>
        <v/>
      </c>
      <c r="M1112" t="str">
        <f t="shared" si="191"/>
        <v>SpaceCmd</v>
      </c>
    </row>
    <row r="1113" spans="1:13" x14ac:dyDescent="0.25">
      <c r="A1113" t="s">
        <v>687</v>
      </c>
      <c r="B1113" s="6">
        <f t="shared" si="192"/>
        <v>8.6681666666666661</v>
      </c>
      <c r="C1113" s="9">
        <f t="shared" si="193"/>
        <v>0.99999999999944578</v>
      </c>
      <c r="D1113" s="8" t="str">
        <f t="shared" si="194"/>
        <v>W</v>
      </c>
      <c r="E1113" s="3">
        <f t="shared" si="195"/>
        <v>101</v>
      </c>
      <c r="F1113" s="3" t="str">
        <f t="shared" si="196"/>
        <v>ack</v>
      </c>
      <c r="G1113" s="3" t="str">
        <f t="shared" si="197"/>
        <v>96</v>
      </c>
      <c r="H1113" s="3" t="str">
        <f t="shared" si="198"/>
        <v/>
      </c>
      <c r="I1113" s="3">
        <f t="shared" si="199"/>
        <v>150</v>
      </c>
      <c r="J1113" s="5" t="str">
        <f>IF(E1113=0,"Broadcast",IF(H1113="",IF(I1113="","",IF(I1113&lt;128,"Connect "&amp;I1113,INDEX(KdoCodeTab,MATCH(I1113,KdoWertTab,0)))),"ReadStat "&amp;H1113))</f>
        <v>RepSpaceCmd</v>
      </c>
      <c r="K1113" t="str">
        <f t="shared" si="189"/>
        <v/>
      </c>
      <c r="L1113" t="str">
        <f t="shared" si="190"/>
        <v/>
      </c>
      <c r="M1113" t="str">
        <f t="shared" si="191"/>
        <v>RepSpaceCmd</v>
      </c>
    </row>
    <row r="1114" spans="1:13" x14ac:dyDescent="0.25">
      <c r="A1114" t="s">
        <v>688</v>
      </c>
      <c r="B1114" s="6">
        <f t="shared" si="192"/>
        <v>8.6873333333333331</v>
      </c>
      <c r="C1114" s="9">
        <f t="shared" si="193"/>
        <v>19.166666666666998</v>
      </c>
      <c r="D1114" s="8" t="str">
        <f t="shared" si="194"/>
        <v>W</v>
      </c>
      <c r="E1114" s="3">
        <f t="shared" si="195"/>
        <v>101</v>
      </c>
      <c r="F1114" s="3" t="str">
        <f t="shared" si="196"/>
        <v>ack</v>
      </c>
      <c r="G1114" s="3" t="str">
        <f t="shared" si="197"/>
        <v>9C</v>
      </c>
      <c r="H1114" s="3" t="str">
        <f t="shared" si="198"/>
        <v/>
      </c>
      <c r="I1114" s="3">
        <f t="shared" si="199"/>
        <v>156</v>
      </c>
      <c r="J1114" s="5" t="str">
        <f>IF(E1114=0,"Broadcast",IF(H1114="",IF(I1114="","",IF(I1114&lt;128,"Connect "&amp;I1114,INDEX(KdoCodeTab,MATCH(I1114,KdoWertTab,0)))),"ReadStat "&amp;H1114))</f>
        <v>MarkCmd</v>
      </c>
      <c r="K1114" t="str">
        <f t="shared" si="189"/>
        <v/>
      </c>
      <c r="L1114" t="str">
        <f t="shared" si="190"/>
        <v/>
      </c>
      <c r="M1114" t="str">
        <f t="shared" si="191"/>
        <v>MarkCmd</v>
      </c>
    </row>
    <row r="1115" spans="1:13" x14ac:dyDescent="0.25">
      <c r="A1115" t="s">
        <v>689</v>
      </c>
      <c r="B1115" s="6">
        <f t="shared" si="192"/>
        <v>8.6883333333333344</v>
      </c>
      <c r="C1115" s="9">
        <f t="shared" si="193"/>
        <v>1.0000000000012221</v>
      </c>
      <c r="D1115" s="8" t="str">
        <f t="shared" si="194"/>
        <v>W</v>
      </c>
      <c r="E1115" s="3">
        <f t="shared" si="195"/>
        <v>101</v>
      </c>
      <c r="F1115" s="3" t="str">
        <f t="shared" si="196"/>
        <v>ack</v>
      </c>
      <c r="G1115" s="3" t="str">
        <f t="shared" si="197"/>
        <v>9A</v>
      </c>
      <c r="H1115" s="3" t="str">
        <f t="shared" si="198"/>
        <v/>
      </c>
      <c r="I1115" s="3">
        <f t="shared" si="199"/>
        <v>154</v>
      </c>
      <c r="J1115" s="5" t="str">
        <f>IF(E1115=0,"Broadcast",IF(H1115="",IF(I1115="","",IF(I1115&lt;128,"Connect "&amp;I1115,INDEX(KdoCodeTab,MATCH(I1115,KdoWertTab,0)))),"ReadStat "&amp;H1115))</f>
        <v>RepMarkCmd</v>
      </c>
      <c r="K1115" t="str">
        <f t="shared" si="189"/>
        <v/>
      </c>
      <c r="L1115" t="str">
        <f t="shared" si="190"/>
        <v/>
      </c>
      <c r="M1115" t="str">
        <f t="shared" si="191"/>
        <v>RepMarkCmd</v>
      </c>
    </row>
    <row r="1116" spans="1:13" x14ac:dyDescent="0.25">
      <c r="A1116" t="s">
        <v>690</v>
      </c>
      <c r="B1116" s="6">
        <f t="shared" si="192"/>
        <v>8.7075000000000014</v>
      </c>
      <c r="C1116" s="9">
        <f t="shared" si="193"/>
        <v>19.166666666666998</v>
      </c>
      <c r="D1116" s="8" t="str">
        <f t="shared" si="194"/>
        <v>W</v>
      </c>
      <c r="E1116" s="3">
        <f t="shared" si="195"/>
        <v>101</v>
      </c>
      <c r="F1116" s="3" t="str">
        <f t="shared" si="196"/>
        <v>ack</v>
      </c>
      <c r="G1116" s="3" t="str">
        <f t="shared" si="197"/>
        <v>93</v>
      </c>
      <c r="H1116" s="3" t="str">
        <f t="shared" si="198"/>
        <v/>
      </c>
      <c r="I1116" s="3">
        <f t="shared" si="199"/>
        <v>147</v>
      </c>
      <c r="J1116" s="5" t="str">
        <f>IF(E1116=0,"Broadcast",IF(H1116="",IF(I1116="","",IF(I1116&lt;128,"Connect "&amp;I1116,INDEX(KdoCodeTab,MATCH(I1116,KdoWertTab,0)))),"ReadStat "&amp;H1116))</f>
        <v>SpaceCmd</v>
      </c>
      <c r="K1116" t="str">
        <f t="shared" si="189"/>
        <v/>
      </c>
      <c r="L1116" t="str">
        <f t="shared" si="190"/>
        <v/>
      </c>
      <c r="M1116" t="str">
        <f t="shared" si="191"/>
        <v>SpaceCmd</v>
      </c>
    </row>
    <row r="1117" spans="1:13" x14ac:dyDescent="0.25">
      <c r="A1117" t="s">
        <v>691</v>
      </c>
      <c r="B1117" s="6">
        <f t="shared" si="192"/>
        <v>8.7085000000000008</v>
      </c>
      <c r="C1117" s="9">
        <f t="shared" si="193"/>
        <v>0.99999999999944578</v>
      </c>
      <c r="D1117" s="8" t="str">
        <f t="shared" si="194"/>
        <v>W</v>
      </c>
      <c r="E1117" s="3">
        <f t="shared" si="195"/>
        <v>101</v>
      </c>
      <c r="F1117" s="3" t="str">
        <f t="shared" si="196"/>
        <v>ack</v>
      </c>
      <c r="G1117" s="3" t="str">
        <f t="shared" si="197"/>
        <v>96</v>
      </c>
      <c r="H1117" s="3" t="str">
        <f t="shared" si="198"/>
        <v/>
      </c>
      <c r="I1117" s="3">
        <f t="shared" si="199"/>
        <v>150</v>
      </c>
      <c r="J1117" s="5" t="str">
        <f>IF(E1117=0,"Broadcast",IF(H1117="",IF(I1117="","",IF(I1117&lt;128,"Connect "&amp;I1117,INDEX(KdoCodeTab,MATCH(I1117,KdoWertTab,0)))),"ReadStat "&amp;H1117))</f>
        <v>RepSpaceCmd</v>
      </c>
      <c r="K1117" t="str">
        <f t="shared" si="189"/>
        <v/>
      </c>
      <c r="L1117" t="str">
        <f t="shared" si="190"/>
        <v/>
      </c>
      <c r="M1117" t="str">
        <f t="shared" si="191"/>
        <v>RepSpaceCmd</v>
      </c>
    </row>
    <row r="1118" spans="1:13" x14ac:dyDescent="0.25">
      <c r="A1118" t="s">
        <v>692</v>
      </c>
      <c r="B1118" s="6">
        <f t="shared" si="192"/>
        <v>8.7680000000000007</v>
      </c>
      <c r="C1118" s="9">
        <f t="shared" si="193"/>
        <v>59.499999999999886</v>
      </c>
      <c r="D1118" s="8" t="str">
        <f t="shared" si="194"/>
        <v>W</v>
      </c>
      <c r="E1118" s="3">
        <f t="shared" si="195"/>
        <v>101</v>
      </c>
      <c r="F1118" s="3" t="str">
        <f t="shared" si="196"/>
        <v>ack</v>
      </c>
      <c r="G1118" s="3" t="str">
        <f t="shared" si="197"/>
        <v>9C</v>
      </c>
      <c r="H1118" s="3" t="str">
        <f t="shared" si="198"/>
        <v/>
      </c>
      <c r="I1118" s="3">
        <f t="shared" si="199"/>
        <v>156</v>
      </c>
      <c r="J1118" s="5" t="str">
        <f>IF(E1118=0,"Broadcast",IF(H1118="",IF(I1118="","",IF(I1118&lt;128,"Connect "&amp;I1118,INDEX(KdoCodeTab,MATCH(I1118,KdoWertTab,0)))),"ReadStat "&amp;H1118))</f>
        <v>MarkCmd</v>
      </c>
      <c r="K1118" t="str">
        <f t="shared" si="189"/>
        <v/>
      </c>
      <c r="L1118" t="str">
        <f t="shared" si="190"/>
        <v/>
      </c>
      <c r="M1118" t="str">
        <f t="shared" si="191"/>
        <v>MarkCmd</v>
      </c>
    </row>
    <row r="1119" spans="1:13" x14ac:dyDescent="0.25">
      <c r="A1119" t="s">
        <v>693</v>
      </c>
      <c r="B1119" s="6">
        <f t="shared" si="192"/>
        <v>8.7690000000000001</v>
      </c>
      <c r="C1119" s="9">
        <f t="shared" si="193"/>
        <v>0.99999999999944578</v>
      </c>
      <c r="D1119" s="8" t="str">
        <f t="shared" si="194"/>
        <v>W</v>
      </c>
      <c r="E1119" s="3">
        <f t="shared" si="195"/>
        <v>101</v>
      </c>
      <c r="F1119" s="3" t="str">
        <f t="shared" si="196"/>
        <v>ack</v>
      </c>
      <c r="G1119" s="3" t="str">
        <f t="shared" si="197"/>
        <v>9A</v>
      </c>
      <c r="H1119" s="3" t="str">
        <f t="shared" si="198"/>
        <v/>
      </c>
      <c r="I1119" s="3">
        <f t="shared" si="199"/>
        <v>154</v>
      </c>
      <c r="J1119" s="5" t="str">
        <f>IF(E1119=0,"Broadcast",IF(H1119="",IF(I1119="","",IF(I1119&lt;128,"Connect "&amp;I1119,INDEX(KdoCodeTab,MATCH(I1119,KdoWertTab,0)))),"ReadStat "&amp;H1119))</f>
        <v>RepMarkCmd</v>
      </c>
      <c r="K1119" t="str">
        <f t="shared" si="189"/>
        <v/>
      </c>
      <c r="L1119" t="str">
        <f t="shared" si="190"/>
        <v/>
      </c>
      <c r="M1119" t="str">
        <f t="shared" si="191"/>
        <v>RepMarkCmd</v>
      </c>
    </row>
    <row r="1120" spans="1:13" x14ac:dyDescent="0.25">
      <c r="A1120" t="s">
        <v>694</v>
      </c>
      <c r="B1120" s="6">
        <f t="shared" si="192"/>
        <v>8.8176666666666677</v>
      </c>
      <c r="C1120" s="9">
        <f t="shared" si="193"/>
        <v>48.666666666667524</v>
      </c>
      <c r="D1120" s="8" t="str">
        <f t="shared" si="194"/>
        <v>W</v>
      </c>
      <c r="E1120" s="3">
        <f t="shared" si="195"/>
        <v>101</v>
      </c>
      <c r="F1120" s="3" t="str">
        <f t="shared" si="196"/>
        <v>ack</v>
      </c>
      <c r="G1120" s="3" t="str">
        <f t="shared" si="197"/>
        <v>93</v>
      </c>
      <c r="H1120" s="3" t="str">
        <f t="shared" si="198"/>
        <v/>
      </c>
      <c r="I1120" s="3">
        <f t="shared" si="199"/>
        <v>147</v>
      </c>
      <c r="J1120" s="5" t="str">
        <f>IF(E1120=0,"Broadcast",IF(H1120="",IF(I1120="","",IF(I1120&lt;128,"Connect "&amp;I1120,INDEX(KdoCodeTab,MATCH(I1120,KdoWertTab,0)))),"ReadStat "&amp;H1120))</f>
        <v>SpaceCmd</v>
      </c>
      <c r="K1120" t="str">
        <f t="shared" si="189"/>
        <v/>
      </c>
      <c r="L1120" t="str">
        <f t="shared" si="190"/>
        <v/>
      </c>
      <c r="M1120" t="str">
        <f t="shared" si="191"/>
        <v>SpaceCmd</v>
      </c>
    </row>
    <row r="1121" spans="1:13" x14ac:dyDescent="0.25">
      <c r="A1121" t="s">
        <v>695</v>
      </c>
      <c r="B1121" s="6">
        <f t="shared" si="192"/>
        <v>8.8185000000000002</v>
      </c>
      <c r="C1121" s="9">
        <f t="shared" si="193"/>
        <v>0.83333333333257542</v>
      </c>
      <c r="D1121" s="8" t="str">
        <f t="shared" si="194"/>
        <v>W</v>
      </c>
      <c r="E1121" s="3">
        <f t="shared" si="195"/>
        <v>101</v>
      </c>
      <c r="F1121" s="3" t="str">
        <f t="shared" si="196"/>
        <v>ack</v>
      </c>
      <c r="G1121" s="3" t="str">
        <f t="shared" si="197"/>
        <v>96</v>
      </c>
      <c r="H1121" s="3" t="str">
        <f t="shared" si="198"/>
        <v/>
      </c>
      <c r="I1121" s="3">
        <f t="shared" si="199"/>
        <v>150</v>
      </c>
      <c r="J1121" s="5" t="str">
        <f>IF(E1121=0,"Broadcast",IF(H1121="",IF(I1121="","",IF(I1121&lt;128,"Connect "&amp;I1121,INDEX(KdoCodeTab,MATCH(I1121,KdoWertTab,0)))),"ReadStat "&amp;H1121))</f>
        <v>RepSpaceCmd</v>
      </c>
      <c r="K1121" t="str">
        <f t="shared" si="189"/>
        <v/>
      </c>
      <c r="L1121" t="str">
        <f t="shared" si="190"/>
        <v/>
      </c>
      <c r="M1121" t="str">
        <f t="shared" si="191"/>
        <v>RepSpaceCmd</v>
      </c>
    </row>
    <row r="1122" spans="1:13" x14ac:dyDescent="0.25">
      <c r="A1122" t="s">
        <v>696</v>
      </c>
      <c r="B1122" s="6">
        <f t="shared" si="192"/>
        <v>8.8378333333333323</v>
      </c>
      <c r="C1122" s="9">
        <f t="shared" si="193"/>
        <v>19.333333333332092</v>
      </c>
      <c r="D1122" s="8" t="str">
        <f t="shared" si="194"/>
        <v>W</v>
      </c>
      <c r="E1122" s="3">
        <f t="shared" si="195"/>
        <v>101</v>
      </c>
      <c r="F1122" s="3" t="str">
        <f t="shared" si="196"/>
        <v>ack</v>
      </c>
      <c r="G1122" s="3" t="str">
        <f t="shared" si="197"/>
        <v>9C</v>
      </c>
      <c r="H1122" s="3" t="str">
        <f t="shared" si="198"/>
        <v/>
      </c>
      <c r="I1122" s="3">
        <f t="shared" si="199"/>
        <v>156</v>
      </c>
      <c r="J1122" s="5" t="str">
        <f>IF(E1122=0,"Broadcast",IF(H1122="",IF(I1122="","",IF(I1122&lt;128,"Connect "&amp;I1122,INDEX(KdoCodeTab,MATCH(I1122,KdoWertTab,0)))),"ReadStat "&amp;H1122))</f>
        <v>MarkCmd</v>
      </c>
      <c r="K1122" t="str">
        <f t="shared" si="189"/>
        <v/>
      </c>
      <c r="L1122" t="str">
        <f t="shared" si="190"/>
        <v/>
      </c>
      <c r="M1122" t="str">
        <f t="shared" si="191"/>
        <v>MarkCmd</v>
      </c>
    </row>
    <row r="1123" spans="1:13" x14ac:dyDescent="0.25">
      <c r="A1123" t="s">
        <v>697</v>
      </c>
      <c r="B1123" s="6">
        <f t="shared" si="192"/>
        <v>8.8386666666666667</v>
      </c>
      <c r="C1123" s="9">
        <f t="shared" si="193"/>
        <v>0.83333333333435178</v>
      </c>
      <c r="D1123" s="8" t="str">
        <f t="shared" si="194"/>
        <v>W</v>
      </c>
      <c r="E1123" s="3">
        <f t="shared" si="195"/>
        <v>101</v>
      </c>
      <c r="F1123" s="3" t="str">
        <f t="shared" si="196"/>
        <v>ack</v>
      </c>
      <c r="G1123" s="3" t="str">
        <f t="shared" si="197"/>
        <v>9A</v>
      </c>
      <c r="H1123" s="3" t="str">
        <f t="shared" si="198"/>
        <v/>
      </c>
      <c r="I1123" s="3">
        <f t="shared" si="199"/>
        <v>154</v>
      </c>
      <c r="J1123" s="5" t="str">
        <f>IF(E1123=0,"Broadcast",IF(H1123="",IF(I1123="","",IF(I1123&lt;128,"Connect "&amp;I1123,INDEX(KdoCodeTab,MATCH(I1123,KdoWertTab,0)))),"ReadStat "&amp;H1123))</f>
        <v>RepMarkCmd</v>
      </c>
      <c r="K1123" t="str">
        <f t="shared" si="189"/>
        <v/>
      </c>
      <c r="L1123" t="str">
        <f t="shared" si="190"/>
        <v/>
      </c>
      <c r="M1123" t="str">
        <f t="shared" si="191"/>
        <v>RepMarkCmd</v>
      </c>
    </row>
    <row r="1124" spans="1:13" x14ac:dyDescent="0.25">
      <c r="A1124" t="s">
        <v>698</v>
      </c>
      <c r="B1124" s="6">
        <f t="shared" si="192"/>
        <v>8.8580000000000005</v>
      </c>
      <c r="C1124" s="9">
        <f t="shared" si="193"/>
        <v>19.333333333333869</v>
      </c>
      <c r="D1124" s="8" t="str">
        <f t="shared" si="194"/>
        <v>W</v>
      </c>
      <c r="E1124" s="3">
        <f t="shared" si="195"/>
        <v>101</v>
      </c>
      <c r="F1124" s="3" t="str">
        <f t="shared" si="196"/>
        <v>ack</v>
      </c>
      <c r="G1124" s="3" t="str">
        <f t="shared" si="197"/>
        <v>93</v>
      </c>
      <c r="H1124" s="3" t="str">
        <f t="shared" si="198"/>
        <v/>
      </c>
      <c r="I1124" s="3">
        <f t="shared" si="199"/>
        <v>147</v>
      </c>
      <c r="J1124" s="5" t="str">
        <f>IF(E1124=0,"Broadcast",IF(H1124="",IF(I1124="","",IF(I1124&lt;128,"Connect "&amp;I1124,INDEX(KdoCodeTab,MATCH(I1124,KdoWertTab,0)))),"ReadStat "&amp;H1124))</f>
        <v>SpaceCmd</v>
      </c>
      <c r="K1124" t="str">
        <f t="shared" si="189"/>
        <v/>
      </c>
      <c r="L1124" t="str">
        <f t="shared" si="190"/>
        <v/>
      </c>
      <c r="M1124" t="str">
        <f t="shared" si="191"/>
        <v>SpaceCmd</v>
      </c>
    </row>
    <row r="1125" spans="1:13" x14ac:dyDescent="0.25">
      <c r="A1125" t="s">
        <v>699</v>
      </c>
      <c r="B1125" s="6">
        <f t="shared" si="192"/>
        <v>8.859</v>
      </c>
      <c r="C1125" s="9">
        <f t="shared" si="193"/>
        <v>0.99999999999944578</v>
      </c>
      <c r="D1125" s="8" t="str">
        <f t="shared" si="194"/>
        <v>W</v>
      </c>
      <c r="E1125" s="3">
        <f t="shared" si="195"/>
        <v>101</v>
      </c>
      <c r="F1125" s="3" t="str">
        <f t="shared" si="196"/>
        <v>ack</v>
      </c>
      <c r="G1125" s="3" t="str">
        <f t="shared" si="197"/>
        <v>96</v>
      </c>
      <c r="H1125" s="3" t="str">
        <f t="shared" si="198"/>
        <v/>
      </c>
      <c r="I1125" s="3">
        <f t="shared" si="199"/>
        <v>150</v>
      </c>
      <c r="J1125" s="5" t="str">
        <f>IF(E1125=0,"Broadcast",IF(H1125="",IF(I1125="","",IF(I1125&lt;128,"Connect "&amp;I1125,INDEX(KdoCodeTab,MATCH(I1125,KdoWertTab,0)))),"ReadStat "&amp;H1125))</f>
        <v>RepSpaceCmd</v>
      </c>
      <c r="K1125" t="str">
        <f t="shared" si="189"/>
        <v/>
      </c>
      <c r="L1125" t="str">
        <f t="shared" si="190"/>
        <v/>
      </c>
      <c r="M1125" t="str">
        <f t="shared" si="191"/>
        <v>RepSpaceCmd</v>
      </c>
    </row>
    <row r="1126" spans="1:13" x14ac:dyDescent="0.25">
      <c r="A1126" t="s">
        <v>700</v>
      </c>
      <c r="B1126" s="6">
        <f t="shared" si="192"/>
        <v>8.9168333333333329</v>
      </c>
      <c r="C1126" s="9">
        <f t="shared" si="193"/>
        <v>57.833333333332959</v>
      </c>
      <c r="D1126" s="8" t="str">
        <f t="shared" si="194"/>
        <v>W</v>
      </c>
      <c r="E1126" s="3">
        <f t="shared" si="195"/>
        <v>31</v>
      </c>
      <c r="F1126" s="3" t="str">
        <f t="shared" si="196"/>
        <v>ack</v>
      </c>
      <c r="G1126" s="3" t="str">
        <f t="shared" si="197"/>
        <v>9A</v>
      </c>
      <c r="H1126" s="3" t="str">
        <f t="shared" si="198"/>
        <v/>
      </c>
      <c r="I1126" s="3">
        <f t="shared" si="199"/>
        <v>154</v>
      </c>
      <c r="J1126" s="5" t="str">
        <f>IF(E1126=0,"Broadcast",IF(H1126="",IF(I1126="","",IF(I1126&lt;128,"Connect "&amp;I1126,INDEX(KdoCodeTab,MATCH(I1126,KdoWertTab,0)))),"ReadStat "&amp;H1126))</f>
        <v>RepMarkCmd</v>
      </c>
      <c r="K1126" t="str">
        <f t="shared" si="189"/>
        <v/>
      </c>
      <c r="L1126" t="str">
        <f t="shared" si="190"/>
        <v>RepMarkCmd</v>
      </c>
      <c r="M1126" t="str">
        <f t="shared" si="191"/>
        <v/>
      </c>
    </row>
    <row r="1127" spans="1:13" x14ac:dyDescent="0.25">
      <c r="A1127" t="s">
        <v>701</v>
      </c>
      <c r="B1127" s="6">
        <f t="shared" si="192"/>
        <v>8.9176666666666673</v>
      </c>
      <c r="C1127" s="9">
        <f t="shared" si="193"/>
        <v>0.83333333333435178</v>
      </c>
      <c r="D1127" s="8" t="str">
        <f t="shared" si="194"/>
        <v>W</v>
      </c>
      <c r="E1127" s="3">
        <f t="shared" si="195"/>
        <v>101</v>
      </c>
      <c r="F1127" s="3" t="str">
        <f t="shared" si="196"/>
        <v>ack</v>
      </c>
      <c r="G1127" s="3" t="str">
        <f t="shared" si="197"/>
        <v>9C</v>
      </c>
      <c r="H1127" s="3" t="str">
        <f t="shared" si="198"/>
        <v/>
      </c>
      <c r="I1127" s="3">
        <f t="shared" si="199"/>
        <v>156</v>
      </c>
      <c r="J1127" s="5" t="str">
        <f>IF(E1127=0,"Broadcast",IF(H1127="",IF(I1127="","",IF(I1127&lt;128,"Connect "&amp;I1127,INDEX(KdoCodeTab,MATCH(I1127,KdoWertTab,0)))),"ReadStat "&amp;H1127))</f>
        <v>MarkCmd</v>
      </c>
      <c r="K1127" t="str">
        <f t="shared" si="189"/>
        <v/>
      </c>
      <c r="L1127" t="str">
        <f t="shared" si="190"/>
        <v/>
      </c>
      <c r="M1127" t="str">
        <f t="shared" si="191"/>
        <v>MarkCmd</v>
      </c>
    </row>
    <row r="1128" spans="1:13" x14ac:dyDescent="0.25">
      <c r="A1128" t="s">
        <v>702</v>
      </c>
      <c r="B1128" s="6">
        <f t="shared" si="192"/>
        <v>8.9186666666666667</v>
      </c>
      <c r="C1128" s="9">
        <f t="shared" si="193"/>
        <v>0.99999999999944578</v>
      </c>
      <c r="D1128" s="8" t="str">
        <f t="shared" si="194"/>
        <v>W</v>
      </c>
      <c r="E1128" s="3">
        <f t="shared" si="195"/>
        <v>101</v>
      </c>
      <c r="F1128" s="3" t="str">
        <f t="shared" si="196"/>
        <v>ack</v>
      </c>
      <c r="G1128" s="3" t="str">
        <f t="shared" si="197"/>
        <v>9A</v>
      </c>
      <c r="H1128" s="3" t="str">
        <f t="shared" si="198"/>
        <v/>
      </c>
      <c r="I1128" s="3">
        <f t="shared" si="199"/>
        <v>154</v>
      </c>
      <c r="J1128" s="5" t="str">
        <f>IF(E1128=0,"Broadcast",IF(H1128="",IF(I1128="","",IF(I1128&lt;128,"Connect "&amp;I1128,INDEX(KdoCodeTab,MATCH(I1128,KdoWertTab,0)))),"ReadStat "&amp;H1128))</f>
        <v>RepMarkCmd</v>
      </c>
      <c r="K1128" t="str">
        <f t="shared" si="189"/>
        <v/>
      </c>
      <c r="L1128" t="str">
        <f t="shared" si="190"/>
        <v/>
      </c>
      <c r="M1128" t="str">
        <f t="shared" si="191"/>
        <v>RepMarkCmd</v>
      </c>
    </row>
    <row r="1129" spans="1:13" x14ac:dyDescent="0.25">
      <c r="A1129" t="s">
        <v>703</v>
      </c>
      <c r="B1129" s="6">
        <f t="shared" si="192"/>
        <v>9.0579999999999998</v>
      </c>
      <c r="C1129" s="9">
        <f t="shared" si="193"/>
        <v>139.33333333333309</v>
      </c>
      <c r="D1129" s="8" t="str">
        <f t="shared" si="194"/>
        <v>W</v>
      </c>
      <c r="E1129" s="3">
        <f t="shared" si="195"/>
        <v>101</v>
      </c>
      <c r="F1129" s="3" t="str">
        <f t="shared" si="196"/>
        <v>ack</v>
      </c>
      <c r="G1129" s="3" t="str">
        <f t="shared" si="197"/>
        <v>93</v>
      </c>
      <c r="H1129" s="3" t="str">
        <f t="shared" si="198"/>
        <v/>
      </c>
      <c r="I1129" s="3">
        <f t="shared" si="199"/>
        <v>147</v>
      </c>
      <c r="J1129" s="5" t="str">
        <f>IF(E1129=0,"Broadcast",IF(H1129="",IF(I1129="","",IF(I1129&lt;128,"Connect "&amp;I1129,INDEX(KdoCodeTab,MATCH(I1129,KdoWertTab,0)))),"ReadStat "&amp;H1129))</f>
        <v>SpaceCmd</v>
      </c>
      <c r="K1129" t="str">
        <f t="shared" si="189"/>
        <v/>
      </c>
      <c r="L1129" t="str">
        <f t="shared" si="190"/>
        <v/>
      </c>
      <c r="M1129" t="str">
        <f t="shared" si="191"/>
        <v>SpaceCmd</v>
      </c>
    </row>
    <row r="1130" spans="1:13" x14ac:dyDescent="0.25">
      <c r="A1130" t="s">
        <v>704</v>
      </c>
      <c r="B1130" s="6">
        <f t="shared" si="192"/>
        <v>9.0589999999999993</v>
      </c>
      <c r="C1130" s="9">
        <f t="shared" si="193"/>
        <v>0.99999999999944578</v>
      </c>
      <c r="D1130" s="8" t="str">
        <f t="shared" si="194"/>
        <v>W</v>
      </c>
      <c r="E1130" s="3">
        <f t="shared" si="195"/>
        <v>101</v>
      </c>
      <c r="F1130" s="3" t="str">
        <f t="shared" si="196"/>
        <v>ack</v>
      </c>
      <c r="G1130" s="3" t="str">
        <f t="shared" si="197"/>
        <v>96</v>
      </c>
      <c r="H1130" s="3" t="str">
        <f t="shared" si="198"/>
        <v/>
      </c>
      <c r="I1130" s="3">
        <f t="shared" si="199"/>
        <v>150</v>
      </c>
      <c r="J1130" s="5" t="str">
        <f>IF(E1130=0,"Broadcast",IF(H1130="",IF(I1130="","",IF(I1130&lt;128,"Connect "&amp;I1130,INDEX(KdoCodeTab,MATCH(I1130,KdoWertTab,0)))),"ReadStat "&amp;H1130))</f>
        <v>RepSpaceCmd</v>
      </c>
      <c r="K1130" t="str">
        <f t="shared" si="189"/>
        <v/>
      </c>
      <c r="L1130" t="str">
        <f t="shared" si="190"/>
        <v/>
      </c>
      <c r="M1130" t="str">
        <f t="shared" si="191"/>
        <v>RepSpaceCmd</v>
      </c>
    </row>
    <row r="1131" spans="1:13" x14ac:dyDescent="0.25">
      <c r="A1131" t="s">
        <v>705</v>
      </c>
      <c r="B1131" s="6">
        <f t="shared" si="192"/>
        <v>9.1388333333333325</v>
      </c>
      <c r="C1131" s="9">
        <f t="shared" si="193"/>
        <v>79.833333333333201</v>
      </c>
      <c r="D1131" s="8" t="str">
        <f t="shared" si="194"/>
        <v>W</v>
      </c>
      <c r="E1131" s="3">
        <f t="shared" si="195"/>
        <v>101</v>
      </c>
      <c r="F1131" s="3" t="str">
        <f t="shared" si="196"/>
        <v>ack</v>
      </c>
      <c r="G1131" s="3" t="str">
        <f t="shared" si="197"/>
        <v>9C</v>
      </c>
      <c r="H1131" s="3" t="str">
        <f t="shared" si="198"/>
        <v/>
      </c>
      <c r="I1131" s="3">
        <f t="shared" si="199"/>
        <v>156</v>
      </c>
      <c r="J1131" s="5" t="str">
        <f>IF(E1131=0,"Broadcast",IF(H1131="",IF(I1131="","",IF(I1131&lt;128,"Connect "&amp;I1131,INDEX(KdoCodeTab,MATCH(I1131,KdoWertTab,0)))),"ReadStat "&amp;H1131))</f>
        <v>MarkCmd</v>
      </c>
      <c r="K1131" t="str">
        <f t="shared" si="189"/>
        <v/>
      </c>
      <c r="L1131" t="str">
        <f t="shared" si="190"/>
        <v/>
      </c>
      <c r="M1131" t="str">
        <f t="shared" si="191"/>
        <v>MarkCmd</v>
      </c>
    </row>
    <row r="1132" spans="1:13" x14ac:dyDescent="0.25">
      <c r="A1132" t="s">
        <v>706</v>
      </c>
      <c r="B1132" s="6">
        <f t="shared" si="192"/>
        <v>9.1398333333333319</v>
      </c>
      <c r="C1132" s="9">
        <f t="shared" si="193"/>
        <v>0.99999999999944578</v>
      </c>
      <c r="D1132" s="8" t="str">
        <f t="shared" si="194"/>
        <v>W</v>
      </c>
      <c r="E1132" s="3">
        <f t="shared" si="195"/>
        <v>101</v>
      </c>
      <c r="F1132" s="3" t="str">
        <f t="shared" si="196"/>
        <v>ack</v>
      </c>
      <c r="G1132" s="3" t="str">
        <f t="shared" si="197"/>
        <v>9A</v>
      </c>
      <c r="H1132" s="3" t="str">
        <f t="shared" si="198"/>
        <v/>
      </c>
      <c r="I1132" s="3">
        <f t="shared" si="199"/>
        <v>154</v>
      </c>
      <c r="J1132" s="5" t="str">
        <f>IF(E1132=0,"Broadcast",IF(H1132="",IF(I1132="","",IF(I1132&lt;128,"Connect "&amp;I1132,INDEX(KdoCodeTab,MATCH(I1132,KdoWertTab,0)))),"ReadStat "&amp;H1132))</f>
        <v>RepMarkCmd</v>
      </c>
      <c r="K1132" t="str">
        <f t="shared" si="189"/>
        <v/>
      </c>
      <c r="L1132" t="str">
        <f t="shared" si="190"/>
        <v/>
      </c>
      <c r="M1132" t="str">
        <f t="shared" si="191"/>
        <v>RepMarkCmd</v>
      </c>
    </row>
    <row r="1133" spans="1:13" x14ac:dyDescent="0.25">
      <c r="A1133" t="s">
        <v>707</v>
      </c>
      <c r="B1133" s="6">
        <f t="shared" si="192"/>
        <v>9.1590000000000007</v>
      </c>
      <c r="C1133" s="9">
        <f t="shared" si="193"/>
        <v>19.166666666668775</v>
      </c>
      <c r="D1133" s="8" t="str">
        <f t="shared" si="194"/>
        <v>W</v>
      </c>
      <c r="E1133" s="3">
        <f t="shared" si="195"/>
        <v>101</v>
      </c>
      <c r="F1133" s="3" t="str">
        <f t="shared" si="196"/>
        <v>ack</v>
      </c>
      <c r="G1133" s="3" t="str">
        <f t="shared" si="197"/>
        <v>93</v>
      </c>
      <c r="H1133" s="3" t="str">
        <f t="shared" si="198"/>
        <v/>
      </c>
      <c r="I1133" s="3">
        <f t="shared" si="199"/>
        <v>147</v>
      </c>
      <c r="J1133" s="5" t="str">
        <f>IF(E1133=0,"Broadcast",IF(H1133="",IF(I1133="","",IF(I1133&lt;128,"Connect "&amp;I1133,INDEX(KdoCodeTab,MATCH(I1133,KdoWertTab,0)))),"ReadStat "&amp;H1133))</f>
        <v>SpaceCmd</v>
      </c>
      <c r="K1133" t="str">
        <f t="shared" si="189"/>
        <v/>
      </c>
      <c r="L1133" t="str">
        <f t="shared" si="190"/>
        <v/>
      </c>
      <c r="M1133" t="str">
        <f t="shared" si="191"/>
        <v>SpaceCmd</v>
      </c>
    </row>
    <row r="1134" spans="1:13" x14ac:dyDescent="0.25">
      <c r="A1134" t="s">
        <v>708</v>
      </c>
      <c r="B1134" s="6">
        <f t="shared" si="192"/>
        <v>9.16</v>
      </c>
      <c r="C1134" s="9">
        <f t="shared" si="193"/>
        <v>0.99999999999944578</v>
      </c>
      <c r="D1134" s="8" t="str">
        <f t="shared" si="194"/>
        <v>W</v>
      </c>
      <c r="E1134" s="3">
        <f t="shared" si="195"/>
        <v>101</v>
      </c>
      <c r="F1134" s="3" t="str">
        <f t="shared" si="196"/>
        <v>ack</v>
      </c>
      <c r="G1134" s="3" t="str">
        <f t="shared" si="197"/>
        <v>96</v>
      </c>
      <c r="H1134" s="3" t="str">
        <f t="shared" si="198"/>
        <v/>
      </c>
      <c r="I1134" s="3">
        <f t="shared" si="199"/>
        <v>150</v>
      </c>
      <c r="J1134" s="5" t="str">
        <f>IF(E1134=0,"Broadcast",IF(H1134="",IF(I1134="","",IF(I1134&lt;128,"Connect "&amp;I1134,INDEX(KdoCodeTab,MATCH(I1134,KdoWertTab,0)))),"ReadStat "&amp;H1134))</f>
        <v>RepSpaceCmd</v>
      </c>
      <c r="K1134" t="str">
        <f t="shared" si="189"/>
        <v/>
      </c>
      <c r="L1134" t="str">
        <f t="shared" si="190"/>
        <v/>
      </c>
      <c r="M1134" t="str">
        <f t="shared" si="191"/>
        <v>RepSpaceCmd</v>
      </c>
    </row>
    <row r="1135" spans="1:13" x14ac:dyDescent="0.25">
      <c r="A1135" t="s">
        <v>709</v>
      </c>
      <c r="B1135" s="6">
        <f t="shared" si="192"/>
        <v>9.179333333333334</v>
      </c>
      <c r="C1135" s="9">
        <f t="shared" si="193"/>
        <v>19.333333333333869</v>
      </c>
      <c r="D1135" s="8" t="str">
        <f t="shared" si="194"/>
        <v>W</v>
      </c>
      <c r="E1135" s="3">
        <f t="shared" si="195"/>
        <v>101</v>
      </c>
      <c r="F1135" s="3" t="str">
        <f t="shared" si="196"/>
        <v>ack</v>
      </c>
      <c r="G1135" s="3" t="str">
        <f t="shared" si="197"/>
        <v>9C</v>
      </c>
      <c r="H1135" s="3" t="str">
        <f t="shared" si="198"/>
        <v/>
      </c>
      <c r="I1135" s="3">
        <f t="shared" si="199"/>
        <v>156</v>
      </c>
      <c r="J1135" s="5" t="str">
        <f>IF(E1135=0,"Broadcast",IF(H1135="",IF(I1135="","",IF(I1135&lt;128,"Connect "&amp;I1135,INDEX(KdoCodeTab,MATCH(I1135,KdoWertTab,0)))),"ReadStat "&amp;H1135))</f>
        <v>MarkCmd</v>
      </c>
      <c r="K1135" t="str">
        <f t="shared" si="189"/>
        <v/>
      </c>
      <c r="L1135" t="str">
        <f t="shared" si="190"/>
        <v/>
      </c>
      <c r="M1135" t="str">
        <f t="shared" si="191"/>
        <v>MarkCmd</v>
      </c>
    </row>
    <row r="1136" spans="1:13" x14ac:dyDescent="0.25">
      <c r="A1136" t="s">
        <v>710</v>
      </c>
      <c r="B1136" s="6">
        <f t="shared" si="192"/>
        <v>9.1803333333333335</v>
      </c>
      <c r="C1136" s="9">
        <f t="shared" si="193"/>
        <v>0.99999999999944578</v>
      </c>
      <c r="D1136" s="8" t="str">
        <f t="shared" si="194"/>
        <v>W</v>
      </c>
      <c r="E1136" s="3">
        <f t="shared" si="195"/>
        <v>101</v>
      </c>
      <c r="F1136" s="3" t="str">
        <f t="shared" si="196"/>
        <v>ack</v>
      </c>
      <c r="G1136" s="3" t="str">
        <f t="shared" si="197"/>
        <v>9A</v>
      </c>
      <c r="H1136" s="3" t="str">
        <f t="shared" si="198"/>
        <v/>
      </c>
      <c r="I1136" s="3">
        <f t="shared" si="199"/>
        <v>154</v>
      </c>
      <c r="J1136" s="5" t="str">
        <f>IF(E1136=0,"Broadcast",IF(H1136="",IF(I1136="","",IF(I1136&lt;128,"Connect "&amp;I1136,INDEX(KdoCodeTab,MATCH(I1136,KdoWertTab,0)))),"ReadStat "&amp;H1136))</f>
        <v>RepMarkCmd</v>
      </c>
      <c r="K1136" t="str">
        <f t="shared" si="189"/>
        <v/>
      </c>
      <c r="L1136" t="str">
        <f t="shared" si="190"/>
        <v/>
      </c>
      <c r="M1136" t="str">
        <f t="shared" si="191"/>
        <v>RepMarkCmd</v>
      </c>
    </row>
    <row r="1137" spans="1:13" x14ac:dyDescent="0.25">
      <c r="A1137" t="s">
        <v>711</v>
      </c>
      <c r="B1137" s="6">
        <f t="shared" si="192"/>
        <v>9.2893333333333334</v>
      </c>
      <c r="C1137" s="9">
        <f t="shared" si="193"/>
        <v>108.99999999999999</v>
      </c>
      <c r="D1137" s="8" t="str">
        <f t="shared" si="194"/>
        <v>W</v>
      </c>
      <c r="E1137" s="3">
        <f t="shared" si="195"/>
        <v>101</v>
      </c>
      <c r="F1137" s="3" t="str">
        <f t="shared" si="196"/>
        <v>ack</v>
      </c>
      <c r="G1137" s="3" t="str">
        <f t="shared" si="197"/>
        <v>93</v>
      </c>
      <c r="H1137" s="3" t="str">
        <f t="shared" si="198"/>
        <v/>
      </c>
      <c r="I1137" s="3">
        <f t="shared" si="199"/>
        <v>147</v>
      </c>
      <c r="J1137" s="5" t="str">
        <f>IF(E1137=0,"Broadcast",IF(H1137="",IF(I1137="","",IF(I1137&lt;128,"Connect "&amp;I1137,INDEX(KdoCodeTab,MATCH(I1137,KdoWertTab,0)))),"ReadStat "&amp;H1137))</f>
        <v>SpaceCmd</v>
      </c>
      <c r="K1137" t="str">
        <f t="shared" si="189"/>
        <v/>
      </c>
      <c r="L1137" t="str">
        <f t="shared" si="190"/>
        <v/>
      </c>
      <c r="M1137" t="str">
        <f t="shared" si="191"/>
        <v>SpaceCmd</v>
      </c>
    </row>
    <row r="1138" spans="1:13" x14ac:dyDescent="0.25">
      <c r="A1138" t="s">
        <v>712</v>
      </c>
      <c r="B1138" s="6">
        <f t="shared" si="192"/>
        <v>9.2903333333333329</v>
      </c>
      <c r="C1138" s="9">
        <f t="shared" si="193"/>
        <v>0.99999999999944578</v>
      </c>
      <c r="D1138" s="8" t="str">
        <f t="shared" si="194"/>
        <v>W</v>
      </c>
      <c r="E1138" s="3">
        <f t="shared" si="195"/>
        <v>101</v>
      </c>
      <c r="F1138" s="3" t="str">
        <f t="shared" si="196"/>
        <v>ack</v>
      </c>
      <c r="G1138" s="3" t="str">
        <f t="shared" si="197"/>
        <v>96</v>
      </c>
      <c r="H1138" s="3" t="str">
        <f t="shared" si="198"/>
        <v/>
      </c>
      <c r="I1138" s="3">
        <f t="shared" si="199"/>
        <v>150</v>
      </c>
      <c r="J1138" s="5" t="str">
        <f>IF(E1138=0,"Broadcast",IF(H1138="",IF(I1138="","",IF(I1138&lt;128,"Connect "&amp;I1138,INDEX(KdoCodeTab,MATCH(I1138,KdoWertTab,0)))),"ReadStat "&amp;H1138))</f>
        <v>RepSpaceCmd</v>
      </c>
      <c r="K1138" t="str">
        <f t="shared" si="189"/>
        <v/>
      </c>
      <c r="L1138" t="str">
        <f t="shared" si="190"/>
        <v/>
      </c>
      <c r="M1138" t="str">
        <f t="shared" si="191"/>
        <v>RepSpaceCmd</v>
      </c>
    </row>
    <row r="1139" spans="1:13" x14ac:dyDescent="0.25">
      <c r="A1139" t="s">
        <v>713</v>
      </c>
      <c r="B1139" s="6">
        <f t="shared" si="192"/>
        <v>9.2923333333333336</v>
      </c>
      <c r="C1139" s="9">
        <f t="shared" si="193"/>
        <v>2.0000000000006679</v>
      </c>
      <c r="D1139" s="8" t="str">
        <f t="shared" si="194"/>
        <v>W</v>
      </c>
      <c r="E1139" s="3">
        <f t="shared" si="195"/>
        <v>101</v>
      </c>
      <c r="F1139" s="3" t="str">
        <f t="shared" si="196"/>
        <v>ack</v>
      </c>
      <c r="G1139" s="3" t="str">
        <f t="shared" si="197"/>
        <v>A9</v>
      </c>
      <c r="H1139" s="3" t="str">
        <f t="shared" si="198"/>
        <v/>
      </c>
      <c r="I1139" s="3">
        <f t="shared" si="199"/>
        <v>169</v>
      </c>
      <c r="J1139" s="5" t="str">
        <f>IF(E1139=0,"Broadcast",IF(H1139="",IF(I1139="","",IF(I1139&lt;128,"Connect "&amp;I1139,INDEX(KdoCodeTab,MATCH(I1139,KdoWertTab,0)))),"ReadStat "&amp;H1139))</f>
        <v>Heartbeat</v>
      </c>
      <c r="K1139" t="str">
        <f t="shared" si="189"/>
        <v/>
      </c>
      <c r="L1139" t="str">
        <f t="shared" si="190"/>
        <v/>
      </c>
      <c r="M1139" t="str">
        <f t="shared" si="191"/>
        <v>Heartbeat</v>
      </c>
    </row>
    <row r="1140" spans="1:13" x14ac:dyDescent="0.25">
      <c r="A1140" t="s">
        <v>714</v>
      </c>
      <c r="B1140" s="6">
        <f t="shared" si="192"/>
        <v>9.3296666666666681</v>
      </c>
      <c r="C1140" s="9">
        <f t="shared" si="193"/>
        <v>37.333333333334551</v>
      </c>
      <c r="D1140" s="8" t="str">
        <f t="shared" si="194"/>
        <v>W</v>
      </c>
      <c r="E1140" s="3">
        <f t="shared" si="195"/>
        <v>101</v>
      </c>
      <c r="F1140" s="3" t="str">
        <f t="shared" si="196"/>
        <v>ack</v>
      </c>
      <c r="G1140" s="3" t="str">
        <f t="shared" si="197"/>
        <v>9C</v>
      </c>
      <c r="H1140" s="3" t="str">
        <f t="shared" si="198"/>
        <v/>
      </c>
      <c r="I1140" s="3">
        <f t="shared" si="199"/>
        <v>156</v>
      </c>
      <c r="J1140" s="5" t="str">
        <f>IF(E1140=0,"Broadcast",IF(H1140="",IF(I1140="","",IF(I1140&lt;128,"Connect "&amp;I1140,INDEX(KdoCodeTab,MATCH(I1140,KdoWertTab,0)))),"ReadStat "&amp;H1140))</f>
        <v>MarkCmd</v>
      </c>
      <c r="K1140" t="str">
        <f t="shared" si="189"/>
        <v/>
      </c>
      <c r="L1140" t="str">
        <f t="shared" si="190"/>
        <v/>
      </c>
      <c r="M1140" t="str">
        <f t="shared" si="191"/>
        <v>MarkCmd</v>
      </c>
    </row>
    <row r="1141" spans="1:13" x14ac:dyDescent="0.25">
      <c r="A1141" t="s">
        <v>715</v>
      </c>
      <c r="B1141" s="6">
        <f t="shared" si="192"/>
        <v>9.3306666666666676</v>
      </c>
      <c r="C1141" s="9">
        <f t="shared" si="193"/>
        <v>0.99999999999944578</v>
      </c>
      <c r="D1141" s="8" t="str">
        <f t="shared" si="194"/>
        <v>W</v>
      </c>
      <c r="E1141" s="3">
        <f t="shared" si="195"/>
        <v>101</v>
      </c>
      <c r="F1141" s="3" t="str">
        <f t="shared" si="196"/>
        <v>ack</v>
      </c>
      <c r="G1141" s="3" t="str">
        <f t="shared" si="197"/>
        <v>9A</v>
      </c>
      <c r="H1141" s="3" t="str">
        <f t="shared" si="198"/>
        <v/>
      </c>
      <c r="I1141" s="3">
        <f t="shared" si="199"/>
        <v>154</v>
      </c>
      <c r="J1141" s="5" t="str">
        <f>IF(E1141=0,"Broadcast",IF(H1141="",IF(I1141="","",IF(I1141&lt;128,"Connect "&amp;I1141,INDEX(KdoCodeTab,MATCH(I1141,KdoWertTab,0)))),"ReadStat "&amp;H1141))</f>
        <v>RepMarkCmd</v>
      </c>
      <c r="K1141" t="str">
        <f t="shared" si="189"/>
        <v/>
      </c>
      <c r="L1141" t="str">
        <f t="shared" si="190"/>
        <v/>
      </c>
      <c r="M1141" t="str">
        <f t="shared" si="191"/>
        <v>RepMarkCmd</v>
      </c>
    </row>
    <row r="1142" spans="1:13" x14ac:dyDescent="0.25">
      <c r="A1142" t="s">
        <v>716</v>
      </c>
      <c r="B1142" s="6">
        <f t="shared" si="192"/>
        <v>9.35</v>
      </c>
      <c r="C1142" s="9">
        <f t="shared" si="193"/>
        <v>19.333333333332092</v>
      </c>
      <c r="D1142" s="8" t="str">
        <f t="shared" si="194"/>
        <v>W</v>
      </c>
      <c r="E1142" s="3">
        <f t="shared" si="195"/>
        <v>101</v>
      </c>
      <c r="F1142" s="3" t="str">
        <f t="shared" si="196"/>
        <v>ack</v>
      </c>
      <c r="G1142" s="3" t="str">
        <f t="shared" si="197"/>
        <v>93</v>
      </c>
      <c r="H1142" s="3" t="str">
        <f t="shared" si="198"/>
        <v/>
      </c>
      <c r="I1142" s="3">
        <f t="shared" si="199"/>
        <v>147</v>
      </c>
      <c r="J1142" s="5" t="str">
        <f>IF(E1142=0,"Broadcast",IF(H1142="",IF(I1142="","",IF(I1142&lt;128,"Connect "&amp;I1142,INDEX(KdoCodeTab,MATCH(I1142,KdoWertTab,0)))),"ReadStat "&amp;H1142))</f>
        <v>SpaceCmd</v>
      </c>
      <c r="K1142" t="str">
        <f t="shared" si="189"/>
        <v/>
      </c>
      <c r="L1142" t="str">
        <f t="shared" si="190"/>
        <v/>
      </c>
      <c r="M1142" t="str">
        <f t="shared" si="191"/>
        <v>SpaceCmd</v>
      </c>
    </row>
    <row r="1143" spans="1:13" x14ac:dyDescent="0.25">
      <c r="A1143" t="s">
        <v>717</v>
      </c>
      <c r="B1143" s="6">
        <f t="shared" si="192"/>
        <v>9.3510000000000009</v>
      </c>
      <c r="C1143" s="9">
        <f t="shared" si="193"/>
        <v>1.0000000000012221</v>
      </c>
      <c r="D1143" s="8" t="str">
        <f t="shared" si="194"/>
        <v>W</v>
      </c>
      <c r="E1143" s="3">
        <f t="shared" si="195"/>
        <v>101</v>
      </c>
      <c r="F1143" s="3" t="str">
        <f t="shared" si="196"/>
        <v>ack</v>
      </c>
      <c r="G1143" s="3" t="str">
        <f t="shared" si="197"/>
        <v>96</v>
      </c>
      <c r="H1143" s="3" t="str">
        <f t="shared" si="198"/>
        <v/>
      </c>
      <c r="I1143" s="3">
        <f t="shared" si="199"/>
        <v>150</v>
      </c>
      <c r="J1143" s="5" t="str">
        <f>IF(E1143=0,"Broadcast",IF(H1143="",IF(I1143="","",IF(I1143&lt;128,"Connect "&amp;I1143,INDEX(KdoCodeTab,MATCH(I1143,KdoWertTab,0)))),"ReadStat "&amp;H1143))</f>
        <v>RepSpaceCmd</v>
      </c>
      <c r="K1143" t="str">
        <f t="shared" si="189"/>
        <v/>
      </c>
      <c r="L1143" t="str">
        <f t="shared" si="190"/>
        <v/>
      </c>
      <c r="M1143" t="str">
        <f t="shared" si="191"/>
        <v>RepSpaceCmd</v>
      </c>
    </row>
    <row r="1144" spans="1:13" x14ac:dyDescent="0.25">
      <c r="A1144" t="s">
        <v>718</v>
      </c>
      <c r="B1144" s="6">
        <f t="shared" si="192"/>
        <v>9.4106666666666676</v>
      </c>
      <c r="C1144" s="9">
        <f t="shared" si="193"/>
        <v>59.666666666666757</v>
      </c>
      <c r="D1144" s="8" t="str">
        <f t="shared" si="194"/>
        <v>W</v>
      </c>
      <c r="E1144" s="3">
        <f t="shared" si="195"/>
        <v>101</v>
      </c>
      <c r="F1144" s="3" t="str">
        <f t="shared" si="196"/>
        <v>ack</v>
      </c>
      <c r="G1144" s="3" t="str">
        <f t="shared" si="197"/>
        <v>9C</v>
      </c>
      <c r="H1144" s="3" t="str">
        <f t="shared" si="198"/>
        <v/>
      </c>
      <c r="I1144" s="3">
        <f t="shared" si="199"/>
        <v>156</v>
      </c>
      <c r="J1144" s="5" t="str">
        <f>IF(E1144=0,"Broadcast",IF(H1144="",IF(I1144="","",IF(I1144&lt;128,"Connect "&amp;I1144,INDEX(KdoCodeTab,MATCH(I1144,KdoWertTab,0)))),"ReadStat "&amp;H1144))</f>
        <v>MarkCmd</v>
      </c>
      <c r="K1144" t="str">
        <f t="shared" si="189"/>
        <v/>
      </c>
      <c r="L1144" t="str">
        <f t="shared" si="190"/>
        <v/>
      </c>
      <c r="M1144" t="str">
        <f t="shared" si="191"/>
        <v>MarkCmd</v>
      </c>
    </row>
    <row r="1145" spans="1:13" x14ac:dyDescent="0.25">
      <c r="A1145" t="s">
        <v>719</v>
      </c>
      <c r="B1145" s="6">
        <f t="shared" si="192"/>
        <v>9.4116666666666671</v>
      </c>
      <c r="C1145" s="9">
        <f t="shared" si="193"/>
        <v>0.99999999999944578</v>
      </c>
      <c r="D1145" s="8" t="str">
        <f t="shared" si="194"/>
        <v>W</v>
      </c>
      <c r="E1145" s="3">
        <f t="shared" si="195"/>
        <v>101</v>
      </c>
      <c r="F1145" s="3" t="str">
        <f t="shared" si="196"/>
        <v>ack</v>
      </c>
      <c r="G1145" s="3" t="str">
        <f t="shared" si="197"/>
        <v>9A</v>
      </c>
      <c r="H1145" s="3" t="str">
        <f t="shared" si="198"/>
        <v/>
      </c>
      <c r="I1145" s="3">
        <f t="shared" si="199"/>
        <v>154</v>
      </c>
      <c r="J1145" s="5" t="str">
        <f>IF(E1145=0,"Broadcast",IF(H1145="",IF(I1145="","",IF(I1145&lt;128,"Connect "&amp;I1145,INDEX(KdoCodeTab,MATCH(I1145,KdoWertTab,0)))),"ReadStat "&amp;H1145))</f>
        <v>RepMarkCmd</v>
      </c>
      <c r="K1145" t="str">
        <f t="shared" si="189"/>
        <v/>
      </c>
      <c r="L1145" t="str">
        <f t="shared" si="190"/>
        <v/>
      </c>
      <c r="M1145" t="str">
        <f t="shared" si="191"/>
        <v>RepMarkCmd</v>
      </c>
    </row>
    <row r="1146" spans="1:13" x14ac:dyDescent="0.25">
      <c r="A1146" t="s">
        <v>720</v>
      </c>
      <c r="B1146" s="6">
        <f t="shared" si="192"/>
        <v>9.4228333333333332</v>
      </c>
      <c r="C1146" s="9">
        <f t="shared" si="193"/>
        <v>11.166666666666103</v>
      </c>
      <c r="D1146" s="8" t="str">
        <f t="shared" si="194"/>
        <v>W</v>
      </c>
      <c r="E1146" s="3">
        <f t="shared" si="195"/>
        <v>31</v>
      </c>
      <c r="F1146" s="3" t="str">
        <f t="shared" si="196"/>
        <v>ack</v>
      </c>
      <c r="G1146" s="3" t="str">
        <f t="shared" si="197"/>
        <v>9A</v>
      </c>
      <c r="H1146" s="3" t="str">
        <f t="shared" si="198"/>
        <v/>
      </c>
      <c r="I1146" s="3">
        <f t="shared" si="199"/>
        <v>154</v>
      </c>
      <c r="J1146" s="5" t="str">
        <f>IF(E1146=0,"Broadcast",IF(H1146="",IF(I1146="","",IF(I1146&lt;128,"Connect "&amp;I1146,INDEX(KdoCodeTab,MATCH(I1146,KdoWertTab,0)))),"ReadStat "&amp;H1146))</f>
        <v>RepMarkCmd</v>
      </c>
      <c r="K1146" t="str">
        <f t="shared" si="189"/>
        <v/>
      </c>
      <c r="L1146" t="str">
        <f t="shared" si="190"/>
        <v>RepMarkCmd</v>
      </c>
      <c r="M1146" t="str">
        <f t="shared" si="191"/>
        <v/>
      </c>
    </row>
    <row r="1147" spans="1:13" x14ac:dyDescent="0.25">
      <c r="A1147" t="s">
        <v>721</v>
      </c>
      <c r="B1147" s="6">
        <f t="shared" si="192"/>
        <v>9.6974999999999998</v>
      </c>
      <c r="C1147" s="9">
        <f t="shared" si="193"/>
        <v>274.66666666666663</v>
      </c>
      <c r="D1147" s="8" t="str">
        <f t="shared" si="194"/>
        <v>W</v>
      </c>
      <c r="E1147" s="3">
        <f t="shared" si="195"/>
        <v>101</v>
      </c>
      <c r="F1147" s="3" t="str">
        <f t="shared" si="196"/>
        <v>ack</v>
      </c>
      <c r="G1147" s="3" t="str">
        <f t="shared" si="197"/>
        <v>93</v>
      </c>
      <c r="H1147" s="3" t="str">
        <f t="shared" si="198"/>
        <v/>
      </c>
      <c r="I1147" s="3">
        <f t="shared" si="199"/>
        <v>147</v>
      </c>
      <c r="J1147" s="5" t="str">
        <f>IF(E1147=0,"Broadcast",IF(H1147="",IF(I1147="","",IF(I1147&lt;128,"Connect "&amp;I1147,INDEX(KdoCodeTab,MATCH(I1147,KdoWertTab,0)))),"ReadStat "&amp;H1147))</f>
        <v>SpaceCmd</v>
      </c>
      <c r="K1147" t="str">
        <f t="shared" ref="K1147:K1210" si="200">IF(E1147=$K$2,J1147,"")</f>
        <v/>
      </c>
      <c r="L1147" t="str">
        <f t="shared" ref="L1147:L1210" si="201">IF(E1147=$L$2,J1147,"")</f>
        <v/>
      </c>
      <c r="M1147" t="str">
        <f t="shared" ref="M1147:M1210" si="202">IF(K1147&amp;L1147="",J1147,"")</f>
        <v>SpaceCmd</v>
      </c>
    </row>
    <row r="1148" spans="1:13" x14ac:dyDescent="0.25">
      <c r="A1148" t="s">
        <v>722</v>
      </c>
      <c r="B1148" s="6">
        <f t="shared" si="192"/>
        <v>9.698500000000001</v>
      </c>
      <c r="C1148" s="9">
        <f t="shared" si="193"/>
        <v>1.0000000000012221</v>
      </c>
      <c r="D1148" s="8" t="str">
        <f t="shared" si="194"/>
        <v>W</v>
      </c>
      <c r="E1148" s="3">
        <f t="shared" si="195"/>
        <v>101</v>
      </c>
      <c r="F1148" s="3" t="str">
        <f t="shared" si="196"/>
        <v>ack</v>
      </c>
      <c r="G1148" s="3" t="str">
        <f t="shared" si="197"/>
        <v>96</v>
      </c>
      <c r="H1148" s="3" t="str">
        <f t="shared" si="198"/>
        <v/>
      </c>
      <c r="I1148" s="3">
        <f t="shared" si="199"/>
        <v>150</v>
      </c>
      <c r="J1148" s="5" t="str">
        <f>IF(E1148=0,"Broadcast",IF(H1148="",IF(I1148="","",IF(I1148&lt;128,"Connect "&amp;I1148,INDEX(KdoCodeTab,MATCH(I1148,KdoWertTab,0)))),"ReadStat "&amp;H1148))</f>
        <v>RepSpaceCmd</v>
      </c>
      <c r="K1148" t="str">
        <f t="shared" si="200"/>
        <v/>
      </c>
      <c r="L1148" t="str">
        <f t="shared" si="201"/>
        <v/>
      </c>
      <c r="M1148" t="str">
        <f t="shared" si="202"/>
        <v>RepSpaceCmd</v>
      </c>
    </row>
    <row r="1149" spans="1:13" x14ac:dyDescent="0.25">
      <c r="A1149" t="s">
        <v>723</v>
      </c>
      <c r="B1149" s="6">
        <f t="shared" si="192"/>
        <v>9.7188333333333325</v>
      </c>
      <c r="C1149" s="9">
        <f t="shared" si="193"/>
        <v>20.333333333331538</v>
      </c>
      <c r="D1149" s="8" t="str">
        <f t="shared" si="194"/>
        <v>W</v>
      </c>
      <c r="E1149" s="3">
        <f t="shared" si="195"/>
        <v>101</v>
      </c>
      <c r="F1149" s="3" t="str">
        <f t="shared" si="196"/>
        <v>ack</v>
      </c>
      <c r="G1149" s="3" t="str">
        <f t="shared" si="197"/>
        <v>9C</v>
      </c>
      <c r="H1149" s="3" t="str">
        <f t="shared" si="198"/>
        <v/>
      </c>
      <c r="I1149" s="3">
        <f t="shared" si="199"/>
        <v>156</v>
      </c>
      <c r="J1149" s="5" t="str">
        <f>IF(E1149=0,"Broadcast",IF(H1149="",IF(I1149="","",IF(I1149&lt;128,"Connect "&amp;I1149,INDEX(KdoCodeTab,MATCH(I1149,KdoWertTab,0)))),"ReadStat "&amp;H1149))</f>
        <v>MarkCmd</v>
      </c>
      <c r="K1149" t="str">
        <f t="shared" si="200"/>
        <v/>
      </c>
      <c r="L1149" t="str">
        <f t="shared" si="201"/>
        <v/>
      </c>
      <c r="M1149" t="str">
        <f t="shared" si="202"/>
        <v>MarkCmd</v>
      </c>
    </row>
    <row r="1150" spans="1:13" x14ac:dyDescent="0.25">
      <c r="A1150" t="s">
        <v>724</v>
      </c>
      <c r="B1150" s="6">
        <f t="shared" si="192"/>
        <v>9.7196666666666669</v>
      </c>
      <c r="C1150" s="9">
        <f t="shared" si="193"/>
        <v>0.83333333333435178</v>
      </c>
      <c r="D1150" s="8" t="str">
        <f t="shared" si="194"/>
        <v>W</v>
      </c>
      <c r="E1150" s="3">
        <f t="shared" si="195"/>
        <v>101</v>
      </c>
      <c r="F1150" s="3" t="str">
        <f t="shared" si="196"/>
        <v>ack</v>
      </c>
      <c r="G1150" s="3" t="str">
        <f t="shared" si="197"/>
        <v>9A</v>
      </c>
      <c r="H1150" s="3" t="str">
        <f t="shared" si="198"/>
        <v/>
      </c>
      <c r="I1150" s="3">
        <f t="shared" si="199"/>
        <v>154</v>
      </c>
      <c r="J1150" s="5" t="str">
        <f>IF(E1150=0,"Broadcast",IF(H1150="",IF(I1150="","",IF(I1150&lt;128,"Connect "&amp;I1150,INDEX(KdoCodeTab,MATCH(I1150,KdoWertTab,0)))),"ReadStat "&amp;H1150))</f>
        <v>RepMarkCmd</v>
      </c>
      <c r="K1150" t="str">
        <f t="shared" si="200"/>
        <v/>
      </c>
      <c r="L1150" t="str">
        <f t="shared" si="201"/>
        <v/>
      </c>
      <c r="M1150" t="str">
        <f t="shared" si="202"/>
        <v>RepMarkCmd</v>
      </c>
    </row>
    <row r="1151" spans="1:13" x14ac:dyDescent="0.25">
      <c r="A1151" t="s">
        <v>725</v>
      </c>
      <c r="B1151" s="6">
        <f t="shared" si="192"/>
        <v>9.7378333333333327</v>
      </c>
      <c r="C1151" s="9">
        <f t="shared" si="193"/>
        <v>18.166666666665776</v>
      </c>
      <c r="D1151" s="8" t="str">
        <f t="shared" si="194"/>
        <v>W</v>
      </c>
      <c r="E1151" s="3">
        <f t="shared" si="195"/>
        <v>101</v>
      </c>
      <c r="F1151" s="3" t="str">
        <f t="shared" si="196"/>
        <v>ack</v>
      </c>
      <c r="G1151" s="3" t="str">
        <f t="shared" si="197"/>
        <v>93</v>
      </c>
      <c r="H1151" s="3" t="str">
        <f t="shared" si="198"/>
        <v/>
      </c>
      <c r="I1151" s="3">
        <f t="shared" si="199"/>
        <v>147</v>
      </c>
      <c r="J1151" s="5" t="str">
        <f>IF(E1151=0,"Broadcast",IF(H1151="",IF(I1151="","",IF(I1151&lt;128,"Connect "&amp;I1151,INDEX(KdoCodeTab,MATCH(I1151,KdoWertTab,0)))),"ReadStat "&amp;H1151))</f>
        <v>SpaceCmd</v>
      </c>
      <c r="K1151" t="str">
        <f t="shared" si="200"/>
        <v/>
      </c>
      <c r="L1151" t="str">
        <f t="shared" si="201"/>
        <v/>
      </c>
      <c r="M1151" t="str">
        <f t="shared" si="202"/>
        <v>SpaceCmd</v>
      </c>
    </row>
    <row r="1152" spans="1:13" x14ac:dyDescent="0.25">
      <c r="A1152" t="s">
        <v>726</v>
      </c>
      <c r="B1152" s="6">
        <f t="shared" si="192"/>
        <v>9.7388333333333321</v>
      </c>
      <c r="C1152" s="9">
        <f t="shared" si="193"/>
        <v>0.99999999999944578</v>
      </c>
      <c r="D1152" s="8" t="str">
        <f t="shared" si="194"/>
        <v>W</v>
      </c>
      <c r="E1152" s="3">
        <f t="shared" si="195"/>
        <v>101</v>
      </c>
      <c r="F1152" s="3" t="str">
        <f t="shared" si="196"/>
        <v>ack</v>
      </c>
      <c r="G1152" s="3" t="str">
        <f t="shared" si="197"/>
        <v>96</v>
      </c>
      <c r="H1152" s="3" t="str">
        <f t="shared" si="198"/>
        <v/>
      </c>
      <c r="I1152" s="3">
        <f t="shared" si="199"/>
        <v>150</v>
      </c>
      <c r="J1152" s="5" t="str">
        <f>IF(E1152=0,"Broadcast",IF(H1152="",IF(I1152="","",IF(I1152&lt;128,"Connect "&amp;I1152,INDEX(KdoCodeTab,MATCH(I1152,KdoWertTab,0)))),"ReadStat "&amp;H1152))</f>
        <v>RepSpaceCmd</v>
      </c>
      <c r="K1152" t="str">
        <f t="shared" si="200"/>
        <v/>
      </c>
      <c r="L1152" t="str">
        <f t="shared" si="201"/>
        <v/>
      </c>
      <c r="M1152" t="str">
        <f t="shared" si="202"/>
        <v>RepSpaceCmd</v>
      </c>
    </row>
    <row r="1153" spans="1:13" x14ac:dyDescent="0.25">
      <c r="A1153" t="s">
        <v>727</v>
      </c>
      <c r="B1153" s="6">
        <f t="shared" si="192"/>
        <v>9.7783333333333342</v>
      </c>
      <c r="C1153" s="9">
        <f t="shared" si="193"/>
        <v>39.500000000002089</v>
      </c>
      <c r="D1153" s="8" t="str">
        <f t="shared" si="194"/>
        <v>W</v>
      </c>
      <c r="E1153" s="3">
        <f t="shared" si="195"/>
        <v>101</v>
      </c>
      <c r="F1153" s="3" t="str">
        <f t="shared" si="196"/>
        <v>ack</v>
      </c>
      <c r="G1153" s="3" t="str">
        <f t="shared" si="197"/>
        <v>9C</v>
      </c>
      <c r="H1153" s="3" t="str">
        <f t="shared" si="198"/>
        <v/>
      </c>
      <c r="I1153" s="3">
        <f t="shared" si="199"/>
        <v>156</v>
      </c>
      <c r="J1153" s="5" t="str">
        <f>IF(E1153=0,"Broadcast",IF(H1153="",IF(I1153="","",IF(I1153&lt;128,"Connect "&amp;I1153,INDEX(KdoCodeTab,MATCH(I1153,KdoWertTab,0)))),"ReadStat "&amp;H1153))</f>
        <v>MarkCmd</v>
      </c>
      <c r="K1153" t="str">
        <f t="shared" si="200"/>
        <v/>
      </c>
      <c r="L1153" t="str">
        <f t="shared" si="201"/>
        <v/>
      </c>
      <c r="M1153" t="str">
        <f t="shared" si="202"/>
        <v>MarkCmd</v>
      </c>
    </row>
    <row r="1154" spans="1:13" x14ac:dyDescent="0.25">
      <c r="A1154" t="s">
        <v>728</v>
      </c>
      <c r="B1154" s="6">
        <f t="shared" si="192"/>
        <v>9.7793333333333337</v>
      </c>
      <c r="C1154" s="9">
        <f t="shared" si="193"/>
        <v>0.99999999999944578</v>
      </c>
      <c r="D1154" s="8" t="str">
        <f t="shared" si="194"/>
        <v>W</v>
      </c>
      <c r="E1154" s="3">
        <f t="shared" si="195"/>
        <v>101</v>
      </c>
      <c r="F1154" s="3" t="str">
        <f t="shared" si="196"/>
        <v>ack</v>
      </c>
      <c r="G1154" s="3" t="str">
        <f t="shared" si="197"/>
        <v>9A</v>
      </c>
      <c r="H1154" s="3" t="str">
        <f t="shared" si="198"/>
        <v/>
      </c>
      <c r="I1154" s="3">
        <f t="shared" si="199"/>
        <v>154</v>
      </c>
      <c r="J1154" s="5" t="str">
        <f>IF(E1154=0,"Broadcast",IF(H1154="",IF(I1154="","",IF(I1154&lt;128,"Connect "&amp;I1154,INDEX(KdoCodeTab,MATCH(I1154,KdoWertTab,0)))),"ReadStat "&amp;H1154))</f>
        <v>RepMarkCmd</v>
      </c>
      <c r="K1154" t="str">
        <f t="shared" si="200"/>
        <v/>
      </c>
      <c r="L1154" t="str">
        <f t="shared" si="201"/>
        <v/>
      </c>
      <c r="M1154" t="str">
        <f t="shared" si="202"/>
        <v>RepMarkCmd</v>
      </c>
    </row>
    <row r="1155" spans="1:13" x14ac:dyDescent="0.25">
      <c r="A1155" t="s">
        <v>729</v>
      </c>
      <c r="B1155" s="6">
        <f t="shared" si="192"/>
        <v>9.7985000000000007</v>
      </c>
      <c r="C1155" s="9">
        <f t="shared" si="193"/>
        <v>19.166666666666998</v>
      </c>
      <c r="D1155" s="8" t="str">
        <f t="shared" si="194"/>
        <v>W</v>
      </c>
      <c r="E1155" s="3">
        <f t="shared" si="195"/>
        <v>101</v>
      </c>
      <c r="F1155" s="3" t="str">
        <f t="shared" si="196"/>
        <v>ack</v>
      </c>
      <c r="G1155" s="3" t="str">
        <f t="shared" si="197"/>
        <v>93</v>
      </c>
      <c r="H1155" s="3" t="str">
        <f t="shared" si="198"/>
        <v/>
      </c>
      <c r="I1155" s="3">
        <f t="shared" si="199"/>
        <v>147</v>
      </c>
      <c r="J1155" s="5" t="str">
        <f>IF(E1155=0,"Broadcast",IF(H1155="",IF(I1155="","",IF(I1155&lt;128,"Connect "&amp;I1155,INDEX(KdoCodeTab,MATCH(I1155,KdoWertTab,0)))),"ReadStat "&amp;H1155))</f>
        <v>SpaceCmd</v>
      </c>
      <c r="K1155" t="str">
        <f t="shared" si="200"/>
        <v/>
      </c>
      <c r="L1155" t="str">
        <f t="shared" si="201"/>
        <v/>
      </c>
      <c r="M1155" t="str">
        <f t="shared" si="202"/>
        <v>SpaceCmd</v>
      </c>
    </row>
    <row r="1156" spans="1:13" x14ac:dyDescent="0.25">
      <c r="A1156" t="s">
        <v>730</v>
      </c>
      <c r="B1156" s="6">
        <f t="shared" si="192"/>
        <v>9.7995000000000001</v>
      </c>
      <c r="C1156" s="9">
        <f t="shared" si="193"/>
        <v>0.99999999999944578</v>
      </c>
      <c r="D1156" s="8" t="str">
        <f t="shared" si="194"/>
        <v>W</v>
      </c>
      <c r="E1156" s="3">
        <f t="shared" si="195"/>
        <v>101</v>
      </c>
      <c r="F1156" s="3" t="str">
        <f t="shared" si="196"/>
        <v>ack</v>
      </c>
      <c r="G1156" s="3" t="str">
        <f t="shared" si="197"/>
        <v>96</v>
      </c>
      <c r="H1156" s="3" t="str">
        <f t="shared" si="198"/>
        <v/>
      </c>
      <c r="I1156" s="3">
        <f t="shared" si="199"/>
        <v>150</v>
      </c>
      <c r="J1156" s="5" t="str">
        <f>IF(E1156=0,"Broadcast",IF(H1156="",IF(I1156="","",IF(I1156&lt;128,"Connect "&amp;I1156,INDEX(KdoCodeTab,MATCH(I1156,KdoWertTab,0)))),"ReadStat "&amp;H1156))</f>
        <v>RepSpaceCmd</v>
      </c>
      <c r="K1156" t="str">
        <f t="shared" si="200"/>
        <v/>
      </c>
      <c r="L1156" t="str">
        <f t="shared" si="201"/>
        <v/>
      </c>
      <c r="M1156" t="str">
        <f t="shared" si="202"/>
        <v>RepSpaceCmd</v>
      </c>
    </row>
    <row r="1157" spans="1:13" x14ac:dyDescent="0.25">
      <c r="A1157" t="s">
        <v>731</v>
      </c>
      <c r="B1157" s="6">
        <f t="shared" ref="B1157:B1220" si="203">MID(A1157,1,5)/1000+(CODE(MID(A1157,6,1))-CODE("a"))/6000</f>
        <v>9.8186666666666671</v>
      </c>
      <c r="C1157" s="9">
        <f t="shared" ref="C1157:C1220" si="204">(B1157-B1156+IF(B1157&gt;B1156,0,11))*1000</f>
        <v>19.166666666666998</v>
      </c>
      <c r="D1157" s="8" t="str">
        <f t="shared" ref="D1157:D1220" si="205">IF(MID(A1157,10,1)="&lt;","R",IF(MID(A1157,10,1)="&gt;","W","?"))</f>
        <v>W</v>
      </c>
      <c r="E1157" s="3">
        <f t="shared" ref="E1157:E1220" si="206">INT(HEX2DEC(MID(A1157,8,2))/2)</f>
        <v>101</v>
      </c>
      <c r="F1157" s="3" t="str">
        <f t="shared" ref="F1157:F1220" si="207">IF(MID(A1157,11,1)="+","ack","NACK")</f>
        <v>ack</v>
      </c>
      <c r="G1157" s="3" t="str">
        <f t="shared" ref="G1157:G1220" si="208">IF(F1157="ack",SUBSTITUTE(MID(A1157,12,LEN(A1157)-12),"+","  "),"")</f>
        <v>9C</v>
      </c>
      <c r="H1157" s="3" t="str">
        <f t="shared" ref="H1157:H1220" si="209">IF(MID(A1157,10,2)="&lt;+",MID(A1157,12,2),"")</f>
        <v/>
      </c>
      <c r="I1157" s="3">
        <f t="shared" ref="I1157:I1220" si="210">IF(MID(A1157,10,2)="&gt;+",HEX2DEC(MID(A1157,12,2)),"")</f>
        <v>156</v>
      </c>
      <c r="J1157" s="5" t="str">
        <f>IF(E1157=0,"Broadcast",IF(H1157="",IF(I1157="","",IF(I1157&lt;128,"Connect "&amp;I1157,INDEX(KdoCodeTab,MATCH(I1157,KdoWertTab,0)))),"ReadStat "&amp;H1157))</f>
        <v>MarkCmd</v>
      </c>
      <c r="K1157" t="str">
        <f t="shared" si="200"/>
        <v/>
      </c>
      <c r="L1157" t="str">
        <f t="shared" si="201"/>
        <v/>
      </c>
      <c r="M1157" t="str">
        <f t="shared" si="202"/>
        <v>MarkCmd</v>
      </c>
    </row>
    <row r="1158" spans="1:13" x14ac:dyDescent="0.25">
      <c r="A1158" t="s">
        <v>732</v>
      </c>
      <c r="B1158" s="6">
        <f t="shared" si="203"/>
        <v>9.8196666666666683</v>
      </c>
      <c r="C1158" s="9">
        <f t="shared" si="204"/>
        <v>1.0000000000012221</v>
      </c>
      <c r="D1158" s="8" t="str">
        <f t="shared" si="205"/>
        <v>W</v>
      </c>
      <c r="E1158" s="3">
        <f t="shared" si="206"/>
        <v>101</v>
      </c>
      <c r="F1158" s="3" t="str">
        <f t="shared" si="207"/>
        <v>ack</v>
      </c>
      <c r="G1158" s="3" t="str">
        <f t="shared" si="208"/>
        <v>9A</v>
      </c>
      <c r="H1158" s="3" t="str">
        <f t="shared" si="209"/>
        <v/>
      </c>
      <c r="I1158" s="3">
        <f t="shared" si="210"/>
        <v>154</v>
      </c>
      <c r="J1158" s="5" t="str">
        <f>IF(E1158=0,"Broadcast",IF(H1158="",IF(I1158="","",IF(I1158&lt;128,"Connect "&amp;I1158,INDEX(KdoCodeTab,MATCH(I1158,KdoWertTab,0)))),"ReadStat "&amp;H1158))</f>
        <v>RepMarkCmd</v>
      </c>
      <c r="K1158" t="str">
        <f t="shared" si="200"/>
        <v/>
      </c>
      <c r="L1158" t="str">
        <f t="shared" si="201"/>
        <v/>
      </c>
      <c r="M1158" t="str">
        <f t="shared" si="202"/>
        <v>RepMarkCmd</v>
      </c>
    </row>
    <row r="1159" spans="1:13" x14ac:dyDescent="0.25">
      <c r="A1159" t="s">
        <v>733</v>
      </c>
      <c r="B1159" s="6">
        <f t="shared" si="203"/>
        <v>9.9288333333333334</v>
      </c>
      <c r="C1159" s="9">
        <f t="shared" si="204"/>
        <v>109.16666666666508</v>
      </c>
      <c r="D1159" s="8" t="str">
        <f t="shared" si="205"/>
        <v>W</v>
      </c>
      <c r="E1159" s="3">
        <f t="shared" si="206"/>
        <v>31</v>
      </c>
      <c r="F1159" s="3" t="str">
        <f t="shared" si="207"/>
        <v>ack</v>
      </c>
      <c r="G1159" s="3" t="str">
        <f t="shared" si="208"/>
        <v>9A</v>
      </c>
      <c r="H1159" s="3" t="str">
        <f t="shared" si="209"/>
        <v/>
      </c>
      <c r="I1159" s="3">
        <f t="shared" si="210"/>
        <v>154</v>
      </c>
      <c r="J1159" s="5" t="str">
        <f>IF(E1159=0,"Broadcast",IF(H1159="",IF(I1159="","",IF(I1159&lt;128,"Connect "&amp;I1159,INDEX(KdoCodeTab,MATCH(I1159,KdoWertTab,0)))),"ReadStat "&amp;H1159))</f>
        <v>RepMarkCmd</v>
      </c>
      <c r="K1159" t="str">
        <f t="shared" si="200"/>
        <v/>
      </c>
      <c r="L1159" t="str">
        <f t="shared" si="201"/>
        <v>RepMarkCmd</v>
      </c>
      <c r="M1159" t="str">
        <f t="shared" si="202"/>
        <v/>
      </c>
    </row>
    <row r="1160" spans="1:13" x14ac:dyDescent="0.25">
      <c r="A1160" t="s">
        <v>734</v>
      </c>
      <c r="B1160" s="6">
        <f t="shared" si="203"/>
        <v>9.9743333333333339</v>
      </c>
      <c r="C1160" s="9">
        <f t="shared" si="204"/>
        <v>45.50000000000054</v>
      </c>
      <c r="D1160" s="8" t="str">
        <f t="shared" si="205"/>
        <v>W</v>
      </c>
      <c r="E1160" s="3">
        <f t="shared" si="206"/>
        <v>101</v>
      </c>
      <c r="F1160" s="3" t="str">
        <f t="shared" si="207"/>
        <v>ack</v>
      </c>
      <c r="G1160" s="3" t="str">
        <f t="shared" si="208"/>
        <v>A9</v>
      </c>
      <c r="H1160" s="3" t="str">
        <f t="shared" si="209"/>
        <v/>
      </c>
      <c r="I1160" s="3">
        <f t="shared" si="210"/>
        <v>169</v>
      </c>
      <c r="J1160" s="5" t="str">
        <f>IF(E1160=0,"Broadcast",IF(H1160="",IF(I1160="","",IF(I1160&lt;128,"Connect "&amp;I1160,INDEX(KdoCodeTab,MATCH(I1160,KdoWertTab,0)))),"ReadStat "&amp;H1160))</f>
        <v>Heartbeat</v>
      </c>
      <c r="K1160" t="str">
        <f t="shared" si="200"/>
        <v/>
      </c>
      <c r="L1160" t="str">
        <f t="shared" si="201"/>
        <v/>
      </c>
      <c r="M1160" t="str">
        <f t="shared" si="202"/>
        <v>Heartbeat</v>
      </c>
    </row>
    <row r="1161" spans="1:13" x14ac:dyDescent="0.25">
      <c r="A1161" t="s">
        <v>735</v>
      </c>
      <c r="B1161" s="6">
        <f t="shared" si="203"/>
        <v>10.435</v>
      </c>
      <c r="C1161" s="9">
        <f t="shared" si="204"/>
        <v>460.66666666666657</v>
      </c>
      <c r="D1161" s="8" t="str">
        <f t="shared" si="205"/>
        <v>W</v>
      </c>
      <c r="E1161" s="3">
        <f t="shared" si="206"/>
        <v>31</v>
      </c>
      <c r="F1161" s="3" t="str">
        <f t="shared" si="207"/>
        <v>ack</v>
      </c>
      <c r="G1161" s="3" t="str">
        <f t="shared" si="208"/>
        <v>9A</v>
      </c>
      <c r="H1161" s="3" t="str">
        <f t="shared" si="209"/>
        <v/>
      </c>
      <c r="I1161" s="3">
        <f t="shared" si="210"/>
        <v>154</v>
      </c>
      <c r="J1161" s="5" t="str">
        <f>IF(E1161=0,"Broadcast",IF(H1161="",IF(I1161="","",IF(I1161&lt;128,"Connect "&amp;I1161,INDEX(KdoCodeTab,MATCH(I1161,KdoWertTab,0)))),"ReadStat "&amp;H1161))</f>
        <v>RepMarkCmd</v>
      </c>
      <c r="K1161" t="str">
        <f t="shared" si="200"/>
        <v/>
      </c>
      <c r="L1161" t="str">
        <f t="shared" si="201"/>
        <v>RepMarkCmd</v>
      </c>
      <c r="M1161" t="str">
        <f t="shared" si="202"/>
        <v/>
      </c>
    </row>
    <row r="1162" spans="1:13" x14ac:dyDescent="0.25">
      <c r="A1162" t="s">
        <v>736</v>
      </c>
      <c r="B1162" s="6">
        <f t="shared" si="203"/>
        <v>10.57</v>
      </c>
      <c r="C1162" s="9">
        <f t="shared" si="204"/>
        <v>134.99999999999977</v>
      </c>
      <c r="D1162" s="8" t="str">
        <f t="shared" si="205"/>
        <v>W</v>
      </c>
      <c r="E1162" s="3">
        <f t="shared" si="206"/>
        <v>31</v>
      </c>
      <c r="F1162" s="3" t="str">
        <f t="shared" si="207"/>
        <v>ack</v>
      </c>
      <c r="G1162" s="3" t="str">
        <f t="shared" si="208"/>
        <v>93</v>
      </c>
      <c r="H1162" s="3" t="str">
        <f t="shared" si="209"/>
        <v/>
      </c>
      <c r="I1162" s="3">
        <f t="shared" si="210"/>
        <v>147</v>
      </c>
      <c r="J1162" s="5" t="str">
        <f>IF(E1162=0,"Broadcast",IF(H1162="",IF(I1162="","",IF(I1162&lt;128,"Connect "&amp;I1162,INDEX(KdoCodeTab,MATCH(I1162,KdoWertTab,0)))),"ReadStat "&amp;H1162))</f>
        <v>SpaceCmd</v>
      </c>
      <c r="K1162" t="str">
        <f t="shared" si="200"/>
        <v/>
      </c>
      <c r="L1162" t="str">
        <f t="shared" si="201"/>
        <v>SpaceCmd</v>
      </c>
      <c r="M1162" t="str">
        <f t="shared" si="202"/>
        <v/>
      </c>
    </row>
    <row r="1163" spans="1:13" x14ac:dyDescent="0.25">
      <c r="A1163" t="s">
        <v>737</v>
      </c>
      <c r="B1163" s="6">
        <f t="shared" si="203"/>
        <v>10.576333333333334</v>
      </c>
      <c r="C1163" s="9">
        <f t="shared" si="204"/>
        <v>6.3333333333339681</v>
      </c>
      <c r="D1163" s="8" t="str">
        <f t="shared" si="205"/>
        <v>W</v>
      </c>
      <c r="E1163" s="3">
        <f t="shared" si="206"/>
        <v>31</v>
      </c>
      <c r="F1163" s="3" t="str">
        <f t="shared" si="207"/>
        <v>ack</v>
      </c>
      <c r="G1163" s="3" t="str">
        <f t="shared" si="208"/>
        <v>96</v>
      </c>
      <c r="H1163" s="3" t="str">
        <f t="shared" si="209"/>
        <v/>
      </c>
      <c r="I1163" s="3">
        <f t="shared" si="210"/>
        <v>150</v>
      </c>
      <c r="J1163" s="5" t="str">
        <f>IF(E1163=0,"Broadcast",IF(H1163="",IF(I1163="","",IF(I1163&lt;128,"Connect "&amp;I1163,INDEX(KdoCodeTab,MATCH(I1163,KdoWertTab,0)))),"ReadStat "&amp;H1163))</f>
        <v>RepSpaceCmd</v>
      </c>
      <c r="K1163" t="str">
        <f t="shared" si="200"/>
        <v/>
      </c>
      <c r="L1163" t="str">
        <f t="shared" si="201"/>
        <v>RepSpaceCmd</v>
      </c>
      <c r="M1163" t="str">
        <f t="shared" si="202"/>
        <v/>
      </c>
    </row>
    <row r="1164" spans="1:13" x14ac:dyDescent="0.25">
      <c r="A1164" t="s">
        <v>738</v>
      </c>
      <c r="B1164" s="6">
        <f t="shared" si="203"/>
        <v>10.590166666666667</v>
      </c>
      <c r="C1164" s="9">
        <f t="shared" si="204"/>
        <v>13.833333333332476</v>
      </c>
      <c r="D1164" s="8" t="str">
        <f t="shared" si="205"/>
        <v>W</v>
      </c>
      <c r="E1164" s="3">
        <f t="shared" si="206"/>
        <v>31</v>
      </c>
      <c r="F1164" s="3" t="str">
        <f t="shared" si="207"/>
        <v>ack</v>
      </c>
      <c r="G1164" s="3" t="str">
        <f t="shared" si="208"/>
        <v>9C</v>
      </c>
      <c r="H1164" s="3" t="str">
        <f t="shared" si="209"/>
        <v/>
      </c>
      <c r="I1164" s="3">
        <f t="shared" si="210"/>
        <v>156</v>
      </c>
      <c r="J1164" s="5" t="str">
        <f>IF(E1164=0,"Broadcast",IF(H1164="",IF(I1164="","",IF(I1164&lt;128,"Connect "&amp;I1164,INDEX(KdoCodeTab,MATCH(I1164,KdoWertTab,0)))),"ReadStat "&amp;H1164))</f>
        <v>MarkCmd</v>
      </c>
      <c r="K1164" t="str">
        <f t="shared" si="200"/>
        <v/>
      </c>
      <c r="L1164" t="str">
        <f t="shared" si="201"/>
        <v>MarkCmd</v>
      </c>
      <c r="M1164" t="str">
        <f t="shared" si="202"/>
        <v/>
      </c>
    </row>
    <row r="1165" spans="1:13" x14ac:dyDescent="0.25">
      <c r="A1165" t="s">
        <v>739</v>
      </c>
      <c r="B1165" s="6">
        <f t="shared" si="203"/>
        <v>10.596166666666667</v>
      </c>
      <c r="C1165" s="9">
        <f t="shared" si="204"/>
        <v>6.0000000000002274</v>
      </c>
      <c r="D1165" s="8" t="str">
        <f t="shared" si="205"/>
        <v>W</v>
      </c>
      <c r="E1165" s="3">
        <f t="shared" si="206"/>
        <v>31</v>
      </c>
      <c r="F1165" s="3" t="str">
        <f t="shared" si="207"/>
        <v>ack</v>
      </c>
      <c r="G1165" s="3" t="str">
        <f t="shared" si="208"/>
        <v>9A</v>
      </c>
      <c r="H1165" s="3" t="str">
        <f t="shared" si="209"/>
        <v/>
      </c>
      <c r="I1165" s="3">
        <f t="shared" si="210"/>
        <v>154</v>
      </c>
      <c r="J1165" s="5" t="str">
        <f>IF(E1165=0,"Broadcast",IF(H1165="",IF(I1165="","",IF(I1165&lt;128,"Connect "&amp;I1165,INDEX(KdoCodeTab,MATCH(I1165,KdoWertTab,0)))),"ReadStat "&amp;H1165))</f>
        <v>RepMarkCmd</v>
      </c>
      <c r="K1165" t="str">
        <f t="shared" si="200"/>
        <v/>
      </c>
      <c r="L1165" t="str">
        <f t="shared" si="201"/>
        <v>RepMarkCmd</v>
      </c>
      <c r="M1165" t="str">
        <f t="shared" si="202"/>
        <v/>
      </c>
    </row>
    <row r="1166" spans="1:13" x14ac:dyDescent="0.25">
      <c r="A1166" t="s">
        <v>740</v>
      </c>
      <c r="B1166" s="6">
        <f t="shared" si="203"/>
        <v>10.656333333333334</v>
      </c>
      <c r="C1166" s="9">
        <f t="shared" si="204"/>
        <v>60.166666666667368</v>
      </c>
      <c r="D1166" s="8" t="str">
        <f t="shared" si="205"/>
        <v>W</v>
      </c>
      <c r="E1166" s="3">
        <f t="shared" si="206"/>
        <v>101</v>
      </c>
      <c r="F1166" s="3" t="str">
        <f t="shared" si="207"/>
        <v>ack</v>
      </c>
      <c r="G1166" s="3" t="str">
        <f t="shared" si="208"/>
        <v>A9</v>
      </c>
      <c r="H1166" s="3" t="str">
        <f t="shared" si="209"/>
        <v/>
      </c>
      <c r="I1166" s="3">
        <f t="shared" si="210"/>
        <v>169</v>
      </c>
      <c r="J1166" s="5" t="str">
        <f>IF(E1166=0,"Broadcast",IF(H1166="",IF(I1166="","",IF(I1166&lt;128,"Connect "&amp;I1166,INDEX(KdoCodeTab,MATCH(I1166,KdoWertTab,0)))),"ReadStat "&amp;H1166))</f>
        <v>Heartbeat</v>
      </c>
      <c r="K1166" t="str">
        <f t="shared" si="200"/>
        <v/>
      </c>
      <c r="L1166" t="str">
        <f t="shared" si="201"/>
        <v/>
      </c>
      <c r="M1166" t="str">
        <f t="shared" si="202"/>
        <v>Heartbeat</v>
      </c>
    </row>
    <row r="1167" spans="1:13" x14ac:dyDescent="0.25">
      <c r="A1167" t="s">
        <v>741</v>
      </c>
      <c r="B1167" s="6">
        <f t="shared" si="203"/>
        <v>10.721166666666667</v>
      </c>
      <c r="C1167" s="9">
        <f t="shared" si="204"/>
        <v>64.833333333332632</v>
      </c>
      <c r="D1167" s="8" t="str">
        <f t="shared" si="205"/>
        <v>W</v>
      </c>
      <c r="E1167" s="3">
        <f t="shared" si="206"/>
        <v>31</v>
      </c>
      <c r="F1167" s="3" t="str">
        <f t="shared" si="207"/>
        <v>ack</v>
      </c>
      <c r="G1167" s="3" t="str">
        <f t="shared" si="208"/>
        <v>93</v>
      </c>
      <c r="H1167" s="3" t="str">
        <f t="shared" si="209"/>
        <v/>
      </c>
      <c r="I1167" s="3">
        <f t="shared" si="210"/>
        <v>147</v>
      </c>
      <c r="J1167" s="5" t="str">
        <f>IF(E1167=0,"Broadcast",IF(H1167="",IF(I1167="","",IF(I1167&lt;128,"Connect "&amp;I1167,INDEX(KdoCodeTab,MATCH(I1167,KdoWertTab,0)))),"ReadStat "&amp;H1167))</f>
        <v>SpaceCmd</v>
      </c>
      <c r="K1167" t="str">
        <f t="shared" si="200"/>
        <v/>
      </c>
      <c r="L1167" t="str">
        <f t="shared" si="201"/>
        <v>SpaceCmd</v>
      </c>
      <c r="M1167" t="str">
        <f t="shared" si="202"/>
        <v/>
      </c>
    </row>
    <row r="1168" spans="1:13" x14ac:dyDescent="0.25">
      <c r="A1168" t="s">
        <v>742</v>
      </c>
      <c r="B1168" s="6">
        <f t="shared" si="203"/>
        <v>10.727166666666667</v>
      </c>
      <c r="C1168" s="9">
        <f t="shared" si="204"/>
        <v>6.0000000000002274</v>
      </c>
      <c r="D1168" s="8" t="str">
        <f t="shared" si="205"/>
        <v>W</v>
      </c>
      <c r="E1168" s="3">
        <f t="shared" si="206"/>
        <v>31</v>
      </c>
      <c r="F1168" s="3" t="str">
        <f t="shared" si="207"/>
        <v>ack</v>
      </c>
      <c r="G1168" s="3" t="str">
        <f t="shared" si="208"/>
        <v>96</v>
      </c>
      <c r="H1168" s="3" t="str">
        <f t="shared" si="209"/>
        <v/>
      </c>
      <c r="I1168" s="3">
        <f t="shared" si="210"/>
        <v>150</v>
      </c>
      <c r="J1168" s="5" t="str">
        <f>IF(E1168=0,"Broadcast",IF(H1168="",IF(I1168="","",IF(I1168&lt;128,"Connect "&amp;I1168,INDEX(KdoCodeTab,MATCH(I1168,KdoWertTab,0)))),"ReadStat "&amp;H1168))</f>
        <v>RepSpaceCmd</v>
      </c>
      <c r="K1168" t="str">
        <f t="shared" si="200"/>
        <v/>
      </c>
      <c r="L1168" t="str">
        <f t="shared" si="201"/>
        <v>RepSpaceCmd</v>
      </c>
      <c r="M1168" t="str">
        <f t="shared" si="202"/>
        <v/>
      </c>
    </row>
    <row r="1169" spans="1:13" x14ac:dyDescent="0.25">
      <c r="A1169" t="s">
        <v>743</v>
      </c>
      <c r="B1169" s="6">
        <f t="shared" si="203"/>
        <v>10.801833333333333</v>
      </c>
      <c r="C1169" s="9">
        <f t="shared" si="204"/>
        <v>74.666666666665549</v>
      </c>
      <c r="D1169" s="8" t="str">
        <f t="shared" si="205"/>
        <v>W</v>
      </c>
      <c r="E1169" s="3">
        <f t="shared" si="206"/>
        <v>31</v>
      </c>
      <c r="F1169" s="3" t="str">
        <f t="shared" si="207"/>
        <v>ack</v>
      </c>
      <c r="G1169" s="3" t="str">
        <f t="shared" si="208"/>
        <v>9C</v>
      </c>
      <c r="H1169" s="3" t="str">
        <f t="shared" si="209"/>
        <v/>
      </c>
      <c r="I1169" s="3">
        <f t="shared" si="210"/>
        <v>156</v>
      </c>
      <c r="J1169" s="5" t="str">
        <f>IF(E1169=0,"Broadcast",IF(H1169="",IF(I1169="","",IF(I1169&lt;128,"Connect "&amp;I1169,INDEX(KdoCodeTab,MATCH(I1169,KdoWertTab,0)))),"ReadStat "&amp;H1169))</f>
        <v>MarkCmd</v>
      </c>
      <c r="K1169" t="str">
        <f t="shared" si="200"/>
        <v/>
      </c>
      <c r="L1169" t="str">
        <f t="shared" si="201"/>
        <v>MarkCmd</v>
      </c>
      <c r="M1169" t="str">
        <f t="shared" si="202"/>
        <v/>
      </c>
    </row>
    <row r="1170" spans="1:13" x14ac:dyDescent="0.25">
      <c r="A1170" t="s">
        <v>744</v>
      </c>
      <c r="B1170" s="6">
        <f t="shared" si="203"/>
        <v>10.807833333333333</v>
      </c>
      <c r="C1170" s="9">
        <f t="shared" si="204"/>
        <v>6.0000000000002274</v>
      </c>
      <c r="D1170" s="8" t="str">
        <f t="shared" si="205"/>
        <v>W</v>
      </c>
      <c r="E1170" s="3">
        <f t="shared" si="206"/>
        <v>31</v>
      </c>
      <c r="F1170" s="3" t="str">
        <f t="shared" si="207"/>
        <v>ack</v>
      </c>
      <c r="G1170" s="3" t="str">
        <f t="shared" si="208"/>
        <v>9A</v>
      </c>
      <c r="H1170" s="3" t="str">
        <f t="shared" si="209"/>
        <v/>
      </c>
      <c r="I1170" s="3">
        <f t="shared" si="210"/>
        <v>154</v>
      </c>
      <c r="J1170" s="5" t="str">
        <f>IF(E1170=0,"Broadcast",IF(H1170="",IF(I1170="","",IF(I1170&lt;128,"Connect "&amp;I1170,INDEX(KdoCodeTab,MATCH(I1170,KdoWertTab,0)))),"ReadStat "&amp;H1170))</f>
        <v>RepMarkCmd</v>
      </c>
      <c r="K1170" t="str">
        <f t="shared" si="200"/>
        <v/>
      </c>
      <c r="L1170" t="str">
        <f t="shared" si="201"/>
        <v>RepMarkCmd</v>
      </c>
      <c r="M1170" t="str">
        <f t="shared" si="202"/>
        <v/>
      </c>
    </row>
    <row r="1171" spans="1:13" x14ac:dyDescent="0.25">
      <c r="A1171" t="s">
        <v>745</v>
      </c>
      <c r="B1171" s="6">
        <f t="shared" si="203"/>
        <v>10.821999999999999</v>
      </c>
      <c r="C1171" s="9">
        <f t="shared" si="204"/>
        <v>14.166666666666217</v>
      </c>
      <c r="D1171" s="8" t="str">
        <f t="shared" si="205"/>
        <v>W</v>
      </c>
      <c r="E1171" s="3">
        <f t="shared" si="206"/>
        <v>18</v>
      </c>
      <c r="F1171" s="3" t="str">
        <f t="shared" si="207"/>
        <v>NACK</v>
      </c>
      <c r="G1171" s="3" t="str">
        <f t="shared" si="208"/>
        <v/>
      </c>
      <c r="H1171" s="3" t="str">
        <f t="shared" si="209"/>
        <v/>
      </c>
      <c r="I1171" s="3" t="str">
        <f t="shared" si="210"/>
        <v/>
      </c>
      <c r="J1171" s="5" t="str">
        <f>IF(E1171=0,"Broadcast",IF(H1171="",IF(I1171="","",IF(I1171&lt;128,"Connect "&amp;I1171,INDEX(KdoCodeTab,MATCH(I1171,KdoWertTab,0)))),"ReadStat "&amp;H1171))</f>
        <v/>
      </c>
      <c r="K1171" t="str">
        <f t="shared" si="200"/>
        <v/>
      </c>
      <c r="L1171" t="str">
        <f t="shared" si="201"/>
        <v/>
      </c>
      <c r="M1171" t="str">
        <f t="shared" si="202"/>
        <v/>
      </c>
    </row>
    <row r="1172" spans="1:13" x14ac:dyDescent="0.25">
      <c r="A1172" t="s">
        <v>746</v>
      </c>
      <c r="B1172" s="6">
        <f t="shared" si="203"/>
        <v>10.827999999999999</v>
      </c>
      <c r="C1172" s="9">
        <f t="shared" si="204"/>
        <v>6.0000000000002274</v>
      </c>
      <c r="D1172" s="8" t="str">
        <f t="shared" si="205"/>
        <v>W</v>
      </c>
      <c r="E1172" s="3">
        <f t="shared" si="206"/>
        <v>31</v>
      </c>
      <c r="F1172" s="3" t="str">
        <f t="shared" si="207"/>
        <v>ack</v>
      </c>
      <c r="G1172" s="3" t="str">
        <f t="shared" si="208"/>
        <v>96</v>
      </c>
      <c r="H1172" s="3" t="str">
        <f t="shared" si="209"/>
        <v/>
      </c>
      <c r="I1172" s="3">
        <f t="shared" si="210"/>
        <v>150</v>
      </c>
      <c r="J1172" s="5" t="str">
        <f>IF(E1172=0,"Broadcast",IF(H1172="",IF(I1172="","",IF(I1172&lt;128,"Connect "&amp;I1172,INDEX(KdoCodeTab,MATCH(I1172,KdoWertTab,0)))),"ReadStat "&amp;H1172))</f>
        <v>RepSpaceCmd</v>
      </c>
      <c r="K1172" t="str">
        <f t="shared" si="200"/>
        <v/>
      </c>
      <c r="L1172" t="str">
        <f t="shared" si="201"/>
        <v>RepSpaceCmd</v>
      </c>
      <c r="M1172" t="str">
        <f t="shared" si="202"/>
        <v/>
      </c>
    </row>
    <row r="1173" spans="1:13" x14ac:dyDescent="0.25">
      <c r="A1173" t="s">
        <v>747</v>
      </c>
      <c r="B1173" s="6">
        <f t="shared" si="203"/>
        <v>10.842166666666667</v>
      </c>
      <c r="C1173" s="9">
        <f t="shared" si="204"/>
        <v>14.166666666667993</v>
      </c>
      <c r="D1173" s="8" t="str">
        <f t="shared" si="205"/>
        <v>W</v>
      </c>
      <c r="E1173" s="3">
        <f t="shared" si="206"/>
        <v>31</v>
      </c>
      <c r="F1173" s="3" t="str">
        <f t="shared" si="207"/>
        <v>ack</v>
      </c>
      <c r="G1173" s="3" t="str">
        <f t="shared" si="208"/>
        <v>9C</v>
      </c>
      <c r="H1173" s="3" t="str">
        <f t="shared" si="209"/>
        <v/>
      </c>
      <c r="I1173" s="3">
        <f t="shared" si="210"/>
        <v>156</v>
      </c>
      <c r="J1173" s="5" t="str">
        <f>IF(E1173=0,"Broadcast",IF(H1173="",IF(I1173="","",IF(I1173&lt;128,"Connect "&amp;I1173,INDEX(KdoCodeTab,MATCH(I1173,KdoWertTab,0)))),"ReadStat "&amp;H1173))</f>
        <v>MarkCmd</v>
      </c>
      <c r="K1173" t="str">
        <f t="shared" si="200"/>
        <v/>
      </c>
      <c r="L1173" t="str">
        <f t="shared" si="201"/>
        <v>MarkCmd</v>
      </c>
      <c r="M1173" t="str">
        <f t="shared" si="202"/>
        <v/>
      </c>
    </row>
    <row r="1174" spans="1:13" x14ac:dyDescent="0.25">
      <c r="A1174" t="s">
        <v>748</v>
      </c>
      <c r="B1174" s="6">
        <f t="shared" si="203"/>
        <v>10.848166666666668</v>
      </c>
      <c r="C1174" s="9">
        <f t="shared" si="204"/>
        <v>6.0000000000002274</v>
      </c>
      <c r="D1174" s="8" t="str">
        <f t="shared" si="205"/>
        <v>W</v>
      </c>
      <c r="E1174" s="3">
        <f t="shared" si="206"/>
        <v>31</v>
      </c>
      <c r="F1174" s="3" t="str">
        <f t="shared" si="207"/>
        <v>ack</v>
      </c>
      <c r="G1174" s="3" t="str">
        <f t="shared" si="208"/>
        <v>9A</v>
      </c>
      <c r="H1174" s="3" t="str">
        <f t="shared" si="209"/>
        <v/>
      </c>
      <c r="I1174" s="3">
        <f t="shared" si="210"/>
        <v>154</v>
      </c>
      <c r="J1174" s="5" t="str">
        <f>IF(E1174=0,"Broadcast",IF(H1174="",IF(I1174="","",IF(I1174&lt;128,"Connect "&amp;I1174,INDEX(KdoCodeTab,MATCH(I1174,KdoWertTab,0)))),"ReadStat "&amp;H1174))</f>
        <v>RepMarkCmd</v>
      </c>
      <c r="K1174" t="str">
        <f t="shared" si="200"/>
        <v/>
      </c>
      <c r="L1174" t="str">
        <f t="shared" si="201"/>
        <v>RepMarkCmd</v>
      </c>
      <c r="M1174" t="str">
        <f t="shared" si="202"/>
        <v/>
      </c>
    </row>
    <row r="1175" spans="1:13" x14ac:dyDescent="0.25">
      <c r="A1175" t="s">
        <v>749</v>
      </c>
      <c r="B1175" s="6">
        <f t="shared" si="203"/>
        <v>10.872333333333334</v>
      </c>
      <c r="C1175" s="9">
        <f t="shared" si="204"/>
        <v>24.166666666666003</v>
      </c>
      <c r="D1175" s="8" t="str">
        <f t="shared" si="205"/>
        <v>W</v>
      </c>
      <c r="E1175" s="3">
        <f t="shared" si="206"/>
        <v>18</v>
      </c>
      <c r="F1175" s="3" t="str">
        <f t="shared" si="207"/>
        <v>NACK</v>
      </c>
      <c r="G1175" s="3" t="str">
        <f t="shared" si="208"/>
        <v/>
      </c>
      <c r="H1175" s="3" t="str">
        <f t="shared" si="209"/>
        <v/>
      </c>
      <c r="I1175" s="3" t="str">
        <f t="shared" si="210"/>
        <v/>
      </c>
      <c r="J1175" s="5" t="str">
        <f>IF(E1175=0,"Broadcast",IF(H1175="",IF(I1175="","",IF(I1175&lt;128,"Connect "&amp;I1175,INDEX(KdoCodeTab,MATCH(I1175,KdoWertTab,0)))),"ReadStat "&amp;H1175))</f>
        <v/>
      </c>
      <c r="K1175" t="str">
        <f t="shared" si="200"/>
        <v/>
      </c>
      <c r="L1175" t="str">
        <f t="shared" si="201"/>
        <v/>
      </c>
      <c r="M1175" t="str">
        <f t="shared" si="202"/>
        <v/>
      </c>
    </row>
    <row r="1176" spans="1:13" x14ac:dyDescent="0.25">
      <c r="A1176" t="s">
        <v>750</v>
      </c>
      <c r="B1176" s="6">
        <f t="shared" si="203"/>
        <v>10.878500000000001</v>
      </c>
      <c r="C1176" s="9">
        <f t="shared" si="204"/>
        <v>6.1666666666670977</v>
      </c>
      <c r="D1176" s="8" t="str">
        <f t="shared" si="205"/>
        <v>W</v>
      </c>
      <c r="E1176" s="3">
        <f t="shared" si="206"/>
        <v>31</v>
      </c>
      <c r="F1176" s="3" t="str">
        <f t="shared" si="207"/>
        <v>ack</v>
      </c>
      <c r="G1176" s="3" t="str">
        <f t="shared" si="208"/>
        <v>96</v>
      </c>
      <c r="H1176" s="3" t="str">
        <f t="shared" si="209"/>
        <v/>
      </c>
      <c r="I1176" s="3">
        <f t="shared" si="210"/>
        <v>150</v>
      </c>
      <c r="J1176" s="5" t="str">
        <f>IF(E1176=0,"Broadcast",IF(H1176="",IF(I1176="","",IF(I1176&lt;128,"Connect "&amp;I1176,INDEX(KdoCodeTab,MATCH(I1176,KdoWertTab,0)))),"ReadStat "&amp;H1176))</f>
        <v>RepSpaceCmd</v>
      </c>
      <c r="K1176" t="str">
        <f t="shared" si="200"/>
        <v/>
      </c>
      <c r="L1176" t="str">
        <f t="shared" si="201"/>
        <v>RepSpaceCmd</v>
      </c>
      <c r="M1176" t="str">
        <f t="shared" si="202"/>
        <v/>
      </c>
    </row>
    <row r="1177" spans="1:13" x14ac:dyDescent="0.25">
      <c r="A1177" t="s">
        <v>751</v>
      </c>
      <c r="B1177" s="6">
        <f t="shared" si="203"/>
        <v>10.912666666666668</v>
      </c>
      <c r="C1177" s="9">
        <f t="shared" si="204"/>
        <v>34.166666666667567</v>
      </c>
      <c r="D1177" s="8" t="str">
        <f t="shared" si="205"/>
        <v>W</v>
      </c>
      <c r="E1177" s="3">
        <f t="shared" si="206"/>
        <v>31</v>
      </c>
      <c r="F1177" s="3" t="str">
        <f t="shared" si="207"/>
        <v>ack</v>
      </c>
      <c r="G1177" s="3" t="str">
        <f t="shared" si="208"/>
        <v>9C</v>
      </c>
      <c r="H1177" s="3" t="str">
        <f t="shared" si="209"/>
        <v/>
      </c>
      <c r="I1177" s="3">
        <f t="shared" si="210"/>
        <v>156</v>
      </c>
      <c r="J1177" s="5" t="str">
        <f>IF(E1177=0,"Broadcast",IF(H1177="",IF(I1177="","",IF(I1177&lt;128,"Connect "&amp;I1177,INDEX(KdoCodeTab,MATCH(I1177,KdoWertTab,0)))),"ReadStat "&amp;H1177))</f>
        <v>MarkCmd</v>
      </c>
      <c r="K1177" t="str">
        <f t="shared" si="200"/>
        <v/>
      </c>
      <c r="L1177" t="str">
        <f t="shared" si="201"/>
        <v>MarkCmd</v>
      </c>
      <c r="M1177" t="str">
        <f t="shared" si="202"/>
        <v/>
      </c>
    </row>
    <row r="1178" spans="1:13" x14ac:dyDescent="0.25">
      <c r="A1178" t="s">
        <v>752</v>
      </c>
      <c r="B1178" s="6">
        <f t="shared" si="203"/>
        <v>10.918666666666667</v>
      </c>
      <c r="C1178" s="9">
        <f t="shared" si="204"/>
        <v>5.999999999998451</v>
      </c>
      <c r="D1178" s="8" t="str">
        <f t="shared" si="205"/>
        <v>W</v>
      </c>
      <c r="E1178" s="3">
        <f t="shared" si="206"/>
        <v>31</v>
      </c>
      <c r="F1178" s="3" t="str">
        <f t="shared" si="207"/>
        <v>ack</v>
      </c>
      <c r="G1178" s="3" t="str">
        <f t="shared" si="208"/>
        <v>9A</v>
      </c>
      <c r="H1178" s="3" t="str">
        <f t="shared" si="209"/>
        <v/>
      </c>
      <c r="I1178" s="3">
        <f t="shared" si="210"/>
        <v>154</v>
      </c>
      <c r="J1178" s="5" t="str">
        <f>IF(E1178=0,"Broadcast",IF(H1178="",IF(I1178="","",IF(I1178&lt;128,"Connect "&amp;I1178,INDEX(KdoCodeTab,MATCH(I1178,KdoWertTab,0)))),"ReadStat "&amp;H1178))</f>
        <v>RepMarkCmd</v>
      </c>
      <c r="K1178" t="str">
        <f t="shared" si="200"/>
        <v/>
      </c>
      <c r="L1178" t="str">
        <f t="shared" si="201"/>
        <v>RepMarkCmd</v>
      </c>
      <c r="M1178" t="str">
        <f t="shared" si="202"/>
        <v/>
      </c>
    </row>
    <row r="1179" spans="1:13" x14ac:dyDescent="0.25">
      <c r="A1179" t="s">
        <v>753</v>
      </c>
      <c r="B1179" s="6">
        <f t="shared" si="203"/>
        <v>1.0166666666666668E-2</v>
      </c>
      <c r="C1179" s="9">
        <f t="shared" si="204"/>
        <v>91.499999999999915</v>
      </c>
      <c r="D1179" s="8" t="str">
        <f t="shared" si="205"/>
        <v>W</v>
      </c>
      <c r="E1179" s="3">
        <f t="shared" si="206"/>
        <v>31</v>
      </c>
      <c r="F1179" s="3" t="str">
        <f t="shared" si="207"/>
        <v>ack</v>
      </c>
      <c r="G1179" s="3" t="str">
        <f t="shared" si="208"/>
        <v>93</v>
      </c>
      <c r="H1179" s="3" t="str">
        <f t="shared" si="209"/>
        <v/>
      </c>
      <c r="I1179" s="3">
        <f t="shared" si="210"/>
        <v>147</v>
      </c>
      <c r="J1179" s="5" t="str">
        <f>IF(E1179=0,"Broadcast",IF(H1179="",IF(I1179="","",IF(I1179&lt;128,"Connect "&amp;I1179,INDEX(KdoCodeTab,MATCH(I1179,KdoWertTab,0)))),"ReadStat "&amp;H1179))</f>
        <v>SpaceCmd</v>
      </c>
      <c r="K1179" t="str">
        <f t="shared" si="200"/>
        <v/>
      </c>
      <c r="L1179" t="str">
        <f t="shared" si="201"/>
        <v>SpaceCmd</v>
      </c>
      <c r="M1179" t="str">
        <f t="shared" si="202"/>
        <v/>
      </c>
    </row>
    <row r="1180" spans="1:13" x14ac:dyDescent="0.25">
      <c r="A1180" t="s">
        <v>754</v>
      </c>
      <c r="B1180" s="6">
        <f t="shared" si="203"/>
        <v>1.6166666666666666E-2</v>
      </c>
      <c r="C1180" s="9">
        <f t="shared" si="204"/>
        <v>5.9999999999999982</v>
      </c>
      <c r="D1180" s="8" t="str">
        <f t="shared" si="205"/>
        <v>W</v>
      </c>
      <c r="E1180" s="3">
        <f t="shared" si="206"/>
        <v>31</v>
      </c>
      <c r="F1180" s="3" t="str">
        <f t="shared" si="207"/>
        <v>ack</v>
      </c>
      <c r="G1180" s="3" t="str">
        <f t="shared" si="208"/>
        <v>96</v>
      </c>
      <c r="H1180" s="3" t="str">
        <f t="shared" si="209"/>
        <v/>
      </c>
      <c r="I1180" s="3">
        <f t="shared" si="210"/>
        <v>150</v>
      </c>
      <c r="J1180" s="5" t="str">
        <f>IF(E1180=0,"Broadcast",IF(H1180="",IF(I1180="","",IF(I1180&lt;128,"Connect "&amp;I1180,INDEX(KdoCodeTab,MATCH(I1180,KdoWertTab,0)))),"ReadStat "&amp;H1180))</f>
        <v>RepSpaceCmd</v>
      </c>
      <c r="K1180" t="str">
        <f t="shared" si="200"/>
        <v/>
      </c>
      <c r="L1180" t="str">
        <f t="shared" si="201"/>
        <v>RepSpaceCmd</v>
      </c>
      <c r="M1180" t="str">
        <f t="shared" si="202"/>
        <v/>
      </c>
    </row>
    <row r="1181" spans="1:13" x14ac:dyDescent="0.25">
      <c r="A1181" t="s">
        <v>755</v>
      </c>
      <c r="B1181" s="6">
        <f t="shared" si="203"/>
        <v>7.0666666666666669E-2</v>
      </c>
      <c r="C1181" s="9">
        <f t="shared" si="204"/>
        <v>54.500000000000007</v>
      </c>
      <c r="D1181" s="8" t="str">
        <f t="shared" si="205"/>
        <v>W</v>
      </c>
      <c r="E1181" s="3">
        <f t="shared" si="206"/>
        <v>31</v>
      </c>
      <c r="F1181" s="3" t="str">
        <f t="shared" si="207"/>
        <v>ack</v>
      </c>
      <c r="G1181" s="3" t="str">
        <f t="shared" si="208"/>
        <v>9C</v>
      </c>
      <c r="H1181" s="3" t="str">
        <f t="shared" si="209"/>
        <v/>
      </c>
      <c r="I1181" s="3">
        <f t="shared" si="210"/>
        <v>156</v>
      </c>
      <c r="J1181" s="5" t="str">
        <f>IF(E1181=0,"Broadcast",IF(H1181="",IF(I1181="","",IF(I1181&lt;128,"Connect "&amp;I1181,INDEX(KdoCodeTab,MATCH(I1181,KdoWertTab,0)))),"ReadStat "&amp;H1181))</f>
        <v>MarkCmd</v>
      </c>
      <c r="K1181" t="str">
        <f t="shared" si="200"/>
        <v/>
      </c>
      <c r="L1181" t="str">
        <f t="shared" si="201"/>
        <v>MarkCmd</v>
      </c>
      <c r="M1181" t="str">
        <f t="shared" si="202"/>
        <v/>
      </c>
    </row>
    <row r="1182" spans="1:13" x14ac:dyDescent="0.25">
      <c r="A1182" t="s">
        <v>756</v>
      </c>
      <c r="B1182" s="6">
        <f t="shared" si="203"/>
        <v>7.6666666666666661E-2</v>
      </c>
      <c r="C1182" s="9">
        <f t="shared" si="204"/>
        <v>5.9999999999999911</v>
      </c>
      <c r="D1182" s="8" t="str">
        <f t="shared" si="205"/>
        <v>W</v>
      </c>
      <c r="E1182" s="3">
        <f t="shared" si="206"/>
        <v>31</v>
      </c>
      <c r="F1182" s="3" t="str">
        <f t="shared" si="207"/>
        <v>ack</v>
      </c>
      <c r="G1182" s="3" t="str">
        <f t="shared" si="208"/>
        <v>9A</v>
      </c>
      <c r="H1182" s="3" t="str">
        <f t="shared" si="209"/>
        <v/>
      </c>
      <c r="I1182" s="3">
        <f t="shared" si="210"/>
        <v>154</v>
      </c>
      <c r="J1182" s="5" t="str">
        <f>IF(E1182=0,"Broadcast",IF(H1182="",IF(I1182="","",IF(I1182&lt;128,"Connect "&amp;I1182,INDEX(KdoCodeTab,MATCH(I1182,KdoWertTab,0)))),"ReadStat "&amp;H1182))</f>
        <v>RepMarkCmd</v>
      </c>
      <c r="K1182" t="str">
        <f t="shared" si="200"/>
        <v/>
      </c>
      <c r="L1182" t="str">
        <f t="shared" si="201"/>
        <v>RepMarkCmd</v>
      </c>
      <c r="M1182" t="str">
        <f t="shared" si="202"/>
        <v/>
      </c>
    </row>
    <row r="1183" spans="1:13" x14ac:dyDescent="0.25">
      <c r="A1183" t="s">
        <v>757</v>
      </c>
      <c r="B1183" s="6">
        <f t="shared" si="203"/>
        <v>0.10083333333333334</v>
      </c>
      <c r="C1183" s="9">
        <f t="shared" si="204"/>
        <v>24.166666666666682</v>
      </c>
      <c r="D1183" s="8" t="str">
        <f t="shared" si="205"/>
        <v>W</v>
      </c>
      <c r="E1183" s="3">
        <f t="shared" si="206"/>
        <v>18</v>
      </c>
      <c r="F1183" s="3" t="str">
        <f t="shared" si="207"/>
        <v>NACK</v>
      </c>
      <c r="G1183" s="3" t="str">
        <f t="shared" si="208"/>
        <v/>
      </c>
      <c r="H1183" s="3" t="str">
        <f t="shared" si="209"/>
        <v/>
      </c>
      <c r="I1183" s="3" t="str">
        <f t="shared" si="210"/>
        <v/>
      </c>
      <c r="J1183" s="5" t="str">
        <f>IF(E1183=0,"Broadcast",IF(H1183="",IF(I1183="","",IF(I1183&lt;128,"Connect "&amp;I1183,INDEX(KdoCodeTab,MATCH(I1183,KdoWertTab,0)))),"ReadStat "&amp;H1183))</f>
        <v/>
      </c>
      <c r="K1183" t="str">
        <f t="shared" si="200"/>
        <v/>
      </c>
      <c r="L1183" t="str">
        <f t="shared" si="201"/>
        <v/>
      </c>
      <c r="M1183" t="str">
        <f t="shared" si="202"/>
        <v/>
      </c>
    </row>
    <row r="1184" spans="1:13" x14ac:dyDescent="0.25">
      <c r="A1184" t="s">
        <v>758</v>
      </c>
      <c r="B1184" s="6">
        <f t="shared" si="203"/>
        <v>0.107</v>
      </c>
      <c r="C1184" s="9">
        <f t="shared" si="204"/>
        <v>6.1666666666666536</v>
      </c>
      <c r="D1184" s="8" t="str">
        <f t="shared" si="205"/>
        <v>W</v>
      </c>
      <c r="E1184" s="3">
        <f t="shared" si="206"/>
        <v>31</v>
      </c>
      <c r="F1184" s="3" t="str">
        <f t="shared" si="207"/>
        <v>ack</v>
      </c>
      <c r="G1184" s="3" t="str">
        <f t="shared" si="208"/>
        <v>96</v>
      </c>
      <c r="H1184" s="3" t="str">
        <f t="shared" si="209"/>
        <v/>
      </c>
      <c r="I1184" s="3">
        <f t="shared" si="210"/>
        <v>150</v>
      </c>
      <c r="J1184" s="5" t="str">
        <f>IF(E1184=0,"Broadcast",IF(H1184="",IF(I1184="","",IF(I1184&lt;128,"Connect "&amp;I1184,INDEX(KdoCodeTab,MATCH(I1184,KdoWertTab,0)))),"ReadStat "&amp;H1184))</f>
        <v>RepSpaceCmd</v>
      </c>
      <c r="K1184" t="str">
        <f t="shared" si="200"/>
        <v/>
      </c>
      <c r="L1184" t="str">
        <f t="shared" si="201"/>
        <v>RepSpaceCmd</v>
      </c>
      <c r="M1184" t="str">
        <f t="shared" si="202"/>
        <v/>
      </c>
    </row>
    <row r="1185" spans="1:13" x14ac:dyDescent="0.25">
      <c r="A1185" t="s">
        <v>759</v>
      </c>
      <c r="B1185" s="6">
        <f t="shared" si="203"/>
        <v>0.121</v>
      </c>
      <c r="C1185" s="9">
        <f t="shared" si="204"/>
        <v>13.999999999999998</v>
      </c>
      <c r="D1185" s="8" t="str">
        <f t="shared" si="205"/>
        <v>W</v>
      </c>
      <c r="E1185" s="3">
        <f t="shared" si="206"/>
        <v>31</v>
      </c>
      <c r="F1185" s="3" t="str">
        <f t="shared" si="207"/>
        <v>ack</v>
      </c>
      <c r="G1185" s="3" t="str">
        <f t="shared" si="208"/>
        <v>9C</v>
      </c>
      <c r="H1185" s="3" t="str">
        <f t="shared" si="209"/>
        <v/>
      </c>
      <c r="I1185" s="3">
        <f t="shared" si="210"/>
        <v>156</v>
      </c>
      <c r="J1185" s="5" t="str">
        <f>IF(E1185=0,"Broadcast",IF(H1185="",IF(I1185="","",IF(I1185&lt;128,"Connect "&amp;I1185,INDEX(KdoCodeTab,MATCH(I1185,KdoWertTab,0)))),"ReadStat "&amp;H1185))</f>
        <v>MarkCmd</v>
      </c>
      <c r="K1185" t="str">
        <f t="shared" si="200"/>
        <v/>
      </c>
      <c r="L1185" t="str">
        <f t="shared" si="201"/>
        <v>MarkCmd</v>
      </c>
      <c r="M1185" t="str">
        <f t="shared" si="202"/>
        <v/>
      </c>
    </row>
    <row r="1186" spans="1:13" x14ac:dyDescent="0.25">
      <c r="A1186" t="s">
        <v>760</v>
      </c>
      <c r="B1186" s="6">
        <f t="shared" si="203"/>
        <v>0.12716666666666668</v>
      </c>
      <c r="C1186" s="9">
        <f t="shared" si="204"/>
        <v>6.1666666666666812</v>
      </c>
      <c r="D1186" s="8" t="str">
        <f t="shared" si="205"/>
        <v>W</v>
      </c>
      <c r="E1186" s="3">
        <f t="shared" si="206"/>
        <v>31</v>
      </c>
      <c r="F1186" s="3" t="str">
        <f t="shared" si="207"/>
        <v>ack</v>
      </c>
      <c r="G1186" s="3" t="str">
        <f t="shared" si="208"/>
        <v>9A</v>
      </c>
      <c r="H1186" s="3" t="str">
        <f t="shared" si="209"/>
        <v/>
      </c>
      <c r="I1186" s="3">
        <f t="shared" si="210"/>
        <v>154</v>
      </c>
      <c r="J1186" s="5" t="str">
        <f>IF(E1186=0,"Broadcast",IF(H1186="",IF(I1186="","",IF(I1186&lt;128,"Connect "&amp;I1186,INDEX(KdoCodeTab,MATCH(I1186,KdoWertTab,0)))),"ReadStat "&amp;H1186))</f>
        <v>RepMarkCmd</v>
      </c>
      <c r="K1186" t="str">
        <f t="shared" si="200"/>
        <v/>
      </c>
      <c r="L1186" t="str">
        <f t="shared" si="201"/>
        <v>RepMarkCmd</v>
      </c>
      <c r="M1186" t="str">
        <f t="shared" si="202"/>
        <v/>
      </c>
    </row>
    <row r="1187" spans="1:13" x14ac:dyDescent="0.25">
      <c r="A1187" t="s">
        <v>761</v>
      </c>
      <c r="B1187" s="6">
        <f t="shared" si="203"/>
        <v>0.16133333333333333</v>
      </c>
      <c r="C1187" s="9">
        <f t="shared" si="204"/>
        <v>34.16666666666665</v>
      </c>
      <c r="D1187" s="8" t="str">
        <f t="shared" si="205"/>
        <v>W</v>
      </c>
      <c r="E1187" s="3">
        <f t="shared" si="206"/>
        <v>18</v>
      </c>
      <c r="F1187" s="3" t="str">
        <f t="shared" si="207"/>
        <v>NACK</v>
      </c>
      <c r="G1187" s="3" t="str">
        <f t="shared" si="208"/>
        <v/>
      </c>
      <c r="H1187" s="3" t="str">
        <f t="shared" si="209"/>
        <v/>
      </c>
      <c r="I1187" s="3" t="str">
        <f t="shared" si="210"/>
        <v/>
      </c>
      <c r="J1187" s="5" t="str">
        <f>IF(E1187=0,"Broadcast",IF(H1187="",IF(I1187="","",IF(I1187&lt;128,"Connect "&amp;I1187,INDEX(KdoCodeTab,MATCH(I1187,KdoWertTab,0)))),"ReadStat "&amp;H1187))</f>
        <v/>
      </c>
      <c r="K1187" t="str">
        <f t="shared" si="200"/>
        <v/>
      </c>
      <c r="L1187" t="str">
        <f t="shared" si="201"/>
        <v/>
      </c>
      <c r="M1187" t="str">
        <f t="shared" si="202"/>
        <v/>
      </c>
    </row>
    <row r="1188" spans="1:13" x14ac:dyDescent="0.25">
      <c r="A1188" t="s">
        <v>762</v>
      </c>
      <c r="B1188" s="6">
        <f t="shared" si="203"/>
        <v>0.16750000000000001</v>
      </c>
      <c r="C1188" s="9">
        <f t="shared" si="204"/>
        <v>6.1666666666666812</v>
      </c>
      <c r="D1188" s="8" t="str">
        <f t="shared" si="205"/>
        <v>W</v>
      </c>
      <c r="E1188" s="3">
        <f t="shared" si="206"/>
        <v>31</v>
      </c>
      <c r="F1188" s="3" t="str">
        <f t="shared" si="207"/>
        <v>ack</v>
      </c>
      <c r="G1188" s="3" t="str">
        <f t="shared" si="208"/>
        <v>96</v>
      </c>
      <c r="H1188" s="3" t="str">
        <f t="shared" si="209"/>
        <v/>
      </c>
      <c r="I1188" s="3">
        <f t="shared" si="210"/>
        <v>150</v>
      </c>
      <c r="J1188" s="5" t="str">
        <f>IF(E1188=0,"Broadcast",IF(H1188="",IF(I1188="","",IF(I1188&lt;128,"Connect "&amp;I1188,INDEX(KdoCodeTab,MATCH(I1188,KdoWertTab,0)))),"ReadStat "&amp;H1188))</f>
        <v>RepSpaceCmd</v>
      </c>
      <c r="K1188" t="str">
        <f t="shared" si="200"/>
        <v/>
      </c>
      <c r="L1188" t="str">
        <f t="shared" si="201"/>
        <v>RepSpaceCmd</v>
      </c>
      <c r="M1188" t="str">
        <f t="shared" si="202"/>
        <v/>
      </c>
    </row>
    <row r="1189" spans="1:13" x14ac:dyDescent="0.25">
      <c r="A1189" t="s">
        <v>763</v>
      </c>
      <c r="B1189" s="6">
        <f t="shared" si="203"/>
        <v>0.18149999999999999</v>
      </c>
      <c r="C1189" s="9">
        <f t="shared" si="204"/>
        <v>13.999999999999984</v>
      </c>
      <c r="D1189" s="8" t="str">
        <f t="shared" si="205"/>
        <v>W</v>
      </c>
      <c r="E1189" s="3">
        <f t="shared" si="206"/>
        <v>31</v>
      </c>
      <c r="F1189" s="3" t="str">
        <f t="shared" si="207"/>
        <v>ack</v>
      </c>
      <c r="G1189" s="3" t="str">
        <f t="shared" si="208"/>
        <v>9C</v>
      </c>
      <c r="H1189" s="3" t="str">
        <f t="shared" si="209"/>
        <v/>
      </c>
      <c r="I1189" s="3">
        <f t="shared" si="210"/>
        <v>156</v>
      </c>
      <c r="J1189" s="5" t="str">
        <f>IF(E1189=0,"Broadcast",IF(H1189="",IF(I1189="","",IF(I1189&lt;128,"Connect "&amp;I1189,INDEX(KdoCodeTab,MATCH(I1189,KdoWertTab,0)))),"ReadStat "&amp;H1189))</f>
        <v>MarkCmd</v>
      </c>
      <c r="K1189" t="str">
        <f t="shared" si="200"/>
        <v/>
      </c>
      <c r="L1189" t="str">
        <f t="shared" si="201"/>
        <v>MarkCmd</v>
      </c>
      <c r="M1189" t="str">
        <f t="shared" si="202"/>
        <v/>
      </c>
    </row>
    <row r="1190" spans="1:13" x14ac:dyDescent="0.25">
      <c r="A1190" t="s">
        <v>764</v>
      </c>
      <c r="B1190" s="6">
        <f t="shared" si="203"/>
        <v>0.18766666666666668</v>
      </c>
      <c r="C1190" s="9">
        <f t="shared" si="204"/>
        <v>6.1666666666666812</v>
      </c>
      <c r="D1190" s="8" t="str">
        <f t="shared" si="205"/>
        <v>W</v>
      </c>
      <c r="E1190" s="3">
        <f t="shared" si="206"/>
        <v>31</v>
      </c>
      <c r="F1190" s="3" t="str">
        <f t="shared" si="207"/>
        <v>ack</v>
      </c>
      <c r="G1190" s="3" t="str">
        <f t="shared" si="208"/>
        <v>9A</v>
      </c>
      <c r="H1190" s="3" t="str">
        <f t="shared" si="209"/>
        <v/>
      </c>
      <c r="I1190" s="3">
        <f t="shared" si="210"/>
        <v>154</v>
      </c>
      <c r="J1190" s="5" t="str">
        <f>IF(E1190=0,"Broadcast",IF(H1190="",IF(I1190="","",IF(I1190&lt;128,"Connect "&amp;I1190,INDEX(KdoCodeTab,MATCH(I1190,KdoWertTab,0)))),"ReadStat "&amp;H1190))</f>
        <v>RepMarkCmd</v>
      </c>
      <c r="K1190" t="str">
        <f t="shared" si="200"/>
        <v/>
      </c>
      <c r="L1190" t="str">
        <f t="shared" si="201"/>
        <v>RepMarkCmd</v>
      </c>
      <c r="M1190" t="str">
        <f t="shared" si="202"/>
        <v/>
      </c>
    </row>
    <row r="1191" spans="1:13" x14ac:dyDescent="0.25">
      <c r="A1191" t="s">
        <v>765</v>
      </c>
      <c r="B1191" s="6">
        <f t="shared" si="203"/>
        <v>0.25216666666666665</v>
      </c>
      <c r="C1191" s="9">
        <f t="shared" si="204"/>
        <v>64.499999999999972</v>
      </c>
      <c r="D1191" s="8" t="str">
        <f t="shared" si="205"/>
        <v>W</v>
      </c>
      <c r="E1191" s="3">
        <f t="shared" si="206"/>
        <v>31</v>
      </c>
      <c r="F1191" s="3" t="str">
        <f t="shared" si="207"/>
        <v>ack</v>
      </c>
      <c r="G1191" s="3" t="str">
        <f t="shared" si="208"/>
        <v>93</v>
      </c>
      <c r="H1191" s="3" t="str">
        <f t="shared" si="209"/>
        <v/>
      </c>
      <c r="I1191" s="3">
        <f t="shared" si="210"/>
        <v>147</v>
      </c>
      <c r="J1191" s="5" t="str">
        <f>IF(E1191=0,"Broadcast",IF(H1191="",IF(I1191="","",IF(I1191&lt;128,"Connect "&amp;I1191,INDEX(KdoCodeTab,MATCH(I1191,KdoWertTab,0)))),"ReadStat "&amp;H1191))</f>
        <v>SpaceCmd</v>
      </c>
      <c r="K1191" t="str">
        <f t="shared" si="200"/>
        <v/>
      </c>
      <c r="L1191" t="str">
        <f t="shared" si="201"/>
        <v>SpaceCmd</v>
      </c>
      <c r="M1191" t="str">
        <f t="shared" si="202"/>
        <v/>
      </c>
    </row>
    <row r="1192" spans="1:13" x14ac:dyDescent="0.25">
      <c r="A1192" t="s">
        <v>766</v>
      </c>
      <c r="B1192" s="6">
        <f t="shared" si="203"/>
        <v>0.25816666666666666</v>
      </c>
      <c r="C1192" s="9">
        <f t="shared" si="204"/>
        <v>6.0000000000000053</v>
      </c>
      <c r="D1192" s="8" t="str">
        <f t="shared" si="205"/>
        <v>W</v>
      </c>
      <c r="E1192" s="3">
        <f t="shared" si="206"/>
        <v>31</v>
      </c>
      <c r="F1192" s="3" t="str">
        <f t="shared" si="207"/>
        <v>ack</v>
      </c>
      <c r="G1192" s="3" t="str">
        <f t="shared" si="208"/>
        <v>96</v>
      </c>
      <c r="H1192" s="3" t="str">
        <f t="shared" si="209"/>
        <v/>
      </c>
      <c r="I1192" s="3">
        <f t="shared" si="210"/>
        <v>150</v>
      </c>
      <c r="J1192" s="5" t="str">
        <f>IF(E1192=0,"Broadcast",IF(H1192="",IF(I1192="","",IF(I1192&lt;128,"Connect "&amp;I1192,INDEX(KdoCodeTab,MATCH(I1192,KdoWertTab,0)))),"ReadStat "&amp;H1192))</f>
        <v>RepSpaceCmd</v>
      </c>
      <c r="K1192" t="str">
        <f t="shared" si="200"/>
        <v/>
      </c>
      <c r="L1192" t="str">
        <f t="shared" si="201"/>
        <v>RepSpaceCmd</v>
      </c>
      <c r="M1192" t="str">
        <f t="shared" si="202"/>
        <v/>
      </c>
    </row>
    <row r="1193" spans="1:13" x14ac:dyDescent="0.25">
      <c r="A1193" t="s">
        <v>767</v>
      </c>
      <c r="B1193" s="6">
        <f t="shared" si="203"/>
        <v>0.33266666666666667</v>
      </c>
      <c r="C1193" s="9">
        <f t="shared" si="204"/>
        <v>74.500000000000014</v>
      </c>
      <c r="D1193" s="8" t="str">
        <f t="shared" si="205"/>
        <v>W</v>
      </c>
      <c r="E1193" s="3">
        <f t="shared" si="206"/>
        <v>31</v>
      </c>
      <c r="F1193" s="3" t="str">
        <f t="shared" si="207"/>
        <v>ack</v>
      </c>
      <c r="G1193" s="3" t="str">
        <f t="shared" si="208"/>
        <v>9C</v>
      </c>
      <c r="H1193" s="3" t="str">
        <f t="shared" si="209"/>
        <v/>
      </c>
      <c r="I1193" s="3">
        <f t="shared" si="210"/>
        <v>156</v>
      </c>
      <c r="J1193" s="5" t="str">
        <f>IF(E1193=0,"Broadcast",IF(H1193="",IF(I1193="","",IF(I1193&lt;128,"Connect "&amp;I1193,INDEX(KdoCodeTab,MATCH(I1193,KdoWertTab,0)))),"ReadStat "&amp;H1193))</f>
        <v>MarkCmd</v>
      </c>
      <c r="K1193" t="str">
        <f t="shared" si="200"/>
        <v/>
      </c>
      <c r="L1193" t="str">
        <f t="shared" si="201"/>
        <v>MarkCmd</v>
      </c>
      <c r="M1193" t="str">
        <f t="shared" si="202"/>
        <v/>
      </c>
    </row>
    <row r="1194" spans="1:13" x14ac:dyDescent="0.25">
      <c r="A1194" t="s">
        <v>768</v>
      </c>
      <c r="B1194" s="6">
        <f t="shared" si="203"/>
        <v>0.33883333333333338</v>
      </c>
      <c r="C1194" s="9">
        <f t="shared" si="204"/>
        <v>6.1666666666667087</v>
      </c>
      <c r="D1194" s="8" t="str">
        <f t="shared" si="205"/>
        <v>W</v>
      </c>
      <c r="E1194" s="3">
        <f t="shared" si="206"/>
        <v>31</v>
      </c>
      <c r="F1194" s="3" t="str">
        <f t="shared" si="207"/>
        <v>ack</v>
      </c>
      <c r="G1194" s="3" t="str">
        <f t="shared" si="208"/>
        <v>9A</v>
      </c>
      <c r="H1194" s="3" t="str">
        <f t="shared" si="209"/>
        <v/>
      </c>
      <c r="I1194" s="3">
        <f t="shared" si="210"/>
        <v>154</v>
      </c>
      <c r="J1194" s="5" t="str">
        <f>IF(E1194=0,"Broadcast",IF(H1194="",IF(I1194="","",IF(I1194&lt;128,"Connect "&amp;I1194,INDEX(KdoCodeTab,MATCH(I1194,KdoWertTab,0)))),"ReadStat "&amp;H1194))</f>
        <v>RepMarkCmd</v>
      </c>
      <c r="K1194" t="str">
        <f t="shared" si="200"/>
        <v/>
      </c>
      <c r="L1194" t="str">
        <f t="shared" si="201"/>
        <v>RepMarkCmd</v>
      </c>
      <c r="M1194" t="str">
        <f t="shared" si="202"/>
        <v/>
      </c>
    </row>
    <row r="1195" spans="1:13" x14ac:dyDescent="0.25">
      <c r="A1195" t="s">
        <v>769</v>
      </c>
      <c r="B1195" s="6">
        <f t="shared" si="203"/>
        <v>0.40333333333333338</v>
      </c>
      <c r="C1195" s="9">
        <f t="shared" si="204"/>
        <v>64.5</v>
      </c>
      <c r="D1195" s="8" t="str">
        <f t="shared" si="205"/>
        <v>W</v>
      </c>
      <c r="E1195" s="3">
        <f t="shared" si="206"/>
        <v>31</v>
      </c>
      <c r="F1195" s="3" t="str">
        <f t="shared" si="207"/>
        <v>ack</v>
      </c>
      <c r="G1195" s="3" t="str">
        <f t="shared" si="208"/>
        <v>93</v>
      </c>
      <c r="H1195" s="3" t="str">
        <f t="shared" si="209"/>
        <v/>
      </c>
      <c r="I1195" s="3">
        <f t="shared" si="210"/>
        <v>147</v>
      </c>
      <c r="J1195" s="5" t="str">
        <f>IF(E1195=0,"Broadcast",IF(H1195="",IF(I1195="","",IF(I1195&lt;128,"Connect "&amp;I1195,INDEX(KdoCodeTab,MATCH(I1195,KdoWertTab,0)))),"ReadStat "&amp;H1195))</f>
        <v>SpaceCmd</v>
      </c>
      <c r="K1195" t="str">
        <f t="shared" si="200"/>
        <v/>
      </c>
      <c r="L1195" t="str">
        <f t="shared" si="201"/>
        <v>SpaceCmd</v>
      </c>
      <c r="M1195" t="str">
        <f t="shared" si="202"/>
        <v/>
      </c>
    </row>
    <row r="1196" spans="1:13" x14ac:dyDescent="0.25">
      <c r="A1196" t="s">
        <v>770</v>
      </c>
      <c r="B1196" s="6">
        <f t="shared" si="203"/>
        <v>0.40933333333333333</v>
      </c>
      <c r="C1196" s="9">
        <f t="shared" si="204"/>
        <v>5.9999999999999503</v>
      </c>
      <c r="D1196" s="8" t="str">
        <f t="shared" si="205"/>
        <v>W</v>
      </c>
      <c r="E1196" s="3">
        <f t="shared" si="206"/>
        <v>31</v>
      </c>
      <c r="F1196" s="3" t="str">
        <f t="shared" si="207"/>
        <v>ack</v>
      </c>
      <c r="G1196" s="3" t="str">
        <f t="shared" si="208"/>
        <v>96</v>
      </c>
      <c r="H1196" s="3" t="str">
        <f t="shared" si="209"/>
        <v/>
      </c>
      <c r="I1196" s="3">
        <f t="shared" si="210"/>
        <v>150</v>
      </c>
      <c r="J1196" s="5" t="str">
        <f>IF(E1196=0,"Broadcast",IF(H1196="",IF(I1196="","",IF(I1196&lt;128,"Connect "&amp;I1196,INDEX(KdoCodeTab,MATCH(I1196,KdoWertTab,0)))),"ReadStat "&amp;H1196))</f>
        <v>RepSpaceCmd</v>
      </c>
      <c r="K1196" t="str">
        <f t="shared" si="200"/>
        <v/>
      </c>
      <c r="L1196" t="str">
        <f t="shared" si="201"/>
        <v>RepSpaceCmd</v>
      </c>
      <c r="M1196" t="str">
        <f t="shared" si="202"/>
        <v/>
      </c>
    </row>
    <row r="1197" spans="1:13" x14ac:dyDescent="0.25">
      <c r="A1197" t="s">
        <v>771</v>
      </c>
      <c r="B1197" s="6">
        <f t="shared" si="203"/>
        <v>0.41549999999999998</v>
      </c>
      <c r="C1197" s="9">
        <f t="shared" si="204"/>
        <v>6.1666666666666536</v>
      </c>
      <c r="D1197" s="8" t="str">
        <f t="shared" si="205"/>
        <v>W</v>
      </c>
      <c r="E1197" s="3">
        <f t="shared" si="206"/>
        <v>101</v>
      </c>
      <c r="F1197" s="3" t="str">
        <f t="shared" si="207"/>
        <v>ack</v>
      </c>
      <c r="G1197" s="3" t="str">
        <f t="shared" si="208"/>
        <v>A9</v>
      </c>
      <c r="H1197" s="3" t="str">
        <f t="shared" si="209"/>
        <v/>
      </c>
      <c r="I1197" s="3">
        <f t="shared" si="210"/>
        <v>169</v>
      </c>
      <c r="J1197" s="5" t="str">
        <f>IF(E1197=0,"Broadcast",IF(H1197="",IF(I1197="","",IF(I1197&lt;128,"Connect "&amp;I1197,INDEX(KdoCodeTab,MATCH(I1197,KdoWertTab,0)))),"ReadStat "&amp;H1197))</f>
        <v>Heartbeat</v>
      </c>
      <c r="K1197" t="str">
        <f t="shared" si="200"/>
        <v/>
      </c>
      <c r="L1197" t="str">
        <f t="shared" si="201"/>
        <v/>
      </c>
      <c r="M1197" t="str">
        <f t="shared" si="202"/>
        <v>Heartbeat</v>
      </c>
    </row>
    <row r="1198" spans="1:13" x14ac:dyDescent="0.25">
      <c r="A1198" t="s">
        <v>772</v>
      </c>
      <c r="B1198" s="6">
        <f t="shared" si="203"/>
        <v>0.42349999999999999</v>
      </c>
      <c r="C1198" s="9">
        <f t="shared" si="204"/>
        <v>8.0000000000000071</v>
      </c>
      <c r="D1198" s="8" t="str">
        <f t="shared" si="205"/>
        <v>W</v>
      </c>
      <c r="E1198" s="3">
        <f t="shared" si="206"/>
        <v>31</v>
      </c>
      <c r="F1198" s="3" t="str">
        <f t="shared" si="207"/>
        <v>ack</v>
      </c>
      <c r="G1198" s="3" t="str">
        <f t="shared" si="208"/>
        <v>9C</v>
      </c>
      <c r="H1198" s="3" t="str">
        <f t="shared" si="209"/>
        <v/>
      </c>
      <c r="I1198" s="3">
        <f t="shared" si="210"/>
        <v>156</v>
      </c>
      <c r="J1198" s="5" t="str">
        <f>IF(E1198=0,"Broadcast",IF(H1198="",IF(I1198="","",IF(I1198&lt;128,"Connect "&amp;I1198,INDEX(KdoCodeTab,MATCH(I1198,KdoWertTab,0)))),"ReadStat "&amp;H1198))</f>
        <v>MarkCmd</v>
      </c>
      <c r="K1198" t="str">
        <f t="shared" si="200"/>
        <v/>
      </c>
      <c r="L1198" t="str">
        <f t="shared" si="201"/>
        <v>MarkCmd</v>
      </c>
      <c r="M1198" t="str">
        <f t="shared" si="202"/>
        <v/>
      </c>
    </row>
    <row r="1199" spans="1:13" x14ac:dyDescent="0.25">
      <c r="A1199" t="s">
        <v>773</v>
      </c>
      <c r="B1199" s="6">
        <f t="shared" si="203"/>
        <v>0.42949999999999999</v>
      </c>
      <c r="C1199" s="9">
        <f t="shared" si="204"/>
        <v>6.0000000000000053</v>
      </c>
      <c r="D1199" s="8" t="str">
        <f t="shared" si="205"/>
        <v>W</v>
      </c>
      <c r="E1199" s="3">
        <f t="shared" si="206"/>
        <v>31</v>
      </c>
      <c r="F1199" s="3" t="str">
        <f t="shared" si="207"/>
        <v>ack</v>
      </c>
      <c r="G1199" s="3" t="str">
        <f t="shared" si="208"/>
        <v>9A</v>
      </c>
      <c r="H1199" s="3" t="str">
        <f t="shared" si="209"/>
        <v/>
      </c>
      <c r="I1199" s="3">
        <f t="shared" si="210"/>
        <v>154</v>
      </c>
      <c r="J1199" s="5" t="str">
        <f>IF(E1199=0,"Broadcast",IF(H1199="",IF(I1199="","",IF(I1199&lt;128,"Connect "&amp;I1199,INDEX(KdoCodeTab,MATCH(I1199,KdoWertTab,0)))),"ReadStat "&amp;H1199))</f>
        <v>RepMarkCmd</v>
      </c>
      <c r="K1199" t="str">
        <f t="shared" si="200"/>
        <v/>
      </c>
      <c r="L1199" t="str">
        <f t="shared" si="201"/>
        <v>RepMarkCmd</v>
      </c>
      <c r="M1199" t="str">
        <f t="shared" si="202"/>
        <v/>
      </c>
    </row>
    <row r="1200" spans="1:13" x14ac:dyDescent="0.25">
      <c r="A1200" t="s">
        <v>774</v>
      </c>
      <c r="B1200" s="6">
        <f t="shared" si="203"/>
        <v>0.46383333333333338</v>
      </c>
      <c r="C1200" s="9">
        <f t="shared" si="204"/>
        <v>34.333333333333385</v>
      </c>
      <c r="D1200" s="8" t="str">
        <f t="shared" si="205"/>
        <v>W</v>
      </c>
      <c r="E1200" s="3">
        <f t="shared" si="206"/>
        <v>31</v>
      </c>
      <c r="F1200" s="3" t="str">
        <f t="shared" si="207"/>
        <v>ack</v>
      </c>
      <c r="G1200" s="3" t="str">
        <f t="shared" si="208"/>
        <v>93</v>
      </c>
      <c r="H1200" s="3" t="str">
        <f t="shared" si="209"/>
        <v/>
      </c>
      <c r="I1200" s="3">
        <f t="shared" si="210"/>
        <v>147</v>
      </c>
      <c r="J1200" s="5" t="str">
        <f>IF(E1200=0,"Broadcast",IF(H1200="",IF(I1200="","",IF(I1200&lt;128,"Connect "&amp;I1200,INDEX(KdoCodeTab,MATCH(I1200,KdoWertTab,0)))),"ReadStat "&amp;H1200))</f>
        <v>SpaceCmd</v>
      </c>
      <c r="K1200" t="str">
        <f t="shared" si="200"/>
        <v/>
      </c>
      <c r="L1200" t="str">
        <f t="shared" si="201"/>
        <v>SpaceCmd</v>
      </c>
      <c r="M1200" t="str">
        <f t="shared" si="202"/>
        <v/>
      </c>
    </row>
    <row r="1201" spans="1:13" x14ac:dyDescent="0.25">
      <c r="A1201" t="s">
        <v>775</v>
      </c>
      <c r="B1201" s="6">
        <f t="shared" si="203"/>
        <v>0.46983333333333333</v>
      </c>
      <c r="C1201" s="9">
        <f t="shared" si="204"/>
        <v>5.9999999999999503</v>
      </c>
      <c r="D1201" s="8" t="str">
        <f t="shared" si="205"/>
        <v>W</v>
      </c>
      <c r="E1201" s="3">
        <f t="shared" si="206"/>
        <v>31</v>
      </c>
      <c r="F1201" s="3" t="str">
        <f t="shared" si="207"/>
        <v>ack</v>
      </c>
      <c r="G1201" s="3" t="str">
        <f t="shared" si="208"/>
        <v>96</v>
      </c>
      <c r="H1201" s="3" t="str">
        <f t="shared" si="209"/>
        <v/>
      </c>
      <c r="I1201" s="3">
        <f t="shared" si="210"/>
        <v>150</v>
      </c>
      <c r="J1201" s="5" t="str">
        <f>IF(E1201=0,"Broadcast",IF(H1201="",IF(I1201="","",IF(I1201&lt;128,"Connect "&amp;I1201,INDEX(KdoCodeTab,MATCH(I1201,KdoWertTab,0)))),"ReadStat "&amp;H1201))</f>
        <v>RepSpaceCmd</v>
      </c>
      <c r="K1201" t="str">
        <f t="shared" si="200"/>
        <v/>
      </c>
      <c r="L1201" t="str">
        <f t="shared" si="201"/>
        <v>RepSpaceCmd</v>
      </c>
      <c r="M1201" t="str">
        <f t="shared" si="202"/>
        <v/>
      </c>
    </row>
    <row r="1202" spans="1:13" x14ac:dyDescent="0.25">
      <c r="A1202" t="s">
        <v>776</v>
      </c>
      <c r="B1202" s="6">
        <f t="shared" si="203"/>
        <v>0.50416666666666665</v>
      </c>
      <c r="C1202" s="9">
        <f t="shared" si="204"/>
        <v>34.333333333333329</v>
      </c>
      <c r="D1202" s="8" t="str">
        <f t="shared" si="205"/>
        <v>W</v>
      </c>
      <c r="E1202" s="3">
        <f t="shared" si="206"/>
        <v>31</v>
      </c>
      <c r="F1202" s="3" t="str">
        <f t="shared" si="207"/>
        <v>ack</v>
      </c>
      <c r="G1202" s="3" t="str">
        <f t="shared" si="208"/>
        <v>9C</v>
      </c>
      <c r="H1202" s="3" t="str">
        <f t="shared" si="209"/>
        <v/>
      </c>
      <c r="I1202" s="3">
        <f t="shared" si="210"/>
        <v>156</v>
      </c>
      <c r="J1202" s="5" t="str">
        <f>IF(E1202=0,"Broadcast",IF(H1202="",IF(I1202="","",IF(I1202&lt;128,"Connect "&amp;I1202,INDEX(KdoCodeTab,MATCH(I1202,KdoWertTab,0)))),"ReadStat "&amp;H1202))</f>
        <v>MarkCmd</v>
      </c>
      <c r="K1202" t="str">
        <f t="shared" si="200"/>
        <v/>
      </c>
      <c r="L1202" t="str">
        <f t="shared" si="201"/>
        <v>MarkCmd</v>
      </c>
      <c r="M1202" t="str">
        <f t="shared" si="202"/>
        <v/>
      </c>
    </row>
    <row r="1203" spans="1:13" x14ac:dyDescent="0.25">
      <c r="A1203" t="s">
        <v>777</v>
      </c>
      <c r="B1203" s="6">
        <f t="shared" si="203"/>
        <v>0.51016666666666666</v>
      </c>
      <c r="C1203" s="9">
        <f t="shared" si="204"/>
        <v>6.0000000000000053</v>
      </c>
      <c r="D1203" s="8" t="str">
        <f t="shared" si="205"/>
        <v>W</v>
      </c>
      <c r="E1203" s="3">
        <f t="shared" si="206"/>
        <v>31</v>
      </c>
      <c r="F1203" s="3" t="str">
        <f t="shared" si="207"/>
        <v>ack</v>
      </c>
      <c r="G1203" s="3" t="str">
        <f t="shared" si="208"/>
        <v>9A</v>
      </c>
      <c r="H1203" s="3" t="str">
        <f t="shared" si="209"/>
        <v/>
      </c>
      <c r="I1203" s="3">
        <f t="shared" si="210"/>
        <v>154</v>
      </c>
      <c r="J1203" s="5" t="str">
        <f>IF(E1203=0,"Broadcast",IF(H1203="",IF(I1203="","",IF(I1203&lt;128,"Connect "&amp;I1203,INDEX(KdoCodeTab,MATCH(I1203,KdoWertTab,0)))),"ReadStat "&amp;H1203))</f>
        <v>RepMarkCmd</v>
      </c>
      <c r="K1203" t="str">
        <f t="shared" si="200"/>
        <v/>
      </c>
      <c r="L1203" t="str">
        <f t="shared" si="201"/>
        <v>RepMarkCmd</v>
      </c>
      <c r="M1203" t="str">
        <f t="shared" si="202"/>
        <v/>
      </c>
    </row>
    <row r="1204" spans="1:13" x14ac:dyDescent="0.25">
      <c r="A1204" t="s">
        <v>778</v>
      </c>
      <c r="B1204" s="6">
        <f t="shared" si="203"/>
        <v>0.55449999999999999</v>
      </c>
      <c r="C1204" s="9">
        <f t="shared" si="204"/>
        <v>44.333333333333336</v>
      </c>
      <c r="D1204" s="8" t="str">
        <f t="shared" si="205"/>
        <v>W</v>
      </c>
      <c r="E1204" s="3">
        <f t="shared" si="206"/>
        <v>31</v>
      </c>
      <c r="F1204" s="3" t="str">
        <f t="shared" si="207"/>
        <v>ack</v>
      </c>
      <c r="G1204" s="3" t="str">
        <f t="shared" si="208"/>
        <v>93</v>
      </c>
      <c r="H1204" s="3" t="str">
        <f t="shared" si="209"/>
        <v/>
      </c>
      <c r="I1204" s="3">
        <f t="shared" si="210"/>
        <v>147</v>
      </c>
      <c r="J1204" s="5" t="str">
        <f>IF(E1204=0,"Broadcast",IF(H1204="",IF(I1204="","",IF(I1204&lt;128,"Connect "&amp;I1204,INDEX(KdoCodeTab,MATCH(I1204,KdoWertTab,0)))),"ReadStat "&amp;H1204))</f>
        <v>SpaceCmd</v>
      </c>
      <c r="K1204" t="str">
        <f t="shared" si="200"/>
        <v/>
      </c>
      <c r="L1204" t="str">
        <f t="shared" si="201"/>
        <v>SpaceCmd</v>
      </c>
      <c r="M1204" t="str">
        <f t="shared" si="202"/>
        <v/>
      </c>
    </row>
    <row r="1205" spans="1:13" x14ac:dyDescent="0.25">
      <c r="A1205" t="s">
        <v>779</v>
      </c>
      <c r="B1205" s="6">
        <f t="shared" si="203"/>
        <v>0.5605</v>
      </c>
      <c r="C1205" s="9">
        <f t="shared" si="204"/>
        <v>6.0000000000000053</v>
      </c>
      <c r="D1205" s="8" t="str">
        <f t="shared" si="205"/>
        <v>W</v>
      </c>
      <c r="E1205" s="3">
        <f t="shared" si="206"/>
        <v>31</v>
      </c>
      <c r="F1205" s="3" t="str">
        <f t="shared" si="207"/>
        <v>ack</v>
      </c>
      <c r="G1205" s="3" t="str">
        <f t="shared" si="208"/>
        <v>96</v>
      </c>
      <c r="H1205" s="3" t="str">
        <f t="shared" si="209"/>
        <v/>
      </c>
      <c r="I1205" s="3">
        <f t="shared" si="210"/>
        <v>150</v>
      </c>
      <c r="J1205" s="5" t="str">
        <f>IF(E1205=0,"Broadcast",IF(H1205="",IF(I1205="","",IF(I1205&lt;128,"Connect "&amp;I1205,INDEX(KdoCodeTab,MATCH(I1205,KdoWertTab,0)))),"ReadStat "&amp;H1205))</f>
        <v>RepSpaceCmd</v>
      </c>
      <c r="K1205" t="str">
        <f t="shared" si="200"/>
        <v/>
      </c>
      <c r="L1205" t="str">
        <f t="shared" si="201"/>
        <v>RepSpaceCmd</v>
      </c>
      <c r="M1205" t="str">
        <f t="shared" si="202"/>
        <v/>
      </c>
    </row>
    <row r="1206" spans="1:13" x14ac:dyDescent="0.25">
      <c r="A1206" t="s">
        <v>780</v>
      </c>
      <c r="B1206" s="6">
        <f t="shared" si="203"/>
        <v>0.57466666666666666</v>
      </c>
      <c r="C1206" s="9">
        <f t="shared" si="204"/>
        <v>14.166666666666661</v>
      </c>
      <c r="D1206" s="8" t="str">
        <f t="shared" si="205"/>
        <v>W</v>
      </c>
      <c r="E1206" s="3">
        <f t="shared" si="206"/>
        <v>31</v>
      </c>
      <c r="F1206" s="3" t="str">
        <f t="shared" si="207"/>
        <v>ack</v>
      </c>
      <c r="G1206" s="3" t="str">
        <f t="shared" si="208"/>
        <v>9C</v>
      </c>
      <c r="H1206" s="3" t="str">
        <f t="shared" si="209"/>
        <v/>
      </c>
      <c r="I1206" s="3">
        <f t="shared" si="210"/>
        <v>156</v>
      </c>
      <c r="J1206" s="5" t="str">
        <f>IF(E1206=0,"Broadcast",IF(H1206="",IF(I1206="","",IF(I1206&lt;128,"Connect "&amp;I1206,INDEX(KdoCodeTab,MATCH(I1206,KdoWertTab,0)))),"ReadStat "&amp;H1206))</f>
        <v>MarkCmd</v>
      </c>
      <c r="K1206" t="str">
        <f t="shared" si="200"/>
        <v/>
      </c>
      <c r="L1206" t="str">
        <f t="shared" si="201"/>
        <v>MarkCmd</v>
      </c>
      <c r="M1206" t="str">
        <f t="shared" si="202"/>
        <v/>
      </c>
    </row>
    <row r="1207" spans="1:13" x14ac:dyDescent="0.25">
      <c r="A1207" t="s">
        <v>781</v>
      </c>
      <c r="B1207" s="6">
        <f t="shared" si="203"/>
        <v>0.58066666666666666</v>
      </c>
      <c r="C1207" s="9">
        <f t="shared" si="204"/>
        <v>6.0000000000000053</v>
      </c>
      <c r="D1207" s="8" t="str">
        <f t="shared" si="205"/>
        <v>W</v>
      </c>
      <c r="E1207" s="3">
        <f t="shared" si="206"/>
        <v>31</v>
      </c>
      <c r="F1207" s="3" t="str">
        <f t="shared" si="207"/>
        <v>ack</v>
      </c>
      <c r="G1207" s="3" t="str">
        <f t="shared" si="208"/>
        <v>9A</v>
      </c>
      <c r="H1207" s="3" t="str">
        <f t="shared" si="209"/>
        <v/>
      </c>
      <c r="I1207" s="3">
        <f t="shared" si="210"/>
        <v>154</v>
      </c>
      <c r="J1207" s="5" t="str">
        <f>IF(E1207=0,"Broadcast",IF(H1207="",IF(I1207="","",IF(I1207&lt;128,"Connect "&amp;I1207,INDEX(KdoCodeTab,MATCH(I1207,KdoWertTab,0)))),"ReadStat "&amp;H1207))</f>
        <v>RepMarkCmd</v>
      </c>
      <c r="K1207" t="str">
        <f t="shared" si="200"/>
        <v/>
      </c>
      <c r="L1207" t="str">
        <f t="shared" si="201"/>
        <v>RepMarkCmd</v>
      </c>
      <c r="M1207" t="str">
        <f t="shared" si="202"/>
        <v/>
      </c>
    </row>
    <row r="1208" spans="1:13" x14ac:dyDescent="0.25">
      <c r="A1208" t="s">
        <v>782</v>
      </c>
      <c r="B1208" s="6">
        <f t="shared" si="203"/>
        <v>0.59483333333333333</v>
      </c>
      <c r="C1208" s="9">
        <f t="shared" si="204"/>
        <v>14.166666666666661</v>
      </c>
      <c r="D1208" s="8" t="str">
        <f t="shared" si="205"/>
        <v>W</v>
      </c>
      <c r="E1208" s="3">
        <f t="shared" si="206"/>
        <v>31</v>
      </c>
      <c r="F1208" s="3" t="str">
        <f t="shared" si="207"/>
        <v>ack</v>
      </c>
      <c r="G1208" s="3" t="str">
        <f t="shared" si="208"/>
        <v>93</v>
      </c>
      <c r="H1208" s="3" t="str">
        <f t="shared" si="209"/>
        <v/>
      </c>
      <c r="I1208" s="3">
        <f t="shared" si="210"/>
        <v>147</v>
      </c>
      <c r="J1208" s="5" t="str">
        <f>IF(E1208=0,"Broadcast",IF(H1208="",IF(I1208="","",IF(I1208&lt;128,"Connect "&amp;I1208,INDEX(KdoCodeTab,MATCH(I1208,KdoWertTab,0)))),"ReadStat "&amp;H1208))</f>
        <v>SpaceCmd</v>
      </c>
      <c r="K1208" t="str">
        <f t="shared" si="200"/>
        <v/>
      </c>
      <c r="L1208" t="str">
        <f t="shared" si="201"/>
        <v>SpaceCmd</v>
      </c>
      <c r="M1208" t="str">
        <f t="shared" si="202"/>
        <v/>
      </c>
    </row>
    <row r="1209" spans="1:13" x14ac:dyDescent="0.25">
      <c r="A1209" t="s">
        <v>783</v>
      </c>
      <c r="B1209" s="6">
        <f t="shared" si="203"/>
        <v>0.60083333333333333</v>
      </c>
      <c r="C1209" s="9">
        <f t="shared" si="204"/>
        <v>6.0000000000000053</v>
      </c>
      <c r="D1209" s="8" t="str">
        <f t="shared" si="205"/>
        <v>W</v>
      </c>
      <c r="E1209" s="3">
        <f t="shared" si="206"/>
        <v>31</v>
      </c>
      <c r="F1209" s="3" t="str">
        <f t="shared" si="207"/>
        <v>ack</v>
      </c>
      <c r="G1209" s="3" t="str">
        <f t="shared" si="208"/>
        <v>96</v>
      </c>
      <c r="H1209" s="3" t="str">
        <f t="shared" si="209"/>
        <v/>
      </c>
      <c r="I1209" s="3">
        <f t="shared" si="210"/>
        <v>150</v>
      </c>
      <c r="J1209" s="5" t="str">
        <f>IF(E1209=0,"Broadcast",IF(H1209="",IF(I1209="","",IF(I1209&lt;128,"Connect "&amp;I1209,INDEX(KdoCodeTab,MATCH(I1209,KdoWertTab,0)))),"ReadStat "&amp;H1209))</f>
        <v>RepSpaceCmd</v>
      </c>
      <c r="K1209" t="str">
        <f t="shared" si="200"/>
        <v/>
      </c>
      <c r="L1209" t="str">
        <f t="shared" si="201"/>
        <v>RepSpaceCmd</v>
      </c>
      <c r="M1209" t="str">
        <f t="shared" si="202"/>
        <v/>
      </c>
    </row>
    <row r="1210" spans="1:13" x14ac:dyDescent="0.25">
      <c r="A1210" t="s">
        <v>784</v>
      </c>
      <c r="B1210" s="6">
        <f t="shared" si="203"/>
        <v>0.61499999999999999</v>
      </c>
      <c r="C1210" s="9">
        <f t="shared" si="204"/>
        <v>14.166666666666661</v>
      </c>
      <c r="D1210" s="8" t="str">
        <f t="shared" si="205"/>
        <v>W</v>
      </c>
      <c r="E1210" s="3">
        <f t="shared" si="206"/>
        <v>31</v>
      </c>
      <c r="F1210" s="3" t="str">
        <f t="shared" si="207"/>
        <v>ack</v>
      </c>
      <c r="G1210" s="3" t="str">
        <f t="shared" si="208"/>
        <v>9C</v>
      </c>
      <c r="H1210" s="3" t="str">
        <f t="shared" si="209"/>
        <v/>
      </c>
      <c r="I1210" s="3">
        <f t="shared" si="210"/>
        <v>156</v>
      </c>
      <c r="J1210" s="5" t="str">
        <f>IF(E1210=0,"Broadcast",IF(H1210="",IF(I1210="","",IF(I1210&lt;128,"Connect "&amp;I1210,INDEX(KdoCodeTab,MATCH(I1210,KdoWertTab,0)))),"ReadStat "&amp;H1210))</f>
        <v>MarkCmd</v>
      </c>
      <c r="K1210" t="str">
        <f t="shared" si="200"/>
        <v/>
      </c>
      <c r="L1210" t="str">
        <f t="shared" si="201"/>
        <v>MarkCmd</v>
      </c>
      <c r="M1210" t="str">
        <f t="shared" si="202"/>
        <v/>
      </c>
    </row>
    <row r="1211" spans="1:13" x14ac:dyDescent="0.25">
      <c r="A1211" t="s">
        <v>785</v>
      </c>
      <c r="B1211" s="6">
        <f t="shared" si="203"/>
        <v>0.621</v>
      </c>
      <c r="C1211" s="9">
        <f t="shared" si="204"/>
        <v>6.0000000000000053</v>
      </c>
      <c r="D1211" s="8" t="str">
        <f t="shared" si="205"/>
        <v>W</v>
      </c>
      <c r="E1211" s="3">
        <f t="shared" si="206"/>
        <v>31</v>
      </c>
      <c r="F1211" s="3" t="str">
        <f t="shared" si="207"/>
        <v>ack</v>
      </c>
      <c r="G1211" s="3" t="str">
        <f t="shared" si="208"/>
        <v>9A</v>
      </c>
      <c r="H1211" s="3" t="str">
        <f t="shared" si="209"/>
        <v/>
      </c>
      <c r="I1211" s="3">
        <f t="shared" si="210"/>
        <v>154</v>
      </c>
      <c r="J1211" s="5" t="str">
        <f>IF(E1211=0,"Broadcast",IF(H1211="",IF(I1211="","",IF(I1211&lt;128,"Connect "&amp;I1211,INDEX(KdoCodeTab,MATCH(I1211,KdoWertTab,0)))),"ReadStat "&amp;H1211))</f>
        <v>RepMarkCmd</v>
      </c>
      <c r="K1211" t="str">
        <f t="shared" ref="K1211:K1274" si="211">IF(E1211=$K$2,J1211,"")</f>
        <v/>
      </c>
      <c r="L1211" t="str">
        <f t="shared" ref="L1211:L1274" si="212">IF(E1211=$L$2,J1211,"")</f>
        <v>RepMarkCmd</v>
      </c>
      <c r="M1211" t="str">
        <f t="shared" ref="M1211:M1274" si="213">IF(K1211&amp;L1211="",J1211,"")</f>
        <v/>
      </c>
    </row>
    <row r="1212" spans="1:13" x14ac:dyDescent="0.25">
      <c r="A1212" t="s">
        <v>786</v>
      </c>
      <c r="B1212" s="6">
        <f t="shared" si="203"/>
        <v>0.63516666666666666</v>
      </c>
      <c r="C1212" s="9">
        <f t="shared" si="204"/>
        <v>14.166666666666661</v>
      </c>
      <c r="D1212" s="8" t="str">
        <f t="shared" si="205"/>
        <v>W</v>
      </c>
      <c r="E1212" s="3">
        <f t="shared" si="206"/>
        <v>31</v>
      </c>
      <c r="F1212" s="3" t="str">
        <f t="shared" si="207"/>
        <v>ack</v>
      </c>
      <c r="G1212" s="3" t="str">
        <f t="shared" si="208"/>
        <v>93</v>
      </c>
      <c r="H1212" s="3" t="str">
        <f t="shared" si="209"/>
        <v/>
      </c>
      <c r="I1212" s="3">
        <f t="shared" si="210"/>
        <v>147</v>
      </c>
      <c r="J1212" s="5" t="str">
        <f>IF(E1212=0,"Broadcast",IF(H1212="",IF(I1212="","",IF(I1212&lt;128,"Connect "&amp;I1212,INDEX(KdoCodeTab,MATCH(I1212,KdoWertTab,0)))),"ReadStat "&amp;H1212))</f>
        <v>SpaceCmd</v>
      </c>
      <c r="K1212" t="str">
        <f t="shared" si="211"/>
        <v/>
      </c>
      <c r="L1212" t="str">
        <f t="shared" si="212"/>
        <v>SpaceCmd</v>
      </c>
      <c r="M1212" t="str">
        <f t="shared" si="213"/>
        <v/>
      </c>
    </row>
    <row r="1213" spans="1:13" x14ac:dyDescent="0.25">
      <c r="A1213" t="s">
        <v>787</v>
      </c>
      <c r="B1213" s="6">
        <f t="shared" si="203"/>
        <v>0.64116666666666666</v>
      </c>
      <c r="C1213" s="9">
        <f t="shared" si="204"/>
        <v>6.0000000000000053</v>
      </c>
      <c r="D1213" s="8" t="str">
        <f t="shared" si="205"/>
        <v>W</v>
      </c>
      <c r="E1213" s="3">
        <f t="shared" si="206"/>
        <v>31</v>
      </c>
      <c r="F1213" s="3" t="str">
        <f t="shared" si="207"/>
        <v>ack</v>
      </c>
      <c r="G1213" s="3" t="str">
        <f t="shared" si="208"/>
        <v>96</v>
      </c>
      <c r="H1213" s="3" t="str">
        <f t="shared" si="209"/>
        <v/>
      </c>
      <c r="I1213" s="3">
        <f t="shared" si="210"/>
        <v>150</v>
      </c>
      <c r="J1213" s="5" t="str">
        <f>IF(E1213=0,"Broadcast",IF(H1213="",IF(I1213="","",IF(I1213&lt;128,"Connect "&amp;I1213,INDEX(KdoCodeTab,MATCH(I1213,KdoWertTab,0)))),"ReadStat "&amp;H1213))</f>
        <v>RepSpaceCmd</v>
      </c>
      <c r="K1213" t="str">
        <f t="shared" si="211"/>
        <v/>
      </c>
      <c r="L1213" t="str">
        <f t="shared" si="212"/>
        <v>RepSpaceCmd</v>
      </c>
      <c r="M1213" t="str">
        <f t="shared" si="213"/>
        <v/>
      </c>
    </row>
    <row r="1214" spans="1:13" x14ac:dyDescent="0.25">
      <c r="A1214" t="s">
        <v>788</v>
      </c>
      <c r="B1214" s="6">
        <f t="shared" si="203"/>
        <v>0.65533333333333332</v>
      </c>
      <c r="C1214" s="9">
        <f t="shared" si="204"/>
        <v>14.166666666666661</v>
      </c>
      <c r="D1214" s="8" t="str">
        <f t="shared" si="205"/>
        <v>W</v>
      </c>
      <c r="E1214" s="3">
        <f t="shared" si="206"/>
        <v>31</v>
      </c>
      <c r="F1214" s="3" t="str">
        <f t="shared" si="207"/>
        <v>ack</v>
      </c>
      <c r="G1214" s="3" t="str">
        <f t="shared" si="208"/>
        <v>9C</v>
      </c>
      <c r="H1214" s="3" t="str">
        <f t="shared" si="209"/>
        <v/>
      </c>
      <c r="I1214" s="3">
        <f t="shared" si="210"/>
        <v>156</v>
      </c>
      <c r="J1214" s="5" t="str">
        <f>IF(E1214=0,"Broadcast",IF(H1214="",IF(I1214="","",IF(I1214&lt;128,"Connect "&amp;I1214,INDEX(KdoCodeTab,MATCH(I1214,KdoWertTab,0)))),"ReadStat "&amp;H1214))</f>
        <v>MarkCmd</v>
      </c>
      <c r="K1214" t="str">
        <f t="shared" si="211"/>
        <v/>
      </c>
      <c r="L1214" t="str">
        <f t="shared" si="212"/>
        <v>MarkCmd</v>
      </c>
      <c r="M1214" t="str">
        <f t="shared" si="213"/>
        <v/>
      </c>
    </row>
    <row r="1215" spans="1:13" x14ac:dyDescent="0.25">
      <c r="A1215" t="s">
        <v>789</v>
      </c>
      <c r="B1215" s="6">
        <f t="shared" si="203"/>
        <v>0.66133333333333333</v>
      </c>
      <c r="C1215" s="9">
        <f t="shared" si="204"/>
        <v>6.0000000000000053</v>
      </c>
      <c r="D1215" s="8" t="str">
        <f t="shared" si="205"/>
        <v>W</v>
      </c>
      <c r="E1215" s="3">
        <f t="shared" si="206"/>
        <v>31</v>
      </c>
      <c r="F1215" s="3" t="str">
        <f t="shared" si="207"/>
        <v>ack</v>
      </c>
      <c r="G1215" s="3" t="str">
        <f t="shared" si="208"/>
        <v>9A</v>
      </c>
      <c r="H1215" s="3" t="str">
        <f t="shared" si="209"/>
        <v/>
      </c>
      <c r="I1215" s="3">
        <f t="shared" si="210"/>
        <v>154</v>
      </c>
      <c r="J1215" s="5" t="str">
        <f>IF(E1215=0,"Broadcast",IF(H1215="",IF(I1215="","",IF(I1215&lt;128,"Connect "&amp;I1215,INDEX(KdoCodeTab,MATCH(I1215,KdoWertTab,0)))),"ReadStat "&amp;H1215))</f>
        <v>RepMarkCmd</v>
      </c>
      <c r="K1215" t="str">
        <f t="shared" si="211"/>
        <v/>
      </c>
      <c r="L1215" t="str">
        <f t="shared" si="212"/>
        <v>RepMarkCmd</v>
      </c>
      <c r="M1215" t="str">
        <f t="shared" si="213"/>
        <v/>
      </c>
    </row>
    <row r="1216" spans="1:13" x14ac:dyDescent="0.25">
      <c r="A1216" t="s">
        <v>790</v>
      </c>
      <c r="B1216" s="6">
        <f t="shared" si="203"/>
        <v>0.70566666666666666</v>
      </c>
      <c r="C1216" s="9">
        <f t="shared" si="204"/>
        <v>44.333333333333336</v>
      </c>
      <c r="D1216" s="8" t="str">
        <f t="shared" si="205"/>
        <v>W</v>
      </c>
      <c r="E1216" s="3">
        <f t="shared" si="206"/>
        <v>31</v>
      </c>
      <c r="F1216" s="3" t="str">
        <f t="shared" si="207"/>
        <v>ack</v>
      </c>
      <c r="G1216" s="3" t="str">
        <f t="shared" si="208"/>
        <v>93</v>
      </c>
      <c r="H1216" s="3" t="str">
        <f t="shared" si="209"/>
        <v/>
      </c>
      <c r="I1216" s="3">
        <f t="shared" si="210"/>
        <v>147</v>
      </c>
      <c r="J1216" s="5" t="str">
        <f>IF(E1216=0,"Broadcast",IF(H1216="",IF(I1216="","",IF(I1216&lt;128,"Connect "&amp;I1216,INDEX(KdoCodeTab,MATCH(I1216,KdoWertTab,0)))),"ReadStat "&amp;H1216))</f>
        <v>SpaceCmd</v>
      </c>
      <c r="K1216" t="str">
        <f t="shared" si="211"/>
        <v/>
      </c>
      <c r="L1216" t="str">
        <f t="shared" si="212"/>
        <v>SpaceCmd</v>
      </c>
      <c r="M1216" t="str">
        <f t="shared" si="213"/>
        <v/>
      </c>
    </row>
    <row r="1217" spans="1:13" x14ac:dyDescent="0.25">
      <c r="A1217" t="s">
        <v>791</v>
      </c>
      <c r="B1217" s="6">
        <f t="shared" si="203"/>
        <v>0.71183333333333332</v>
      </c>
      <c r="C1217" s="9">
        <f t="shared" si="204"/>
        <v>6.1666666666666536</v>
      </c>
      <c r="D1217" s="8" t="str">
        <f t="shared" si="205"/>
        <v>W</v>
      </c>
      <c r="E1217" s="3">
        <f t="shared" si="206"/>
        <v>31</v>
      </c>
      <c r="F1217" s="3" t="str">
        <f t="shared" si="207"/>
        <v>ack</v>
      </c>
      <c r="G1217" s="3" t="str">
        <f t="shared" si="208"/>
        <v>96</v>
      </c>
      <c r="H1217" s="3" t="str">
        <f t="shared" si="209"/>
        <v/>
      </c>
      <c r="I1217" s="3">
        <f t="shared" si="210"/>
        <v>150</v>
      </c>
      <c r="J1217" s="5" t="str">
        <f>IF(E1217=0,"Broadcast",IF(H1217="",IF(I1217="","",IF(I1217&lt;128,"Connect "&amp;I1217,INDEX(KdoCodeTab,MATCH(I1217,KdoWertTab,0)))),"ReadStat "&amp;H1217))</f>
        <v>RepSpaceCmd</v>
      </c>
      <c r="K1217" t="str">
        <f t="shared" si="211"/>
        <v/>
      </c>
      <c r="L1217" t="str">
        <f t="shared" si="212"/>
        <v>RepSpaceCmd</v>
      </c>
      <c r="M1217" t="str">
        <f t="shared" si="213"/>
        <v/>
      </c>
    </row>
    <row r="1218" spans="1:13" x14ac:dyDescent="0.25">
      <c r="A1218" t="s">
        <v>792</v>
      </c>
      <c r="B1218" s="6">
        <f t="shared" si="203"/>
        <v>0.72583333333333333</v>
      </c>
      <c r="C1218" s="9">
        <f t="shared" si="204"/>
        <v>14.000000000000012</v>
      </c>
      <c r="D1218" s="8" t="str">
        <f t="shared" si="205"/>
        <v>W</v>
      </c>
      <c r="E1218" s="3">
        <f t="shared" si="206"/>
        <v>31</v>
      </c>
      <c r="F1218" s="3" t="str">
        <f t="shared" si="207"/>
        <v>ack</v>
      </c>
      <c r="G1218" s="3" t="str">
        <f t="shared" si="208"/>
        <v>9C</v>
      </c>
      <c r="H1218" s="3" t="str">
        <f t="shared" si="209"/>
        <v/>
      </c>
      <c r="I1218" s="3">
        <f t="shared" si="210"/>
        <v>156</v>
      </c>
      <c r="J1218" s="5" t="str">
        <f>IF(E1218=0,"Broadcast",IF(H1218="",IF(I1218="","",IF(I1218&lt;128,"Connect "&amp;I1218,INDEX(KdoCodeTab,MATCH(I1218,KdoWertTab,0)))),"ReadStat "&amp;H1218))</f>
        <v>MarkCmd</v>
      </c>
      <c r="K1218" t="str">
        <f t="shared" si="211"/>
        <v/>
      </c>
      <c r="L1218" t="str">
        <f t="shared" si="212"/>
        <v>MarkCmd</v>
      </c>
      <c r="M1218" t="str">
        <f t="shared" si="213"/>
        <v/>
      </c>
    </row>
    <row r="1219" spans="1:13" x14ac:dyDescent="0.25">
      <c r="A1219" t="s">
        <v>793</v>
      </c>
      <c r="B1219" s="6">
        <f t="shared" si="203"/>
        <v>0.73199999999999998</v>
      </c>
      <c r="C1219" s="9">
        <f t="shared" si="204"/>
        <v>6.1666666666666536</v>
      </c>
      <c r="D1219" s="8" t="str">
        <f t="shared" si="205"/>
        <v>W</v>
      </c>
      <c r="E1219" s="3">
        <f t="shared" si="206"/>
        <v>31</v>
      </c>
      <c r="F1219" s="3" t="str">
        <f t="shared" si="207"/>
        <v>ack</v>
      </c>
      <c r="G1219" s="3" t="str">
        <f t="shared" si="208"/>
        <v>9A</v>
      </c>
      <c r="H1219" s="3" t="str">
        <f t="shared" si="209"/>
        <v/>
      </c>
      <c r="I1219" s="3">
        <f t="shared" si="210"/>
        <v>154</v>
      </c>
      <c r="J1219" s="5" t="str">
        <f>IF(E1219=0,"Broadcast",IF(H1219="",IF(I1219="","",IF(I1219&lt;128,"Connect "&amp;I1219,INDEX(KdoCodeTab,MATCH(I1219,KdoWertTab,0)))),"ReadStat "&amp;H1219))</f>
        <v>RepMarkCmd</v>
      </c>
      <c r="K1219" t="str">
        <f t="shared" si="211"/>
        <v/>
      </c>
      <c r="L1219" t="str">
        <f t="shared" si="212"/>
        <v>RepMarkCmd</v>
      </c>
      <c r="M1219" t="str">
        <f t="shared" si="213"/>
        <v/>
      </c>
    </row>
    <row r="1220" spans="1:13" x14ac:dyDescent="0.25">
      <c r="A1220" t="s">
        <v>794</v>
      </c>
      <c r="B1220" s="6">
        <f t="shared" si="203"/>
        <v>0.78633333333333333</v>
      </c>
      <c r="C1220" s="9">
        <f t="shared" si="204"/>
        <v>54.333333333333343</v>
      </c>
      <c r="D1220" s="8" t="str">
        <f t="shared" si="205"/>
        <v>W</v>
      </c>
      <c r="E1220" s="3">
        <f t="shared" si="206"/>
        <v>31</v>
      </c>
      <c r="F1220" s="3" t="str">
        <f t="shared" si="207"/>
        <v>ack</v>
      </c>
      <c r="G1220" s="3" t="str">
        <f t="shared" si="208"/>
        <v>93</v>
      </c>
      <c r="H1220" s="3" t="str">
        <f t="shared" si="209"/>
        <v/>
      </c>
      <c r="I1220" s="3">
        <f t="shared" si="210"/>
        <v>147</v>
      </c>
      <c r="J1220" s="5" t="str">
        <f>IF(E1220=0,"Broadcast",IF(H1220="",IF(I1220="","",IF(I1220&lt;128,"Connect "&amp;I1220,INDEX(KdoCodeTab,MATCH(I1220,KdoWertTab,0)))),"ReadStat "&amp;H1220))</f>
        <v>SpaceCmd</v>
      </c>
      <c r="K1220" t="str">
        <f t="shared" si="211"/>
        <v/>
      </c>
      <c r="L1220" t="str">
        <f t="shared" si="212"/>
        <v>SpaceCmd</v>
      </c>
      <c r="M1220" t="str">
        <f t="shared" si="213"/>
        <v/>
      </c>
    </row>
    <row r="1221" spans="1:13" x14ac:dyDescent="0.25">
      <c r="A1221" t="s">
        <v>795</v>
      </c>
      <c r="B1221" s="6">
        <f t="shared" ref="B1221:B1284" si="214">MID(A1221,1,5)/1000+(CODE(MID(A1221,6,1))-CODE("a"))/6000</f>
        <v>0.79233333333333333</v>
      </c>
      <c r="C1221" s="9">
        <f t="shared" ref="C1221:C1284" si="215">(B1221-B1220+IF(B1221&gt;B1220,0,11))*1000</f>
        <v>6.0000000000000053</v>
      </c>
      <c r="D1221" s="8" t="str">
        <f t="shared" ref="D1221:D1284" si="216">IF(MID(A1221,10,1)="&lt;","R",IF(MID(A1221,10,1)="&gt;","W","?"))</f>
        <v>W</v>
      </c>
      <c r="E1221" s="3">
        <f t="shared" ref="E1221:E1284" si="217">INT(HEX2DEC(MID(A1221,8,2))/2)</f>
        <v>31</v>
      </c>
      <c r="F1221" s="3" t="str">
        <f t="shared" ref="F1221:F1284" si="218">IF(MID(A1221,11,1)="+","ack","NACK")</f>
        <v>ack</v>
      </c>
      <c r="G1221" s="3" t="str">
        <f t="shared" ref="G1221:G1284" si="219">IF(F1221="ack",SUBSTITUTE(MID(A1221,12,LEN(A1221)-12),"+","  "),"")</f>
        <v>96</v>
      </c>
      <c r="H1221" s="3" t="str">
        <f t="shared" ref="H1221:H1284" si="220">IF(MID(A1221,10,2)="&lt;+",MID(A1221,12,2),"")</f>
        <v/>
      </c>
      <c r="I1221" s="3">
        <f t="shared" ref="I1221:I1284" si="221">IF(MID(A1221,10,2)="&gt;+",HEX2DEC(MID(A1221,12,2)),"")</f>
        <v>150</v>
      </c>
      <c r="J1221" s="5" t="str">
        <f>IF(E1221=0,"Broadcast",IF(H1221="",IF(I1221="","",IF(I1221&lt;128,"Connect "&amp;I1221,INDEX(KdoCodeTab,MATCH(I1221,KdoWertTab,0)))),"ReadStat "&amp;H1221))</f>
        <v>RepSpaceCmd</v>
      </c>
      <c r="K1221" t="str">
        <f t="shared" si="211"/>
        <v/>
      </c>
      <c r="L1221" t="str">
        <f t="shared" si="212"/>
        <v>RepSpaceCmd</v>
      </c>
      <c r="M1221" t="str">
        <f t="shared" si="213"/>
        <v/>
      </c>
    </row>
    <row r="1222" spans="1:13" x14ac:dyDescent="0.25">
      <c r="A1222" t="s">
        <v>796</v>
      </c>
      <c r="B1222" s="6">
        <f t="shared" si="214"/>
        <v>0.80649999999999999</v>
      </c>
      <c r="C1222" s="9">
        <f t="shared" si="215"/>
        <v>14.166666666666661</v>
      </c>
      <c r="D1222" s="8" t="str">
        <f t="shared" si="216"/>
        <v>W</v>
      </c>
      <c r="E1222" s="3">
        <f t="shared" si="217"/>
        <v>31</v>
      </c>
      <c r="F1222" s="3" t="str">
        <f t="shared" si="218"/>
        <v>ack</v>
      </c>
      <c r="G1222" s="3" t="str">
        <f t="shared" si="219"/>
        <v>9C</v>
      </c>
      <c r="H1222" s="3" t="str">
        <f t="shared" si="220"/>
        <v/>
      </c>
      <c r="I1222" s="3">
        <f t="shared" si="221"/>
        <v>156</v>
      </c>
      <c r="J1222" s="5" t="str">
        <f>IF(E1222=0,"Broadcast",IF(H1222="",IF(I1222="","",IF(I1222&lt;128,"Connect "&amp;I1222,INDEX(KdoCodeTab,MATCH(I1222,KdoWertTab,0)))),"ReadStat "&amp;H1222))</f>
        <v>MarkCmd</v>
      </c>
      <c r="K1222" t="str">
        <f t="shared" si="211"/>
        <v/>
      </c>
      <c r="L1222" t="str">
        <f t="shared" si="212"/>
        <v>MarkCmd</v>
      </c>
      <c r="M1222" t="str">
        <f t="shared" si="213"/>
        <v/>
      </c>
    </row>
    <row r="1223" spans="1:13" x14ac:dyDescent="0.25">
      <c r="A1223" t="s">
        <v>797</v>
      </c>
      <c r="B1223" s="6">
        <f t="shared" si="214"/>
        <v>0.8125</v>
      </c>
      <c r="C1223" s="9">
        <f t="shared" si="215"/>
        <v>6.0000000000000053</v>
      </c>
      <c r="D1223" s="8" t="str">
        <f t="shared" si="216"/>
        <v>W</v>
      </c>
      <c r="E1223" s="3">
        <f t="shared" si="217"/>
        <v>31</v>
      </c>
      <c r="F1223" s="3" t="str">
        <f t="shared" si="218"/>
        <v>ack</v>
      </c>
      <c r="G1223" s="3" t="str">
        <f t="shared" si="219"/>
        <v>9A</v>
      </c>
      <c r="H1223" s="3" t="str">
        <f t="shared" si="220"/>
        <v/>
      </c>
      <c r="I1223" s="3">
        <f t="shared" si="221"/>
        <v>154</v>
      </c>
      <c r="J1223" s="5" t="str">
        <f>IF(E1223=0,"Broadcast",IF(H1223="",IF(I1223="","",IF(I1223&lt;128,"Connect "&amp;I1223,INDEX(KdoCodeTab,MATCH(I1223,KdoWertTab,0)))),"ReadStat "&amp;H1223))</f>
        <v>RepMarkCmd</v>
      </c>
      <c r="K1223" t="str">
        <f t="shared" si="211"/>
        <v/>
      </c>
      <c r="L1223" t="str">
        <f t="shared" si="212"/>
        <v>RepMarkCmd</v>
      </c>
      <c r="M1223" t="str">
        <f t="shared" si="213"/>
        <v/>
      </c>
    </row>
    <row r="1224" spans="1:13" x14ac:dyDescent="0.25">
      <c r="A1224" t="s">
        <v>798</v>
      </c>
      <c r="B1224" s="6">
        <f t="shared" si="214"/>
        <v>0.85683333333333334</v>
      </c>
      <c r="C1224" s="9">
        <f t="shared" si="215"/>
        <v>44.333333333333336</v>
      </c>
      <c r="D1224" s="8" t="str">
        <f t="shared" si="216"/>
        <v>W</v>
      </c>
      <c r="E1224" s="3">
        <f t="shared" si="217"/>
        <v>31</v>
      </c>
      <c r="F1224" s="3" t="str">
        <f t="shared" si="218"/>
        <v>ack</v>
      </c>
      <c r="G1224" s="3" t="str">
        <f t="shared" si="219"/>
        <v>93</v>
      </c>
      <c r="H1224" s="3" t="str">
        <f t="shared" si="220"/>
        <v/>
      </c>
      <c r="I1224" s="3">
        <f t="shared" si="221"/>
        <v>147</v>
      </c>
      <c r="J1224" s="5" t="str">
        <f>IF(E1224=0,"Broadcast",IF(H1224="",IF(I1224="","",IF(I1224&lt;128,"Connect "&amp;I1224,INDEX(KdoCodeTab,MATCH(I1224,KdoWertTab,0)))),"ReadStat "&amp;H1224))</f>
        <v>SpaceCmd</v>
      </c>
      <c r="K1224" t="str">
        <f t="shared" si="211"/>
        <v/>
      </c>
      <c r="L1224" t="str">
        <f t="shared" si="212"/>
        <v>SpaceCmd</v>
      </c>
      <c r="M1224" t="str">
        <f t="shared" si="213"/>
        <v/>
      </c>
    </row>
    <row r="1225" spans="1:13" x14ac:dyDescent="0.25">
      <c r="A1225" t="s">
        <v>799</v>
      </c>
      <c r="B1225" s="6">
        <f t="shared" si="214"/>
        <v>0.86299999999999999</v>
      </c>
      <c r="C1225" s="9">
        <f t="shared" si="215"/>
        <v>6.1666666666666536</v>
      </c>
      <c r="D1225" s="8" t="str">
        <f t="shared" si="216"/>
        <v>W</v>
      </c>
      <c r="E1225" s="3">
        <f t="shared" si="217"/>
        <v>31</v>
      </c>
      <c r="F1225" s="3" t="str">
        <f t="shared" si="218"/>
        <v>ack</v>
      </c>
      <c r="G1225" s="3" t="str">
        <f t="shared" si="219"/>
        <v>96</v>
      </c>
      <c r="H1225" s="3" t="str">
        <f t="shared" si="220"/>
        <v/>
      </c>
      <c r="I1225" s="3">
        <f t="shared" si="221"/>
        <v>150</v>
      </c>
      <c r="J1225" s="5" t="str">
        <f>IF(E1225=0,"Broadcast",IF(H1225="",IF(I1225="","",IF(I1225&lt;128,"Connect "&amp;I1225,INDEX(KdoCodeTab,MATCH(I1225,KdoWertTab,0)))),"ReadStat "&amp;H1225))</f>
        <v>RepSpaceCmd</v>
      </c>
      <c r="K1225" t="str">
        <f t="shared" si="211"/>
        <v/>
      </c>
      <c r="L1225" t="str">
        <f t="shared" si="212"/>
        <v>RepSpaceCmd</v>
      </c>
      <c r="M1225" t="str">
        <f t="shared" si="213"/>
        <v/>
      </c>
    </row>
    <row r="1226" spans="1:13" x14ac:dyDescent="0.25">
      <c r="A1226" t="s">
        <v>800</v>
      </c>
      <c r="B1226" s="6">
        <f t="shared" si="214"/>
        <v>0.877</v>
      </c>
      <c r="C1226" s="9">
        <f t="shared" si="215"/>
        <v>14.000000000000012</v>
      </c>
      <c r="D1226" s="8" t="str">
        <f t="shared" si="216"/>
        <v>W</v>
      </c>
      <c r="E1226" s="3">
        <f t="shared" si="217"/>
        <v>31</v>
      </c>
      <c r="F1226" s="3" t="str">
        <f t="shared" si="218"/>
        <v>ack</v>
      </c>
      <c r="G1226" s="3" t="str">
        <f t="shared" si="219"/>
        <v>9C</v>
      </c>
      <c r="H1226" s="3" t="str">
        <f t="shared" si="220"/>
        <v/>
      </c>
      <c r="I1226" s="3">
        <f t="shared" si="221"/>
        <v>156</v>
      </c>
      <c r="J1226" s="5" t="str">
        <f>IF(E1226=0,"Broadcast",IF(H1226="",IF(I1226="","",IF(I1226&lt;128,"Connect "&amp;I1226,INDEX(KdoCodeTab,MATCH(I1226,KdoWertTab,0)))),"ReadStat "&amp;H1226))</f>
        <v>MarkCmd</v>
      </c>
      <c r="K1226" t="str">
        <f t="shared" si="211"/>
        <v/>
      </c>
      <c r="L1226" t="str">
        <f t="shared" si="212"/>
        <v>MarkCmd</v>
      </c>
      <c r="M1226" t="str">
        <f t="shared" si="213"/>
        <v/>
      </c>
    </row>
    <row r="1227" spans="1:13" x14ac:dyDescent="0.25">
      <c r="A1227" t="s">
        <v>801</v>
      </c>
      <c r="B1227" s="6">
        <f t="shared" si="214"/>
        <v>0.88316666666666666</v>
      </c>
      <c r="C1227" s="9">
        <f t="shared" si="215"/>
        <v>6.1666666666666536</v>
      </c>
      <c r="D1227" s="8" t="str">
        <f t="shared" si="216"/>
        <v>W</v>
      </c>
      <c r="E1227" s="3">
        <f t="shared" si="217"/>
        <v>31</v>
      </c>
      <c r="F1227" s="3" t="str">
        <f t="shared" si="218"/>
        <v>ack</v>
      </c>
      <c r="G1227" s="3" t="str">
        <f t="shared" si="219"/>
        <v>9A</v>
      </c>
      <c r="H1227" s="3" t="str">
        <f t="shared" si="220"/>
        <v/>
      </c>
      <c r="I1227" s="3">
        <f t="shared" si="221"/>
        <v>154</v>
      </c>
      <c r="J1227" s="5" t="str">
        <f>IF(E1227=0,"Broadcast",IF(H1227="",IF(I1227="","",IF(I1227&lt;128,"Connect "&amp;I1227,INDEX(KdoCodeTab,MATCH(I1227,KdoWertTab,0)))),"ReadStat "&amp;H1227))</f>
        <v>RepMarkCmd</v>
      </c>
      <c r="K1227" t="str">
        <f t="shared" si="211"/>
        <v/>
      </c>
      <c r="L1227" t="str">
        <f t="shared" si="212"/>
        <v>RepMarkCmd</v>
      </c>
      <c r="M1227" t="str">
        <f t="shared" si="213"/>
        <v/>
      </c>
    </row>
    <row r="1228" spans="1:13" x14ac:dyDescent="0.25">
      <c r="A1228" t="s">
        <v>802</v>
      </c>
      <c r="B1228" s="6">
        <f t="shared" si="214"/>
        <v>0.91733333333333333</v>
      </c>
      <c r="C1228" s="9">
        <f t="shared" si="215"/>
        <v>34.166666666666679</v>
      </c>
      <c r="D1228" s="8" t="str">
        <f t="shared" si="216"/>
        <v>W</v>
      </c>
      <c r="E1228" s="3">
        <f t="shared" si="217"/>
        <v>18</v>
      </c>
      <c r="F1228" s="3" t="str">
        <f t="shared" si="218"/>
        <v>NACK</v>
      </c>
      <c r="G1228" s="3" t="str">
        <f t="shared" si="219"/>
        <v/>
      </c>
      <c r="H1228" s="3" t="str">
        <f t="shared" si="220"/>
        <v/>
      </c>
      <c r="I1228" s="3" t="str">
        <f t="shared" si="221"/>
        <v/>
      </c>
      <c r="J1228" s="5" t="str">
        <f>IF(E1228=0,"Broadcast",IF(H1228="",IF(I1228="","",IF(I1228&lt;128,"Connect "&amp;I1228,INDEX(KdoCodeTab,MATCH(I1228,KdoWertTab,0)))),"ReadStat "&amp;H1228))</f>
        <v/>
      </c>
      <c r="K1228" t="str">
        <f t="shared" si="211"/>
        <v/>
      </c>
      <c r="L1228" t="str">
        <f t="shared" si="212"/>
        <v/>
      </c>
      <c r="M1228" t="str">
        <f t="shared" si="213"/>
        <v/>
      </c>
    </row>
    <row r="1229" spans="1:13" x14ac:dyDescent="0.25">
      <c r="A1229" t="s">
        <v>803</v>
      </c>
      <c r="B1229" s="6">
        <f t="shared" si="214"/>
        <v>0.92349999999999999</v>
      </c>
      <c r="C1229" s="9">
        <f t="shared" si="215"/>
        <v>6.1666666666666536</v>
      </c>
      <c r="D1229" s="8" t="str">
        <f t="shared" si="216"/>
        <v>R</v>
      </c>
      <c r="E1229" s="3">
        <f t="shared" si="217"/>
        <v>18</v>
      </c>
      <c r="F1229" s="3" t="str">
        <f t="shared" si="218"/>
        <v>NACK</v>
      </c>
      <c r="G1229" s="3" t="str">
        <f t="shared" si="219"/>
        <v/>
      </c>
      <c r="H1229" s="3" t="str">
        <f t="shared" si="220"/>
        <v/>
      </c>
      <c r="I1229" s="3" t="str">
        <f t="shared" si="221"/>
        <v/>
      </c>
      <c r="J1229" s="5" t="str">
        <f>IF(E1229=0,"Broadcast",IF(H1229="",IF(I1229="","",IF(I1229&lt;128,"Connect "&amp;I1229,INDEX(KdoCodeTab,MATCH(I1229,KdoWertTab,0)))),"ReadStat "&amp;H1229))</f>
        <v/>
      </c>
      <c r="K1229" t="str">
        <f t="shared" si="211"/>
        <v/>
      </c>
      <c r="L1229" t="str">
        <f t="shared" si="212"/>
        <v/>
      </c>
      <c r="M1229" t="str">
        <f t="shared" si="213"/>
        <v/>
      </c>
    </row>
    <row r="1230" spans="1:13" x14ac:dyDescent="0.25">
      <c r="A1230" t="s">
        <v>804</v>
      </c>
      <c r="B1230" s="6">
        <f t="shared" si="214"/>
        <v>0.95766666666666667</v>
      </c>
      <c r="C1230" s="9">
        <f t="shared" si="215"/>
        <v>34.166666666666679</v>
      </c>
      <c r="D1230" s="8" t="str">
        <f t="shared" si="216"/>
        <v>W</v>
      </c>
      <c r="E1230" s="3">
        <f t="shared" si="217"/>
        <v>31</v>
      </c>
      <c r="F1230" s="3" t="str">
        <f t="shared" si="218"/>
        <v>ack</v>
      </c>
      <c r="G1230" s="3" t="str">
        <f t="shared" si="219"/>
        <v>9C</v>
      </c>
      <c r="H1230" s="3" t="str">
        <f t="shared" si="220"/>
        <v/>
      </c>
      <c r="I1230" s="3">
        <f t="shared" si="221"/>
        <v>156</v>
      </c>
      <c r="J1230" s="5" t="str">
        <f>IF(E1230=0,"Broadcast",IF(H1230="",IF(I1230="","",IF(I1230&lt;128,"Connect "&amp;I1230,INDEX(KdoCodeTab,MATCH(I1230,KdoWertTab,0)))),"ReadStat "&amp;H1230))</f>
        <v>MarkCmd</v>
      </c>
      <c r="K1230" t="str">
        <f t="shared" si="211"/>
        <v/>
      </c>
      <c r="L1230" t="str">
        <f t="shared" si="212"/>
        <v>MarkCmd</v>
      </c>
      <c r="M1230" t="str">
        <f t="shared" si="213"/>
        <v/>
      </c>
    </row>
    <row r="1231" spans="1:13" x14ac:dyDescent="0.25">
      <c r="A1231" t="s">
        <v>805</v>
      </c>
      <c r="B1231" s="6">
        <f t="shared" si="214"/>
        <v>0.96383333333333332</v>
      </c>
      <c r="C1231" s="9">
        <f t="shared" si="215"/>
        <v>6.1666666666666536</v>
      </c>
      <c r="D1231" s="8" t="str">
        <f t="shared" si="216"/>
        <v>W</v>
      </c>
      <c r="E1231" s="3">
        <f t="shared" si="217"/>
        <v>31</v>
      </c>
      <c r="F1231" s="3" t="str">
        <f t="shared" si="218"/>
        <v>ack</v>
      </c>
      <c r="G1231" s="3" t="str">
        <f t="shared" si="219"/>
        <v>9A</v>
      </c>
      <c r="H1231" s="3" t="str">
        <f t="shared" si="220"/>
        <v/>
      </c>
      <c r="I1231" s="3">
        <f t="shared" si="221"/>
        <v>154</v>
      </c>
      <c r="J1231" s="5" t="str">
        <f>IF(E1231=0,"Broadcast",IF(H1231="",IF(I1231="","",IF(I1231&lt;128,"Connect "&amp;I1231,INDEX(KdoCodeTab,MATCH(I1231,KdoWertTab,0)))),"ReadStat "&amp;H1231))</f>
        <v>RepMarkCmd</v>
      </c>
      <c r="K1231" t="str">
        <f t="shared" si="211"/>
        <v/>
      </c>
      <c r="L1231" t="str">
        <f t="shared" si="212"/>
        <v>RepMarkCmd</v>
      </c>
      <c r="M1231" t="str">
        <f t="shared" si="213"/>
        <v/>
      </c>
    </row>
    <row r="1232" spans="1:13" x14ac:dyDescent="0.25">
      <c r="A1232" t="s">
        <v>806</v>
      </c>
      <c r="B1232" s="6">
        <f t="shared" si="214"/>
        <v>1.0081666666666667</v>
      </c>
      <c r="C1232" s="9">
        <f t="shared" si="215"/>
        <v>44.333333333333336</v>
      </c>
      <c r="D1232" s="8" t="str">
        <f t="shared" si="216"/>
        <v>W</v>
      </c>
      <c r="E1232" s="3">
        <f t="shared" si="217"/>
        <v>31</v>
      </c>
      <c r="F1232" s="3" t="str">
        <f t="shared" si="218"/>
        <v>ack</v>
      </c>
      <c r="G1232" s="3" t="str">
        <f t="shared" si="219"/>
        <v>93</v>
      </c>
      <c r="H1232" s="3" t="str">
        <f t="shared" si="220"/>
        <v/>
      </c>
      <c r="I1232" s="3">
        <f t="shared" si="221"/>
        <v>147</v>
      </c>
      <c r="J1232" s="5" t="str">
        <f>IF(E1232=0,"Broadcast",IF(H1232="",IF(I1232="","",IF(I1232&lt;128,"Connect "&amp;I1232,INDEX(KdoCodeTab,MATCH(I1232,KdoWertTab,0)))),"ReadStat "&amp;H1232))</f>
        <v>SpaceCmd</v>
      </c>
      <c r="K1232" t="str">
        <f t="shared" si="211"/>
        <v/>
      </c>
      <c r="L1232" t="str">
        <f t="shared" si="212"/>
        <v>SpaceCmd</v>
      </c>
      <c r="M1232" t="str">
        <f t="shared" si="213"/>
        <v/>
      </c>
    </row>
    <row r="1233" spans="1:13" x14ac:dyDescent="0.25">
      <c r="A1233" t="s">
        <v>807</v>
      </c>
      <c r="B1233" s="6">
        <f t="shared" si="214"/>
        <v>1.0141666666666667</v>
      </c>
      <c r="C1233" s="9">
        <f t="shared" si="215"/>
        <v>6.0000000000000053</v>
      </c>
      <c r="D1233" s="8" t="str">
        <f t="shared" si="216"/>
        <v>W</v>
      </c>
      <c r="E1233" s="3">
        <f t="shared" si="217"/>
        <v>31</v>
      </c>
      <c r="F1233" s="3" t="str">
        <f t="shared" si="218"/>
        <v>ack</v>
      </c>
      <c r="G1233" s="3" t="str">
        <f t="shared" si="219"/>
        <v>96</v>
      </c>
      <c r="H1233" s="3" t="str">
        <f t="shared" si="220"/>
        <v/>
      </c>
      <c r="I1233" s="3">
        <f t="shared" si="221"/>
        <v>150</v>
      </c>
      <c r="J1233" s="5" t="str">
        <f>IF(E1233=0,"Broadcast",IF(H1233="",IF(I1233="","",IF(I1233&lt;128,"Connect "&amp;I1233,INDEX(KdoCodeTab,MATCH(I1233,KdoWertTab,0)))),"ReadStat "&amp;H1233))</f>
        <v>RepSpaceCmd</v>
      </c>
      <c r="K1233" t="str">
        <f t="shared" si="211"/>
        <v/>
      </c>
      <c r="L1233" t="str">
        <f t="shared" si="212"/>
        <v>RepSpaceCmd</v>
      </c>
      <c r="M1233" t="str">
        <f t="shared" si="213"/>
        <v/>
      </c>
    </row>
    <row r="1234" spans="1:13" x14ac:dyDescent="0.25">
      <c r="A1234" t="s">
        <v>808</v>
      </c>
      <c r="B1234" s="6">
        <f t="shared" si="214"/>
        <v>1.0283333333333333</v>
      </c>
      <c r="C1234" s="9">
        <f t="shared" si="215"/>
        <v>14.166666666666661</v>
      </c>
      <c r="D1234" s="8" t="str">
        <f t="shared" si="216"/>
        <v>W</v>
      </c>
      <c r="E1234" s="3">
        <f t="shared" si="217"/>
        <v>31</v>
      </c>
      <c r="F1234" s="3" t="str">
        <f t="shared" si="218"/>
        <v>ack</v>
      </c>
      <c r="G1234" s="3" t="str">
        <f t="shared" si="219"/>
        <v>9C</v>
      </c>
      <c r="H1234" s="3" t="str">
        <f t="shared" si="220"/>
        <v/>
      </c>
      <c r="I1234" s="3">
        <f t="shared" si="221"/>
        <v>156</v>
      </c>
      <c r="J1234" s="5" t="str">
        <f>IF(E1234=0,"Broadcast",IF(H1234="",IF(I1234="","",IF(I1234&lt;128,"Connect "&amp;I1234,INDEX(KdoCodeTab,MATCH(I1234,KdoWertTab,0)))),"ReadStat "&amp;H1234))</f>
        <v>MarkCmd</v>
      </c>
      <c r="K1234" t="str">
        <f t="shared" si="211"/>
        <v/>
      </c>
      <c r="L1234" t="str">
        <f t="shared" si="212"/>
        <v>MarkCmd</v>
      </c>
      <c r="M1234" t="str">
        <f t="shared" si="213"/>
        <v/>
      </c>
    </row>
    <row r="1235" spans="1:13" x14ac:dyDescent="0.25">
      <c r="A1235" t="s">
        <v>809</v>
      </c>
      <c r="B1235" s="6">
        <f t="shared" si="214"/>
        <v>1.0343333333333333</v>
      </c>
      <c r="C1235" s="9">
        <f t="shared" si="215"/>
        <v>6.0000000000000053</v>
      </c>
      <c r="D1235" s="8" t="str">
        <f t="shared" si="216"/>
        <v>W</v>
      </c>
      <c r="E1235" s="3">
        <f t="shared" si="217"/>
        <v>31</v>
      </c>
      <c r="F1235" s="3" t="str">
        <f t="shared" si="218"/>
        <v>ack</v>
      </c>
      <c r="G1235" s="3" t="str">
        <f t="shared" si="219"/>
        <v>9A</v>
      </c>
      <c r="H1235" s="3" t="str">
        <f t="shared" si="220"/>
        <v/>
      </c>
      <c r="I1235" s="3">
        <f t="shared" si="221"/>
        <v>154</v>
      </c>
      <c r="J1235" s="5" t="str">
        <f>IF(E1235=0,"Broadcast",IF(H1235="",IF(I1235="","",IF(I1235&lt;128,"Connect "&amp;I1235,INDEX(KdoCodeTab,MATCH(I1235,KdoWertTab,0)))),"ReadStat "&amp;H1235))</f>
        <v>RepMarkCmd</v>
      </c>
      <c r="K1235" t="str">
        <f t="shared" si="211"/>
        <v/>
      </c>
      <c r="L1235" t="str">
        <f t="shared" si="212"/>
        <v>RepMarkCmd</v>
      </c>
      <c r="M1235" t="str">
        <f t="shared" si="213"/>
        <v/>
      </c>
    </row>
    <row r="1236" spans="1:13" x14ac:dyDescent="0.25">
      <c r="A1236" t="s">
        <v>810</v>
      </c>
      <c r="B1236" s="6">
        <f t="shared" si="214"/>
        <v>1.0974999999999999</v>
      </c>
      <c r="C1236" s="9">
        <f t="shared" si="215"/>
        <v>63.166666666666593</v>
      </c>
      <c r="D1236" s="8" t="str">
        <f t="shared" si="216"/>
        <v>W</v>
      </c>
      <c r="E1236" s="3">
        <f t="shared" si="217"/>
        <v>101</v>
      </c>
      <c r="F1236" s="3" t="str">
        <f t="shared" si="218"/>
        <v>ack</v>
      </c>
      <c r="G1236" s="3" t="str">
        <f t="shared" si="219"/>
        <v>A9</v>
      </c>
      <c r="H1236" s="3" t="str">
        <f t="shared" si="220"/>
        <v/>
      </c>
      <c r="I1236" s="3">
        <f t="shared" si="221"/>
        <v>169</v>
      </c>
      <c r="J1236" s="5" t="str">
        <f>IF(E1236=0,"Broadcast",IF(H1236="",IF(I1236="","",IF(I1236&lt;128,"Connect "&amp;I1236,INDEX(KdoCodeTab,MATCH(I1236,KdoWertTab,0)))),"ReadStat "&amp;H1236))</f>
        <v>Heartbeat</v>
      </c>
      <c r="K1236" t="str">
        <f t="shared" si="211"/>
        <v/>
      </c>
      <c r="L1236" t="str">
        <f t="shared" si="212"/>
        <v/>
      </c>
      <c r="M1236" t="str">
        <f t="shared" si="213"/>
        <v>Heartbeat</v>
      </c>
    </row>
    <row r="1237" spans="1:13" x14ac:dyDescent="0.25">
      <c r="A1237" t="s">
        <v>811</v>
      </c>
      <c r="B1237" s="6">
        <f t="shared" si="214"/>
        <v>1.1593333333333333</v>
      </c>
      <c r="C1237" s="9">
        <f t="shared" si="215"/>
        <v>61.833333333333407</v>
      </c>
      <c r="D1237" s="8" t="str">
        <f t="shared" si="216"/>
        <v>W</v>
      </c>
      <c r="E1237" s="3">
        <f t="shared" si="217"/>
        <v>31</v>
      </c>
      <c r="F1237" s="3" t="str">
        <f t="shared" si="218"/>
        <v>ack</v>
      </c>
      <c r="G1237" s="3" t="str">
        <f t="shared" si="219"/>
        <v>93</v>
      </c>
      <c r="H1237" s="3" t="str">
        <f t="shared" si="220"/>
        <v/>
      </c>
      <c r="I1237" s="3">
        <f t="shared" si="221"/>
        <v>147</v>
      </c>
      <c r="J1237" s="5" t="str">
        <f>IF(E1237=0,"Broadcast",IF(H1237="",IF(I1237="","",IF(I1237&lt;128,"Connect "&amp;I1237,INDEX(KdoCodeTab,MATCH(I1237,KdoWertTab,0)))),"ReadStat "&amp;H1237))</f>
        <v>SpaceCmd</v>
      </c>
      <c r="K1237" t="str">
        <f t="shared" si="211"/>
        <v/>
      </c>
      <c r="L1237" t="str">
        <f t="shared" si="212"/>
        <v>SpaceCmd</v>
      </c>
      <c r="M1237" t="str">
        <f t="shared" si="213"/>
        <v/>
      </c>
    </row>
    <row r="1238" spans="1:13" x14ac:dyDescent="0.25">
      <c r="A1238" t="s">
        <v>812</v>
      </c>
      <c r="B1238" s="6">
        <f t="shared" si="214"/>
        <v>1.1653333333333333</v>
      </c>
      <c r="C1238" s="9">
        <f t="shared" si="215"/>
        <v>6.0000000000000053</v>
      </c>
      <c r="D1238" s="8" t="str">
        <f t="shared" si="216"/>
        <v>W</v>
      </c>
      <c r="E1238" s="3">
        <f t="shared" si="217"/>
        <v>31</v>
      </c>
      <c r="F1238" s="3" t="str">
        <f t="shared" si="218"/>
        <v>ack</v>
      </c>
      <c r="G1238" s="3" t="str">
        <f t="shared" si="219"/>
        <v>96</v>
      </c>
      <c r="H1238" s="3" t="str">
        <f t="shared" si="220"/>
        <v/>
      </c>
      <c r="I1238" s="3">
        <f t="shared" si="221"/>
        <v>150</v>
      </c>
      <c r="J1238" s="5" t="str">
        <f>IF(E1238=0,"Broadcast",IF(H1238="",IF(I1238="","",IF(I1238&lt;128,"Connect "&amp;I1238,INDEX(KdoCodeTab,MATCH(I1238,KdoWertTab,0)))),"ReadStat "&amp;H1238))</f>
        <v>RepSpaceCmd</v>
      </c>
      <c r="K1238" t="str">
        <f t="shared" si="211"/>
        <v/>
      </c>
      <c r="L1238" t="str">
        <f t="shared" si="212"/>
        <v>RepSpaceCmd</v>
      </c>
      <c r="M1238" t="str">
        <f t="shared" si="213"/>
        <v/>
      </c>
    </row>
    <row r="1239" spans="1:13" x14ac:dyDescent="0.25">
      <c r="A1239" t="s">
        <v>813</v>
      </c>
      <c r="B1239" s="6">
        <f t="shared" si="214"/>
        <v>1.1795</v>
      </c>
      <c r="C1239" s="9">
        <f t="shared" si="215"/>
        <v>14.166666666666661</v>
      </c>
      <c r="D1239" s="8" t="str">
        <f t="shared" si="216"/>
        <v>W</v>
      </c>
      <c r="E1239" s="3">
        <f t="shared" si="217"/>
        <v>31</v>
      </c>
      <c r="F1239" s="3" t="str">
        <f t="shared" si="218"/>
        <v>ack</v>
      </c>
      <c r="G1239" s="3" t="str">
        <f t="shared" si="219"/>
        <v>9C</v>
      </c>
      <c r="H1239" s="3" t="str">
        <f t="shared" si="220"/>
        <v/>
      </c>
      <c r="I1239" s="3">
        <f t="shared" si="221"/>
        <v>156</v>
      </c>
      <c r="J1239" s="5" t="str">
        <f>IF(E1239=0,"Broadcast",IF(H1239="",IF(I1239="","",IF(I1239&lt;128,"Connect "&amp;I1239,INDEX(KdoCodeTab,MATCH(I1239,KdoWertTab,0)))),"ReadStat "&amp;H1239))</f>
        <v>MarkCmd</v>
      </c>
      <c r="K1239" t="str">
        <f t="shared" si="211"/>
        <v/>
      </c>
      <c r="L1239" t="str">
        <f t="shared" si="212"/>
        <v>MarkCmd</v>
      </c>
      <c r="M1239" t="str">
        <f t="shared" si="213"/>
        <v/>
      </c>
    </row>
    <row r="1240" spans="1:13" x14ac:dyDescent="0.25">
      <c r="A1240" t="s">
        <v>814</v>
      </c>
      <c r="B1240" s="6">
        <f t="shared" si="214"/>
        <v>1.1855</v>
      </c>
      <c r="C1240" s="9">
        <f t="shared" si="215"/>
        <v>6.0000000000000053</v>
      </c>
      <c r="D1240" s="8" t="str">
        <f t="shared" si="216"/>
        <v>W</v>
      </c>
      <c r="E1240" s="3">
        <f t="shared" si="217"/>
        <v>31</v>
      </c>
      <c r="F1240" s="3" t="str">
        <f t="shared" si="218"/>
        <v>ack</v>
      </c>
      <c r="G1240" s="3" t="str">
        <f t="shared" si="219"/>
        <v>9A</v>
      </c>
      <c r="H1240" s="3" t="str">
        <f t="shared" si="220"/>
        <v/>
      </c>
      <c r="I1240" s="3">
        <f t="shared" si="221"/>
        <v>154</v>
      </c>
      <c r="J1240" s="5" t="str">
        <f>IF(E1240=0,"Broadcast",IF(H1240="",IF(I1240="","",IF(I1240&lt;128,"Connect "&amp;I1240,INDEX(KdoCodeTab,MATCH(I1240,KdoWertTab,0)))),"ReadStat "&amp;H1240))</f>
        <v>RepMarkCmd</v>
      </c>
      <c r="K1240" t="str">
        <f t="shared" si="211"/>
        <v/>
      </c>
      <c r="L1240" t="str">
        <f t="shared" si="212"/>
        <v>RepMarkCmd</v>
      </c>
      <c r="M1240" t="str">
        <f t="shared" si="213"/>
        <v/>
      </c>
    </row>
    <row r="1241" spans="1:13" x14ac:dyDescent="0.25">
      <c r="A1241" t="s">
        <v>815</v>
      </c>
      <c r="B1241" s="6">
        <f t="shared" si="214"/>
        <v>1.2198333333333333</v>
      </c>
      <c r="C1241" s="9">
        <f t="shared" si="215"/>
        <v>34.333333333333329</v>
      </c>
      <c r="D1241" s="8" t="str">
        <f t="shared" si="216"/>
        <v>W</v>
      </c>
      <c r="E1241" s="3">
        <f t="shared" si="217"/>
        <v>31</v>
      </c>
      <c r="F1241" s="3" t="str">
        <f t="shared" si="218"/>
        <v>ack</v>
      </c>
      <c r="G1241" s="3" t="str">
        <f t="shared" si="219"/>
        <v>93</v>
      </c>
      <c r="H1241" s="3" t="str">
        <f t="shared" si="220"/>
        <v/>
      </c>
      <c r="I1241" s="3">
        <f t="shared" si="221"/>
        <v>147</v>
      </c>
      <c r="J1241" s="5" t="str">
        <f>IF(E1241=0,"Broadcast",IF(H1241="",IF(I1241="","",IF(I1241&lt;128,"Connect "&amp;I1241,INDEX(KdoCodeTab,MATCH(I1241,KdoWertTab,0)))),"ReadStat "&amp;H1241))</f>
        <v>SpaceCmd</v>
      </c>
      <c r="K1241" t="str">
        <f t="shared" si="211"/>
        <v/>
      </c>
      <c r="L1241" t="str">
        <f t="shared" si="212"/>
        <v>SpaceCmd</v>
      </c>
      <c r="M1241" t="str">
        <f t="shared" si="213"/>
        <v/>
      </c>
    </row>
    <row r="1242" spans="1:13" x14ac:dyDescent="0.25">
      <c r="A1242" t="s">
        <v>816</v>
      </c>
      <c r="B1242" s="6">
        <f t="shared" si="214"/>
        <v>1.2258333333333333</v>
      </c>
      <c r="C1242" s="9">
        <f t="shared" si="215"/>
        <v>6.0000000000000053</v>
      </c>
      <c r="D1242" s="8" t="str">
        <f t="shared" si="216"/>
        <v>W</v>
      </c>
      <c r="E1242" s="3">
        <f t="shared" si="217"/>
        <v>31</v>
      </c>
      <c r="F1242" s="3" t="str">
        <f t="shared" si="218"/>
        <v>ack</v>
      </c>
      <c r="G1242" s="3" t="str">
        <f t="shared" si="219"/>
        <v>96</v>
      </c>
      <c r="H1242" s="3" t="str">
        <f t="shared" si="220"/>
        <v/>
      </c>
      <c r="I1242" s="3">
        <f t="shared" si="221"/>
        <v>150</v>
      </c>
      <c r="J1242" s="5" t="str">
        <f>IF(E1242=0,"Broadcast",IF(H1242="",IF(I1242="","",IF(I1242&lt;128,"Connect "&amp;I1242,INDEX(KdoCodeTab,MATCH(I1242,KdoWertTab,0)))),"ReadStat "&amp;H1242))</f>
        <v>RepSpaceCmd</v>
      </c>
      <c r="K1242" t="str">
        <f t="shared" si="211"/>
        <v/>
      </c>
      <c r="L1242" t="str">
        <f t="shared" si="212"/>
        <v>RepSpaceCmd</v>
      </c>
      <c r="M1242" t="str">
        <f t="shared" si="213"/>
        <v/>
      </c>
    </row>
    <row r="1243" spans="1:13" x14ac:dyDescent="0.25">
      <c r="A1243" t="s">
        <v>817</v>
      </c>
      <c r="B1243" s="6">
        <f t="shared" si="214"/>
        <v>1.2803333333333333</v>
      </c>
      <c r="C1243" s="9">
        <f t="shared" si="215"/>
        <v>54.499999999999993</v>
      </c>
      <c r="D1243" s="8" t="str">
        <f t="shared" si="216"/>
        <v>W</v>
      </c>
      <c r="E1243" s="3">
        <f t="shared" si="217"/>
        <v>31</v>
      </c>
      <c r="F1243" s="3" t="str">
        <f t="shared" si="218"/>
        <v>ack</v>
      </c>
      <c r="G1243" s="3" t="str">
        <f t="shared" si="219"/>
        <v>9C</v>
      </c>
      <c r="H1243" s="3" t="str">
        <f t="shared" si="220"/>
        <v/>
      </c>
      <c r="I1243" s="3">
        <f t="shared" si="221"/>
        <v>156</v>
      </c>
      <c r="J1243" s="5" t="str">
        <f>IF(E1243=0,"Broadcast",IF(H1243="",IF(I1243="","",IF(I1243&lt;128,"Connect "&amp;I1243,INDEX(KdoCodeTab,MATCH(I1243,KdoWertTab,0)))),"ReadStat "&amp;H1243))</f>
        <v>MarkCmd</v>
      </c>
      <c r="K1243" t="str">
        <f t="shared" si="211"/>
        <v/>
      </c>
      <c r="L1243" t="str">
        <f t="shared" si="212"/>
        <v>MarkCmd</v>
      </c>
      <c r="M1243" t="str">
        <f t="shared" si="213"/>
        <v/>
      </c>
    </row>
    <row r="1244" spans="1:13" x14ac:dyDescent="0.25">
      <c r="A1244" t="s">
        <v>818</v>
      </c>
      <c r="B1244" s="6">
        <f t="shared" si="214"/>
        <v>1.2863333333333333</v>
      </c>
      <c r="C1244" s="9">
        <f t="shared" si="215"/>
        <v>6.0000000000000053</v>
      </c>
      <c r="D1244" s="8" t="str">
        <f t="shared" si="216"/>
        <v>W</v>
      </c>
      <c r="E1244" s="3">
        <f t="shared" si="217"/>
        <v>31</v>
      </c>
      <c r="F1244" s="3" t="str">
        <f t="shared" si="218"/>
        <v>ack</v>
      </c>
      <c r="G1244" s="3" t="str">
        <f t="shared" si="219"/>
        <v>9A</v>
      </c>
      <c r="H1244" s="3" t="str">
        <f t="shared" si="220"/>
        <v/>
      </c>
      <c r="I1244" s="3">
        <f t="shared" si="221"/>
        <v>154</v>
      </c>
      <c r="J1244" s="5" t="str">
        <f>IF(E1244=0,"Broadcast",IF(H1244="",IF(I1244="","",IF(I1244&lt;128,"Connect "&amp;I1244,INDEX(KdoCodeTab,MATCH(I1244,KdoWertTab,0)))),"ReadStat "&amp;H1244))</f>
        <v>RepMarkCmd</v>
      </c>
      <c r="K1244" t="str">
        <f t="shared" si="211"/>
        <v/>
      </c>
      <c r="L1244" t="str">
        <f t="shared" si="212"/>
        <v>RepMarkCmd</v>
      </c>
      <c r="M1244" t="str">
        <f t="shared" si="213"/>
        <v/>
      </c>
    </row>
    <row r="1245" spans="1:13" x14ac:dyDescent="0.25">
      <c r="A1245" t="s">
        <v>819</v>
      </c>
      <c r="B1245" s="6">
        <f t="shared" si="214"/>
        <v>1.3185</v>
      </c>
      <c r="C1245" s="9">
        <f t="shared" si="215"/>
        <v>32.166666666666679</v>
      </c>
      <c r="D1245" s="8" t="str">
        <f t="shared" si="216"/>
        <v>W</v>
      </c>
      <c r="E1245" s="3">
        <f t="shared" si="217"/>
        <v>31</v>
      </c>
      <c r="F1245" s="3" t="str">
        <f t="shared" si="218"/>
        <v>ack</v>
      </c>
      <c r="G1245" s="3" t="str">
        <f t="shared" si="219"/>
        <v>93</v>
      </c>
      <c r="H1245" s="3" t="str">
        <f t="shared" si="220"/>
        <v/>
      </c>
      <c r="I1245" s="3">
        <f t="shared" si="221"/>
        <v>147</v>
      </c>
      <c r="J1245" s="5" t="str">
        <f>IF(E1245=0,"Broadcast",IF(H1245="",IF(I1245="","",IF(I1245&lt;128,"Connect "&amp;I1245,INDEX(KdoCodeTab,MATCH(I1245,KdoWertTab,0)))),"ReadStat "&amp;H1245))</f>
        <v>SpaceCmd</v>
      </c>
      <c r="K1245" t="str">
        <f t="shared" si="211"/>
        <v/>
      </c>
      <c r="L1245" t="str">
        <f t="shared" si="212"/>
        <v>SpaceCmd</v>
      </c>
      <c r="M1245" t="str">
        <f t="shared" si="213"/>
        <v/>
      </c>
    </row>
    <row r="1246" spans="1:13" x14ac:dyDescent="0.25">
      <c r="A1246" t="s">
        <v>820</v>
      </c>
      <c r="B1246" s="6">
        <f t="shared" si="214"/>
        <v>1.3246666666666667</v>
      </c>
      <c r="C1246" s="9">
        <f t="shared" si="215"/>
        <v>6.1666666666666536</v>
      </c>
      <c r="D1246" s="8" t="str">
        <f t="shared" si="216"/>
        <v>W</v>
      </c>
      <c r="E1246" s="3">
        <f t="shared" si="217"/>
        <v>31</v>
      </c>
      <c r="F1246" s="3" t="str">
        <f t="shared" si="218"/>
        <v>ack</v>
      </c>
      <c r="G1246" s="3" t="str">
        <f t="shared" si="219"/>
        <v>96</v>
      </c>
      <c r="H1246" s="3" t="str">
        <f t="shared" si="220"/>
        <v/>
      </c>
      <c r="I1246" s="3">
        <f t="shared" si="221"/>
        <v>150</v>
      </c>
      <c r="J1246" s="5" t="str">
        <f>IF(E1246=0,"Broadcast",IF(H1246="",IF(I1246="","",IF(I1246&lt;128,"Connect "&amp;I1246,INDEX(KdoCodeTab,MATCH(I1246,KdoWertTab,0)))),"ReadStat "&amp;H1246))</f>
        <v>RepSpaceCmd</v>
      </c>
      <c r="K1246" t="str">
        <f t="shared" si="211"/>
        <v/>
      </c>
      <c r="L1246" t="str">
        <f t="shared" si="212"/>
        <v>RepSpaceCmd</v>
      </c>
      <c r="M1246" t="str">
        <f t="shared" si="213"/>
        <v/>
      </c>
    </row>
    <row r="1247" spans="1:13" x14ac:dyDescent="0.25">
      <c r="A1247" t="s">
        <v>821</v>
      </c>
      <c r="B1247" s="6">
        <f t="shared" si="214"/>
        <v>1.379</v>
      </c>
      <c r="C1247" s="9">
        <f t="shared" si="215"/>
        <v>54.333333333333343</v>
      </c>
      <c r="D1247" s="8" t="str">
        <f t="shared" si="216"/>
        <v>W</v>
      </c>
      <c r="E1247" s="3">
        <f t="shared" si="217"/>
        <v>31</v>
      </c>
      <c r="F1247" s="3" t="str">
        <f t="shared" si="218"/>
        <v>ack</v>
      </c>
      <c r="G1247" s="3" t="str">
        <f t="shared" si="219"/>
        <v>9C</v>
      </c>
      <c r="H1247" s="3" t="str">
        <f t="shared" si="220"/>
        <v/>
      </c>
      <c r="I1247" s="3">
        <f t="shared" si="221"/>
        <v>156</v>
      </c>
      <c r="J1247" s="5" t="str">
        <f>IF(E1247=0,"Broadcast",IF(H1247="",IF(I1247="","",IF(I1247&lt;128,"Connect "&amp;I1247,INDEX(KdoCodeTab,MATCH(I1247,KdoWertTab,0)))),"ReadStat "&amp;H1247))</f>
        <v>MarkCmd</v>
      </c>
      <c r="K1247" t="str">
        <f t="shared" si="211"/>
        <v/>
      </c>
      <c r="L1247" t="str">
        <f t="shared" si="212"/>
        <v>MarkCmd</v>
      </c>
      <c r="M1247" t="str">
        <f t="shared" si="213"/>
        <v/>
      </c>
    </row>
    <row r="1248" spans="1:13" x14ac:dyDescent="0.25">
      <c r="A1248" t="s">
        <v>822</v>
      </c>
      <c r="B1248" s="6">
        <f t="shared" si="214"/>
        <v>1.3851666666666667</v>
      </c>
      <c r="C1248" s="9">
        <f t="shared" si="215"/>
        <v>6.1666666666666536</v>
      </c>
      <c r="D1248" s="8" t="str">
        <f t="shared" si="216"/>
        <v>W</v>
      </c>
      <c r="E1248" s="3">
        <f t="shared" si="217"/>
        <v>31</v>
      </c>
      <c r="F1248" s="3" t="str">
        <f t="shared" si="218"/>
        <v>ack</v>
      </c>
      <c r="G1248" s="3" t="str">
        <f t="shared" si="219"/>
        <v>9A</v>
      </c>
      <c r="H1248" s="3" t="str">
        <f t="shared" si="220"/>
        <v/>
      </c>
      <c r="I1248" s="3">
        <f t="shared" si="221"/>
        <v>154</v>
      </c>
      <c r="J1248" s="5" t="str">
        <f>IF(E1248=0,"Broadcast",IF(H1248="",IF(I1248="","",IF(I1248&lt;128,"Connect "&amp;I1248,INDEX(KdoCodeTab,MATCH(I1248,KdoWertTab,0)))),"ReadStat "&amp;H1248))</f>
        <v>RepMarkCmd</v>
      </c>
      <c r="K1248" t="str">
        <f t="shared" si="211"/>
        <v/>
      </c>
      <c r="L1248" t="str">
        <f t="shared" si="212"/>
        <v>RepMarkCmd</v>
      </c>
      <c r="M1248" t="str">
        <f t="shared" si="213"/>
        <v/>
      </c>
    </row>
    <row r="1249" spans="1:13" x14ac:dyDescent="0.25">
      <c r="A1249" t="s">
        <v>823</v>
      </c>
      <c r="B1249" s="6">
        <f t="shared" si="214"/>
        <v>1.3991666666666667</v>
      </c>
      <c r="C1249" s="9">
        <f t="shared" si="215"/>
        <v>14.000000000000012</v>
      </c>
      <c r="D1249" s="8" t="str">
        <f t="shared" si="216"/>
        <v>W</v>
      </c>
      <c r="E1249" s="3">
        <f t="shared" si="217"/>
        <v>31</v>
      </c>
      <c r="F1249" s="3" t="str">
        <f t="shared" si="218"/>
        <v>ack</v>
      </c>
      <c r="G1249" s="3" t="str">
        <f t="shared" si="219"/>
        <v>93</v>
      </c>
      <c r="H1249" s="3" t="str">
        <f t="shared" si="220"/>
        <v/>
      </c>
      <c r="I1249" s="3">
        <f t="shared" si="221"/>
        <v>147</v>
      </c>
      <c r="J1249" s="5" t="str">
        <f>IF(E1249=0,"Broadcast",IF(H1249="",IF(I1249="","",IF(I1249&lt;128,"Connect "&amp;I1249,INDEX(KdoCodeTab,MATCH(I1249,KdoWertTab,0)))),"ReadStat "&amp;H1249))</f>
        <v>SpaceCmd</v>
      </c>
      <c r="K1249" t="str">
        <f t="shared" si="211"/>
        <v/>
      </c>
      <c r="L1249" t="str">
        <f t="shared" si="212"/>
        <v>SpaceCmd</v>
      </c>
      <c r="M1249" t="str">
        <f t="shared" si="213"/>
        <v/>
      </c>
    </row>
    <row r="1250" spans="1:13" x14ac:dyDescent="0.25">
      <c r="A1250" t="s">
        <v>824</v>
      </c>
      <c r="B1250" s="6">
        <f t="shared" si="214"/>
        <v>1.4053333333333333</v>
      </c>
      <c r="C1250" s="9">
        <f t="shared" si="215"/>
        <v>6.1666666666666536</v>
      </c>
      <c r="D1250" s="8" t="str">
        <f t="shared" si="216"/>
        <v>W</v>
      </c>
      <c r="E1250" s="3">
        <f t="shared" si="217"/>
        <v>31</v>
      </c>
      <c r="F1250" s="3" t="str">
        <f t="shared" si="218"/>
        <v>ack</v>
      </c>
      <c r="G1250" s="3" t="str">
        <f t="shared" si="219"/>
        <v>96</v>
      </c>
      <c r="H1250" s="3" t="str">
        <f t="shared" si="220"/>
        <v/>
      </c>
      <c r="I1250" s="3">
        <f t="shared" si="221"/>
        <v>150</v>
      </c>
      <c r="J1250" s="5" t="str">
        <f>IF(E1250=0,"Broadcast",IF(H1250="",IF(I1250="","",IF(I1250&lt;128,"Connect "&amp;I1250,INDEX(KdoCodeTab,MATCH(I1250,KdoWertTab,0)))),"ReadStat "&amp;H1250))</f>
        <v>RepSpaceCmd</v>
      </c>
      <c r="K1250" t="str">
        <f t="shared" si="211"/>
        <v/>
      </c>
      <c r="L1250" t="str">
        <f t="shared" si="212"/>
        <v>RepSpaceCmd</v>
      </c>
      <c r="M1250" t="str">
        <f t="shared" si="213"/>
        <v/>
      </c>
    </row>
    <row r="1251" spans="1:13" x14ac:dyDescent="0.25">
      <c r="A1251" t="s">
        <v>825</v>
      </c>
      <c r="B1251" s="6">
        <f t="shared" si="214"/>
        <v>1.4395</v>
      </c>
      <c r="C1251" s="9">
        <f t="shared" si="215"/>
        <v>34.166666666666679</v>
      </c>
      <c r="D1251" s="8" t="str">
        <f t="shared" si="216"/>
        <v>W</v>
      </c>
      <c r="E1251" s="3">
        <f t="shared" si="217"/>
        <v>31</v>
      </c>
      <c r="F1251" s="3" t="str">
        <f t="shared" si="218"/>
        <v>ack</v>
      </c>
      <c r="G1251" s="3" t="str">
        <f t="shared" si="219"/>
        <v>9C</v>
      </c>
      <c r="H1251" s="3" t="str">
        <f t="shared" si="220"/>
        <v/>
      </c>
      <c r="I1251" s="3">
        <f t="shared" si="221"/>
        <v>156</v>
      </c>
      <c r="J1251" s="5" t="str">
        <f>IF(E1251=0,"Broadcast",IF(H1251="",IF(I1251="","",IF(I1251&lt;128,"Connect "&amp;I1251,INDEX(KdoCodeTab,MATCH(I1251,KdoWertTab,0)))),"ReadStat "&amp;H1251))</f>
        <v>MarkCmd</v>
      </c>
      <c r="K1251" t="str">
        <f t="shared" si="211"/>
        <v/>
      </c>
      <c r="L1251" t="str">
        <f t="shared" si="212"/>
        <v>MarkCmd</v>
      </c>
      <c r="M1251" t="str">
        <f t="shared" si="213"/>
        <v/>
      </c>
    </row>
    <row r="1252" spans="1:13" x14ac:dyDescent="0.25">
      <c r="A1252" t="s">
        <v>826</v>
      </c>
      <c r="B1252" s="6">
        <f t="shared" si="214"/>
        <v>1.4456666666666667</v>
      </c>
      <c r="C1252" s="9">
        <f t="shared" si="215"/>
        <v>6.1666666666666536</v>
      </c>
      <c r="D1252" s="8" t="str">
        <f t="shared" si="216"/>
        <v>W</v>
      </c>
      <c r="E1252" s="3">
        <f t="shared" si="217"/>
        <v>31</v>
      </c>
      <c r="F1252" s="3" t="str">
        <f t="shared" si="218"/>
        <v>ack</v>
      </c>
      <c r="G1252" s="3" t="str">
        <f t="shared" si="219"/>
        <v>9A</v>
      </c>
      <c r="H1252" s="3" t="str">
        <f t="shared" si="220"/>
        <v/>
      </c>
      <c r="I1252" s="3">
        <f t="shared" si="221"/>
        <v>154</v>
      </c>
      <c r="J1252" s="5" t="str">
        <f>IF(E1252=0,"Broadcast",IF(H1252="",IF(I1252="","",IF(I1252&lt;128,"Connect "&amp;I1252,INDEX(KdoCodeTab,MATCH(I1252,KdoWertTab,0)))),"ReadStat "&amp;H1252))</f>
        <v>RepMarkCmd</v>
      </c>
      <c r="K1252" t="str">
        <f t="shared" si="211"/>
        <v/>
      </c>
      <c r="L1252" t="str">
        <f t="shared" si="212"/>
        <v>RepMarkCmd</v>
      </c>
      <c r="M1252" t="str">
        <f t="shared" si="213"/>
        <v/>
      </c>
    </row>
    <row r="1253" spans="1:13" x14ac:dyDescent="0.25">
      <c r="A1253" t="s">
        <v>827</v>
      </c>
      <c r="B1253" s="6">
        <f t="shared" si="214"/>
        <v>1.4878333333333333</v>
      </c>
      <c r="C1253" s="9">
        <f t="shared" si="215"/>
        <v>42.166666666666686</v>
      </c>
      <c r="D1253" s="8" t="str">
        <f t="shared" si="216"/>
        <v>W</v>
      </c>
      <c r="E1253" s="3">
        <f t="shared" si="217"/>
        <v>31</v>
      </c>
      <c r="F1253" s="3" t="str">
        <f t="shared" si="218"/>
        <v>ack</v>
      </c>
      <c r="G1253" s="3" t="str">
        <f t="shared" si="219"/>
        <v>93</v>
      </c>
      <c r="H1253" s="3" t="str">
        <f t="shared" si="220"/>
        <v/>
      </c>
      <c r="I1253" s="3">
        <f t="shared" si="221"/>
        <v>147</v>
      </c>
      <c r="J1253" s="5" t="str">
        <f>IF(E1253=0,"Broadcast",IF(H1253="",IF(I1253="","",IF(I1253&lt;128,"Connect "&amp;I1253,INDEX(KdoCodeTab,MATCH(I1253,KdoWertTab,0)))),"ReadStat "&amp;H1253))</f>
        <v>SpaceCmd</v>
      </c>
      <c r="K1253" t="str">
        <f t="shared" si="211"/>
        <v/>
      </c>
      <c r="L1253" t="str">
        <f t="shared" si="212"/>
        <v>SpaceCmd</v>
      </c>
      <c r="M1253" t="str">
        <f t="shared" si="213"/>
        <v/>
      </c>
    </row>
    <row r="1254" spans="1:13" x14ac:dyDescent="0.25">
      <c r="A1254" t="s">
        <v>828</v>
      </c>
      <c r="B1254" s="6">
        <f t="shared" si="214"/>
        <v>1.494</v>
      </c>
      <c r="C1254" s="9">
        <f t="shared" si="215"/>
        <v>6.1666666666666536</v>
      </c>
      <c r="D1254" s="8" t="str">
        <f t="shared" si="216"/>
        <v>W</v>
      </c>
      <c r="E1254" s="3">
        <f t="shared" si="217"/>
        <v>31</v>
      </c>
      <c r="F1254" s="3" t="str">
        <f t="shared" si="218"/>
        <v>ack</v>
      </c>
      <c r="G1254" s="3" t="str">
        <f t="shared" si="219"/>
        <v>96</v>
      </c>
      <c r="H1254" s="3" t="str">
        <f t="shared" si="220"/>
        <v/>
      </c>
      <c r="I1254" s="3">
        <f t="shared" si="221"/>
        <v>150</v>
      </c>
      <c r="J1254" s="5" t="str">
        <f>IF(E1254=0,"Broadcast",IF(H1254="",IF(I1254="","",IF(I1254&lt;128,"Connect "&amp;I1254,INDEX(KdoCodeTab,MATCH(I1254,KdoWertTab,0)))),"ReadStat "&amp;H1254))</f>
        <v>RepSpaceCmd</v>
      </c>
      <c r="K1254" t="str">
        <f t="shared" si="211"/>
        <v/>
      </c>
      <c r="L1254" t="str">
        <f t="shared" si="212"/>
        <v>RepSpaceCmd</v>
      </c>
      <c r="M1254" t="str">
        <f t="shared" si="213"/>
        <v/>
      </c>
    </row>
    <row r="1255" spans="1:13" x14ac:dyDescent="0.25">
      <c r="A1255" t="s">
        <v>829</v>
      </c>
      <c r="B1255" s="6">
        <f t="shared" si="214"/>
        <v>1.5886666666666667</v>
      </c>
      <c r="C1255" s="9">
        <f t="shared" si="215"/>
        <v>94.666666666666671</v>
      </c>
      <c r="D1255" s="8" t="str">
        <f t="shared" si="216"/>
        <v>W</v>
      </c>
      <c r="E1255" s="3">
        <f t="shared" si="217"/>
        <v>31</v>
      </c>
      <c r="F1255" s="3" t="str">
        <f t="shared" si="218"/>
        <v>ack</v>
      </c>
      <c r="G1255" s="3" t="str">
        <f t="shared" si="219"/>
        <v>9C</v>
      </c>
      <c r="H1255" s="3" t="str">
        <f t="shared" si="220"/>
        <v/>
      </c>
      <c r="I1255" s="3">
        <f t="shared" si="221"/>
        <v>156</v>
      </c>
      <c r="J1255" s="5" t="str">
        <f>IF(E1255=0,"Broadcast",IF(H1255="",IF(I1255="","",IF(I1255&lt;128,"Connect "&amp;I1255,INDEX(KdoCodeTab,MATCH(I1255,KdoWertTab,0)))),"ReadStat "&amp;H1255))</f>
        <v>MarkCmd</v>
      </c>
      <c r="K1255" t="str">
        <f t="shared" si="211"/>
        <v/>
      </c>
      <c r="L1255" t="str">
        <f t="shared" si="212"/>
        <v>MarkCmd</v>
      </c>
      <c r="M1255" t="str">
        <f t="shared" si="213"/>
        <v/>
      </c>
    </row>
    <row r="1256" spans="1:13" x14ac:dyDescent="0.25">
      <c r="A1256" t="s">
        <v>830</v>
      </c>
      <c r="B1256" s="6">
        <f t="shared" si="214"/>
        <v>1.5948333333333333</v>
      </c>
      <c r="C1256" s="9">
        <f t="shared" si="215"/>
        <v>6.1666666666666536</v>
      </c>
      <c r="D1256" s="8" t="str">
        <f t="shared" si="216"/>
        <v>W</v>
      </c>
      <c r="E1256" s="3">
        <f t="shared" si="217"/>
        <v>31</v>
      </c>
      <c r="F1256" s="3" t="str">
        <f t="shared" si="218"/>
        <v>ack</v>
      </c>
      <c r="G1256" s="3" t="str">
        <f t="shared" si="219"/>
        <v>9A</v>
      </c>
      <c r="H1256" s="3" t="str">
        <f t="shared" si="220"/>
        <v/>
      </c>
      <c r="I1256" s="3">
        <f t="shared" si="221"/>
        <v>154</v>
      </c>
      <c r="J1256" s="5" t="str">
        <f>IF(E1256=0,"Broadcast",IF(H1256="",IF(I1256="","",IF(I1256&lt;128,"Connect "&amp;I1256,INDEX(KdoCodeTab,MATCH(I1256,KdoWertTab,0)))),"ReadStat "&amp;H1256))</f>
        <v>RepMarkCmd</v>
      </c>
      <c r="K1256" t="str">
        <f t="shared" si="211"/>
        <v/>
      </c>
      <c r="L1256" t="str">
        <f t="shared" si="212"/>
        <v>RepMarkCmd</v>
      </c>
      <c r="M1256" t="str">
        <f t="shared" si="213"/>
        <v/>
      </c>
    </row>
    <row r="1257" spans="1:13" x14ac:dyDescent="0.25">
      <c r="A1257" t="s">
        <v>831</v>
      </c>
      <c r="B1257" s="6">
        <f t="shared" si="214"/>
        <v>1.6593333333333333</v>
      </c>
      <c r="C1257" s="9">
        <f t="shared" si="215"/>
        <v>64.5</v>
      </c>
      <c r="D1257" s="8" t="str">
        <f t="shared" si="216"/>
        <v>W</v>
      </c>
      <c r="E1257" s="3">
        <f t="shared" si="217"/>
        <v>31</v>
      </c>
      <c r="F1257" s="3" t="str">
        <f t="shared" si="218"/>
        <v>ack</v>
      </c>
      <c r="G1257" s="3" t="str">
        <f t="shared" si="219"/>
        <v>93</v>
      </c>
      <c r="H1257" s="3" t="str">
        <f t="shared" si="220"/>
        <v/>
      </c>
      <c r="I1257" s="3">
        <f t="shared" si="221"/>
        <v>147</v>
      </c>
      <c r="J1257" s="5" t="str">
        <f>IF(E1257=0,"Broadcast",IF(H1257="",IF(I1257="","",IF(I1257&lt;128,"Connect "&amp;I1257,INDEX(KdoCodeTab,MATCH(I1257,KdoWertTab,0)))),"ReadStat "&amp;H1257))</f>
        <v>SpaceCmd</v>
      </c>
      <c r="K1257" t="str">
        <f t="shared" si="211"/>
        <v/>
      </c>
      <c r="L1257" t="str">
        <f t="shared" si="212"/>
        <v>SpaceCmd</v>
      </c>
      <c r="M1257" t="str">
        <f t="shared" si="213"/>
        <v/>
      </c>
    </row>
    <row r="1258" spans="1:13" x14ac:dyDescent="0.25">
      <c r="A1258" t="s">
        <v>832</v>
      </c>
      <c r="B1258" s="6">
        <f t="shared" si="214"/>
        <v>1.6653333333333333</v>
      </c>
      <c r="C1258" s="9">
        <f t="shared" si="215"/>
        <v>6.0000000000000053</v>
      </c>
      <c r="D1258" s="8" t="str">
        <f t="shared" si="216"/>
        <v>W</v>
      </c>
      <c r="E1258" s="3">
        <f t="shared" si="217"/>
        <v>31</v>
      </c>
      <c r="F1258" s="3" t="str">
        <f t="shared" si="218"/>
        <v>ack</v>
      </c>
      <c r="G1258" s="3" t="str">
        <f t="shared" si="219"/>
        <v>96</v>
      </c>
      <c r="H1258" s="3" t="str">
        <f t="shared" si="220"/>
        <v/>
      </c>
      <c r="I1258" s="3">
        <f t="shared" si="221"/>
        <v>150</v>
      </c>
      <c r="J1258" s="5" t="str">
        <f>IF(E1258=0,"Broadcast",IF(H1258="",IF(I1258="","",IF(I1258&lt;128,"Connect "&amp;I1258,INDEX(KdoCodeTab,MATCH(I1258,KdoWertTab,0)))),"ReadStat "&amp;H1258))</f>
        <v>RepSpaceCmd</v>
      </c>
      <c r="K1258" t="str">
        <f t="shared" si="211"/>
        <v/>
      </c>
      <c r="L1258" t="str">
        <f t="shared" si="212"/>
        <v>RepSpaceCmd</v>
      </c>
      <c r="M1258" t="str">
        <f t="shared" si="213"/>
        <v/>
      </c>
    </row>
    <row r="1259" spans="1:13" x14ac:dyDescent="0.25">
      <c r="A1259" t="s">
        <v>833</v>
      </c>
      <c r="B1259" s="6">
        <f t="shared" si="214"/>
        <v>1.6996666666666667</v>
      </c>
      <c r="C1259" s="9">
        <f t="shared" si="215"/>
        <v>34.333333333333329</v>
      </c>
      <c r="D1259" s="8" t="str">
        <f t="shared" si="216"/>
        <v>W</v>
      </c>
      <c r="E1259" s="3">
        <f t="shared" si="217"/>
        <v>31</v>
      </c>
      <c r="F1259" s="3" t="str">
        <f t="shared" si="218"/>
        <v>ack</v>
      </c>
      <c r="G1259" s="3" t="str">
        <f t="shared" si="219"/>
        <v>9C</v>
      </c>
      <c r="H1259" s="3" t="str">
        <f t="shared" si="220"/>
        <v/>
      </c>
      <c r="I1259" s="3">
        <f t="shared" si="221"/>
        <v>156</v>
      </c>
      <c r="J1259" s="5" t="str">
        <f>IF(E1259=0,"Broadcast",IF(H1259="",IF(I1259="","",IF(I1259&lt;128,"Connect "&amp;I1259,INDEX(KdoCodeTab,MATCH(I1259,KdoWertTab,0)))),"ReadStat "&amp;H1259))</f>
        <v>MarkCmd</v>
      </c>
      <c r="K1259" t="str">
        <f t="shared" si="211"/>
        <v/>
      </c>
      <c r="L1259" t="str">
        <f t="shared" si="212"/>
        <v>MarkCmd</v>
      </c>
      <c r="M1259" t="str">
        <f t="shared" si="213"/>
        <v/>
      </c>
    </row>
    <row r="1260" spans="1:13" x14ac:dyDescent="0.25">
      <c r="A1260" t="s">
        <v>834</v>
      </c>
      <c r="B1260" s="6">
        <f t="shared" si="214"/>
        <v>1.7056666666666667</v>
      </c>
      <c r="C1260" s="9">
        <f t="shared" si="215"/>
        <v>6.0000000000000053</v>
      </c>
      <c r="D1260" s="8" t="str">
        <f t="shared" si="216"/>
        <v>W</v>
      </c>
      <c r="E1260" s="3">
        <f t="shared" si="217"/>
        <v>31</v>
      </c>
      <c r="F1260" s="3" t="str">
        <f t="shared" si="218"/>
        <v>ack</v>
      </c>
      <c r="G1260" s="3" t="str">
        <f t="shared" si="219"/>
        <v>9A</v>
      </c>
      <c r="H1260" s="3" t="str">
        <f t="shared" si="220"/>
        <v/>
      </c>
      <c r="I1260" s="3">
        <f t="shared" si="221"/>
        <v>154</v>
      </c>
      <c r="J1260" s="5" t="str">
        <f>IF(E1260=0,"Broadcast",IF(H1260="",IF(I1260="","",IF(I1260&lt;128,"Connect "&amp;I1260,INDEX(KdoCodeTab,MATCH(I1260,KdoWertTab,0)))),"ReadStat "&amp;H1260))</f>
        <v>RepMarkCmd</v>
      </c>
      <c r="K1260" t="str">
        <f t="shared" si="211"/>
        <v/>
      </c>
      <c r="L1260" t="str">
        <f t="shared" si="212"/>
        <v>RepMarkCmd</v>
      </c>
      <c r="M1260" t="str">
        <f t="shared" si="213"/>
        <v/>
      </c>
    </row>
    <row r="1261" spans="1:13" x14ac:dyDescent="0.25">
      <c r="A1261" t="s">
        <v>835</v>
      </c>
      <c r="B1261" s="6">
        <f t="shared" si="214"/>
        <v>1.7198333333333333</v>
      </c>
      <c r="C1261" s="9">
        <f t="shared" si="215"/>
        <v>14.166666666666661</v>
      </c>
      <c r="D1261" s="8" t="str">
        <f t="shared" si="216"/>
        <v>W</v>
      </c>
      <c r="E1261" s="3">
        <f t="shared" si="217"/>
        <v>31</v>
      </c>
      <c r="F1261" s="3" t="str">
        <f t="shared" si="218"/>
        <v>ack</v>
      </c>
      <c r="G1261" s="3" t="str">
        <f t="shared" si="219"/>
        <v>93</v>
      </c>
      <c r="H1261" s="3" t="str">
        <f t="shared" si="220"/>
        <v/>
      </c>
      <c r="I1261" s="3">
        <f t="shared" si="221"/>
        <v>147</v>
      </c>
      <c r="J1261" s="5" t="str">
        <f>IF(E1261=0,"Broadcast",IF(H1261="",IF(I1261="","",IF(I1261&lt;128,"Connect "&amp;I1261,INDEX(KdoCodeTab,MATCH(I1261,KdoWertTab,0)))),"ReadStat "&amp;H1261))</f>
        <v>SpaceCmd</v>
      </c>
      <c r="K1261" t="str">
        <f t="shared" si="211"/>
        <v/>
      </c>
      <c r="L1261" t="str">
        <f t="shared" si="212"/>
        <v>SpaceCmd</v>
      </c>
      <c r="M1261" t="str">
        <f t="shared" si="213"/>
        <v/>
      </c>
    </row>
    <row r="1262" spans="1:13" x14ac:dyDescent="0.25">
      <c r="A1262" t="s">
        <v>836</v>
      </c>
      <c r="B1262" s="6">
        <f t="shared" si="214"/>
        <v>1.7258333333333333</v>
      </c>
      <c r="C1262" s="9">
        <f t="shared" si="215"/>
        <v>6.0000000000000053</v>
      </c>
      <c r="D1262" s="8" t="str">
        <f t="shared" si="216"/>
        <v>W</v>
      </c>
      <c r="E1262" s="3">
        <f t="shared" si="217"/>
        <v>31</v>
      </c>
      <c r="F1262" s="3" t="str">
        <f t="shared" si="218"/>
        <v>ack</v>
      </c>
      <c r="G1262" s="3" t="str">
        <f t="shared" si="219"/>
        <v>96</v>
      </c>
      <c r="H1262" s="3" t="str">
        <f t="shared" si="220"/>
        <v/>
      </c>
      <c r="I1262" s="3">
        <f t="shared" si="221"/>
        <v>150</v>
      </c>
      <c r="J1262" s="5" t="str">
        <f>IF(E1262=0,"Broadcast",IF(H1262="",IF(I1262="","",IF(I1262&lt;128,"Connect "&amp;I1262,INDEX(KdoCodeTab,MATCH(I1262,KdoWertTab,0)))),"ReadStat "&amp;H1262))</f>
        <v>RepSpaceCmd</v>
      </c>
      <c r="K1262" t="str">
        <f t="shared" si="211"/>
        <v/>
      </c>
      <c r="L1262" t="str">
        <f t="shared" si="212"/>
        <v>RepSpaceCmd</v>
      </c>
      <c r="M1262" t="str">
        <f t="shared" si="213"/>
        <v/>
      </c>
    </row>
    <row r="1263" spans="1:13" x14ac:dyDescent="0.25">
      <c r="A1263" t="s">
        <v>837</v>
      </c>
      <c r="B1263" s="6">
        <f t="shared" si="214"/>
        <v>1.74</v>
      </c>
      <c r="C1263" s="9">
        <f t="shared" si="215"/>
        <v>14.166666666666661</v>
      </c>
      <c r="D1263" s="8" t="str">
        <f t="shared" si="216"/>
        <v>R</v>
      </c>
      <c r="E1263" s="3">
        <f t="shared" si="217"/>
        <v>19</v>
      </c>
      <c r="F1263" s="3" t="str">
        <f t="shared" si="218"/>
        <v>ack</v>
      </c>
      <c r="G1263" s="3" t="e">
        <f t="shared" si="219"/>
        <v>#VALUE!</v>
      </c>
      <c r="H1263" s="3" t="str">
        <f t="shared" si="220"/>
        <v/>
      </c>
      <c r="I1263" s="3" t="str">
        <f t="shared" si="221"/>
        <v/>
      </c>
      <c r="J1263" s="5" t="str">
        <f>IF(E1263=0,"Broadcast",IF(H1263="",IF(I1263="","",IF(I1263&lt;128,"Connect "&amp;I1263,INDEX(KdoCodeTab,MATCH(I1263,KdoWertTab,0)))),"ReadStat "&amp;H1263))</f>
        <v/>
      </c>
      <c r="K1263" t="str">
        <f t="shared" si="211"/>
        <v/>
      </c>
      <c r="L1263" t="str">
        <f t="shared" si="212"/>
        <v/>
      </c>
      <c r="M1263" t="str">
        <f t="shared" si="213"/>
        <v/>
      </c>
    </row>
    <row r="1264" spans="1:13" x14ac:dyDescent="0.25">
      <c r="A1264" t="s">
        <v>838</v>
      </c>
      <c r="B1264" s="6">
        <f t="shared" si="214"/>
        <v>1.746</v>
      </c>
      <c r="C1264" s="9">
        <f t="shared" si="215"/>
        <v>6.0000000000000053</v>
      </c>
      <c r="D1264" s="8" t="str">
        <f t="shared" si="216"/>
        <v>W</v>
      </c>
      <c r="E1264" s="3">
        <f t="shared" si="217"/>
        <v>31</v>
      </c>
      <c r="F1264" s="3" t="str">
        <f t="shared" si="218"/>
        <v>ack</v>
      </c>
      <c r="G1264" s="3" t="str">
        <f t="shared" si="219"/>
        <v>9A</v>
      </c>
      <c r="H1264" s="3" t="str">
        <f t="shared" si="220"/>
        <v/>
      </c>
      <c r="I1264" s="3">
        <f t="shared" si="221"/>
        <v>154</v>
      </c>
      <c r="J1264" s="5" t="str">
        <f>IF(E1264=0,"Broadcast",IF(H1264="",IF(I1264="","",IF(I1264&lt;128,"Connect "&amp;I1264,INDEX(KdoCodeTab,MATCH(I1264,KdoWertTab,0)))),"ReadStat "&amp;H1264))</f>
        <v>RepMarkCmd</v>
      </c>
      <c r="K1264" t="str">
        <f t="shared" si="211"/>
        <v/>
      </c>
      <c r="L1264" t="str">
        <f t="shared" si="212"/>
        <v>RepMarkCmd</v>
      </c>
      <c r="M1264" t="str">
        <f t="shared" si="213"/>
        <v/>
      </c>
    </row>
    <row r="1265" spans="1:13" x14ac:dyDescent="0.25">
      <c r="A1265" t="s">
        <v>839</v>
      </c>
      <c r="B1265" s="6">
        <f t="shared" si="214"/>
        <v>1.7601666666666667</v>
      </c>
      <c r="C1265" s="9">
        <f t="shared" si="215"/>
        <v>14.166666666666661</v>
      </c>
      <c r="D1265" s="8" t="str">
        <f t="shared" si="216"/>
        <v>W</v>
      </c>
      <c r="E1265" s="3">
        <f t="shared" si="217"/>
        <v>31</v>
      </c>
      <c r="F1265" s="3" t="str">
        <f t="shared" si="218"/>
        <v>ack</v>
      </c>
      <c r="G1265" s="3" t="str">
        <f t="shared" si="219"/>
        <v>93</v>
      </c>
      <c r="H1265" s="3" t="str">
        <f t="shared" si="220"/>
        <v/>
      </c>
      <c r="I1265" s="3">
        <f t="shared" si="221"/>
        <v>147</v>
      </c>
      <c r="J1265" s="5" t="str">
        <f>IF(E1265=0,"Broadcast",IF(H1265="",IF(I1265="","",IF(I1265&lt;128,"Connect "&amp;I1265,INDEX(KdoCodeTab,MATCH(I1265,KdoWertTab,0)))),"ReadStat "&amp;H1265))</f>
        <v>SpaceCmd</v>
      </c>
      <c r="K1265" t="str">
        <f t="shared" si="211"/>
        <v/>
      </c>
      <c r="L1265" t="str">
        <f t="shared" si="212"/>
        <v>SpaceCmd</v>
      </c>
      <c r="M1265" t="str">
        <f t="shared" si="213"/>
        <v/>
      </c>
    </row>
    <row r="1266" spans="1:13" x14ac:dyDescent="0.25">
      <c r="A1266" t="s">
        <v>840</v>
      </c>
      <c r="B1266" s="6">
        <f t="shared" si="214"/>
        <v>1.7661666666666667</v>
      </c>
      <c r="C1266" s="9">
        <f t="shared" si="215"/>
        <v>6.0000000000000053</v>
      </c>
      <c r="D1266" s="8" t="str">
        <f t="shared" si="216"/>
        <v>W</v>
      </c>
      <c r="E1266" s="3">
        <f t="shared" si="217"/>
        <v>31</v>
      </c>
      <c r="F1266" s="3" t="str">
        <f t="shared" si="218"/>
        <v>ack</v>
      </c>
      <c r="G1266" s="3" t="str">
        <f t="shared" si="219"/>
        <v>96</v>
      </c>
      <c r="H1266" s="3" t="str">
        <f t="shared" si="220"/>
        <v/>
      </c>
      <c r="I1266" s="3">
        <f t="shared" si="221"/>
        <v>150</v>
      </c>
      <c r="J1266" s="5" t="str">
        <f>IF(E1266=0,"Broadcast",IF(H1266="",IF(I1266="","",IF(I1266&lt;128,"Connect "&amp;I1266,INDEX(KdoCodeTab,MATCH(I1266,KdoWertTab,0)))),"ReadStat "&amp;H1266))</f>
        <v>RepSpaceCmd</v>
      </c>
      <c r="K1266" t="str">
        <f t="shared" si="211"/>
        <v/>
      </c>
      <c r="L1266" t="str">
        <f t="shared" si="212"/>
        <v>RepSpaceCmd</v>
      </c>
      <c r="M1266" t="str">
        <f t="shared" si="213"/>
        <v/>
      </c>
    </row>
    <row r="1267" spans="1:13" x14ac:dyDescent="0.25">
      <c r="A1267" t="s">
        <v>841</v>
      </c>
      <c r="B1267" s="6">
        <f t="shared" si="214"/>
        <v>1.7793333333333332</v>
      </c>
      <c r="C1267" s="9">
        <f t="shared" si="215"/>
        <v>13.166666666666549</v>
      </c>
      <c r="D1267" s="8" t="str">
        <f t="shared" si="216"/>
        <v>W</v>
      </c>
      <c r="E1267" s="3">
        <f t="shared" si="217"/>
        <v>101</v>
      </c>
      <c r="F1267" s="3" t="str">
        <f t="shared" si="218"/>
        <v>ack</v>
      </c>
      <c r="G1267" s="3" t="str">
        <f t="shared" si="219"/>
        <v>A9</v>
      </c>
      <c r="H1267" s="3" t="str">
        <f t="shared" si="220"/>
        <v/>
      </c>
      <c r="I1267" s="3">
        <f t="shared" si="221"/>
        <v>169</v>
      </c>
      <c r="J1267" s="5" t="str">
        <f>IF(E1267=0,"Broadcast",IF(H1267="",IF(I1267="","",IF(I1267&lt;128,"Connect "&amp;I1267,INDEX(KdoCodeTab,MATCH(I1267,KdoWertTab,0)))),"ReadStat "&amp;H1267))</f>
        <v>Heartbeat</v>
      </c>
      <c r="K1267" t="str">
        <f t="shared" si="211"/>
        <v/>
      </c>
      <c r="L1267" t="str">
        <f t="shared" si="212"/>
        <v/>
      </c>
      <c r="M1267" t="str">
        <f t="shared" si="213"/>
        <v>Heartbeat</v>
      </c>
    </row>
    <row r="1268" spans="1:13" x14ac:dyDescent="0.25">
      <c r="A1268" t="s">
        <v>842</v>
      </c>
      <c r="B1268" s="6">
        <f t="shared" si="214"/>
        <v>1.7801666666666667</v>
      </c>
      <c r="C1268" s="9">
        <f t="shared" si="215"/>
        <v>0.8333333333334636</v>
      </c>
      <c r="D1268" s="8" t="str">
        <f t="shared" si="216"/>
        <v>W</v>
      </c>
      <c r="E1268" s="3">
        <f t="shared" si="217"/>
        <v>31</v>
      </c>
      <c r="F1268" s="3" t="str">
        <f t="shared" si="218"/>
        <v>ack</v>
      </c>
      <c r="G1268" s="3" t="str">
        <f t="shared" si="219"/>
        <v>9C</v>
      </c>
      <c r="H1268" s="3" t="str">
        <f t="shared" si="220"/>
        <v/>
      </c>
      <c r="I1268" s="3">
        <f t="shared" si="221"/>
        <v>156</v>
      </c>
      <c r="J1268" s="5" t="str">
        <f>IF(E1268=0,"Broadcast",IF(H1268="",IF(I1268="","",IF(I1268&lt;128,"Connect "&amp;I1268,INDEX(KdoCodeTab,MATCH(I1268,KdoWertTab,0)))),"ReadStat "&amp;H1268))</f>
        <v>MarkCmd</v>
      </c>
      <c r="K1268" t="str">
        <f t="shared" si="211"/>
        <v/>
      </c>
      <c r="L1268" t="str">
        <f t="shared" si="212"/>
        <v>MarkCmd</v>
      </c>
      <c r="M1268" t="str">
        <f t="shared" si="213"/>
        <v/>
      </c>
    </row>
    <row r="1269" spans="1:13" x14ac:dyDescent="0.25">
      <c r="A1269" t="s">
        <v>843</v>
      </c>
      <c r="B1269" s="6">
        <f t="shared" si="214"/>
        <v>1.7863333333333333</v>
      </c>
      <c r="C1269" s="9">
        <f t="shared" si="215"/>
        <v>6.1666666666666536</v>
      </c>
      <c r="D1269" s="8" t="str">
        <f t="shared" si="216"/>
        <v>W</v>
      </c>
      <c r="E1269" s="3">
        <f t="shared" si="217"/>
        <v>31</v>
      </c>
      <c r="F1269" s="3" t="str">
        <f t="shared" si="218"/>
        <v>ack</v>
      </c>
      <c r="G1269" s="3" t="str">
        <f t="shared" si="219"/>
        <v>9A</v>
      </c>
      <c r="H1269" s="3" t="str">
        <f t="shared" si="220"/>
        <v/>
      </c>
      <c r="I1269" s="3">
        <f t="shared" si="221"/>
        <v>154</v>
      </c>
      <c r="J1269" s="5" t="str">
        <f>IF(E1269=0,"Broadcast",IF(H1269="",IF(I1269="","",IF(I1269&lt;128,"Connect "&amp;I1269,INDEX(KdoCodeTab,MATCH(I1269,KdoWertTab,0)))),"ReadStat "&amp;H1269))</f>
        <v>RepMarkCmd</v>
      </c>
      <c r="K1269" t="str">
        <f t="shared" si="211"/>
        <v/>
      </c>
      <c r="L1269" t="str">
        <f t="shared" si="212"/>
        <v>RepMarkCmd</v>
      </c>
      <c r="M1269" t="str">
        <f t="shared" si="213"/>
        <v/>
      </c>
    </row>
    <row r="1270" spans="1:13" x14ac:dyDescent="0.25">
      <c r="A1270" t="s">
        <v>844</v>
      </c>
      <c r="B1270" s="6">
        <f t="shared" si="214"/>
        <v>1.8286666666666667</v>
      </c>
      <c r="C1270" s="9">
        <f t="shared" si="215"/>
        <v>42.333333333333336</v>
      </c>
      <c r="D1270" s="8" t="str">
        <f t="shared" si="216"/>
        <v>W</v>
      </c>
      <c r="E1270" s="3">
        <f t="shared" si="217"/>
        <v>31</v>
      </c>
      <c r="F1270" s="3" t="str">
        <f t="shared" si="218"/>
        <v>ack</v>
      </c>
      <c r="G1270" s="3" t="str">
        <f t="shared" si="219"/>
        <v>93</v>
      </c>
      <c r="H1270" s="3" t="str">
        <f t="shared" si="220"/>
        <v/>
      </c>
      <c r="I1270" s="3">
        <f t="shared" si="221"/>
        <v>147</v>
      </c>
      <c r="J1270" s="5" t="str">
        <f>IF(E1270=0,"Broadcast",IF(H1270="",IF(I1270="","",IF(I1270&lt;128,"Connect "&amp;I1270,INDEX(KdoCodeTab,MATCH(I1270,KdoWertTab,0)))),"ReadStat "&amp;H1270))</f>
        <v>SpaceCmd</v>
      </c>
      <c r="K1270" t="str">
        <f t="shared" si="211"/>
        <v/>
      </c>
      <c r="L1270" t="str">
        <f t="shared" si="212"/>
        <v>SpaceCmd</v>
      </c>
      <c r="M1270" t="str">
        <f t="shared" si="213"/>
        <v/>
      </c>
    </row>
    <row r="1271" spans="1:13" x14ac:dyDescent="0.25">
      <c r="A1271" t="s">
        <v>845</v>
      </c>
      <c r="B1271" s="6">
        <f t="shared" si="214"/>
        <v>1.8346666666666667</v>
      </c>
      <c r="C1271" s="9">
        <f t="shared" si="215"/>
        <v>6.0000000000000053</v>
      </c>
      <c r="D1271" s="8" t="str">
        <f t="shared" si="216"/>
        <v>W</v>
      </c>
      <c r="E1271" s="3">
        <f t="shared" si="217"/>
        <v>31</v>
      </c>
      <c r="F1271" s="3" t="str">
        <f t="shared" si="218"/>
        <v>ack</v>
      </c>
      <c r="G1271" s="3" t="str">
        <f t="shared" si="219"/>
        <v>96</v>
      </c>
      <c r="H1271" s="3" t="str">
        <f t="shared" si="220"/>
        <v/>
      </c>
      <c r="I1271" s="3">
        <f t="shared" si="221"/>
        <v>150</v>
      </c>
      <c r="J1271" s="5" t="str">
        <f>IF(E1271=0,"Broadcast",IF(H1271="",IF(I1271="","",IF(I1271&lt;128,"Connect "&amp;I1271,INDEX(KdoCodeTab,MATCH(I1271,KdoWertTab,0)))),"ReadStat "&amp;H1271))</f>
        <v>RepSpaceCmd</v>
      </c>
      <c r="K1271" t="str">
        <f t="shared" si="211"/>
        <v/>
      </c>
      <c r="L1271" t="str">
        <f t="shared" si="212"/>
        <v>RepSpaceCmd</v>
      </c>
      <c r="M1271" t="str">
        <f t="shared" si="213"/>
        <v/>
      </c>
    </row>
    <row r="1272" spans="1:13" x14ac:dyDescent="0.25">
      <c r="A1272" t="s">
        <v>846</v>
      </c>
      <c r="B1272" s="6">
        <f t="shared" si="214"/>
        <v>1.8488333333333333</v>
      </c>
      <c r="C1272" s="9">
        <f t="shared" si="215"/>
        <v>14.166666666666661</v>
      </c>
      <c r="D1272" s="8" t="str">
        <f t="shared" si="216"/>
        <v>W</v>
      </c>
      <c r="E1272" s="3">
        <f t="shared" si="217"/>
        <v>31</v>
      </c>
      <c r="F1272" s="3" t="str">
        <f t="shared" si="218"/>
        <v>ack</v>
      </c>
      <c r="G1272" s="3" t="str">
        <f t="shared" si="219"/>
        <v>9C</v>
      </c>
      <c r="H1272" s="3" t="str">
        <f t="shared" si="220"/>
        <v/>
      </c>
      <c r="I1272" s="3">
        <f t="shared" si="221"/>
        <v>156</v>
      </c>
      <c r="J1272" s="5" t="str">
        <f>IF(E1272=0,"Broadcast",IF(H1272="",IF(I1272="","",IF(I1272&lt;128,"Connect "&amp;I1272,INDEX(KdoCodeTab,MATCH(I1272,KdoWertTab,0)))),"ReadStat "&amp;H1272))</f>
        <v>MarkCmd</v>
      </c>
      <c r="K1272" t="str">
        <f t="shared" si="211"/>
        <v/>
      </c>
      <c r="L1272" t="str">
        <f t="shared" si="212"/>
        <v>MarkCmd</v>
      </c>
      <c r="M1272" t="str">
        <f t="shared" si="213"/>
        <v/>
      </c>
    </row>
    <row r="1273" spans="1:13" x14ac:dyDescent="0.25">
      <c r="A1273" t="s">
        <v>847</v>
      </c>
      <c r="B1273" s="6">
        <f t="shared" si="214"/>
        <v>1.8548333333333333</v>
      </c>
      <c r="C1273" s="9">
        <f t="shared" si="215"/>
        <v>6.0000000000000053</v>
      </c>
      <c r="D1273" s="8" t="str">
        <f t="shared" si="216"/>
        <v>W</v>
      </c>
      <c r="E1273" s="3">
        <f t="shared" si="217"/>
        <v>31</v>
      </c>
      <c r="F1273" s="3" t="str">
        <f t="shared" si="218"/>
        <v>ack</v>
      </c>
      <c r="G1273" s="3" t="str">
        <f t="shared" si="219"/>
        <v>9A</v>
      </c>
      <c r="H1273" s="3" t="str">
        <f t="shared" si="220"/>
        <v/>
      </c>
      <c r="I1273" s="3">
        <f t="shared" si="221"/>
        <v>154</v>
      </c>
      <c r="J1273" s="5" t="str">
        <f>IF(E1273=0,"Broadcast",IF(H1273="",IF(I1273="","",IF(I1273&lt;128,"Connect "&amp;I1273,INDEX(KdoCodeTab,MATCH(I1273,KdoWertTab,0)))),"ReadStat "&amp;H1273))</f>
        <v>RepMarkCmd</v>
      </c>
      <c r="K1273" t="str">
        <f t="shared" si="211"/>
        <v/>
      </c>
      <c r="L1273" t="str">
        <f t="shared" si="212"/>
        <v>RepMarkCmd</v>
      </c>
      <c r="M1273" t="str">
        <f t="shared" si="213"/>
        <v/>
      </c>
    </row>
    <row r="1274" spans="1:13" x14ac:dyDescent="0.25">
      <c r="A1274" t="s">
        <v>848</v>
      </c>
      <c r="B1274" s="6">
        <f t="shared" si="214"/>
        <v>1.869</v>
      </c>
      <c r="C1274" s="9">
        <f t="shared" si="215"/>
        <v>14.166666666666661</v>
      </c>
      <c r="D1274" s="8" t="str">
        <f t="shared" si="216"/>
        <v>W</v>
      </c>
      <c r="E1274" s="3">
        <f t="shared" si="217"/>
        <v>31</v>
      </c>
      <c r="F1274" s="3" t="str">
        <f t="shared" si="218"/>
        <v>ack</v>
      </c>
      <c r="G1274" s="3" t="str">
        <f t="shared" si="219"/>
        <v>93</v>
      </c>
      <c r="H1274" s="3" t="str">
        <f t="shared" si="220"/>
        <v/>
      </c>
      <c r="I1274" s="3">
        <f t="shared" si="221"/>
        <v>147</v>
      </c>
      <c r="J1274" s="5" t="str">
        <f>IF(E1274=0,"Broadcast",IF(H1274="",IF(I1274="","",IF(I1274&lt;128,"Connect "&amp;I1274,INDEX(KdoCodeTab,MATCH(I1274,KdoWertTab,0)))),"ReadStat "&amp;H1274))</f>
        <v>SpaceCmd</v>
      </c>
      <c r="K1274" t="str">
        <f t="shared" si="211"/>
        <v/>
      </c>
      <c r="L1274" t="str">
        <f t="shared" si="212"/>
        <v>SpaceCmd</v>
      </c>
      <c r="M1274" t="str">
        <f t="shared" si="213"/>
        <v/>
      </c>
    </row>
    <row r="1275" spans="1:13" x14ac:dyDescent="0.25">
      <c r="A1275" t="s">
        <v>849</v>
      </c>
      <c r="B1275" s="6">
        <f t="shared" si="214"/>
        <v>1.875</v>
      </c>
      <c r="C1275" s="9">
        <f t="shared" si="215"/>
        <v>6.0000000000000053</v>
      </c>
      <c r="D1275" s="8" t="str">
        <f t="shared" si="216"/>
        <v>W</v>
      </c>
      <c r="E1275" s="3">
        <f t="shared" si="217"/>
        <v>31</v>
      </c>
      <c r="F1275" s="3" t="str">
        <f t="shared" si="218"/>
        <v>ack</v>
      </c>
      <c r="G1275" s="3" t="str">
        <f t="shared" si="219"/>
        <v>96</v>
      </c>
      <c r="H1275" s="3" t="str">
        <f t="shared" si="220"/>
        <v/>
      </c>
      <c r="I1275" s="3">
        <f t="shared" si="221"/>
        <v>150</v>
      </c>
      <c r="J1275" s="5" t="str">
        <f>IF(E1275=0,"Broadcast",IF(H1275="",IF(I1275="","",IF(I1275&lt;128,"Connect "&amp;I1275,INDEX(KdoCodeTab,MATCH(I1275,KdoWertTab,0)))),"ReadStat "&amp;H1275))</f>
        <v>RepSpaceCmd</v>
      </c>
      <c r="K1275" t="str">
        <f t="shared" ref="K1275:K1338" si="222">IF(E1275=$K$2,J1275,"")</f>
        <v/>
      </c>
      <c r="L1275" t="str">
        <f t="shared" ref="L1275:L1338" si="223">IF(E1275=$L$2,J1275,"")</f>
        <v>RepSpaceCmd</v>
      </c>
      <c r="M1275" t="str">
        <f t="shared" ref="M1275:M1338" si="224">IF(K1275&amp;L1275="",J1275,"")</f>
        <v/>
      </c>
    </row>
    <row r="1276" spans="1:13" x14ac:dyDescent="0.25">
      <c r="A1276" t="s">
        <v>850</v>
      </c>
      <c r="B1276" s="6">
        <f t="shared" si="214"/>
        <v>1.9496666666666667</v>
      </c>
      <c r="C1276" s="9">
        <f t="shared" si="215"/>
        <v>74.666666666666657</v>
      </c>
      <c r="D1276" s="8" t="str">
        <f t="shared" si="216"/>
        <v>W</v>
      </c>
      <c r="E1276" s="3">
        <f t="shared" si="217"/>
        <v>31</v>
      </c>
      <c r="F1276" s="3" t="str">
        <f t="shared" si="218"/>
        <v>ack</v>
      </c>
      <c r="G1276" s="3" t="str">
        <f t="shared" si="219"/>
        <v>9C</v>
      </c>
      <c r="H1276" s="3" t="str">
        <f t="shared" si="220"/>
        <v/>
      </c>
      <c r="I1276" s="3">
        <f t="shared" si="221"/>
        <v>156</v>
      </c>
      <c r="J1276" s="5" t="str">
        <f>IF(E1276=0,"Broadcast",IF(H1276="",IF(I1276="","",IF(I1276&lt;128,"Connect "&amp;I1276,INDEX(KdoCodeTab,MATCH(I1276,KdoWertTab,0)))),"ReadStat "&amp;H1276))</f>
        <v>MarkCmd</v>
      </c>
      <c r="K1276" t="str">
        <f t="shared" si="222"/>
        <v/>
      </c>
      <c r="L1276" t="str">
        <f t="shared" si="223"/>
        <v>MarkCmd</v>
      </c>
      <c r="M1276" t="str">
        <f t="shared" si="224"/>
        <v/>
      </c>
    </row>
    <row r="1277" spans="1:13" x14ac:dyDescent="0.25">
      <c r="A1277" t="s">
        <v>851</v>
      </c>
      <c r="B1277" s="6">
        <f t="shared" si="214"/>
        <v>1.9556666666666667</v>
      </c>
      <c r="C1277" s="9">
        <f t="shared" si="215"/>
        <v>6.0000000000000053</v>
      </c>
      <c r="D1277" s="8" t="str">
        <f t="shared" si="216"/>
        <v>W</v>
      </c>
      <c r="E1277" s="3">
        <f t="shared" si="217"/>
        <v>31</v>
      </c>
      <c r="F1277" s="3" t="str">
        <f t="shared" si="218"/>
        <v>ack</v>
      </c>
      <c r="G1277" s="3" t="str">
        <f t="shared" si="219"/>
        <v>9A</v>
      </c>
      <c r="H1277" s="3" t="str">
        <f t="shared" si="220"/>
        <v/>
      </c>
      <c r="I1277" s="3">
        <f t="shared" si="221"/>
        <v>154</v>
      </c>
      <c r="J1277" s="5" t="str">
        <f>IF(E1277=0,"Broadcast",IF(H1277="",IF(I1277="","",IF(I1277&lt;128,"Connect "&amp;I1277,INDEX(KdoCodeTab,MATCH(I1277,KdoWertTab,0)))),"ReadStat "&amp;H1277))</f>
        <v>RepMarkCmd</v>
      </c>
      <c r="K1277" t="str">
        <f t="shared" si="222"/>
        <v/>
      </c>
      <c r="L1277" t="str">
        <f t="shared" si="223"/>
        <v>RepMarkCmd</v>
      </c>
      <c r="M1277" t="str">
        <f t="shared" si="224"/>
        <v/>
      </c>
    </row>
    <row r="1278" spans="1:13" x14ac:dyDescent="0.25">
      <c r="A1278" t="s">
        <v>852</v>
      </c>
      <c r="B1278" s="6">
        <f t="shared" si="214"/>
        <v>2</v>
      </c>
      <c r="C1278" s="9">
        <f t="shared" si="215"/>
        <v>44.333333333333336</v>
      </c>
      <c r="D1278" s="8" t="str">
        <f t="shared" si="216"/>
        <v>W</v>
      </c>
      <c r="E1278" s="3">
        <f t="shared" si="217"/>
        <v>31</v>
      </c>
      <c r="F1278" s="3" t="str">
        <f t="shared" si="218"/>
        <v>ack</v>
      </c>
      <c r="G1278" s="3" t="str">
        <f t="shared" si="219"/>
        <v>93</v>
      </c>
      <c r="H1278" s="3" t="str">
        <f t="shared" si="220"/>
        <v/>
      </c>
      <c r="I1278" s="3">
        <f t="shared" si="221"/>
        <v>147</v>
      </c>
      <c r="J1278" s="5" t="str">
        <f>IF(E1278=0,"Broadcast",IF(H1278="",IF(I1278="","",IF(I1278&lt;128,"Connect "&amp;I1278,INDEX(KdoCodeTab,MATCH(I1278,KdoWertTab,0)))),"ReadStat "&amp;H1278))</f>
        <v>SpaceCmd</v>
      </c>
      <c r="K1278" t="str">
        <f t="shared" si="222"/>
        <v/>
      </c>
      <c r="L1278" t="str">
        <f t="shared" si="223"/>
        <v>SpaceCmd</v>
      </c>
      <c r="M1278" t="str">
        <f t="shared" si="224"/>
        <v/>
      </c>
    </row>
    <row r="1279" spans="1:13" x14ac:dyDescent="0.25">
      <c r="A1279" t="s">
        <v>853</v>
      </c>
      <c r="B1279" s="6">
        <f t="shared" si="214"/>
        <v>2.0059999999999998</v>
      </c>
      <c r="C1279" s="9">
        <f t="shared" si="215"/>
        <v>5.9999999999997833</v>
      </c>
      <c r="D1279" s="8" t="str">
        <f t="shared" si="216"/>
        <v>W</v>
      </c>
      <c r="E1279" s="3">
        <f t="shared" si="217"/>
        <v>31</v>
      </c>
      <c r="F1279" s="3" t="str">
        <f t="shared" si="218"/>
        <v>ack</v>
      </c>
      <c r="G1279" s="3" t="str">
        <f t="shared" si="219"/>
        <v>96</v>
      </c>
      <c r="H1279" s="3" t="str">
        <f t="shared" si="220"/>
        <v/>
      </c>
      <c r="I1279" s="3">
        <f t="shared" si="221"/>
        <v>150</v>
      </c>
      <c r="J1279" s="5" t="str">
        <f>IF(E1279=0,"Broadcast",IF(H1279="",IF(I1279="","",IF(I1279&lt;128,"Connect "&amp;I1279,INDEX(KdoCodeTab,MATCH(I1279,KdoWertTab,0)))),"ReadStat "&amp;H1279))</f>
        <v>RepSpaceCmd</v>
      </c>
      <c r="K1279" t="str">
        <f t="shared" si="222"/>
        <v/>
      </c>
      <c r="L1279" t="str">
        <f t="shared" si="223"/>
        <v>RepSpaceCmd</v>
      </c>
      <c r="M1279" t="str">
        <f t="shared" si="224"/>
        <v/>
      </c>
    </row>
    <row r="1280" spans="1:13" x14ac:dyDescent="0.25">
      <c r="A1280" t="s">
        <v>854</v>
      </c>
      <c r="B1280" s="6">
        <f t="shared" si="214"/>
        <v>2.0201666666666669</v>
      </c>
      <c r="C1280" s="9">
        <f t="shared" si="215"/>
        <v>14.166666666667105</v>
      </c>
      <c r="D1280" s="8" t="str">
        <f t="shared" si="216"/>
        <v>R</v>
      </c>
      <c r="E1280" s="3">
        <f t="shared" si="217"/>
        <v>19</v>
      </c>
      <c r="F1280" s="3" t="str">
        <f t="shared" si="218"/>
        <v>ack</v>
      </c>
      <c r="G1280" s="3" t="e">
        <f t="shared" si="219"/>
        <v>#VALUE!</v>
      </c>
      <c r="H1280" s="3" t="str">
        <f t="shared" si="220"/>
        <v/>
      </c>
      <c r="I1280" s="3" t="str">
        <f t="shared" si="221"/>
        <v/>
      </c>
      <c r="J1280" s="5" t="str">
        <f>IF(E1280=0,"Broadcast",IF(H1280="",IF(I1280="","",IF(I1280&lt;128,"Connect "&amp;I1280,INDEX(KdoCodeTab,MATCH(I1280,KdoWertTab,0)))),"ReadStat "&amp;H1280))</f>
        <v/>
      </c>
      <c r="K1280" t="str">
        <f t="shared" si="222"/>
        <v/>
      </c>
      <c r="L1280" t="str">
        <f t="shared" si="223"/>
        <v/>
      </c>
      <c r="M1280" t="str">
        <f t="shared" si="224"/>
        <v/>
      </c>
    </row>
    <row r="1281" spans="1:13" x14ac:dyDescent="0.25">
      <c r="A1281" t="s">
        <v>855</v>
      </c>
      <c r="B1281" s="6">
        <f t="shared" si="214"/>
        <v>2.0261666666666667</v>
      </c>
      <c r="C1281" s="9">
        <f t="shared" si="215"/>
        <v>5.9999999999997833</v>
      </c>
      <c r="D1281" s="8" t="str">
        <f t="shared" si="216"/>
        <v>W</v>
      </c>
      <c r="E1281" s="3">
        <f t="shared" si="217"/>
        <v>31</v>
      </c>
      <c r="F1281" s="3" t="str">
        <f t="shared" si="218"/>
        <v>ack</v>
      </c>
      <c r="G1281" s="3" t="str">
        <f t="shared" si="219"/>
        <v>9A</v>
      </c>
      <c r="H1281" s="3" t="str">
        <f t="shared" si="220"/>
        <v/>
      </c>
      <c r="I1281" s="3">
        <f t="shared" si="221"/>
        <v>154</v>
      </c>
      <c r="J1281" s="5" t="str">
        <f>IF(E1281=0,"Broadcast",IF(H1281="",IF(I1281="","",IF(I1281&lt;128,"Connect "&amp;I1281,INDEX(KdoCodeTab,MATCH(I1281,KdoWertTab,0)))),"ReadStat "&amp;H1281))</f>
        <v>RepMarkCmd</v>
      </c>
      <c r="K1281" t="str">
        <f t="shared" si="222"/>
        <v/>
      </c>
      <c r="L1281" t="str">
        <f t="shared" si="223"/>
        <v>RepMarkCmd</v>
      </c>
      <c r="M1281" t="str">
        <f t="shared" si="224"/>
        <v/>
      </c>
    </row>
    <row r="1282" spans="1:13" x14ac:dyDescent="0.25">
      <c r="A1282" t="s">
        <v>856</v>
      </c>
      <c r="B1282" s="6">
        <f t="shared" si="214"/>
        <v>2.0806666666666667</v>
      </c>
      <c r="C1282" s="9">
        <f t="shared" si="215"/>
        <v>54.499999999999993</v>
      </c>
      <c r="D1282" s="8" t="str">
        <f t="shared" si="216"/>
        <v>W</v>
      </c>
      <c r="E1282" s="3">
        <f t="shared" si="217"/>
        <v>18</v>
      </c>
      <c r="F1282" s="3" t="str">
        <f t="shared" si="218"/>
        <v>NACK</v>
      </c>
      <c r="G1282" s="3" t="str">
        <f t="shared" si="219"/>
        <v/>
      </c>
      <c r="H1282" s="3" t="str">
        <f t="shared" si="220"/>
        <v/>
      </c>
      <c r="I1282" s="3" t="str">
        <f t="shared" si="221"/>
        <v/>
      </c>
      <c r="J1282" s="5" t="str">
        <f>IF(E1282=0,"Broadcast",IF(H1282="",IF(I1282="","",IF(I1282&lt;128,"Connect "&amp;I1282,INDEX(KdoCodeTab,MATCH(I1282,KdoWertTab,0)))),"ReadStat "&amp;H1282))</f>
        <v/>
      </c>
      <c r="K1282" t="str">
        <f t="shared" si="222"/>
        <v/>
      </c>
      <c r="L1282" t="str">
        <f t="shared" si="223"/>
        <v/>
      </c>
      <c r="M1282" t="str">
        <f t="shared" si="224"/>
        <v/>
      </c>
    </row>
    <row r="1283" spans="1:13" x14ac:dyDescent="0.25">
      <c r="A1283" t="s">
        <v>857</v>
      </c>
      <c r="B1283" s="6">
        <f t="shared" si="214"/>
        <v>2.0866666666666664</v>
      </c>
      <c r="C1283" s="9">
        <f t="shared" si="215"/>
        <v>5.9999999999997833</v>
      </c>
      <c r="D1283" s="8" t="str">
        <f t="shared" si="216"/>
        <v>W</v>
      </c>
      <c r="E1283" s="3">
        <f t="shared" si="217"/>
        <v>31</v>
      </c>
      <c r="F1283" s="3" t="str">
        <f t="shared" si="218"/>
        <v>ack</v>
      </c>
      <c r="G1283" s="3" t="str">
        <f t="shared" si="219"/>
        <v>96</v>
      </c>
      <c r="H1283" s="3" t="str">
        <f t="shared" si="220"/>
        <v/>
      </c>
      <c r="I1283" s="3">
        <f t="shared" si="221"/>
        <v>150</v>
      </c>
      <c r="J1283" s="5" t="str">
        <f>IF(E1283=0,"Broadcast",IF(H1283="",IF(I1283="","",IF(I1283&lt;128,"Connect "&amp;I1283,INDEX(KdoCodeTab,MATCH(I1283,KdoWertTab,0)))),"ReadStat "&amp;H1283))</f>
        <v>RepSpaceCmd</v>
      </c>
      <c r="K1283" t="str">
        <f t="shared" si="222"/>
        <v/>
      </c>
      <c r="L1283" t="str">
        <f t="shared" si="223"/>
        <v>RepSpaceCmd</v>
      </c>
      <c r="M1283" t="str">
        <f t="shared" si="224"/>
        <v/>
      </c>
    </row>
    <row r="1284" spans="1:13" x14ac:dyDescent="0.25">
      <c r="A1284" t="s">
        <v>858</v>
      </c>
      <c r="B1284" s="6">
        <f t="shared" si="214"/>
        <v>2.121</v>
      </c>
      <c r="C1284" s="9">
        <f t="shared" si="215"/>
        <v>34.333333333333549</v>
      </c>
      <c r="D1284" s="8" t="str">
        <f t="shared" si="216"/>
        <v>W</v>
      </c>
      <c r="E1284" s="3">
        <f t="shared" si="217"/>
        <v>31</v>
      </c>
      <c r="F1284" s="3" t="str">
        <f t="shared" si="218"/>
        <v>ack</v>
      </c>
      <c r="G1284" s="3" t="str">
        <f t="shared" si="219"/>
        <v>9C</v>
      </c>
      <c r="H1284" s="3" t="str">
        <f t="shared" si="220"/>
        <v/>
      </c>
      <c r="I1284" s="3">
        <f t="shared" si="221"/>
        <v>156</v>
      </c>
      <c r="J1284" s="5" t="str">
        <f>IF(E1284=0,"Broadcast",IF(H1284="",IF(I1284="","",IF(I1284&lt;128,"Connect "&amp;I1284,INDEX(KdoCodeTab,MATCH(I1284,KdoWertTab,0)))),"ReadStat "&amp;H1284))</f>
        <v>MarkCmd</v>
      </c>
      <c r="K1284" t="str">
        <f t="shared" si="222"/>
        <v/>
      </c>
      <c r="L1284" t="str">
        <f t="shared" si="223"/>
        <v>MarkCmd</v>
      </c>
      <c r="M1284" t="str">
        <f t="shared" si="224"/>
        <v/>
      </c>
    </row>
    <row r="1285" spans="1:13" x14ac:dyDescent="0.25">
      <c r="A1285" t="s">
        <v>859</v>
      </c>
      <c r="B1285" s="6">
        <f t="shared" ref="B1285:B1348" si="225">MID(A1285,1,5)/1000+(CODE(MID(A1285,6,1))-CODE("a"))/6000</f>
        <v>2.1269999999999998</v>
      </c>
      <c r="C1285" s="9">
        <f t="shared" ref="C1285:C1348" si="226">(B1285-B1284+IF(B1285&gt;B1284,0,11))*1000</f>
        <v>5.9999999999997833</v>
      </c>
      <c r="D1285" s="8" t="str">
        <f t="shared" ref="D1285:D1348" si="227">IF(MID(A1285,10,1)="&lt;","R",IF(MID(A1285,10,1)="&gt;","W","?"))</f>
        <v>W</v>
      </c>
      <c r="E1285" s="3">
        <f t="shared" ref="E1285:E1348" si="228">INT(HEX2DEC(MID(A1285,8,2))/2)</f>
        <v>31</v>
      </c>
      <c r="F1285" s="3" t="str">
        <f t="shared" ref="F1285:F1348" si="229">IF(MID(A1285,11,1)="+","ack","NACK")</f>
        <v>ack</v>
      </c>
      <c r="G1285" s="3" t="str">
        <f t="shared" ref="G1285:G1348" si="230">IF(F1285="ack",SUBSTITUTE(MID(A1285,12,LEN(A1285)-12),"+","  "),"")</f>
        <v>9A</v>
      </c>
      <c r="H1285" s="3" t="str">
        <f t="shared" ref="H1285:H1348" si="231">IF(MID(A1285,10,2)="&lt;+",MID(A1285,12,2),"")</f>
        <v/>
      </c>
      <c r="I1285" s="3">
        <f t="shared" ref="I1285:I1348" si="232">IF(MID(A1285,10,2)="&gt;+",HEX2DEC(MID(A1285,12,2)),"")</f>
        <v>154</v>
      </c>
      <c r="J1285" s="5" t="str">
        <f>IF(E1285=0,"Broadcast",IF(H1285="",IF(I1285="","",IF(I1285&lt;128,"Connect "&amp;I1285,INDEX(KdoCodeTab,MATCH(I1285,KdoWertTab,0)))),"ReadStat "&amp;H1285))</f>
        <v>RepMarkCmd</v>
      </c>
      <c r="K1285" t="str">
        <f t="shared" si="222"/>
        <v/>
      </c>
      <c r="L1285" t="str">
        <f t="shared" si="223"/>
        <v>RepMarkCmd</v>
      </c>
      <c r="M1285" t="str">
        <f t="shared" si="224"/>
        <v/>
      </c>
    </row>
    <row r="1286" spans="1:13" x14ac:dyDescent="0.25">
      <c r="A1286" t="s">
        <v>860</v>
      </c>
      <c r="B1286" s="6">
        <f t="shared" si="225"/>
        <v>2.1693333333333333</v>
      </c>
      <c r="C1286" s="9">
        <f t="shared" si="226"/>
        <v>42.333333333333556</v>
      </c>
      <c r="D1286" s="8" t="str">
        <f t="shared" si="227"/>
        <v>W</v>
      </c>
      <c r="E1286" s="3">
        <f t="shared" si="228"/>
        <v>31</v>
      </c>
      <c r="F1286" s="3" t="str">
        <f t="shared" si="229"/>
        <v>ack</v>
      </c>
      <c r="G1286" s="3" t="str">
        <f t="shared" si="230"/>
        <v>93</v>
      </c>
      <c r="H1286" s="3" t="str">
        <f t="shared" si="231"/>
        <v/>
      </c>
      <c r="I1286" s="3">
        <f t="shared" si="232"/>
        <v>147</v>
      </c>
      <c r="J1286" s="5" t="str">
        <f>IF(E1286=0,"Broadcast",IF(H1286="",IF(I1286="","",IF(I1286&lt;128,"Connect "&amp;I1286,INDEX(KdoCodeTab,MATCH(I1286,KdoWertTab,0)))),"ReadStat "&amp;H1286))</f>
        <v>SpaceCmd</v>
      </c>
      <c r="K1286" t="str">
        <f t="shared" si="222"/>
        <v/>
      </c>
      <c r="L1286" t="str">
        <f t="shared" si="223"/>
        <v>SpaceCmd</v>
      </c>
      <c r="M1286" t="str">
        <f t="shared" si="224"/>
        <v/>
      </c>
    </row>
    <row r="1287" spans="1:13" x14ac:dyDescent="0.25">
      <c r="A1287" t="s">
        <v>861</v>
      </c>
      <c r="B1287" s="6">
        <f t="shared" si="225"/>
        <v>2.1753333333333331</v>
      </c>
      <c r="C1287" s="9">
        <f t="shared" si="226"/>
        <v>5.9999999999997833</v>
      </c>
      <c r="D1287" s="8" t="str">
        <f t="shared" si="227"/>
        <v>W</v>
      </c>
      <c r="E1287" s="3">
        <f t="shared" si="228"/>
        <v>31</v>
      </c>
      <c r="F1287" s="3" t="str">
        <f t="shared" si="229"/>
        <v>ack</v>
      </c>
      <c r="G1287" s="3" t="str">
        <f t="shared" si="230"/>
        <v>96</v>
      </c>
      <c r="H1287" s="3" t="str">
        <f t="shared" si="231"/>
        <v/>
      </c>
      <c r="I1287" s="3">
        <f t="shared" si="232"/>
        <v>150</v>
      </c>
      <c r="J1287" s="5" t="str">
        <f>IF(E1287=0,"Broadcast",IF(H1287="",IF(I1287="","",IF(I1287&lt;128,"Connect "&amp;I1287,INDEX(KdoCodeTab,MATCH(I1287,KdoWertTab,0)))),"ReadStat "&amp;H1287))</f>
        <v>RepSpaceCmd</v>
      </c>
      <c r="K1287" t="str">
        <f t="shared" si="222"/>
        <v/>
      </c>
      <c r="L1287" t="str">
        <f t="shared" si="223"/>
        <v>RepSpaceCmd</v>
      </c>
      <c r="M1287" t="str">
        <f t="shared" si="224"/>
        <v/>
      </c>
    </row>
    <row r="1288" spans="1:13" x14ac:dyDescent="0.25">
      <c r="A1288" t="s">
        <v>862</v>
      </c>
      <c r="B1288" s="6">
        <f t="shared" si="225"/>
        <v>2.2298333333333336</v>
      </c>
      <c r="C1288" s="9">
        <f t="shared" si="226"/>
        <v>54.500000000000441</v>
      </c>
      <c r="D1288" s="8" t="str">
        <f t="shared" si="227"/>
        <v>W</v>
      </c>
      <c r="E1288" s="3">
        <f t="shared" si="228"/>
        <v>31</v>
      </c>
      <c r="F1288" s="3" t="str">
        <f t="shared" si="229"/>
        <v>ack</v>
      </c>
      <c r="G1288" s="3" t="str">
        <f t="shared" si="230"/>
        <v>9C</v>
      </c>
      <c r="H1288" s="3" t="str">
        <f t="shared" si="231"/>
        <v/>
      </c>
      <c r="I1288" s="3">
        <f t="shared" si="232"/>
        <v>156</v>
      </c>
      <c r="J1288" s="5" t="str">
        <f>IF(E1288=0,"Broadcast",IF(H1288="",IF(I1288="","",IF(I1288&lt;128,"Connect "&amp;I1288,INDEX(KdoCodeTab,MATCH(I1288,KdoWertTab,0)))),"ReadStat "&amp;H1288))</f>
        <v>MarkCmd</v>
      </c>
      <c r="K1288" t="str">
        <f t="shared" si="222"/>
        <v/>
      </c>
      <c r="L1288" t="str">
        <f t="shared" si="223"/>
        <v>MarkCmd</v>
      </c>
      <c r="M1288" t="str">
        <f t="shared" si="224"/>
        <v/>
      </c>
    </row>
    <row r="1289" spans="1:13" x14ac:dyDescent="0.25">
      <c r="A1289" t="s">
        <v>863</v>
      </c>
      <c r="B1289" s="6">
        <f t="shared" si="225"/>
        <v>2.2358333333333333</v>
      </c>
      <c r="C1289" s="9">
        <f t="shared" si="226"/>
        <v>5.9999999999997833</v>
      </c>
      <c r="D1289" s="8" t="str">
        <f t="shared" si="227"/>
        <v>W</v>
      </c>
      <c r="E1289" s="3">
        <f t="shared" si="228"/>
        <v>31</v>
      </c>
      <c r="F1289" s="3" t="str">
        <f t="shared" si="229"/>
        <v>ack</v>
      </c>
      <c r="G1289" s="3" t="str">
        <f t="shared" si="230"/>
        <v>9A</v>
      </c>
      <c r="H1289" s="3" t="str">
        <f t="shared" si="231"/>
        <v/>
      </c>
      <c r="I1289" s="3">
        <f t="shared" si="232"/>
        <v>154</v>
      </c>
      <c r="J1289" s="5" t="str">
        <f>IF(E1289=0,"Broadcast",IF(H1289="",IF(I1289="","",IF(I1289&lt;128,"Connect "&amp;I1289,INDEX(KdoCodeTab,MATCH(I1289,KdoWertTab,0)))),"ReadStat "&amp;H1289))</f>
        <v>RepMarkCmd</v>
      </c>
      <c r="K1289" t="str">
        <f t="shared" si="222"/>
        <v/>
      </c>
      <c r="L1289" t="str">
        <f t="shared" si="223"/>
        <v>RepMarkCmd</v>
      </c>
      <c r="M1289" t="str">
        <f t="shared" si="224"/>
        <v/>
      </c>
    </row>
    <row r="1290" spans="1:13" x14ac:dyDescent="0.25">
      <c r="A1290" t="s">
        <v>864</v>
      </c>
      <c r="B1290" s="6">
        <f t="shared" si="225"/>
        <v>2.25</v>
      </c>
      <c r="C1290" s="9">
        <f t="shared" si="226"/>
        <v>14.166666666666661</v>
      </c>
      <c r="D1290" s="8" t="str">
        <f t="shared" si="227"/>
        <v>W</v>
      </c>
      <c r="E1290" s="3">
        <f t="shared" si="228"/>
        <v>31</v>
      </c>
      <c r="F1290" s="3" t="str">
        <f t="shared" si="229"/>
        <v>ack</v>
      </c>
      <c r="G1290" s="3" t="str">
        <f t="shared" si="230"/>
        <v>93</v>
      </c>
      <c r="H1290" s="3" t="str">
        <f t="shared" si="231"/>
        <v/>
      </c>
      <c r="I1290" s="3">
        <f t="shared" si="232"/>
        <v>147</v>
      </c>
      <c r="J1290" s="5" t="str">
        <f>IF(E1290=0,"Broadcast",IF(H1290="",IF(I1290="","",IF(I1290&lt;128,"Connect "&amp;I1290,INDEX(KdoCodeTab,MATCH(I1290,KdoWertTab,0)))),"ReadStat "&amp;H1290))</f>
        <v>SpaceCmd</v>
      </c>
      <c r="K1290" t="str">
        <f t="shared" si="222"/>
        <v/>
      </c>
      <c r="L1290" t="str">
        <f t="shared" si="223"/>
        <v>SpaceCmd</v>
      </c>
      <c r="M1290" t="str">
        <f t="shared" si="224"/>
        <v/>
      </c>
    </row>
    <row r="1291" spans="1:13" x14ac:dyDescent="0.25">
      <c r="A1291" t="s">
        <v>865</v>
      </c>
      <c r="B1291" s="6">
        <f t="shared" si="225"/>
        <v>2.2568333333333332</v>
      </c>
      <c r="C1291" s="9">
        <f t="shared" si="226"/>
        <v>6.8333333333332469</v>
      </c>
      <c r="D1291" s="8" t="str">
        <f t="shared" si="227"/>
        <v>R</v>
      </c>
      <c r="E1291" s="3">
        <f t="shared" si="228"/>
        <v>18</v>
      </c>
      <c r="F1291" s="3" t="str">
        <f t="shared" si="229"/>
        <v>NACK</v>
      </c>
      <c r="G1291" s="3" t="str">
        <f t="shared" si="230"/>
        <v/>
      </c>
      <c r="H1291" s="3" t="str">
        <f t="shared" si="231"/>
        <v/>
      </c>
      <c r="I1291" s="3" t="str">
        <f t="shared" si="232"/>
        <v/>
      </c>
      <c r="J1291" s="5" t="str">
        <f>IF(E1291=0,"Broadcast",IF(H1291="",IF(I1291="","",IF(I1291&lt;128,"Connect "&amp;I1291,INDEX(KdoCodeTab,MATCH(I1291,KdoWertTab,0)))),"ReadStat "&amp;H1291))</f>
        <v/>
      </c>
      <c r="K1291" t="str">
        <f t="shared" si="222"/>
        <v/>
      </c>
      <c r="L1291" t="str">
        <f t="shared" si="223"/>
        <v/>
      </c>
      <c r="M1291" t="str">
        <f t="shared" si="224"/>
        <v/>
      </c>
    </row>
    <row r="1292" spans="1:13" x14ac:dyDescent="0.25">
      <c r="A1292" t="s">
        <v>866</v>
      </c>
      <c r="B1292" s="6">
        <f t="shared" si="225"/>
        <v>2.2903333333333333</v>
      </c>
      <c r="C1292" s="9">
        <f t="shared" si="226"/>
        <v>33.500000000000085</v>
      </c>
      <c r="D1292" s="8" t="str">
        <f t="shared" si="227"/>
        <v>W</v>
      </c>
      <c r="E1292" s="3">
        <f t="shared" si="228"/>
        <v>31</v>
      </c>
      <c r="F1292" s="3" t="str">
        <f t="shared" si="229"/>
        <v>ack</v>
      </c>
      <c r="G1292" s="3" t="str">
        <f t="shared" si="230"/>
        <v>9C</v>
      </c>
      <c r="H1292" s="3" t="str">
        <f t="shared" si="231"/>
        <v/>
      </c>
      <c r="I1292" s="3">
        <f t="shared" si="232"/>
        <v>156</v>
      </c>
      <c r="J1292" s="5" t="str">
        <f>IF(E1292=0,"Broadcast",IF(H1292="",IF(I1292="","",IF(I1292&lt;128,"Connect "&amp;I1292,INDEX(KdoCodeTab,MATCH(I1292,KdoWertTab,0)))),"ReadStat "&amp;H1292))</f>
        <v>MarkCmd</v>
      </c>
      <c r="K1292" t="str">
        <f t="shared" si="222"/>
        <v/>
      </c>
      <c r="L1292" t="str">
        <f t="shared" si="223"/>
        <v>MarkCmd</v>
      </c>
      <c r="M1292" t="str">
        <f t="shared" si="224"/>
        <v/>
      </c>
    </row>
    <row r="1293" spans="1:13" x14ac:dyDescent="0.25">
      <c r="A1293" t="s">
        <v>867</v>
      </c>
      <c r="B1293" s="6">
        <f t="shared" si="225"/>
        <v>2.2963333333333331</v>
      </c>
      <c r="C1293" s="9">
        <f t="shared" si="226"/>
        <v>5.9999999999997833</v>
      </c>
      <c r="D1293" s="8" t="str">
        <f t="shared" si="227"/>
        <v>W</v>
      </c>
      <c r="E1293" s="3">
        <f t="shared" si="228"/>
        <v>31</v>
      </c>
      <c r="F1293" s="3" t="str">
        <f t="shared" si="229"/>
        <v>ack</v>
      </c>
      <c r="G1293" s="3" t="str">
        <f t="shared" si="230"/>
        <v>9A</v>
      </c>
      <c r="H1293" s="3" t="str">
        <f t="shared" si="231"/>
        <v/>
      </c>
      <c r="I1293" s="3">
        <f t="shared" si="232"/>
        <v>154</v>
      </c>
      <c r="J1293" s="5" t="str">
        <f>IF(E1293=0,"Broadcast",IF(H1293="",IF(I1293="","",IF(I1293&lt;128,"Connect "&amp;I1293,INDEX(KdoCodeTab,MATCH(I1293,KdoWertTab,0)))),"ReadStat "&amp;H1293))</f>
        <v>RepMarkCmd</v>
      </c>
      <c r="K1293" t="str">
        <f t="shared" si="222"/>
        <v/>
      </c>
      <c r="L1293" t="str">
        <f t="shared" si="223"/>
        <v>RepMarkCmd</v>
      </c>
      <c r="M1293" t="str">
        <f t="shared" si="224"/>
        <v/>
      </c>
    </row>
    <row r="1294" spans="1:13" x14ac:dyDescent="0.25">
      <c r="A1294" t="s">
        <v>868</v>
      </c>
      <c r="B1294" s="6">
        <f t="shared" si="225"/>
        <v>2.3406666666666665</v>
      </c>
      <c r="C1294" s="9">
        <f t="shared" si="226"/>
        <v>44.333333333333336</v>
      </c>
      <c r="D1294" s="8" t="str">
        <f t="shared" si="227"/>
        <v>W</v>
      </c>
      <c r="E1294" s="3">
        <f t="shared" si="228"/>
        <v>31</v>
      </c>
      <c r="F1294" s="3" t="str">
        <f t="shared" si="229"/>
        <v>ack</v>
      </c>
      <c r="G1294" s="3" t="str">
        <f t="shared" si="230"/>
        <v>93</v>
      </c>
      <c r="H1294" s="3" t="str">
        <f t="shared" si="231"/>
        <v/>
      </c>
      <c r="I1294" s="3">
        <f t="shared" si="232"/>
        <v>147</v>
      </c>
      <c r="J1294" s="5" t="str">
        <f>IF(E1294=0,"Broadcast",IF(H1294="",IF(I1294="","",IF(I1294&lt;128,"Connect "&amp;I1294,INDEX(KdoCodeTab,MATCH(I1294,KdoWertTab,0)))),"ReadStat "&amp;H1294))</f>
        <v>SpaceCmd</v>
      </c>
      <c r="K1294" t="str">
        <f t="shared" si="222"/>
        <v/>
      </c>
      <c r="L1294" t="str">
        <f t="shared" si="223"/>
        <v>SpaceCmd</v>
      </c>
      <c r="M1294" t="str">
        <f t="shared" si="224"/>
        <v/>
      </c>
    </row>
    <row r="1295" spans="1:13" x14ac:dyDescent="0.25">
      <c r="A1295" t="s">
        <v>869</v>
      </c>
      <c r="B1295" s="6">
        <f t="shared" si="225"/>
        <v>2.3466666666666667</v>
      </c>
      <c r="C1295" s="9">
        <f t="shared" si="226"/>
        <v>6.0000000000002274</v>
      </c>
      <c r="D1295" s="8" t="str">
        <f t="shared" si="227"/>
        <v>W</v>
      </c>
      <c r="E1295" s="3">
        <f t="shared" si="228"/>
        <v>31</v>
      </c>
      <c r="F1295" s="3" t="str">
        <f t="shared" si="229"/>
        <v>ack</v>
      </c>
      <c r="G1295" s="3" t="str">
        <f t="shared" si="230"/>
        <v>96</v>
      </c>
      <c r="H1295" s="3" t="str">
        <f t="shared" si="231"/>
        <v/>
      </c>
      <c r="I1295" s="3">
        <f t="shared" si="232"/>
        <v>150</v>
      </c>
      <c r="J1295" s="5" t="str">
        <f>IF(E1295=0,"Broadcast",IF(H1295="",IF(I1295="","",IF(I1295&lt;128,"Connect "&amp;I1295,INDEX(KdoCodeTab,MATCH(I1295,KdoWertTab,0)))),"ReadStat "&amp;H1295))</f>
        <v>RepSpaceCmd</v>
      </c>
      <c r="K1295" t="str">
        <f t="shared" si="222"/>
        <v/>
      </c>
      <c r="L1295" t="str">
        <f t="shared" si="223"/>
        <v>RepSpaceCmd</v>
      </c>
      <c r="M1295" t="str">
        <f t="shared" si="224"/>
        <v/>
      </c>
    </row>
    <row r="1296" spans="1:13" x14ac:dyDescent="0.25">
      <c r="A1296" t="s">
        <v>870</v>
      </c>
      <c r="B1296" s="6">
        <f t="shared" si="225"/>
        <v>2.3608333333333333</v>
      </c>
      <c r="C1296" s="9">
        <f t="shared" si="226"/>
        <v>14.166666666666661</v>
      </c>
      <c r="D1296" s="8" t="str">
        <f t="shared" si="227"/>
        <v>W</v>
      </c>
      <c r="E1296" s="3">
        <f t="shared" si="228"/>
        <v>31</v>
      </c>
      <c r="F1296" s="3" t="str">
        <f t="shared" si="229"/>
        <v>ack</v>
      </c>
      <c r="G1296" s="3" t="str">
        <f t="shared" si="230"/>
        <v>9C</v>
      </c>
      <c r="H1296" s="3" t="str">
        <f t="shared" si="231"/>
        <v/>
      </c>
      <c r="I1296" s="3">
        <f t="shared" si="232"/>
        <v>156</v>
      </c>
      <c r="J1296" s="5" t="str">
        <f>IF(E1296=0,"Broadcast",IF(H1296="",IF(I1296="","",IF(I1296&lt;128,"Connect "&amp;I1296,INDEX(KdoCodeTab,MATCH(I1296,KdoWertTab,0)))),"ReadStat "&amp;H1296))</f>
        <v>MarkCmd</v>
      </c>
      <c r="K1296" t="str">
        <f t="shared" si="222"/>
        <v/>
      </c>
      <c r="L1296" t="str">
        <f t="shared" si="223"/>
        <v>MarkCmd</v>
      </c>
      <c r="M1296" t="str">
        <f t="shared" si="224"/>
        <v/>
      </c>
    </row>
    <row r="1297" spans="1:13" x14ac:dyDescent="0.25">
      <c r="A1297" t="s">
        <v>871</v>
      </c>
      <c r="B1297" s="6">
        <f t="shared" si="225"/>
        <v>2.3668333333333336</v>
      </c>
      <c r="C1297" s="9">
        <f t="shared" si="226"/>
        <v>6.0000000000002274</v>
      </c>
      <c r="D1297" s="8" t="str">
        <f t="shared" si="227"/>
        <v>W</v>
      </c>
      <c r="E1297" s="3">
        <f t="shared" si="228"/>
        <v>31</v>
      </c>
      <c r="F1297" s="3" t="str">
        <f t="shared" si="229"/>
        <v>ack</v>
      </c>
      <c r="G1297" s="3" t="str">
        <f t="shared" si="230"/>
        <v>9A</v>
      </c>
      <c r="H1297" s="3" t="str">
        <f t="shared" si="231"/>
        <v/>
      </c>
      <c r="I1297" s="3">
        <f t="shared" si="232"/>
        <v>154</v>
      </c>
      <c r="J1297" s="5" t="str">
        <f>IF(E1297=0,"Broadcast",IF(H1297="",IF(I1297="","",IF(I1297&lt;128,"Connect "&amp;I1297,INDEX(KdoCodeTab,MATCH(I1297,KdoWertTab,0)))),"ReadStat "&amp;H1297))</f>
        <v>RepMarkCmd</v>
      </c>
      <c r="K1297" t="str">
        <f t="shared" si="222"/>
        <v/>
      </c>
      <c r="L1297" t="str">
        <f t="shared" si="223"/>
        <v>RepMarkCmd</v>
      </c>
      <c r="M1297" t="str">
        <f t="shared" si="224"/>
        <v/>
      </c>
    </row>
    <row r="1298" spans="1:13" x14ac:dyDescent="0.25">
      <c r="A1298" t="s">
        <v>872</v>
      </c>
      <c r="B1298" s="6">
        <f t="shared" si="225"/>
        <v>2.3809999999999998</v>
      </c>
      <c r="C1298" s="9">
        <f t="shared" si="226"/>
        <v>14.166666666666217</v>
      </c>
      <c r="D1298" s="8" t="str">
        <f t="shared" si="227"/>
        <v>W</v>
      </c>
      <c r="E1298" s="3">
        <f t="shared" si="228"/>
        <v>31</v>
      </c>
      <c r="F1298" s="3" t="str">
        <f t="shared" si="229"/>
        <v>ack</v>
      </c>
      <c r="G1298" s="3" t="str">
        <f t="shared" si="230"/>
        <v>93</v>
      </c>
      <c r="H1298" s="3" t="str">
        <f t="shared" si="231"/>
        <v/>
      </c>
      <c r="I1298" s="3">
        <f t="shared" si="232"/>
        <v>147</v>
      </c>
      <c r="J1298" s="5" t="str">
        <f>IF(E1298=0,"Broadcast",IF(H1298="",IF(I1298="","",IF(I1298&lt;128,"Connect "&amp;I1298,INDEX(KdoCodeTab,MATCH(I1298,KdoWertTab,0)))),"ReadStat "&amp;H1298))</f>
        <v>SpaceCmd</v>
      </c>
      <c r="K1298" t="str">
        <f t="shared" si="222"/>
        <v/>
      </c>
      <c r="L1298" t="str">
        <f t="shared" si="223"/>
        <v>SpaceCmd</v>
      </c>
      <c r="M1298" t="str">
        <f t="shared" si="224"/>
        <v/>
      </c>
    </row>
    <row r="1299" spans="1:13" x14ac:dyDescent="0.25">
      <c r="A1299" t="s">
        <v>873</v>
      </c>
      <c r="B1299" s="6">
        <f t="shared" si="225"/>
        <v>2.387</v>
      </c>
      <c r="C1299" s="9">
        <f t="shared" si="226"/>
        <v>6.0000000000002274</v>
      </c>
      <c r="D1299" s="8" t="str">
        <f t="shared" si="227"/>
        <v>W</v>
      </c>
      <c r="E1299" s="3">
        <f t="shared" si="228"/>
        <v>31</v>
      </c>
      <c r="F1299" s="3" t="str">
        <f t="shared" si="229"/>
        <v>ack</v>
      </c>
      <c r="G1299" s="3" t="str">
        <f t="shared" si="230"/>
        <v>96</v>
      </c>
      <c r="H1299" s="3" t="str">
        <f t="shared" si="231"/>
        <v/>
      </c>
      <c r="I1299" s="3">
        <f t="shared" si="232"/>
        <v>150</v>
      </c>
      <c r="J1299" s="5" t="str">
        <f>IF(E1299=0,"Broadcast",IF(H1299="",IF(I1299="","",IF(I1299&lt;128,"Connect "&amp;I1299,INDEX(KdoCodeTab,MATCH(I1299,KdoWertTab,0)))),"ReadStat "&amp;H1299))</f>
        <v>RepSpaceCmd</v>
      </c>
      <c r="K1299" t="str">
        <f t="shared" si="222"/>
        <v/>
      </c>
      <c r="L1299" t="str">
        <f t="shared" si="223"/>
        <v>RepSpaceCmd</v>
      </c>
      <c r="M1299" t="str">
        <f t="shared" si="224"/>
        <v/>
      </c>
    </row>
    <row r="1300" spans="1:13" x14ac:dyDescent="0.25">
      <c r="A1300" t="s">
        <v>874</v>
      </c>
      <c r="B1300" s="6">
        <f t="shared" si="225"/>
        <v>2.4213333333333331</v>
      </c>
      <c r="C1300" s="9">
        <f t="shared" si="226"/>
        <v>34.333333333333101</v>
      </c>
      <c r="D1300" s="8" t="str">
        <f t="shared" si="227"/>
        <v>W</v>
      </c>
      <c r="E1300" s="3">
        <f t="shared" si="228"/>
        <v>31</v>
      </c>
      <c r="F1300" s="3" t="str">
        <f t="shared" si="229"/>
        <v>ack</v>
      </c>
      <c r="G1300" s="3" t="str">
        <f t="shared" si="230"/>
        <v>9C</v>
      </c>
      <c r="H1300" s="3" t="str">
        <f t="shared" si="231"/>
        <v/>
      </c>
      <c r="I1300" s="3">
        <f t="shared" si="232"/>
        <v>156</v>
      </c>
      <c r="J1300" s="5" t="str">
        <f>IF(E1300=0,"Broadcast",IF(H1300="",IF(I1300="","",IF(I1300&lt;128,"Connect "&amp;I1300,INDEX(KdoCodeTab,MATCH(I1300,KdoWertTab,0)))),"ReadStat "&amp;H1300))</f>
        <v>MarkCmd</v>
      </c>
      <c r="K1300" t="str">
        <f t="shared" si="222"/>
        <v/>
      </c>
      <c r="L1300" t="str">
        <f t="shared" si="223"/>
        <v>MarkCmd</v>
      </c>
      <c r="M1300" t="str">
        <f t="shared" si="224"/>
        <v/>
      </c>
    </row>
    <row r="1301" spans="1:13" x14ac:dyDescent="0.25">
      <c r="A1301" t="s">
        <v>875</v>
      </c>
      <c r="B1301" s="6">
        <f t="shared" si="225"/>
        <v>2.4276666666666666</v>
      </c>
      <c r="C1301" s="9">
        <f t="shared" si="226"/>
        <v>6.333333333333524</v>
      </c>
      <c r="D1301" s="8" t="str">
        <f t="shared" si="227"/>
        <v>W</v>
      </c>
      <c r="E1301" s="3">
        <f t="shared" si="228"/>
        <v>31</v>
      </c>
      <c r="F1301" s="3" t="str">
        <f t="shared" si="229"/>
        <v>ack</v>
      </c>
      <c r="G1301" s="3" t="str">
        <f t="shared" si="230"/>
        <v>9A</v>
      </c>
      <c r="H1301" s="3" t="str">
        <f t="shared" si="231"/>
        <v/>
      </c>
      <c r="I1301" s="3">
        <f t="shared" si="232"/>
        <v>154</v>
      </c>
      <c r="J1301" s="5" t="str">
        <f>IF(E1301=0,"Broadcast",IF(H1301="",IF(I1301="","",IF(I1301&lt;128,"Connect "&amp;I1301,INDEX(KdoCodeTab,MATCH(I1301,KdoWertTab,0)))),"ReadStat "&amp;H1301))</f>
        <v>RepMarkCmd</v>
      </c>
      <c r="K1301" t="str">
        <f t="shared" si="222"/>
        <v/>
      </c>
      <c r="L1301" t="str">
        <f t="shared" si="223"/>
        <v>RepMarkCmd</v>
      </c>
      <c r="M1301" t="str">
        <f t="shared" si="224"/>
        <v/>
      </c>
    </row>
    <row r="1302" spans="1:13" x14ac:dyDescent="0.25">
      <c r="A1302" t="s">
        <v>876</v>
      </c>
      <c r="B1302" s="6">
        <f t="shared" si="225"/>
        <v>2.4415</v>
      </c>
      <c r="C1302" s="9">
        <f t="shared" si="226"/>
        <v>13.833333333333364</v>
      </c>
      <c r="D1302" s="8" t="str">
        <f t="shared" si="227"/>
        <v>W</v>
      </c>
      <c r="E1302" s="3">
        <f t="shared" si="228"/>
        <v>31</v>
      </c>
      <c r="F1302" s="3" t="str">
        <f t="shared" si="229"/>
        <v>ack</v>
      </c>
      <c r="G1302" s="3" t="str">
        <f t="shared" si="230"/>
        <v>93</v>
      </c>
      <c r="H1302" s="3" t="str">
        <f t="shared" si="231"/>
        <v/>
      </c>
      <c r="I1302" s="3">
        <f t="shared" si="232"/>
        <v>147</v>
      </c>
      <c r="J1302" s="5" t="str">
        <f>IF(E1302=0,"Broadcast",IF(H1302="",IF(I1302="","",IF(I1302&lt;128,"Connect "&amp;I1302,INDEX(KdoCodeTab,MATCH(I1302,KdoWertTab,0)))),"ReadStat "&amp;H1302))</f>
        <v>SpaceCmd</v>
      </c>
      <c r="K1302" t="str">
        <f t="shared" si="222"/>
        <v/>
      </c>
      <c r="L1302" t="str">
        <f t="shared" si="223"/>
        <v>SpaceCmd</v>
      </c>
      <c r="M1302" t="str">
        <f t="shared" si="224"/>
        <v/>
      </c>
    </row>
    <row r="1303" spans="1:13" x14ac:dyDescent="0.25">
      <c r="A1303" t="s">
        <v>877</v>
      </c>
      <c r="B1303" s="6">
        <f t="shared" si="225"/>
        <v>2.4475000000000002</v>
      </c>
      <c r="C1303" s="9">
        <f t="shared" si="226"/>
        <v>6.0000000000002274</v>
      </c>
      <c r="D1303" s="8" t="str">
        <f t="shared" si="227"/>
        <v>W</v>
      </c>
      <c r="E1303" s="3">
        <f t="shared" si="228"/>
        <v>31</v>
      </c>
      <c r="F1303" s="3" t="str">
        <f t="shared" si="229"/>
        <v>ack</v>
      </c>
      <c r="G1303" s="3" t="str">
        <f t="shared" si="230"/>
        <v>96</v>
      </c>
      <c r="H1303" s="3" t="str">
        <f t="shared" si="231"/>
        <v/>
      </c>
      <c r="I1303" s="3">
        <f t="shared" si="232"/>
        <v>150</v>
      </c>
      <c r="J1303" s="5" t="str">
        <f>IF(E1303=0,"Broadcast",IF(H1303="",IF(I1303="","",IF(I1303&lt;128,"Connect "&amp;I1303,INDEX(KdoCodeTab,MATCH(I1303,KdoWertTab,0)))),"ReadStat "&amp;H1303))</f>
        <v>RepSpaceCmd</v>
      </c>
      <c r="K1303" t="str">
        <f t="shared" si="222"/>
        <v/>
      </c>
      <c r="L1303" t="str">
        <f t="shared" si="223"/>
        <v>RepSpaceCmd</v>
      </c>
      <c r="M1303" t="str">
        <f t="shared" si="224"/>
        <v/>
      </c>
    </row>
    <row r="1304" spans="1:13" x14ac:dyDescent="0.25">
      <c r="A1304" t="s">
        <v>878</v>
      </c>
      <c r="B1304" s="6">
        <f t="shared" si="225"/>
        <v>2.4613333333333332</v>
      </c>
      <c r="C1304" s="9">
        <f t="shared" si="226"/>
        <v>13.83333333333292</v>
      </c>
      <c r="D1304" s="8" t="str">
        <f t="shared" si="227"/>
        <v>W</v>
      </c>
      <c r="E1304" s="3">
        <f t="shared" si="228"/>
        <v>101</v>
      </c>
      <c r="F1304" s="3" t="str">
        <f t="shared" si="229"/>
        <v>ack</v>
      </c>
      <c r="G1304" s="3" t="str">
        <f t="shared" si="230"/>
        <v>A9</v>
      </c>
      <c r="H1304" s="3" t="str">
        <f t="shared" si="231"/>
        <v/>
      </c>
      <c r="I1304" s="3">
        <f t="shared" si="232"/>
        <v>169</v>
      </c>
      <c r="J1304" s="5" t="str">
        <f>IF(E1304=0,"Broadcast",IF(H1304="",IF(I1304="","",IF(I1304&lt;128,"Connect "&amp;I1304,INDEX(KdoCodeTab,MATCH(I1304,KdoWertTab,0)))),"ReadStat "&amp;H1304))</f>
        <v>Heartbeat</v>
      </c>
      <c r="K1304" t="str">
        <f t="shared" si="222"/>
        <v/>
      </c>
      <c r="L1304" t="str">
        <f t="shared" si="223"/>
        <v/>
      </c>
      <c r="M1304" t="str">
        <f t="shared" si="224"/>
        <v>Heartbeat</v>
      </c>
    </row>
    <row r="1305" spans="1:13" x14ac:dyDescent="0.25">
      <c r="A1305" t="s">
        <v>879</v>
      </c>
      <c r="B1305" s="6">
        <f t="shared" si="225"/>
        <v>2.4621666666666671</v>
      </c>
      <c r="C1305" s="9">
        <f t="shared" si="226"/>
        <v>0.83333333333390769</v>
      </c>
      <c r="D1305" s="8" t="str">
        <f t="shared" si="227"/>
        <v>W</v>
      </c>
      <c r="E1305" s="3">
        <f t="shared" si="228"/>
        <v>31</v>
      </c>
      <c r="F1305" s="3" t="str">
        <f t="shared" si="229"/>
        <v>ack</v>
      </c>
      <c r="G1305" s="3" t="str">
        <f t="shared" si="230"/>
        <v>9C</v>
      </c>
      <c r="H1305" s="3" t="str">
        <f t="shared" si="231"/>
        <v/>
      </c>
      <c r="I1305" s="3">
        <f t="shared" si="232"/>
        <v>156</v>
      </c>
      <c r="J1305" s="5" t="str">
        <f>IF(E1305=0,"Broadcast",IF(H1305="",IF(I1305="","",IF(I1305&lt;128,"Connect "&amp;I1305,INDEX(KdoCodeTab,MATCH(I1305,KdoWertTab,0)))),"ReadStat "&amp;H1305))</f>
        <v>MarkCmd</v>
      </c>
      <c r="K1305" t="str">
        <f t="shared" si="222"/>
        <v/>
      </c>
      <c r="L1305" t="str">
        <f t="shared" si="223"/>
        <v>MarkCmd</v>
      </c>
      <c r="M1305" t="str">
        <f t="shared" si="224"/>
        <v/>
      </c>
    </row>
    <row r="1306" spans="1:13" x14ac:dyDescent="0.25">
      <c r="A1306" t="s">
        <v>880</v>
      </c>
      <c r="B1306" s="6">
        <f t="shared" si="225"/>
        <v>2.4676666666666667</v>
      </c>
      <c r="C1306" s="9">
        <f t="shared" si="226"/>
        <v>5.4999999999996163</v>
      </c>
      <c r="D1306" s="8" t="str">
        <f t="shared" si="227"/>
        <v>W</v>
      </c>
      <c r="E1306" s="3">
        <f t="shared" si="228"/>
        <v>31</v>
      </c>
      <c r="F1306" s="3" t="str">
        <f t="shared" si="229"/>
        <v>ack</v>
      </c>
      <c r="G1306" s="3" t="str">
        <f t="shared" si="230"/>
        <v>9A</v>
      </c>
      <c r="H1306" s="3" t="str">
        <f t="shared" si="231"/>
        <v/>
      </c>
      <c r="I1306" s="3">
        <f t="shared" si="232"/>
        <v>154</v>
      </c>
      <c r="J1306" s="5" t="str">
        <f>IF(E1306=0,"Broadcast",IF(H1306="",IF(I1306="","",IF(I1306&lt;128,"Connect "&amp;I1306,INDEX(KdoCodeTab,MATCH(I1306,KdoWertTab,0)))),"ReadStat "&amp;H1306))</f>
        <v>RepMarkCmd</v>
      </c>
      <c r="K1306" t="str">
        <f t="shared" si="222"/>
        <v/>
      </c>
      <c r="L1306" t="str">
        <f t="shared" si="223"/>
        <v>RepMarkCmd</v>
      </c>
      <c r="M1306" t="str">
        <f t="shared" si="224"/>
        <v/>
      </c>
    </row>
    <row r="1307" spans="1:13" x14ac:dyDescent="0.25">
      <c r="A1307" t="s">
        <v>881</v>
      </c>
      <c r="B1307" s="6">
        <f t="shared" si="225"/>
        <v>2.512</v>
      </c>
      <c r="C1307" s="9">
        <f t="shared" si="226"/>
        <v>44.333333333333336</v>
      </c>
      <c r="D1307" s="8" t="str">
        <f t="shared" si="227"/>
        <v>W</v>
      </c>
      <c r="E1307" s="3">
        <f t="shared" si="228"/>
        <v>31</v>
      </c>
      <c r="F1307" s="3" t="str">
        <f t="shared" si="229"/>
        <v>ack</v>
      </c>
      <c r="G1307" s="3" t="str">
        <f t="shared" si="230"/>
        <v>93</v>
      </c>
      <c r="H1307" s="3" t="str">
        <f t="shared" si="231"/>
        <v/>
      </c>
      <c r="I1307" s="3">
        <f t="shared" si="232"/>
        <v>147</v>
      </c>
      <c r="J1307" s="5" t="str">
        <f>IF(E1307=0,"Broadcast",IF(H1307="",IF(I1307="","",IF(I1307&lt;128,"Connect "&amp;I1307,INDEX(KdoCodeTab,MATCH(I1307,KdoWertTab,0)))),"ReadStat "&amp;H1307))</f>
        <v>SpaceCmd</v>
      </c>
      <c r="K1307" t="str">
        <f t="shared" si="222"/>
        <v/>
      </c>
      <c r="L1307" t="str">
        <f t="shared" si="223"/>
        <v>SpaceCmd</v>
      </c>
      <c r="M1307" t="str">
        <f t="shared" si="224"/>
        <v/>
      </c>
    </row>
    <row r="1308" spans="1:13" x14ac:dyDescent="0.25">
      <c r="A1308" t="s">
        <v>882</v>
      </c>
      <c r="B1308" s="6">
        <f t="shared" si="225"/>
        <v>2.5181666666666667</v>
      </c>
      <c r="C1308" s="9">
        <f t="shared" si="226"/>
        <v>6.1666666666666536</v>
      </c>
      <c r="D1308" s="8" t="str">
        <f t="shared" si="227"/>
        <v>W</v>
      </c>
      <c r="E1308" s="3">
        <f t="shared" si="228"/>
        <v>31</v>
      </c>
      <c r="F1308" s="3" t="str">
        <f t="shared" si="229"/>
        <v>ack</v>
      </c>
      <c r="G1308" s="3" t="str">
        <f t="shared" si="230"/>
        <v>96</v>
      </c>
      <c r="H1308" s="3" t="str">
        <f t="shared" si="231"/>
        <v/>
      </c>
      <c r="I1308" s="3">
        <f t="shared" si="232"/>
        <v>150</v>
      </c>
      <c r="J1308" s="5" t="str">
        <f>IF(E1308=0,"Broadcast",IF(H1308="",IF(I1308="","",IF(I1308&lt;128,"Connect "&amp;I1308,INDEX(KdoCodeTab,MATCH(I1308,KdoWertTab,0)))),"ReadStat "&amp;H1308))</f>
        <v>RepSpaceCmd</v>
      </c>
      <c r="K1308" t="str">
        <f t="shared" si="222"/>
        <v/>
      </c>
      <c r="L1308" t="str">
        <f t="shared" si="223"/>
        <v>RepSpaceCmd</v>
      </c>
      <c r="M1308" t="str">
        <f t="shared" si="224"/>
        <v/>
      </c>
    </row>
    <row r="1309" spans="1:13" x14ac:dyDescent="0.25">
      <c r="A1309" t="s">
        <v>883</v>
      </c>
      <c r="B1309" s="6">
        <f t="shared" si="225"/>
        <v>2.5321666666666669</v>
      </c>
      <c r="C1309" s="9">
        <f t="shared" si="226"/>
        <v>14.000000000000234</v>
      </c>
      <c r="D1309" s="8" t="str">
        <f t="shared" si="227"/>
        <v>W</v>
      </c>
      <c r="E1309" s="3">
        <f t="shared" si="228"/>
        <v>31</v>
      </c>
      <c r="F1309" s="3" t="str">
        <f t="shared" si="229"/>
        <v>ack</v>
      </c>
      <c r="G1309" s="3" t="str">
        <f t="shared" si="230"/>
        <v>9C</v>
      </c>
      <c r="H1309" s="3" t="str">
        <f t="shared" si="231"/>
        <v/>
      </c>
      <c r="I1309" s="3">
        <f t="shared" si="232"/>
        <v>156</v>
      </c>
      <c r="J1309" s="5" t="str">
        <f>IF(E1309=0,"Broadcast",IF(H1309="",IF(I1309="","",IF(I1309&lt;128,"Connect "&amp;I1309,INDEX(KdoCodeTab,MATCH(I1309,KdoWertTab,0)))),"ReadStat "&amp;H1309))</f>
        <v>MarkCmd</v>
      </c>
      <c r="K1309" t="str">
        <f t="shared" si="222"/>
        <v/>
      </c>
      <c r="L1309" t="str">
        <f t="shared" si="223"/>
        <v>MarkCmd</v>
      </c>
      <c r="M1309" t="str">
        <f t="shared" si="224"/>
        <v/>
      </c>
    </row>
    <row r="1310" spans="1:13" x14ac:dyDescent="0.25">
      <c r="A1310" t="s">
        <v>884</v>
      </c>
      <c r="B1310" s="6">
        <f t="shared" si="225"/>
        <v>2.5383333333333331</v>
      </c>
      <c r="C1310" s="9">
        <f t="shared" si="226"/>
        <v>6.1666666666662096</v>
      </c>
      <c r="D1310" s="8" t="str">
        <f t="shared" si="227"/>
        <v>W</v>
      </c>
      <c r="E1310" s="3">
        <f t="shared" si="228"/>
        <v>31</v>
      </c>
      <c r="F1310" s="3" t="str">
        <f t="shared" si="229"/>
        <v>ack</v>
      </c>
      <c r="G1310" s="3" t="str">
        <f t="shared" si="230"/>
        <v>9A</v>
      </c>
      <c r="H1310" s="3" t="str">
        <f t="shared" si="231"/>
        <v/>
      </c>
      <c r="I1310" s="3">
        <f t="shared" si="232"/>
        <v>154</v>
      </c>
      <c r="J1310" s="5" t="str">
        <f>IF(E1310=0,"Broadcast",IF(H1310="",IF(I1310="","",IF(I1310&lt;128,"Connect "&amp;I1310,INDEX(KdoCodeTab,MATCH(I1310,KdoWertTab,0)))),"ReadStat "&amp;H1310))</f>
        <v>RepMarkCmd</v>
      </c>
      <c r="K1310" t="str">
        <f t="shared" si="222"/>
        <v/>
      </c>
      <c r="L1310" t="str">
        <f t="shared" si="223"/>
        <v>RepMarkCmd</v>
      </c>
      <c r="M1310" t="str">
        <f t="shared" si="224"/>
        <v/>
      </c>
    </row>
    <row r="1311" spans="1:13" x14ac:dyDescent="0.25">
      <c r="A1311" t="s">
        <v>885</v>
      </c>
      <c r="B1311" s="6">
        <f t="shared" si="225"/>
        <v>3.0443333333333333</v>
      </c>
      <c r="C1311" s="9">
        <f t="shared" si="226"/>
        <v>506.00000000000023</v>
      </c>
      <c r="D1311" s="8" t="str">
        <f t="shared" si="227"/>
        <v>W</v>
      </c>
      <c r="E1311" s="3">
        <f t="shared" si="228"/>
        <v>31</v>
      </c>
      <c r="F1311" s="3" t="str">
        <f t="shared" si="229"/>
        <v>ack</v>
      </c>
      <c r="G1311" s="3" t="str">
        <f t="shared" si="230"/>
        <v>9A</v>
      </c>
      <c r="H1311" s="3" t="str">
        <f t="shared" si="231"/>
        <v/>
      </c>
      <c r="I1311" s="3">
        <f t="shared" si="232"/>
        <v>154</v>
      </c>
      <c r="J1311" s="5" t="str">
        <f>IF(E1311=0,"Broadcast",IF(H1311="",IF(I1311="","",IF(I1311&lt;128,"Connect "&amp;I1311,INDEX(KdoCodeTab,MATCH(I1311,KdoWertTab,0)))),"ReadStat "&amp;H1311))</f>
        <v>RepMarkCmd</v>
      </c>
      <c r="K1311" t="str">
        <f t="shared" si="222"/>
        <v/>
      </c>
      <c r="L1311" t="str">
        <f t="shared" si="223"/>
        <v>RepMarkCmd</v>
      </c>
      <c r="M1311" t="str">
        <f t="shared" si="224"/>
        <v/>
      </c>
    </row>
    <row r="1312" spans="1:13" x14ac:dyDescent="0.25">
      <c r="A1312" t="s">
        <v>886</v>
      </c>
      <c r="B1312" s="6">
        <f t="shared" si="225"/>
        <v>3.1433333333333331</v>
      </c>
      <c r="C1312" s="9">
        <f t="shared" si="226"/>
        <v>98.999999999999758</v>
      </c>
      <c r="D1312" s="8" t="str">
        <f t="shared" si="227"/>
        <v>W</v>
      </c>
      <c r="E1312" s="3">
        <f t="shared" si="228"/>
        <v>101</v>
      </c>
      <c r="F1312" s="3" t="str">
        <f t="shared" si="229"/>
        <v>ack</v>
      </c>
      <c r="G1312" s="3" t="str">
        <f t="shared" si="230"/>
        <v>A9</v>
      </c>
      <c r="H1312" s="3" t="str">
        <f t="shared" si="231"/>
        <v/>
      </c>
      <c r="I1312" s="3">
        <f t="shared" si="232"/>
        <v>169</v>
      </c>
      <c r="J1312" s="5" t="str">
        <f>IF(E1312=0,"Broadcast",IF(H1312="",IF(I1312="","",IF(I1312&lt;128,"Connect "&amp;I1312,INDEX(KdoCodeTab,MATCH(I1312,KdoWertTab,0)))),"ReadStat "&amp;H1312))</f>
        <v>Heartbeat</v>
      </c>
      <c r="K1312" t="str">
        <f t="shared" si="222"/>
        <v/>
      </c>
      <c r="L1312" t="str">
        <f t="shared" si="223"/>
        <v/>
      </c>
      <c r="M1312" t="str">
        <f t="shared" si="224"/>
        <v>Heartbeat</v>
      </c>
    </row>
    <row r="1313" spans="1:13" x14ac:dyDescent="0.25">
      <c r="A1313" t="s">
        <v>887</v>
      </c>
      <c r="B1313" s="6">
        <f t="shared" si="225"/>
        <v>3.4443333333333332</v>
      </c>
      <c r="C1313" s="9">
        <f t="shared" si="226"/>
        <v>301.00000000000017</v>
      </c>
      <c r="D1313" s="8" t="str">
        <f t="shared" si="227"/>
        <v>W</v>
      </c>
      <c r="E1313" s="3">
        <f t="shared" si="228"/>
        <v>101</v>
      </c>
      <c r="F1313" s="3" t="str">
        <f t="shared" si="229"/>
        <v>ack</v>
      </c>
      <c r="G1313" s="3" t="str">
        <f t="shared" si="230"/>
        <v>93</v>
      </c>
      <c r="H1313" s="3" t="str">
        <f t="shared" si="231"/>
        <v/>
      </c>
      <c r="I1313" s="3">
        <f t="shared" si="232"/>
        <v>147</v>
      </c>
      <c r="J1313" s="5" t="str">
        <f>IF(E1313=0,"Broadcast",IF(H1313="",IF(I1313="","",IF(I1313&lt;128,"Connect "&amp;I1313,INDEX(KdoCodeTab,MATCH(I1313,KdoWertTab,0)))),"ReadStat "&amp;H1313))</f>
        <v>SpaceCmd</v>
      </c>
      <c r="K1313" t="str">
        <f t="shared" si="222"/>
        <v/>
      </c>
      <c r="L1313" t="str">
        <f t="shared" si="223"/>
        <v/>
      </c>
      <c r="M1313" t="str">
        <f t="shared" si="224"/>
        <v>SpaceCmd</v>
      </c>
    </row>
    <row r="1314" spans="1:13" x14ac:dyDescent="0.25">
      <c r="A1314" t="s">
        <v>888</v>
      </c>
      <c r="B1314" s="6">
        <f t="shared" si="225"/>
        <v>3.4453333333333331</v>
      </c>
      <c r="C1314" s="9">
        <f t="shared" si="226"/>
        <v>0.99999999999988987</v>
      </c>
      <c r="D1314" s="8" t="str">
        <f t="shared" si="227"/>
        <v>W</v>
      </c>
      <c r="E1314" s="3">
        <f t="shared" si="228"/>
        <v>101</v>
      </c>
      <c r="F1314" s="3" t="str">
        <f t="shared" si="229"/>
        <v>ack</v>
      </c>
      <c r="G1314" s="3" t="str">
        <f t="shared" si="230"/>
        <v>96</v>
      </c>
      <c r="H1314" s="3" t="str">
        <f t="shared" si="231"/>
        <v/>
      </c>
      <c r="I1314" s="3">
        <f t="shared" si="232"/>
        <v>150</v>
      </c>
      <c r="J1314" s="5" t="str">
        <f>IF(E1314=0,"Broadcast",IF(H1314="",IF(I1314="","",IF(I1314&lt;128,"Connect "&amp;I1314,INDEX(KdoCodeTab,MATCH(I1314,KdoWertTab,0)))),"ReadStat "&amp;H1314))</f>
        <v>RepSpaceCmd</v>
      </c>
      <c r="K1314" t="str">
        <f t="shared" si="222"/>
        <v/>
      </c>
      <c r="L1314" t="str">
        <f t="shared" si="223"/>
        <v/>
      </c>
      <c r="M1314" t="str">
        <f t="shared" si="224"/>
        <v>RepSpaceCmd</v>
      </c>
    </row>
    <row r="1315" spans="1:13" x14ac:dyDescent="0.25">
      <c r="A1315" t="s">
        <v>889</v>
      </c>
      <c r="B1315" s="6">
        <f t="shared" si="225"/>
        <v>3.4646666666666666</v>
      </c>
      <c r="C1315" s="9">
        <f t="shared" si="226"/>
        <v>19.333333333333425</v>
      </c>
      <c r="D1315" s="8" t="str">
        <f t="shared" si="227"/>
        <v>W</v>
      </c>
      <c r="E1315" s="3">
        <f t="shared" si="228"/>
        <v>101</v>
      </c>
      <c r="F1315" s="3" t="str">
        <f t="shared" si="229"/>
        <v>ack</v>
      </c>
      <c r="G1315" s="3" t="str">
        <f t="shared" si="230"/>
        <v>9C</v>
      </c>
      <c r="H1315" s="3" t="str">
        <f t="shared" si="231"/>
        <v/>
      </c>
      <c r="I1315" s="3">
        <f t="shared" si="232"/>
        <v>156</v>
      </c>
      <c r="J1315" s="5" t="str">
        <f>IF(E1315=0,"Broadcast",IF(H1315="",IF(I1315="","",IF(I1315&lt;128,"Connect "&amp;I1315,INDEX(KdoCodeTab,MATCH(I1315,KdoWertTab,0)))),"ReadStat "&amp;H1315))</f>
        <v>MarkCmd</v>
      </c>
      <c r="K1315" t="str">
        <f t="shared" si="222"/>
        <v/>
      </c>
      <c r="L1315" t="str">
        <f t="shared" si="223"/>
        <v/>
      </c>
      <c r="M1315" t="str">
        <f t="shared" si="224"/>
        <v>MarkCmd</v>
      </c>
    </row>
    <row r="1316" spans="1:13" x14ac:dyDescent="0.25">
      <c r="A1316" t="s">
        <v>890</v>
      </c>
      <c r="B1316" s="6">
        <f t="shared" si="225"/>
        <v>3.4655</v>
      </c>
      <c r="C1316" s="9">
        <f t="shared" si="226"/>
        <v>0.8333333333334636</v>
      </c>
      <c r="D1316" s="8" t="str">
        <f t="shared" si="227"/>
        <v>W</v>
      </c>
      <c r="E1316" s="3">
        <f t="shared" si="228"/>
        <v>101</v>
      </c>
      <c r="F1316" s="3" t="str">
        <f t="shared" si="229"/>
        <v>ack</v>
      </c>
      <c r="G1316" s="3" t="str">
        <f t="shared" si="230"/>
        <v>9A</v>
      </c>
      <c r="H1316" s="3" t="str">
        <f t="shared" si="231"/>
        <v/>
      </c>
      <c r="I1316" s="3">
        <f t="shared" si="232"/>
        <v>154</v>
      </c>
      <c r="J1316" s="5" t="str">
        <f>IF(E1316=0,"Broadcast",IF(H1316="",IF(I1316="","",IF(I1316&lt;128,"Connect "&amp;I1316,INDEX(KdoCodeTab,MATCH(I1316,KdoWertTab,0)))),"ReadStat "&amp;H1316))</f>
        <v>RepMarkCmd</v>
      </c>
      <c r="K1316" t="str">
        <f t="shared" si="222"/>
        <v/>
      </c>
      <c r="L1316" t="str">
        <f t="shared" si="223"/>
        <v/>
      </c>
      <c r="M1316" t="str">
        <f t="shared" si="224"/>
        <v>RepMarkCmd</v>
      </c>
    </row>
    <row r="1317" spans="1:13" x14ac:dyDescent="0.25">
      <c r="A1317" t="s">
        <v>891</v>
      </c>
      <c r="B1317" s="6">
        <f t="shared" si="225"/>
        <v>3.504</v>
      </c>
      <c r="C1317" s="9">
        <f t="shared" si="226"/>
        <v>38.499999999999979</v>
      </c>
      <c r="D1317" s="8" t="str">
        <f t="shared" si="227"/>
        <v>W</v>
      </c>
      <c r="E1317" s="3">
        <f t="shared" si="228"/>
        <v>101</v>
      </c>
      <c r="F1317" s="3" t="str">
        <f t="shared" si="229"/>
        <v>ack</v>
      </c>
      <c r="G1317" s="3" t="str">
        <f t="shared" si="230"/>
        <v>93</v>
      </c>
      <c r="H1317" s="3" t="str">
        <f t="shared" si="231"/>
        <v/>
      </c>
      <c r="I1317" s="3">
        <f t="shared" si="232"/>
        <v>147</v>
      </c>
      <c r="J1317" s="5" t="str">
        <f>IF(E1317=0,"Broadcast",IF(H1317="",IF(I1317="","",IF(I1317&lt;128,"Connect "&amp;I1317,INDEX(KdoCodeTab,MATCH(I1317,KdoWertTab,0)))),"ReadStat "&amp;H1317))</f>
        <v>SpaceCmd</v>
      </c>
      <c r="K1317" t="str">
        <f t="shared" si="222"/>
        <v/>
      </c>
      <c r="L1317" t="str">
        <f t="shared" si="223"/>
        <v/>
      </c>
      <c r="M1317" t="str">
        <f t="shared" si="224"/>
        <v>SpaceCmd</v>
      </c>
    </row>
    <row r="1318" spans="1:13" x14ac:dyDescent="0.25">
      <c r="A1318" t="s">
        <v>892</v>
      </c>
      <c r="B1318" s="6">
        <f t="shared" si="225"/>
        <v>3.5048333333333335</v>
      </c>
      <c r="C1318" s="9">
        <f t="shared" si="226"/>
        <v>0.8333333333334636</v>
      </c>
      <c r="D1318" s="8" t="str">
        <f t="shared" si="227"/>
        <v>W</v>
      </c>
      <c r="E1318" s="3">
        <f t="shared" si="228"/>
        <v>101</v>
      </c>
      <c r="F1318" s="3" t="str">
        <f t="shared" si="229"/>
        <v>ack</v>
      </c>
      <c r="G1318" s="3" t="str">
        <f t="shared" si="230"/>
        <v>96</v>
      </c>
      <c r="H1318" s="3" t="str">
        <f t="shared" si="231"/>
        <v/>
      </c>
      <c r="I1318" s="3">
        <f t="shared" si="232"/>
        <v>150</v>
      </c>
      <c r="J1318" s="5" t="str">
        <f>IF(E1318=0,"Broadcast",IF(H1318="",IF(I1318="","",IF(I1318&lt;128,"Connect "&amp;I1318,INDEX(KdoCodeTab,MATCH(I1318,KdoWertTab,0)))),"ReadStat "&amp;H1318))</f>
        <v>RepSpaceCmd</v>
      </c>
      <c r="K1318" t="str">
        <f t="shared" si="222"/>
        <v/>
      </c>
      <c r="L1318" t="str">
        <f t="shared" si="223"/>
        <v/>
      </c>
      <c r="M1318" t="str">
        <f t="shared" si="224"/>
        <v>RepSpaceCmd</v>
      </c>
    </row>
    <row r="1319" spans="1:13" x14ac:dyDescent="0.25">
      <c r="A1319" t="s">
        <v>893</v>
      </c>
      <c r="B1319" s="6">
        <f t="shared" si="225"/>
        <v>3.5243333333333333</v>
      </c>
      <c r="C1319" s="9">
        <f t="shared" si="226"/>
        <v>19.499999999999851</v>
      </c>
      <c r="D1319" s="8" t="str">
        <f t="shared" si="227"/>
        <v>W</v>
      </c>
      <c r="E1319" s="3">
        <f t="shared" si="228"/>
        <v>101</v>
      </c>
      <c r="F1319" s="3" t="str">
        <f t="shared" si="229"/>
        <v>ack</v>
      </c>
      <c r="G1319" s="3" t="str">
        <f t="shared" si="230"/>
        <v>9C</v>
      </c>
      <c r="H1319" s="3" t="str">
        <f t="shared" si="231"/>
        <v/>
      </c>
      <c r="I1319" s="3">
        <f t="shared" si="232"/>
        <v>156</v>
      </c>
      <c r="J1319" s="5" t="str">
        <f>IF(E1319=0,"Broadcast",IF(H1319="",IF(I1319="","",IF(I1319&lt;128,"Connect "&amp;I1319,INDEX(KdoCodeTab,MATCH(I1319,KdoWertTab,0)))),"ReadStat "&amp;H1319))</f>
        <v>MarkCmd</v>
      </c>
      <c r="K1319" t="str">
        <f t="shared" si="222"/>
        <v/>
      </c>
      <c r="L1319" t="str">
        <f t="shared" si="223"/>
        <v/>
      </c>
      <c r="M1319" t="str">
        <f t="shared" si="224"/>
        <v>MarkCmd</v>
      </c>
    </row>
    <row r="1320" spans="1:13" x14ac:dyDescent="0.25">
      <c r="A1320" t="s">
        <v>894</v>
      </c>
      <c r="B1320" s="6">
        <f t="shared" si="225"/>
        <v>3.5251666666666668</v>
      </c>
      <c r="C1320" s="9">
        <f t="shared" si="226"/>
        <v>0.8333333333334636</v>
      </c>
      <c r="D1320" s="8" t="str">
        <f t="shared" si="227"/>
        <v>W</v>
      </c>
      <c r="E1320" s="3">
        <f t="shared" si="228"/>
        <v>101</v>
      </c>
      <c r="F1320" s="3" t="str">
        <f t="shared" si="229"/>
        <v>ack</v>
      </c>
      <c r="G1320" s="3" t="str">
        <f t="shared" si="230"/>
        <v>9A</v>
      </c>
      <c r="H1320" s="3" t="str">
        <f t="shared" si="231"/>
        <v/>
      </c>
      <c r="I1320" s="3">
        <f t="shared" si="232"/>
        <v>154</v>
      </c>
      <c r="J1320" s="5" t="str">
        <f>IF(E1320=0,"Broadcast",IF(H1320="",IF(I1320="","",IF(I1320&lt;128,"Connect "&amp;I1320,INDEX(KdoCodeTab,MATCH(I1320,KdoWertTab,0)))),"ReadStat "&amp;H1320))</f>
        <v>RepMarkCmd</v>
      </c>
      <c r="K1320" t="str">
        <f t="shared" si="222"/>
        <v/>
      </c>
      <c r="L1320" t="str">
        <f t="shared" si="223"/>
        <v/>
      </c>
      <c r="M1320" t="str">
        <f t="shared" si="224"/>
        <v>RepMarkCmd</v>
      </c>
    </row>
    <row r="1321" spans="1:13" x14ac:dyDescent="0.25">
      <c r="A1321" t="s">
        <v>895</v>
      </c>
      <c r="B1321" s="6">
        <f t="shared" si="225"/>
        <v>3.5503333333333331</v>
      </c>
      <c r="C1321" s="9">
        <f t="shared" si="226"/>
        <v>25.166666666666337</v>
      </c>
      <c r="D1321" s="8" t="str">
        <f t="shared" si="227"/>
        <v>W</v>
      </c>
      <c r="E1321" s="3">
        <f t="shared" si="228"/>
        <v>31</v>
      </c>
      <c r="F1321" s="3" t="str">
        <f t="shared" si="229"/>
        <v>ack</v>
      </c>
      <c r="G1321" s="3" t="str">
        <f t="shared" si="230"/>
        <v>9A</v>
      </c>
      <c r="H1321" s="3" t="str">
        <f t="shared" si="231"/>
        <v/>
      </c>
      <c r="I1321" s="3">
        <f t="shared" si="232"/>
        <v>154</v>
      </c>
      <c r="J1321" s="5" t="str">
        <f>IF(E1321=0,"Broadcast",IF(H1321="",IF(I1321="","",IF(I1321&lt;128,"Connect "&amp;I1321,INDEX(KdoCodeTab,MATCH(I1321,KdoWertTab,0)))),"ReadStat "&amp;H1321))</f>
        <v>RepMarkCmd</v>
      </c>
      <c r="K1321" t="str">
        <f t="shared" si="222"/>
        <v/>
      </c>
      <c r="L1321" t="str">
        <f t="shared" si="223"/>
        <v>RepMarkCmd</v>
      </c>
      <c r="M1321" t="str">
        <f t="shared" si="224"/>
        <v/>
      </c>
    </row>
    <row r="1322" spans="1:13" x14ac:dyDescent="0.25">
      <c r="A1322" t="s">
        <v>896</v>
      </c>
      <c r="B1322" s="6">
        <f t="shared" si="225"/>
        <v>3.5938333333333334</v>
      </c>
      <c r="C1322" s="9">
        <f t="shared" si="226"/>
        <v>43.500000000000313</v>
      </c>
      <c r="D1322" s="8" t="str">
        <f t="shared" si="227"/>
        <v>W</v>
      </c>
      <c r="E1322" s="3">
        <f t="shared" si="228"/>
        <v>101</v>
      </c>
      <c r="F1322" s="3" t="str">
        <f t="shared" si="229"/>
        <v>ack</v>
      </c>
      <c r="G1322" s="3" t="str">
        <f t="shared" si="230"/>
        <v>93</v>
      </c>
      <c r="H1322" s="3" t="str">
        <f t="shared" si="231"/>
        <v/>
      </c>
      <c r="I1322" s="3">
        <f t="shared" si="232"/>
        <v>147</v>
      </c>
      <c r="J1322" s="5" t="str">
        <f>IF(E1322=0,"Broadcast",IF(H1322="",IF(I1322="","",IF(I1322&lt;128,"Connect "&amp;I1322,INDEX(KdoCodeTab,MATCH(I1322,KdoWertTab,0)))),"ReadStat "&amp;H1322))</f>
        <v>SpaceCmd</v>
      </c>
      <c r="K1322" t="str">
        <f t="shared" si="222"/>
        <v/>
      </c>
      <c r="L1322" t="str">
        <f t="shared" si="223"/>
        <v/>
      </c>
      <c r="M1322" t="str">
        <f t="shared" si="224"/>
        <v>SpaceCmd</v>
      </c>
    </row>
    <row r="1323" spans="1:13" x14ac:dyDescent="0.25">
      <c r="A1323" t="s">
        <v>897</v>
      </c>
      <c r="B1323" s="6">
        <f t="shared" si="225"/>
        <v>3.5948333333333333</v>
      </c>
      <c r="C1323" s="9">
        <f t="shared" si="226"/>
        <v>0.99999999999988987</v>
      </c>
      <c r="D1323" s="8" t="str">
        <f t="shared" si="227"/>
        <v>W</v>
      </c>
      <c r="E1323" s="3">
        <f t="shared" si="228"/>
        <v>101</v>
      </c>
      <c r="F1323" s="3" t="str">
        <f t="shared" si="229"/>
        <v>ack</v>
      </c>
      <c r="G1323" s="3" t="str">
        <f t="shared" si="230"/>
        <v>96</v>
      </c>
      <c r="H1323" s="3" t="str">
        <f t="shared" si="231"/>
        <v/>
      </c>
      <c r="I1323" s="3">
        <f t="shared" si="232"/>
        <v>150</v>
      </c>
      <c r="J1323" s="5" t="str">
        <f>IF(E1323=0,"Broadcast",IF(H1323="",IF(I1323="","",IF(I1323&lt;128,"Connect "&amp;I1323,INDEX(KdoCodeTab,MATCH(I1323,KdoWertTab,0)))),"ReadStat "&amp;H1323))</f>
        <v>RepSpaceCmd</v>
      </c>
      <c r="K1323" t="str">
        <f t="shared" si="222"/>
        <v/>
      </c>
      <c r="L1323" t="str">
        <f t="shared" si="223"/>
        <v/>
      </c>
      <c r="M1323" t="str">
        <f t="shared" si="224"/>
        <v>RepSpaceCmd</v>
      </c>
    </row>
    <row r="1324" spans="1:13" x14ac:dyDescent="0.25">
      <c r="A1324" t="s">
        <v>898</v>
      </c>
      <c r="B1324" s="6">
        <f t="shared" si="225"/>
        <v>3.6736666666666666</v>
      </c>
      <c r="C1324" s="9">
        <f t="shared" si="226"/>
        <v>78.833333333333314</v>
      </c>
      <c r="D1324" s="8" t="str">
        <f t="shared" si="227"/>
        <v>W</v>
      </c>
      <c r="E1324" s="3">
        <f t="shared" si="228"/>
        <v>101</v>
      </c>
      <c r="F1324" s="3" t="str">
        <f t="shared" si="229"/>
        <v>ack</v>
      </c>
      <c r="G1324" s="3" t="str">
        <f t="shared" si="230"/>
        <v>9C</v>
      </c>
      <c r="H1324" s="3" t="str">
        <f t="shared" si="231"/>
        <v/>
      </c>
      <c r="I1324" s="3">
        <f t="shared" si="232"/>
        <v>156</v>
      </c>
      <c r="J1324" s="5" t="str">
        <f>IF(E1324=0,"Broadcast",IF(H1324="",IF(I1324="","",IF(I1324&lt;128,"Connect "&amp;I1324,INDEX(KdoCodeTab,MATCH(I1324,KdoWertTab,0)))),"ReadStat "&amp;H1324))</f>
        <v>MarkCmd</v>
      </c>
      <c r="K1324" t="str">
        <f t="shared" si="222"/>
        <v/>
      </c>
      <c r="L1324" t="str">
        <f t="shared" si="223"/>
        <v/>
      </c>
      <c r="M1324" t="str">
        <f t="shared" si="224"/>
        <v>MarkCmd</v>
      </c>
    </row>
    <row r="1325" spans="1:13" x14ac:dyDescent="0.25">
      <c r="A1325" t="s">
        <v>899</v>
      </c>
      <c r="B1325" s="6">
        <f t="shared" si="225"/>
        <v>3.6745000000000001</v>
      </c>
      <c r="C1325" s="9">
        <f t="shared" si="226"/>
        <v>0.8333333333334636</v>
      </c>
      <c r="D1325" s="8" t="str">
        <f t="shared" si="227"/>
        <v>W</v>
      </c>
      <c r="E1325" s="3">
        <f t="shared" si="228"/>
        <v>101</v>
      </c>
      <c r="F1325" s="3" t="str">
        <f t="shared" si="229"/>
        <v>ack</v>
      </c>
      <c r="G1325" s="3" t="str">
        <f t="shared" si="230"/>
        <v>9A</v>
      </c>
      <c r="H1325" s="3" t="str">
        <f t="shared" si="231"/>
        <v/>
      </c>
      <c r="I1325" s="3">
        <f t="shared" si="232"/>
        <v>154</v>
      </c>
      <c r="J1325" s="5" t="str">
        <f>IF(E1325=0,"Broadcast",IF(H1325="",IF(I1325="","",IF(I1325&lt;128,"Connect "&amp;I1325,INDEX(KdoCodeTab,MATCH(I1325,KdoWertTab,0)))),"ReadStat "&amp;H1325))</f>
        <v>RepMarkCmd</v>
      </c>
      <c r="K1325" t="str">
        <f t="shared" si="222"/>
        <v/>
      </c>
      <c r="L1325" t="str">
        <f t="shared" si="223"/>
        <v/>
      </c>
      <c r="M1325" t="str">
        <f t="shared" si="224"/>
        <v>RepMarkCmd</v>
      </c>
    </row>
    <row r="1326" spans="1:13" x14ac:dyDescent="0.25">
      <c r="A1326" t="s">
        <v>900</v>
      </c>
      <c r="B1326" s="6">
        <f t="shared" si="225"/>
        <v>3.694</v>
      </c>
      <c r="C1326" s="9">
        <f t="shared" si="226"/>
        <v>19.499999999999851</v>
      </c>
      <c r="D1326" s="8" t="str">
        <f t="shared" si="227"/>
        <v>W</v>
      </c>
      <c r="E1326" s="3">
        <f t="shared" si="228"/>
        <v>101</v>
      </c>
      <c r="F1326" s="3" t="str">
        <f t="shared" si="229"/>
        <v>ack</v>
      </c>
      <c r="G1326" s="3" t="str">
        <f t="shared" si="230"/>
        <v>93</v>
      </c>
      <c r="H1326" s="3" t="str">
        <f t="shared" si="231"/>
        <v/>
      </c>
      <c r="I1326" s="3">
        <f t="shared" si="232"/>
        <v>147</v>
      </c>
      <c r="J1326" s="5" t="str">
        <f>IF(E1326=0,"Broadcast",IF(H1326="",IF(I1326="","",IF(I1326&lt;128,"Connect "&amp;I1326,INDEX(KdoCodeTab,MATCH(I1326,KdoWertTab,0)))),"ReadStat "&amp;H1326))</f>
        <v>SpaceCmd</v>
      </c>
      <c r="K1326" t="str">
        <f t="shared" si="222"/>
        <v/>
      </c>
      <c r="L1326" t="str">
        <f t="shared" si="223"/>
        <v/>
      </c>
      <c r="M1326" t="str">
        <f t="shared" si="224"/>
        <v>SpaceCmd</v>
      </c>
    </row>
    <row r="1327" spans="1:13" x14ac:dyDescent="0.25">
      <c r="A1327" t="s">
        <v>901</v>
      </c>
      <c r="B1327" s="6">
        <f t="shared" si="225"/>
        <v>3.6948333333333334</v>
      </c>
      <c r="C1327" s="9">
        <f t="shared" si="226"/>
        <v>0.8333333333334636</v>
      </c>
      <c r="D1327" s="8" t="str">
        <f t="shared" si="227"/>
        <v>W</v>
      </c>
      <c r="E1327" s="3">
        <f t="shared" si="228"/>
        <v>101</v>
      </c>
      <c r="F1327" s="3" t="str">
        <f t="shared" si="229"/>
        <v>ack</v>
      </c>
      <c r="G1327" s="3" t="str">
        <f t="shared" si="230"/>
        <v>96</v>
      </c>
      <c r="H1327" s="3" t="str">
        <f t="shared" si="231"/>
        <v/>
      </c>
      <c r="I1327" s="3">
        <f t="shared" si="232"/>
        <v>150</v>
      </c>
      <c r="J1327" s="5" t="str">
        <f>IF(E1327=0,"Broadcast",IF(H1327="",IF(I1327="","",IF(I1327&lt;128,"Connect "&amp;I1327,INDEX(KdoCodeTab,MATCH(I1327,KdoWertTab,0)))),"ReadStat "&amp;H1327))</f>
        <v>RepSpaceCmd</v>
      </c>
      <c r="K1327" t="str">
        <f t="shared" si="222"/>
        <v/>
      </c>
      <c r="L1327" t="str">
        <f t="shared" si="223"/>
        <v/>
      </c>
      <c r="M1327" t="str">
        <f t="shared" si="224"/>
        <v>RepSpaceCmd</v>
      </c>
    </row>
    <row r="1328" spans="1:13" x14ac:dyDescent="0.25">
      <c r="A1328" t="s">
        <v>902</v>
      </c>
      <c r="B1328" s="6">
        <f t="shared" si="225"/>
        <v>3.7141666666666668</v>
      </c>
      <c r="C1328" s="9">
        <f t="shared" si="226"/>
        <v>19.333333333333425</v>
      </c>
      <c r="D1328" s="8" t="str">
        <f t="shared" si="227"/>
        <v>W</v>
      </c>
      <c r="E1328" s="3">
        <f t="shared" si="228"/>
        <v>101</v>
      </c>
      <c r="F1328" s="3" t="str">
        <f t="shared" si="229"/>
        <v>ack</v>
      </c>
      <c r="G1328" s="3" t="str">
        <f t="shared" si="230"/>
        <v>9C</v>
      </c>
      <c r="H1328" s="3" t="str">
        <f t="shared" si="231"/>
        <v/>
      </c>
      <c r="I1328" s="3">
        <f t="shared" si="232"/>
        <v>156</v>
      </c>
      <c r="J1328" s="5" t="str">
        <f>IF(E1328=0,"Broadcast",IF(H1328="",IF(I1328="","",IF(I1328&lt;128,"Connect "&amp;I1328,INDEX(KdoCodeTab,MATCH(I1328,KdoWertTab,0)))),"ReadStat "&amp;H1328))</f>
        <v>MarkCmd</v>
      </c>
      <c r="K1328" t="str">
        <f t="shared" si="222"/>
        <v/>
      </c>
      <c r="L1328" t="str">
        <f t="shared" si="223"/>
        <v/>
      </c>
      <c r="M1328" t="str">
        <f t="shared" si="224"/>
        <v>MarkCmd</v>
      </c>
    </row>
    <row r="1329" spans="1:13" x14ac:dyDescent="0.25">
      <c r="A1329" t="s">
        <v>903</v>
      </c>
      <c r="B1329" s="6">
        <f t="shared" si="225"/>
        <v>3.7151666666666667</v>
      </c>
      <c r="C1329" s="9">
        <f t="shared" si="226"/>
        <v>0.99999999999988987</v>
      </c>
      <c r="D1329" s="8" t="str">
        <f t="shared" si="227"/>
        <v>W</v>
      </c>
      <c r="E1329" s="3">
        <f t="shared" si="228"/>
        <v>101</v>
      </c>
      <c r="F1329" s="3" t="str">
        <f t="shared" si="229"/>
        <v>ack</v>
      </c>
      <c r="G1329" s="3" t="str">
        <f t="shared" si="230"/>
        <v>9A</v>
      </c>
      <c r="H1329" s="3" t="str">
        <f t="shared" si="231"/>
        <v/>
      </c>
      <c r="I1329" s="3">
        <f t="shared" si="232"/>
        <v>154</v>
      </c>
      <c r="J1329" s="5" t="str">
        <f>IF(E1329=0,"Broadcast",IF(H1329="",IF(I1329="","",IF(I1329&lt;128,"Connect "&amp;I1329,INDEX(KdoCodeTab,MATCH(I1329,KdoWertTab,0)))),"ReadStat "&amp;H1329))</f>
        <v>RepMarkCmd</v>
      </c>
      <c r="K1329" t="str">
        <f t="shared" si="222"/>
        <v/>
      </c>
      <c r="L1329" t="str">
        <f t="shared" si="223"/>
        <v/>
      </c>
      <c r="M1329" t="str">
        <f t="shared" si="224"/>
        <v>RepMarkCmd</v>
      </c>
    </row>
    <row r="1330" spans="1:13" x14ac:dyDescent="0.25">
      <c r="A1330" t="s">
        <v>904</v>
      </c>
      <c r="B1330" s="6">
        <f t="shared" si="225"/>
        <v>3.7495000000000003</v>
      </c>
      <c r="C1330" s="9">
        <f t="shared" si="226"/>
        <v>34.333333333333549</v>
      </c>
      <c r="D1330" s="8" t="str">
        <f t="shared" si="227"/>
        <v>W</v>
      </c>
      <c r="E1330" s="3">
        <f t="shared" si="228"/>
        <v>101</v>
      </c>
      <c r="F1330" s="3" t="str">
        <f t="shared" si="229"/>
        <v>ack</v>
      </c>
      <c r="G1330" s="3" t="str">
        <f t="shared" si="230"/>
        <v>93</v>
      </c>
      <c r="H1330" s="3" t="str">
        <f t="shared" si="231"/>
        <v/>
      </c>
      <c r="I1330" s="3">
        <f t="shared" si="232"/>
        <v>147</v>
      </c>
      <c r="J1330" s="5" t="str">
        <f>IF(E1330=0,"Broadcast",IF(H1330="",IF(I1330="","",IF(I1330&lt;128,"Connect "&amp;I1330,INDEX(KdoCodeTab,MATCH(I1330,KdoWertTab,0)))),"ReadStat "&amp;H1330))</f>
        <v>SpaceCmd</v>
      </c>
      <c r="K1330" t="str">
        <f t="shared" si="222"/>
        <v/>
      </c>
      <c r="L1330" t="str">
        <f t="shared" si="223"/>
        <v/>
      </c>
      <c r="M1330" t="str">
        <f t="shared" si="224"/>
        <v>SpaceCmd</v>
      </c>
    </row>
    <row r="1331" spans="1:13" x14ac:dyDescent="0.25">
      <c r="A1331" t="s">
        <v>905</v>
      </c>
      <c r="B1331" s="6">
        <f t="shared" si="225"/>
        <v>3.7503333333333333</v>
      </c>
      <c r="C1331" s="9">
        <f t="shared" si="226"/>
        <v>0.83333333333301951</v>
      </c>
      <c r="D1331" s="8" t="str">
        <f t="shared" si="227"/>
        <v>W</v>
      </c>
      <c r="E1331" s="3">
        <f t="shared" si="228"/>
        <v>101</v>
      </c>
      <c r="F1331" s="3" t="str">
        <f t="shared" si="229"/>
        <v>ack</v>
      </c>
      <c r="G1331" s="3" t="str">
        <f t="shared" si="230"/>
        <v>96</v>
      </c>
      <c r="H1331" s="3" t="str">
        <f t="shared" si="231"/>
        <v/>
      </c>
      <c r="I1331" s="3">
        <f t="shared" si="232"/>
        <v>150</v>
      </c>
      <c r="J1331" s="5" t="str">
        <f>IF(E1331=0,"Broadcast",IF(H1331="",IF(I1331="","",IF(I1331&lt;128,"Connect "&amp;I1331,INDEX(KdoCodeTab,MATCH(I1331,KdoWertTab,0)))),"ReadStat "&amp;H1331))</f>
        <v>RepSpaceCmd</v>
      </c>
      <c r="K1331" t="str">
        <f t="shared" si="222"/>
        <v/>
      </c>
      <c r="L1331" t="str">
        <f t="shared" si="223"/>
        <v/>
      </c>
      <c r="M1331" t="str">
        <f t="shared" si="224"/>
        <v>RepSpaceCmd</v>
      </c>
    </row>
    <row r="1332" spans="1:13" x14ac:dyDescent="0.25">
      <c r="A1332" t="s">
        <v>906</v>
      </c>
      <c r="B1332" s="6">
        <f t="shared" si="225"/>
        <v>3.79</v>
      </c>
      <c r="C1332" s="9">
        <f t="shared" si="226"/>
        <v>39.666666666666742</v>
      </c>
      <c r="D1332" s="8" t="str">
        <f t="shared" si="227"/>
        <v>W</v>
      </c>
      <c r="E1332" s="3">
        <f t="shared" si="228"/>
        <v>101</v>
      </c>
      <c r="F1332" s="3" t="str">
        <f t="shared" si="229"/>
        <v>ack</v>
      </c>
      <c r="G1332" s="3" t="str">
        <f t="shared" si="230"/>
        <v>9C</v>
      </c>
      <c r="H1332" s="3" t="str">
        <f t="shared" si="231"/>
        <v/>
      </c>
      <c r="I1332" s="3">
        <f t="shared" si="232"/>
        <v>156</v>
      </c>
      <c r="J1332" s="5" t="str">
        <f>IF(E1332=0,"Broadcast",IF(H1332="",IF(I1332="","",IF(I1332&lt;128,"Connect "&amp;I1332,INDEX(KdoCodeTab,MATCH(I1332,KdoWertTab,0)))),"ReadStat "&amp;H1332))</f>
        <v>MarkCmd</v>
      </c>
      <c r="K1332" t="str">
        <f t="shared" si="222"/>
        <v/>
      </c>
      <c r="L1332" t="str">
        <f t="shared" si="223"/>
        <v/>
      </c>
      <c r="M1332" t="str">
        <f t="shared" si="224"/>
        <v>MarkCmd</v>
      </c>
    </row>
    <row r="1333" spans="1:13" x14ac:dyDescent="0.25">
      <c r="A1333" t="s">
        <v>907</v>
      </c>
      <c r="B1333" s="6">
        <f t="shared" si="225"/>
        <v>3.7908333333333335</v>
      </c>
      <c r="C1333" s="9">
        <f t="shared" si="226"/>
        <v>0.8333333333334636</v>
      </c>
      <c r="D1333" s="8" t="str">
        <f t="shared" si="227"/>
        <v>W</v>
      </c>
      <c r="E1333" s="3">
        <f t="shared" si="228"/>
        <v>101</v>
      </c>
      <c r="F1333" s="3" t="str">
        <f t="shared" si="229"/>
        <v>ack</v>
      </c>
      <c r="G1333" s="3" t="str">
        <f t="shared" si="230"/>
        <v>9A</v>
      </c>
      <c r="H1333" s="3" t="str">
        <f t="shared" si="231"/>
        <v/>
      </c>
      <c r="I1333" s="3">
        <f t="shared" si="232"/>
        <v>154</v>
      </c>
      <c r="J1333" s="5" t="str">
        <f>IF(E1333=0,"Broadcast",IF(H1333="",IF(I1333="","",IF(I1333&lt;128,"Connect "&amp;I1333,INDEX(KdoCodeTab,MATCH(I1333,KdoWertTab,0)))),"ReadStat "&amp;H1333))</f>
        <v>RepMarkCmd</v>
      </c>
      <c r="K1333" t="str">
        <f t="shared" si="222"/>
        <v/>
      </c>
      <c r="L1333" t="str">
        <f t="shared" si="223"/>
        <v/>
      </c>
      <c r="M1333" t="str">
        <f t="shared" si="224"/>
        <v>RepMarkCmd</v>
      </c>
    </row>
    <row r="1334" spans="1:13" x14ac:dyDescent="0.25">
      <c r="A1334" t="s">
        <v>908</v>
      </c>
      <c r="B1334" s="6">
        <f t="shared" si="225"/>
        <v>3.8101666666666669</v>
      </c>
      <c r="C1334" s="9">
        <f t="shared" si="226"/>
        <v>19.333333333333425</v>
      </c>
      <c r="D1334" s="8" t="str">
        <f t="shared" si="227"/>
        <v>W</v>
      </c>
      <c r="E1334" s="3">
        <f t="shared" si="228"/>
        <v>101</v>
      </c>
      <c r="F1334" s="3" t="str">
        <f t="shared" si="229"/>
        <v>ack</v>
      </c>
      <c r="G1334" s="3" t="str">
        <f t="shared" si="230"/>
        <v>93</v>
      </c>
      <c r="H1334" s="3" t="str">
        <f t="shared" si="231"/>
        <v/>
      </c>
      <c r="I1334" s="3">
        <f t="shared" si="232"/>
        <v>147</v>
      </c>
      <c r="J1334" s="5" t="str">
        <f>IF(E1334=0,"Broadcast",IF(H1334="",IF(I1334="","",IF(I1334&lt;128,"Connect "&amp;I1334,INDEX(KdoCodeTab,MATCH(I1334,KdoWertTab,0)))),"ReadStat "&amp;H1334))</f>
        <v>SpaceCmd</v>
      </c>
      <c r="K1334" t="str">
        <f t="shared" si="222"/>
        <v/>
      </c>
      <c r="L1334" t="str">
        <f t="shared" si="223"/>
        <v/>
      </c>
      <c r="M1334" t="str">
        <f t="shared" si="224"/>
        <v>SpaceCmd</v>
      </c>
    </row>
    <row r="1335" spans="1:13" x14ac:dyDescent="0.25">
      <c r="A1335" t="s">
        <v>909</v>
      </c>
      <c r="B1335" s="6">
        <f t="shared" si="225"/>
        <v>3.8109999999999999</v>
      </c>
      <c r="C1335" s="9">
        <f t="shared" si="226"/>
        <v>0.83333333333301951</v>
      </c>
      <c r="D1335" s="8" t="str">
        <f t="shared" si="227"/>
        <v>W</v>
      </c>
      <c r="E1335" s="3">
        <f t="shared" si="228"/>
        <v>101</v>
      </c>
      <c r="F1335" s="3" t="str">
        <f t="shared" si="229"/>
        <v>ack</v>
      </c>
      <c r="G1335" s="3" t="str">
        <f t="shared" si="230"/>
        <v>96</v>
      </c>
      <c r="H1335" s="3" t="str">
        <f t="shared" si="231"/>
        <v/>
      </c>
      <c r="I1335" s="3">
        <f t="shared" si="232"/>
        <v>150</v>
      </c>
      <c r="J1335" s="5" t="str">
        <f>IF(E1335=0,"Broadcast",IF(H1335="",IF(I1335="","",IF(I1335&lt;128,"Connect "&amp;I1335,INDEX(KdoCodeTab,MATCH(I1335,KdoWertTab,0)))),"ReadStat "&amp;H1335))</f>
        <v>RepSpaceCmd</v>
      </c>
      <c r="K1335" t="str">
        <f t="shared" si="222"/>
        <v/>
      </c>
      <c r="L1335" t="str">
        <f t="shared" si="223"/>
        <v/>
      </c>
      <c r="M1335" t="str">
        <f t="shared" si="224"/>
        <v>RepSpaceCmd</v>
      </c>
    </row>
    <row r="1336" spans="1:13" x14ac:dyDescent="0.25">
      <c r="A1336" t="s">
        <v>910</v>
      </c>
      <c r="B1336" s="6">
        <f t="shared" si="225"/>
        <v>3.8253333333333335</v>
      </c>
      <c r="C1336" s="9">
        <f t="shared" si="226"/>
        <v>14.333333333333531</v>
      </c>
      <c r="D1336" s="8" t="str">
        <f t="shared" si="227"/>
        <v>W</v>
      </c>
      <c r="E1336" s="3">
        <f t="shared" si="228"/>
        <v>101</v>
      </c>
      <c r="F1336" s="3" t="str">
        <f t="shared" si="229"/>
        <v>ack</v>
      </c>
      <c r="G1336" s="3" t="str">
        <f t="shared" si="230"/>
        <v>A9</v>
      </c>
      <c r="H1336" s="3" t="str">
        <f t="shared" si="231"/>
        <v/>
      </c>
      <c r="I1336" s="3">
        <f t="shared" si="232"/>
        <v>169</v>
      </c>
      <c r="J1336" s="5" t="str">
        <f>IF(E1336=0,"Broadcast",IF(H1336="",IF(I1336="","",IF(I1336&lt;128,"Connect "&amp;I1336,INDEX(KdoCodeTab,MATCH(I1336,KdoWertTab,0)))),"ReadStat "&amp;H1336))</f>
        <v>Heartbeat</v>
      </c>
      <c r="K1336" t="str">
        <f t="shared" si="222"/>
        <v/>
      </c>
      <c r="L1336" t="str">
        <f t="shared" si="223"/>
        <v/>
      </c>
      <c r="M1336" t="str">
        <f t="shared" si="224"/>
        <v>Heartbeat</v>
      </c>
    </row>
    <row r="1337" spans="1:13" x14ac:dyDescent="0.25">
      <c r="A1337" t="s">
        <v>911</v>
      </c>
      <c r="B1337" s="6">
        <f t="shared" si="225"/>
        <v>3.8708333333333336</v>
      </c>
      <c r="C1337" s="9">
        <f t="shared" si="226"/>
        <v>45.500000000000099</v>
      </c>
      <c r="D1337" s="8" t="str">
        <f t="shared" si="227"/>
        <v>W</v>
      </c>
      <c r="E1337" s="3">
        <f t="shared" si="228"/>
        <v>101</v>
      </c>
      <c r="F1337" s="3" t="str">
        <f t="shared" si="229"/>
        <v>ack</v>
      </c>
      <c r="G1337" s="3" t="str">
        <f t="shared" si="230"/>
        <v>9C</v>
      </c>
      <c r="H1337" s="3" t="str">
        <f t="shared" si="231"/>
        <v/>
      </c>
      <c r="I1337" s="3">
        <f t="shared" si="232"/>
        <v>156</v>
      </c>
      <c r="J1337" s="5" t="str">
        <f>IF(E1337=0,"Broadcast",IF(H1337="",IF(I1337="","",IF(I1337&lt;128,"Connect "&amp;I1337,INDEX(KdoCodeTab,MATCH(I1337,KdoWertTab,0)))),"ReadStat "&amp;H1337))</f>
        <v>MarkCmd</v>
      </c>
      <c r="K1337" t="str">
        <f t="shared" si="222"/>
        <v/>
      </c>
      <c r="L1337" t="str">
        <f t="shared" si="223"/>
        <v/>
      </c>
      <c r="M1337" t="str">
        <f t="shared" si="224"/>
        <v>MarkCmd</v>
      </c>
    </row>
    <row r="1338" spans="1:13" x14ac:dyDescent="0.25">
      <c r="A1338" t="s">
        <v>912</v>
      </c>
      <c r="B1338" s="6">
        <f t="shared" si="225"/>
        <v>3.8716666666666666</v>
      </c>
      <c r="C1338" s="9">
        <f t="shared" si="226"/>
        <v>0.83333333333301951</v>
      </c>
      <c r="D1338" s="8" t="str">
        <f t="shared" si="227"/>
        <v>W</v>
      </c>
      <c r="E1338" s="3">
        <f t="shared" si="228"/>
        <v>101</v>
      </c>
      <c r="F1338" s="3" t="str">
        <f t="shared" si="229"/>
        <v>ack</v>
      </c>
      <c r="G1338" s="3" t="str">
        <f t="shared" si="230"/>
        <v>9A</v>
      </c>
      <c r="H1338" s="3" t="str">
        <f t="shared" si="231"/>
        <v/>
      </c>
      <c r="I1338" s="3">
        <f t="shared" si="232"/>
        <v>154</v>
      </c>
      <c r="J1338" s="5" t="str">
        <f>IF(E1338=0,"Broadcast",IF(H1338="",IF(I1338="","",IF(I1338&lt;128,"Connect "&amp;I1338,INDEX(KdoCodeTab,MATCH(I1338,KdoWertTab,0)))),"ReadStat "&amp;H1338))</f>
        <v>RepMarkCmd</v>
      </c>
      <c r="K1338" t="str">
        <f t="shared" si="222"/>
        <v/>
      </c>
      <c r="L1338" t="str">
        <f t="shared" si="223"/>
        <v/>
      </c>
      <c r="M1338" t="str">
        <f t="shared" si="224"/>
        <v>RepMarkCmd</v>
      </c>
    </row>
    <row r="1339" spans="1:13" x14ac:dyDescent="0.25">
      <c r="A1339" t="s">
        <v>913</v>
      </c>
      <c r="B1339" s="6">
        <f t="shared" si="225"/>
        <v>3.9213333333333331</v>
      </c>
      <c r="C1339" s="9">
        <f t="shared" si="226"/>
        <v>49.666666666666529</v>
      </c>
      <c r="D1339" s="8" t="str">
        <f t="shared" si="227"/>
        <v>W</v>
      </c>
      <c r="E1339" s="3">
        <f t="shared" si="228"/>
        <v>101</v>
      </c>
      <c r="F1339" s="3" t="str">
        <f t="shared" si="229"/>
        <v>ack</v>
      </c>
      <c r="G1339" s="3" t="str">
        <f t="shared" si="230"/>
        <v>93</v>
      </c>
      <c r="H1339" s="3" t="str">
        <f t="shared" si="231"/>
        <v/>
      </c>
      <c r="I1339" s="3">
        <f t="shared" si="232"/>
        <v>147</v>
      </c>
      <c r="J1339" s="5" t="str">
        <f>IF(E1339=0,"Broadcast",IF(H1339="",IF(I1339="","",IF(I1339&lt;128,"Connect "&amp;I1339,INDEX(KdoCodeTab,MATCH(I1339,KdoWertTab,0)))),"ReadStat "&amp;H1339))</f>
        <v>SpaceCmd</v>
      </c>
      <c r="K1339" t="str">
        <f t="shared" ref="K1339:K1396" si="233">IF(E1339=$K$2,J1339,"")</f>
        <v/>
      </c>
      <c r="L1339" t="str">
        <f t="shared" ref="L1339:L1396" si="234">IF(E1339=$L$2,J1339,"")</f>
        <v/>
      </c>
      <c r="M1339" t="str">
        <f t="shared" ref="M1339:M1396" si="235">IF(K1339&amp;L1339="",J1339,"")</f>
        <v>SpaceCmd</v>
      </c>
    </row>
    <row r="1340" spans="1:13" x14ac:dyDescent="0.25">
      <c r="A1340" t="s">
        <v>914</v>
      </c>
      <c r="B1340" s="6">
        <f t="shared" si="225"/>
        <v>3.922166666666667</v>
      </c>
      <c r="C1340" s="9">
        <f t="shared" si="226"/>
        <v>0.83333333333390769</v>
      </c>
      <c r="D1340" s="8" t="str">
        <f t="shared" si="227"/>
        <v>W</v>
      </c>
      <c r="E1340" s="3">
        <f t="shared" si="228"/>
        <v>101</v>
      </c>
      <c r="F1340" s="3" t="str">
        <f t="shared" si="229"/>
        <v>ack</v>
      </c>
      <c r="G1340" s="3" t="str">
        <f t="shared" si="230"/>
        <v>96</v>
      </c>
      <c r="H1340" s="3" t="str">
        <f t="shared" si="231"/>
        <v/>
      </c>
      <c r="I1340" s="3">
        <f t="shared" si="232"/>
        <v>150</v>
      </c>
      <c r="J1340" s="5" t="str">
        <f>IF(E1340=0,"Broadcast",IF(H1340="",IF(I1340="","",IF(I1340&lt;128,"Connect "&amp;I1340,INDEX(KdoCodeTab,MATCH(I1340,KdoWertTab,0)))),"ReadStat "&amp;H1340))</f>
        <v>RepSpaceCmd</v>
      </c>
      <c r="K1340" t="str">
        <f t="shared" si="233"/>
        <v/>
      </c>
      <c r="L1340" t="str">
        <f t="shared" si="234"/>
        <v/>
      </c>
      <c r="M1340" t="str">
        <f t="shared" si="235"/>
        <v>RepSpaceCmd</v>
      </c>
    </row>
    <row r="1341" spans="1:13" x14ac:dyDescent="0.25">
      <c r="A1341" t="s">
        <v>915</v>
      </c>
      <c r="B1341" s="6">
        <f t="shared" si="225"/>
        <v>3.9606666666666666</v>
      </c>
      <c r="C1341" s="9">
        <f t="shared" si="226"/>
        <v>38.499999999999531</v>
      </c>
      <c r="D1341" s="8" t="str">
        <f t="shared" si="227"/>
        <v>W</v>
      </c>
      <c r="E1341" s="3">
        <f t="shared" si="228"/>
        <v>101</v>
      </c>
      <c r="F1341" s="3" t="str">
        <f t="shared" si="229"/>
        <v>ack</v>
      </c>
      <c r="G1341" s="3" t="str">
        <f t="shared" si="230"/>
        <v>9C</v>
      </c>
      <c r="H1341" s="3" t="str">
        <f t="shared" si="231"/>
        <v/>
      </c>
      <c r="I1341" s="3">
        <f t="shared" si="232"/>
        <v>156</v>
      </c>
      <c r="J1341" s="5" t="str">
        <f>IF(E1341=0,"Broadcast",IF(H1341="",IF(I1341="","",IF(I1341&lt;128,"Connect "&amp;I1341,INDEX(KdoCodeTab,MATCH(I1341,KdoWertTab,0)))),"ReadStat "&amp;H1341))</f>
        <v>MarkCmd</v>
      </c>
      <c r="K1341" t="str">
        <f t="shared" si="233"/>
        <v/>
      </c>
      <c r="L1341" t="str">
        <f t="shared" si="234"/>
        <v/>
      </c>
      <c r="M1341" t="str">
        <f t="shared" si="235"/>
        <v>MarkCmd</v>
      </c>
    </row>
    <row r="1342" spans="1:13" x14ac:dyDescent="0.25">
      <c r="A1342" t="s">
        <v>916</v>
      </c>
      <c r="B1342" s="6">
        <f t="shared" si="225"/>
        <v>3.9615</v>
      </c>
      <c r="C1342" s="9">
        <f t="shared" si="226"/>
        <v>0.8333333333334636</v>
      </c>
      <c r="D1342" s="8" t="str">
        <f t="shared" si="227"/>
        <v>W</v>
      </c>
      <c r="E1342" s="3">
        <f t="shared" si="228"/>
        <v>101</v>
      </c>
      <c r="F1342" s="3" t="str">
        <f t="shared" si="229"/>
        <v>ack</v>
      </c>
      <c r="G1342" s="3" t="str">
        <f t="shared" si="230"/>
        <v>9A</v>
      </c>
      <c r="H1342" s="3" t="str">
        <f t="shared" si="231"/>
        <v/>
      </c>
      <c r="I1342" s="3">
        <f t="shared" si="232"/>
        <v>154</v>
      </c>
      <c r="J1342" s="5" t="str">
        <f>IF(E1342=0,"Broadcast",IF(H1342="",IF(I1342="","",IF(I1342&lt;128,"Connect "&amp;I1342,INDEX(KdoCodeTab,MATCH(I1342,KdoWertTab,0)))),"ReadStat "&amp;H1342))</f>
        <v>RepMarkCmd</v>
      </c>
      <c r="K1342" t="str">
        <f t="shared" si="233"/>
        <v/>
      </c>
      <c r="L1342" t="str">
        <f t="shared" si="234"/>
        <v/>
      </c>
      <c r="M1342" t="str">
        <f t="shared" si="235"/>
        <v>RepMarkCmd</v>
      </c>
    </row>
    <row r="1343" spans="1:13" x14ac:dyDescent="0.25">
      <c r="A1343" t="s">
        <v>917</v>
      </c>
      <c r="B1343" s="6">
        <f t="shared" si="225"/>
        <v>3.9808333333333334</v>
      </c>
      <c r="C1343" s="9">
        <f t="shared" si="226"/>
        <v>19.333333333333425</v>
      </c>
      <c r="D1343" s="8" t="str">
        <f t="shared" si="227"/>
        <v>W</v>
      </c>
      <c r="E1343" s="3">
        <f t="shared" si="228"/>
        <v>101</v>
      </c>
      <c r="F1343" s="3" t="str">
        <f t="shared" si="229"/>
        <v>ack</v>
      </c>
      <c r="G1343" s="3" t="str">
        <f t="shared" si="230"/>
        <v>93</v>
      </c>
      <c r="H1343" s="3" t="str">
        <f t="shared" si="231"/>
        <v/>
      </c>
      <c r="I1343" s="3">
        <f t="shared" si="232"/>
        <v>147</v>
      </c>
      <c r="J1343" s="5" t="str">
        <f>IF(E1343=0,"Broadcast",IF(H1343="",IF(I1343="","",IF(I1343&lt;128,"Connect "&amp;I1343,INDEX(KdoCodeTab,MATCH(I1343,KdoWertTab,0)))),"ReadStat "&amp;H1343))</f>
        <v>SpaceCmd</v>
      </c>
      <c r="K1343" t="str">
        <f t="shared" si="233"/>
        <v/>
      </c>
      <c r="L1343" t="str">
        <f t="shared" si="234"/>
        <v/>
      </c>
      <c r="M1343" t="str">
        <f t="shared" si="235"/>
        <v>SpaceCmd</v>
      </c>
    </row>
    <row r="1344" spans="1:13" x14ac:dyDescent="0.25">
      <c r="A1344" t="s">
        <v>918</v>
      </c>
      <c r="B1344" s="6">
        <f t="shared" si="225"/>
        <v>3.9818333333333333</v>
      </c>
      <c r="C1344" s="9">
        <f t="shared" si="226"/>
        <v>0.99999999999988987</v>
      </c>
      <c r="D1344" s="8" t="str">
        <f t="shared" si="227"/>
        <v>W</v>
      </c>
      <c r="E1344" s="3">
        <f t="shared" si="228"/>
        <v>101</v>
      </c>
      <c r="F1344" s="3" t="str">
        <f t="shared" si="229"/>
        <v>ack</v>
      </c>
      <c r="G1344" s="3" t="str">
        <f t="shared" si="230"/>
        <v>96</v>
      </c>
      <c r="H1344" s="3" t="str">
        <f t="shared" si="231"/>
        <v/>
      </c>
      <c r="I1344" s="3">
        <f t="shared" si="232"/>
        <v>150</v>
      </c>
      <c r="J1344" s="5" t="str">
        <f>IF(E1344=0,"Broadcast",IF(H1344="",IF(I1344="","",IF(I1344&lt;128,"Connect "&amp;I1344,INDEX(KdoCodeTab,MATCH(I1344,KdoWertTab,0)))),"ReadStat "&amp;H1344))</f>
        <v>RepSpaceCmd</v>
      </c>
      <c r="K1344" t="str">
        <f t="shared" si="233"/>
        <v/>
      </c>
      <c r="L1344" t="str">
        <f t="shared" si="234"/>
        <v/>
      </c>
      <c r="M1344" t="str">
        <f t="shared" si="235"/>
        <v>RepSpaceCmd</v>
      </c>
    </row>
    <row r="1345" spans="1:13" x14ac:dyDescent="0.25">
      <c r="A1345" t="s">
        <v>919</v>
      </c>
      <c r="B1345" s="6">
        <f t="shared" si="225"/>
        <v>4.0415000000000001</v>
      </c>
      <c r="C1345" s="9">
        <f t="shared" si="226"/>
        <v>59.666666666666757</v>
      </c>
      <c r="D1345" s="8" t="str">
        <f t="shared" si="227"/>
        <v>W</v>
      </c>
      <c r="E1345" s="3">
        <f t="shared" si="228"/>
        <v>101</v>
      </c>
      <c r="F1345" s="3" t="str">
        <f t="shared" si="229"/>
        <v>ack</v>
      </c>
      <c r="G1345" s="3" t="str">
        <f t="shared" si="230"/>
        <v>9C</v>
      </c>
      <c r="H1345" s="3" t="str">
        <f t="shared" si="231"/>
        <v/>
      </c>
      <c r="I1345" s="3">
        <f t="shared" si="232"/>
        <v>156</v>
      </c>
      <c r="J1345" s="5" t="str">
        <f>IF(E1345=0,"Broadcast",IF(H1345="",IF(I1345="","",IF(I1345&lt;128,"Connect "&amp;I1345,INDEX(KdoCodeTab,MATCH(I1345,KdoWertTab,0)))),"ReadStat "&amp;H1345))</f>
        <v>MarkCmd</v>
      </c>
      <c r="K1345" t="str">
        <f t="shared" si="233"/>
        <v/>
      </c>
      <c r="L1345" t="str">
        <f t="shared" si="234"/>
        <v/>
      </c>
      <c r="M1345" t="str">
        <f t="shared" si="235"/>
        <v>MarkCmd</v>
      </c>
    </row>
    <row r="1346" spans="1:13" x14ac:dyDescent="0.25">
      <c r="A1346" t="s">
        <v>920</v>
      </c>
      <c r="B1346" s="6">
        <f t="shared" si="225"/>
        <v>4.0423333333333336</v>
      </c>
      <c r="C1346" s="9">
        <f t="shared" si="226"/>
        <v>0.8333333333334636</v>
      </c>
      <c r="D1346" s="8" t="str">
        <f t="shared" si="227"/>
        <v>W</v>
      </c>
      <c r="E1346" s="3">
        <f t="shared" si="228"/>
        <v>101</v>
      </c>
      <c r="F1346" s="3" t="str">
        <f t="shared" si="229"/>
        <v>ack</v>
      </c>
      <c r="G1346" s="3" t="str">
        <f t="shared" si="230"/>
        <v>9A</v>
      </c>
      <c r="H1346" s="3" t="str">
        <f t="shared" si="231"/>
        <v/>
      </c>
      <c r="I1346" s="3">
        <f t="shared" si="232"/>
        <v>154</v>
      </c>
      <c r="J1346" s="5" t="str">
        <f>IF(E1346=0,"Broadcast",IF(H1346="",IF(I1346="","",IF(I1346&lt;128,"Connect "&amp;I1346,INDEX(KdoCodeTab,MATCH(I1346,KdoWertTab,0)))),"ReadStat "&amp;H1346))</f>
        <v>RepMarkCmd</v>
      </c>
      <c r="K1346" t="str">
        <f t="shared" si="233"/>
        <v/>
      </c>
      <c r="L1346" t="str">
        <f t="shared" si="234"/>
        <v/>
      </c>
      <c r="M1346" t="str">
        <f t="shared" si="235"/>
        <v>RepMarkCmd</v>
      </c>
    </row>
    <row r="1347" spans="1:13" x14ac:dyDescent="0.25">
      <c r="A1347" t="s">
        <v>921</v>
      </c>
      <c r="B1347" s="6">
        <f t="shared" si="225"/>
        <v>4.0563333333333338</v>
      </c>
      <c r="C1347" s="9">
        <f t="shared" si="226"/>
        <v>14.000000000000234</v>
      </c>
      <c r="D1347" s="8" t="str">
        <f t="shared" si="227"/>
        <v>W</v>
      </c>
      <c r="E1347" s="3">
        <f t="shared" si="228"/>
        <v>31</v>
      </c>
      <c r="F1347" s="3" t="str">
        <f t="shared" si="229"/>
        <v>ack</v>
      </c>
      <c r="G1347" s="3" t="str">
        <f t="shared" si="230"/>
        <v>9A</v>
      </c>
      <c r="H1347" s="3" t="str">
        <f t="shared" si="231"/>
        <v/>
      </c>
      <c r="I1347" s="3">
        <f t="shared" si="232"/>
        <v>154</v>
      </c>
      <c r="J1347" s="5" t="str">
        <f>IF(E1347=0,"Broadcast",IF(H1347="",IF(I1347="","",IF(I1347&lt;128,"Connect "&amp;I1347,INDEX(KdoCodeTab,MATCH(I1347,KdoWertTab,0)))),"ReadStat "&amp;H1347))</f>
        <v>RepMarkCmd</v>
      </c>
      <c r="K1347" t="str">
        <f t="shared" si="233"/>
        <v/>
      </c>
      <c r="L1347" t="str">
        <f t="shared" si="234"/>
        <v>RepMarkCmd</v>
      </c>
      <c r="M1347" t="str">
        <f t="shared" si="235"/>
        <v/>
      </c>
    </row>
    <row r="1348" spans="1:13" x14ac:dyDescent="0.25">
      <c r="A1348" t="s">
        <v>922</v>
      </c>
      <c r="B1348" s="6">
        <f t="shared" si="225"/>
        <v>4.0919999999999996</v>
      </c>
      <c r="C1348" s="9">
        <f t="shared" si="226"/>
        <v>35.666666666665847</v>
      </c>
      <c r="D1348" s="8" t="str">
        <f t="shared" si="227"/>
        <v>W</v>
      </c>
      <c r="E1348" s="3">
        <f t="shared" si="228"/>
        <v>101</v>
      </c>
      <c r="F1348" s="3" t="str">
        <f t="shared" si="229"/>
        <v>ack</v>
      </c>
      <c r="G1348" s="3" t="str">
        <f t="shared" si="230"/>
        <v>93</v>
      </c>
      <c r="H1348" s="3" t="str">
        <f t="shared" si="231"/>
        <v/>
      </c>
      <c r="I1348" s="3">
        <f t="shared" si="232"/>
        <v>147</v>
      </c>
      <c r="J1348" s="5" t="str">
        <f>IF(E1348=0,"Broadcast",IF(H1348="",IF(I1348="","",IF(I1348&lt;128,"Connect "&amp;I1348,INDEX(KdoCodeTab,MATCH(I1348,KdoWertTab,0)))),"ReadStat "&amp;H1348))</f>
        <v>SpaceCmd</v>
      </c>
      <c r="K1348" t="str">
        <f t="shared" si="233"/>
        <v/>
      </c>
      <c r="L1348" t="str">
        <f t="shared" si="234"/>
        <v/>
      </c>
      <c r="M1348" t="str">
        <f t="shared" si="235"/>
        <v>SpaceCmd</v>
      </c>
    </row>
    <row r="1349" spans="1:13" x14ac:dyDescent="0.25">
      <c r="A1349" t="s">
        <v>923</v>
      </c>
      <c r="B1349" s="6">
        <f t="shared" ref="B1349:B1392" si="236">MID(A1349,1,5)/1000+(CODE(MID(A1349,6,1))-CODE("a"))/6000</f>
        <v>4.093</v>
      </c>
      <c r="C1349" s="9">
        <f t="shared" ref="C1349:C1392" si="237">(B1349-B1348+IF(B1349&gt;B1348,0,11))*1000</f>
        <v>1.000000000000334</v>
      </c>
      <c r="D1349" s="8" t="str">
        <f t="shared" ref="D1349:D1396" si="238">IF(MID(A1349,10,1)="&lt;","R",IF(MID(A1349,10,1)="&gt;","W","?"))</f>
        <v>W</v>
      </c>
      <c r="E1349" s="3">
        <f t="shared" ref="E1349:E1396" si="239">INT(HEX2DEC(MID(A1349,8,2))/2)</f>
        <v>101</v>
      </c>
      <c r="F1349" s="3" t="str">
        <f t="shared" ref="F1349:F1396" si="240">IF(MID(A1349,11,1)="+","ack","NACK")</f>
        <v>ack</v>
      </c>
      <c r="G1349" s="3" t="str">
        <f t="shared" ref="G1349:G1396" si="241">IF(F1349="ack",SUBSTITUTE(MID(A1349,12,LEN(A1349)-12),"+","  "),"")</f>
        <v>96</v>
      </c>
      <c r="H1349" s="3" t="str">
        <f t="shared" ref="H1349:H1396" si="242">IF(MID(A1349,10,2)="&lt;+",MID(A1349,12,2),"")</f>
        <v/>
      </c>
      <c r="I1349" s="3">
        <f t="shared" ref="I1349:I1396" si="243">IF(MID(A1349,10,2)="&gt;+",HEX2DEC(MID(A1349,12,2)),"")</f>
        <v>150</v>
      </c>
      <c r="J1349" s="5" t="str">
        <f>IF(E1349=0,"Broadcast",IF(H1349="",IF(I1349="","",IF(I1349&lt;128,"Connect "&amp;I1349,INDEX(KdoCodeTab,MATCH(I1349,KdoWertTab,0)))),"ReadStat "&amp;H1349))</f>
        <v>RepSpaceCmd</v>
      </c>
      <c r="K1349" t="str">
        <f t="shared" si="233"/>
        <v/>
      </c>
      <c r="L1349" t="str">
        <f t="shared" si="234"/>
        <v/>
      </c>
      <c r="M1349" t="str">
        <f t="shared" si="235"/>
        <v>RepSpaceCmd</v>
      </c>
    </row>
    <row r="1350" spans="1:13" x14ac:dyDescent="0.25">
      <c r="A1350" t="s">
        <v>924</v>
      </c>
      <c r="B1350" s="6">
        <f t="shared" si="236"/>
        <v>4.1324999999999994</v>
      </c>
      <c r="C1350" s="9">
        <f t="shared" si="237"/>
        <v>39.499999999999424</v>
      </c>
      <c r="D1350" s="8" t="str">
        <f t="shared" si="238"/>
        <v>W</v>
      </c>
      <c r="E1350" s="3">
        <f t="shared" si="239"/>
        <v>101</v>
      </c>
      <c r="F1350" s="3" t="str">
        <f t="shared" si="240"/>
        <v>ack</v>
      </c>
      <c r="G1350" s="3" t="str">
        <f t="shared" si="241"/>
        <v>9C</v>
      </c>
      <c r="H1350" s="3" t="str">
        <f t="shared" si="242"/>
        <v/>
      </c>
      <c r="I1350" s="3">
        <f t="shared" si="243"/>
        <v>156</v>
      </c>
      <c r="J1350" s="5" t="str">
        <f>IF(E1350=0,"Broadcast",IF(H1350="",IF(I1350="","",IF(I1350&lt;128,"Connect "&amp;I1350,INDEX(KdoCodeTab,MATCH(I1350,KdoWertTab,0)))),"ReadStat "&amp;H1350))</f>
        <v>MarkCmd</v>
      </c>
      <c r="K1350" t="str">
        <f t="shared" si="233"/>
        <v/>
      </c>
      <c r="L1350" t="str">
        <f t="shared" si="234"/>
        <v/>
      </c>
      <c r="M1350" t="str">
        <f t="shared" si="235"/>
        <v>MarkCmd</v>
      </c>
    </row>
    <row r="1351" spans="1:13" x14ac:dyDescent="0.25">
      <c r="A1351" t="s">
        <v>925</v>
      </c>
      <c r="B1351" s="6">
        <f t="shared" si="236"/>
        <v>4.1333333333333337</v>
      </c>
      <c r="C1351" s="9">
        <f t="shared" si="237"/>
        <v>0.83333333333435178</v>
      </c>
      <c r="D1351" s="8" t="str">
        <f t="shared" si="238"/>
        <v>W</v>
      </c>
      <c r="E1351" s="3">
        <f t="shared" si="239"/>
        <v>101</v>
      </c>
      <c r="F1351" s="3" t="str">
        <f t="shared" si="240"/>
        <v>ack</v>
      </c>
      <c r="G1351" s="3" t="str">
        <f t="shared" si="241"/>
        <v>9A</v>
      </c>
      <c r="H1351" s="3" t="str">
        <f t="shared" si="242"/>
        <v/>
      </c>
      <c r="I1351" s="3">
        <f t="shared" si="243"/>
        <v>154</v>
      </c>
      <c r="J1351" s="5" t="str">
        <f>IF(E1351=0,"Broadcast",IF(H1351="",IF(I1351="","",IF(I1351&lt;128,"Connect "&amp;I1351,INDEX(KdoCodeTab,MATCH(I1351,KdoWertTab,0)))),"ReadStat "&amp;H1351))</f>
        <v>RepMarkCmd</v>
      </c>
      <c r="K1351" t="str">
        <f t="shared" si="233"/>
        <v/>
      </c>
      <c r="L1351" t="str">
        <f t="shared" si="234"/>
        <v/>
      </c>
      <c r="M1351" t="str">
        <f t="shared" si="235"/>
        <v>RepMarkCmd</v>
      </c>
    </row>
    <row r="1352" spans="1:13" x14ac:dyDescent="0.25">
      <c r="A1352" t="s">
        <v>926</v>
      </c>
      <c r="B1352" s="6">
        <f t="shared" si="236"/>
        <v>4.1516666666666664</v>
      </c>
      <c r="C1352" s="9">
        <f t="shared" si="237"/>
        <v>18.333333333332646</v>
      </c>
      <c r="D1352" s="8" t="str">
        <f t="shared" si="238"/>
        <v>W</v>
      </c>
      <c r="E1352" s="3">
        <f t="shared" si="239"/>
        <v>101</v>
      </c>
      <c r="F1352" s="3" t="str">
        <f t="shared" si="240"/>
        <v>ack</v>
      </c>
      <c r="G1352" s="3" t="str">
        <f t="shared" si="241"/>
        <v>93</v>
      </c>
      <c r="H1352" s="3" t="str">
        <f t="shared" si="242"/>
        <v/>
      </c>
      <c r="I1352" s="3">
        <f t="shared" si="243"/>
        <v>147</v>
      </c>
      <c r="J1352" s="5" t="str">
        <f>IF(E1352=0,"Broadcast",IF(H1352="",IF(I1352="","",IF(I1352&lt;128,"Connect "&amp;I1352,INDEX(KdoCodeTab,MATCH(I1352,KdoWertTab,0)))),"ReadStat "&amp;H1352))</f>
        <v>SpaceCmd</v>
      </c>
      <c r="K1352" t="str">
        <f t="shared" si="233"/>
        <v/>
      </c>
      <c r="L1352" t="str">
        <f t="shared" si="234"/>
        <v/>
      </c>
      <c r="M1352" t="str">
        <f t="shared" si="235"/>
        <v>SpaceCmd</v>
      </c>
    </row>
    <row r="1353" spans="1:13" x14ac:dyDescent="0.25">
      <c r="A1353" t="s">
        <v>927</v>
      </c>
      <c r="B1353" s="6">
        <f t="shared" si="236"/>
        <v>4.1526666666666667</v>
      </c>
      <c r="C1353" s="9">
        <f t="shared" si="237"/>
        <v>1.000000000000334</v>
      </c>
      <c r="D1353" s="8" t="str">
        <f t="shared" si="238"/>
        <v>W</v>
      </c>
      <c r="E1353" s="3">
        <f t="shared" si="239"/>
        <v>101</v>
      </c>
      <c r="F1353" s="3" t="str">
        <f t="shared" si="240"/>
        <v>ack</v>
      </c>
      <c r="G1353" s="3" t="str">
        <f t="shared" si="241"/>
        <v>96</v>
      </c>
      <c r="H1353" s="3" t="str">
        <f t="shared" si="242"/>
        <v/>
      </c>
      <c r="I1353" s="3">
        <f t="shared" si="243"/>
        <v>150</v>
      </c>
      <c r="J1353" s="5" t="str">
        <f>IF(E1353=0,"Broadcast",IF(H1353="",IF(I1353="","",IF(I1353&lt;128,"Connect "&amp;I1353,INDEX(KdoCodeTab,MATCH(I1353,KdoWertTab,0)))),"ReadStat "&amp;H1353))</f>
        <v>RepSpaceCmd</v>
      </c>
      <c r="K1353" t="str">
        <f t="shared" si="233"/>
        <v/>
      </c>
      <c r="L1353" t="str">
        <f t="shared" si="234"/>
        <v/>
      </c>
      <c r="M1353" t="str">
        <f t="shared" si="235"/>
        <v>RepSpaceCmd</v>
      </c>
    </row>
    <row r="1354" spans="1:13" x14ac:dyDescent="0.25">
      <c r="A1354" t="s">
        <v>928</v>
      </c>
      <c r="B1354" s="6">
        <f t="shared" si="236"/>
        <v>4.2121666666666666</v>
      </c>
      <c r="C1354" s="9">
        <f t="shared" si="237"/>
        <v>59.499999999999886</v>
      </c>
      <c r="D1354" s="8" t="str">
        <f t="shared" si="238"/>
        <v>W</v>
      </c>
      <c r="E1354" s="3">
        <f t="shared" si="239"/>
        <v>101</v>
      </c>
      <c r="F1354" s="3" t="str">
        <f t="shared" si="240"/>
        <v>ack</v>
      </c>
      <c r="G1354" s="3" t="str">
        <f t="shared" si="241"/>
        <v>9C</v>
      </c>
      <c r="H1354" s="3" t="str">
        <f t="shared" si="242"/>
        <v/>
      </c>
      <c r="I1354" s="3">
        <f t="shared" si="243"/>
        <v>156</v>
      </c>
      <c r="J1354" s="5" t="str">
        <f>IF(E1354=0,"Broadcast",IF(H1354="",IF(I1354="","",IF(I1354&lt;128,"Connect "&amp;I1354,INDEX(KdoCodeTab,MATCH(I1354,KdoWertTab,0)))),"ReadStat "&amp;H1354))</f>
        <v>MarkCmd</v>
      </c>
      <c r="K1354" t="str">
        <f t="shared" si="233"/>
        <v/>
      </c>
      <c r="L1354" t="str">
        <f t="shared" si="234"/>
        <v/>
      </c>
      <c r="M1354" t="str">
        <f t="shared" si="235"/>
        <v>MarkCmd</v>
      </c>
    </row>
    <row r="1355" spans="1:13" x14ac:dyDescent="0.25">
      <c r="A1355" t="s">
        <v>929</v>
      </c>
      <c r="B1355" s="6">
        <f t="shared" si="236"/>
        <v>4.2131666666666669</v>
      </c>
      <c r="C1355" s="9">
        <f t="shared" si="237"/>
        <v>1.000000000000334</v>
      </c>
      <c r="D1355" s="8" t="str">
        <f t="shared" si="238"/>
        <v>W</v>
      </c>
      <c r="E1355" s="3">
        <f t="shared" si="239"/>
        <v>101</v>
      </c>
      <c r="F1355" s="3" t="str">
        <f t="shared" si="240"/>
        <v>ack</v>
      </c>
      <c r="G1355" s="3" t="str">
        <f t="shared" si="241"/>
        <v>9A</v>
      </c>
      <c r="H1355" s="3" t="str">
        <f t="shared" si="242"/>
        <v/>
      </c>
      <c r="I1355" s="3">
        <f t="shared" si="243"/>
        <v>154</v>
      </c>
      <c r="J1355" s="5" t="str">
        <f>IF(E1355=0,"Broadcast",IF(H1355="",IF(I1355="","",IF(I1355&lt;128,"Connect "&amp;I1355,INDEX(KdoCodeTab,MATCH(I1355,KdoWertTab,0)))),"ReadStat "&amp;H1355))</f>
        <v>RepMarkCmd</v>
      </c>
      <c r="K1355" t="str">
        <f t="shared" si="233"/>
        <v/>
      </c>
      <c r="L1355" t="str">
        <f t="shared" si="234"/>
        <v/>
      </c>
      <c r="M1355" t="str">
        <f t="shared" si="235"/>
        <v>RepMarkCmd</v>
      </c>
    </row>
    <row r="1356" spans="1:13" x14ac:dyDescent="0.25">
      <c r="A1356" t="s">
        <v>930</v>
      </c>
      <c r="B1356" s="6">
        <f t="shared" si="236"/>
        <v>4.2516666666666669</v>
      </c>
      <c r="C1356" s="9">
        <f t="shared" si="237"/>
        <v>38.499999999999979</v>
      </c>
      <c r="D1356" s="8" t="str">
        <f t="shared" si="238"/>
        <v>W</v>
      </c>
      <c r="E1356" s="3">
        <f t="shared" si="239"/>
        <v>101</v>
      </c>
      <c r="F1356" s="3" t="str">
        <f t="shared" si="240"/>
        <v>ack</v>
      </c>
      <c r="G1356" s="3" t="str">
        <f t="shared" si="241"/>
        <v>93</v>
      </c>
      <c r="H1356" s="3" t="str">
        <f t="shared" si="242"/>
        <v/>
      </c>
      <c r="I1356" s="3">
        <f t="shared" si="243"/>
        <v>147</v>
      </c>
      <c r="J1356" s="5" t="str">
        <f>IF(E1356=0,"Broadcast",IF(H1356="",IF(I1356="","",IF(I1356&lt;128,"Connect "&amp;I1356,INDEX(KdoCodeTab,MATCH(I1356,KdoWertTab,0)))),"ReadStat "&amp;H1356))</f>
        <v>SpaceCmd</v>
      </c>
      <c r="K1356" t="str">
        <f t="shared" si="233"/>
        <v/>
      </c>
      <c r="L1356" t="str">
        <f t="shared" si="234"/>
        <v/>
      </c>
      <c r="M1356" t="str">
        <f t="shared" si="235"/>
        <v>SpaceCmd</v>
      </c>
    </row>
    <row r="1357" spans="1:13" x14ac:dyDescent="0.25">
      <c r="A1357" t="s">
        <v>931</v>
      </c>
      <c r="B1357" s="6">
        <f t="shared" si="236"/>
        <v>4.2524999999999995</v>
      </c>
      <c r="C1357" s="9">
        <f t="shared" si="237"/>
        <v>0.83333333333257542</v>
      </c>
      <c r="D1357" s="8" t="str">
        <f t="shared" si="238"/>
        <v>W</v>
      </c>
      <c r="E1357" s="3">
        <f t="shared" si="239"/>
        <v>101</v>
      </c>
      <c r="F1357" s="3" t="str">
        <f t="shared" si="240"/>
        <v>ack</v>
      </c>
      <c r="G1357" s="3" t="str">
        <f t="shared" si="241"/>
        <v>96</v>
      </c>
      <c r="H1357" s="3" t="str">
        <f t="shared" si="242"/>
        <v/>
      </c>
      <c r="I1357" s="3">
        <f t="shared" si="243"/>
        <v>150</v>
      </c>
      <c r="J1357" s="5" t="str">
        <f>IF(E1357=0,"Broadcast",IF(H1357="",IF(I1357="","",IF(I1357&lt;128,"Connect "&amp;I1357,INDEX(KdoCodeTab,MATCH(I1357,KdoWertTab,0)))),"ReadStat "&amp;H1357))</f>
        <v>RepSpaceCmd</v>
      </c>
      <c r="K1357" t="str">
        <f t="shared" si="233"/>
        <v/>
      </c>
      <c r="L1357" t="str">
        <f t="shared" si="234"/>
        <v/>
      </c>
      <c r="M1357" t="str">
        <f t="shared" si="235"/>
        <v>RepSpaceCmd</v>
      </c>
    </row>
    <row r="1358" spans="1:13" x14ac:dyDescent="0.25">
      <c r="A1358" t="s">
        <v>932</v>
      </c>
      <c r="B1358" s="6">
        <f t="shared" si="236"/>
        <v>4.2919999999999998</v>
      </c>
      <c r="C1358" s="9">
        <f t="shared" si="237"/>
        <v>39.500000000000313</v>
      </c>
      <c r="D1358" s="8" t="str">
        <f t="shared" si="238"/>
        <v>W</v>
      </c>
      <c r="E1358" s="3">
        <f t="shared" si="239"/>
        <v>101</v>
      </c>
      <c r="F1358" s="3" t="str">
        <f t="shared" si="240"/>
        <v>ack</v>
      </c>
      <c r="G1358" s="3" t="str">
        <f t="shared" si="241"/>
        <v>9C</v>
      </c>
      <c r="H1358" s="3" t="str">
        <f t="shared" si="242"/>
        <v/>
      </c>
      <c r="I1358" s="3">
        <f t="shared" si="243"/>
        <v>156</v>
      </c>
      <c r="J1358" s="5" t="str">
        <f>IF(E1358=0,"Broadcast",IF(H1358="",IF(I1358="","",IF(I1358&lt;128,"Connect "&amp;I1358,INDEX(KdoCodeTab,MATCH(I1358,KdoWertTab,0)))),"ReadStat "&amp;H1358))</f>
        <v>MarkCmd</v>
      </c>
      <c r="K1358" t="str">
        <f t="shared" si="233"/>
        <v/>
      </c>
      <c r="L1358" t="str">
        <f t="shared" si="234"/>
        <v/>
      </c>
      <c r="M1358" t="str">
        <f t="shared" si="235"/>
        <v>MarkCmd</v>
      </c>
    </row>
    <row r="1359" spans="1:13" x14ac:dyDescent="0.25">
      <c r="A1359" t="s">
        <v>933</v>
      </c>
      <c r="B1359" s="6">
        <f t="shared" si="236"/>
        <v>4.2930000000000001</v>
      </c>
      <c r="C1359" s="9">
        <f t="shared" si="237"/>
        <v>1.000000000000334</v>
      </c>
      <c r="D1359" s="8" t="str">
        <f t="shared" si="238"/>
        <v>W</v>
      </c>
      <c r="E1359" s="3">
        <f t="shared" si="239"/>
        <v>101</v>
      </c>
      <c r="F1359" s="3" t="str">
        <f t="shared" si="240"/>
        <v>ack</v>
      </c>
      <c r="G1359" s="3" t="str">
        <f t="shared" si="241"/>
        <v>9A</v>
      </c>
      <c r="H1359" s="3" t="str">
        <f t="shared" si="242"/>
        <v/>
      </c>
      <c r="I1359" s="3">
        <f t="shared" si="243"/>
        <v>154</v>
      </c>
      <c r="J1359" s="5" t="str">
        <f>IF(E1359=0,"Broadcast",IF(H1359="",IF(I1359="","",IF(I1359&lt;128,"Connect "&amp;I1359,INDEX(KdoCodeTab,MATCH(I1359,KdoWertTab,0)))),"ReadStat "&amp;H1359))</f>
        <v>RepMarkCmd</v>
      </c>
      <c r="K1359" t="str">
        <f t="shared" si="233"/>
        <v/>
      </c>
      <c r="L1359" t="str">
        <f t="shared" si="234"/>
        <v/>
      </c>
      <c r="M1359" t="str">
        <f t="shared" si="235"/>
        <v>RepMarkCmd</v>
      </c>
    </row>
    <row r="1360" spans="1:13" x14ac:dyDescent="0.25">
      <c r="A1360" t="s">
        <v>934</v>
      </c>
      <c r="B1360" s="6">
        <f t="shared" si="236"/>
        <v>4.3113333333333337</v>
      </c>
      <c r="C1360" s="9">
        <f t="shared" si="237"/>
        <v>18.333333333333535</v>
      </c>
      <c r="D1360" s="8" t="str">
        <f t="shared" si="238"/>
        <v>W</v>
      </c>
      <c r="E1360" s="3">
        <f t="shared" si="239"/>
        <v>101</v>
      </c>
      <c r="F1360" s="3" t="str">
        <f t="shared" si="240"/>
        <v>ack</v>
      </c>
      <c r="G1360" s="3" t="str">
        <f t="shared" si="241"/>
        <v>93</v>
      </c>
      <c r="H1360" s="3" t="str">
        <f t="shared" si="242"/>
        <v/>
      </c>
      <c r="I1360" s="3">
        <f t="shared" si="243"/>
        <v>147</v>
      </c>
      <c r="J1360" s="5" t="str">
        <f>IF(E1360=0,"Broadcast",IF(H1360="",IF(I1360="","",IF(I1360&lt;128,"Connect "&amp;I1360,INDEX(KdoCodeTab,MATCH(I1360,KdoWertTab,0)))),"ReadStat "&amp;H1360))</f>
        <v>SpaceCmd</v>
      </c>
      <c r="K1360" t="str">
        <f t="shared" si="233"/>
        <v/>
      </c>
      <c r="L1360" t="str">
        <f t="shared" si="234"/>
        <v/>
      </c>
      <c r="M1360" t="str">
        <f t="shared" si="235"/>
        <v>SpaceCmd</v>
      </c>
    </row>
    <row r="1361" spans="1:13" x14ac:dyDescent="0.25">
      <c r="A1361" t="s">
        <v>935</v>
      </c>
      <c r="B1361" s="6">
        <f t="shared" si="236"/>
        <v>4.3121666666666671</v>
      </c>
      <c r="C1361" s="9">
        <f t="shared" si="237"/>
        <v>0.8333333333334636</v>
      </c>
      <c r="D1361" s="8" t="str">
        <f t="shared" si="238"/>
        <v>W</v>
      </c>
      <c r="E1361" s="3">
        <f t="shared" si="239"/>
        <v>101</v>
      </c>
      <c r="F1361" s="3" t="str">
        <f t="shared" si="240"/>
        <v>ack</v>
      </c>
      <c r="G1361" s="3" t="str">
        <f t="shared" si="241"/>
        <v>96</v>
      </c>
      <c r="H1361" s="3" t="str">
        <f t="shared" si="242"/>
        <v/>
      </c>
      <c r="I1361" s="3">
        <f t="shared" si="243"/>
        <v>150</v>
      </c>
      <c r="J1361" s="5" t="str">
        <f>IF(E1361=0,"Broadcast",IF(H1361="",IF(I1361="","",IF(I1361&lt;128,"Connect "&amp;I1361,INDEX(KdoCodeTab,MATCH(I1361,KdoWertTab,0)))),"ReadStat "&amp;H1361))</f>
        <v>RepSpaceCmd</v>
      </c>
      <c r="K1361" t="str">
        <f t="shared" si="233"/>
        <v/>
      </c>
      <c r="L1361" t="str">
        <f t="shared" si="234"/>
        <v/>
      </c>
      <c r="M1361" t="str">
        <f t="shared" si="235"/>
        <v>RepSpaceCmd</v>
      </c>
    </row>
    <row r="1362" spans="1:13" x14ac:dyDescent="0.25">
      <c r="A1362" t="s">
        <v>936</v>
      </c>
      <c r="B1362" s="6">
        <f t="shared" si="236"/>
        <v>4.3728333333333333</v>
      </c>
      <c r="C1362" s="9">
        <f t="shared" si="237"/>
        <v>60.666666666666202</v>
      </c>
      <c r="D1362" s="8" t="str">
        <f t="shared" si="238"/>
        <v>W</v>
      </c>
      <c r="E1362" s="3">
        <f t="shared" si="239"/>
        <v>101</v>
      </c>
      <c r="F1362" s="3" t="str">
        <f t="shared" si="240"/>
        <v>ack</v>
      </c>
      <c r="G1362" s="3" t="str">
        <f t="shared" si="241"/>
        <v>9C</v>
      </c>
      <c r="H1362" s="3" t="str">
        <f t="shared" si="242"/>
        <v/>
      </c>
      <c r="I1362" s="3">
        <f t="shared" si="243"/>
        <v>156</v>
      </c>
      <c r="J1362" s="5" t="str">
        <f>IF(E1362=0,"Broadcast",IF(H1362="",IF(I1362="","",IF(I1362&lt;128,"Connect "&amp;I1362,INDEX(KdoCodeTab,MATCH(I1362,KdoWertTab,0)))),"ReadStat "&amp;H1362))</f>
        <v>MarkCmd</v>
      </c>
      <c r="K1362" t="str">
        <f t="shared" si="233"/>
        <v/>
      </c>
      <c r="L1362" t="str">
        <f t="shared" si="234"/>
        <v/>
      </c>
      <c r="M1362" t="str">
        <f t="shared" si="235"/>
        <v>MarkCmd</v>
      </c>
    </row>
    <row r="1363" spans="1:13" x14ac:dyDescent="0.25">
      <c r="A1363" t="s">
        <v>937</v>
      </c>
      <c r="B1363" s="6">
        <f t="shared" si="236"/>
        <v>4.3738333333333337</v>
      </c>
      <c r="C1363" s="9">
        <f t="shared" si="237"/>
        <v>1.000000000000334</v>
      </c>
      <c r="D1363" s="8" t="str">
        <f t="shared" si="238"/>
        <v>W</v>
      </c>
      <c r="E1363" s="3">
        <f t="shared" si="239"/>
        <v>101</v>
      </c>
      <c r="F1363" s="3" t="str">
        <f t="shared" si="240"/>
        <v>ack</v>
      </c>
      <c r="G1363" s="3" t="str">
        <f t="shared" si="241"/>
        <v>9A</v>
      </c>
      <c r="H1363" s="3" t="str">
        <f t="shared" si="242"/>
        <v/>
      </c>
      <c r="I1363" s="3">
        <f t="shared" si="243"/>
        <v>154</v>
      </c>
      <c r="J1363" s="5" t="str">
        <f>IF(E1363=0,"Broadcast",IF(H1363="",IF(I1363="","",IF(I1363&lt;128,"Connect "&amp;I1363,INDEX(KdoCodeTab,MATCH(I1363,KdoWertTab,0)))),"ReadStat "&amp;H1363))</f>
        <v>RepMarkCmd</v>
      </c>
      <c r="K1363" t="str">
        <f t="shared" si="233"/>
        <v/>
      </c>
      <c r="L1363" t="str">
        <f t="shared" si="234"/>
        <v/>
      </c>
      <c r="M1363" t="str">
        <f t="shared" si="235"/>
        <v>RepMarkCmd</v>
      </c>
    </row>
    <row r="1364" spans="1:13" x14ac:dyDescent="0.25">
      <c r="A1364" t="s">
        <v>146</v>
      </c>
      <c r="B1364" s="6">
        <f t="shared" si="236"/>
        <v>4.4031666666666665</v>
      </c>
      <c r="C1364" s="9">
        <f t="shared" si="237"/>
        <v>29.333333333332767</v>
      </c>
      <c r="D1364" s="8" t="str">
        <f t="shared" si="238"/>
        <v>W</v>
      </c>
      <c r="E1364" s="3">
        <f t="shared" si="239"/>
        <v>101</v>
      </c>
      <c r="F1364" s="3" t="str">
        <f t="shared" si="240"/>
        <v>ack</v>
      </c>
      <c r="G1364" s="3" t="str">
        <f t="shared" si="241"/>
        <v>93</v>
      </c>
      <c r="H1364" s="3" t="str">
        <f t="shared" si="242"/>
        <v/>
      </c>
      <c r="I1364" s="3">
        <f t="shared" si="243"/>
        <v>147</v>
      </c>
      <c r="J1364" s="5" t="str">
        <f>IF(E1364=0,"Broadcast",IF(H1364="",IF(I1364="","",IF(I1364&lt;128,"Connect "&amp;I1364,INDEX(KdoCodeTab,MATCH(I1364,KdoWertTab,0)))),"ReadStat "&amp;H1364))</f>
        <v>SpaceCmd</v>
      </c>
      <c r="K1364" t="str">
        <f t="shared" si="233"/>
        <v/>
      </c>
      <c r="L1364" t="str">
        <f t="shared" si="234"/>
        <v/>
      </c>
      <c r="M1364" t="str">
        <f t="shared" si="235"/>
        <v>SpaceCmd</v>
      </c>
    </row>
    <row r="1365" spans="1:13" x14ac:dyDescent="0.25">
      <c r="A1365" t="s">
        <v>938</v>
      </c>
      <c r="B1365" s="6">
        <f t="shared" si="236"/>
        <v>4.4039999999999999</v>
      </c>
      <c r="C1365" s="9">
        <f t="shared" si="237"/>
        <v>0.8333333333334636</v>
      </c>
      <c r="D1365" s="8" t="str">
        <f t="shared" si="238"/>
        <v>W</v>
      </c>
      <c r="E1365" s="3">
        <f t="shared" si="239"/>
        <v>101</v>
      </c>
      <c r="F1365" s="3" t="str">
        <f t="shared" si="240"/>
        <v>ack</v>
      </c>
      <c r="G1365" s="3" t="str">
        <f t="shared" si="241"/>
        <v>96</v>
      </c>
      <c r="H1365" s="3" t="str">
        <f t="shared" si="242"/>
        <v/>
      </c>
      <c r="I1365" s="3">
        <f t="shared" si="243"/>
        <v>150</v>
      </c>
      <c r="J1365" s="5" t="str">
        <f>IF(E1365=0,"Broadcast",IF(H1365="",IF(I1365="","",IF(I1365&lt;128,"Connect "&amp;I1365,INDEX(KdoCodeTab,MATCH(I1365,KdoWertTab,0)))),"ReadStat "&amp;H1365))</f>
        <v>RepSpaceCmd</v>
      </c>
      <c r="K1365" t="str">
        <f t="shared" si="233"/>
        <v/>
      </c>
      <c r="L1365" t="str">
        <f t="shared" si="234"/>
        <v/>
      </c>
      <c r="M1365" t="str">
        <f t="shared" si="235"/>
        <v>RepSpaceCmd</v>
      </c>
    </row>
    <row r="1366" spans="1:13" x14ac:dyDescent="0.25">
      <c r="A1366" t="s">
        <v>939</v>
      </c>
      <c r="B1366" s="6">
        <f t="shared" si="236"/>
        <v>4.4436666666666662</v>
      </c>
      <c r="C1366" s="9">
        <f t="shared" si="237"/>
        <v>39.666666666666295</v>
      </c>
      <c r="D1366" s="8" t="str">
        <f t="shared" si="238"/>
        <v>W</v>
      </c>
      <c r="E1366" s="3">
        <f t="shared" si="239"/>
        <v>101</v>
      </c>
      <c r="F1366" s="3" t="str">
        <f t="shared" si="240"/>
        <v>ack</v>
      </c>
      <c r="G1366" s="3" t="str">
        <f t="shared" si="241"/>
        <v>9C</v>
      </c>
      <c r="H1366" s="3" t="str">
        <f t="shared" si="242"/>
        <v/>
      </c>
      <c r="I1366" s="3">
        <f t="shared" si="243"/>
        <v>156</v>
      </c>
      <c r="J1366" s="5" t="str">
        <f>IF(E1366=0,"Broadcast",IF(H1366="",IF(I1366="","",IF(I1366&lt;128,"Connect "&amp;I1366,INDEX(KdoCodeTab,MATCH(I1366,KdoWertTab,0)))),"ReadStat "&amp;H1366))</f>
        <v>MarkCmd</v>
      </c>
      <c r="K1366" t="str">
        <f t="shared" si="233"/>
        <v/>
      </c>
      <c r="L1366" t="str">
        <f t="shared" si="234"/>
        <v/>
      </c>
      <c r="M1366" t="str">
        <f t="shared" si="235"/>
        <v>MarkCmd</v>
      </c>
    </row>
    <row r="1367" spans="1:13" x14ac:dyDescent="0.25">
      <c r="A1367" t="s">
        <v>149</v>
      </c>
      <c r="B1367" s="6">
        <f t="shared" si="236"/>
        <v>4.4444999999999997</v>
      </c>
      <c r="C1367" s="9">
        <f t="shared" si="237"/>
        <v>0.8333333333334636</v>
      </c>
      <c r="D1367" s="8" t="str">
        <f t="shared" si="238"/>
        <v>W</v>
      </c>
      <c r="E1367" s="3">
        <f t="shared" si="239"/>
        <v>101</v>
      </c>
      <c r="F1367" s="3" t="str">
        <f t="shared" si="240"/>
        <v>ack</v>
      </c>
      <c r="G1367" s="3" t="str">
        <f t="shared" si="241"/>
        <v>9A</v>
      </c>
      <c r="H1367" s="3" t="str">
        <f t="shared" si="242"/>
        <v/>
      </c>
      <c r="I1367" s="3">
        <f t="shared" si="243"/>
        <v>154</v>
      </c>
      <c r="J1367" s="5" t="str">
        <f>IF(E1367=0,"Broadcast",IF(H1367="",IF(I1367="","",IF(I1367&lt;128,"Connect "&amp;I1367,INDEX(KdoCodeTab,MATCH(I1367,KdoWertTab,0)))),"ReadStat "&amp;H1367))</f>
        <v>RepMarkCmd</v>
      </c>
      <c r="K1367" t="str">
        <f t="shared" si="233"/>
        <v/>
      </c>
      <c r="L1367" t="str">
        <f t="shared" si="234"/>
        <v/>
      </c>
      <c r="M1367" t="str">
        <f t="shared" si="235"/>
        <v>RepMarkCmd</v>
      </c>
    </row>
    <row r="1368" spans="1:13" x14ac:dyDescent="0.25">
      <c r="A1368" t="s">
        <v>150</v>
      </c>
      <c r="B1368" s="6">
        <f t="shared" si="236"/>
        <v>4.4638333333333335</v>
      </c>
      <c r="C1368" s="9">
        <f t="shared" si="237"/>
        <v>19.333333333333869</v>
      </c>
      <c r="D1368" s="8" t="str">
        <f t="shared" si="238"/>
        <v>W</v>
      </c>
      <c r="E1368" s="3">
        <f t="shared" si="239"/>
        <v>101</v>
      </c>
      <c r="F1368" s="3" t="str">
        <f t="shared" si="240"/>
        <v>ack</v>
      </c>
      <c r="G1368" s="3" t="str">
        <f t="shared" si="241"/>
        <v>93</v>
      </c>
      <c r="H1368" s="3" t="str">
        <f t="shared" si="242"/>
        <v/>
      </c>
      <c r="I1368" s="3">
        <f t="shared" si="243"/>
        <v>147</v>
      </c>
      <c r="J1368" s="5" t="str">
        <f>IF(E1368=0,"Broadcast",IF(H1368="",IF(I1368="","",IF(I1368&lt;128,"Connect "&amp;I1368,INDEX(KdoCodeTab,MATCH(I1368,KdoWertTab,0)))),"ReadStat "&amp;H1368))</f>
        <v>SpaceCmd</v>
      </c>
      <c r="K1368" t="str">
        <f t="shared" si="233"/>
        <v/>
      </c>
      <c r="L1368" t="str">
        <f t="shared" si="234"/>
        <v/>
      </c>
      <c r="M1368" t="str">
        <f t="shared" si="235"/>
        <v>SpaceCmd</v>
      </c>
    </row>
    <row r="1369" spans="1:13" x14ac:dyDescent="0.25">
      <c r="A1369" t="s">
        <v>940</v>
      </c>
      <c r="B1369" s="6">
        <f t="shared" si="236"/>
        <v>4.464666666666667</v>
      </c>
      <c r="C1369" s="9">
        <f t="shared" si="237"/>
        <v>0.8333333333334636</v>
      </c>
      <c r="D1369" s="8" t="str">
        <f t="shared" si="238"/>
        <v>W</v>
      </c>
      <c r="E1369" s="3">
        <f t="shared" si="239"/>
        <v>101</v>
      </c>
      <c r="F1369" s="3" t="str">
        <f t="shared" si="240"/>
        <v>ack</v>
      </c>
      <c r="G1369" s="3" t="str">
        <f t="shared" si="241"/>
        <v>96</v>
      </c>
      <c r="H1369" s="3" t="str">
        <f t="shared" si="242"/>
        <v/>
      </c>
      <c r="I1369" s="3">
        <f t="shared" si="243"/>
        <v>150</v>
      </c>
      <c r="J1369" s="5" t="str">
        <f>IF(E1369=0,"Broadcast",IF(H1369="",IF(I1369="","",IF(I1369&lt;128,"Connect "&amp;I1369,INDEX(KdoCodeTab,MATCH(I1369,KdoWertTab,0)))),"ReadStat "&amp;H1369))</f>
        <v>RepSpaceCmd</v>
      </c>
      <c r="K1369" t="str">
        <f t="shared" si="233"/>
        <v/>
      </c>
      <c r="L1369" t="str">
        <f t="shared" si="234"/>
        <v/>
      </c>
      <c r="M1369" t="str">
        <f t="shared" si="235"/>
        <v>RepSpaceCmd</v>
      </c>
    </row>
    <row r="1370" spans="1:13" x14ac:dyDescent="0.25">
      <c r="A1370" t="s">
        <v>941</v>
      </c>
      <c r="B1370" s="6">
        <f t="shared" si="236"/>
        <v>4.5071666666666665</v>
      </c>
      <c r="C1370" s="9">
        <f t="shared" si="237"/>
        <v>42.499999999999538</v>
      </c>
      <c r="D1370" s="8" t="str">
        <f t="shared" si="238"/>
        <v>W</v>
      </c>
      <c r="E1370" s="3">
        <f t="shared" si="239"/>
        <v>101</v>
      </c>
      <c r="F1370" s="3" t="str">
        <f t="shared" si="240"/>
        <v>ack</v>
      </c>
      <c r="G1370" s="3" t="str">
        <f t="shared" si="241"/>
        <v>A9</v>
      </c>
      <c r="H1370" s="3" t="str">
        <f t="shared" si="242"/>
        <v/>
      </c>
      <c r="I1370" s="3">
        <f t="shared" si="243"/>
        <v>169</v>
      </c>
      <c r="J1370" s="5" t="str">
        <f>IF(E1370=0,"Broadcast",IF(H1370="",IF(I1370="","",IF(I1370&lt;128,"Connect "&amp;I1370,INDEX(KdoCodeTab,MATCH(I1370,KdoWertTab,0)))),"ReadStat "&amp;H1370))</f>
        <v>Heartbeat</v>
      </c>
      <c r="K1370" t="str">
        <f t="shared" si="233"/>
        <v/>
      </c>
      <c r="L1370" t="str">
        <f t="shared" si="234"/>
        <v/>
      </c>
      <c r="M1370" t="str">
        <f t="shared" si="235"/>
        <v>Heartbeat</v>
      </c>
    </row>
    <row r="1371" spans="1:13" x14ac:dyDescent="0.25">
      <c r="A1371" t="s">
        <v>942</v>
      </c>
      <c r="B1371" s="6">
        <f t="shared" si="236"/>
        <v>4.5233333333333334</v>
      </c>
      <c r="C1371" s="9">
        <f t="shared" si="237"/>
        <v>16.166666666666885</v>
      </c>
      <c r="D1371" s="8" t="str">
        <f t="shared" si="238"/>
        <v>W</v>
      </c>
      <c r="E1371" s="3">
        <f t="shared" si="239"/>
        <v>101</v>
      </c>
      <c r="F1371" s="3" t="str">
        <f t="shared" si="240"/>
        <v>ack</v>
      </c>
      <c r="G1371" s="3" t="str">
        <f t="shared" si="241"/>
        <v>9C</v>
      </c>
      <c r="H1371" s="3" t="str">
        <f t="shared" si="242"/>
        <v/>
      </c>
      <c r="I1371" s="3">
        <f t="shared" si="243"/>
        <v>156</v>
      </c>
      <c r="J1371" s="5" t="str">
        <f>IF(E1371=0,"Broadcast",IF(H1371="",IF(I1371="","",IF(I1371&lt;128,"Connect "&amp;I1371,INDEX(KdoCodeTab,MATCH(I1371,KdoWertTab,0)))),"ReadStat "&amp;H1371))</f>
        <v>MarkCmd</v>
      </c>
      <c r="K1371" t="str">
        <f t="shared" si="233"/>
        <v/>
      </c>
      <c r="L1371" t="str">
        <f t="shared" si="234"/>
        <v/>
      </c>
      <c r="M1371" t="str">
        <f t="shared" si="235"/>
        <v>MarkCmd</v>
      </c>
    </row>
    <row r="1372" spans="1:13" x14ac:dyDescent="0.25">
      <c r="A1372" t="s">
        <v>943</v>
      </c>
      <c r="B1372" s="6">
        <f t="shared" si="236"/>
        <v>4.5243333333333338</v>
      </c>
      <c r="C1372" s="9">
        <f t="shared" si="237"/>
        <v>1.000000000000334</v>
      </c>
      <c r="D1372" s="8" t="str">
        <f t="shared" si="238"/>
        <v>W</v>
      </c>
      <c r="E1372" s="3">
        <f t="shared" si="239"/>
        <v>101</v>
      </c>
      <c r="F1372" s="3" t="str">
        <f t="shared" si="240"/>
        <v>ack</v>
      </c>
      <c r="G1372" s="3" t="str">
        <f t="shared" si="241"/>
        <v>9A</v>
      </c>
      <c r="H1372" s="3" t="str">
        <f t="shared" si="242"/>
        <v/>
      </c>
      <c r="I1372" s="3">
        <f t="shared" si="243"/>
        <v>154</v>
      </c>
      <c r="J1372" s="5" t="str">
        <f>IF(E1372=0,"Broadcast",IF(H1372="",IF(I1372="","",IF(I1372&lt;128,"Connect "&amp;I1372,INDEX(KdoCodeTab,MATCH(I1372,KdoWertTab,0)))),"ReadStat "&amp;H1372))</f>
        <v>RepMarkCmd</v>
      </c>
      <c r="K1372" t="str">
        <f t="shared" si="233"/>
        <v/>
      </c>
      <c r="L1372" t="str">
        <f t="shared" si="234"/>
        <v/>
      </c>
      <c r="M1372" t="str">
        <f t="shared" si="235"/>
        <v>RepMarkCmd</v>
      </c>
    </row>
    <row r="1373" spans="1:13" x14ac:dyDescent="0.25">
      <c r="A1373" t="s">
        <v>944</v>
      </c>
      <c r="B1373" s="6">
        <f t="shared" si="236"/>
        <v>4.562333333333334</v>
      </c>
      <c r="C1373" s="9">
        <f t="shared" si="237"/>
        <v>38.000000000000256</v>
      </c>
      <c r="D1373" s="8" t="str">
        <f t="shared" si="238"/>
        <v>W</v>
      </c>
      <c r="E1373" s="3">
        <f t="shared" si="239"/>
        <v>31</v>
      </c>
      <c r="F1373" s="3" t="str">
        <f t="shared" si="240"/>
        <v>ack</v>
      </c>
      <c r="G1373" s="3" t="str">
        <f t="shared" si="241"/>
        <v>9A</v>
      </c>
      <c r="H1373" s="3" t="str">
        <f t="shared" si="242"/>
        <v/>
      </c>
      <c r="I1373" s="3">
        <f t="shared" si="243"/>
        <v>154</v>
      </c>
      <c r="J1373" s="5" t="str">
        <f>IF(E1373=0,"Broadcast",IF(H1373="",IF(I1373="","",IF(I1373&lt;128,"Connect "&amp;I1373,INDEX(KdoCodeTab,MATCH(I1373,KdoWertTab,0)))),"ReadStat "&amp;H1373))</f>
        <v>RepMarkCmd</v>
      </c>
      <c r="K1373" t="str">
        <f t="shared" si="233"/>
        <v/>
      </c>
      <c r="L1373" t="str">
        <f t="shared" si="234"/>
        <v>RepMarkCmd</v>
      </c>
      <c r="M1373" t="str">
        <f t="shared" si="235"/>
        <v/>
      </c>
    </row>
    <row r="1374" spans="1:13" x14ac:dyDescent="0.25">
      <c r="A1374" t="s">
        <v>945</v>
      </c>
      <c r="B1374" s="6">
        <f t="shared" si="236"/>
        <v>4.5668333333333333</v>
      </c>
      <c r="C1374" s="9">
        <f t="shared" si="237"/>
        <v>4.4999999999992824</v>
      </c>
      <c r="D1374" s="8" t="str">
        <f t="shared" si="238"/>
        <v>W</v>
      </c>
      <c r="E1374" s="3">
        <f t="shared" si="239"/>
        <v>101</v>
      </c>
      <c r="F1374" s="3" t="str">
        <f t="shared" si="240"/>
        <v>ack</v>
      </c>
      <c r="G1374" s="3" t="str">
        <f t="shared" si="241"/>
        <v>93</v>
      </c>
      <c r="H1374" s="3" t="str">
        <f t="shared" si="242"/>
        <v/>
      </c>
      <c r="I1374" s="3">
        <f t="shared" si="243"/>
        <v>147</v>
      </c>
      <c r="J1374" s="5" t="str">
        <f>IF(E1374=0,"Broadcast",IF(H1374="",IF(I1374="","",IF(I1374&lt;128,"Connect "&amp;I1374,INDEX(KdoCodeTab,MATCH(I1374,KdoWertTab,0)))),"ReadStat "&amp;H1374))</f>
        <v>SpaceCmd</v>
      </c>
      <c r="K1374" t="str">
        <f t="shared" si="233"/>
        <v/>
      </c>
      <c r="L1374" t="str">
        <f t="shared" si="234"/>
        <v/>
      </c>
      <c r="M1374" t="str">
        <f t="shared" si="235"/>
        <v>SpaceCmd</v>
      </c>
    </row>
    <row r="1375" spans="1:13" x14ac:dyDescent="0.25">
      <c r="A1375" t="s">
        <v>946</v>
      </c>
      <c r="B1375" s="6">
        <f t="shared" si="236"/>
        <v>4.5678333333333336</v>
      </c>
      <c r="C1375" s="9">
        <f t="shared" si="237"/>
        <v>1.000000000000334</v>
      </c>
      <c r="D1375" s="8" t="str">
        <f t="shared" si="238"/>
        <v>W</v>
      </c>
      <c r="E1375" s="3">
        <f t="shared" si="239"/>
        <v>101</v>
      </c>
      <c r="F1375" s="3" t="str">
        <f t="shared" si="240"/>
        <v>ack</v>
      </c>
      <c r="G1375" s="3" t="str">
        <f t="shared" si="241"/>
        <v>96</v>
      </c>
      <c r="H1375" s="3" t="str">
        <f t="shared" si="242"/>
        <v/>
      </c>
      <c r="I1375" s="3">
        <f t="shared" si="243"/>
        <v>150</v>
      </c>
      <c r="J1375" s="5" t="str">
        <f>IF(E1375=0,"Broadcast",IF(H1375="",IF(I1375="","",IF(I1375&lt;128,"Connect "&amp;I1375,INDEX(KdoCodeTab,MATCH(I1375,KdoWertTab,0)))),"ReadStat "&amp;H1375))</f>
        <v>RepSpaceCmd</v>
      </c>
      <c r="K1375" t="str">
        <f t="shared" si="233"/>
        <v/>
      </c>
      <c r="L1375" t="str">
        <f t="shared" si="234"/>
        <v/>
      </c>
      <c r="M1375" t="str">
        <f t="shared" si="235"/>
        <v>RepSpaceCmd</v>
      </c>
    </row>
    <row r="1376" spans="1:13" x14ac:dyDescent="0.25">
      <c r="A1376" t="s">
        <v>947</v>
      </c>
      <c r="B1376" s="6">
        <f t="shared" si="236"/>
        <v>4.6071666666666671</v>
      </c>
      <c r="C1376" s="9">
        <f t="shared" si="237"/>
        <v>39.333333333333442</v>
      </c>
      <c r="D1376" s="8" t="str">
        <f t="shared" si="238"/>
        <v>W</v>
      </c>
      <c r="E1376" s="3">
        <f t="shared" si="239"/>
        <v>101</v>
      </c>
      <c r="F1376" s="3" t="str">
        <f t="shared" si="240"/>
        <v>ack</v>
      </c>
      <c r="G1376" s="3" t="str">
        <f t="shared" si="241"/>
        <v>9C</v>
      </c>
      <c r="H1376" s="3" t="str">
        <f t="shared" si="242"/>
        <v/>
      </c>
      <c r="I1376" s="3">
        <f t="shared" si="243"/>
        <v>156</v>
      </c>
      <c r="J1376" s="5" t="str">
        <f>IF(E1376=0,"Broadcast",IF(H1376="",IF(I1376="","",IF(I1376&lt;128,"Connect "&amp;I1376,INDEX(KdoCodeTab,MATCH(I1376,KdoWertTab,0)))),"ReadStat "&amp;H1376))</f>
        <v>MarkCmd</v>
      </c>
      <c r="K1376" t="str">
        <f t="shared" si="233"/>
        <v/>
      </c>
      <c r="L1376" t="str">
        <f t="shared" si="234"/>
        <v/>
      </c>
      <c r="M1376" t="str">
        <f t="shared" si="235"/>
        <v>MarkCmd</v>
      </c>
    </row>
    <row r="1377" spans="1:13" x14ac:dyDescent="0.25">
      <c r="A1377" t="s">
        <v>948</v>
      </c>
      <c r="B1377" s="6">
        <f t="shared" si="236"/>
        <v>4.6081666666666665</v>
      </c>
      <c r="C1377" s="9">
        <f t="shared" si="237"/>
        <v>0.99999999999944578</v>
      </c>
      <c r="D1377" s="8" t="str">
        <f t="shared" si="238"/>
        <v>W</v>
      </c>
      <c r="E1377" s="3">
        <f t="shared" si="239"/>
        <v>101</v>
      </c>
      <c r="F1377" s="3" t="str">
        <f t="shared" si="240"/>
        <v>ack</v>
      </c>
      <c r="G1377" s="3" t="str">
        <f t="shared" si="241"/>
        <v>9A</v>
      </c>
      <c r="H1377" s="3" t="str">
        <f t="shared" si="242"/>
        <v/>
      </c>
      <c r="I1377" s="3">
        <f t="shared" si="243"/>
        <v>154</v>
      </c>
      <c r="J1377" s="5" t="str">
        <f>IF(E1377=0,"Broadcast",IF(H1377="",IF(I1377="","",IF(I1377&lt;128,"Connect "&amp;I1377,INDEX(KdoCodeTab,MATCH(I1377,KdoWertTab,0)))),"ReadStat "&amp;H1377))</f>
        <v>RepMarkCmd</v>
      </c>
      <c r="K1377" t="str">
        <f t="shared" si="233"/>
        <v/>
      </c>
      <c r="L1377" t="str">
        <f t="shared" si="234"/>
        <v/>
      </c>
      <c r="M1377" t="str">
        <f t="shared" si="235"/>
        <v>RepMarkCmd</v>
      </c>
    </row>
    <row r="1378" spans="1:13" x14ac:dyDescent="0.25">
      <c r="A1378" t="s">
        <v>949</v>
      </c>
      <c r="B1378" s="6">
        <f t="shared" si="236"/>
        <v>4.6274999999999995</v>
      </c>
      <c r="C1378" s="9">
        <f t="shared" si="237"/>
        <v>19.33333333333298</v>
      </c>
      <c r="D1378" s="8" t="str">
        <f t="shared" si="238"/>
        <v>W</v>
      </c>
      <c r="E1378" s="3">
        <f t="shared" si="239"/>
        <v>101</v>
      </c>
      <c r="F1378" s="3" t="str">
        <f t="shared" si="240"/>
        <v>ack</v>
      </c>
      <c r="G1378" s="3" t="str">
        <f t="shared" si="241"/>
        <v>93</v>
      </c>
      <c r="H1378" s="3" t="str">
        <f t="shared" si="242"/>
        <v/>
      </c>
      <c r="I1378" s="3">
        <f t="shared" si="243"/>
        <v>147</v>
      </c>
      <c r="J1378" s="5" t="str">
        <f>IF(E1378=0,"Broadcast",IF(H1378="",IF(I1378="","",IF(I1378&lt;128,"Connect "&amp;I1378,INDEX(KdoCodeTab,MATCH(I1378,KdoWertTab,0)))),"ReadStat "&amp;H1378))</f>
        <v>SpaceCmd</v>
      </c>
      <c r="K1378" t="str">
        <f t="shared" si="233"/>
        <v/>
      </c>
      <c r="L1378" t="str">
        <f t="shared" si="234"/>
        <v/>
      </c>
      <c r="M1378" t="str">
        <f t="shared" si="235"/>
        <v>SpaceCmd</v>
      </c>
    </row>
    <row r="1379" spans="1:13" x14ac:dyDescent="0.25">
      <c r="A1379" t="s">
        <v>950</v>
      </c>
      <c r="B1379" s="6">
        <f t="shared" si="236"/>
        <v>4.6284999999999998</v>
      </c>
      <c r="C1379" s="9">
        <f t="shared" si="237"/>
        <v>1.000000000000334</v>
      </c>
      <c r="D1379" s="8" t="str">
        <f t="shared" si="238"/>
        <v>W</v>
      </c>
      <c r="E1379" s="3">
        <f t="shared" si="239"/>
        <v>101</v>
      </c>
      <c r="F1379" s="3" t="str">
        <f t="shared" si="240"/>
        <v>ack</v>
      </c>
      <c r="G1379" s="3" t="str">
        <f t="shared" si="241"/>
        <v>96</v>
      </c>
      <c r="H1379" s="3" t="str">
        <f t="shared" si="242"/>
        <v/>
      </c>
      <c r="I1379" s="3">
        <f t="shared" si="243"/>
        <v>150</v>
      </c>
      <c r="J1379" s="5" t="str">
        <f>IF(E1379=0,"Broadcast",IF(H1379="",IF(I1379="","",IF(I1379&lt;128,"Connect "&amp;I1379,INDEX(KdoCodeTab,MATCH(I1379,KdoWertTab,0)))),"ReadStat "&amp;H1379))</f>
        <v>RepSpaceCmd</v>
      </c>
      <c r="K1379" t="str">
        <f t="shared" si="233"/>
        <v/>
      </c>
      <c r="L1379" t="str">
        <f t="shared" si="234"/>
        <v/>
      </c>
      <c r="M1379" t="str">
        <f t="shared" si="235"/>
        <v>RepSpaceCmd</v>
      </c>
    </row>
    <row r="1380" spans="1:13" x14ac:dyDescent="0.25">
      <c r="A1380" t="s">
        <v>951</v>
      </c>
      <c r="B1380" s="6">
        <f t="shared" si="236"/>
        <v>4.6879999999999997</v>
      </c>
      <c r="C1380" s="9">
        <f t="shared" si="237"/>
        <v>59.499999999999886</v>
      </c>
      <c r="D1380" s="8" t="str">
        <f t="shared" si="238"/>
        <v>W</v>
      </c>
      <c r="E1380" s="3">
        <f t="shared" si="239"/>
        <v>101</v>
      </c>
      <c r="F1380" s="3" t="str">
        <f t="shared" si="240"/>
        <v>ack</v>
      </c>
      <c r="G1380" s="3" t="str">
        <f t="shared" si="241"/>
        <v>9C</v>
      </c>
      <c r="H1380" s="3" t="str">
        <f t="shared" si="242"/>
        <v/>
      </c>
      <c r="I1380" s="3">
        <f t="shared" si="243"/>
        <v>156</v>
      </c>
      <c r="J1380" s="5" t="str">
        <f>IF(E1380=0,"Broadcast",IF(H1380="",IF(I1380="","",IF(I1380&lt;128,"Connect "&amp;I1380,INDEX(KdoCodeTab,MATCH(I1380,KdoWertTab,0)))),"ReadStat "&amp;H1380))</f>
        <v>MarkCmd</v>
      </c>
      <c r="K1380" t="str">
        <f t="shared" si="233"/>
        <v/>
      </c>
      <c r="L1380" t="str">
        <f t="shared" si="234"/>
        <v/>
      </c>
      <c r="M1380" t="str">
        <f t="shared" si="235"/>
        <v>MarkCmd</v>
      </c>
    </row>
    <row r="1381" spans="1:13" x14ac:dyDescent="0.25">
      <c r="A1381" t="s">
        <v>952</v>
      </c>
      <c r="B1381" s="6">
        <f t="shared" si="236"/>
        <v>4.6890000000000001</v>
      </c>
      <c r="C1381" s="9">
        <f t="shared" si="237"/>
        <v>1.000000000000334</v>
      </c>
      <c r="D1381" s="8" t="str">
        <f t="shared" si="238"/>
        <v>W</v>
      </c>
      <c r="E1381" s="3">
        <f t="shared" si="239"/>
        <v>101</v>
      </c>
      <c r="F1381" s="3" t="str">
        <f t="shared" si="240"/>
        <v>ack</v>
      </c>
      <c r="G1381" s="3" t="str">
        <f t="shared" si="241"/>
        <v>9A</v>
      </c>
      <c r="H1381" s="3" t="str">
        <f t="shared" si="242"/>
        <v/>
      </c>
      <c r="I1381" s="3">
        <f t="shared" si="243"/>
        <v>154</v>
      </c>
      <c r="J1381" s="5" t="str">
        <f>IF(E1381=0,"Broadcast",IF(H1381="",IF(I1381="","",IF(I1381&lt;128,"Connect "&amp;I1381,INDEX(KdoCodeTab,MATCH(I1381,KdoWertTab,0)))),"ReadStat "&amp;H1381))</f>
        <v>RepMarkCmd</v>
      </c>
      <c r="K1381" t="str">
        <f t="shared" si="233"/>
        <v/>
      </c>
      <c r="L1381" t="str">
        <f t="shared" si="234"/>
        <v/>
      </c>
      <c r="M1381" t="str">
        <f t="shared" si="235"/>
        <v>RepMarkCmd</v>
      </c>
    </row>
    <row r="1382" spans="1:13" x14ac:dyDescent="0.25">
      <c r="A1382" t="s">
        <v>953</v>
      </c>
      <c r="B1382" s="6">
        <f t="shared" si="236"/>
        <v>5.0683333333333334</v>
      </c>
      <c r="C1382" s="9">
        <f t="shared" si="237"/>
        <v>379.33333333333331</v>
      </c>
      <c r="D1382" s="8" t="str">
        <f t="shared" si="238"/>
        <v>W</v>
      </c>
      <c r="E1382" s="3">
        <f t="shared" si="239"/>
        <v>31</v>
      </c>
      <c r="F1382" s="3" t="str">
        <f t="shared" si="240"/>
        <v>ack</v>
      </c>
      <c r="G1382" s="3" t="str">
        <f t="shared" si="241"/>
        <v>9A</v>
      </c>
      <c r="H1382" s="3" t="str">
        <f t="shared" si="242"/>
        <v/>
      </c>
      <c r="I1382" s="3">
        <f t="shared" si="243"/>
        <v>154</v>
      </c>
      <c r="J1382" s="5" t="str">
        <f>IF(E1382=0,"Broadcast",IF(H1382="",IF(I1382="","",IF(I1382&lt;128,"Connect "&amp;I1382,INDEX(KdoCodeTab,MATCH(I1382,KdoWertTab,0)))),"ReadStat "&amp;H1382))</f>
        <v>RepMarkCmd</v>
      </c>
      <c r="K1382" t="str">
        <f t="shared" si="233"/>
        <v/>
      </c>
      <c r="L1382" t="str">
        <f t="shared" si="234"/>
        <v>RepMarkCmd</v>
      </c>
      <c r="M1382" t="str">
        <f t="shared" si="235"/>
        <v/>
      </c>
    </row>
    <row r="1383" spans="1:13" x14ac:dyDescent="0.25">
      <c r="A1383" t="s">
        <v>954</v>
      </c>
      <c r="B1383" s="6">
        <f t="shared" si="236"/>
        <v>5.1890000000000001</v>
      </c>
      <c r="C1383" s="9">
        <f t="shared" si="237"/>
        <v>120.6666666666667</v>
      </c>
      <c r="D1383" s="8" t="str">
        <f t="shared" si="238"/>
        <v>W</v>
      </c>
      <c r="E1383" s="3">
        <f t="shared" si="239"/>
        <v>101</v>
      </c>
      <c r="F1383" s="3" t="str">
        <f t="shared" si="240"/>
        <v>ack</v>
      </c>
      <c r="G1383" s="3" t="str">
        <f t="shared" si="241"/>
        <v>A9</v>
      </c>
      <c r="H1383" s="3" t="str">
        <f t="shared" si="242"/>
        <v/>
      </c>
      <c r="I1383" s="3">
        <f t="shared" si="243"/>
        <v>169</v>
      </c>
      <c r="J1383" s="5" t="str">
        <f>IF(E1383=0,"Broadcast",IF(H1383="",IF(I1383="","",IF(I1383&lt;128,"Connect "&amp;I1383,INDEX(KdoCodeTab,MATCH(I1383,KdoWertTab,0)))),"ReadStat "&amp;H1383))</f>
        <v>Heartbeat</v>
      </c>
      <c r="K1383" t="str">
        <f t="shared" si="233"/>
        <v/>
      </c>
      <c r="L1383" t="str">
        <f t="shared" si="234"/>
        <v/>
      </c>
      <c r="M1383" t="str">
        <f t="shared" si="235"/>
        <v>Heartbeat</v>
      </c>
    </row>
    <row r="1384" spans="1:13" x14ac:dyDescent="0.25">
      <c r="A1384" t="s">
        <v>955</v>
      </c>
      <c r="B1384" s="6">
        <f t="shared" si="236"/>
        <v>5.2921666666666667</v>
      </c>
      <c r="C1384" s="9">
        <f t="shared" si="237"/>
        <v>103.16666666666663</v>
      </c>
      <c r="D1384" s="8" t="str">
        <f t="shared" si="238"/>
        <v>W</v>
      </c>
      <c r="E1384" s="3">
        <f t="shared" si="239"/>
        <v>101</v>
      </c>
      <c r="F1384" s="3" t="str">
        <f t="shared" si="240"/>
        <v>ack</v>
      </c>
      <c r="G1384" s="3" t="str">
        <f t="shared" si="241"/>
        <v>93</v>
      </c>
      <c r="H1384" s="3" t="str">
        <f t="shared" si="242"/>
        <v/>
      </c>
      <c r="I1384" s="3">
        <f t="shared" si="243"/>
        <v>147</v>
      </c>
      <c r="J1384" s="5" t="str">
        <f>IF(E1384=0,"Broadcast",IF(H1384="",IF(I1384="","",IF(I1384&lt;128,"Connect "&amp;I1384,INDEX(KdoCodeTab,MATCH(I1384,KdoWertTab,0)))),"ReadStat "&amp;H1384))</f>
        <v>SpaceCmd</v>
      </c>
      <c r="K1384" t="str">
        <f t="shared" si="233"/>
        <v/>
      </c>
      <c r="L1384" t="str">
        <f t="shared" si="234"/>
        <v/>
      </c>
      <c r="M1384" t="str">
        <f t="shared" si="235"/>
        <v>SpaceCmd</v>
      </c>
    </row>
    <row r="1385" spans="1:13" x14ac:dyDescent="0.25">
      <c r="A1385" t="s">
        <v>956</v>
      </c>
      <c r="B1385" s="6">
        <f t="shared" si="236"/>
        <v>5.293166666666667</v>
      </c>
      <c r="C1385" s="9">
        <f t="shared" si="237"/>
        <v>1.000000000000334</v>
      </c>
      <c r="D1385" s="8" t="str">
        <f t="shared" si="238"/>
        <v>W</v>
      </c>
      <c r="E1385" s="3">
        <f t="shared" si="239"/>
        <v>101</v>
      </c>
      <c r="F1385" s="3" t="str">
        <f t="shared" si="240"/>
        <v>ack</v>
      </c>
      <c r="G1385" s="3" t="str">
        <f t="shared" si="241"/>
        <v>96</v>
      </c>
      <c r="H1385" s="3" t="str">
        <f t="shared" si="242"/>
        <v/>
      </c>
      <c r="I1385" s="3">
        <f t="shared" si="243"/>
        <v>150</v>
      </c>
      <c r="J1385" s="5" t="str">
        <f>IF(E1385=0,"Broadcast",IF(H1385="",IF(I1385="","",IF(I1385&lt;128,"Connect "&amp;I1385,INDEX(KdoCodeTab,MATCH(I1385,KdoWertTab,0)))),"ReadStat "&amp;H1385))</f>
        <v>RepSpaceCmd</v>
      </c>
      <c r="K1385" t="str">
        <f t="shared" si="233"/>
        <v/>
      </c>
      <c r="L1385" t="str">
        <f t="shared" si="234"/>
        <v/>
      </c>
      <c r="M1385" t="str">
        <f t="shared" si="235"/>
        <v>RepSpaceCmd</v>
      </c>
    </row>
    <row r="1386" spans="1:13" x14ac:dyDescent="0.25">
      <c r="A1386" t="s">
        <v>957</v>
      </c>
      <c r="B1386" s="6">
        <f t="shared" si="236"/>
        <v>5.5743333333333336</v>
      </c>
      <c r="C1386" s="9">
        <f t="shared" si="237"/>
        <v>281.16666666666657</v>
      </c>
      <c r="D1386" s="8" t="str">
        <f t="shared" si="238"/>
        <v>W</v>
      </c>
      <c r="E1386" s="3">
        <f t="shared" si="239"/>
        <v>31</v>
      </c>
      <c r="F1386" s="3" t="str">
        <f t="shared" si="240"/>
        <v>ack</v>
      </c>
      <c r="G1386" s="3" t="str">
        <f t="shared" si="241"/>
        <v>9A</v>
      </c>
      <c r="H1386" s="3" t="str">
        <f t="shared" si="242"/>
        <v/>
      </c>
      <c r="I1386" s="3">
        <f t="shared" si="243"/>
        <v>154</v>
      </c>
      <c r="J1386" s="5" t="str">
        <f>IF(E1386=0,"Broadcast",IF(H1386="",IF(I1386="","",IF(I1386&lt;128,"Connect "&amp;I1386,INDEX(KdoCodeTab,MATCH(I1386,KdoWertTab,0)))),"ReadStat "&amp;H1386))</f>
        <v>RepMarkCmd</v>
      </c>
      <c r="K1386" t="str">
        <f t="shared" si="233"/>
        <v/>
      </c>
      <c r="L1386" t="str">
        <f t="shared" si="234"/>
        <v>RepMarkCmd</v>
      </c>
      <c r="M1386" t="str">
        <f t="shared" si="235"/>
        <v/>
      </c>
    </row>
    <row r="1387" spans="1:13" x14ac:dyDescent="0.25">
      <c r="A1387" t="s">
        <v>958</v>
      </c>
      <c r="B1387" s="6">
        <f t="shared" si="236"/>
        <v>5.8710000000000004</v>
      </c>
      <c r="C1387" s="9">
        <f t="shared" si="237"/>
        <v>296.66666666666686</v>
      </c>
      <c r="D1387" s="8" t="str">
        <f t="shared" si="238"/>
        <v>W</v>
      </c>
      <c r="E1387" s="3">
        <f t="shared" si="239"/>
        <v>101</v>
      </c>
      <c r="F1387" s="3" t="str">
        <f t="shared" si="240"/>
        <v>ack</v>
      </c>
      <c r="G1387" s="3" t="str">
        <f t="shared" si="241"/>
        <v>A9</v>
      </c>
      <c r="H1387" s="3" t="str">
        <f t="shared" si="242"/>
        <v/>
      </c>
      <c r="I1387" s="3">
        <f t="shared" si="243"/>
        <v>169</v>
      </c>
      <c r="J1387" s="5" t="str">
        <f>IF(E1387=0,"Broadcast",IF(H1387="",IF(I1387="","",IF(I1387&lt;128,"Connect "&amp;I1387,INDEX(KdoCodeTab,MATCH(I1387,KdoWertTab,0)))),"ReadStat "&amp;H1387))</f>
        <v>Heartbeat</v>
      </c>
      <c r="K1387" t="str">
        <f t="shared" si="233"/>
        <v/>
      </c>
      <c r="L1387" t="str">
        <f t="shared" si="234"/>
        <v/>
      </c>
      <c r="M1387" t="str">
        <f t="shared" si="235"/>
        <v>Heartbeat</v>
      </c>
    </row>
    <row r="1388" spans="1:13" x14ac:dyDescent="0.25">
      <c r="A1388" t="s">
        <v>959</v>
      </c>
      <c r="B1388" s="6">
        <f t="shared" si="236"/>
        <v>6.0803333333333338</v>
      </c>
      <c r="C1388" s="9">
        <f t="shared" si="237"/>
        <v>209.33333333333337</v>
      </c>
      <c r="D1388" s="8" t="str">
        <f t="shared" si="238"/>
        <v>W</v>
      </c>
      <c r="E1388" s="3">
        <f t="shared" si="239"/>
        <v>31</v>
      </c>
      <c r="F1388" s="3" t="str">
        <f t="shared" si="240"/>
        <v>ack</v>
      </c>
      <c r="G1388" s="3" t="str">
        <f t="shared" si="241"/>
        <v>9A</v>
      </c>
      <c r="H1388" s="3" t="str">
        <f t="shared" si="242"/>
        <v/>
      </c>
      <c r="I1388" s="3">
        <f t="shared" si="243"/>
        <v>154</v>
      </c>
      <c r="J1388" s="5" t="str">
        <f>IF(E1388=0,"Broadcast",IF(H1388="",IF(I1388="","",IF(I1388&lt;128,"Connect "&amp;I1388,INDEX(KdoCodeTab,MATCH(I1388,KdoWertTab,0)))),"ReadStat "&amp;H1388))</f>
        <v>RepMarkCmd</v>
      </c>
      <c r="K1388" t="str">
        <f t="shared" si="233"/>
        <v/>
      </c>
      <c r="L1388" t="str">
        <f t="shared" si="234"/>
        <v>RepMarkCmd</v>
      </c>
      <c r="M1388" t="str">
        <f t="shared" si="235"/>
        <v/>
      </c>
    </row>
    <row r="1389" spans="1:13" x14ac:dyDescent="0.25">
      <c r="A1389" t="s">
        <v>960</v>
      </c>
      <c r="B1389" s="6">
        <f t="shared" si="236"/>
        <v>6.5528333333333331</v>
      </c>
      <c r="C1389" s="9">
        <f t="shared" si="237"/>
        <v>472.49999999999926</v>
      </c>
      <c r="D1389" s="8" t="str">
        <f t="shared" si="238"/>
        <v>W</v>
      </c>
      <c r="E1389" s="3">
        <f t="shared" si="239"/>
        <v>101</v>
      </c>
      <c r="F1389" s="3" t="str">
        <f t="shared" si="240"/>
        <v>ack</v>
      </c>
      <c r="G1389" s="3" t="str">
        <f t="shared" si="241"/>
        <v>A9</v>
      </c>
      <c r="H1389" s="3" t="str">
        <f t="shared" si="242"/>
        <v/>
      </c>
      <c r="I1389" s="3">
        <f t="shared" si="243"/>
        <v>169</v>
      </c>
      <c r="J1389" s="5" t="str">
        <f>IF(E1389=0,"Broadcast",IF(H1389="",IF(I1389="","",IF(I1389&lt;128,"Connect "&amp;I1389,INDEX(KdoCodeTab,MATCH(I1389,KdoWertTab,0)))),"ReadStat "&amp;H1389))</f>
        <v>Heartbeat</v>
      </c>
      <c r="K1389" t="str">
        <f t="shared" si="233"/>
        <v/>
      </c>
      <c r="L1389" t="str">
        <f t="shared" si="234"/>
        <v/>
      </c>
      <c r="M1389" t="str">
        <f t="shared" si="235"/>
        <v>Heartbeat</v>
      </c>
    </row>
    <row r="1390" spans="1:13" x14ac:dyDescent="0.25">
      <c r="A1390" t="s">
        <v>961</v>
      </c>
      <c r="B1390" s="6">
        <f t="shared" si="236"/>
        <v>6.586333333333334</v>
      </c>
      <c r="C1390" s="9">
        <f t="shared" si="237"/>
        <v>33.500000000000973</v>
      </c>
      <c r="D1390" s="8" t="str">
        <f t="shared" si="238"/>
        <v>W</v>
      </c>
      <c r="E1390" s="3">
        <f t="shared" si="239"/>
        <v>31</v>
      </c>
      <c r="F1390" s="3" t="str">
        <f t="shared" si="240"/>
        <v>ack</v>
      </c>
      <c r="G1390" s="3" t="str">
        <f t="shared" si="241"/>
        <v>9A</v>
      </c>
      <c r="H1390" s="3" t="str">
        <f t="shared" si="242"/>
        <v/>
      </c>
      <c r="I1390" s="3">
        <f t="shared" si="243"/>
        <v>154</v>
      </c>
      <c r="J1390" s="5" t="str">
        <f>IF(E1390=0,"Broadcast",IF(H1390="",IF(I1390="","",IF(I1390&lt;128,"Connect "&amp;I1390,INDEX(KdoCodeTab,MATCH(I1390,KdoWertTab,0)))),"ReadStat "&amp;H1390))</f>
        <v>RepMarkCmd</v>
      </c>
      <c r="K1390" t="str">
        <f t="shared" si="233"/>
        <v/>
      </c>
      <c r="L1390" t="str">
        <f t="shared" si="234"/>
        <v>RepMarkCmd</v>
      </c>
      <c r="M1390" t="str">
        <f t="shared" si="235"/>
        <v/>
      </c>
    </row>
    <row r="1391" spans="1:13" x14ac:dyDescent="0.25">
      <c r="A1391" t="s">
        <v>962</v>
      </c>
      <c r="B1391" s="6">
        <f t="shared" si="236"/>
        <v>6.6023333333333341</v>
      </c>
      <c r="C1391" s="9">
        <f t="shared" si="237"/>
        <v>16.000000000000014</v>
      </c>
      <c r="D1391" s="8" t="str">
        <f t="shared" si="238"/>
        <v>W</v>
      </c>
      <c r="E1391" s="3">
        <f t="shared" si="239"/>
        <v>101</v>
      </c>
      <c r="F1391" s="3" t="str">
        <f t="shared" si="240"/>
        <v>ack</v>
      </c>
      <c r="G1391" s="3" t="str">
        <f t="shared" si="241"/>
        <v>AA</v>
      </c>
      <c r="H1391" s="3" t="str">
        <f t="shared" si="242"/>
        <v/>
      </c>
      <c r="I1391" s="3">
        <f t="shared" si="243"/>
        <v>170</v>
      </c>
      <c r="J1391" s="5" t="str">
        <f>IF(E1391=0,"Broadcast",IF(H1391="",IF(I1391="","",IF(I1391&lt;128,"Connect "&amp;I1391,INDEX(KdoCodeTab,MATCH(I1391,KdoWertTab,0)))),"ReadStat "&amp;H1391))</f>
        <v>DisconnCmd</v>
      </c>
      <c r="K1391" t="str">
        <f t="shared" si="233"/>
        <v/>
      </c>
      <c r="L1391" t="str">
        <f t="shared" si="234"/>
        <v/>
      </c>
      <c r="M1391" t="str">
        <f t="shared" si="235"/>
        <v>DisconnCmd</v>
      </c>
    </row>
    <row r="1392" spans="1:13" x14ac:dyDescent="0.25">
      <c r="A1392" t="s">
        <v>963</v>
      </c>
      <c r="B1392" s="6">
        <f t="shared" si="236"/>
        <v>6.6038333333333332</v>
      </c>
      <c r="C1392" s="9">
        <f t="shared" si="237"/>
        <v>1.4999999999991687</v>
      </c>
      <c r="D1392" s="8" t="str">
        <f t="shared" si="238"/>
        <v>W</v>
      </c>
      <c r="E1392" s="3">
        <f t="shared" si="239"/>
        <v>31</v>
      </c>
      <c r="F1392" s="3" t="str">
        <f t="shared" si="240"/>
        <v>ack</v>
      </c>
      <c r="G1392" s="3" t="str">
        <f t="shared" si="241"/>
        <v>AC</v>
      </c>
      <c r="H1392" s="3" t="str">
        <f t="shared" si="242"/>
        <v/>
      </c>
      <c r="I1392" s="3">
        <f t="shared" si="243"/>
        <v>172</v>
      </c>
      <c r="J1392" s="5" t="str">
        <f>IF(E1392=0,"Broadcast",IF(H1392="",IF(I1392="","",IF(I1392&lt;128,"Connect "&amp;I1392,INDEX(KdoCodeTab,MATCH(I1392,KdoWertTab,0)))),"ReadStat "&amp;H1392))</f>
        <v>DisconnAck</v>
      </c>
      <c r="K1392" t="str">
        <f t="shared" si="233"/>
        <v/>
      </c>
      <c r="L1392" t="str">
        <f t="shared" si="234"/>
        <v>DisconnAck</v>
      </c>
      <c r="M1392" t="str">
        <f t="shared" si="235"/>
        <v/>
      </c>
    </row>
    <row r="1393" spans="1:13" x14ac:dyDescent="0.25">
      <c r="D1393" s="8" t="str">
        <f t="shared" si="238"/>
        <v>?</v>
      </c>
      <c r="E1393" s="3">
        <f t="shared" si="239"/>
        <v>0</v>
      </c>
      <c r="F1393" s="3" t="str">
        <f t="shared" si="240"/>
        <v>NACK</v>
      </c>
      <c r="G1393" s="3" t="str">
        <f t="shared" si="241"/>
        <v/>
      </c>
      <c r="H1393" s="3" t="str">
        <f t="shared" si="242"/>
        <v/>
      </c>
      <c r="I1393" s="3" t="str">
        <f t="shared" si="243"/>
        <v/>
      </c>
      <c r="J1393" s="5" t="str">
        <f>IF(E1393=0,"Broadcast",IF(H1393="",IF(I1393="","",IF(I1393&lt;128,"Connect "&amp;I1393,INDEX(KdoCodeTab,MATCH(I1393,KdoWertTab,0)))),"ReadStat "&amp;H1393))</f>
        <v>Broadcast</v>
      </c>
      <c r="K1393" t="str">
        <f t="shared" si="233"/>
        <v/>
      </c>
      <c r="L1393" t="str">
        <f t="shared" si="234"/>
        <v/>
      </c>
      <c r="M1393" t="str">
        <f t="shared" si="235"/>
        <v>Broadcast</v>
      </c>
    </row>
    <row r="1394" spans="1:13" x14ac:dyDescent="0.25">
      <c r="A1394" t="s">
        <v>2</v>
      </c>
      <c r="D1394" s="8" t="str">
        <f t="shared" si="238"/>
        <v>?</v>
      </c>
      <c r="E1394" s="3" t="e">
        <f t="shared" si="239"/>
        <v>#NUM!</v>
      </c>
      <c r="F1394" s="3" t="str">
        <f t="shared" si="240"/>
        <v>NACK</v>
      </c>
      <c r="G1394" s="3" t="str">
        <f t="shared" si="241"/>
        <v/>
      </c>
      <c r="H1394" s="3" t="str">
        <f t="shared" si="242"/>
        <v/>
      </c>
      <c r="I1394" s="3" t="str">
        <f t="shared" si="243"/>
        <v/>
      </c>
      <c r="J1394" s="5" t="e">
        <f>IF(E1394=0,"Broadcast",IF(H1394="",IF(I1394="","",IF(I1394&lt;128,"Connect "&amp;I1394,INDEX(KdoCodeTab,MATCH(I1394,KdoWertTab,0)))),"ReadStat "&amp;H1394))</f>
        <v>#NUM!</v>
      </c>
      <c r="K1394" t="e">
        <f t="shared" si="233"/>
        <v>#NUM!</v>
      </c>
      <c r="L1394" t="e">
        <f t="shared" si="234"/>
        <v>#NUM!</v>
      </c>
      <c r="M1394" t="e">
        <f t="shared" si="235"/>
        <v>#NUM!</v>
      </c>
    </row>
    <row r="1395" spans="1:13" x14ac:dyDescent="0.25">
      <c r="A1395" t="s">
        <v>1</v>
      </c>
      <c r="D1395" s="8" t="str">
        <f t="shared" si="238"/>
        <v>?</v>
      </c>
      <c r="E1395" s="3" t="e">
        <f t="shared" si="239"/>
        <v>#NUM!</v>
      </c>
      <c r="F1395" s="3" t="str">
        <f t="shared" si="240"/>
        <v>NACK</v>
      </c>
      <c r="G1395" s="3" t="str">
        <f t="shared" si="241"/>
        <v/>
      </c>
      <c r="H1395" s="3" t="str">
        <f t="shared" si="242"/>
        <v/>
      </c>
      <c r="I1395" s="3" t="str">
        <f t="shared" si="243"/>
        <v/>
      </c>
      <c r="J1395" s="5" t="e">
        <f>IF(E1395=0,"Broadcast",IF(H1395="",IF(I1395="","",IF(I1395&lt;128,"Connect "&amp;I1395,INDEX(KdoCodeTab,MATCH(I1395,KdoWertTab,0)))),"ReadStat "&amp;H1395))</f>
        <v>#NUM!</v>
      </c>
      <c r="K1395" t="e">
        <f t="shared" si="233"/>
        <v>#NUM!</v>
      </c>
      <c r="L1395" t="e">
        <f t="shared" si="234"/>
        <v>#NUM!</v>
      </c>
      <c r="M1395" t="e">
        <f t="shared" si="235"/>
        <v>#NUM!</v>
      </c>
    </row>
    <row r="1396" spans="1:13" x14ac:dyDescent="0.25">
      <c r="A1396" t="s">
        <v>4</v>
      </c>
      <c r="D1396" s="8" t="str">
        <f t="shared" si="238"/>
        <v>?</v>
      </c>
      <c r="E1396" s="3" t="e">
        <f t="shared" si="239"/>
        <v>#NUM!</v>
      </c>
      <c r="F1396" s="3" t="str">
        <f t="shared" si="240"/>
        <v>NACK</v>
      </c>
      <c r="G1396" s="3" t="str">
        <f t="shared" si="241"/>
        <v/>
      </c>
      <c r="H1396" s="3" t="str">
        <f t="shared" si="242"/>
        <v/>
      </c>
      <c r="I1396" s="3" t="str">
        <f t="shared" si="243"/>
        <v/>
      </c>
      <c r="J1396" s="5" t="e">
        <f>IF(E1396=0,"Broadcast",IF(H1396="",IF(I1396="","",IF(I1396&lt;128,"Connect "&amp;I1396,INDEX(KdoCodeTab,MATCH(I1396,KdoWertTab,0)))),"ReadStat "&amp;H1396))</f>
        <v>#NUM!</v>
      </c>
      <c r="K1396" t="e">
        <f t="shared" si="233"/>
        <v>#NUM!</v>
      </c>
      <c r="L1396" t="e">
        <f t="shared" si="234"/>
        <v>#NUM!</v>
      </c>
      <c r="M1396" t="e">
        <f t="shared" si="235"/>
        <v>#NUM!</v>
      </c>
    </row>
    <row r="1397" spans="1:13" x14ac:dyDescent="0.25">
      <c r="E1397" s="3"/>
      <c r="F1397" s="3"/>
      <c r="G1397" s="3"/>
      <c r="H1397" s="3"/>
      <c r="I1397" s="3"/>
      <c r="J1397" s="5"/>
    </row>
    <row r="1398" spans="1:13" x14ac:dyDescent="0.25">
      <c r="E1398" s="3"/>
      <c r="F1398" s="3"/>
      <c r="G1398" s="3"/>
      <c r="H1398" s="3"/>
      <c r="I1398" s="3"/>
      <c r="J1398" s="5"/>
    </row>
    <row r="1399" spans="1:13" x14ac:dyDescent="0.25">
      <c r="E1399" s="3"/>
      <c r="F1399" s="3"/>
      <c r="G1399" s="3"/>
      <c r="H1399" s="3"/>
      <c r="I1399" s="3"/>
      <c r="J1399" s="5"/>
    </row>
    <row r="1400" spans="1:13" x14ac:dyDescent="0.25">
      <c r="E1400" s="3"/>
      <c r="F1400" s="3"/>
      <c r="G1400" s="3"/>
      <c r="H1400" s="3"/>
      <c r="I1400" s="3"/>
      <c r="J1400" s="5"/>
    </row>
    <row r="1401" spans="1:13" x14ac:dyDescent="0.25">
      <c r="E1401" s="3"/>
      <c r="F1401" s="3"/>
      <c r="G1401" s="3"/>
      <c r="H1401" s="3"/>
      <c r="I1401" s="3"/>
      <c r="J1401" s="5"/>
    </row>
    <row r="1402" spans="1:13" x14ac:dyDescent="0.25">
      <c r="E1402" s="3"/>
      <c r="F1402" s="3"/>
      <c r="G1402" s="3"/>
      <c r="H1402" s="3"/>
      <c r="I1402" s="3"/>
      <c r="J1402" s="5"/>
    </row>
    <row r="1403" spans="1:13" x14ac:dyDescent="0.25">
      <c r="E1403" s="3"/>
      <c r="F1403" s="3"/>
      <c r="G1403" s="3"/>
      <c r="H1403" s="3"/>
      <c r="I1403" s="3"/>
      <c r="J1403" s="5"/>
    </row>
    <row r="1404" spans="1:13" x14ac:dyDescent="0.25">
      <c r="E1404" s="3"/>
      <c r="F1404" s="3"/>
      <c r="G1404" s="3"/>
      <c r="H1404" s="3"/>
      <c r="I1404" s="3"/>
      <c r="J1404" s="5"/>
    </row>
    <row r="1405" spans="1:13" x14ac:dyDescent="0.25">
      <c r="E1405" s="3"/>
      <c r="F1405" s="3"/>
      <c r="G1405" s="3"/>
      <c r="H1405" s="3"/>
      <c r="I1405" s="3"/>
      <c r="J1405" s="5"/>
    </row>
    <row r="1406" spans="1:13" x14ac:dyDescent="0.25">
      <c r="E1406" s="3"/>
      <c r="F1406" s="3"/>
      <c r="G1406" s="3"/>
      <c r="H1406" s="3"/>
      <c r="I1406" s="3"/>
      <c r="J1406" s="5"/>
    </row>
    <row r="1407" spans="1:13" x14ac:dyDescent="0.25">
      <c r="E1407" s="3"/>
      <c r="F1407" s="3"/>
      <c r="G1407" s="3"/>
      <c r="H1407" s="3"/>
      <c r="I1407" s="3"/>
      <c r="J1407" s="5"/>
    </row>
    <row r="1408" spans="1:13" x14ac:dyDescent="0.25">
      <c r="E1408" s="3"/>
      <c r="F1408" s="3"/>
      <c r="G1408" s="3"/>
      <c r="H1408" s="3"/>
      <c r="I1408" s="3"/>
      <c r="J1408" s="5"/>
    </row>
    <row r="1409" spans="5:10" x14ac:dyDescent="0.25">
      <c r="E1409" s="3"/>
      <c r="F1409" s="3"/>
      <c r="G1409" s="3"/>
      <c r="H1409" s="3"/>
      <c r="I1409" s="3"/>
      <c r="J1409" s="5"/>
    </row>
    <row r="1410" spans="5:10" x14ac:dyDescent="0.25">
      <c r="E1410" s="3"/>
      <c r="F1410" s="3"/>
      <c r="G1410" s="3"/>
      <c r="H1410" s="3"/>
      <c r="I1410" s="3"/>
      <c r="J1410" s="5"/>
    </row>
    <row r="1411" spans="5:10" x14ac:dyDescent="0.25">
      <c r="E1411" s="3"/>
      <c r="F1411" s="3"/>
      <c r="G1411" s="3"/>
      <c r="H1411" s="3"/>
      <c r="I1411" s="3"/>
      <c r="J1411" s="5"/>
    </row>
    <row r="1412" spans="5:10" x14ac:dyDescent="0.25">
      <c r="E1412" s="3"/>
      <c r="F1412" s="3"/>
      <c r="G1412" s="3"/>
      <c r="H1412" s="3"/>
      <c r="I1412" s="3"/>
      <c r="J1412" s="5"/>
    </row>
    <row r="1413" spans="5:10" x14ac:dyDescent="0.25">
      <c r="E1413" s="3"/>
      <c r="F1413" s="3"/>
      <c r="G1413" s="3"/>
      <c r="H1413" s="3"/>
      <c r="I1413" s="3"/>
      <c r="J1413" s="5"/>
    </row>
    <row r="1414" spans="5:10" x14ac:dyDescent="0.25">
      <c r="E1414" s="3"/>
      <c r="F1414" s="3"/>
      <c r="G1414" s="3"/>
      <c r="H1414" s="3"/>
      <c r="I1414" s="3"/>
      <c r="J1414" s="5"/>
    </row>
    <row r="1415" spans="5:10" x14ac:dyDescent="0.25">
      <c r="E1415" s="3"/>
      <c r="F1415" s="3"/>
      <c r="G1415" s="3"/>
      <c r="H1415" s="3"/>
      <c r="I1415" s="3"/>
      <c r="J1415" s="5"/>
    </row>
    <row r="1416" spans="5:10" x14ac:dyDescent="0.25">
      <c r="E1416" s="3"/>
      <c r="F1416" s="3"/>
      <c r="G1416" s="3"/>
      <c r="H1416" s="3"/>
      <c r="I1416" s="3"/>
      <c r="J1416" s="5"/>
    </row>
    <row r="1417" spans="5:10" x14ac:dyDescent="0.25">
      <c r="E1417" s="3"/>
      <c r="F1417" s="3"/>
      <c r="G1417" s="3"/>
      <c r="H1417" s="3"/>
      <c r="I1417" s="3"/>
      <c r="J1417" s="5"/>
    </row>
    <row r="1418" spans="5:10" x14ac:dyDescent="0.25">
      <c r="E1418" s="3"/>
      <c r="F1418" s="3"/>
      <c r="G1418" s="3"/>
      <c r="H1418" s="3"/>
      <c r="I1418" s="3"/>
      <c r="J1418" s="5"/>
    </row>
    <row r="1419" spans="5:10" x14ac:dyDescent="0.25">
      <c r="E1419" s="3"/>
      <c r="F1419" s="3"/>
      <c r="G1419" s="3"/>
      <c r="H1419" s="3"/>
      <c r="I1419" s="3"/>
      <c r="J1419" s="5"/>
    </row>
    <row r="1420" spans="5:10" x14ac:dyDescent="0.25">
      <c r="E1420" s="3"/>
      <c r="F1420" s="3"/>
      <c r="G1420" s="3"/>
      <c r="H1420" s="3"/>
      <c r="I1420" s="3"/>
      <c r="J1420" s="5"/>
    </row>
    <row r="1421" spans="5:10" x14ac:dyDescent="0.25">
      <c r="E1421" s="3"/>
      <c r="F1421" s="3"/>
      <c r="G1421" s="3"/>
      <c r="H1421" s="3"/>
      <c r="I1421" s="3"/>
      <c r="J1421" s="5"/>
    </row>
    <row r="1422" spans="5:10" x14ac:dyDescent="0.25">
      <c r="E1422" s="3"/>
      <c r="F1422" s="3"/>
      <c r="G1422" s="3"/>
      <c r="H1422" s="3"/>
      <c r="I1422" s="3"/>
      <c r="J1422" s="5"/>
    </row>
    <row r="1423" spans="5:10" x14ac:dyDescent="0.25">
      <c r="E1423" s="3"/>
      <c r="F1423" s="3"/>
      <c r="G1423" s="3"/>
      <c r="H1423" s="3"/>
      <c r="I1423" s="3"/>
      <c r="J1423" s="5"/>
    </row>
    <row r="1424" spans="5:10" x14ac:dyDescent="0.25">
      <c r="E1424" s="3"/>
      <c r="F1424" s="3"/>
      <c r="G1424" s="3"/>
      <c r="H1424" s="3"/>
      <c r="I1424" s="3"/>
      <c r="J1424" s="5"/>
    </row>
    <row r="1425" spans="5:10" x14ac:dyDescent="0.25">
      <c r="E1425" s="3"/>
      <c r="F1425" s="3"/>
      <c r="G1425" s="3"/>
      <c r="H1425" s="3"/>
      <c r="I1425" s="3"/>
      <c r="J1425" s="5"/>
    </row>
    <row r="1426" spans="5:10" x14ac:dyDescent="0.25">
      <c r="E1426" s="3"/>
      <c r="F1426" s="3"/>
      <c r="G1426" s="3"/>
      <c r="H1426" s="3"/>
      <c r="I1426" s="3"/>
      <c r="J1426" s="5"/>
    </row>
    <row r="1427" spans="5:10" x14ac:dyDescent="0.25">
      <c r="E1427" s="3"/>
      <c r="F1427" s="3"/>
      <c r="G1427" s="3"/>
      <c r="H1427" s="3"/>
      <c r="I1427" s="3"/>
      <c r="J1427" s="5"/>
    </row>
    <row r="1428" spans="5:10" x14ac:dyDescent="0.25">
      <c r="E1428" s="3"/>
      <c r="F1428" s="3"/>
      <c r="G1428" s="3"/>
      <c r="H1428" s="3"/>
      <c r="I1428" s="3"/>
      <c r="J1428" s="5"/>
    </row>
    <row r="1429" spans="5:10" x14ac:dyDescent="0.25">
      <c r="E1429" s="3"/>
      <c r="F1429" s="3"/>
      <c r="G1429" s="3"/>
      <c r="H1429" s="3"/>
      <c r="I1429" s="3"/>
      <c r="J1429" s="5"/>
    </row>
    <row r="1430" spans="5:10" x14ac:dyDescent="0.25">
      <c r="E1430" s="3"/>
      <c r="F1430" s="3"/>
      <c r="G1430" s="3"/>
      <c r="H1430" s="3"/>
      <c r="I1430" s="3"/>
      <c r="J1430" s="5"/>
    </row>
    <row r="1431" spans="5:10" x14ac:dyDescent="0.25">
      <c r="E1431" s="3"/>
      <c r="F1431" s="3"/>
      <c r="G1431" s="3"/>
      <c r="H1431" s="3"/>
      <c r="I1431" s="3"/>
      <c r="J1431" s="5"/>
    </row>
    <row r="1432" spans="5:10" x14ac:dyDescent="0.25">
      <c r="E1432" s="3"/>
      <c r="F1432" s="3"/>
      <c r="G1432" s="3"/>
      <c r="H1432" s="3"/>
      <c r="I1432" s="3"/>
      <c r="J1432" s="5"/>
    </row>
    <row r="1433" spans="5:10" x14ac:dyDescent="0.25">
      <c r="E1433" s="3"/>
      <c r="F1433" s="3"/>
      <c r="G1433" s="3"/>
      <c r="H1433" s="3"/>
      <c r="I1433" s="3"/>
      <c r="J1433" s="5"/>
    </row>
    <row r="1434" spans="5:10" x14ac:dyDescent="0.25">
      <c r="E1434" s="3"/>
      <c r="F1434" s="3"/>
      <c r="G1434" s="3"/>
      <c r="H1434" s="3"/>
      <c r="I1434" s="3"/>
      <c r="J1434" s="5"/>
    </row>
    <row r="1435" spans="5:10" x14ac:dyDescent="0.25">
      <c r="E1435" s="3"/>
      <c r="F1435" s="3"/>
      <c r="G1435" s="3"/>
      <c r="H1435" s="3"/>
      <c r="I1435" s="3"/>
      <c r="J1435" s="5"/>
    </row>
    <row r="1436" spans="5:10" x14ac:dyDescent="0.25">
      <c r="E1436" s="3"/>
      <c r="F1436" s="3"/>
      <c r="G1436" s="3"/>
      <c r="H1436" s="3"/>
      <c r="I1436" s="3"/>
      <c r="J1436" s="5"/>
    </row>
    <row r="1437" spans="5:10" x14ac:dyDescent="0.25">
      <c r="E1437" s="3"/>
      <c r="F1437" s="3"/>
      <c r="G1437" s="3"/>
      <c r="H1437" s="3"/>
      <c r="I1437" s="3"/>
      <c r="J1437" s="5"/>
    </row>
    <row r="1438" spans="5:10" x14ac:dyDescent="0.25">
      <c r="E1438" s="3"/>
      <c r="F1438" s="3"/>
      <c r="G1438" s="3"/>
      <c r="H1438" s="3"/>
      <c r="I1438" s="3"/>
      <c r="J1438" s="5"/>
    </row>
    <row r="1439" spans="5:10" x14ac:dyDescent="0.25">
      <c r="E1439" s="3"/>
      <c r="F1439" s="3"/>
      <c r="G1439" s="3"/>
      <c r="H1439" s="3"/>
      <c r="I1439" s="3"/>
      <c r="J1439" s="5"/>
    </row>
    <row r="1440" spans="5:10" x14ac:dyDescent="0.25">
      <c r="E1440" s="3"/>
      <c r="F1440" s="3"/>
      <c r="G1440" s="3"/>
      <c r="H1440" s="3"/>
      <c r="I1440" s="3"/>
      <c r="J1440" s="5"/>
    </row>
    <row r="1441" spans="5:10" x14ac:dyDescent="0.25">
      <c r="E1441" s="3"/>
      <c r="F1441" s="3"/>
      <c r="G1441" s="3"/>
      <c r="H1441" s="3"/>
      <c r="I1441" s="3"/>
      <c r="J1441" s="5"/>
    </row>
    <row r="1442" spans="5:10" x14ac:dyDescent="0.25">
      <c r="E1442" s="3"/>
      <c r="F1442" s="3"/>
      <c r="G1442" s="3"/>
      <c r="H1442" s="3"/>
      <c r="I1442" s="3"/>
      <c r="J1442" s="5"/>
    </row>
    <row r="1443" spans="5:10" x14ac:dyDescent="0.25">
      <c r="E1443" s="3"/>
      <c r="F1443" s="3"/>
      <c r="G1443" s="3"/>
      <c r="H1443" s="3"/>
      <c r="I1443" s="3"/>
      <c r="J1443" s="5"/>
    </row>
    <row r="1444" spans="5:10" x14ac:dyDescent="0.25">
      <c r="E1444" s="3"/>
      <c r="F1444" s="3"/>
      <c r="G1444" s="3"/>
      <c r="H1444" s="3"/>
      <c r="I1444" s="3"/>
      <c r="J1444" s="5"/>
    </row>
    <row r="1445" spans="5:10" x14ac:dyDescent="0.25">
      <c r="E1445" s="3"/>
      <c r="F1445" s="3"/>
      <c r="G1445" s="3"/>
      <c r="H1445" s="3"/>
      <c r="I1445" s="3"/>
      <c r="J1445" s="5"/>
    </row>
    <row r="1446" spans="5:10" x14ac:dyDescent="0.25">
      <c r="E1446" s="3"/>
      <c r="F1446" s="3"/>
      <c r="G1446" s="3"/>
      <c r="H1446" s="3"/>
      <c r="I1446" s="3"/>
      <c r="J1446" s="5"/>
    </row>
    <row r="1447" spans="5:10" x14ac:dyDescent="0.25">
      <c r="E1447" s="3"/>
      <c r="F1447" s="3"/>
      <c r="G1447" s="3"/>
      <c r="H1447" s="3"/>
      <c r="I1447" s="3"/>
      <c r="J1447" s="5"/>
    </row>
    <row r="1448" spans="5:10" x14ac:dyDescent="0.25">
      <c r="E1448" s="3"/>
      <c r="F1448" s="3"/>
      <c r="G1448" s="3"/>
      <c r="H1448" s="3"/>
      <c r="I1448" s="3"/>
      <c r="J1448" s="5"/>
    </row>
    <row r="1449" spans="5:10" x14ac:dyDescent="0.25">
      <c r="E1449" s="3"/>
      <c r="F1449" s="3"/>
      <c r="G1449" s="3"/>
      <c r="H1449" s="3"/>
      <c r="I1449" s="3"/>
      <c r="J1449" s="5"/>
    </row>
    <row r="1450" spans="5:10" x14ac:dyDescent="0.25">
      <c r="E1450" s="3"/>
      <c r="F1450" s="3"/>
      <c r="G1450" s="3"/>
      <c r="H1450" s="3"/>
      <c r="I1450" s="3"/>
      <c r="J1450" s="5"/>
    </row>
    <row r="1451" spans="5:10" x14ac:dyDescent="0.25">
      <c r="E1451" s="3"/>
      <c r="F1451" s="3"/>
      <c r="G1451" s="3"/>
      <c r="H1451" s="3"/>
      <c r="I1451" s="3"/>
      <c r="J1451" s="5"/>
    </row>
    <row r="1452" spans="5:10" x14ac:dyDescent="0.25">
      <c r="E1452" s="3"/>
      <c r="F1452" s="3"/>
      <c r="G1452" s="3"/>
      <c r="H1452" s="3"/>
      <c r="I1452" s="3"/>
      <c r="J1452" s="5"/>
    </row>
    <row r="1453" spans="5:10" x14ac:dyDescent="0.25">
      <c r="E1453" s="3"/>
      <c r="F1453" s="3"/>
      <c r="G1453" s="3"/>
      <c r="H1453" s="3"/>
      <c r="I1453" s="3"/>
      <c r="J1453" s="5"/>
    </row>
    <row r="1454" spans="5:10" x14ac:dyDescent="0.25">
      <c r="E1454" s="3"/>
      <c r="F1454" s="3"/>
      <c r="G1454" s="3"/>
      <c r="H1454" s="3"/>
      <c r="I1454" s="3"/>
      <c r="J1454" s="5"/>
    </row>
    <row r="1455" spans="5:10" x14ac:dyDescent="0.25">
      <c r="E1455" s="3"/>
      <c r="F1455" s="3"/>
      <c r="G1455" s="3"/>
      <c r="H1455" s="3"/>
      <c r="I1455" s="3"/>
      <c r="J1455" s="5"/>
    </row>
    <row r="1456" spans="5:10" x14ac:dyDescent="0.25">
      <c r="E1456" s="3"/>
      <c r="F1456" s="3"/>
      <c r="G1456" s="3"/>
      <c r="H1456" s="3"/>
      <c r="I1456" s="3"/>
      <c r="J1456" s="5"/>
    </row>
    <row r="1457" spans="5:10" x14ac:dyDescent="0.25">
      <c r="E1457" s="3"/>
      <c r="F1457" s="3"/>
      <c r="G1457" s="3"/>
      <c r="H1457" s="3"/>
      <c r="I1457" s="3"/>
      <c r="J1457" s="5"/>
    </row>
    <row r="1458" spans="5:10" x14ac:dyDescent="0.25">
      <c r="E1458" s="3"/>
      <c r="F1458" s="3"/>
      <c r="G1458" s="3"/>
      <c r="H1458" s="3"/>
      <c r="I1458" s="3"/>
      <c r="J1458" s="5"/>
    </row>
    <row r="1459" spans="5:10" x14ac:dyDescent="0.25">
      <c r="E1459" s="3"/>
      <c r="F1459" s="3"/>
      <c r="G1459" s="3"/>
      <c r="H1459" s="3"/>
      <c r="I1459" s="3"/>
      <c r="J1459" s="5"/>
    </row>
    <row r="1460" spans="5:10" x14ac:dyDescent="0.25">
      <c r="E1460" s="3"/>
      <c r="F1460" s="3"/>
      <c r="G1460" s="3"/>
      <c r="H1460" s="3"/>
      <c r="I1460" s="3"/>
      <c r="J1460" s="5"/>
    </row>
    <row r="1461" spans="5:10" x14ac:dyDescent="0.25">
      <c r="E1461" s="3"/>
      <c r="F1461" s="3"/>
      <c r="G1461" s="3"/>
      <c r="H1461" s="3"/>
      <c r="I1461" s="3"/>
      <c r="J1461" s="5"/>
    </row>
    <row r="1462" spans="5:10" x14ac:dyDescent="0.25">
      <c r="E1462" s="3"/>
      <c r="F1462" s="3"/>
      <c r="G1462" s="3"/>
      <c r="H1462" s="3"/>
      <c r="I1462" s="3"/>
      <c r="J1462" s="5"/>
    </row>
    <row r="1463" spans="5:10" x14ac:dyDescent="0.25">
      <c r="E1463" s="3"/>
      <c r="F1463" s="3"/>
      <c r="G1463" s="3"/>
      <c r="H1463" s="3"/>
      <c r="I1463" s="3"/>
      <c r="J1463" s="5"/>
    </row>
    <row r="1464" spans="5:10" x14ac:dyDescent="0.25">
      <c r="E1464" s="3"/>
      <c r="F1464" s="3"/>
      <c r="G1464" s="3"/>
      <c r="H1464" s="3"/>
      <c r="I1464" s="3"/>
      <c r="J1464" s="5"/>
    </row>
    <row r="1465" spans="5:10" x14ac:dyDescent="0.25">
      <c r="E1465" s="3"/>
      <c r="F1465" s="3"/>
      <c r="G1465" s="3"/>
      <c r="H1465" s="3"/>
      <c r="I1465" s="3"/>
      <c r="J1465" s="5"/>
    </row>
    <row r="1466" spans="5:10" x14ac:dyDescent="0.25">
      <c r="E1466" s="3"/>
      <c r="F1466" s="3"/>
      <c r="G1466" s="3"/>
      <c r="H1466" s="3"/>
      <c r="I1466" s="3"/>
      <c r="J1466" s="5"/>
    </row>
    <row r="1467" spans="5:10" x14ac:dyDescent="0.25">
      <c r="E1467" s="3"/>
      <c r="F1467" s="3"/>
      <c r="G1467" s="3"/>
      <c r="H1467" s="3"/>
      <c r="I1467" s="3"/>
      <c r="J1467" s="5"/>
    </row>
    <row r="1468" spans="5:10" x14ac:dyDescent="0.25">
      <c r="E1468" s="3"/>
      <c r="F1468" s="3"/>
      <c r="G1468" s="3"/>
      <c r="H1468" s="3"/>
      <c r="I1468" s="3"/>
      <c r="J1468" s="5"/>
    </row>
    <row r="1469" spans="5:10" x14ac:dyDescent="0.25">
      <c r="E1469" s="3"/>
      <c r="F1469" s="3"/>
      <c r="G1469" s="3"/>
      <c r="H1469" s="3"/>
      <c r="I1469" s="3"/>
      <c r="J1469" s="5"/>
    </row>
    <row r="1470" spans="5:10" x14ac:dyDescent="0.25">
      <c r="E1470" s="3"/>
      <c r="F1470" s="3"/>
      <c r="G1470" s="3"/>
      <c r="H1470" s="3"/>
      <c r="I1470" s="3"/>
      <c r="J1470" s="5"/>
    </row>
    <row r="1471" spans="5:10" x14ac:dyDescent="0.25">
      <c r="E1471" s="3"/>
      <c r="F1471" s="3"/>
      <c r="G1471" s="3"/>
      <c r="H1471" s="3"/>
      <c r="I1471" s="3"/>
      <c r="J1471" s="5"/>
    </row>
    <row r="1472" spans="5:10" x14ac:dyDescent="0.25">
      <c r="E1472" s="3"/>
      <c r="F1472" s="3"/>
      <c r="G1472" s="3"/>
      <c r="H1472" s="3"/>
      <c r="I1472" s="3"/>
      <c r="J1472" s="5"/>
    </row>
    <row r="1473" spans="5:10" x14ac:dyDescent="0.25">
      <c r="E1473" s="3"/>
      <c r="F1473" s="3"/>
      <c r="G1473" s="3"/>
      <c r="H1473" s="3"/>
      <c r="I1473" s="3"/>
      <c r="J1473" s="5"/>
    </row>
    <row r="1474" spans="5:10" x14ac:dyDescent="0.25">
      <c r="E1474" s="3"/>
      <c r="F1474" s="3"/>
      <c r="G1474" s="3"/>
      <c r="H1474" s="3"/>
      <c r="I1474" s="3"/>
      <c r="J1474" s="5"/>
    </row>
    <row r="1475" spans="5:10" x14ac:dyDescent="0.25">
      <c r="E1475" s="3"/>
      <c r="F1475" s="3"/>
      <c r="G1475" s="3"/>
      <c r="H1475" s="3"/>
      <c r="I1475" s="3"/>
      <c r="J1475" s="5"/>
    </row>
    <row r="1476" spans="5:10" x14ac:dyDescent="0.25">
      <c r="E1476" s="3"/>
      <c r="F1476" s="3"/>
      <c r="G1476" s="3"/>
      <c r="H1476" s="3"/>
      <c r="I1476" s="3"/>
      <c r="J1476" s="5"/>
    </row>
    <row r="1477" spans="5:10" x14ac:dyDescent="0.25">
      <c r="E1477" s="3"/>
      <c r="F1477" s="3"/>
      <c r="G1477" s="3"/>
      <c r="H1477" s="3"/>
      <c r="I1477" s="3"/>
      <c r="J1477" s="5"/>
    </row>
    <row r="1478" spans="5:10" x14ac:dyDescent="0.25">
      <c r="E1478" s="3"/>
      <c r="F1478" s="3"/>
      <c r="G1478" s="3"/>
      <c r="H1478" s="3"/>
      <c r="I1478" s="3"/>
      <c r="J1478" s="5"/>
    </row>
    <row r="1479" spans="5:10" x14ac:dyDescent="0.25">
      <c r="E1479" s="3"/>
      <c r="F1479" s="3"/>
      <c r="G1479" s="3"/>
      <c r="H1479" s="3"/>
      <c r="I1479" s="3"/>
      <c r="J1479" s="5"/>
    </row>
    <row r="1480" spans="5:10" x14ac:dyDescent="0.25">
      <c r="E1480" s="3"/>
      <c r="F1480" s="3"/>
      <c r="G1480" s="3"/>
      <c r="H1480" s="3"/>
      <c r="I1480" s="3"/>
      <c r="J1480" s="5"/>
    </row>
    <row r="1481" spans="5:10" x14ac:dyDescent="0.25">
      <c r="E1481" s="3"/>
      <c r="F1481" s="3"/>
      <c r="G1481" s="3"/>
      <c r="H1481" s="3"/>
      <c r="I1481" s="3"/>
      <c r="J1481" s="5"/>
    </row>
    <row r="1482" spans="5:10" x14ac:dyDescent="0.25">
      <c r="E1482" s="3"/>
      <c r="F1482" s="3"/>
      <c r="G1482" s="3"/>
      <c r="H1482" s="3"/>
      <c r="I1482" s="3"/>
      <c r="J1482" s="5"/>
    </row>
    <row r="1483" spans="5:10" x14ac:dyDescent="0.25">
      <c r="E1483" s="3"/>
      <c r="F1483" s="3"/>
      <c r="G1483" s="3"/>
      <c r="H1483" s="3"/>
      <c r="I1483" s="3"/>
      <c r="J1483" s="5"/>
    </row>
    <row r="1484" spans="5:10" x14ac:dyDescent="0.25">
      <c r="E1484" s="3"/>
      <c r="F1484" s="3"/>
      <c r="G1484" s="3"/>
      <c r="H1484" s="3"/>
      <c r="I1484" s="3"/>
      <c r="J1484" s="5"/>
    </row>
    <row r="1485" spans="5:10" x14ac:dyDescent="0.25">
      <c r="E1485" s="3"/>
      <c r="F1485" s="3"/>
      <c r="G1485" s="3"/>
      <c r="H1485" s="3"/>
      <c r="I1485" s="3"/>
      <c r="J1485" s="5"/>
    </row>
    <row r="1486" spans="5:10" x14ac:dyDescent="0.25">
      <c r="E1486" s="3"/>
      <c r="F1486" s="3"/>
      <c r="G1486" s="3"/>
      <c r="H1486" s="3"/>
      <c r="I1486" s="3"/>
      <c r="J1486" s="5"/>
    </row>
    <row r="1487" spans="5:10" x14ac:dyDescent="0.25">
      <c r="E1487" s="3"/>
      <c r="F1487" s="3"/>
      <c r="G1487" s="3"/>
      <c r="H1487" s="3"/>
      <c r="I1487" s="3"/>
      <c r="J1487" s="5"/>
    </row>
    <row r="1488" spans="5:10" x14ac:dyDescent="0.25">
      <c r="E1488" s="3"/>
      <c r="F1488" s="3"/>
      <c r="G1488" s="3"/>
      <c r="H1488" s="3"/>
      <c r="I1488" s="3"/>
      <c r="J1488" s="5"/>
    </row>
    <row r="1489" spans="5:10" x14ac:dyDescent="0.25">
      <c r="E1489" s="3"/>
      <c r="F1489" s="3"/>
      <c r="G1489" s="3"/>
      <c r="H1489" s="3"/>
      <c r="I1489" s="3"/>
      <c r="J1489" s="5"/>
    </row>
    <row r="1490" spans="5:10" x14ac:dyDescent="0.25">
      <c r="E1490" s="3"/>
      <c r="F1490" s="3"/>
      <c r="G1490" s="3"/>
      <c r="H1490" s="3"/>
      <c r="I1490" s="3"/>
      <c r="J1490" s="5"/>
    </row>
    <row r="1491" spans="5:10" x14ac:dyDescent="0.25">
      <c r="E1491" s="3"/>
      <c r="F1491" s="3"/>
      <c r="G1491" s="3"/>
      <c r="H1491" s="3"/>
      <c r="I1491" s="3"/>
      <c r="J1491" s="5"/>
    </row>
    <row r="1492" spans="5:10" x14ac:dyDescent="0.25">
      <c r="E1492" s="3"/>
      <c r="F1492" s="3"/>
      <c r="G1492" s="3"/>
      <c r="H1492" s="3"/>
      <c r="I1492" s="3"/>
      <c r="J1492" s="5"/>
    </row>
    <row r="1493" spans="5:10" x14ac:dyDescent="0.25">
      <c r="E1493" s="3"/>
      <c r="F1493" s="3"/>
      <c r="G1493" s="3"/>
      <c r="H1493" s="3"/>
      <c r="I1493" s="3"/>
      <c r="J1493" s="5"/>
    </row>
    <row r="1494" spans="5:10" x14ac:dyDescent="0.25">
      <c r="E1494" s="3"/>
      <c r="F1494" s="3"/>
      <c r="G1494" s="3"/>
      <c r="H1494" s="3"/>
      <c r="I1494" s="3"/>
      <c r="J1494" s="5"/>
    </row>
    <row r="1495" spans="5:10" x14ac:dyDescent="0.25">
      <c r="E1495" s="3"/>
      <c r="F1495" s="3"/>
      <c r="G1495" s="3"/>
      <c r="H1495" s="3"/>
      <c r="I1495" s="3"/>
      <c r="J1495" s="5"/>
    </row>
    <row r="1496" spans="5:10" x14ac:dyDescent="0.25">
      <c r="E1496" s="3"/>
      <c r="F1496" s="3"/>
      <c r="G1496" s="3"/>
      <c r="H1496" s="3"/>
      <c r="I1496" s="3"/>
      <c r="J1496" s="5"/>
    </row>
    <row r="1497" spans="5:10" x14ac:dyDescent="0.25">
      <c r="E1497" s="3"/>
      <c r="F1497" s="3"/>
      <c r="G1497" s="3"/>
      <c r="H1497" s="3"/>
      <c r="I1497" s="3"/>
      <c r="J1497" s="5"/>
    </row>
    <row r="1498" spans="5:10" x14ac:dyDescent="0.25">
      <c r="E1498" s="3"/>
      <c r="F1498" s="3"/>
      <c r="G1498" s="3"/>
      <c r="H1498" s="3"/>
      <c r="I1498" s="3"/>
      <c r="J1498" s="5"/>
    </row>
    <row r="1499" spans="5:10" x14ac:dyDescent="0.25">
      <c r="E1499" s="3"/>
      <c r="F1499" s="3"/>
      <c r="G1499" s="3"/>
      <c r="H1499" s="3"/>
      <c r="I1499" s="3"/>
      <c r="J1499" s="5"/>
    </row>
    <row r="1500" spans="5:10" x14ac:dyDescent="0.25">
      <c r="E1500" s="3"/>
      <c r="F1500" s="3"/>
      <c r="G1500" s="3"/>
      <c r="H1500" s="3"/>
      <c r="I1500" s="3"/>
      <c r="J1500" s="5"/>
    </row>
    <row r="1501" spans="5:10" x14ac:dyDescent="0.25">
      <c r="E1501" s="3"/>
      <c r="F1501" s="3"/>
      <c r="G1501" s="3"/>
      <c r="H1501" s="3"/>
      <c r="I1501" s="3"/>
      <c r="J1501" s="5"/>
    </row>
    <row r="1502" spans="5:10" x14ac:dyDescent="0.25">
      <c r="E1502" s="3"/>
      <c r="F1502" s="3"/>
      <c r="G1502" s="3"/>
      <c r="H1502" s="3"/>
      <c r="I1502" s="3"/>
      <c r="J1502" s="5"/>
    </row>
    <row r="1503" spans="5:10" x14ac:dyDescent="0.25">
      <c r="E1503" s="3"/>
      <c r="F1503" s="3"/>
      <c r="G1503" s="3"/>
      <c r="H1503" s="3"/>
      <c r="I1503" s="3"/>
      <c r="J1503" s="5"/>
    </row>
    <row r="1504" spans="5:10" x14ac:dyDescent="0.25">
      <c r="E1504" s="3"/>
      <c r="F1504" s="3"/>
      <c r="G1504" s="3"/>
      <c r="H1504" s="3"/>
      <c r="I1504" s="3"/>
      <c r="J1504" s="5"/>
    </row>
    <row r="1505" spans="5:10" x14ac:dyDescent="0.25">
      <c r="E1505" s="3"/>
      <c r="F1505" s="3"/>
      <c r="G1505" s="3"/>
      <c r="H1505" s="3"/>
      <c r="I1505" s="3"/>
      <c r="J1505" s="5"/>
    </row>
    <row r="1506" spans="5:10" x14ac:dyDescent="0.25">
      <c r="E1506" s="3"/>
      <c r="F1506" s="3"/>
      <c r="G1506" s="3"/>
      <c r="H1506" s="3"/>
      <c r="I1506" s="3"/>
      <c r="J1506" s="5"/>
    </row>
    <row r="1507" spans="5:10" x14ac:dyDescent="0.25">
      <c r="E1507" s="3"/>
      <c r="F1507" s="3"/>
      <c r="G1507" s="3"/>
      <c r="H1507" s="3"/>
      <c r="I1507" s="3"/>
      <c r="J1507" s="5"/>
    </row>
    <row r="1508" spans="5:10" x14ac:dyDescent="0.25">
      <c r="E1508" s="3"/>
      <c r="F1508" s="3"/>
      <c r="G1508" s="3"/>
      <c r="H1508" s="3"/>
      <c r="I1508" s="3"/>
      <c r="J1508" s="5"/>
    </row>
    <row r="1509" spans="5:10" x14ac:dyDescent="0.25">
      <c r="E1509" s="3"/>
      <c r="F1509" s="3"/>
      <c r="G1509" s="3"/>
      <c r="H1509" s="3"/>
      <c r="I1509" s="3"/>
      <c r="J1509" s="5"/>
    </row>
    <row r="1510" spans="5:10" x14ac:dyDescent="0.25">
      <c r="E1510" s="3"/>
      <c r="F1510" s="3"/>
      <c r="G1510" s="3"/>
      <c r="H1510" s="3"/>
      <c r="I1510" s="3"/>
      <c r="J1510" s="5"/>
    </row>
    <row r="1511" spans="5:10" x14ac:dyDescent="0.25">
      <c r="E1511" s="3"/>
      <c r="F1511" s="3"/>
      <c r="G1511" s="3"/>
      <c r="H1511" s="3"/>
      <c r="I1511" s="3"/>
      <c r="J1511" s="5"/>
    </row>
    <row r="1512" spans="5:10" x14ac:dyDescent="0.25">
      <c r="E1512" s="3"/>
      <c r="F1512" s="3"/>
      <c r="G1512" s="3"/>
      <c r="H1512" s="3"/>
      <c r="I1512" s="3"/>
      <c r="J1512" s="5"/>
    </row>
    <row r="1513" spans="5:10" x14ac:dyDescent="0.25">
      <c r="E1513" s="3"/>
      <c r="F1513" s="3"/>
      <c r="G1513" s="3"/>
      <c r="H1513" s="3"/>
      <c r="I1513" s="3"/>
      <c r="J1513" s="5"/>
    </row>
    <row r="1514" spans="5:10" x14ac:dyDescent="0.25">
      <c r="E1514" s="3"/>
      <c r="F1514" s="3"/>
      <c r="G1514" s="3"/>
      <c r="H1514" s="3"/>
      <c r="I1514" s="3"/>
      <c r="J1514" s="5"/>
    </row>
    <row r="1515" spans="5:10" x14ac:dyDescent="0.25">
      <c r="E1515" s="3"/>
      <c r="F1515" s="3"/>
      <c r="G1515" s="3"/>
      <c r="H1515" s="3"/>
      <c r="I1515" s="3"/>
      <c r="J1515" s="5"/>
    </row>
    <row r="1516" spans="5:10" x14ac:dyDescent="0.25">
      <c r="E1516" s="3"/>
      <c r="F1516" s="3"/>
      <c r="G1516" s="3"/>
      <c r="H1516" s="3"/>
      <c r="I1516" s="3"/>
      <c r="J1516" s="5"/>
    </row>
    <row r="1517" spans="5:10" x14ac:dyDescent="0.25">
      <c r="E1517" s="3"/>
      <c r="F1517" s="3"/>
      <c r="G1517" s="3"/>
      <c r="H1517" s="3"/>
      <c r="I1517" s="3"/>
      <c r="J1517" s="5"/>
    </row>
    <row r="1518" spans="5:10" x14ac:dyDescent="0.25">
      <c r="E1518" s="3"/>
      <c r="F1518" s="3"/>
      <c r="G1518" s="3"/>
      <c r="H1518" s="3"/>
      <c r="I1518" s="3"/>
      <c r="J1518" s="5"/>
    </row>
    <row r="1519" spans="5:10" x14ac:dyDescent="0.25">
      <c r="E1519" s="3"/>
      <c r="F1519" s="3"/>
      <c r="G1519" s="3"/>
      <c r="H1519" s="3"/>
      <c r="I1519" s="3"/>
      <c r="J1519" s="5"/>
    </row>
    <row r="1520" spans="5:10" x14ac:dyDescent="0.25">
      <c r="E1520" s="3"/>
      <c r="F1520" s="3"/>
      <c r="G1520" s="3"/>
      <c r="H1520" s="3"/>
      <c r="I1520" s="3"/>
      <c r="J1520" s="5"/>
    </row>
    <row r="1521" spans="5:10" x14ac:dyDescent="0.25">
      <c r="E1521" s="3"/>
      <c r="F1521" s="3"/>
      <c r="G1521" s="3"/>
      <c r="H1521" s="3"/>
      <c r="I1521" s="3"/>
      <c r="J1521" s="5"/>
    </row>
    <row r="1522" spans="5:10" x14ac:dyDescent="0.25">
      <c r="E1522" s="3"/>
      <c r="F1522" s="3"/>
      <c r="G1522" s="3"/>
      <c r="H1522" s="3"/>
      <c r="I1522" s="3"/>
      <c r="J1522" s="5"/>
    </row>
    <row r="1523" spans="5:10" x14ac:dyDescent="0.25">
      <c r="E1523" s="3"/>
      <c r="F1523" s="3"/>
      <c r="G1523" s="3"/>
      <c r="H1523" s="3"/>
      <c r="I1523" s="3"/>
      <c r="J1523" s="5"/>
    </row>
    <row r="1524" spans="5:10" x14ac:dyDescent="0.25">
      <c r="E1524" s="3"/>
      <c r="F1524" s="3"/>
      <c r="G1524" s="3"/>
      <c r="H1524" s="3"/>
      <c r="I1524" s="3"/>
      <c r="J1524" s="5"/>
    </row>
    <row r="1525" spans="5:10" x14ac:dyDescent="0.25">
      <c r="E1525" s="3"/>
      <c r="F1525" s="3"/>
      <c r="G1525" s="3"/>
      <c r="H1525" s="3"/>
      <c r="I1525" s="3"/>
      <c r="J1525" s="5"/>
    </row>
    <row r="1526" spans="5:10" x14ac:dyDescent="0.25">
      <c r="E1526" s="3"/>
      <c r="F1526" s="3"/>
      <c r="G1526" s="3"/>
      <c r="H1526" s="3"/>
      <c r="I1526" s="3"/>
      <c r="J1526" s="5"/>
    </row>
    <row r="1527" spans="5:10" x14ac:dyDescent="0.25">
      <c r="E1527" s="3"/>
      <c r="F1527" s="3"/>
      <c r="G1527" s="3"/>
      <c r="H1527" s="3"/>
      <c r="I1527" s="3"/>
      <c r="J1527" s="5"/>
    </row>
    <row r="1528" spans="5:10" x14ac:dyDescent="0.25">
      <c r="E1528" s="3"/>
      <c r="F1528" s="3"/>
      <c r="G1528" s="3"/>
      <c r="H1528" s="3"/>
      <c r="I1528" s="3"/>
      <c r="J1528" s="5"/>
    </row>
    <row r="1529" spans="5:10" x14ac:dyDescent="0.25">
      <c r="E1529" s="3"/>
      <c r="F1529" s="3"/>
      <c r="G1529" s="3"/>
      <c r="H1529" s="3"/>
      <c r="I1529" s="3"/>
      <c r="J1529" s="5"/>
    </row>
    <row r="1530" spans="5:10" x14ac:dyDescent="0.25">
      <c r="E1530" s="3"/>
      <c r="F1530" s="3"/>
      <c r="G1530" s="3"/>
      <c r="H1530" s="3"/>
      <c r="I1530" s="3"/>
      <c r="J1530" s="5"/>
    </row>
    <row r="1531" spans="5:10" x14ac:dyDescent="0.25">
      <c r="E1531" s="3"/>
      <c r="F1531" s="3"/>
      <c r="G1531" s="3"/>
      <c r="H1531" s="3"/>
      <c r="I1531" s="3"/>
      <c r="J1531" s="5"/>
    </row>
    <row r="1532" spans="5:10" x14ac:dyDescent="0.25">
      <c r="E1532" s="3"/>
      <c r="F1532" s="3"/>
      <c r="G1532" s="3"/>
      <c r="H1532" s="3"/>
      <c r="I1532" s="3"/>
      <c r="J1532" s="5"/>
    </row>
    <row r="1533" spans="5:10" x14ac:dyDescent="0.25">
      <c r="E1533" s="3"/>
      <c r="F1533" s="3"/>
      <c r="G1533" s="3"/>
      <c r="H1533" s="3"/>
      <c r="I1533" s="3"/>
      <c r="J1533" s="5"/>
    </row>
    <row r="1534" spans="5:10" x14ac:dyDescent="0.25">
      <c r="E1534" s="3"/>
      <c r="F1534" s="3"/>
      <c r="G1534" s="3"/>
      <c r="H1534" s="3"/>
      <c r="I1534" s="3"/>
      <c r="J1534" s="5"/>
    </row>
    <row r="1535" spans="5:10" x14ac:dyDescent="0.25">
      <c r="E1535" s="3"/>
      <c r="F1535" s="3"/>
      <c r="G1535" s="3"/>
      <c r="H1535" s="3"/>
      <c r="I1535" s="3"/>
      <c r="J1535" s="5"/>
    </row>
    <row r="1536" spans="5:10" x14ac:dyDescent="0.25">
      <c r="E1536" s="3"/>
      <c r="F1536" s="3"/>
      <c r="G1536" s="3"/>
      <c r="H1536" s="3"/>
      <c r="I1536" s="3"/>
      <c r="J1536" s="5"/>
    </row>
    <row r="1537" spans="5:10" x14ac:dyDescent="0.25">
      <c r="E1537" s="3"/>
      <c r="F1537" s="3"/>
      <c r="G1537" s="3"/>
      <c r="H1537" s="3"/>
      <c r="I1537" s="3"/>
      <c r="J1537" s="5"/>
    </row>
    <row r="1538" spans="5:10" x14ac:dyDescent="0.25">
      <c r="E1538" s="3"/>
      <c r="F1538" s="3"/>
      <c r="G1538" s="3"/>
      <c r="H1538" s="3"/>
      <c r="I1538" s="3"/>
      <c r="J1538" s="5"/>
    </row>
    <row r="1539" spans="5:10" x14ac:dyDescent="0.25">
      <c r="E1539" s="3"/>
      <c r="F1539" s="3"/>
      <c r="G1539" s="3"/>
      <c r="H1539" s="3"/>
      <c r="I1539" s="3"/>
      <c r="J1539" s="5"/>
    </row>
    <row r="1540" spans="5:10" x14ac:dyDescent="0.25">
      <c r="E1540" s="3"/>
      <c r="F1540" s="3"/>
      <c r="G1540" s="3"/>
      <c r="H1540" s="3"/>
      <c r="I1540" s="3"/>
      <c r="J1540" s="5"/>
    </row>
    <row r="1541" spans="5:10" x14ac:dyDescent="0.25">
      <c r="E1541" s="3"/>
      <c r="F1541" s="3"/>
      <c r="G1541" s="3"/>
      <c r="H1541" s="3"/>
      <c r="I1541" s="3"/>
      <c r="J1541" s="5"/>
    </row>
    <row r="1542" spans="5:10" x14ac:dyDescent="0.25">
      <c r="E1542" s="3"/>
      <c r="F1542" s="3"/>
      <c r="G1542" s="3"/>
      <c r="H1542" s="3"/>
      <c r="I1542" s="3"/>
      <c r="J1542" s="5"/>
    </row>
    <row r="1543" spans="5:10" x14ac:dyDescent="0.25">
      <c r="E1543" s="3"/>
      <c r="F1543" s="3"/>
      <c r="G1543" s="3"/>
      <c r="H1543" s="3"/>
      <c r="I1543" s="3"/>
      <c r="J1543" s="5"/>
    </row>
    <row r="1544" spans="5:10" x14ac:dyDescent="0.25">
      <c r="E1544" s="3"/>
      <c r="F1544" s="3"/>
      <c r="G1544" s="3"/>
      <c r="H1544" s="3"/>
      <c r="I1544" s="3"/>
      <c r="J1544" s="5"/>
    </row>
    <row r="1545" spans="5:10" x14ac:dyDescent="0.25">
      <c r="E1545" s="3"/>
      <c r="F1545" s="3"/>
      <c r="G1545" s="3"/>
      <c r="H1545" s="3"/>
      <c r="I1545" s="3"/>
      <c r="J1545" s="5"/>
    </row>
    <row r="1546" spans="5:10" x14ac:dyDescent="0.25">
      <c r="E1546" s="3"/>
      <c r="F1546" s="3"/>
      <c r="G1546" s="3"/>
      <c r="H1546" s="3"/>
      <c r="I1546" s="3"/>
      <c r="J1546" s="5"/>
    </row>
    <row r="1547" spans="5:10" x14ac:dyDescent="0.25">
      <c r="E1547" s="3"/>
      <c r="F1547" s="3"/>
      <c r="G1547" s="3"/>
      <c r="H1547" s="3"/>
      <c r="I1547" s="3"/>
      <c r="J1547" s="5"/>
    </row>
    <row r="1548" spans="5:10" x14ac:dyDescent="0.25">
      <c r="E1548" s="3"/>
      <c r="F1548" s="3"/>
      <c r="G1548" s="3"/>
      <c r="H1548" s="3"/>
      <c r="I1548" s="3"/>
      <c r="J1548" s="5"/>
    </row>
    <row r="1549" spans="5:10" x14ac:dyDescent="0.25">
      <c r="E1549" s="3"/>
      <c r="F1549" s="3"/>
      <c r="G1549" s="3"/>
      <c r="H1549" s="3"/>
      <c r="I1549" s="3"/>
      <c r="J1549" s="5"/>
    </row>
    <row r="1550" spans="5:10" x14ac:dyDescent="0.25">
      <c r="E1550" s="3"/>
      <c r="F1550" s="3"/>
      <c r="G1550" s="3"/>
      <c r="H1550" s="3"/>
      <c r="I1550" s="3"/>
      <c r="J1550" s="5"/>
    </row>
    <row r="1551" spans="5:10" x14ac:dyDescent="0.25">
      <c r="E1551" s="3"/>
      <c r="F1551" s="3"/>
      <c r="G1551" s="3"/>
      <c r="H1551" s="3"/>
      <c r="I1551" s="3"/>
      <c r="J1551" s="5"/>
    </row>
    <row r="1552" spans="5:10" x14ac:dyDescent="0.25">
      <c r="E1552" s="3"/>
      <c r="F1552" s="3"/>
      <c r="G1552" s="3"/>
      <c r="H1552" s="3"/>
      <c r="I1552" s="3"/>
      <c r="J1552" s="5"/>
    </row>
    <row r="1553" spans="5:10" x14ac:dyDescent="0.25">
      <c r="E1553" s="3"/>
      <c r="F1553" s="3"/>
      <c r="G1553" s="3"/>
      <c r="H1553" s="3"/>
      <c r="I1553" s="3"/>
      <c r="J1553" s="5"/>
    </row>
    <row r="1554" spans="5:10" x14ac:dyDescent="0.25">
      <c r="E1554" s="3"/>
      <c r="F1554" s="3"/>
      <c r="G1554" s="3"/>
      <c r="H1554" s="3"/>
      <c r="I1554" s="3"/>
      <c r="J1554" s="5"/>
    </row>
    <row r="1555" spans="5:10" x14ac:dyDescent="0.25">
      <c r="E1555" s="3"/>
      <c r="F1555" s="3"/>
      <c r="G1555" s="3"/>
      <c r="H1555" s="3"/>
      <c r="I1555" s="3"/>
      <c r="J1555" s="5"/>
    </row>
    <row r="1556" spans="5:10" x14ac:dyDescent="0.25">
      <c r="E1556" s="3"/>
      <c r="F1556" s="3"/>
      <c r="G1556" s="3"/>
      <c r="H1556" s="3"/>
      <c r="I1556" s="3"/>
      <c r="J1556" s="5"/>
    </row>
    <row r="1557" spans="5:10" x14ac:dyDescent="0.25">
      <c r="E1557" s="3"/>
      <c r="F1557" s="3"/>
      <c r="G1557" s="3"/>
      <c r="H1557" s="3"/>
      <c r="I1557" s="3"/>
      <c r="J1557" s="5"/>
    </row>
    <row r="1558" spans="5:10" x14ac:dyDescent="0.25">
      <c r="E1558" s="3"/>
      <c r="F1558" s="3"/>
      <c r="G1558" s="3"/>
      <c r="H1558" s="3"/>
      <c r="I1558" s="3"/>
      <c r="J1558" s="5"/>
    </row>
    <row r="1559" spans="5:10" x14ac:dyDescent="0.25">
      <c r="E1559" s="3"/>
      <c r="F1559" s="3"/>
      <c r="G1559" s="3"/>
      <c r="H1559" s="3"/>
      <c r="I1559" s="3"/>
      <c r="J1559" s="5"/>
    </row>
    <row r="1560" spans="5:10" x14ac:dyDescent="0.25">
      <c r="E1560" s="3"/>
      <c r="F1560" s="3"/>
      <c r="G1560" s="3"/>
      <c r="H1560" s="3"/>
      <c r="I1560" s="3"/>
      <c r="J1560" s="5"/>
    </row>
    <row r="1561" spans="5:10" x14ac:dyDescent="0.25">
      <c r="E1561" s="3"/>
      <c r="F1561" s="3"/>
      <c r="G1561" s="3"/>
      <c r="H1561" s="3"/>
      <c r="I1561" s="3"/>
      <c r="J1561" s="5"/>
    </row>
    <row r="1562" spans="5:10" x14ac:dyDescent="0.25">
      <c r="E1562" s="3"/>
      <c r="F1562" s="3"/>
      <c r="G1562" s="3"/>
      <c r="H1562" s="3"/>
      <c r="I1562" s="3"/>
      <c r="J1562" s="5"/>
    </row>
    <row r="1563" spans="5:10" x14ac:dyDescent="0.25">
      <c r="E1563" s="3"/>
      <c r="F1563" s="3"/>
      <c r="G1563" s="3"/>
      <c r="H1563" s="3"/>
      <c r="I1563" s="3"/>
      <c r="J1563" s="5"/>
    </row>
    <row r="1564" spans="5:10" x14ac:dyDescent="0.25">
      <c r="E1564" s="3"/>
      <c r="F1564" s="3"/>
      <c r="G1564" s="3"/>
      <c r="H1564" s="3"/>
      <c r="I1564" s="3"/>
      <c r="J1564" s="5"/>
    </row>
    <row r="1565" spans="5:10" x14ac:dyDescent="0.25">
      <c r="E1565" s="3"/>
      <c r="F1565" s="3"/>
      <c r="G1565" s="3"/>
      <c r="H1565" s="3"/>
      <c r="I1565" s="3"/>
      <c r="J1565" s="5"/>
    </row>
    <row r="1566" spans="5:10" x14ac:dyDescent="0.25">
      <c r="E1566" s="3"/>
      <c r="F1566" s="3"/>
      <c r="G1566" s="3"/>
      <c r="H1566" s="3"/>
      <c r="I1566" s="3"/>
      <c r="J1566" s="5"/>
    </row>
    <row r="1567" spans="5:10" x14ac:dyDescent="0.25">
      <c r="E1567" s="3"/>
      <c r="F1567" s="3"/>
      <c r="G1567" s="3"/>
      <c r="H1567" s="3"/>
      <c r="I1567" s="3"/>
      <c r="J1567" s="5"/>
    </row>
    <row r="1568" spans="5:10" x14ac:dyDescent="0.25">
      <c r="E1568" s="3"/>
      <c r="F1568" s="3"/>
      <c r="G1568" s="3"/>
      <c r="H1568" s="3"/>
      <c r="I1568" s="3"/>
      <c r="J1568" s="5"/>
    </row>
    <row r="1569" spans="5:10" x14ac:dyDescent="0.25">
      <c r="E1569" s="3"/>
      <c r="F1569" s="3"/>
      <c r="G1569" s="3"/>
      <c r="H1569" s="3"/>
      <c r="I1569" s="3"/>
      <c r="J1569" s="5"/>
    </row>
    <row r="1570" spans="5:10" x14ac:dyDescent="0.25">
      <c r="E1570" s="3"/>
      <c r="F1570" s="3"/>
      <c r="G1570" s="3"/>
      <c r="H1570" s="3"/>
      <c r="I1570" s="3"/>
      <c r="J1570" s="5"/>
    </row>
    <row r="1571" spans="5:10" x14ac:dyDescent="0.25">
      <c r="E1571" s="3"/>
      <c r="F1571" s="3"/>
      <c r="G1571" s="3"/>
      <c r="H1571" s="3"/>
      <c r="I1571" s="3"/>
      <c r="J1571" s="5"/>
    </row>
    <row r="1572" spans="5:10" x14ac:dyDescent="0.25">
      <c r="E1572" s="3"/>
      <c r="F1572" s="3"/>
      <c r="G1572" s="3"/>
      <c r="H1572" s="3"/>
      <c r="I1572" s="3"/>
      <c r="J1572" s="5"/>
    </row>
    <row r="1573" spans="5:10" x14ac:dyDescent="0.25">
      <c r="E1573" s="3"/>
      <c r="F1573" s="3"/>
      <c r="G1573" s="3"/>
      <c r="H1573" s="3"/>
      <c r="I1573" s="3"/>
      <c r="J1573" s="5"/>
    </row>
    <row r="1574" spans="5:10" x14ac:dyDescent="0.25">
      <c r="E1574" s="3"/>
      <c r="F1574" s="3"/>
      <c r="G1574" s="3"/>
      <c r="H1574" s="3"/>
      <c r="I1574" s="3"/>
      <c r="J1574" s="5"/>
    </row>
    <row r="1575" spans="5:10" x14ac:dyDescent="0.25">
      <c r="E1575" s="3"/>
      <c r="F1575" s="3"/>
      <c r="G1575" s="3"/>
      <c r="H1575" s="3"/>
      <c r="I1575" s="3"/>
      <c r="J1575" s="5"/>
    </row>
    <row r="1576" spans="5:10" x14ac:dyDescent="0.25">
      <c r="E1576" s="3"/>
      <c r="F1576" s="3"/>
      <c r="G1576" s="3"/>
      <c r="H1576" s="3"/>
      <c r="I1576" s="3"/>
      <c r="J1576" s="5"/>
    </row>
    <row r="1577" spans="5:10" x14ac:dyDescent="0.25">
      <c r="E1577" s="3"/>
      <c r="F1577" s="3"/>
      <c r="G1577" s="3"/>
      <c r="H1577" s="3"/>
      <c r="I1577" s="3"/>
      <c r="J1577" s="5"/>
    </row>
    <row r="1578" spans="5:10" x14ac:dyDescent="0.25">
      <c r="E1578" s="3"/>
      <c r="F1578" s="3"/>
      <c r="G1578" s="3"/>
      <c r="H1578" s="3"/>
      <c r="I1578" s="3"/>
      <c r="J1578" s="5"/>
    </row>
    <row r="1579" spans="5:10" x14ac:dyDescent="0.25">
      <c r="E1579" s="3"/>
      <c r="F1579" s="3"/>
      <c r="G1579" s="3"/>
      <c r="H1579" s="3"/>
      <c r="I1579" s="3"/>
      <c r="J1579" s="5"/>
    </row>
    <row r="1580" spans="5:10" x14ac:dyDescent="0.25">
      <c r="E1580" s="3"/>
      <c r="F1580" s="3"/>
      <c r="G1580" s="3"/>
      <c r="H1580" s="3"/>
      <c r="I1580" s="3"/>
      <c r="J1580" s="5"/>
    </row>
    <row r="1581" spans="5:10" x14ac:dyDescent="0.25">
      <c r="E1581" s="3"/>
      <c r="F1581" s="3"/>
      <c r="G1581" s="3"/>
      <c r="H1581" s="3"/>
      <c r="I1581" s="3"/>
      <c r="J1581" s="5"/>
    </row>
    <row r="1582" spans="5:10" x14ac:dyDescent="0.25">
      <c r="E1582" s="3"/>
      <c r="F1582" s="3"/>
      <c r="G1582" s="3"/>
      <c r="H1582" s="3"/>
      <c r="I1582" s="3"/>
      <c r="J1582" s="5"/>
    </row>
    <row r="1583" spans="5:10" x14ac:dyDescent="0.25">
      <c r="E1583" s="3"/>
      <c r="F1583" s="3"/>
      <c r="G1583" s="3"/>
      <c r="H1583" s="3"/>
      <c r="I1583" s="3"/>
      <c r="J1583" s="5"/>
    </row>
    <row r="1584" spans="5:10" x14ac:dyDescent="0.25">
      <c r="E1584" s="3"/>
      <c r="F1584" s="3"/>
      <c r="G1584" s="3"/>
      <c r="H1584" s="3"/>
      <c r="I1584" s="3"/>
      <c r="J1584" s="5"/>
    </row>
    <row r="1585" spans="5:10" x14ac:dyDescent="0.25">
      <c r="E1585" s="3"/>
      <c r="F1585" s="3"/>
      <c r="G1585" s="3"/>
      <c r="H1585" s="3"/>
      <c r="I1585" s="3"/>
      <c r="J1585" s="5"/>
    </row>
    <row r="1586" spans="5:10" x14ac:dyDescent="0.25">
      <c r="E1586" s="3"/>
      <c r="F1586" s="3"/>
      <c r="G1586" s="3"/>
      <c r="H1586" s="3"/>
      <c r="I1586" s="3"/>
      <c r="J1586" s="5"/>
    </row>
    <row r="1587" spans="5:10" x14ac:dyDescent="0.25">
      <c r="E1587" s="3"/>
      <c r="F1587" s="3"/>
      <c r="G1587" s="3"/>
      <c r="H1587" s="3"/>
      <c r="I1587" s="3"/>
      <c r="J1587" s="5"/>
    </row>
    <row r="1588" spans="5:10" x14ac:dyDescent="0.25">
      <c r="E1588" s="3"/>
      <c r="F1588" s="3"/>
      <c r="G1588" s="3"/>
      <c r="H1588" s="3"/>
      <c r="I1588" s="3"/>
      <c r="J1588" s="5"/>
    </row>
    <row r="1589" spans="5:10" x14ac:dyDescent="0.25">
      <c r="E1589" s="3"/>
      <c r="F1589" s="3"/>
      <c r="G1589" s="3"/>
      <c r="H1589" s="3"/>
      <c r="I1589" s="3"/>
      <c r="J1589" s="5"/>
    </row>
    <row r="1590" spans="5:10" x14ac:dyDescent="0.25">
      <c r="E1590" s="3"/>
      <c r="F1590" s="3"/>
      <c r="G1590" s="3"/>
      <c r="H1590" s="3"/>
      <c r="I1590" s="3"/>
      <c r="J1590" s="5"/>
    </row>
    <row r="1591" spans="5:10" x14ac:dyDescent="0.25">
      <c r="E1591" s="3"/>
      <c r="F1591" s="3"/>
      <c r="G1591" s="3"/>
      <c r="H1591" s="3"/>
      <c r="I1591" s="3"/>
      <c r="J1591" s="5"/>
    </row>
    <row r="1592" spans="5:10" x14ac:dyDescent="0.25">
      <c r="E1592" s="3"/>
      <c r="F1592" s="3"/>
      <c r="G1592" s="3"/>
      <c r="H1592" s="3"/>
      <c r="I1592" s="3"/>
      <c r="J1592" s="5"/>
    </row>
    <row r="1593" spans="5:10" x14ac:dyDescent="0.25">
      <c r="E1593" s="3"/>
      <c r="F1593" s="3"/>
      <c r="G1593" s="3"/>
      <c r="H1593" s="3"/>
      <c r="I1593" s="3"/>
      <c r="J1593" s="5"/>
    </row>
    <row r="1594" spans="5:10" x14ac:dyDescent="0.25">
      <c r="E1594" s="3"/>
      <c r="F1594" s="3"/>
      <c r="G1594" s="3"/>
      <c r="H1594" s="3"/>
      <c r="I1594" s="3"/>
      <c r="J1594" s="5"/>
    </row>
    <row r="1595" spans="5:10" x14ac:dyDescent="0.25">
      <c r="E1595" s="3"/>
      <c r="F1595" s="3"/>
      <c r="G1595" s="3"/>
      <c r="H1595" s="3"/>
      <c r="I1595" s="3"/>
      <c r="J1595" s="5"/>
    </row>
    <row r="1596" spans="5:10" x14ac:dyDescent="0.25">
      <c r="E1596" s="3"/>
      <c r="F1596" s="3"/>
      <c r="G1596" s="3"/>
      <c r="H1596" s="3"/>
      <c r="I1596" s="3"/>
      <c r="J1596" s="5"/>
    </row>
    <row r="1597" spans="5:10" x14ac:dyDescent="0.25">
      <c r="E1597" s="3"/>
      <c r="F1597" s="3"/>
      <c r="G1597" s="3"/>
      <c r="H1597" s="3"/>
      <c r="I1597" s="3"/>
      <c r="J1597" s="5"/>
    </row>
    <row r="1598" spans="5:10" x14ac:dyDescent="0.25">
      <c r="E1598" s="3"/>
      <c r="F1598" s="3"/>
      <c r="G1598" s="3"/>
      <c r="H1598" s="3"/>
      <c r="I1598" s="3"/>
      <c r="J1598" s="5"/>
    </row>
    <row r="1599" spans="5:10" x14ac:dyDescent="0.25">
      <c r="E1599" s="3"/>
      <c r="F1599" s="3"/>
      <c r="G1599" s="3"/>
      <c r="H1599" s="3"/>
      <c r="I1599" s="3"/>
      <c r="J1599" s="5"/>
    </row>
    <row r="1600" spans="5:10" x14ac:dyDescent="0.25">
      <c r="E1600" s="3"/>
      <c r="F1600" s="3"/>
      <c r="G1600" s="3"/>
      <c r="H1600" s="3"/>
      <c r="I1600" s="3"/>
      <c r="J1600" s="5"/>
    </row>
    <row r="1601" spans="5:10" x14ac:dyDescent="0.25">
      <c r="E1601" s="3"/>
      <c r="F1601" s="3"/>
      <c r="G1601" s="3"/>
      <c r="H1601" s="3"/>
      <c r="I1601" s="3"/>
      <c r="J1601" s="5"/>
    </row>
    <row r="1602" spans="5:10" x14ac:dyDescent="0.25">
      <c r="E1602" s="3"/>
      <c r="F1602" s="3"/>
      <c r="G1602" s="3"/>
      <c r="H1602" s="3"/>
      <c r="I1602" s="3"/>
      <c r="J1602" s="5"/>
    </row>
    <row r="1603" spans="5:10" x14ac:dyDescent="0.25">
      <c r="E1603" s="3"/>
      <c r="F1603" s="3"/>
      <c r="G1603" s="3"/>
      <c r="H1603" s="3"/>
      <c r="I1603" s="3"/>
      <c r="J1603" s="5"/>
    </row>
    <row r="1604" spans="5:10" x14ac:dyDescent="0.25">
      <c r="E1604" s="3"/>
      <c r="F1604" s="3"/>
      <c r="G1604" s="3"/>
      <c r="H1604" s="3"/>
      <c r="I1604" s="3"/>
      <c r="J1604" s="5"/>
    </row>
    <row r="1605" spans="5:10" x14ac:dyDescent="0.25">
      <c r="E1605" s="3"/>
      <c r="F1605" s="3"/>
      <c r="G1605" s="3"/>
      <c r="H1605" s="3"/>
      <c r="I1605" s="3"/>
      <c r="J1605" s="5"/>
    </row>
    <row r="1606" spans="5:10" x14ac:dyDescent="0.25">
      <c r="E1606" s="3"/>
      <c r="F1606" s="3"/>
      <c r="G1606" s="3"/>
      <c r="H1606" s="3"/>
      <c r="I1606" s="3"/>
      <c r="J1606" s="5"/>
    </row>
    <row r="1607" spans="5:10" x14ac:dyDescent="0.25">
      <c r="E1607" s="3"/>
      <c r="F1607" s="3"/>
      <c r="G1607" s="3"/>
      <c r="H1607" s="3"/>
      <c r="I1607" s="3"/>
      <c r="J1607" s="5"/>
    </row>
    <row r="1608" spans="5:10" x14ac:dyDescent="0.25">
      <c r="E1608" s="3"/>
      <c r="F1608" s="3"/>
      <c r="G1608" s="3"/>
      <c r="H1608" s="3"/>
      <c r="I1608" s="3"/>
      <c r="J1608" s="5"/>
    </row>
    <row r="1609" spans="5:10" x14ac:dyDescent="0.25">
      <c r="E1609" s="3"/>
      <c r="F1609" s="3"/>
      <c r="G1609" s="3"/>
      <c r="H1609" s="3"/>
      <c r="I1609" s="3"/>
      <c r="J1609" s="5"/>
    </row>
    <row r="1610" spans="5:10" x14ac:dyDescent="0.25">
      <c r="E1610" s="3"/>
      <c r="F1610" s="3"/>
      <c r="G1610" s="3"/>
      <c r="H1610" s="3"/>
      <c r="I1610" s="3"/>
      <c r="J1610" s="5"/>
    </row>
    <row r="1611" spans="5:10" x14ac:dyDescent="0.25">
      <c r="E1611" s="3"/>
      <c r="F1611" s="3"/>
      <c r="G1611" s="3"/>
      <c r="H1611" s="3"/>
      <c r="I1611" s="3"/>
      <c r="J1611" s="5"/>
    </row>
    <row r="1612" spans="5:10" x14ac:dyDescent="0.25">
      <c r="E1612" s="3"/>
      <c r="F1612" s="3"/>
      <c r="G1612" s="3"/>
      <c r="H1612" s="3"/>
      <c r="I1612" s="3"/>
      <c r="J1612" s="5"/>
    </row>
    <row r="1613" spans="5:10" x14ac:dyDescent="0.25">
      <c r="E1613" s="3"/>
      <c r="F1613" s="3"/>
      <c r="G1613" s="3"/>
      <c r="H1613" s="3"/>
      <c r="I1613" s="3"/>
      <c r="J1613" s="5"/>
    </row>
    <row r="1614" spans="5:10" x14ac:dyDescent="0.25">
      <c r="E1614" s="3"/>
      <c r="F1614" s="3"/>
      <c r="G1614" s="3"/>
      <c r="H1614" s="3"/>
      <c r="I1614" s="3"/>
      <c r="J1614" s="5"/>
    </row>
    <row r="1615" spans="5:10" x14ac:dyDescent="0.25">
      <c r="E1615" s="3"/>
      <c r="F1615" s="3"/>
      <c r="G1615" s="3"/>
      <c r="H1615" s="3"/>
      <c r="I1615" s="3"/>
      <c r="J1615" s="5"/>
    </row>
    <row r="1616" spans="5:10" x14ac:dyDescent="0.25">
      <c r="E1616" s="3"/>
      <c r="F1616" s="3"/>
      <c r="G1616" s="3"/>
      <c r="H1616" s="3"/>
      <c r="I1616" s="3"/>
      <c r="J1616" s="5"/>
    </row>
    <row r="1617" spans="5:10" x14ac:dyDescent="0.25">
      <c r="E1617" s="3"/>
      <c r="F1617" s="3"/>
      <c r="G1617" s="3"/>
      <c r="H1617" s="3"/>
      <c r="I1617" s="3"/>
      <c r="J1617" s="5"/>
    </row>
    <row r="1618" spans="5:10" x14ac:dyDescent="0.25">
      <c r="E1618" s="3"/>
      <c r="F1618" s="3"/>
      <c r="G1618" s="3"/>
      <c r="H1618" s="3"/>
      <c r="I1618" s="3"/>
      <c r="J1618" s="5"/>
    </row>
    <row r="1619" spans="5:10" x14ac:dyDescent="0.25">
      <c r="E1619" s="3"/>
      <c r="F1619" s="3"/>
      <c r="G1619" s="3"/>
      <c r="H1619" s="3"/>
      <c r="I1619" s="3"/>
      <c r="J1619" s="5"/>
    </row>
    <row r="1620" spans="5:10" x14ac:dyDescent="0.25">
      <c r="E1620" s="3"/>
      <c r="F1620" s="3"/>
      <c r="G1620" s="3"/>
      <c r="H1620" s="3"/>
      <c r="I1620" s="3"/>
      <c r="J1620" s="5"/>
    </row>
    <row r="1621" spans="5:10" x14ac:dyDescent="0.25">
      <c r="E1621" s="3"/>
      <c r="F1621" s="3"/>
      <c r="G1621" s="3"/>
      <c r="H1621" s="3"/>
      <c r="I1621" s="3"/>
      <c r="J1621" s="5"/>
    </row>
    <row r="1622" spans="5:10" x14ac:dyDescent="0.25">
      <c r="E1622" s="3"/>
      <c r="F1622" s="3"/>
      <c r="G1622" s="3"/>
      <c r="H1622" s="3"/>
      <c r="I1622" s="3"/>
      <c r="J1622" s="5"/>
    </row>
    <row r="1623" spans="5:10" x14ac:dyDescent="0.25">
      <c r="E1623" s="3"/>
      <c r="F1623" s="3"/>
      <c r="G1623" s="3"/>
      <c r="H1623" s="3"/>
      <c r="I1623" s="3"/>
      <c r="J1623" s="5"/>
    </row>
    <row r="1624" spans="5:10" x14ac:dyDescent="0.25">
      <c r="E1624" s="3"/>
      <c r="F1624" s="3"/>
      <c r="G1624" s="3"/>
      <c r="H1624" s="3"/>
      <c r="I1624" s="3"/>
      <c r="J1624" s="5"/>
    </row>
    <row r="1625" spans="5:10" x14ac:dyDescent="0.25">
      <c r="E1625" s="3"/>
      <c r="F1625" s="3"/>
      <c r="G1625" s="3"/>
      <c r="H1625" s="3"/>
      <c r="I1625" s="3"/>
      <c r="J1625" s="5"/>
    </row>
    <row r="1626" spans="5:10" x14ac:dyDescent="0.25">
      <c r="E1626" s="3"/>
      <c r="F1626" s="3"/>
      <c r="G1626" s="3"/>
      <c r="H1626" s="3"/>
      <c r="I1626" s="3"/>
      <c r="J1626" s="5"/>
    </row>
    <row r="1627" spans="5:10" x14ac:dyDescent="0.25">
      <c r="E1627" s="3"/>
      <c r="F1627" s="3"/>
      <c r="G1627" s="3"/>
      <c r="H1627" s="3"/>
      <c r="I1627" s="3"/>
      <c r="J1627" s="5"/>
    </row>
    <row r="1628" spans="5:10" x14ac:dyDescent="0.25">
      <c r="E1628" s="3"/>
      <c r="F1628" s="3"/>
      <c r="G1628" s="3"/>
      <c r="H1628" s="3"/>
      <c r="I1628" s="3"/>
      <c r="J1628" s="5"/>
    </row>
    <row r="1629" spans="5:10" x14ac:dyDescent="0.25">
      <c r="E1629" s="3"/>
      <c r="F1629" s="3"/>
      <c r="G1629" s="3"/>
      <c r="H1629" s="3"/>
      <c r="I1629" s="3"/>
      <c r="J1629" s="5"/>
    </row>
    <row r="1630" spans="5:10" x14ac:dyDescent="0.25">
      <c r="E1630" s="3"/>
      <c r="F1630" s="3"/>
      <c r="G1630" s="3"/>
      <c r="H1630" s="3"/>
      <c r="I1630" s="3"/>
      <c r="J1630" s="5"/>
    </row>
    <row r="1631" spans="5:10" x14ac:dyDescent="0.25">
      <c r="E1631" s="3"/>
      <c r="F1631" s="3"/>
      <c r="G1631" s="3"/>
      <c r="H1631" s="3"/>
      <c r="I1631" s="3"/>
      <c r="J1631" s="5"/>
    </row>
    <row r="1632" spans="5:10" x14ac:dyDescent="0.25">
      <c r="E1632" s="3"/>
      <c r="F1632" s="3"/>
      <c r="G1632" s="3"/>
      <c r="H1632" s="3"/>
      <c r="I1632" s="3"/>
      <c r="J1632" s="5"/>
    </row>
    <row r="1633" spans="5:10" x14ac:dyDescent="0.25">
      <c r="E1633" s="3"/>
      <c r="F1633" s="3"/>
      <c r="G1633" s="3"/>
      <c r="H1633" s="3"/>
      <c r="I1633" s="3"/>
      <c r="J1633" s="5"/>
    </row>
    <row r="1634" spans="5:10" x14ac:dyDescent="0.25">
      <c r="E1634" s="3"/>
      <c r="F1634" s="3"/>
      <c r="G1634" s="3"/>
      <c r="H1634" s="3"/>
      <c r="I1634" s="3"/>
      <c r="J1634" s="5"/>
    </row>
    <row r="1635" spans="5:10" x14ac:dyDescent="0.25">
      <c r="E1635" s="3"/>
      <c r="F1635" s="3"/>
      <c r="G1635" s="3"/>
      <c r="H1635" s="3"/>
      <c r="I1635" s="3"/>
      <c r="J1635" s="5"/>
    </row>
    <row r="1636" spans="5:10" x14ac:dyDescent="0.25">
      <c r="E1636" s="3"/>
      <c r="F1636" s="3"/>
      <c r="G1636" s="3"/>
      <c r="H1636" s="3"/>
      <c r="I1636" s="3"/>
      <c r="J1636" s="5"/>
    </row>
    <row r="1637" spans="5:10" x14ac:dyDescent="0.25">
      <c r="E1637" s="3"/>
      <c r="F1637" s="3"/>
      <c r="G1637" s="3"/>
      <c r="H1637" s="3"/>
      <c r="I1637" s="3"/>
      <c r="J1637" s="5"/>
    </row>
    <row r="1638" spans="5:10" x14ac:dyDescent="0.25">
      <c r="E1638" s="3"/>
      <c r="F1638" s="3"/>
      <c r="G1638" s="3"/>
      <c r="H1638" s="3"/>
      <c r="I1638" s="3"/>
      <c r="J1638" s="5"/>
    </row>
    <row r="1639" spans="5:10" x14ac:dyDescent="0.25">
      <c r="E1639" s="3"/>
      <c r="F1639" s="3"/>
      <c r="G1639" s="3"/>
      <c r="H1639" s="3"/>
      <c r="I1639" s="3"/>
      <c r="J1639" s="5"/>
    </row>
    <row r="1640" spans="5:10" x14ac:dyDescent="0.25">
      <c r="E1640" s="3"/>
      <c r="F1640" s="3"/>
      <c r="G1640" s="3"/>
      <c r="H1640" s="3"/>
      <c r="I1640" s="3"/>
      <c r="J1640" s="5"/>
    </row>
    <row r="1641" spans="5:10" x14ac:dyDescent="0.25">
      <c r="E1641" s="3"/>
      <c r="F1641" s="3"/>
      <c r="G1641" s="3"/>
      <c r="H1641" s="3"/>
      <c r="I1641" s="3"/>
      <c r="J1641" s="5"/>
    </row>
    <row r="1642" spans="5:10" x14ac:dyDescent="0.25">
      <c r="E1642" s="3"/>
      <c r="F1642" s="3"/>
      <c r="G1642" s="3"/>
      <c r="H1642" s="3"/>
      <c r="I1642" s="3"/>
      <c r="J1642" s="5"/>
    </row>
    <row r="1643" spans="5:10" x14ac:dyDescent="0.25">
      <c r="E1643" s="3"/>
      <c r="F1643" s="3"/>
      <c r="G1643" s="3"/>
      <c r="H1643" s="3"/>
      <c r="I1643" s="3"/>
      <c r="J1643" s="5"/>
    </row>
    <row r="1644" spans="5:10" x14ac:dyDescent="0.25">
      <c r="E1644" s="3"/>
      <c r="F1644" s="3"/>
      <c r="G1644" s="3"/>
      <c r="H1644" s="3"/>
      <c r="I1644" s="3"/>
      <c r="J1644" s="5"/>
    </row>
    <row r="1645" spans="5:10" x14ac:dyDescent="0.25">
      <c r="E1645" s="3"/>
      <c r="F1645" s="3"/>
      <c r="G1645" s="3"/>
      <c r="H1645" s="3"/>
      <c r="I1645" s="3"/>
      <c r="J1645" s="5"/>
    </row>
    <row r="1646" spans="5:10" x14ac:dyDescent="0.25">
      <c r="E1646" s="3"/>
      <c r="F1646" s="3"/>
      <c r="G1646" s="3"/>
      <c r="H1646" s="3"/>
      <c r="I1646" s="3"/>
      <c r="J1646" s="5"/>
    </row>
    <row r="1647" spans="5:10" x14ac:dyDescent="0.25">
      <c r="E1647" s="3"/>
      <c r="F1647" s="3"/>
      <c r="G1647" s="3"/>
      <c r="H1647" s="3"/>
      <c r="I1647" s="3"/>
      <c r="J1647" s="5"/>
    </row>
    <row r="1648" spans="5:10" x14ac:dyDescent="0.25">
      <c r="E1648" s="3"/>
      <c r="F1648" s="3"/>
      <c r="G1648" s="3"/>
      <c r="H1648" s="3"/>
      <c r="I1648" s="3"/>
      <c r="J1648" s="5"/>
    </row>
    <row r="1649" spans="5:10" x14ac:dyDescent="0.25">
      <c r="E1649" s="3"/>
      <c r="F1649" s="3"/>
      <c r="G1649" s="3"/>
      <c r="H1649" s="3"/>
      <c r="I1649" s="3"/>
      <c r="J1649" s="5"/>
    </row>
    <row r="1650" spans="5:10" x14ac:dyDescent="0.25">
      <c r="E1650" s="3"/>
      <c r="F1650" s="3"/>
      <c r="G1650" s="3"/>
      <c r="H1650" s="3"/>
      <c r="I1650" s="3"/>
      <c r="J1650" s="5"/>
    </row>
    <row r="1651" spans="5:10" x14ac:dyDescent="0.25">
      <c r="E1651" s="3"/>
      <c r="F1651" s="3"/>
      <c r="G1651" s="3"/>
      <c r="H1651" s="3"/>
      <c r="I1651" s="3"/>
      <c r="J1651" s="5"/>
    </row>
    <row r="1652" spans="5:10" x14ac:dyDescent="0.25">
      <c r="E1652" s="3"/>
      <c r="F1652" s="3"/>
      <c r="G1652" s="3"/>
      <c r="H1652" s="3"/>
      <c r="I1652" s="3"/>
      <c r="J1652" s="5"/>
    </row>
    <row r="1653" spans="5:10" x14ac:dyDescent="0.25">
      <c r="E1653" s="3"/>
      <c r="F1653" s="3"/>
      <c r="G1653" s="3"/>
      <c r="H1653" s="3"/>
      <c r="I1653" s="3"/>
      <c r="J1653" s="5"/>
    </row>
    <row r="1654" spans="5:10" x14ac:dyDescent="0.25">
      <c r="E1654" s="3"/>
      <c r="F1654" s="3"/>
      <c r="G1654" s="3"/>
      <c r="H1654" s="3"/>
      <c r="I1654" s="3"/>
      <c r="J1654" s="5"/>
    </row>
    <row r="1655" spans="5:10" x14ac:dyDescent="0.25">
      <c r="E1655" s="3"/>
      <c r="F1655" s="3"/>
      <c r="G1655" s="3"/>
      <c r="H1655" s="3"/>
      <c r="I1655" s="3"/>
      <c r="J1655" s="5"/>
    </row>
    <row r="1656" spans="5:10" x14ac:dyDescent="0.25">
      <c r="E1656" s="3"/>
      <c r="F1656" s="3"/>
      <c r="G1656" s="3"/>
      <c r="H1656" s="3"/>
      <c r="I1656" s="3"/>
      <c r="J1656" s="5"/>
    </row>
    <row r="1657" spans="5:10" x14ac:dyDescent="0.25">
      <c r="E1657" s="3"/>
      <c r="F1657" s="3"/>
      <c r="G1657" s="3"/>
      <c r="H1657" s="3"/>
      <c r="I1657" s="3"/>
      <c r="J1657" s="5"/>
    </row>
    <row r="1658" spans="5:10" x14ac:dyDescent="0.25">
      <c r="E1658" s="3"/>
      <c r="F1658" s="3"/>
      <c r="G1658" s="3"/>
      <c r="H1658" s="3"/>
      <c r="I1658" s="3"/>
      <c r="J1658" s="5"/>
    </row>
    <row r="1659" spans="5:10" x14ac:dyDescent="0.25">
      <c r="E1659" s="3"/>
      <c r="F1659" s="3"/>
      <c r="G1659" s="3"/>
      <c r="H1659" s="3"/>
      <c r="I1659" s="3"/>
      <c r="J1659" s="5"/>
    </row>
    <row r="1660" spans="5:10" x14ac:dyDescent="0.25">
      <c r="E1660" s="3"/>
      <c r="F1660" s="3"/>
      <c r="G1660" s="3"/>
      <c r="H1660" s="3"/>
      <c r="I1660" s="3"/>
      <c r="J1660" s="5"/>
    </row>
    <row r="1661" spans="5:10" x14ac:dyDescent="0.25">
      <c r="E1661" s="3"/>
      <c r="F1661" s="3"/>
      <c r="G1661" s="3"/>
      <c r="H1661" s="3"/>
      <c r="I1661" s="3"/>
      <c r="J1661" s="5"/>
    </row>
    <row r="1662" spans="5:10" x14ac:dyDescent="0.25">
      <c r="E1662" s="3"/>
      <c r="F1662" s="3"/>
      <c r="G1662" s="3"/>
      <c r="H1662" s="3"/>
      <c r="I1662" s="3"/>
      <c r="J1662" s="5"/>
    </row>
    <row r="1663" spans="5:10" x14ac:dyDescent="0.25">
      <c r="E1663" s="3"/>
      <c r="F1663" s="3"/>
      <c r="G1663" s="3"/>
      <c r="H1663" s="3"/>
      <c r="I1663" s="3"/>
      <c r="J1663" s="5"/>
    </row>
    <row r="1664" spans="5:10" x14ac:dyDescent="0.25">
      <c r="E1664" s="3"/>
      <c r="F1664" s="3"/>
      <c r="G1664" s="3"/>
      <c r="H1664" s="3"/>
      <c r="I1664" s="3"/>
      <c r="J1664" s="5"/>
    </row>
    <row r="1665" spans="5:10" x14ac:dyDescent="0.25">
      <c r="E1665" s="3"/>
      <c r="F1665" s="3"/>
      <c r="G1665" s="3"/>
      <c r="H1665" s="3"/>
      <c r="I1665" s="3"/>
      <c r="J1665" s="5"/>
    </row>
    <row r="1666" spans="5:10" x14ac:dyDescent="0.25">
      <c r="E1666" s="3"/>
      <c r="F1666" s="3"/>
      <c r="G1666" s="3"/>
      <c r="H1666" s="3"/>
      <c r="I1666" s="3"/>
      <c r="J1666" s="5"/>
    </row>
    <row r="1667" spans="5:10" x14ac:dyDescent="0.25">
      <c r="E1667" s="3"/>
      <c r="F1667" s="3"/>
      <c r="G1667" s="3"/>
      <c r="H1667" s="3"/>
      <c r="I1667" s="3"/>
      <c r="J1667" s="5"/>
    </row>
    <row r="1668" spans="5:10" x14ac:dyDescent="0.25">
      <c r="E1668" s="3"/>
      <c r="F1668" s="3"/>
      <c r="G1668" s="3"/>
      <c r="H1668" s="3"/>
      <c r="I1668" s="3"/>
      <c r="J1668" s="5"/>
    </row>
    <row r="1669" spans="5:10" x14ac:dyDescent="0.25">
      <c r="E1669" s="3"/>
      <c r="F1669" s="3"/>
      <c r="G1669" s="3"/>
      <c r="H1669" s="3"/>
      <c r="I1669" s="3"/>
      <c r="J1669" s="5"/>
    </row>
    <row r="1670" spans="5:10" x14ac:dyDescent="0.25">
      <c r="E1670" s="3"/>
      <c r="F1670" s="3"/>
      <c r="G1670" s="3"/>
      <c r="H1670" s="3"/>
      <c r="I1670" s="3"/>
      <c r="J1670" s="5"/>
    </row>
    <row r="1671" spans="5:10" x14ac:dyDescent="0.25">
      <c r="E1671" s="3"/>
      <c r="F1671" s="3"/>
      <c r="G1671" s="3"/>
      <c r="H1671" s="3"/>
      <c r="I1671" s="3"/>
      <c r="J1671" s="5"/>
    </row>
    <row r="1672" spans="5:10" x14ac:dyDescent="0.25">
      <c r="E1672" s="3"/>
      <c r="F1672" s="3"/>
      <c r="G1672" s="3"/>
      <c r="H1672" s="3"/>
      <c r="I1672" s="3"/>
      <c r="J1672" s="5"/>
    </row>
    <row r="1673" spans="5:10" x14ac:dyDescent="0.25">
      <c r="E1673" s="3"/>
      <c r="F1673" s="3"/>
      <c r="G1673" s="3"/>
      <c r="H1673" s="3"/>
      <c r="I1673" s="3"/>
      <c r="J1673" s="5"/>
    </row>
    <row r="1674" spans="5:10" x14ac:dyDescent="0.25">
      <c r="E1674" s="3"/>
      <c r="F1674" s="3"/>
      <c r="G1674" s="3"/>
      <c r="H1674" s="3"/>
      <c r="I1674" s="3"/>
      <c r="J1674" s="5"/>
    </row>
    <row r="1675" spans="5:10" x14ac:dyDescent="0.25">
      <c r="E1675" s="3"/>
      <c r="F1675" s="3"/>
      <c r="G1675" s="3"/>
      <c r="H1675" s="3"/>
      <c r="I1675" s="3"/>
      <c r="J1675" s="5"/>
    </row>
    <row r="1676" spans="5:10" x14ac:dyDescent="0.25">
      <c r="E1676" s="3"/>
      <c r="F1676" s="3"/>
      <c r="G1676" s="3"/>
      <c r="H1676" s="3"/>
      <c r="I1676" s="3"/>
      <c r="J1676" s="5"/>
    </row>
    <row r="1677" spans="5:10" x14ac:dyDescent="0.25">
      <c r="E1677" s="3"/>
      <c r="F1677" s="3"/>
      <c r="G1677" s="3"/>
      <c r="H1677" s="3"/>
      <c r="I1677" s="3"/>
      <c r="J1677" s="5"/>
    </row>
    <row r="1678" spans="5:10" x14ac:dyDescent="0.25">
      <c r="E1678" s="3"/>
      <c r="F1678" s="3"/>
      <c r="G1678" s="3"/>
      <c r="H1678" s="3"/>
      <c r="I1678" s="3"/>
      <c r="J1678" s="5"/>
    </row>
    <row r="1679" spans="5:10" x14ac:dyDescent="0.25">
      <c r="E1679" s="3"/>
      <c r="F1679" s="3"/>
      <c r="G1679" s="3"/>
      <c r="H1679" s="3"/>
      <c r="I1679" s="3"/>
      <c r="J1679" s="5"/>
    </row>
    <row r="1680" spans="5:10" x14ac:dyDescent="0.25">
      <c r="E1680" s="3"/>
      <c r="F1680" s="3"/>
      <c r="G1680" s="3"/>
      <c r="H1680" s="3"/>
      <c r="I1680" s="3"/>
      <c r="J1680" s="5"/>
    </row>
    <row r="1681" spans="5:10" x14ac:dyDescent="0.25">
      <c r="E1681" s="3"/>
      <c r="F1681" s="3"/>
      <c r="G1681" s="3"/>
      <c r="H1681" s="3"/>
      <c r="I1681" s="3"/>
      <c r="J1681" s="5"/>
    </row>
    <row r="1682" spans="5:10" x14ac:dyDescent="0.25">
      <c r="E1682" s="3"/>
      <c r="F1682" s="3"/>
      <c r="G1682" s="3"/>
      <c r="H1682" s="3"/>
      <c r="I1682" s="3"/>
      <c r="J1682" s="5"/>
    </row>
    <row r="1683" spans="5:10" x14ac:dyDescent="0.25">
      <c r="E1683" s="3"/>
      <c r="F1683" s="3"/>
      <c r="G1683" s="3"/>
      <c r="H1683" s="3"/>
      <c r="I1683" s="3"/>
      <c r="J1683" s="5"/>
    </row>
    <row r="1684" spans="5:10" x14ac:dyDescent="0.25">
      <c r="E1684" s="3"/>
      <c r="F1684" s="3"/>
      <c r="G1684" s="3"/>
      <c r="H1684" s="3"/>
      <c r="I1684" s="3"/>
      <c r="J1684" s="5"/>
    </row>
    <row r="1685" spans="5:10" x14ac:dyDescent="0.25">
      <c r="E1685" s="3"/>
      <c r="F1685" s="3"/>
      <c r="G1685" s="3"/>
      <c r="H1685" s="3"/>
      <c r="I1685" s="3"/>
      <c r="J1685" s="5"/>
    </row>
    <row r="1686" spans="5:10" x14ac:dyDescent="0.25">
      <c r="E1686" s="3"/>
      <c r="F1686" s="3"/>
      <c r="G1686" s="3"/>
      <c r="H1686" s="3"/>
      <c r="I1686" s="3"/>
      <c r="J1686" s="5"/>
    </row>
    <row r="1687" spans="5:10" x14ac:dyDescent="0.25">
      <c r="E1687" s="3"/>
      <c r="F1687" s="3"/>
      <c r="G1687" s="3"/>
      <c r="H1687" s="3"/>
      <c r="I1687" s="3"/>
      <c r="J1687" s="5"/>
    </row>
    <row r="1688" spans="5:10" x14ac:dyDescent="0.25">
      <c r="E1688" s="3"/>
      <c r="F1688" s="3"/>
      <c r="G1688" s="3"/>
      <c r="H1688" s="3"/>
      <c r="I1688" s="3"/>
      <c r="J1688" s="5"/>
    </row>
    <row r="1689" spans="5:10" x14ac:dyDescent="0.25">
      <c r="E1689" s="3"/>
      <c r="F1689" s="3"/>
      <c r="G1689" s="3"/>
      <c r="H1689" s="3"/>
      <c r="I1689" s="3"/>
      <c r="J1689" s="5"/>
    </row>
    <row r="1690" spans="5:10" x14ac:dyDescent="0.25">
      <c r="E1690" s="3"/>
      <c r="F1690" s="3"/>
      <c r="G1690" s="3"/>
      <c r="H1690" s="3"/>
      <c r="I1690" s="3"/>
      <c r="J1690" s="5"/>
    </row>
    <row r="1691" spans="5:10" x14ac:dyDescent="0.25">
      <c r="E1691" s="3"/>
      <c r="F1691" s="3"/>
      <c r="G1691" s="3"/>
      <c r="H1691" s="3"/>
      <c r="I1691" s="3"/>
      <c r="J1691" s="5"/>
    </row>
    <row r="1692" spans="5:10" x14ac:dyDescent="0.25">
      <c r="E1692" s="3"/>
      <c r="F1692" s="3"/>
      <c r="G1692" s="3"/>
      <c r="H1692" s="3"/>
      <c r="I1692" s="3"/>
      <c r="J1692" s="5"/>
    </row>
    <row r="1693" spans="5:10" x14ac:dyDescent="0.25">
      <c r="E1693" s="3"/>
      <c r="F1693" s="3"/>
      <c r="G1693" s="3"/>
      <c r="H1693" s="3"/>
      <c r="I1693" s="3"/>
      <c r="J1693" s="5"/>
    </row>
    <row r="1694" spans="5:10" x14ac:dyDescent="0.25">
      <c r="E1694" s="3"/>
      <c r="F1694" s="3"/>
      <c r="G1694" s="3"/>
      <c r="H1694" s="3"/>
      <c r="I1694" s="3"/>
      <c r="J1694" s="5"/>
    </row>
    <row r="1695" spans="5:10" x14ac:dyDescent="0.25">
      <c r="E1695" s="3"/>
      <c r="F1695" s="3"/>
      <c r="G1695" s="3"/>
      <c r="H1695" s="3"/>
      <c r="I1695" s="3"/>
      <c r="J1695" s="5"/>
    </row>
    <row r="1696" spans="5:10" x14ac:dyDescent="0.25">
      <c r="E1696" s="3"/>
      <c r="F1696" s="3"/>
      <c r="G1696" s="3"/>
      <c r="H1696" s="3"/>
      <c r="I1696" s="3"/>
      <c r="J1696" s="5"/>
    </row>
    <row r="1697" spans="5:10" x14ac:dyDescent="0.25">
      <c r="E1697" s="3"/>
      <c r="F1697" s="3"/>
      <c r="G1697" s="3"/>
      <c r="H1697" s="3"/>
      <c r="I1697" s="3"/>
      <c r="J1697" s="5"/>
    </row>
    <row r="1698" spans="5:10" x14ac:dyDescent="0.25">
      <c r="E1698" s="3"/>
      <c r="F1698" s="3"/>
      <c r="G1698" s="3"/>
      <c r="H1698" s="3"/>
      <c r="I1698" s="3"/>
      <c r="J1698" s="5"/>
    </row>
    <row r="1699" spans="5:10" x14ac:dyDescent="0.25">
      <c r="E1699" s="3"/>
      <c r="F1699" s="3"/>
      <c r="G1699" s="3"/>
      <c r="H1699" s="3"/>
      <c r="I1699" s="3"/>
      <c r="J1699" s="5"/>
    </row>
    <row r="1700" spans="5:10" x14ac:dyDescent="0.25">
      <c r="E1700" s="3"/>
      <c r="F1700" s="3"/>
      <c r="G1700" s="3"/>
      <c r="H1700" s="3"/>
      <c r="I1700" s="3"/>
      <c r="J1700" s="5"/>
    </row>
    <row r="1701" spans="5:10" x14ac:dyDescent="0.25">
      <c r="E1701" s="3"/>
      <c r="F1701" s="3"/>
      <c r="G1701" s="3"/>
      <c r="H1701" s="3"/>
      <c r="I1701" s="3"/>
      <c r="J1701" s="5"/>
    </row>
    <row r="1702" spans="5:10" x14ac:dyDescent="0.25">
      <c r="E1702" s="3"/>
      <c r="F1702" s="3"/>
      <c r="G1702" s="3"/>
      <c r="H1702" s="3"/>
      <c r="I1702" s="3"/>
      <c r="J1702" s="5"/>
    </row>
    <row r="1703" spans="5:10" x14ac:dyDescent="0.25">
      <c r="E1703" s="3"/>
      <c r="F1703" s="3"/>
      <c r="G1703" s="3"/>
      <c r="H1703" s="3"/>
      <c r="I1703" s="3"/>
      <c r="J1703" s="5"/>
    </row>
    <row r="1704" spans="5:10" x14ac:dyDescent="0.25">
      <c r="E1704" s="3"/>
      <c r="F1704" s="3"/>
      <c r="G1704" s="3"/>
      <c r="H1704" s="3"/>
      <c r="I1704" s="3"/>
      <c r="J1704" s="5"/>
    </row>
    <row r="1705" spans="5:10" x14ac:dyDescent="0.25">
      <c r="E1705" s="3"/>
      <c r="F1705" s="3"/>
      <c r="G1705" s="3"/>
      <c r="H1705" s="3"/>
      <c r="I1705" s="3"/>
      <c r="J1705" s="5"/>
    </row>
    <row r="1706" spans="5:10" x14ac:dyDescent="0.25">
      <c r="E1706" s="3"/>
      <c r="F1706" s="3"/>
      <c r="G1706" s="3"/>
      <c r="H1706" s="3"/>
      <c r="I1706" s="3"/>
      <c r="J1706" s="5"/>
    </row>
    <row r="1707" spans="5:10" x14ac:dyDescent="0.25">
      <c r="E1707" s="3"/>
      <c r="F1707" s="3"/>
      <c r="G1707" s="3"/>
      <c r="H1707" s="3"/>
      <c r="I1707" s="3"/>
      <c r="J1707" s="5"/>
    </row>
    <row r="1708" spans="5:10" x14ac:dyDescent="0.25">
      <c r="E1708" s="3"/>
      <c r="F1708" s="3"/>
      <c r="G1708" s="3"/>
      <c r="H1708" s="3"/>
      <c r="I1708" s="3"/>
      <c r="J1708" s="5"/>
    </row>
    <row r="1709" spans="5:10" x14ac:dyDescent="0.25">
      <c r="E1709" s="3"/>
      <c r="F1709" s="3"/>
      <c r="G1709" s="3"/>
      <c r="H1709" s="3"/>
      <c r="I1709" s="3"/>
      <c r="J1709" s="5"/>
    </row>
    <row r="1710" spans="5:10" x14ac:dyDescent="0.25">
      <c r="E1710" s="3"/>
      <c r="F1710" s="3"/>
      <c r="G1710" s="3"/>
      <c r="H1710" s="3"/>
      <c r="I1710" s="3"/>
      <c r="J1710" s="5"/>
    </row>
    <row r="1711" spans="5:10" x14ac:dyDescent="0.25">
      <c r="E1711" s="3"/>
      <c r="F1711" s="3"/>
      <c r="G1711" s="3"/>
      <c r="H1711" s="3"/>
      <c r="I1711" s="3"/>
      <c r="J1711" s="5"/>
    </row>
    <row r="1712" spans="5:10" x14ac:dyDescent="0.25">
      <c r="E1712" s="3"/>
      <c r="F1712" s="3"/>
      <c r="G1712" s="3"/>
      <c r="H1712" s="3"/>
      <c r="I1712" s="3"/>
      <c r="J1712" s="5"/>
    </row>
    <row r="1713" spans="5:10" x14ac:dyDescent="0.25">
      <c r="E1713" s="3"/>
      <c r="F1713" s="3"/>
      <c r="G1713" s="3"/>
      <c r="H1713" s="3"/>
      <c r="I1713" s="3"/>
      <c r="J1713" s="5"/>
    </row>
    <row r="1714" spans="5:10" x14ac:dyDescent="0.25">
      <c r="E1714" s="3"/>
      <c r="F1714" s="3"/>
      <c r="G1714" s="3"/>
      <c r="H1714" s="3"/>
      <c r="I1714" s="3"/>
      <c r="J1714" s="5"/>
    </row>
    <row r="1715" spans="5:10" x14ac:dyDescent="0.25">
      <c r="E1715" s="3"/>
      <c r="F1715" s="3"/>
      <c r="G1715" s="3"/>
      <c r="H1715" s="3"/>
      <c r="I1715" s="3"/>
      <c r="J1715" s="5"/>
    </row>
    <row r="1716" spans="5:10" x14ac:dyDescent="0.25">
      <c r="E1716" s="3"/>
      <c r="F1716" s="3"/>
      <c r="G1716" s="3"/>
      <c r="H1716" s="3"/>
      <c r="I1716" s="3"/>
      <c r="J1716" s="5"/>
    </row>
    <row r="1717" spans="5:10" x14ac:dyDescent="0.25">
      <c r="E1717" s="3"/>
      <c r="F1717" s="3"/>
      <c r="G1717" s="3"/>
      <c r="H1717" s="3"/>
      <c r="I1717" s="3"/>
      <c r="J1717" s="5"/>
    </row>
    <row r="1718" spans="5:10" x14ac:dyDescent="0.25">
      <c r="E1718" s="3"/>
      <c r="F1718" s="3"/>
      <c r="G1718" s="3"/>
      <c r="H1718" s="3"/>
      <c r="I1718" s="3"/>
      <c r="J1718" s="5"/>
    </row>
    <row r="1719" spans="5:10" x14ac:dyDescent="0.25">
      <c r="E1719" s="3"/>
      <c r="F1719" s="3"/>
      <c r="G1719" s="3"/>
      <c r="H1719" s="3"/>
      <c r="I1719" s="3"/>
      <c r="J1719" s="5"/>
    </row>
    <row r="1720" spans="5:10" x14ac:dyDescent="0.25">
      <c r="E1720" s="3"/>
      <c r="F1720" s="3"/>
      <c r="G1720" s="3"/>
      <c r="H1720" s="3"/>
      <c r="I1720" s="3"/>
      <c r="J1720" s="5"/>
    </row>
    <row r="1721" spans="5:10" x14ac:dyDescent="0.25">
      <c r="E1721" s="3"/>
      <c r="F1721" s="3"/>
      <c r="G1721" s="3"/>
      <c r="H1721" s="3"/>
      <c r="I1721" s="3"/>
      <c r="J1721" s="5"/>
    </row>
    <row r="1722" spans="5:10" x14ac:dyDescent="0.25">
      <c r="E1722" s="3"/>
      <c r="F1722" s="3"/>
      <c r="G1722" s="3"/>
      <c r="H1722" s="3"/>
      <c r="I1722" s="3"/>
      <c r="J1722" s="5"/>
    </row>
    <row r="1723" spans="5:10" x14ac:dyDescent="0.25">
      <c r="E1723" s="3"/>
      <c r="F1723" s="3"/>
      <c r="G1723" s="3"/>
      <c r="H1723" s="3"/>
      <c r="I1723" s="3"/>
      <c r="J1723" s="5"/>
    </row>
    <row r="1724" spans="5:10" x14ac:dyDescent="0.25">
      <c r="E1724" s="3"/>
      <c r="F1724" s="3"/>
      <c r="G1724" s="3"/>
      <c r="H1724" s="3"/>
      <c r="I1724" s="3"/>
      <c r="J1724" s="5"/>
    </row>
    <row r="1725" spans="5:10" x14ac:dyDescent="0.25">
      <c r="E1725" s="3"/>
      <c r="F1725" s="3"/>
      <c r="G1725" s="3"/>
      <c r="H1725" s="3"/>
      <c r="I1725" s="3"/>
      <c r="J1725" s="5"/>
    </row>
    <row r="1726" spans="5:10" x14ac:dyDescent="0.25">
      <c r="E1726" s="3"/>
      <c r="F1726" s="3"/>
      <c r="G1726" s="3"/>
      <c r="H1726" s="3"/>
      <c r="I1726" s="3"/>
      <c r="J1726" s="5"/>
    </row>
    <row r="1727" spans="5:10" x14ac:dyDescent="0.25">
      <c r="E1727" s="3"/>
      <c r="F1727" s="3"/>
      <c r="G1727" s="3"/>
      <c r="H1727" s="3"/>
      <c r="I1727" s="3"/>
      <c r="J1727" s="5"/>
    </row>
    <row r="1728" spans="5:10" x14ac:dyDescent="0.25">
      <c r="E1728" s="3"/>
      <c r="F1728" s="3"/>
      <c r="G1728" s="3"/>
      <c r="H1728" s="3"/>
      <c r="I1728" s="3"/>
      <c r="J1728" s="5"/>
    </row>
    <row r="1729" spans="5:10" x14ac:dyDescent="0.25">
      <c r="E1729" s="3"/>
      <c r="F1729" s="3"/>
      <c r="G1729" s="3"/>
      <c r="H1729" s="3"/>
      <c r="I1729" s="3"/>
      <c r="J1729" s="5"/>
    </row>
    <row r="1730" spans="5:10" x14ac:dyDescent="0.25">
      <c r="E1730" s="3"/>
      <c r="F1730" s="3"/>
      <c r="G1730" s="3"/>
      <c r="H1730" s="3"/>
      <c r="I1730" s="3"/>
      <c r="J1730" s="5"/>
    </row>
    <row r="1731" spans="5:10" x14ac:dyDescent="0.25">
      <c r="E1731" s="3"/>
      <c r="F1731" s="3"/>
      <c r="G1731" s="3"/>
      <c r="H1731" s="3"/>
      <c r="I1731" s="3"/>
      <c r="J1731" s="5"/>
    </row>
    <row r="1732" spans="5:10" x14ac:dyDescent="0.25">
      <c r="E1732" s="3"/>
      <c r="F1732" s="3"/>
      <c r="G1732" s="3"/>
      <c r="H1732" s="3"/>
      <c r="I1732" s="3"/>
      <c r="J1732" s="5"/>
    </row>
    <row r="1733" spans="5:10" x14ac:dyDescent="0.25">
      <c r="E1733" s="3"/>
      <c r="F1733" s="3"/>
      <c r="G1733" s="3"/>
      <c r="H1733" s="3"/>
      <c r="I1733" s="3"/>
      <c r="J1733" s="5"/>
    </row>
    <row r="1734" spans="5:10" x14ac:dyDescent="0.25">
      <c r="E1734" s="3"/>
      <c r="F1734" s="3"/>
      <c r="G1734" s="3"/>
      <c r="H1734" s="3"/>
      <c r="I1734" s="3"/>
      <c r="J1734" s="5"/>
    </row>
    <row r="1735" spans="5:10" x14ac:dyDescent="0.25">
      <c r="E1735" s="3"/>
      <c r="F1735" s="3"/>
      <c r="G1735" s="3"/>
      <c r="H1735" s="3"/>
      <c r="I1735" s="3"/>
      <c r="J1735" s="5"/>
    </row>
    <row r="1736" spans="5:10" x14ac:dyDescent="0.25">
      <c r="E1736" s="3"/>
      <c r="F1736" s="3"/>
      <c r="G1736" s="3"/>
      <c r="H1736" s="3"/>
      <c r="I1736" s="3"/>
      <c r="J1736" s="5"/>
    </row>
    <row r="1737" spans="5:10" x14ac:dyDescent="0.25">
      <c r="E1737" s="3"/>
      <c r="F1737" s="3"/>
      <c r="G1737" s="3"/>
      <c r="H1737" s="3"/>
      <c r="I1737" s="3"/>
      <c r="J1737" s="5"/>
    </row>
    <row r="1738" spans="5:10" x14ac:dyDescent="0.25">
      <c r="E1738" s="3"/>
      <c r="F1738" s="3"/>
      <c r="G1738" s="3"/>
      <c r="H1738" s="3"/>
      <c r="I1738" s="3"/>
      <c r="J1738" s="5"/>
    </row>
    <row r="1739" spans="5:10" x14ac:dyDescent="0.25">
      <c r="E1739" s="3"/>
      <c r="F1739" s="3"/>
      <c r="G1739" s="3"/>
      <c r="H1739" s="3"/>
      <c r="I1739" s="3"/>
      <c r="J1739" s="5"/>
    </row>
    <row r="1740" spans="5:10" x14ac:dyDescent="0.25">
      <c r="E1740" s="3"/>
      <c r="F1740" s="3"/>
      <c r="G1740" s="3"/>
      <c r="H1740" s="3"/>
      <c r="I1740" s="3"/>
      <c r="J1740" s="5"/>
    </row>
    <row r="1741" spans="5:10" x14ac:dyDescent="0.25">
      <c r="E1741" s="3"/>
      <c r="F1741" s="3"/>
      <c r="G1741" s="3"/>
      <c r="H1741" s="3"/>
      <c r="I1741" s="3"/>
      <c r="J1741" s="5"/>
    </row>
    <row r="1742" spans="5:10" x14ac:dyDescent="0.25">
      <c r="E1742" s="3"/>
      <c r="F1742" s="3"/>
      <c r="G1742" s="3"/>
      <c r="H1742" s="3"/>
      <c r="I1742" s="3"/>
      <c r="J1742" s="5"/>
    </row>
    <row r="1743" spans="5:10" x14ac:dyDescent="0.25">
      <c r="E1743" s="3"/>
      <c r="F1743" s="3"/>
      <c r="G1743" s="3"/>
      <c r="H1743" s="3"/>
      <c r="I1743" s="3"/>
      <c r="J1743" s="5"/>
    </row>
    <row r="1744" spans="5:10" x14ac:dyDescent="0.25">
      <c r="E1744" s="3"/>
      <c r="F1744" s="3"/>
      <c r="G1744" s="3"/>
      <c r="H1744" s="3"/>
      <c r="I1744" s="3"/>
      <c r="J1744" s="5"/>
    </row>
    <row r="1745" spans="5:10" x14ac:dyDescent="0.25">
      <c r="E1745" s="3"/>
      <c r="F1745" s="3"/>
      <c r="G1745" s="3"/>
      <c r="H1745" s="3"/>
      <c r="I1745" s="3"/>
      <c r="J1745" s="5"/>
    </row>
    <row r="1746" spans="5:10" x14ac:dyDescent="0.25">
      <c r="E1746" s="3"/>
      <c r="F1746" s="3"/>
      <c r="G1746" s="3"/>
      <c r="H1746" s="3"/>
      <c r="I1746" s="3"/>
      <c r="J1746" s="5"/>
    </row>
    <row r="1747" spans="5:10" x14ac:dyDescent="0.25">
      <c r="E1747" s="3"/>
      <c r="F1747" s="3"/>
      <c r="G1747" s="3"/>
      <c r="H1747" s="3"/>
      <c r="I1747" s="3"/>
      <c r="J1747" s="5"/>
    </row>
    <row r="1748" spans="5:10" x14ac:dyDescent="0.25">
      <c r="E1748" s="3"/>
      <c r="F1748" s="3"/>
      <c r="G1748" s="3"/>
      <c r="H1748" s="3"/>
      <c r="I1748" s="3"/>
      <c r="J1748" s="5"/>
    </row>
    <row r="1749" spans="5:10" x14ac:dyDescent="0.25">
      <c r="E1749" s="3"/>
      <c r="F1749" s="3"/>
      <c r="G1749" s="3"/>
      <c r="H1749" s="3"/>
      <c r="I1749" s="3"/>
      <c r="J1749" s="5"/>
    </row>
    <row r="1750" spans="5:10" x14ac:dyDescent="0.25">
      <c r="E1750" s="3"/>
      <c r="F1750" s="3"/>
      <c r="G1750" s="3"/>
      <c r="H1750" s="3"/>
      <c r="I1750" s="3"/>
      <c r="J1750" s="5"/>
    </row>
    <row r="1751" spans="5:10" x14ac:dyDescent="0.25">
      <c r="E1751" s="3"/>
      <c r="F1751" s="3"/>
      <c r="G1751" s="3"/>
      <c r="H1751" s="3"/>
      <c r="I1751" s="3"/>
      <c r="J1751" s="5"/>
    </row>
    <row r="1752" spans="5:10" x14ac:dyDescent="0.25">
      <c r="E1752" s="3"/>
      <c r="F1752" s="3"/>
      <c r="G1752" s="3"/>
      <c r="H1752" s="3"/>
      <c r="I1752" s="3"/>
      <c r="J1752" s="5"/>
    </row>
    <row r="1753" spans="5:10" x14ac:dyDescent="0.25">
      <c r="E1753" s="3"/>
      <c r="F1753" s="3"/>
      <c r="G1753" s="3"/>
      <c r="H1753" s="3"/>
      <c r="I1753" s="3"/>
      <c r="J1753" s="5"/>
    </row>
    <row r="1754" spans="5:10" x14ac:dyDescent="0.25">
      <c r="E1754" s="3"/>
      <c r="F1754" s="3"/>
      <c r="G1754" s="3"/>
      <c r="H1754" s="3"/>
      <c r="I1754" s="3"/>
      <c r="J1754" s="5"/>
    </row>
    <row r="1755" spans="5:10" x14ac:dyDescent="0.25">
      <c r="E1755" s="3"/>
      <c r="F1755" s="3"/>
      <c r="G1755" s="3"/>
      <c r="H1755" s="3"/>
      <c r="I1755" s="3"/>
      <c r="J1755" s="5"/>
    </row>
    <row r="1756" spans="5:10" x14ac:dyDescent="0.25">
      <c r="E1756" s="3"/>
      <c r="F1756" s="3"/>
      <c r="G1756" s="3"/>
      <c r="H1756" s="3"/>
      <c r="I1756" s="3"/>
      <c r="J1756" s="5"/>
    </row>
    <row r="1757" spans="5:10" x14ac:dyDescent="0.25">
      <c r="E1757" s="3"/>
      <c r="F1757" s="3"/>
      <c r="G1757" s="3"/>
      <c r="H1757" s="3"/>
      <c r="I1757" s="3"/>
      <c r="J1757" s="5"/>
    </row>
    <row r="1758" spans="5:10" x14ac:dyDescent="0.25">
      <c r="E1758" s="3"/>
      <c r="F1758" s="3"/>
      <c r="G1758" s="3"/>
      <c r="H1758" s="3"/>
      <c r="I1758" s="3"/>
      <c r="J1758" s="5"/>
    </row>
    <row r="1759" spans="5:10" x14ac:dyDescent="0.25">
      <c r="E1759" s="3"/>
      <c r="F1759" s="3"/>
      <c r="G1759" s="3"/>
      <c r="H1759" s="3"/>
      <c r="I1759" s="3"/>
      <c r="J1759" s="5"/>
    </row>
    <row r="1760" spans="5:10" x14ac:dyDescent="0.25">
      <c r="E1760" s="3"/>
      <c r="F1760" s="3"/>
      <c r="G1760" s="3"/>
      <c r="H1760" s="3"/>
      <c r="I1760" s="3"/>
      <c r="J1760" s="5"/>
    </row>
    <row r="1761" spans="5:10" x14ac:dyDescent="0.25">
      <c r="E1761" s="3"/>
      <c r="F1761" s="3"/>
      <c r="G1761" s="3"/>
      <c r="H1761" s="3"/>
      <c r="I1761" s="3"/>
      <c r="J1761" s="5"/>
    </row>
    <row r="1762" spans="5:10" x14ac:dyDescent="0.25">
      <c r="E1762" s="3"/>
      <c r="F1762" s="3"/>
      <c r="G1762" s="3"/>
      <c r="H1762" s="3"/>
      <c r="I1762" s="3"/>
      <c r="J1762" s="5"/>
    </row>
    <row r="1763" spans="5:10" x14ac:dyDescent="0.25">
      <c r="E1763" s="3"/>
      <c r="F1763" s="3"/>
      <c r="G1763" s="3"/>
      <c r="H1763" s="3"/>
      <c r="I1763" s="3"/>
      <c r="J1763" s="5"/>
    </row>
    <row r="1764" spans="5:10" x14ac:dyDescent="0.25">
      <c r="E1764" s="3"/>
      <c r="F1764" s="3"/>
      <c r="G1764" s="3"/>
      <c r="H1764" s="3"/>
      <c r="I1764" s="3"/>
      <c r="J1764" s="5"/>
    </row>
    <row r="1765" spans="5:10" x14ac:dyDescent="0.25">
      <c r="E1765" s="3"/>
      <c r="F1765" s="3"/>
      <c r="G1765" s="3"/>
      <c r="H1765" s="3"/>
      <c r="I1765" s="3"/>
      <c r="J1765" s="5"/>
    </row>
    <row r="1766" spans="5:10" x14ac:dyDescent="0.25">
      <c r="E1766" s="3"/>
      <c r="F1766" s="3"/>
      <c r="G1766" s="3"/>
      <c r="H1766" s="3"/>
      <c r="I1766" s="3"/>
      <c r="J1766" s="5"/>
    </row>
    <row r="1767" spans="5:10" x14ac:dyDescent="0.25">
      <c r="E1767" s="3"/>
      <c r="F1767" s="3"/>
      <c r="G1767" s="3"/>
      <c r="H1767" s="3"/>
      <c r="I1767" s="3"/>
      <c r="J1767" s="5"/>
    </row>
    <row r="1768" spans="5:10" x14ac:dyDescent="0.25">
      <c r="E1768" s="3"/>
      <c r="F1768" s="3"/>
      <c r="G1768" s="3"/>
      <c r="H1768" s="3"/>
      <c r="I1768" s="3"/>
      <c r="J1768" s="5"/>
    </row>
    <row r="1769" spans="5:10" x14ac:dyDescent="0.25">
      <c r="E1769" s="3"/>
      <c r="F1769" s="3"/>
      <c r="G1769" s="3"/>
      <c r="H1769" s="3"/>
      <c r="I1769" s="3"/>
      <c r="J1769" s="5"/>
    </row>
    <row r="1770" spans="5:10" x14ac:dyDescent="0.25">
      <c r="E1770" s="3"/>
      <c r="F1770" s="3"/>
      <c r="G1770" s="3"/>
      <c r="H1770" s="3"/>
      <c r="I1770" s="3"/>
      <c r="J1770" s="5"/>
    </row>
    <row r="1771" spans="5:10" x14ac:dyDescent="0.25">
      <c r="E1771" s="3"/>
      <c r="F1771" s="3"/>
      <c r="G1771" s="3"/>
      <c r="H1771" s="3"/>
      <c r="I1771" s="3"/>
      <c r="J1771" s="5"/>
    </row>
    <row r="1772" spans="5:10" x14ac:dyDescent="0.25">
      <c r="E1772" s="3"/>
      <c r="F1772" s="3"/>
      <c r="G1772" s="3"/>
      <c r="H1772" s="3"/>
      <c r="I1772" s="3"/>
      <c r="J1772" s="5"/>
    </row>
    <row r="1773" spans="5:10" x14ac:dyDescent="0.25">
      <c r="E1773" s="3"/>
      <c r="F1773" s="3"/>
      <c r="G1773" s="3"/>
      <c r="H1773" s="3"/>
      <c r="I1773" s="3"/>
      <c r="J1773" s="5"/>
    </row>
    <row r="1774" spans="5:10" x14ac:dyDescent="0.25">
      <c r="E1774" s="3"/>
      <c r="F1774" s="3"/>
      <c r="G1774" s="3"/>
      <c r="H1774" s="3"/>
      <c r="I1774" s="3"/>
      <c r="J1774" s="5"/>
    </row>
    <row r="1775" spans="5:10" x14ac:dyDescent="0.25">
      <c r="E1775" s="3"/>
      <c r="F1775" s="3"/>
      <c r="G1775" s="3"/>
      <c r="H1775" s="3"/>
      <c r="I1775" s="3"/>
      <c r="J1775" s="5"/>
    </row>
    <row r="1776" spans="5:10" x14ac:dyDescent="0.25">
      <c r="E1776" s="3"/>
      <c r="F1776" s="3"/>
      <c r="G1776" s="3"/>
      <c r="H1776" s="3"/>
      <c r="I1776" s="3"/>
      <c r="J1776" s="5"/>
    </row>
    <row r="1777" spans="5:10" x14ac:dyDescent="0.25">
      <c r="E1777" s="3"/>
      <c r="F1777" s="3"/>
      <c r="G1777" s="3"/>
      <c r="H1777" s="3"/>
      <c r="I1777" s="3"/>
      <c r="J1777" s="5"/>
    </row>
    <row r="1778" spans="5:10" x14ac:dyDescent="0.25">
      <c r="E1778" s="3"/>
      <c r="F1778" s="3"/>
      <c r="G1778" s="3"/>
      <c r="H1778" s="3"/>
      <c r="I1778" s="3"/>
      <c r="J1778" s="5"/>
    </row>
    <row r="1779" spans="5:10" x14ac:dyDescent="0.25">
      <c r="E1779" s="3"/>
      <c r="F1779" s="3"/>
      <c r="G1779" s="3"/>
      <c r="H1779" s="3"/>
      <c r="I1779" s="3"/>
      <c r="J1779" s="5"/>
    </row>
    <row r="1780" spans="5:10" x14ac:dyDescent="0.25">
      <c r="E1780" s="3"/>
      <c r="F1780" s="3"/>
      <c r="G1780" s="3"/>
      <c r="H1780" s="3"/>
      <c r="I1780" s="3"/>
      <c r="J1780" s="5"/>
    </row>
    <row r="1781" spans="5:10" x14ac:dyDescent="0.25">
      <c r="E1781" s="3"/>
      <c r="F1781" s="3"/>
      <c r="G1781" s="3"/>
      <c r="H1781" s="3"/>
      <c r="I1781" s="3"/>
      <c r="J1781" s="5"/>
    </row>
    <row r="1782" spans="5:10" x14ac:dyDescent="0.25">
      <c r="E1782" s="3"/>
      <c r="F1782" s="3"/>
      <c r="G1782" s="3"/>
      <c r="H1782" s="3"/>
      <c r="I1782" s="3"/>
      <c r="J1782" s="5"/>
    </row>
    <row r="1783" spans="5:10" x14ac:dyDescent="0.25">
      <c r="E1783" s="3"/>
      <c r="F1783" s="3"/>
      <c r="G1783" s="3"/>
      <c r="H1783" s="3"/>
      <c r="I1783" s="3"/>
      <c r="J1783" s="5"/>
    </row>
    <row r="1784" spans="5:10" x14ac:dyDescent="0.25">
      <c r="E1784" s="3"/>
      <c r="F1784" s="3"/>
      <c r="G1784" s="3"/>
      <c r="H1784" s="3"/>
      <c r="I1784" s="3"/>
      <c r="J1784" s="5"/>
    </row>
    <row r="1785" spans="5:10" x14ac:dyDescent="0.25">
      <c r="E1785" s="3"/>
      <c r="F1785" s="3"/>
      <c r="G1785" s="3"/>
      <c r="H1785" s="3"/>
      <c r="I1785" s="3"/>
      <c r="J1785" s="5"/>
    </row>
    <row r="1786" spans="5:10" x14ac:dyDescent="0.25">
      <c r="E1786" s="3"/>
      <c r="F1786" s="3"/>
      <c r="G1786" s="3"/>
      <c r="H1786" s="3"/>
      <c r="I1786" s="3"/>
      <c r="J1786" s="5"/>
    </row>
    <row r="1787" spans="5:10" x14ac:dyDescent="0.25">
      <c r="E1787" s="3"/>
      <c r="F1787" s="3"/>
      <c r="G1787" s="3"/>
      <c r="H1787" s="3"/>
      <c r="I1787" s="3"/>
      <c r="J1787" s="5"/>
    </row>
    <row r="1788" spans="5:10" x14ac:dyDescent="0.25">
      <c r="E1788" s="3"/>
      <c r="F1788" s="3"/>
      <c r="G1788" s="3"/>
      <c r="H1788" s="3"/>
      <c r="I1788" s="3"/>
      <c r="J1788" s="5"/>
    </row>
    <row r="1789" spans="5:10" x14ac:dyDescent="0.25">
      <c r="E1789" s="3"/>
      <c r="F1789" s="3"/>
      <c r="G1789" s="3"/>
      <c r="H1789" s="3"/>
      <c r="I1789" s="3"/>
      <c r="J1789" s="5"/>
    </row>
    <row r="1790" spans="5:10" x14ac:dyDescent="0.25">
      <c r="E1790" s="3"/>
      <c r="F1790" s="3"/>
      <c r="G1790" s="3"/>
      <c r="H1790" s="3"/>
      <c r="I1790" s="3"/>
      <c r="J1790" s="5"/>
    </row>
    <row r="1791" spans="5:10" x14ac:dyDescent="0.25">
      <c r="E1791" s="3"/>
      <c r="F1791" s="3"/>
      <c r="G1791" s="3"/>
      <c r="H1791" s="3"/>
      <c r="I1791" s="3"/>
      <c r="J1791" s="5"/>
    </row>
    <row r="1792" spans="5:10" x14ac:dyDescent="0.25">
      <c r="E1792" s="3"/>
      <c r="F1792" s="3"/>
      <c r="G1792" s="3"/>
      <c r="H1792" s="3"/>
      <c r="I1792" s="3"/>
      <c r="J1792" s="5"/>
    </row>
    <row r="1793" spans="5:10" x14ac:dyDescent="0.25">
      <c r="E1793" s="3"/>
      <c r="F1793" s="3"/>
      <c r="G1793" s="3"/>
      <c r="H1793" s="3"/>
      <c r="I1793" s="3"/>
      <c r="J1793" s="5"/>
    </row>
    <row r="1794" spans="5:10" x14ac:dyDescent="0.25">
      <c r="E1794" s="3"/>
      <c r="F1794" s="3"/>
      <c r="G1794" s="3"/>
      <c r="H1794" s="3"/>
      <c r="I1794" s="3"/>
      <c r="J1794" s="5"/>
    </row>
    <row r="1795" spans="5:10" x14ac:dyDescent="0.25">
      <c r="E1795" s="3"/>
      <c r="F1795" s="3"/>
      <c r="G1795" s="3"/>
      <c r="H1795" s="3"/>
      <c r="I1795" s="3"/>
      <c r="J1795" s="5"/>
    </row>
    <row r="1796" spans="5:10" x14ac:dyDescent="0.25">
      <c r="E1796" s="3"/>
      <c r="F1796" s="3"/>
      <c r="G1796" s="3"/>
      <c r="H1796" s="3"/>
      <c r="I1796" s="3"/>
      <c r="J1796" s="5"/>
    </row>
    <row r="1797" spans="5:10" x14ac:dyDescent="0.25">
      <c r="E1797" s="3"/>
      <c r="F1797" s="3"/>
      <c r="G1797" s="3"/>
      <c r="H1797" s="3"/>
      <c r="I1797" s="3"/>
      <c r="J1797" s="5"/>
    </row>
    <row r="1798" spans="5:10" x14ac:dyDescent="0.25">
      <c r="E1798" s="3"/>
      <c r="F1798" s="3"/>
      <c r="G1798" s="3"/>
      <c r="H1798" s="3"/>
      <c r="I1798" s="3"/>
      <c r="J1798" s="5"/>
    </row>
    <row r="1799" spans="5:10" x14ac:dyDescent="0.25">
      <c r="E1799" s="3"/>
      <c r="F1799" s="3"/>
      <c r="G1799" s="3"/>
      <c r="H1799" s="3"/>
      <c r="I1799" s="3"/>
      <c r="J1799" s="5"/>
    </row>
    <row r="1800" spans="5:10" x14ac:dyDescent="0.25">
      <c r="E1800" s="3"/>
      <c r="F1800" s="3"/>
      <c r="G1800" s="3"/>
      <c r="H1800" s="3"/>
      <c r="I1800" s="3"/>
      <c r="J1800" s="5"/>
    </row>
    <row r="1801" spans="5:10" x14ac:dyDescent="0.25">
      <c r="E1801" s="3"/>
      <c r="F1801" s="3"/>
      <c r="G1801" s="3"/>
      <c r="H1801" s="3"/>
      <c r="I1801" s="3"/>
      <c r="J1801" s="5"/>
    </row>
    <row r="1802" spans="5:10" x14ac:dyDescent="0.25">
      <c r="E1802" s="3"/>
      <c r="F1802" s="3"/>
      <c r="G1802" s="3"/>
      <c r="H1802" s="3"/>
      <c r="I1802" s="3"/>
      <c r="J1802" s="5"/>
    </row>
    <row r="1803" spans="5:10" x14ac:dyDescent="0.25">
      <c r="E1803" s="3"/>
      <c r="F1803" s="3"/>
      <c r="G1803" s="3"/>
      <c r="H1803" s="3"/>
      <c r="I1803" s="3"/>
      <c r="J1803" s="5"/>
    </row>
    <row r="1804" spans="5:10" x14ac:dyDescent="0.25">
      <c r="E1804" s="3"/>
      <c r="F1804" s="3"/>
      <c r="G1804" s="3"/>
      <c r="H1804" s="3"/>
      <c r="I1804" s="3"/>
      <c r="J1804" s="5"/>
    </row>
    <row r="1805" spans="5:10" x14ac:dyDescent="0.25">
      <c r="E1805" s="3"/>
      <c r="F1805" s="3"/>
      <c r="G1805" s="3"/>
      <c r="H1805" s="3"/>
      <c r="I1805" s="3"/>
      <c r="J1805" s="5"/>
    </row>
    <row r="1806" spans="5:10" x14ac:dyDescent="0.25">
      <c r="E1806" s="3"/>
      <c r="F1806" s="3"/>
      <c r="G1806" s="3"/>
      <c r="H1806" s="3"/>
      <c r="I1806" s="3"/>
      <c r="J1806" s="5"/>
    </row>
    <row r="1807" spans="5:10" x14ac:dyDescent="0.25">
      <c r="E1807" s="3"/>
      <c r="F1807" s="3"/>
      <c r="G1807" s="3"/>
      <c r="H1807" s="3"/>
      <c r="I1807" s="3"/>
      <c r="J1807" s="5"/>
    </row>
    <row r="1808" spans="5:10" x14ac:dyDescent="0.25">
      <c r="E1808" s="3"/>
      <c r="F1808" s="3"/>
      <c r="G1808" s="3"/>
      <c r="H1808" s="3"/>
      <c r="I1808" s="3"/>
      <c r="J1808" s="5"/>
    </row>
    <row r="1809" spans="5:10" x14ac:dyDescent="0.25">
      <c r="E1809" s="3"/>
      <c r="F1809" s="3"/>
      <c r="G1809" s="3"/>
      <c r="H1809" s="3"/>
      <c r="I1809" s="3"/>
      <c r="J1809" s="5"/>
    </row>
    <row r="1810" spans="5:10" x14ac:dyDescent="0.25">
      <c r="E1810" s="3"/>
      <c r="F1810" s="3"/>
      <c r="G1810" s="3"/>
      <c r="H1810" s="3"/>
      <c r="I1810" s="3"/>
      <c r="J1810" s="5"/>
    </row>
    <row r="1811" spans="5:10" x14ac:dyDescent="0.25">
      <c r="E1811" s="3"/>
      <c r="F1811" s="3"/>
      <c r="G1811" s="3"/>
      <c r="H1811" s="3"/>
      <c r="I1811" s="3"/>
      <c r="J1811" s="5"/>
    </row>
    <row r="1812" spans="5:10" x14ac:dyDescent="0.25">
      <c r="E1812" s="3"/>
      <c r="F1812" s="3"/>
      <c r="G1812" s="3"/>
      <c r="H1812" s="3"/>
      <c r="I1812" s="3"/>
      <c r="J1812" s="5"/>
    </row>
    <row r="1813" spans="5:10" x14ac:dyDescent="0.25">
      <c r="E1813" s="3"/>
      <c r="F1813" s="3"/>
      <c r="G1813" s="3"/>
      <c r="H1813" s="3"/>
      <c r="I1813" s="3"/>
      <c r="J1813" s="5"/>
    </row>
    <row r="1814" spans="5:10" x14ac:dyDescent="0.25">
      <c r="E1814" s="3"/>
      <c r="F1814" s="3"/>
      <c r="G1814" s="3"/>
      <c r="H1814" s="3"/>
      <c r="I1814" s="3"/>
      <c r="J1814" s="5"/>
    </row>
    <row r="1815" spans="5:10" x14ac:dyDescent="0.25">
      <c r="E1815" s="3"/>
      <c r="F1815" s="3"/>
      <c r="G1815" s="3"/>
      <c r="H1815" s="3"/>
      <c r="I1815" s="3"/>
      <c r="J1815" s="5"/>
    </row>
    <row r="1816" spans="5:10" x14ac:dyDescent="0.25">
      <c r="E1816" s="3"/>
      <c r="F1816" s="3"/>
      <c r="G1816" s="3"/>
      <c r="H1816" s="3"/>
      <c r="I1816" s="3"/>
      <c r="J1816" s="5"/>
    </row>
    <row r="1817" spans="5:10" x14ac:dyDescent="0.25">
      <c r="E1817" s="3"/>
      <c r="F1817" s="3"/>
      <c r="G1817" s="3"/>
      <c r="H1817" s="3"/>
      <c r="I1817" s="3"/>
      <c r="J1817" s="5"/>
    </row>
    <row r="1818" spans="5:10" x14ac:dyDescent="0.25">
      <c r="E1818" s="3"/>
      <c r="F1818" s="3"/>
      <c r="G1818" s="3"/>
      <c r="H1818" s="3"/>
      <c r="I1818" s="3"/>
      <c r="J1818" s="5"/>
    </row>
    <row r="1819" spans="5:10" x14ac:dyDescent="0.25">
      <c r="E1819" s="3"/>
      <c r="F1819" s="3"/>
      <c r="G1819" s="3"/>
      <c r="H1819" s="3"/>
      <c r="I1819" s="3"/>
      <c r="J1819" s="5"/>
    </row>
    <row r="1820" spans="5:10" x14ac:dyDescent="0.25">
      <c r="E1820" s="3"/>
      <c r="F1820" s="3"/>
      <c r="G1820" s="3"/>
      <c r="H1820" s="3"/>
      <c r="I1820" s="3"/>
      <c r="J1820" s="5"/>
    </row>
    <row r="1821" spans="5:10" x14ac:dyDescent="0.25">
      <c r="E1821" s="3"/>
      <c r="F1821" s="3"/>
      <c r="G1821" s="3"/>
      <c r="H1821" s="3"/>
      <c r="I1821" s="3"/>
      <c r="J1821" s="5"/>
    </row>
    <row r="1822" spans="5:10" x14ac:dyDescent="0.25">
      <c r="E1822" s="3"/>
      <c r="F1822" s="3"/>
      <c r="G1822" s="3"/>
      <c r="H1822" s="3"/>
      <c r="I1822" s="3"/>
      <c r="J1822" s="5"/>
    </row>
    <row r="1823" spans="5:10" x14ac:dyDescent="0.25">
      <c r="E1823" s="3"/>
      <c r="F1823" s="3"/>
      <c r="G1823" s="3"/>
      <c r="H1823" s="3"/>
      <c r="I1823" s="3"/>
      <c r="J1823" s="5"/>
    </row>
    <row r="1824" spans="5:10" x14ac:dyDescent="0.25">
      <c r="E1824" s="3"/>
      <c r="F1824" s="3"/>
      <c r="G1824" s="3"/>
      <c r="H1824" s="3"/>
      <c r="I1824" s="3"/>
      <c r="J1824" s="5"/>
    </row>
    <row r="1825" spans="5:10" x14ac:dyDescent="0.25">
      <c r="E1825" s="3"/>
      <c r="F1825" s="3"/>
      <c r="G1825" s="3"/>
      <c r="H1825" s="3"/>
      <c r="I1825" s="3"/>
      <c r="J1825" s="5"/>
    </row>
    <row r="1826" spans="5:10" x14ac:dyDescent="0.25">
      <c r="E1826" s="3"/>
      <c r="F1826" s="3"/>
      <c r="G1826" s="3"/>
      <c r="H1826" s="3"/>
      <c r="I1826" s="3"/>
      <c r="J1826" s="5"/>
    </row>
    <row r="1827" spans="5:10" x14ac:dyDescent="0.25">
      <c r="E1827" s="3"/>
      <c r="F1827" s="3"/>
      <c r="G1827" s="3"/>
      <c r="H1827" s="3"/>
      <c r="I1827" s="3"/>
      <c r="J1827" s="5"/>
    </row>
    <row r="1828" spans="5:10" x14ac:dyDescent="0.25">
      <c r="E1828" s="3"/>
      <c r="F1828" s="3"/>
      <c r="G1828" s="3"/>
      <c r="H1828" s="3"/>
      <c r="I1828" s="3"/>
      <c r="J1828" s="5"/>
    </row>
    <row r="1829" spans="5:10" x14ac:dyDescent="0.25">
      <c r="E1829" s="3"/>
      <c r="F1829" s="3"/>
      <c r="G1829" s="3"/>
      <c r="H1829" s="3"/>
      <c r="I1829" s="3"/>
      <c r="J1829" s="5"/>
    </row>
    <row r="1830" spans="5:10" x14ac:dyDescent="0.25">
      <c r="E1830" s="3"/>
      <c r="F1830" s="3"/>
      <c r="G1830" s="3"/>
      <c r="H1830" s="3"/>
      <c r="I1830" s="3"/>
      <c r="J1830" s="5"/>
    </row>
    <row r="1831" spans="5:10" x14ac:dyDescent="0.25">
      <c r="E1831" s="3"/>
      <c r="F1831" s="3"/>
      <c r="G1831" s="3"/>
      <c r="H1831" s="3"/>
      <c r="I1831" s="3"/>
      <c r="J1831" s="5"/>
    </row>
    <row r="1832" spans="5:10" x14ac:dyDescent="0.25">
      <c r="E1832" s="3"/>
      <c r="F1832" s="3"/>
      <c r="G1832" s="3"/>
      <c r="H1832" s="3"/>
      <c r="I1832" s="3"/>
      <c r="J1832" s="5"/>
    </row>
    <row r="1833" spans="5:10" x14ac:dyDescent="0.25">
      <c r="E1833" s="3"/>
      <c r="F1833" s="3"/>
      <c r="G1833" s="3"/>
      <c r="H1833" s="3"/>
      <c r="I1833" s="3"/>
      <c r="J1833" s="5"/>
    </row>
    <row r="1834" spans="5:10" x14ac:dyDescent="0.25">
      <c r="E1834" s="3"/>
      <c r="F1834" s="3"/>
      <c r="G1834" s="3"/>
      <c r="H1834" s="3"/>
      <c r="I1834" s="3"/>
      <c r="J1834" s="5"/>
    </row>
    <row r="1835" spans="5:10" x14ac:dyDescent="0.25">
      <c r="E1835" s="3"/>
      <c r="F1835" s="3"/>
      <c r="G1835" s="3"/>
      <c r="H1835" s="3"/>
      <c r="I1835" s="3"/>
      <c r="J1835" s="5"/>
    </row>
    <row r="1836" spans="5:10" x14ac:dyDescent="0.25">
      <c r="E1836" s="3"/>
      <c r="F1836" s="3"/>
      <c r="G1836" s="3"/>
      <c r="H1836" s="3"/>
      <c r="I1836" s="3"/>
      <c r="J1836" s="5"/>
    </row>
    <row r="1837" spans="5:10" x14ac:dyDescent="0.25">
      <c r="E1837" s="3"/>
      <c r="F1837" s="3"/>
      <c r="G1837" s="3"/>
      <c r="H1837" s="3"/>
      <c r="I1837" s="3"/>
      <c r="J1837" s="5"/>
    </row>
    <row r="1838" spans="5:10" x14ac:dyDescent="0.25">
      <c r="E1838" s="3"/>
      <c r="F1838" s="3"/>
      <c r="G1838" s="3"/>
      <c r="H1838" s="3"/>
      <c r="I1838" s="3"/>
      <c r="J1838" s="5"/>
    </row>
    <row r="1839" spans="5:10" x14ac:dyDescent="0.25">
      <c r="E1839" s="3"/>
      <c r="F1839" s="3"/>
      <c r="G1839" s="3"/>
      <c r="H1839" s="3"/>
      <c r="I1839" s="3"/>
      <c r="J1839" s="5"/>
    </row>
    <row r="1840" spans="5:10" x14ac:dyDescent="0.25">
      <c r="E1840" s="3"/>
      <c r="F1840" s="3"/>
      <c r="G1840" s="3"/>
      <c r="H1840" s="3"/>
      <c r="I1840" s="3"/>
      <c r="J1840" s="5"/>
    </row>
    <row r="1841" spans="5:10" x14ac:dyDescent="0.25">
      <c r="E1841" s="3"/>
      <c r="F1841" s="3"/>
      <c r="G1841" s="3"/>
      <c r="H1841" s="3"/>
      <c r="I1841" s="3"/>
      <c r="J1841" s="5"/>
    </row>
    <row r="1842" spans="5:10" x14ac:dyDescent="0.25">
      <c r="E1842" s="3"/>
      <c r="F1842" s="3"/>
      <c r="G1842" s="3"/>
      <c r="H1842" s="3"/>
      <c r="I1842" s="3"/>
      <c r="J1842" s="5"/>
    </row>
    <row r="1843" spans="5:10" x14ac:dyDescent="0.25">
      <c r="E1843" s="3"/>
      <c r="F1843" s="3"/>
      <c r="G1843" s="3"/>
      <c r="H1843" s="3"/>
      <c r="I1843" s="3"/>
      <c r="J1843" s="5"/>
    </row>
    <row r="1844" spans="5:10" x14ac:dyDescent="0.25">
      <c r="E1844" s="3"/>
      <c r="F1844" s="3"/>
      <c r="G1844" s="3"/>
      <c r="H1844" s="3"/>
      <c r="I1844" s="3"/>
      <c r="J1844" s="5"/>
    </row>
    <row r="1845" spans="5:10" x14ac:dyDescent="0.25">
      <c r="E1845" s="3"/>
      <c r="F1845" s="3"/>
      <c r="G1845" s="3"/>
      <c r="H1845" s="3"/>
      <c r="I1845" s="3"/>
      <c r="J1845" s="5"/>
    </row>
    <row r="1846" spans="5:10" x14ac:dyDescent="0.25">
      <c r="E1846" s="3"/>
      <c r="F1846" s="3"/>
      <c r="G1846" s="3"/>
      <c r="H1846" s="3"/>
      <c r="I1846" s="3"/>
      <c r="J1846" s="5"/>
    </row>
    <row r="1847" spans="5:10" x14ac:dyDescent="0.25">
      <c r="E1847" s="3"/>
      <c r="F1847" s="3"/>
      <c r="G1847" s="3"/>
      <c r="H1847" s="3"/>
      <c r="I1847" s="3"/>
      <c r="J1847" s="5"/>
    </row>
    <row r="1848" spans="5:10" x14ac:dyDescent="0.25">
      <c r="E1848" s="3"/>
      <c r="F1848" s="3"/>
      <c r="G1848" s="3"/>
      <c r="H1848" s="3"/>
      <c r="I1848" s="3"/>
      <c r="J1848" s="5"/>
    </row>
    <row r="1849" spans="5:10" x14ac:dyDescent="0.25">
      <c r="E1849" s="3"/>
      <c r="F1849" s="3"/>
      <c r="G1849" s="3"/>
      <c r="H1849" s="3"/>
      <c r="I1849" s="3"/>
      <c r="J1849" s="5"/>
    </row>
    <row r="1850" spans="5:10" x14ac:dyDescent="0.25">
      <c r="E1850" s="3"/>
      <c r="F1850" s="3"/>
      <c r="G1850" s="3"/>
      <c r="H1850" s="3"/>
      <c r="I1850" s="3"/>
      <c r="J1850" s="5"/>
    </row>
    <row r="1851" spans="5:10" x14ac:dyDescent="0.25">
      <c r="E1851" s="3"/>
      <c r="F1851" s="3"/>
      <c r="G1851" s="3"/>
      <c r="H1851" s="3"/>
      <c r="I1851" s="3"/>
      <c r="J1851" s="5"/>
    </row>
    <row r="1852" spans="5:10" x14ac:dyDescent="0.25">
      <c r="E1852" s="3"/>
      <c r="F1852" s="3"/>
      <c r="G1852" s="3"/>
      <c r="H1852" s="3"/>
      <c r="I1852" s="3"/>
      <c r="J1852" s="5"/>
    </row>
    <row r="1853" spans="5:10" x14ac:dyDescent="0.25">
      <c r="E1853" s="3"/>
      <c r="F1853" s="3"/>
      <c r="G1853" s="3"/>
      <c r="H1853" s="3"/>
      <c r="I1853" s="3"/>
      <c r="J1853" s="5"/>
    </row>
    <row r="1854" spans="5:10" x14ac:dyDescent="0.25">
      <c r="E1854" s="3"/>
      <c r="F1854" s="3"/>
      <c r="G1854" s="3"/>
      <c r="H1854" s="3"/>
      <c r="I1854" s="3"/>
      <c r="J1854" s="5"/>
    </row>
    <row r="1855" spans="5:10" x14ac:dyDescent="0.25">
      <c r="E1855" s="3"/>
      <c r="F1855" s="3"/>
      <c r="G1855" s="3"/>
      <c r="H1855" s="3"/>
      <c r="I1855" s="3"/>
      <c r="J1855" s="5"/>
    </row>
    <row r="1856" spans="5:10" x14ac:dyDescent="0.25">
      <c r="E1856" s="3"/>
      <c r="F1856" s="3"/>
      <c r="G1856" s="3"/>
      <c r="H1856" s="3"/>
      <c r="I1856" s="3"/>
      <c r="J1856" s="5"/>
    </row>
    <row r="1857" spans="5:10" x14ac:dyDescent="0.25">
      <c r="E1857" s="3"/>
      <c r="F1857" s="3"/>
      <c r="G1857" s="3"/>
      <c r="H1857" s="3"/>
      <c r="I1857" s="3"/>
      <c r="J1857" s="5"/>
    </row>
    <row r="1858" spans="5:10" x14ac:dyDescent="0.25">
      <c r="E1858" s="3"/>
      <c r="F1858" s="3"/>
      <c r="G1858" s="3"/>
      <c r="H1858" s="3"/>
      <c r="I1858" s="3"/>
      <c r="J1858" s="5"/>
    </row>
    <row r="1859" spans="5:10" x14ac:dyDescent="0.25">
      <c r="E1859" s="3"/>
      <c r="F1859" s="3"/>
      <c r="G1859" s="3"/>
      <c r="H1859" s="3"/>
      <c r="I1859" s="3"/>
      <c r="J1859" s="5"/>
    </row>
    <row r="1860" spans="5:10" x14ac:dyDescent="0.25">
      <c r="E1860" s="3"/>
      <c r="F1860" s="3"/>
      <c r="G1860" s="3"/>
      <c r="H1860" s="3"/>
      <c r="I1860" s="3"/>
      <c r="J1860" s="5"/>
    </row>
    <row r="1861" spans="5:10" x14ac:dyDescent="0.25">
      <c r="E1861" s="3"/>
      <c r="F1861" s="3"/>
      <c r="G1861" s="3"/>
      <c r="H1861" s="3"/>
      <c r="I1861" s="3"/>
      <c r="J1861" s="5"/>
    </row>
    <row r="1862" spans="5:10" x14ac:dyDescent="0.25">
      <c r="E1862" s="3"/>
      <c r="F1862" s="3"/>
      <c r="G1862" s="3"/>
      <c r="H1862" s="3"/>
      <c r="I1862" s="3"/>
      <c r="J1862" s="5"/>
    </row>
    <row r="1863" spans="5:10" x14ac:dyDescent="0.25">
      <c r="E1863" s="3"/>
      <c r="F1863" s="3"/>
      <c r="G1863" s="3"/>
      <c r="H1863" s="3"/>
      <c r="I1863" s="3"/>
      <c r="J1863" s="5"/>
    </row>
    <row r="1864" spans="5:10" x14ac:dyDescent="0.25">
      <c r="E1864" s="3"/>
      <c r="F1864" s="3"/>
      <c r="G1864" s="3"/>
      <c r="H1864" s="3"/>
      <c r="I1864" s="3"/>
      <c r="J1864" s="5"/>
    </row>
    <row r="1865" spans="5:10" x14ac:dyDescent="0.25">
      <c r="E1865" s="3"/>
      <c r="F1865" s="3"/>
      <c r="G1865" s="3"/>
      <c r="H1865" s="3"/>
      <c r="I1865" s="3"/>
      <c r="J1865" s="5"/>
    </row>
    <row r="1866" spans="5:10" x14ac:dyDescent="0.25">
      <c r="E1866" s="3"/>
      <c r="F1866" s="3"/>
      <c r="G1866" s="3"/>
      <c r="H1866" s="3"/>
      <c r="I1866" s="3"/>
      <c r="J1866" s="5"/>
    </row>
    <row r="1867" spans="5:10" x14ac:dyDescent="0.25">
      <c r="E1867" s="3"/>
      <c r="F1867" s="3"/>
      <c r="G1867" s="3"/>
      <c r="H1867" s="3"/>
      <c r="I1867" s="3"/>
      <c r="J1867" s="5"/>
    </row>
    <row r="1868" spans="5:10" x14ac:dyDescent="0.25">
      <c r="E1868" s="3"/>
      <c r="F1868" s="3"/>
      <c r="G1868" s="3"/>
      <c r="H1868" s="3"/>
      <c r="I1868" s="3"/>
      <c r="J1868" s="5"/>
    </row>
    <row r="1869" spans="5:10" x14ac:dyDescent="0.25">
      <c r="E1869" s="3"/>
      <c r="F1869" s="3"/>
      <c r="G1869" s="3"/>
      <c r="H1869" s="3"/>
      <c r="I1869" s="3"/>
      <c r="J1869" s="5"/>
    </row>
    <row r="1870" spans="5:10" x14ac:dyDescent="0.25">
      <c r="E1870" s="3"/>
      <c r="F1870" s="3"/>
      <c r="G1870" s="3"/>
      <c r="H1870" s="3"/>
      <c r="I1870" s="3"/>
      <c r="J1870" s="5"/>
    </row>
    <row r="1871" spans="5:10" x14ac:dyDescent="0.25">
      <c r="E1871" s="3"/>
      <c r="F1871" s="3"/>
      <c r="G1871" s="3"/>
      <c r="H1871" s="3"/>
      <c r="I1871" s="3"/>
      <c r="J1871" s="5"/>
    </row>
    <row r="1872" spans="5:10" x14ac:dyDescent="0.25">
      <c r="E1872" s="3"/>
      <c r="F1872" s="3"/>
      <c r="G1872" s="3"/>
      <c r="H1872" s="3"/>
      <c r="I1872" s="3"/>
      <c r="J1872" s="5"/>
    </row>
    <row r="1873" spans="5:10" x14ac:dyDescent="0.25">
      <c r="E1873" s="3"/>
      <c r="F1873" s="3"/>
      <c r="G1873" s="3"/>
      <c r="H1873" s="3"/>
      <c r="I1873" s="3"/>
      <c r="J1873" s="5"/>
    </row>
    <row r="1874" spans="5:10" x14ac:dyDescent="0.25">
      <c r="E1874" s="3"/>
      <c r="F1874" s="3"/>
      <c r="G1874" s="3"/>
      <c r="H1874" s="3"/>
      <c r="I1874" s="3"/>
      <c r="J1874" s="5"/>
    </row>
    <row r="1875" spans="5:10" x14ac:dyDescent="0.25">
      <c r="E1875" s="3"/>
      <c r="F1875" s="3"/>
      <c r="G1875" s="3"/>
      <c r="H1875" s="3"/>
      <c r="I1875" s="3"/>
      <c r="J1875" s="5"/>
    </row>
    <row r="1876" spans="5:10" x14ac:dyDescent="0.25">
      <c r="E1876" s="3"/>
      <c r="F1876" s="3"/>
      <c r="G1876" s="3"/>
      <c r="H1876" s="3"/>
      <c r="I1876" s="3"/>
      <c r="J1876" s="5"/>
    </row>
    <row r="1877" spans="5:10" x14ac:dyDescent="0.25">
      <c r="E1877" s="3"/>
      <c r="F1877" s="3"/>
      <c r="G1877" s="3"/>
      <c r="H1877" s="3"/>
      <c r="I1877" s="3"/>
      <c r="J1877" s="5"/>
    </row>
    <row r="1878" spans="5:10" x14ac:dyDescent="0.25">
      <c r="E1878" s="3"/>
      <c r="F1878" s="3"/>
      <c r="G1878" s="3"/>
      <c r="H1878" s="3"/>
      <c r="I1878" s="3"/>
      <c r="J1878" s="5"/>
    </row>
    <row r="1879" spans="5:10" x14ac:dyDescent="0.25">
      <c r="E1879" s="3"/>
      <c r="F1879" s="3"/>
      <c r="G1879" s="3"/>
      <c r="H1879" s="3"/>
      <c r="I1879" s="3"/>
      <c r="J1879" s="5"/>
    </row>
    <row r="1880" spans="5:10" x14ac:dyDescent="0.25">
      <c r="E1880" s="3"/>
      <c r="F1880" s="3"/>
      <c r="G1880" s="3"/>
      <c r="H1880" s="3"/>
      <c r="I1880" s="3"/>
      <c r="J1880" s="5"/>
    </row>
    <row r="1881" spans="5:10" x14ac:dyDescent="0.25">
      <c r="E1881" s="3"/>
      <c r="F1881" s="3"/>
      <c r="G1881" s="3"/>
      <c r="H1881" s="3"/>
      <c r="I1881" s="3"/>
      <c r="J1881" s="5"/>
    </row>
    <row r="1882" spans="5:10" x14ac:dyDescent="0.25">
      <c r="E1882" s="3"/>
      <c r="F1882" s="3"/>
      <c r="G1882" s="3"/>
      <c r="H1882" s="3"/>
      <c r="I1882" s="3"/>
      <c r="J1882" s="5"/>
    </row>
    <row r="1883" spans="5:10" x14ac:dyDescent="0.25">
      <c r="E1883" s="3"/>
      <c r="F1883" s="3"/>
      <c r="G1883" s="3"/>
      <c r="H1883" s="3"/>
      <c r="I1883" s="3"/>
      <c r="J1883" s="5"/>
    </row>
    <row r="1884" spans="5:10" x14ac:dyDescent="0.25">
      <c r="E1884" s="3"/>
      <c r="F1884" s="3"/>
      <c r="G1884" s="3"/>
      <c r="H1884" s="3"/>
      <c r="I1884" s="3"/>
      <c r="J1884" s="5"/>
    </row>
    <row r="1885" spans="5:10" x14ac:dyDescent="0.25">
      <c r="E1885" s="3"/>
      <c r="F1885" s="3"/>
      <c r="G1885" s="3"/>
      <c r="H1885" s="3"/>
      <c r="I1885" s="3"/>
      <c r="J1885" s="5"/>
    </row>
    <row r="1886" spans="5:10" x14ac:dyDescent="0.25">
      <c r="E1886" s="3"/>
      <c r="F1886" s="3"/>
      <c r="G1886" s="3"/>
      <c r="H1886" s="3"/>
      <c r="I1886" s="3"/>
      <c r="J1886" s="5"/>
    </row>
    <row r="1887" spans="5:10" x14ac:dyDescent="0.25">
      <c r="E1887" s="3"/>
      <c r="F1887" s="3"/>
      <c r="G1887" s="3"/>
      <c r="H1887" s="3"/>
      <c r="I1887" s="3"/>
      <c r="J1887" s="5"/>
    </row>
    <row r="1888" spans="5:10" x14ac:dyDescent="0.25">
      <c r="E1888" s="3"/>
      <c r="F1888" s="3"/>
      <c r="G1888" s="3"/>
      <c r="H1888" s="3"/>
      <c r="I1888" s="3"/>
      <c r="J1888" s="5"/>
    </row>
    <row r="1889" spans="5:10" x14ac:dyDescent="0.25">
      <c r="E1889" s="3"/>
      <c r="F1889" s="3"/>
      <c r="G1889" s="3"/>
      <c r="H1889" s="3"/>
      <c r="I1889" s="3"/>
      <c r="J1889" s="5"/>
    </row>
    <row r="1890" spans="5:10" x14ac:dyDescent="0.25">
      <c r="E1890" s="3"/>
      <c r="F1890" s="3"/>
      <c r="G1890" s="3"/>
      <c r="H1890" s="3"/>
      <c r="I1890" s="3"/>
      <c r="J1890" s="5"/>
    </row>
    <row r="1891" spans="5:10" x14ac:dyDescent="0.25">
      <c r="E1891" s="3"/>
      <c r="F1891" s="3"/>
      <c r="G1891" s="3"/>
      <c r="H1891" s="3"/>
      <c r="I1891" s="3"/>
      <c r="J1891" s="5"/>
    </row>
    <row r="1892" spans="5:10" x14ac:dyDescent="0.25">
      <c r="E1892" s="3"/>
      <c r="F1892" s="3"/>
      <c r="G1892" s="3"/>
      <c r="H1892" s="3"/>
      <c r="I1892" s="3"/>
      <c r="J1892" s="5"/>
    </row>
    <row r="1893" spans="5:10" x14ac:dyDescent="0.25">
      <c r="E1893" s="3"/>
      <c r="F1893" s="3"/>
      <c r="G1893" s="3"/>
      <c r="H1893" s="3"/>
      <c r="I1893" s="3"/>
      <c r="J1893" s="5"/>
    </row>
    <row r="1894" spans="5:10" x14ac:dyDescent="0.25">
      <c r="E1894" s="3"/>
      <c r="F1894" s="3"/>
      <c r="G1894" s="3"/>
      <c r="H1894" s="3"/>
      <c r="I1894" s="3"/>
      <c r="J1894" s="5"/>
    </row>
    <row r="1895" spans="5:10" x14ac:dyDescent="0.25">
      <c r="E1895" s="3"/>
      <c r="F1895" s="3"/>
      <c r="G1895" s="3"/>
      <c r="H1895" s="3"/>
      <c r="I1895" s="3"/>
      <c r="J1895" s="5"/>
    </row>
    <row r="1896" spans="5:10" x14ac:dyDescent="0.25">
      <c r="E1896" s="3"/>
      <c r="F1896" s="3"/>
      <c r="G1896" s="3"/>
      <c r="H1896" s="3"/>
      <c r="I1896" s="3"/>
      <c r="J1896" s="5"/>
    </row>
    <row r="1897" spans="5:10" x14ac:dyDescent="0.25">
      <c r="E1897" s="3"/>
      <c r="F1897" s="3"/>
      <c r="G1897" s="3"/>
      <c r="H1897" s="3"/>
      <c r="I1897" s="3"/>
      <c r="J1897" s="5"/>
    </row>
    <row r="1898" spans="5:10" x14ac:dyDescent="0.25">
      <c r="E1898" s="3"/>
      <c r="F1898" s="3"/>
      <c r="G1898" s="3"/>
      <c r="H1898" s="3"/>
      <c r="I1898" s="3"/>
      <c r="J1898" s="5"/>
    </row>
    <row r="1899" spans="5:10" x14ac:dyDescent="0.25">
      <c r="E1899" s="3"/>
      <c r="F1899" s="3"/>
      <c r="G1899" s="3"/>
      <c r="H1899" s="3"/>
      <c r="I1899" s="3"/>
      <c r="J1899" s="5"/>
    </row>
    <row r="1900" spans="5:10" x14ac:dyDescent="0.25">
      <c r="E1900" s="3"/>
      <c r="F1900" s="3"/>
      <c r="G1900" s="3"/>
      <c r="H1900" s="3"/>
      <c r="I1900" s="3"/>
      <c r="J1900" s="5"/>
    </row>
    <row r="1901" spans="5:10" x14ac:dyDescent="0.25">
      <c r="E1901" s="3"/>
      <c r="F1901" s="3"/>
      <c r="G1901" s="3"/>
      <c r="H1901" s="3"/>
      <c r="I1901" s="3"/>
      <c r="J1901" s="5"/>
    </row>
    <row r="1902" spans="5:10" x14ac:dyDescent="0.25">
      <c r="E1902" s="3"/>
      <c r="F1902" s="3"/>
      <c r="G1902" s="3"/>
      <c r="H1902" s="3"/>
      <c r="I1902" s="3"/>
      <c r="J1902" s="5"/>
    </row>
    <row r="1903" spans="5:10" x14ac:dyDescent="0.25">
      <c r="E1903" s="3"/>
      <c r="F1903" s="3"/>
      <c r="G1903" s="3"/>
      <c r="H1903" s="3"/>
      <c r="I1903" s="3"/>
      <c r="J1903" s="5"/>
    </row>
    <row r="1904" spans="5:10" x14ac:dyDescent="0.25">
      <c r="E1904" s="3"/>
      <c r="F1904" s="3"/>
      <c r="G1904" s="3"/>
      <c r="H1904" s="3"/>
      <c r="I1904" s="3"/>
      <c r="J1904" s="5"/>
    </row>
    <row r="1905" spans="5:10" x14ac:dyDescent="0.25">
      <c r="E1905" s="3"/>
      <c r="F1905" s="3"/>
      <c r="G1905" s="3"/>
      <c r="H1905" s="3"/>
      <c r="I1905" s="3"/>
      <c r="J1905" s="5"/>
    </row>
    <row r="1906" spans="5:10" x14ac:dyDescent="0.25">
      <c r="E1906" s="3"/>
      <c r="F1906" s="3"/>
      <c r="G1906" s="3"/>
      <c r="H1906" s="3"/>
      <c r="I1906" s="3"/>
      <c r="J1906" s="5"/>
    </row>
    <row r="1907" spans="5:10" x14ac:dyDescent="0.25">
      <c r="E1907" s="3"/>
      <c r="F1907" s="3"/>
      <c r="G1907" s="3"/>
      <c r="H1907" s="3"/>
      <c r="I1907" s="3"/>
      <c r="J1907" s="5"/>
    </row>
    <row r="1908" spans="5:10" x14ac:dyDescent="0.25">
      <c r="E1908" s="3"/>
      <c r="F1908" s="3"/>
      <c r="G1908" s="3"/>
      <c r="H1908" s="3"/>
      <c r="I1908" s="3"/>
      <c r="J1908" s="5"/>
    </row>
    <row r="1909" spans="5:10" x14ac:dyDescent="0.25">
      <c r="E1909" s="3"/>
      <c r="F1909" s="3"/>
      <c r="G1909" s="3"/>
      <c r="H1909" s="3"/>
      <c r="I1909" s="3"/>
      <c r="J1909" s="5"/>
    </row>
    <row r="1910" spans="5:10" x14ac:dyDescent="0.25">
      <c r="E1910" s="3"/>
      <c r="F1910" s="3"/>
      <c r="G1910" s="3"/>
      <c r="H1910" s="3"/>
      <c r="I1910" s="3"/>
      <c r="J1910" s="5"/>
    </row>
    <row r="1911" spans="5:10" x14ac:dyDescent="0.25">
      <c r="E1911" s="3"/>
      <c r="F1911" s="3"/>
      <c r="G1911" s="3"/>
      <c r="H1911" s="3"/>
      <c r="I1911" s="3"/>
      <c r="J1911" s="5"/>
    </row>
    <row r="1912" spans="5:10" x14ac:dyDescent="0.25">
      <c r="E1912" s="3"/>
      <c r="F1912" s="3"/>
      <c r="G1912" s="3"/>
      <c r="H1912" s="3"/>
      <c r="I1912" s="3"/>
      <c r="J1912" s="5"/>
    </row>
    <row r="1913" spans="5:10" x14ac:dyDescent="0.25">
      <c r="E1913" s="3"/>
      <c r="F1913" s="3"/>
      <c r="G1913" s="3"/>
      <c r="H1913" s="3"/>
      <c r="I1913" s="3"/>
      <c r="J1913" s="5"/>
    </row>
    <row r="1914" spans="5:10" x14ac:dyDescent="0.25">
      <c r="E1914" s="3"/>
      <c r="F1914" s="3"/>
      <c r="G1914" s="3"/>
      <c r="H1914" s="3"/>
      <c r="I1914" s="3"/>
      <c r="J1914" s="5"/>
    </row>
    <row r="1915" spans="5:10" x14ac:dyDescent="0.25">
      <c r="E1915" s="3"/>
      <c r="F1915" s="3"/>
      <c r="G1915" s="3"/>
      <c r="H1915" s="3"/>
      <c r="I1915" s="3"/>
      <c r="J1915" s="5"/>
    </row>
    <row r="1916" spans="5:10" x14ac:dyDescent="0.25">
      <c r="E1916" s="3"/>
      <c r="F1916" s="3"/>
      <c r="G1916" s="3"/>
      <c r="H1916" s="3"/>
      <c r="I1916" s="3"/>
      <c r="J1916" s="5"/>
    </row>
    <row r="1917" spans="5:10" x14ac:dyDescent="0.25">
      <c r="E1917" s="3"/>
      <c r="F1917" s="3"/>
      <c r="G1917" s="3"/>
      <c r="H1917" s="3"/>
      <c r="I1917" s="3"/>
      <c r="J1917" s="5"/>
    </row>
    <row r="1918" spans="5:10" x14ac:dyDescent="0.25">
      <c r="E1918" s="3"/>
      <c r="F1918" s="3"/>
      <c r="G1918" s="3"/>
      <c r="H1918" s="3"/>
      <c r="I1918" s="3"/>
      <c r="J1918" s="5"/>
    </row>
    <row r="1919" spans="5:10" x14ac:dyDescent="0.25">
      <c r="E1919" s="3"/>
      <c r="F1919" s="3"/>
      <c r="G1919" s="3"/>
      <c r="H1919" s="3"/>
      <c r="I1919" s="3"/>
      <c r="J1919" s="5"/>
    </row>
    <row r="1920" spans="5:10" x14ac:dyDescent="0.25">
      <c r="E1920" s="3"/>
      <c r="F1920" s="3"/>
      <c r="G1920" s="3"/>
      <c r="H1920" s="3"/>
      <c r="I1920" s="3"/>
      <c r="J1920" s="5"/>
    </row>
    <row r="1921" spans="5:10" x14ac:dyDescent="0.25">
      <c r="E1921" s="3"/>
      <c r="F1921" s="3"/>
      <c r="G1921" s="3"/>
      <c r="H1921" s="3"/>
      <c r="I1921" s="3"/>
      <c r="J1921" s="5"/>
    </row>
    <row r="1922" spans="5:10" x14ac:dyDescent="0.25">
      <c r="E1922" s="3"/>
      <c r="F1922" s="3"/>
      <c r="G1922" s="3"/>
      <c r="H1922" s="3"/>
      <c r="I1922" s="3"/>
      <c r="J1922" s="5"/>
    </row>
    <row r="1923" spans="5:10" x14ac:dyDescent="0.25">
      <c r="E1923" s="3"/>
      <c r="F1923" s="3"/>
      <c r="G1923" s="3"/>
      <c r="H1923" s="3"/>
      <c r="I1923" s="3"/>
      <c r="J1923" s="5"/>
    </row>
    <row r="1924" spans="5:10" x14ac:dyDescent="0.25">
      <c r="E1924" s="3"/>
      <c r="F1924" s="3"/>
      <c r="G1924" s="3"/>
      <c r="H1924" s="3"/>
      <c r="I1924" s="3"/>
      <c r="J1924" s="5"/>
    </row>
    <row r="1925" spans="5:10" x14ac:dyDescent="0.25">
      <c r="E1925" s="3"/>
      <c r="F1925" s="3"/>
      <c r="G1925" s="3"/>
      <c r="H1925" s="3"/>
      <c r="I1925" s="3"/>
      <c r="J1925" s="5"/>
    </row>
    <row r="1926" spans="5:10" x14ac:dyDescent="0.25">
      <c r="E1926" s="3"/>
      <c r="F1926" s="3"/>
      <c r="G1926" s="3"/>
      <c r="H1926" s="3"/>
      <c r="I1926" s="3"/>
      <c r="J1926" s="5"/>
    </row>
    <row r="1927" spans="5:10" x14ac:dyDescent="0.25">
      <c r="E1927" s="3"/>
      <c r="F1927" s="3"/>
      <c r="G1927" s="3"/>
      <c r="H1927" s="3"/>
      <c r="I1927" s="3"/>
      <c r="J1927" s="5"/>
    </row>
    <row r="1928" spans="5:10" x14ac:dyDescent="0.25">
      <c r="E1928" s="3"/>
      <c r="F1928" s="3"/>
      <c r="G1928" s="3"/>
      <c r="H1928" s="3"/>
      <c r="I1928" s="3"/>
      <c r="J1928" s="5"/>
    </row>
    <row r="1929" spans="5:10" x14ac:dyDescent="0.25">
      <c r="E1929" s="3"/>
      <c r="F1929" s="3"/>
      <c r="G1929" s="3"/>
      <c r="H1929" s="3"/>
      <c r="I1929" s="3"/>
      <c r="J1929" s="5"/>
    </row>
    <row r="1930" spans="5:10" x14ac:dyDescent="0.25">
      <c r="E1930" s="3"/>
      <c r="F1930" s="3"/>
      <c r="G1930" s="3"/>
      <c r="H1930" s="3"/>
      <c r="I1930" s="3"/>
      <c r="J1930" s="5"/>
    </row>
    <row r="1931" spans="5:10" x14ac:dyDescent="0.25">
      <c r="E1931" s="3"/>
      <c r="F1931" s="3"/>
      <c r="G1931" s="3"/>
      <c r="H1931" s="3"/>
      <c r="I1931" s="3"/>
      <c r="J1931" s="5"/>
    </row>
    <row r="1932" spans="5:10" x14ac:dyDescent="0.25">
      <c r="E1932" s="3"/>
      <c r="F1932" s="3"/>
      <c r="G1932" s="3"/>
      <c r="H1932" s="3"/>
      <c r="I1932" s="3"/>
      <c r="J1932" s="5"/>
    </row>
    <row r="1933" spans="5:10" x14ac:dyDescent="0.25">
      <c r="E1933" s="3"/>
      <c r="F1933" s="3"/>
      <c r="G1933" s="3"/>
      <c r="H1933" s="3"/>
      <c r="I1933" s="3"/>
      <c r="J1933" s="5"/>
    </row>
    <row r="1934" spans="5:10" x14ac:dyDescent="0.25">
      <c r="E1934" s="3"/>
      <c r="F1934" s="3"/>
      <c r="G1934" s="3"/>
      <c r="H1934" s="3"/>
      <c r="I1934" s="3"/>
      <c r="J1934" s="5"/>
    </row>
    <row r="1935" spans="5:10" x14ac:dyDescent="0.25">
      <c r="E1935" s="3"/>
      <c r="F1935" s="3"/>
      <c r="G1935" s="3"/>
      <c r="H1935" s="3"/>
      <c r="I1935" s="3"/>
      <c r="J1935" s="5"/>
    </row>
    <row r="1936" spans="5:10" x14ac:dyDescent="0.25">
      <c r="E1936" s="3"/>
      <c r="F1936" s="3"/>
      <c r="G1936" s="3"/>
      <c r="H1936" s="3"/>
      <c r="I1936" s="3"/>
      <c r="J1936" s="5"/>
    </row>
    <row r="1937" spans="5:10" x14ac:dyDescent="0.25">
      <c r="E1937" s="3"/>
      <c r="F1937" s="3"/>
      <c r="G1937" s="3"/>
      <c r="H1937" s="3"/>
      <c r="I1937" s="3"/>
      <c r="J1937" s="5"/>
    </row>
    <row r="1938" spans="5:10" x14ac:dyDescent="0.25">
      <c r="E1938" s="3"/>
      <c r="F1938" s="3"/>
      <c r="G1938" s="3"/>
      <c r="H1938" s="3"/>
      <c r="I1938" s="3"/>
      <c r="J1938" s="5"/>
    </row>
    <row r="1939" spans="5:10" x14ac:dyDescent="0.25">
      <c r="E1939" s="3"/>
      <c r="F1939" s="3"/>
      <c r="G1939" s="3"/>
      <c r="H1939" s="3"/>
      <c r="I1939" s="3"/>
      <c r="J1939" s="5"/>
    </row>
    <row r="1940" spans="5:10" x14ac:dyDescent="0.25">
      <c r="E1940" s="3"/>
      <c r="F1940" s="3"/>
      <c r="G1940" s="3"/>
      <c r="H1940" s="3"/>
      <c r="I1940" s="3"/>
      <c r="J1940" s="5"/>
    </row>
    <row r="1941" spans="5:10" x14ac:dyDescent="0.25">
      <c r="E1941" s="3"/>
      <c r="F1941" s="3"/>
      <c r="G1941" s="3"/>
      <c r="H1941" s="3"/>
      <c r="I1941" s="3"/>
      <c r="J1941" s="5"/>
    </row>
    <row r="1942" spans="5:10" x14ac:dyDescent="0.25">
      <c r="E1942" s="3"/>
      <c r="F1942" s="3"/>
      <c r="G1942" s="3"/>
      <c r="H1942" s="3"/>
      <c r="I1942" s="3"/>
      <c r="J1942" s="5"/>
    </row>
    <row r="1943" spans="5:10" x14ac:dyDescent="0.25">
      <c r="E1943" s="3"/>
      <c r="F1943" s="3"/>
      <c r="G1943" s="3"/>
      <c r="H1943" s="3"/>
      <c r="I1943" s="3"/>
      <c r="J1943" s="5"/>
    </row>
    <row r="1944" spans="5:10" x14ac:dyDescent="0.25">
      <c r="E1944" s="3"/>
      <c r="F1944" s="3"/>
      <c r="G1944" s="3"/>
      <c r="H1944" s="3"/>
      <c r="I1944" s="3"/>
      <c r="J1944" s="5"/>
    </row>
    <row r="1945" spans="5:10" x14ac:dyDescent="0.25">
      <c r="E1945" s="3"/>
      <c r="F1945" s="3"/>
      <c r="G1945" s="3"/>
      <c r="H1945" s="3"/>
      <c r="I1945" s="3"/>
      <c r="J1945" s="5"/>
    </row>
    <row r="1946" spans="5:10" x14ac:dyDescent="0.25">
      <c r="E1946" s="3"/>
      <c r="F1946" s="3"/>
      <c r="G1946" s="3"/>
      <c r="H1946" s="3"/>
      <c r="I1946" s="3"/>
      <c r="J1946" s="5"/>
    </row>
    <row r="1947" spans="5:10" x14ac:dyDescent="0.25">
      <c r="E1947" s="3"/>
      <c r="F1947" s="3"/>
      <c r="G1947" s="3"/>
      <c r="H1947" s="3"/>
      <c r="I1947" s="3"/>
      <c r="J1947" s="5"/>
    </row>
    <row r="1948" spans="5:10" x14ac:dyDescent="0.25">
      <c r="E1948" s="3"/>
      <c r="F1948" s="3"/>
      <c r="G1948" s="3"/>
      <c r="H1948" s="3"/>
      <c r="I1948" s="3"/>
      <c r="J1948" s="5"/>
    </row>
    <row r="1949" spans="5:10" x14ac:dyDescent="0.25">
      <c r="E1949" s="3"/>
      <c r="F1949" s="3"/>
      <c r="G1949" s="3"/>
      <c r="H1949" s="3"/>
      <c r="I1949" s="3"/>
      <c r="J1949" s="5"/>
    </row>
    <row r="1950" spans="5:10" x14ac:dyDescent="0.25">
      <c r="E1950" s="3"/>
      <c r="F1950" s="3"/>
      <c r="G1950" s="3"/>
      <c r="H1950" s="3"/>
      <c r="I1950" s="3"/>
      <c r="J1950" s="5"/>
    </row>
    <row r="1951" spans="5:10" x14ac:dyDescent="0.25">
      <c r="E1951" s="3"/>
      <c r="F1951" s="3"/>
      <c r="G1951" s="3"/>
      <c r="H1951" s="3"/>
      <c r="I1951" s="3"/>
      <c r="J1951" s="5"/>
    </row>
    <row r="1952" spans="5:10" x14ac:dyDescent="0.25">
      <c r="E1952" s="3"/>
      <c r="F1952" s="3"/>
      <c r="G1952" s="3"/>
      <c r="H1952" s="3"/>
      <c r="I1952" s="3"/>
      <c r="J1952" s="5"/>
    </row>
    <row r="1953" spans="5:10" x14ac:dyDescent="0.25">
      <c r="E1953" s="3"/>
      <c r="F1953" s="3"/>
      <c r="G1953" s="3"/>
      <c r="H1953" s="3"/>
      <c r="I1953" s="3"/>
      <c r="J1953" s="5"/>
    </row>
    <row r="1954" spans="5:10" x14ac:dyDescent="0.25">
      <c r="E1954" s="3"/>
      <c r="F1954" s="3"/>
      <c r="G1954" s="3"/>
      <c r="H1954" s="3"/>
      <c r="I1954" s="3"/>
      <c r="J1954" s="5"/>
    </row>
    <row r="1955" spans="5:10" x14ac:dyDescent="0.25">
      <c r="E1955" s="3"/>
      <c r="F1955" s="3"/>
      <c r="G1955" s="3"/>
      <c r="H1955" s="3"/>
      <c r="I1955" s="3"/>
      <c r="J1955" s="5"/>
    </row>
    <row r="1956" spans="5:10" x14ac:dyDescent="0.25">
      <c r="E1956" s="3"/>
      <c r="F1956" s="3"/>
      <c r="G1956" s="3"/>
      <c r="H1956" s="3"/>
      <c r="I1956" s="3"/>
      <c r="J1956" s="5"/>
    </row>
    <row r="1957" spans="5:10" x14ac:dyDescent="0.25">
      <c r="E1957" s="3"/>
      <c r="F1957" s="3"/>
      <c r="G1957" s="3"/>
      <c r="H1957" s="3"/>
      <c r="I1957" s="3"/>
      <c r="J1957" s="5"/>
    </row>
    <row r="1958" spans="5:10" x14ac:dyDescent="0.25">
      <c r="E1958" s="3"/>
      <c r="F1958" s="3"/>
      <c r="G1958" s="3"/>
      <c r="H1958" s="3"/>
      <c r="I1958" s="3"/>
      <c r="J1958" s="5"/>
    </row>
    <row r="1959" spans="5:10" x14ac:dyDescent="0.25">
      <c r="E1959" s="3"/>
      <c r="F1959" s="3"/>
      <c r="G1959" s="3"/>
      <c r="H1959" s="3"/>
      <c r="I1959" s="3"/>
      <c r="J1959" s="5"/>
    </row>
    <row r="1960" spans="5:10" x14ac:dyDescent="0.25">
      <c r="E1960" s="3"/>
      <c r="F1960" s="3"/>
      <c r="G1960" s="3"/>
      <c r="H1960" s="3"/>
      <c r="I1960" s="3"/>
      <c r="J1960" s="5"/>
    </row>
    <row r="1961" spans="5:10" x14ac:dyDescent="0.25">
      <c r="E1961" s="3"/>
      <c r="F1961" s="3"/>
      <c r="G1961" s="3"/>
      <c r="H1961" s="3"/>
      <c r="I1961" s="3"/>
      <c r="J1961" s="5"/>
    </row>
    <row r="1962" spans="5:10" x14ac:dyDescent="0.25">
      <c r="E1962" s="3"/>
      <c r="F1962" s="3"/>
      <c r="G1962" s="3"/>
      <c r="H1962" s="3"/>
      <c r="I1962" s="3"/>
      <c r="J1962" s="5"/>
    </row>
    <row r="1963" spans="5:10" x14ac:dyDescent="0.25">
      <c r="E1963" s="3"/>
      <c r="F1963" s="3"/>
      <c r="G1963" s="3"/>
      <c r="H1963" s="3"/>
      <c r="I1963" s="3"/>
      <c r="J1963" s="5"/>
    </row>
    <row r="1964" spans="5:10" x14ac:dyDescent="0.25">
      <c r="E1964" s="3"/>
      <c r="F1964" s="3"/>
      <c r="G1964" s="3"/>
      <c r="H1964" s="3"/>
      <c r="I1964" s="3"/>
      <c r="J1964" s="5"/>
    </row>
    <row r="1965" spans="5:10" x14ac:dyDescent="0.25">
      <c r="E1965" s="3"/>
      <c r="F1965" s="3"/>
      <c r="G1965" s="3"/>
      <c r="H1965" s="3"/>
      <c r="I1965" s="3"/>
      <c r="J1965" s="5"/>
    </row>
    <row r="1966" spans="5:10" x14ac:dyDescent="0.25">
      <c r="E1966" s="3"/>
      <c r="F1966" s="3"/>
      <c r="G1966" s="3"/>
      <c r="H1966" s="3"/>
      <c r="I1966" s="3"/>
      <c r="J1966" s="5"/>
    </row>
    <row r="1967" spans="5:10" x14ac:dyDescent="0.25">
      <c r="E1967" s="3"/>
      <c r="F1967" s="3"/>
      <c r="G1967" s="3"/>
      <c r="H1967" s="3"/>
      <c r="I1967" s="3"/>
      <c r="J1967" s="5"/>
    </row>
    <row r="1968" spans="5:10" x14ac:dyDescent="0.25">
      <c r="E1968" s="3"/>
      <c r="F1968" s="3"/>
      <c r="G1968" s="3"/>
      <c r="H1968" s="3"/>
      <c r="I1968" s="3"/>
      <c r="J1968" s="5"/>
    </row>
    <row r="1969" spans="5:10" x14ac:dyDescent="0.25">
      <c r="E1969" s="3"/>
      <c r="F1969" s="3"/>
      <c r="G1969" s="3"/>
      <c r="H1969" s="3"/>
      <c r="I1969" s="3"/>
      <c r="J1969" s="5"/>
    </row>
    <row r="1970" spans="5:10" x14ac:dyDescent="0.25">
      <c r="E1970" s="3"/>
      <c r="F1970" s="3"/>
      <c r="G1970" s="3"/>
      <c r="H1970" s="3"/>
      <c r="I1970" s="3"/>
      <c r="J1970" s="5"/>
    </row>
    <row r="1971" spans="5:10" x14ac:dyDescent="0.25">
      <c r="E1971" s="3"/>
      <c r="F1971" s="3"/>
      <c r="G1971" s="3"/>
      <c r="H1971" s="3"/>
      <c r="I1971" s="3"/>
      <c r="J1971" s="5"/>
    </row>
    <row r="1972" spans="5:10" x14ac:dyDescent="0.25">
      <c r="E1972" s="3"/>
      <c r="F1972" s="3"/>
      <c r="G1972" s="3"/>
      <c r="H1972" s="3"/>
      <c r="I1972" s="3"/>
      <c r="J1972" s="5"/>
    </row>
    <row r="1973" spans="5:10" x14ac:dyDescent="0.25">
      <c r="E1973" s="3"/>
      <c r="F1973" s="3"/>
      <c r="G1973" s="3"/>
      <c r="H1973" s="3"/>
      <c r="I1973" s="3"/>
      <c r="J1973" s="5"/>
    </row>
    <row r="1974" spans="5:10" x14ac:dyDescent="0.25">
      <c r="E1974" s="3"/>
      <c r="F1974" s="3"/>
      <c r="G1974" s="3"/>
      <c r="H1974" s="3"/>
      <c r="I1974" s="3"/>
      <c r="J1974" s="5"/>
    </row>
    <row r="1975" spans="5:10" x14ac:dyDescent="0.25">
      <c r="E1975" s="3"/>
      <c r="F1975" s="3"/>
      <c r="G1975" s="3"/>
      <c r="H1975" s="3"/>
      <c r="I1975" s="3"/>
      <c r="J1975" s="5"/>
    </row>
    <row r="1976" spans="5:10" x14ac:dyDescent="0.25">
      <c r="E1976" s="3"/>
      <c r="F1976" s="3"/>
      <c r="G1976" s="3"/>
      <c r="H1976" s="3"/>
      <c r="I1976" s="3"/>
      <c r="J1976" s="5"/>
    </row>
    <row r="1977" spans="5:10" x14ac:dyDescent="0.25">
      <c r="E1977" s="3"/>
      <c r="F1977" s="3"/>
      <c r="G1977" s="3"/>
      <c r="H1977" s="3"/>
      <c r="I1977" s="3"/>
      <c r="J1977" s="5"/>
    </row>
    <row r="1978" spans="5:10" x14ac:dyDescent="0.25">
      <c r="E1978" s="3"/>
      <c r="F1978" s="3"/>
      <c r="G1978" s="3"/>
      <c r="H1978" s="3"/>
      <c r="I1978" s="3"/>
      <c r="J1978" s="5"/>
    </row>
    <row r="1979" spans="5:10" x14ac:dyDescent="0.25">
      <c r="E1979" s="3"/>
      <c r="F1979" s="3"/>
      <c r="G1979" s="3"/>
      <c r="H1979" s="3"/>
      <c r="I1979" s="3"/>
      <c r="J1979" s="5"/>
    </row>
    <row r="1980" spans="5:10" x14ac:dyDescent="0.25">
      <c r="E1980" s="3"/>
      <c r="F1980" s="3"/>
      <c r="G1980" s="3"/>
      <c r="H1980" s="3"/>
      <c r="I1980" s="3"/>
      <c r="J1980" s="5"/>
    </row>
    <row r="1981" spans="5:10" x14ac:dyDescent="0.25">
      <c r="E1981" s="3"/>
      <c r="F1981" s="3"/>
      <c r="G1981" s="3"/>
      <c r="H1981" s="3"/>
      <c r="I1981" s="3"/>
      <c r="J1981" s="5"/>
    </row>
    <row r="1982" spans="5:10" x14ac:dyDescent="0.25">
      <c r="E1982" s="3"/>
      <c r="F1982" s="3"/>
      <c r="G1982" s="3"/>
      <c r="H1982" s="3"/>
      <c r="I1982" s="3"/>
      <c r="J1982" s="5"/>
    </row>
    <row r="1983" spans="5:10" x14ac:dyDescent="0.25">
      <c r="E1983" s="3"/>
      <c r="F1983" s="3"/>
      <c r="G1983" s="3"/>
      <c r="H1983" s="3"/>
      <c r="I1983" s="3"/>
      <c r="J1983" s="5"/>
    </row>
    <row r="1984" spans="5:10" x14ac:dyDescent="0.25">
      <c r="E1984" s="3"/>
      <c r="F1984" s="3"/>
      <c r="G1984" s="3"/>
      <c r="H1984" s="3"/>
      <c r="I1984" s="3"/>
      <c r="J1984" s="5"/>
    </row>
    <row r="1985" spans="5:10" x14ac:dyDescent="0.25">
      <c r="E1985" s="3"/>
      <c r="F1985" s="3"/>
      <c r="G1985" s="3"/>
      <c r="H1985" s="3"/>
      <c r="I1985" s="3"/>
      <c r="J1985" s="5"/>
    </row>
    <row r="1986" spans="5:10" x14ac:dyDescent="0.25">
      <c r="E1986" s="3"/>
      <c r="F1986" s="3"/>
      <c r="G1986" s="3"/>
      <c r="H1986" s="3"/>
      <c r="I1986" s="3"/>
      <c r="J1986" s="5"/>
    </row>
    <row r="1987" spans="5:10" x14ac:dyDescent="0.25">
      <c r="E1987" s="3"/>
      <c r="F1987" s="3"/>
      <c r="G1987" s="3"/>
      <c r="H1987" s="3"/>
      <c r="I1987" s="3"/>
      <c r="J1987" s="5"/>
    </row>
    <row r="1988" spans="5:10" x14ac:dyDescent="0.25">
      <c r="E1988" s="3"/>
      <c r="F1988" s="3"/>
      <c r="G1988" s="3"/>
      <c r="H1988" s="3"/>
      <c r="I1988" s="3"/>
      <c r="J1988" s="5"/>
    </row>
    <row r="1989" spans="5:10" x14ac:dyDescent="0.25">
      <c r="E1989" s="3"/>
      <c r="F1989" s="3"/>
      <c r="G1989" s="3"/>
      <c r="H1989" s="3"/>
      <c r="I1989" s="3"/>
      <c r="J1989" s="5"/>
    </row>
    <row r="1990" spans="5:10" x14ac:dyDescent="0.25">
      <c r="E1990" s="3"/>
      <c r="F1990" s="3"/>
      <c r="G1990" s="3"/>
      <c r="H1990" s="3"/>
      <c r="I1990" s="3"/>
      <c r="J1990" s="5"/>
    </row>
    <row r="1991" spans="5:10" x14ac:dyDescent="0.25">
      <c r="E1991" s="3"/>
      <c r="F1991" s="3"/>
      <c r="G1991" s="3"/>
      <c r="H1991" s="3"/>
      <c r="I1991" s="3"/>
      <c r="J1991" s="5"/>
    </row>
    <row r="1992" spans="5:10" x14ac:dyDescent="0.25">
      <c r="E1992" s="3"/>
      <c r="F1992" s="3"/>
      <c r="G1992" s="3"/>
      <c r="H1992" s="3"/>
      <c r="I1992" s="3"/>
      <c r="J1992" s="5"/>
    </row>
    <row r="1993" spans="5:10" x14ac:dyDescent="0.25">
      <c r="E1993" s="3"/>
      <c r="F1993" s="3"/>
      <c r="G1993" s="3"/>
      <c r="H1993" s="3"/>
      <c r="I1993" s="3"/>
      <c r="J1993" s="5"/>
    </row>
    <row r="1994" spans="5:10" x14ac:dyDescent="0.25">
      <c r="E1994" s="3"/>
      <c r="F1994" s="3"/>
      <c r="G1994" s="3"/>
      <c r="H1994" s="3"/>
      <c r="I1994" s="3"/>
      <c r="J1994" s="5"/>
    </row>
    <row r="1995" spans="5:10" x14ac:dyDescent="0.25">
      <c r="E1995" s="3"/>
      <c r="F1995" s="3"/>
      <c r="G1995" s="3"/>
      <c r="H1995" s="3"/>
      <c r="I1995" s="3"/>
      <c r="J1995" s="5"/>
    </row>
    <row r="1996" spans="5:10" x14ac:dyDescent="0.25">
      <c r="E1996" s="3"/>
      <c r="F1996" s="3"/>
      <c r="G1996" s="3"/>
      <c r="H1996" s="3"/>
      <c r="I1996" s="3"/>
      <c r="J1996" s="5"/>
    </row>
    <row r="1997" spans="5:10" x14ac:dyDescent="0.25">
      <c r="E1997" s="3"/>
      <c r="F1997" s="3"/>
      <c r="G1997" s="3"/>
      <c r="H1997" s="3"/>
      <c r="I1997" s="3"/>
      <c r="J1997" s="5"/>
    </row>
    <row r="1998" spans="5:10" x14ac:dyDescent="0.25">
      <c r="E1998" s="3"/>
      <c r="F1998" s="3"/>
      <c r="G1998" s="3"/>
      <c r="H1998" s="3"/>
      <c r="I1998" s="3"/>
      <c r="J1998" s="5"/>
    </row>
    <row r="1999" spans="5:10" x14ac:dyDescent="0.25">
      <c r="E1999" s="3"/>
      <c r="F1999" s="3"/>
      <c r="G1999" s="3"/>
      <c r="H1999" s="3"/>
      <c r="I1999" s="3"/>
      <c r="J1999" s="5"/>
    </row>
    <row r="2000" spans="5:10" x14ac:dyDescent="0.25">
      <c r="E2000" s="3"/>
      <c r="F2000" s="3"/>
      <c r="G2000" s="3"/>
      <c r="H2000" s="3"/>
      <c r="I2000" s="3"/>
      <c r="J2000" s="5"/>
    </row>
    <row r="2001" spans="5:10" x14ac:dyDescent="0.25">
      <c r="E2001" s="3"/>
      <c r="F2001" s="3"/>
      <c r="G2001" s="3"/>
      <c r="H2001" s="3"/>
      <c r="I2001" s="3"/>
      <c r="J2001" s="5"/>
    </row>
    <row r="2002" spans="5:10" x14ac:dyDescent="0.25">
      <c r="E2002" s="3"/>
      <c r="F2002" s="3"/>
      <c r="G2002" s="3"/>
      <c r="H2002" s="3"/>
      <c r="I2002" s="3"/>
      <c r="J2002" s="5"/>
    </row>
    <row r="2003" spans="5:10" x14ac:dyDescent="0.25">
      <c r="E2003" s="3"/>
      <c r="F2003" s="3"/>
      <c r="G2003" s="3"/>
      <c r="H2003" s="3"/>
      <c r="I2003" s="3"/>
      <c r="J2003" s="5"/>
    </row>
    <row r="2004" spans="5:10" x14ac:dyDescent="0.25">
      <c r="E2004" s="3"/>
      <c r="F2004" s="3"/>
      <c r="G2004" s="3"/>
      <c r="H2004" s="3"/>
      <c r="I2004" s="3"/>
      <c r="J2004" s="5"/>
    </row>
    <row r="2005" spans="5:10" x14ac:dyDescent="0.25">
      <c r="E2005" s="3"/>
      <c r="F2005" s="3"/>
      <c r="G2005" s="3"/>
      <c r="H2005" s="3"/>
      <c r="I2005" s="3"/>
      <c r="J2005" s="5"/>
    </row>
    <row r="2006" spans="5:10" x14ac:dyDescent="0.25">
      <c r="E2006" s="3"/>
      <c r="F2006" s="3"/>
      <c r="G2006" s="3"/>
      <c r="H2006" s="3"/>
      <c r="I2006" s="3"/>
      <c r="J2006" s="5"/>
    </row>
    <row r="2007" spans="5:10" x14ac:dyDescent="0.25">
      <c r="E2007" s="3"/>
      <c r="F2007" s="3"/>
      <c r="G2007" s="3"/>
      <c r="H2007" s="3"/>
      <c r="I2007" s="3"/>
      <c r="J2007" s="5"/>
    </row>
    <row r="2008" spans="5:10" x14ac:dyDescent="0.25">
      <c r="E2008" s="3"/>
      <c r="F2008" s="3"/>
      <c r="G2008" s="3"/>
      <c r="H2008" s="3"/>
      <c r="I2008" s="3"/>
      <c r="J2008" s="5"/>
    </row>
    <row r="2009" spans="5:10" x14ac:dyDescent="0.25">
      <c r="E2009" s="3"/>
      <c r="F2009" s="3"/>
      <c r="G2009" s="3"/>
      <c r="H2009" s="3"/>
      <c r="I2009" s="3"/>
      <c r="J2009" s="5"/>
    </row>
    <row r="2010" spans="5:10" x14ac:dyDescent="0.25">
      <c r="E2010" s="3"/>
      <c r="F2010" s="3"/>
      <c r="G2010" s="3"/>
      <c r="H2010" s="3"/>
      <c r="I2010" s="3"/>
      <c r="J2010" s="5"/>
    </row>
    <row r="2011" spans="5:10" x14ac:dyDescent="0.25">
      <c r="E2011" s="3"/>
      <c r="F2011" s="3"/>
      <c r="G2011" s="3"/>
      <c r="H2011" s="3"/>
      <c r="I2011" s="3"/>
      <c r="J2011" s="5"/>
    </row>
    <row r="2012" spans="5:10" x14ac:dyDescent="0.25">
      <c r="E2012" s="3"/>
      <c r="F2012" s="3"/>
      <c r="G2012" s="3"/>
      <c r="H2012" s="3"/>
      <c r="I2012" s="3"/>
      <c r="J2012" s="5"/>
    </row>
    <row r="2013" spans="5:10" x14ac:dyDescent="0.25">
      <c r="E2013" s="3"/>
      <c r="F2013" s="3"/>
      <c r="G2013" s="3"/>
      <c r="H2013" s="3"/>
      <c r="I2013" s="3"/>
      <c r="J2013" s="5"/>
    </row>
    <row r="2014" spans="5:10" x14ac:dyDescent="0.25">
      <c r="E2014" s="3"/>
      <c r="F2014" s="3"/>
      <c r="G2014" s="3"/>
      <c r="H2014" s="3"/>
      <c r="I2014" s="3"/>
      <c r="J2014" s="5"/>
    </row>
    <row r="2015" spans="5:10" x14ac:dyDescent="0.25">
      <c r="E2015" s="3"/>
      <c r="F2015" s="3"/>
      <c r="G2015" s="3"/>
      <c r="H2015" s="3"/>
      <c r="I2015" s="3"/>
      <c r="J2015" s="5"/>
    </row>
    <row r="2016" spans="5:10" x14ac:dyDescent="0.25">
      <c r="E2016" s="3"/>
      <c r="F2016" s="3"/>
      <c r="G2016" s="3"/>
      <c r="H2016" s="3"/>
      <c r="I2016" s="3"/>
      <c r="J2016" s="5"/>
    </row>
    <row r="2017" spans="5:10" x14ac:dyDescent="0.25">
      <c r="E2017" s="3"/>
      <c r="F2017" s="3"/>
      <c r="G2017" s="3"/>
      <c r="H2017" s="3"/>
      <c r="I2017" s="3"/>
      <c r="J2017" s="5"/>
    </row>
    <row r="2018" spans="5:10" x14ac:dyDescent="0.25">
      <c r="E2018" s="3"/>
      <c r="F2018" s="3"/>
      <c r="G2018" s="3"/>
      <c r="H2018" s="3"/>
      <c r="I2018" s="3"/>
      <c r="J2018" s="5"/>
    </row>
    <row r="2019" spans="5:10" x14ac:dyDescent="0.25">
      <c r="E2019" s="3"/>
      <c r="F2019" s="3"/>
      <c r="G2019" s="3"/>
      <c r="H2019" s="3"/>
      <c r="I2019" s="3"/>
      <c r="J2019" s="5"/>
    </row>
    <row r="2020" spans="5:10" x14ac:dyDescent="0.25">
      <c r="E2020" s="3"/>
      <c r="F2020" s="3"/>
      <c r="G2020" s="3"/>
      <c r="H2020" s="3"/>
      <c r="I2020" s="3"/>
      <c r="J2020" s="5"/>
    </row>
    <row r="2021" spans="5:10" x14ac:dyDescent="0.25">
      <c r="E2021" s="3"/>
      <c r="F2021" s="3"/>
      <c r="G2021" s="3"/>
      <c r="H2021" s="3"/>
      <c r="I2021" s="3"/>
      <c r="J2021" s="5"/>
    </row>
    <row r="2022" spans="5:10" x14ac:dyDescent="0.25">
      <c r="E2022" s="3"/>
      <c r="F2022" s="3"/>
      <c r="G2022" s="3"/>
      <c r="H2022" s="3"/>
      <c r="I2022" s="3"/>
      <c r="J2022" s="5"/>
    </row>
    <row r="2023" spans="5:10" x14ac:dyDescent="0.25">
      <c r="E2023" s="3"/>
      <c r="F2023" s="3"/>
      <c r="G2023" s="3"/>
      <c r="H2023" s="3"/>
      <c r="I2023" s="3"/>
      <c r="J2023" s="5"/>
    </row>
    <row r="2024" spans="5:10" x14ac:dyDescent="0.25">
      <c r="E2024" s="3"/>
      <c r="F2024" s="3"/>
      <c r="G2024" s="3"/>
      <c r="H2024" s="3"/>
      <c r="I2024" s="3"/>
      <c r="J2024" s="5"/>
    </row>
    <row r="2025" spans="5:10" x14ac:dyDescent="0.25">
      <c r="E2025" s="3"/>
      <c r="F2025" s="3"/>
      <c r="G2025" s="3"/>
      <c r="H2025" s="3"/>
      <c r="I2025" s="3"/>
      <c r="J2025" s="5"/>
    </row>
    <row r="2026" spans="5:10" x14ac:dyDescent="0.25">
      <c r="E2026" s="3"/>
      <c r="F2026" s="3"/>
      <c r="G2026" s="3"/>
      <c r="H2026" s="3"/>
      <c r="I2026" s="3"/>
      <c r="J2026" s="5"/>
    </row>
    <row r="2027" spans="5:10" x14ac:dyDescent="0.25">
      <c r="E2027" s="3"/>
      <c r="F2027" s="3"/>
      <c r="G2027" s="3"/>
      <c r="H2027" s="3"/>
      <c r="I2027" s="3"/>
      <c r="J2027" s="5"/>
    </row>
    <row r="2028" spans="5:10" x14ac:dyDescent="0.25">
      <c r="E2028" s="3"/>
      <c r="F2028" s="3"/>
      <c r="G2028" s="3"/>
      <c r="H2028" s="3"/>
      <c r="I2028" s="3"/>
      <c r="J2028" s="5"/>
    </row>
    <row r="2029" spans="5:10" x14ac:dyDescent="0.25">
      <c r="E2029" s="3"/>
      <c r="F2029" s="3"/>
      <c r="G2029" s="3"/>
      <c r="H2029" s="3"/>
      <c r="I2029" s="3"/>
      <c r="J2029" s="5"/>
    </row>
    <row r="2030" spans="5:10" x14ac:dyDescent="0.25">
      <c r="E2030" s="3"/>
      <c r="F2030" s="3"/>
      <c r="G2030" s="3"/>
      <c r="H2030" s="3"/>
      <c r="I2030" s="3"/>
      <c r="J2030" s="5"/>
    </row>
    <row r="2031" spans="5:10" x14ac:dyDescent="0.25">
      <c r="E2031" s="3"/>
      <c r="F2031" s="3"/>
      <c r="G2031" s="3"/>
      <c r="H2031" s="3"/>
      <c r="I2031" s="3"/>
      <c r="J2031" s="5"/>
    </row>
    <row r="2032" spans="5:10" x14ac:dyDescent="0.25">
      <c r="E2032" s="3"/>
      <c r="F2032" s="3"/>
      <c r="G2032" s="3"/>
      <c r="H2032" s="3"/>
      <c r="I2032" s="3"/>
      <c r="J2032" s="5"/>
    </row>
    <row r="2033" spans="5:10" x14ac:dyDescent="0.25">
      <c r="E2033" s="3"/>
      <c r="F2033" s="3"/>
      <c r="G2033" s="3"/>
      <c r="H2033" s="3"/>
      <c r="I2033" s="3"/>
      <c r="J2033" s="5"/>
    </row>
    <row r="2034" spans="5:10" x14ac:dyDescent="0.25">
      <c r="E2034" s="3"/>
      <c r="F2034" s="3"/>
      <c r="G2034" s="3"/>
      <c r="H2034" s="3"/>
      <c r="I2034" s="3"/>
      <c r="J2034" s="5"/>
    </row>
    <row r="2035" spans="5:10" x14ac:dyDescent="0.25">
      <c r="E2035" s="3"/>
      <c r="F2035" s="3"/>
      <c r="G2035" s="3"/>
      <c r="H2035" s="3"/>
      <c r="I2035" s="3"/>
      <c r="J2035" s="5"/>
    </row>
    <row r="2036" spans="5:10" x14ac:dyDescent="0.25">
      <c r="E2036" s="3"/>
      <c r="F2036" s="3"/>
      <c r="G2036" s="3"/>
      <c r="H2036" s="3"/>
      <c r="I2036" s="3"/>
      <c r="J2036" s="5"/>
    </row>
    <row r="2037" spans="5:10" x14ac:dyDescent="0.25">
      <c r="E2037" s="3"/>
      <c r="F2037" s="3"/>
      <c r="G2037" s="3"/>
      <c r="H2037" s="3"/>
      <c r="I2037" s="3"/>
      <c r="J2037" s="5"/>
    </row>
    <row r="2038" spans="5:10" x14ac:dyDescent="0.25">
      <c r="E2038" s="3"/>
      <c r="F2038" s="3"/>
      <c r="G2038" s="3"/>
      <c r="H2038" s="3"/>
      <c r="I2038" s="3"/>
      <c r="J2038" s="5"/>
    </row>
    <row r="2039" spans="5:10" x14ac:dyDescent="0.25">
      <c r="E2039" s="3"/>
      <c r="F2039" s="3"/>
      <c r="G2039" s="3"/>
      <c r="H2039" s="3"/>
      <c r="I2039" s="3"/>
      <c r="J2039" s="5"/>
    </row>
    <row r="2040" spans="5:10" x14ac:dyDescent="0.25">
      <c r="E2040" s="3"/>
      <c r="F2040" s="3"/>
      <c r="G2040" s="3"/>
      <c r="H2040" s="3"/>
      <c r="I2040" s="3"/>
      <c r="J2040" s="5"/>
    </row>
    <row r="2041" spans="5:10" x14ac:dyDescent="0.25">
      <c r="E2041" s="3"/>
      <c r="F2041" s="3"/>
      <c r="G2041" s="3"/>
      <c r="H2041" s="3"/>
      <c r="I2041" s="3"/>
      <c r="J2041" s="5"/>
    </row>
    <row r="2042" spans="5:10" x14ac:dyDescent="0.25">
      <c r="E2042" s="3"/>
      <c r="F2042" s="3"/>
      <c r="G2042" s="3"/>
      <c r="H2042" s="3"/>
      <c r="I2042" s="3"/>
      <c r="J2042" s="5"/>
    </row>
    <row r="2043" spans="5:10" x14ac:dyDescent="0.25">
      <c r="E2043" s="3"/>
      <c r="F2043" s="3"/>
      <c r="G2043" s="3"/>
      <c r="H2043" s="3"/>
      <c r="I2043" s="3"/>
      <c r="J2043" s="5"/>
    </row>
    <row r="2044" spans="5:10" x14ac:dyDescent="0.25">
      <c r="E2044" s="3"/>
      <c r="F2044" s="3"/>
      <c r="G2044" s="3"/>
      <c r="H2044" s="3"/>
      <c r="I2044" s="3"/>
      <c r="J2044" s="5"/>
    </row>
    <row r="2045" spans="5:10" x14ac:dyDescent="0.25">
      <c r="E2045" s="3"/>
      <c r="F2045" s="3"/>
      <c r="G2045" s="3"/>
      <c r="H2045" s="3"/>
      <c r="I2045" s="3"/>
      <c r="J2045" s="5"/>
    </row>
    <row r="2046" spans="5:10" x14ac:dyDescent="0.25">
      <c r="E2046" s="3"/>
      <c r="F2046" s="3"/>
      <c r="G2046" s="3"/>
      <c r="H2046" s="3"/>
      <c r="I2046" s="3"/>
      <c r="J2046" s="5"/>
    </row>
    <row r="2047" spans="5:10" x14ac:dyDescent="0.25">
      <c r="E2047" s="3"/>
      <c r="F2047" s="3"/>
      <c r="G2047" s="3"/>
      <c r="H2047" s="3"/>
      <c r="I2047" s="3"/>
      <c r="J2047" s="5"/>
    </row>
    <row r="2048" spans="5:10" x14ac:dyDescent="0.25">
      <c r="E2048" s="3"/>
      <c r="F2048" s="3"/>
      <c r="G2048" s="3"/>
      <c r="H2048" s="3"/>
      <c r="I2048" s="3"/>
      <c r="J2048" s="5"/>
    </row>
    <row r="2049" spans="5:10" x14ac:dyDescent="0.25">
      <c r="E2049" s="3"/>
      <c r="F2049" s="3"/>
      <c r="G2049" s="3"/>
      <c r="H2049" s="3"/>
      <c r="I2049" s="3"/>
      <c r="J2049" s="5"/>
    </row>
    <row r="2050" spans="5:10" x14ac:dyDescent="0.25">
      <c r="E2050" s="3"/>
      <c r="F2050" s="3"/>
      <c r="G2050" s="3"/>
      <c r="H2050" s="3"/>
      <c r="I2050" s="3"/>
      <c r="J2050" s="5"/>
    </row>
    <row r="2051" spans="5:10" x14ac:dyDescent="0.25">
      <c r="E2051" s="3"/>
      <c r="F2051" s="3"/>
      <c r="G2051" s="3"/>
      <c r="H2051" s="3"/>
      <c r="I2051" s="3"/>
      <c r="J2051" s="5"/>
    </row>
    <row r="2052" spans="5:10" x14ac:dyDescent="0.25">
      <c r="E2052" s="3"/>
      <c r="F2052" s="3"/>
      <c r="G2052" s="3"/>
      <c r="H2052" s="3"/>
      <c r="I2052" s="3"/>
      <c r="J2052" s="5"/>
    </row>
    <row r="2053" spans="5:10" x14ac:dyDescent="0.25">
      <c r="E2053" s="3"/>
      <c r="F2053" s="3"/>
      <c r="G2053" s="3"/>
      <c r="H2053" s="3"/>
      <c r="I2053" s="3"/>
      <c r="J2053" s="5"/>
    </row>
    <row r="2054" spans="5:10" x14ac:dyDescent="0.25">
      <c r="E2054" s="3"/>
      <c r="F2054" s="3"/>
      <c r="G2054" s="3"/>
      <c r="H2054" s="3"/>
      <c r="I2054" s="3"/>
      <c r="J2054" s="5"/>
    </row>
    <row r="2055" spans="5:10" x14ac:dyDescent="0.25">
      <c r="E2055" s="3"/>
      <c r="F2055" s="3"/>
      <c r="G2055" s="3"/>
      <c r="H2055" s="3"/>
      <c r="I2055" s="3"/>
      <c r="J2055" s="5"/>
    </row>
    <row r="2056" spans="5:10" x14ac:dyDescent="0.25">
      <c r="E2056" s="3"/>
      <c r="F2056" s="3"/>
      <c r="G2056" s="3"/>
      <c r="H2056" s="3"/>
      <c r="I2056" s="3"/>
      <c r="J2056" s="5"/>
    </row>
    <row r="2057" spans="5:10" x14ac:dyDescent="0.25">
      <c r="E2057" s="3"/>
      <c r="F2057" s="3"/>
      <c r="G2057" s="3"/>
      <c r="H2057" s="3"/>
      <c r="I2057" s="3"/>
      <c r="J2057" s="5"/>
    </row>
    <row r="2058" spans="5:10" x14ac:dyDescent="0.25">
      <c r="E2058" s="3"/>
      <c r="F2058" s="3"/>
      <c r="G2058" s="3"/>
      <c r="H2058" s="3"/>
      <c r="I2058" s="3"/>
      <c r="J2058" s="5"/>
    </row>
    <row r="2059" spans="5:10" x14ac:dyDescent="0.25">
      <c r="E2059" s="3"/>
      <c r="F2059" s="3"/>
      <c r="G2059" s="3"/>
      <c r="H2059" s="3"/>
      <c r="I2059" s="3"/>
      <c r="J2059" s="5"/>
    </row>
    <row r="2060" spans="5:10" x14ac:dyDescent="0.25">
      <c r="E2060" s="3"/>
      <c r="F2060" s="3"/>
      <c r="G2060" s="3"/>
      <c r="H2060" s="3"/>
      <c r="I2060" s="3"/>
      <c r="J2060" s="5"/>
    </row>
    <row r="2061" spans="5:10" x14ac:dyDescent="0.25">
      <c r="E2061" s="3"/>
      <c r="F2061" s="3"/>
      <c r="G2061" s="3"/>
      <c r="H2061" s="3"/>
      <c r="I2061" s="3"/>
      <c r="J2061" s="5"/>
    </row>
    <row r="2062" spans="5:10" x14ac:dyDescent="0.25">
      <c r="E2062" s="3"/>
      <c r="F2062" s="3"/>
      <c r="G2062" s="3"/>
      <c r="H2062" s="3"/>
      <c r="I2062" s="3"/>
      <c r="J2062" s="5"/>
    </row>
    <row r="2063" spans="5:10" x14ac:dyDescent="0.25">
      <c r="E2063" s="3"/>
      <c r="F2063" s="3"/>
      <c r="G2063" s="3"/>
      <c r="H2063" s="3"/>
      <c r="I2063" s="3"/>
      <c r="J2063" s="5"/>
    </row>
    <row r="2064" spans="5:10" x14ac:dyDescent="0.25">
      <c r="E2064" s="3"/>
      <c r="F2064" s="3"/>
      <c r="G2064" s="3"/>
      <c r="H2064" s="3"/>
      <c r="I2064" s="3"/>
      <c r="J2064" s="5"/>
    </row>
    <row r="2065" spans="5:10" x14ac:dyDescent="0.25">
      <c r="E2065" s="3"/>
      <c r="F2065" s="3"/>
      <c r="G2065" s="3"/>
      <c r="H2065" s="3"/>
      <c r="I2065" s="3"/>
      <c r="J2065" s="5"/>
    </row>
    <row r="2066" spans="5:10" x14ac:dyDescent="0.25">
      <c r="E2066" s="3"/>
      <c r="F2066" s="3"/>
      <c r="G2066" s="3"/>
      <c r="H2066" s="3"/>
      <c r="I2066" s="3"/>
      <c r="J2066" s="5"/>
    </row>
    <row r="2067" spans="5:10" x14ac:dyDescent="0.25">
      <c r="E2067" s="3"/>
      <c r="F2067" s="3"/>
      <c r="G2067" s="3"/>
      <c r="H2067" s="3"/>
      <c r="I2067" s="3"/>
      <c r="J2067" s="5"/>
    </row>
    <row r="2068" spans="5:10" x14ac:dyDescent="0.25">
      <c r="E2068" s="3"/>
      <c r="F2068" s="3"/>
      <c r="G2068" s="3"/>
      <c r="H2068" s="3"/>
      <c r="I2068" s="3"/>
      <c r="J2068" s="5"/>
    </row>
    <row r="2069" spans="5:10" x14ac:dyDescent="0.25">
      <c r="E2069" s="3"/>
      <c r="F2069" s="3"/>
      <c r="G2069" s="3"/>
      <c r="H2069" s="3"/>
      <c r="I2069" s="3"/>
      <c r="J2069" s="5"/>
    </row>
    <row r="2070" spans="5:10" x14ac:dyDescent="0.25">
      <c r="E2070" s="3"/>
      <c r="F2070" s="3"/>
      <c r="G2070" s="3"/>
      <c r="H2070" s="3"/>
      <c r="I2070" s="3"/>
      <c r="J2070" s="5"/>
    </row>
    <row r="2071" spans="5:10" x14ac:dyDescent="0.25">
      <c r="E2071" s="3"/>
      <c r="F2071" s="3"/>
      <c r="G2071" s="3"/>
      <c r="H2071" s="3"/>
      <c r="I2071" s="3"/>
      <c r="J2071" s="5"/>
    </row>
    <row r="2072" spans="5:10" x14ac:dyDescent="0.25">
      <c r="E2072" s="3"/>
      <c r="F2072" s="3"/>
      <c r="G2072" s="3"/>
      <c r="H2072" s="3"/>
      <c r="I2072" s="3"/>
      <c r="J2072" s="5"/>
    </row>
    <row r="2073" spans="5:10" x14ac:dyDescent="0.25">
      <c r="E2073" s="3"/>
      <c r="F2073" s="3"/>
      <c r="G2073" s="3"/>
      <c r="H2073" s="3"/>
      <c r="I2073" s="3"/>
      <c r="J2073" s="5"/>
    </row>
    <row r="2074" spans="5:10" x14ac:dyDescent="0.25">
      <c r="E2074" s="3"/>
      <c r="F2074" s="3"/>
      <c r="G2074" s="3"/>
      <c r="H2074" s="3"/>
      <c r="I2074" s="3"/>
      <c r="J2074" s="5"/>
    </row>
    <row r="2075" spans="5:10" x14ac:dyDescent="0.25">
      <c r="E2075" s="3"/>
      <c r="F2075" s="3"/>
      <c r="G2075" s="3"/>
      <c r="H2075" s="3"/>
      <c r="I2075" s="3"/>
      <c r="J2075" s="5"/>
    </row>
    <row r="2076" spans="5:10" x14ac:dyDescent="0.25">
      <c r="E2076" s="3"/>
      <c r="F2076" s="3"/>
      <c r="G2076" s="3"/>
      <c r="H2076" s="3"/>
      <c r="I2076" s="3"/>
      <c r="J2076" s="5"/>
    </row>
    <row r="2077" spans="5:10" x14ac:dyDescent="0.25">
      <c r="E2077" s="3"/>
      <c r="F2077" s="3"/>
      <c r="G2077" s="3"/>
      <c r="H2077" s="3"/>
      <c r="I2077" s="3"/>
      <c r="J2077" s="5"/>
    </row>
    <row r="2078" spans="5:10" x14ac:dyDescent="0.25">
      <c r="E2078" s="3"/>
      <c r="F2078" s="3"/>
      <c r="G2078" s="3"/>
      <c r="H2078" s="3"/>
      <c r="I2078" s="3"/>
      <c r="J2078" s="5"/>
    </row>
    <row r="2079" spans="5:10" x14ac:dyDescent="0.25">
      <c r="E2079" s="3"/>
      <c r="F2079" s="3"/>
      <c r="G2079" s="3"/>
      <c r="H2079" s="3"/>
      <c r="I2079" s="3"/>
      <c r="J2079" s="5"/>
    </row>
    <row r="2080" spans="5:10" x14ac:dyDescent="0.25">
      <c r="E2080" s="3"/>
      <c r="F2080" s="3"/>
      <c r="G2080" s="3"/>
      <c r="H2080" s="3"/>
      <c r="I2080" s="3"/>
      <c r="J2080" s="5"/>
    </row>
    <row r="2081" spans="5:10" x14ac:dyDescent="0.25">
      <c r="E2081" s="3"/>
      <c r="F2081" s="3"/>
      <c r="G2081" s="3"/>
      <c r="H2081" s="3"/>
      <c r="I2081" s="3"/>
      <c r="J2081" s="5"/>
    </row>
    <row r="2082" spans="5:10" x14ac:dyDescent="0.25">
      <c r="E2082" s="3"/>
      <c r="F2082" s="3"/>
      <c r="G2082" s="3"/>
      <c r="H2082" s="3"/>
      <c r="I2082" s="3"/>
      <c r="J2082" s="5"/>
    </row>
    <row r="2083" spans="5:10" x14ac:dyDescent="0.25">
      <c r="E2083" s="3"/>
      <c r="F2083" s="3"/>
      <c r="G2083" s="3"/>
      <c r="H2083" s="3"/>
      <c r="I2083" s="3"/>
      <c r="J2083" s="5"/>
    </row>
    <row r="2084" spans="5:10" x14ac:dyDescent="0.25">
      <c r="E2084" s="3"/>
      <c r="F2084" s="3"/>
      <c r="G2084" s="3"/>
      <c r="H2084" s="3"/>
      <c r="I2084" s="3"/>
      <c r="J2084" s="5"/>
    </row>
    <row r="2085" spans="5:10" x14ac:dyDescent="0.25">
      <c r="E2085" s="3"/>
      <c r="F2085" s="3"/>
      <c r="G2085" s="3"/>
      <c r="H2085" s="3"/>
      <c r="I2085" s="3"/>
      <c r="J2085" s="5"/>
    </row>
    <row r="2086" spans="5:10" x14ac:dyDescent="0.25">
      <c r="E2086" s="3"/>
      <c r="F2086" s="3"/>
      <c r="G2086" s="3"/>
      <c r="H2086" s="3"/>
      <c r="I2086" s="3"/>
      <c r="J2086" s="5"/>
    </row>
    <row r="2087" spans="5:10" x14ac:dyDescent="0.25">
      <c r="E2087" s="3"/>
      <c r="F2087" s="3"/>
      <c r="G2087" s="3"/>
      <c r="H2087" s="3"/>
      <c r="I2087" s="3"/>
      <c r="J2087" s="5"/>
    </row>
    <row r="2088" spans="5:10" x14ac:dyDescent="0.25">
      <c r="E2088" s="3"/>
      <c r="F2088" s="3"/>
      <c r="G2088" s="3"/>
      <c r="H2088" s="3"/>
      <c r="I2088" s="3"/>
      <c r="J2088" s="5"/>
    </row>
    <row r="2089" spans="5:10" x14ac:dyDescent="0.25">
      <c r="E2089" s="3"/>
      <c r="F2089" s="3"/>
      <c r="G2089" s="3"/>
      <c r="H2089" s="3"/>
      <c r="I2089" s="3"/>
      <c r="J2089" s="5"/>
    </row>
    <row r="2090" spans="5:10" x14ac:dyDescent="0.25">
      <c r="E2090" s="3"/>
      <c r="F2090" s="3"/>
      <c r="G2090" s="3"/>
      <c r="H2090" s="3"/>
      <c r="I2090" s="3"/>
      <c r="J2090" s="5"/>
    </row>
    <row r="2091" spans="5:10" x14ac:dyDescent="0.25">
      <c r="E2091" s="3"/>
      <c r="F2091" s="3"/>
      <c r="G2091" s="3"/>
      <c r="H2091" s="3"/>
      <c r="I2091" s="3"/>
      <c r="J2091" s="5"/>
    </row>
    <row r="2092" spans="5:10" x14ac:dyDescent="0.25">
      <c r="E2092" s="3"/>
      <c r="F2092" s="3"/>
      <c r="G2092" s="3"/>
      <c r="H2092" s="3"/>
      <c r="I2092" s="3"/>
      <c r="J2092" s="5"/>
    </row>
    <row r="2093" spans="5:10" x14ac:dyDescent="0.25">
      <c r="E2093" s="3"/>
      <c r="F2093" s="3"/>
      <c r="G2093" s="3"/>
      <c r="H2093" s="3"/>
      <c r="I2093" s="3"/>
      <c r="J2093" s="5"/>
    </row>
    <row r="2094" spans="5:10" x14ac:dyDescent="0.25">
      <c r="E2094" s="3"/>
      <c r="F2094" s="3"/>
      <c r="G2094" s="3"/>
      <c r="H2094" s="3"/>
      <c r="I2094" s="3"/>
      <c r="J2094" s="5"/>
    </row>
    <row r="2095" spans="5:10" x14ac:dyDescent="0.25">
      <c r="E2095" s="3"/>
      <c r="F2095" s="3"/>
      <c r="G2095" s="3"/>
      <c r="H2095" s="3"/>
      <c r="I2095" s="3"/>
      <c r="J2095" s="5"/>
    </row>
    <row r="2096" spans="5:10" x14ac:dyDescent="0.25">
      <c r="E2096" s="3"/>
      <c r="F2096" s="3"/>
      <c r="G2096" s="3"/>
      <c r="H2096" s="3"/>
      <c r="I2096" s="3"/>
      <c r="J2096" s="5"/>
    </row>
    <row r="2097" spans="5:10" x14ac:dyDescent="0.25">
      <c r="E2097" s="3"/>
      <c r="F2097" s="3"/>
      <c r="G2097" s="3"/>
      <c r="H2097" s="3"/>
      <c r="I2097" s="3"/>
      <c r="J2097" s="5"/>
    </row>
    <row r="2098" spans="5:10" x14ac:dyDescent="0.25">
      <c r="E2098" s="3"/>
      <c r="F2098" s="3"/>
      <c r="G2098" s="3"/>
      <c r="H2098" s="3"/>
      <c r="I2098" s="3"/>
      <c r="J2098" s="5"/>
    </row>
    <row r="2099" spans="5:10" x14ac:dyDescent="0.25">
      <c r="E2099" s="3"/>
      <c r="F2099" s="3"/>
      <c r="G2099" s="3"/>
      <c r="H2099" s="3"/>
      <c r="I2099" s="3"/>
      <c r="J2099" s="5"/>
    </row>
    <row r="2100" spans="5:10" x14ac:dyDescent="0.25">
      <c r="E2100" s="3"/>
      <c r="F2100" s="3"/>
      <c r="G2100" s="3"/>
      <c r="H2100" s="3"/>
      <c r="I2100" s="3"/>
      <c r="J2100" s="5"/>
    </row>
    <row r="2101" spans="5:10" x14ac:dyDescent="0.25">
      <c r="E2101" s="3"/>
      <c r="F2101" s="3"/>
      <c r="G2101" s="3"/>
      <c r="H2101" s="3"/>
      <c r="I2101" s="3"/>
      <c r="J2101" s="5"/>
    </row>
    <row r="2102" spans="5:10" x14ac:dyDescent="0.25">
      <c r="E2102" s="3"/>
      <c r="F2102" s="3"/>
      <c r="G2102" s="3"/>
      <c r="H2102" s="3"/>
      <c r="I2102" s="3"/>
      <c r="J2102" s="5"/>
    </row>
    <row r="2103" spans="5:10" x14ac:dyDescent="0.25">
      <c r="E2103" s="3"/>
      <c r="F2103" s="3"/>
      <c r="G2103" s="3"/>
      <c r="H2103" s="3"/>
      <c r="I2103" s="3"/>
      <c r="J2103" s="5"/>
    </row>
    <row r="2104" spans="5:10" x14ac:dyDescent="0.25">
      <c r="E2104" s="3"/>
      <c r="F2104" s="3"/>
      <c r="G2104" s="3"/>
      <c r="H2104" s="3"/>
      <c r="I2104" s="3"/>
      <c r="J2104" s="5"/>
    </row>
    <row r="2105" spans="5:10" x14ac:dyDescent="0.25">
      <c r="E2105" s="3"/>
      <c r="F2105" s="3"/>
      <c r="G2105" s="3"/>
      <c r="H2105" s="3"/>
      <c r="I2105" s="3"/>
      <c r="J2105" s="5"/>
    </row>
    <row r="2106" spans="5:10" x14ac:dyDescent="0.25">
      <c r="E2106" s="3"/>
      <c r="F2106" s="3"/>
      <c r="G2106" s="3"/>
      <c r="H2106" s="3"/>
      <c r="I2106" s="3"/>
      <c r="J2106" s="5"/>
    </row>
    <row r="2107" spans="5:10" x14ac:dyDescent="0.25">
      <c r="E2107" s="3"/>
      <c r="F2107" s="3"/>
      <c r="G2107" s="3"/>
      <c r="H2107" s="3"/>
      <c r="I2107" s="3"/>
      <c r="J2107" s="5"/>
    </row>
    <row r="2108" spans="5:10" x14ac:dyDescent="0.25">
      <c r="E2108" s="3"/>
      <c r="F2108" s="3"/>
      <c r="G2108" s="3"/>
      <c r="H2108" s="3"/>
      <c r="I2108" s="3"/>
      <c r="J2108" s="5"/>
    </row>
    <row r="2109" spans="5:10" x14ac:dyDescent="0.25">
      <c r="E2109" s="3"/>
      <c r="F2109" s="3"/>
      <c r="G2109" s="3"/>
      <c r="H2109" s="3"/>
      <c r="I2109" s="3"/>
      <c r="J2109" s="5"/>
    </row>
    <row r="2110" spans="5:10" x14ac:dyDescent="0.25">
      <c r="E2110" s="3"/>
      <c r="F2110" s="3"/>
      <c r="G2110" s="3"/>
      <c r="H2110" s="3"/>
      <c r="I2110" s="3"/>
      <c r="J2110" s="5"/>
    </row>
    <row r="2111" spans="5:10" x14ac:dyDescent="0.25">
      <c r="E2111" s="3"/>
      <c r="F2111" s="3"/>
      <c r="G2111" s="3"/>
      <c r="H2111" s="3"/>
      <c r="I2111" s="3"/>
      <c r="J2111" s="5"/>
    </row>
    <row r="2112" spans="5:10" x14ac:dyDescent="0.25">
      <c r="E2112" s="3"/>
      <c r="F2112" s="3"/>
      <c r="G2112" s="3"/>
      <c r="H2112" s="3"/>
      <c r="I2112" s="3"/>
      <c r="J2112" s="5"/>
    </row>
    <row r="2113" spans="5:10" x14ac:dyDescent="0.25">
      <c r="E2113" s="3"/>
      <c r="F2113" s="3"/>
      <c r="G2113" s="3"/>
      <c r="H2113" s="3"/>
      <c r="I2113" s="3"/>
      <c r="J2113" s="5"/>
    </row>
    <row r="2114" spans="5:10" x14ac:dyDescent="0.25">
      <c r="E2114" s="3"/>
      <c r="F2114" s="3"/>
      <c r="G2114" s="3"/>
      <c r="H2114" s="3"/>
      <c r="I2114" s="3"/>
      <c r="J2114" s="5"/>
    </row>
    <row r="2115" spans="5:10" x14ac:dyDescent="0.25">
      <c r="E2115" s="3"/>
      <c r="F2115" s="3"/>
      <c r="G2115" s="3"/>
      <c r="H2115" s="3"/>
      <c r="I2115" s="3"/>
      <c r="J2115" s="5"/>
    </row>
    <row r="2116" spans="5:10" x14ac:dyDescent="0.25">
      <c r="E2116" s="3"/>
      <c r="F2116" s="3"/>
      <c r="G2116" s="3"/>
      <c r="H2116" s="3"/>
      <c r="I2116" s="3"/>
      <c r="J2116" s="5"/>
    </row>
    <row r="2117" spans="5:10" x14ac:dyDescent="0.25">
      <c r="E2117" s="3"/>
      <c r="F2117" s="3"/>
      <c r="G2117" s="3"/>
      <c r="H2117" s="3"/>
      <c r="I2117" s="3"/>
      <c r="J2117" s="5"/>
    </row>
    <row r="2118" spans="5:10" x14ac:dyDescent="0.25">
      <c r="E2118" s="3"/>
      <c r="F2118" s="3"/>
      <c r="G2118" s="3"/>
      <c r="H2118" s="3"/>
      <c r="I2118" s="3"/>
      <c r="J2118" s="5"/>
    </row>
    <row r="2119" spans="5:10" x14ac:dyDescent="0.25">
      <c r="E2119" s="3"/>
      <c r="F2119" s="3"/>
      <c r="G2119" s="3"/>
      <c r="H2119" s="3"/>
      <c r="I2119" s="3"/>
      <c r="J2119" s="5"/>
    </row>
    <row r="2120" spans="5:10" x14ac:dyDescent="0.25">
      <c r="E2120" s="3"/>
      <c r="F2120" s="3"/>
      <c r="G2120" s="3"/>
      <c r="H2120" s="3"/>
      <c r="I2120" s="3"/>
      <c r="J2120" s="5"/>
    </row>
    <row r="2121" spans="5:10" x14ac:dyDescent="0.25">
      <c r="E2121" s="3"/>
      <c r="F2121" s="3"/>
      <c r="G2121" s="3"/>
      <c r="H2121" s="3"/>
      <c r="I2121" s="3"/>
      <c r="J2121" s="5"/>
    </row>
    <row r="2122" spans="5:10" x14ac:dyDescent="0.25">
      <c r="E2122" s="3"/>
      <c r="F2122" s="3"/>
      <c r="G2122" s="3"/>
      <c r="H2122" s="3"/>
      <c r="I2122" s="3"/>
      <c r="J2122" s="5"/>
    </row>
    <row r="2123" spans="5:10" x14ac:dyDescent="0.25">
      <c r="E2123" s="3"/>
      <c r="F2123" s="3"/>
      <c r="G2123" s="3"/>
      <c r="H2123" s="3"/>
      <c r="I2123" s="3"/>
      <c r="J2123" s="5"/>
    </row>
    <row r="2124" spans="5:10" x14ac:dyDescent="0.25">
      <c r="E2124" s="3"/>
      <c r="F2124" s="3"/>
      <c r="G2124" s="3"/>
      <c r="H2124" s="3"/>
      <c r="I2124" s="3"/>
      <c r="J2124" s="5"/>
    </row>
    <row r="2125" spans="5:10" x14ac:dyDescent="0.25">
      <c r="E2125" s="3"/>
      <c r="F2125" s="3"/>
      <c r="G2125" s="3"/>
      <c r="H2125" s="3"/>
      <c r="I2125" s="3"/>
      <c r="J2125" s="5"/>
    </row>
    <row r="2126" spans="5:10" x14ac:dyDescent="0.25">
      <c r="E2126" s="3"/>
      <c r="F2126" s="3"/>
      <c r="G2126" s="3"/>
      <c r="H2126" s="3"/>
      <c r="I2126" s="3"/>
      <c r="J2126" s="5"/>
    </row>
    <row r="2127" spans="5:10" x14ac:dyDescent="0.25">
      <c r="E2127" s="3"/>
      <c r="F2127" s="3"/>
      <c r="G2127" s="3"/>
      <c r="H2127" s="3"/>
      <c r="I2127" s="3"/>
      <c r="J2127" s="5"/>
    </row>
    <row r="2128" spans="5:10" x14ac:dyDescent="0.25">
      <c r="E2128" s="3"/>
      <c r="F2128" s="3"/>
      <c r="G2128" s="3"/>
      <c r="H2128" s="3"/>
      <c r="I2128" s="3"/>
      <c r="J2128" s="5"/>
    </row>
    <row r="2129" spans="5:10" x14ac:dyDescent="0.25">
      <c r="E2129" s="3"/>
      <c r="F2129" s="3"/>
      <c r="G2129" s="3"/>
      <c r="H2129" s="3"/>
      <c r="I2129" s="3"/>
      <c r="J2129" s="5"/>
    </row>
    <row r="2130" spans="5:10" x14ac:dyDescent="0.25">
      <c r="E2130" s="3"/>
      <c r="F2130" s="3"/>
      <c r="G2130" s="3"/>
      <c r="H2130" s="3"/>
      <c r="I2130" s="3"/>
      <c r="J2130" s="5"/>
    </row>
    <row r="2131" spans="5:10" x14ac:dyDescent="0.25">
      <c r="E2131" s="3"/>
      <c r="F2131" s="3"/>
      <c r="G2131" s="3"/>
      <c r="H2131" s="3"/>
      <c r="I2131" s="3"/>
      <c r="J2131" s="5"/>
    </row>
    <row r="2132" spans="5:10" x14ac:dyDescent="0.25">
      <c r="E2132" s="3"/>
      <c r="F2132" s="3"/>
      <c r="G2132" s="3"/>
      <c r="H2132" s="3"/>
      <c r="I2132" s="3"/>
      <c r="J2132" s="5"/>
    </row>
    <row r="2133" spans="5:10" x14ac:dyDescent="0.25">
      <c r="E2133" s="3"/>
      <c r="F2133" s="3"/>
      <c r="G2133" s="3"/>
      <c r="H2133" s="3"/>
      <c r="I2133" s="3"/>
      <c r="J2133" s="5"/>
    </row>
    <row r="2134" spans="5:10" x14ac:dyDescent="0.25">
      <c r="E2134" s="3"/>
      <c r="F2134" s="3"/>
      <c r="G2134" s="3"/>
      <c r="H2134" s="3"/>
      <c r="I2134" s="3"/>
      <c r="J2134" s="5"/>
    </row>
    <row r="2135" spans="5:10" x14ac:dyDescent="0.25">
      <c r="E2135" s="3"/>
      <c r="F2135" s="3"/>
      <c r="G2135" s="3"/>
      <c r="H2135" s="3"/>
      <c r="I2135" s="3"/>
      <c r="J2135" s="5"/>
    </row>
    <row r="2136" spans="5:10" x14ac:dyDescent="0.25">
      <c r="E2136" s="3"/>
      <c r="F2136" s="3"/>
      <c r="G2136" s="3"/>
      <c r="H2136" s="3"/>
      <c r="I2136" s="3"/>
      <c r="J2136" s="5"/>
    </row>
    <row r="2137" spans="5:10" x14ac:dyDescent="0.25">
      <c r="E2137" s="3"/>
      <c r="F2137" s="3"/>
      <c r="G2137" s="3"/>
      <c r="H2137" s="3"/>
      <c r="I2137" s="3"/>
      <c r="J2137" s="5"/>
    </row>
    <row r="2138" spans="5:10" x14ac:dyDescent="0.25">
      <c r="E2138" s="3"/>
      <c r="F2138" s="3"/>
      <c r="G2138" s="3"/>
      <c r="H2138" s="3"/>
      <c r="I2138" s="3"/>
      <c r="J2138" s="5"/>
    </row>
    <row r="2139" spans="5:10" x14ac:dyDescent="0.25">
      <c r="E2139" s="3"/>
      <c r="F2139" s="3"/>
      <c r="G2139" s="3"/>
      <c r="H2139" s="3"/>
      <c r="I2139" s="3"/>
      <c r="J2139" s="5"/>
    </row>
    <row r="2140" spans="5:10" x14ac:dyDescent="0.25">
      <c r="E2140" s="3"/>
      <c r="F2140" s="3"/>
      <c r="G2140" s="3"/>
      <c r="H2140" s="3"/>
      <c r="I2140" s="3"/>
      <c r="J2140" s="5"/>
    </row>
    <row r="2141" spans="5:10" x14ac:dyDescent="0.25">
      <c r="E2141" s="3"/>
      <c r="F2141" s="3"/>
      <c r="G2141" s="3"/>
      <c r="H2141" s="3"/>
      <c r="I2141" s="3"/>
      <c r="J2141" s="5"/>
    </row>
    <row r="2142" spans="5:10" x14ac:dyDescent="0.25">
      <c r="E2142" s="3"/>
      <c r="F2142" s="3"/>
      <c r="G2142" s="3"/>
      <c r="H2142" s="3"/>
      <c r="I2142" s="3"/>
      <c r="J2142" s="5"/>
    </row>
    <row r="2143" spans="5:10" x14ac:dyDescent="0.25">
      <c r="E2143" s="3"/>
      <c r="F2143" s="3"/>
      <c r="G2143" s="3"/>
      <c r="H2143" s="3"/>
      <c r="I2143" s="3"/>
      <c r="J2143" s="5"/>
    </row>
    <row r="2144" spans="5:10" x14ac:dyDescent="0.25">
      <c r="E2144" s="3"/>
      <c r="F2144" s="3"/>
      <c r="G2144" s="3"/>
      <c r="H2144" s="3"/>
      <c r="I2144" s="3"/>
      <c r="J2144" s="5"/>
    </row>
    <row r="2145" spans="5:10" x14ac:dyDescent="0.25">
      <c r="E2145" s="3"/>
      <c r="F2145" s="3"/>
      <c r="G2145" s="3"/>
      <c r="H2145" s="3"/>
      <c r="I2145" s="3"/>
      <c r="J2145" s="5"/>
    </row>
    <row r="2146" spans="5:10" x14ac:dyDescent="0.25">
      <c r="E2146" s="3"/>
      <c r="F2146" s="3"/>
      <c r="G2146" s="3"/>
      <c r="H2146" s="3"/>
      <c r="I2146" s="3"/>
      <c r="J2146" s="5"/>
    </row>
    <row r="2147" spans="5:10" x14ac:dyDescent="0.25">
      <c r="E2147" s="3"/>
      <c r="F2147" s="3"/>
      <c r="G2147" s="3"/>
      <c r="H2147" s="3"/>
      <c r="I2147" s="3"/>
      <c r="J2147" s="5"/>
    </row>
    <row r="2148" spans="5:10" x14ac:dyDescent="0.25">
      <c r="E2148" s="3"/>
      <c r="F2148" s="3"/>
      <c r="G2148" s="3"/>
      <c r="H2148" s="3"/>
      <c r="I2148" s="3"/>
      <c r="J2148" s="5"/>
    </row>
    <row r="2149" spans="5:10" x14ac:dyDescent="0.25">
      <c r="E2149" s="3"/>
      <c r="F2149" s="3"/>
      <c r="G2149" s="3"/>
      <c r="H2149" s="3"/>
      <c r="I2149" s="3"/>
      <c r="J2149" s="5"/>
    </row>
    <row r="2150" spans="5:10" x14ac:dyDescent="0.25">
      <c r="E2150" s="3"/>
      <c r="F2150" s="3"/>
      <c r="G2150" s="3"/>
      <c r="H2150" s="3"/>
      <c r="I2150" s="3"/>
      <c r="J2150" s="5"/>
    </row>
    <row r="2151" spans="5:10" x14ac:dyDescent="0.25">
      <c r="E2151" s="3"/>
      <c r="F2151" s="3"/>
      <c r="G2151" s="3"/>
      <c r="H2151" s="3"/>
      <c r="I2151" s="3"/>
      <c r="J2151" s="5"/>
    </row>
    <row r="2152" spans="5:10" x14ac:dyDescent="0.25">
      <c r="E2152" s="3"/>
      <c r="F2152" s="3"/>
      <c r="G2152" s="3"/>
      <c r="H2152" s="3"/>
      <c r="I2152" s="3"/>
      <c r="J2152" s="5"/>
    </row>
    <row r="2153" spans="5:10" x14ac:dyDescent="0.25">
      <c r="E2153" s="3"/>
      <c r="F2153" s="3"/>
      <c r="G2153" s="3"/>
      <c r="H2153" s="3"/>
      <c r="I2153" s="3"/>
      <c r="J2153" s="5"/>
    </row>
    <row r="2154" spans="5:10" x14ac:dyDescent="0.25">
      <c r="E2154" s="3"/>
      <c r="F2154" s="3"/>
      <c r="G2154" s="3"/>
      <c r="H2154" s="3"/>
      <c r="I2154" s="3"/>
      <c r="J2154" s="5"/>
    </row>
    <row r="2155" spans="5:10" x14ac:dyDescent="0.25">
      <c r="E2155" s="3"/>
      <c r="F2155" s="3"/>
      <c r="G2155" s="3"/>
      <c r="H2155" s="3"/>
      <c r="I2155" s="3"/>
      <c r="J2155" s="5"/>
    </row>
    <row r="2156" spans="5:10" x14ac:dyDescent="0.25">
      <c r="E2156" s="3"/>
      <c r="F2156" s="3"/>
      <c r="G2156" s="3"/>
      <c r="H2156" s="3"/>
      <c r="I2156" s="3"/>
      <c r="J2156" s="5"/>
    </row>
    <row r="2157" spans="5:10" x14ac:dyDescent="0.25">
      <c r="E2157" s="3"/>
      <c r="F2157" s="3"/>
      <c r="G2157" s="3"/>
      <c r="H2157" s="3"/>
      <c r="I2157" s="3"/>
      <c r="J2157" s="5"/>
    </row>
    <row r="2158" spans="5:10" x14ac:dyDescent="0.25">
      <c r="E2158" s="3"/>
      <c r="F2158" s="3"/>
      <c r="G2158" s="3"/>
      <c r="H2158" s="3"/>
      <c r="I2158" s="3"/>
      <c r="J2158" s="5"/>
    </row>
    <row r="2159" spans="5:10" x14ac:dyDescent="0.25">
      <c r="E2159" s="3"/>
      <c r="F2159" s="3"/>
      <c r="G2159" s="3"/>
      <c r="H2159" s="3"/>
      <c r="I2159" s="3"/>
      <c r="J2159" s="5"/>
    </row>
    <row r="2160" spans="5:10" x14ac:dyDescent="0.25">
      <c r="E2160" s="3"/>
      <c r="F2160" s="3"/>
      <c r="G2160" s="3"/>
      <c r="H2160" s="3"/>
      <c r="I2160" s="3"/>
      <c r="J2160" s="5"/>
    </row>
    <row r="2161" spans="5:10" x14ac:dyDescent="0.25">
      <c r="E2161" s="3"/>
      <c r="F2161" s="3"/>
      <c r="G2161" s="3"/>
      <c r="H2161" s="3"/>
      <c r="I2161" s="3"/>
      <c r="J2161" s="5"/>
    </row>
    <row r="2162" spans="5:10" x14ac:dyDescent="0.25">
      <c r="E2162" s="3"/>
      <c r="F2162" s="3"/>
      <c r="G2162" s="3"/>
      <c r="H2162" s="3"/>
      <c r="I2162" s="3"/>
      <c r="J2162" s="5"/>
    </row>
    <row r="2163" spans="5:10" x14ac:dyDescent="0.25">
      <c r="E2163" s="3"/>
      <c r="F2163" s="3"/>
      <c r="G2163" s="3"/>
      <c r="H2163" s="3"/>
      <c r="I2163" s="3"/>
      <c r="J2163" s="5"/>
    </row>
    <row r="2164" spans="5:10" x14ac:dyDescent="0.25">
      <c r="E2164" s="3"/>
      <c r="F2164" s="3"/>
      <c r="G2164" s="3"/>
      <c r="H2164" s="3"/>
      <c r="I2164" s="3"/>
      <c r="J2164" s="5"/>
    </row>
    <row r="2165" spans="5:10" x14ac:dyDescent="0.25">
      <c r="E2165" s="3"/>
      <c r="F2165" s="3"/>
      <c r="G2165" s="3"/>
      <c r="H2165" s="3"/>
      <c r="I2165" s="3"/>
      <c r="J2165" s="5"/>
    </row>
    <row r="2166" spans="5:10" x14ac:dyDescent="0.25">
      <c r="E2166" s="3"/>
      <c r="F2166" s="3"/>
      <c r="G2166" s="3"/>
      <c r="H2166" s="3"/>
      <c r="I2166" s="3"/>
      <c r="J2166" s="5"/>
    </row>
    <row r="2167" spans="5:10" x14ac:dyDescent="0.25">
      <c r="E2167" s="3"/>
      <c r="F2167" s="3"/>
      <c r="G2167" s="3"/>
      <c r="H2167" s="3"/>
      <c r="I2167" s="3"/>
      <c r="J2167" s="5"/>
    </row>
    <row r="2168" spans="5:10" x14ac:dyDescent="0.25">
      <c r="E2168" s="3"/>
      <c r="F2168" s="3"/>
      <c r="G2168" s="3"/>
      <c r="H2168" s="3"/>
      <c r="I2168" s="3"/>
      <c r="J2168" s="5"/>
    </row>
    <row r="2169" spans="5:10" x14ac:dyDescent="0.25">
      <c r="E2169" s="3"/>
      <c r="F2169" s="3"/>
      <c r="G2169" s="3"/>
      <c r="H2169" s="3"/>
      <c r="I2169" s="3"/>
      <c r="J2169" s="5"/>
    </row>
    <row r="2170" spans="5:10" x14ac:dyDescent="0.25">
      <c r="E2170" s="3"/>
      <c r="F2170" s="3"/>
      <c r="G2170" s="3"/>
      <c r="H2170" s="3"/>
      <c r="I2170" s="3"/>
      <c r="J2170" s="5"/>
    </row>
    <row r="2171" spans="5:10" x14ac:dyDescent="0.25">
      <c r="E2171" s="3"/>
      <c r="F2171" s="3"/>
      <c r="G2171" s="3"/>
      <c r="H2171" s="3"/>
      <c r="I2171" s="3"/>
      <c r="J2171" s="5"/>
    </row>
    <row r="2172" spans="5:10" x14ac:dyDescent="0.25">
      <c r="E2172" s="3"/>
      <c r="F2172" s="3"/>
      <c r="G2172" s="3"/>
      <c r="H2172" s="3"/>
      <c r="I2172" s="3"/>
      <c r="J2172" s="5"/>
    </row>
    <row r="2173" spans="5:10" x14ac:dyDescent="0.25">
      <c r="E2173" s="3"/>
      <c r="F2173" s="3"/>
      <c r="G2173" s="3"/>
      <c r="H2173" s="3"/>
      <c r="I2173" s="3"/>
      <c r="J2173" s="5"/>
    </row>
    <row r="2174" spans="5:10" x14ac:dyDescent="0.25">
      <c r="E2174" s="3"/>
      <c r="F2174" s="3"/>
      <c r="G2174" s="3"/>
      <c r="H2174" s="3"/>
      <c r="I2174" s="3"/>
      <c r="J2174" s="5"/>
    </row>
    <row r="2175" spans="5:10" x14ac:dyDescent="0.25">
      <c r="E2175" s="3"/>
      <c r="F2175" s="3"/>
      <c r="G2175" s="3"/>
      <c r="H2175" s="3"/>
      <c r="I2175" s="3"/>
      <c r="J2175" s="5"/>
    </row>
    <row r="2176" spans="5:10" x14ac:dyDescent="0.25">
      <c r="E2176" s="3"/>
      <c r="F2176" s="3"/>
      <c r="G2176" s="3"/>
      <c r="H2176" s="3"/>
      <c r="I2176" s="3"/>
      <c r="J2176" s="5"/>
    </row>
    <row r="2177" spans="5:10" x14ac:dyDescent="0.25">
      <c r="E2177" s="3"/>
      <c r="F2177" s="3"/>
      <c r="G2177" s="3"/>
      <c r="H2177" s="3"/>
      <c r="I2177" s="3"/>
      <c r="J2177" s="5"/>
    </row>
    <row r="2178" spans="5:10" x14ac:dyDescent="0.25">
      <c r="E2178" s="3"/>
      <c r="F2178" s="3"/>
      <c r="G2178" s="3"/>
      <c r="H2178" s="3"/>
      <c r="I2178" s="3"/>
      <c r="J2178" s="5"/>
    </row>
    <row r="2179" spans="5:10" x14ac:dyDescent="0.25">
      <c r="E2179" s="3"/>
      <c r="F2179" s="3"/>
      <c r="G2179" s="3"/>
      <c r="H2179" s="3"/>
      <c r="I2179" s="3"/>
      <c r="J2179" s="5"/>
    </row>
    <row r="2180" spans="5:10" x14ac:dyDescent="0.25">
      <c r="E2180" s="3"/>
      <c r="F2180" s="3"/>
      <c r="G2180" s="3"/>
      <c r="H2180" s="3"/>
      <c r="I2180" s="3"/>
      <c r="J2180" s="5"/>
    </row>
    <row r="2181" spans="5:10" x14ac:dyDescent="0.25">
      <c r="E2181" s="3"/>
      <c r="F2181" s="3"/>
      <c r="G2181" s="3"/>
      <c r="H2181" s="3"/>
      <c r="I2181" s="3"/>
      <c r="J2181" s="5"/>
    </row>
    <row r="2182" spans="5:10" x14ac:dyDescent="0.25">
      <c r="E2182" s="3"/>
      <c r="F2182" s="3"/>
      <c r="G2182" s="3"/>
      <c r="H2182" s="3"/>
      <c r="I2182" s="3"/>
      <c r="J2182" s="5"/>
    </row>
    <row r="2183" spans="5:10" x14ac:dyDescent="0.25">
      <c r="E2183" s="3"/>
      <c r="F2183" s="3"/>
      <c r="G2183" s="3"/>
      <c r="H2183" s="3"/>
      <c r="I2183" s="3"/>
      <c r="J2183" s="5"/>
    </row>
    <row r="2184" spans="5:10" x14ac:dyDescent="0.25">
      <c r="E2184" s="3"/>
      <c r="F2184" s="3"/>
      <c r="G2184" s="3"/>
      <c r="H2184" s="3"/>
      <c r="I2184" s="3"/>
      <c r="J2184" s="5"/>
    </row>
    <row r="2185" spans="5:10" x14ac:dyDescent="0.25">
      <c r="E2185" s="3"/>
      <c r="F2185" s="3"/>
      <c r="G2185" s="3"/>
      <c r="H2185" s="3"/>
      <c r="I2185" s="3"/>
      <c r="J2185" s="5"/>
    </row>
    <row r="2186" spans="5:10" x14ac:dyDescent="0.25">
      <c r="E2186" s="3"/>
      <c r="F2186" s="3"/>
      <c r="G2186" s="3"/>
      <c r="H2186" s="3"/>
      <c r="I2186" s="3"/>
      <c r="J2186" s="5"/>
    </row>
    <row r="2187" spans="5:10" x14ac:dyDescent="0.25">
      <c r="E2187" s="3"/>
      <c r="F2187" s="3"/>
      <c r="G2187" s="3"/>
      <c r="H2187" s="3"/>
      <c r="I2187" s="3"/>
      <c r="J2187" s="5"/>
    </row>
    <row r="2188" spans="5:10" x14ac:dyDescent="0.25">
      <c r="E2188" s="3"/>
      <c r="F2188" s="3"/>
      <c r="G2188" s="3"/>
      <c r="H2188" s="3"/>
      <c r="I2188" s="3"/>
      <c r="J2188" s="5"/>
    </row>
    <row r="2189" spans="5:10" x14ac:dyDescent="0.25">
      <c r="E2189" s="3"/>
      <c r="F2189" s="3"/>
      <c r="G2189" s="3"/>
      <c r="H2189" s="3"/>
      <c r="I2189" s="3"/>
      <c r="J2189" s="5"/>
    </row>
    <row r="2190" spans="5:10" x14ac:dyDescent="0.25">
      <c r="E2190" s="3"/>
      <c r="F2190" s="3"/>
      <c r="G2190" s="3"/>
      <c r="H2190" s="3"/>
      <c r="I2190" s="3"/>
      <c r="J2190" s="5"/>
    </row>
    <row r="2191" spans="5:10" x14ac:dyDescent="0.25">
      <c r="E2191" s="3"/>
      <c r="F2191" s="3"/>
      <c r="G2191" s="3"/>
      <c r="H2191" s="3"/>
      <c r="I2191" s="3"/>
      <c r="J2191" s="5"/>
    </row>
    <row r="2192" spans="5:10" x14ac:dyDescent="0.25">
      <c r="E2192" s="3"/>
      <c r="F2192" s="3"/>
      <c r="G2192" s="3"/>
      <c r="H2192" s="3"/>
      <c r="I2192" s="3"/>
      <c r="J2192" s="5"/>
    </row>
    <row r="2193" spans="5:10" x14ac:dyDescent="0.25">
      <c r="E2193" s="3"/>
      <c r="F2193" s="3"/>
      <c r="G2193" s="3"/>
      <c r="H2193" s="3"/>
      <c r="I2193" s="3"/>
      <c r="J2193" s="5"/>
    </row>
    <row r="2194" spans="5:10" x14ac:dyDescent="0.25">
      <c r="E2194" s="3"/>
      <c r="F2194" s="3"/>
      <c r="G2194" s="3"/>
      <c r="H2194" s="3"/>
      <c r="I2194" s="3"/>
      <c r="J2194" s="5"/>
    </row>
    <row r="2195" spans="5:10" x14ac:dyDescent="0.25">
      <c r="E2195" s="3"/>
      <c r="F2195" s="3"/>
      <c r="G2195" s="3"/>
      <c r="H2195" s="3"/>
      <c r="I2195" s="3"/>
      <c r="J2195" s="5"/>
    </row>
    <row r="2196" spans="5:10" x14ac:dyDescent="0.25">
      <c r="E2196" s="3"/>
      <c r="F2196" s="3"/>
      <c r="G2196" s="3"/>
      <c r="H2196" s="3"/>
      <c r="I2196" s="3"/>
      <c r="J2196" s="5"/>
    </row>
    <row r="2197" spans="5:10" x14ac:dyDescent="0.25">
      <c r="E2197" s="3"/>
      <c r="F2197" s="3"/>
      <c r="G2197" s="3"/>
      <c r="H2197" s="3"/>
      <c r="I2197" s="3"/>
      <c r="J2197" s="5"/>
    </row>
    <row r="2198" spans="5:10" x14ac:dyDescent="0.25">
      <c r="E2198" s="3"/>
      <c r="F2198" s="3"/>
      <c r="G2198" s="3"/>
      <c r="H2198" s="3"/>
      <c r="I2198" s="3"/>
      <c r="J2198" s="5"/>
    </row>
    <row r="2199" spans="5:10" x14ac:dyDescent="0.25">
      <c r="E2199" s="3"/>
      <c r="F2199" s="3"/>
      <c r="G2199" s="3"/>
      <c r="H2199" s="3"/>
      <c r="I2199" s="3"/>
      <c r="J2199" s="5"/>
    </row>
    <row r="2200" spans="5:10" x14ac:dyDescent="0.25">
      <c r="E2200" s="3"/>
      <c r="F2200" s="3"/>
      <c r="G2200" s="3"/>
      <c r="H2200" s="3"/>
      <c r="I2200" s="3"/>
      <c r="J2200" s="5"/>
    </row>
    <row r="2201" spans="5:10" x14ac:dyDescent="0.25">
      <c r="E2201" s="3"/>
      <c r="F2201" s="3"/>
      <c r="G2201" s="3"/>
      <c r="H2201" s="3"/>
      <c r="I2201" s="3"/>
      <c r="J2201" s="5"/>
    </row>
    <row r="2202" spans="5:10" x14ac:dyDescent="0.25">
      <c r="E2202" s="3"/>
      <c r="F2202" s="3"/>
      <c r="G2202" s="3"/>
      <c r="H2202" s="3"/>
      <c r="I2202" s="3"/>
      <c r="J2202" s="5"/>
    </row>
    <row r="2203" spans="5:10" x14ac:dyDescent="0.25">
      <c r="E2203" s="3"/>
      <c r="F2203" s="3"/>
      <c r="G2203" s="3"/>
      <c r="H2203" s="3"/>
      <c r="I2203" s="3"/>
      <c r="J2203" s="5"/>
    </row>
    <row r="2204" spans="5:10" x14ac:dyDescent="0.25">
      <c r="E2204" s="3"/>
      <c r="F2204" s="3"/>
      <c r="G2204" s="3"/>
      <c r="H2204" s="3"/>
      <c r="I2204" s="3"/>
      <c r="J2204" s="5"/>
    </row>
    <row r="2205" spans="5:10" x14ac:dyDescent="0.25">
      <c r="E2205" s="3"/>
      <c r="F2205" s="3"/>
      <c r="G2205" s="3"/>
      <c r="H2205" s="3"/>
      <c r="I2205" s="3"/>
      <c r="J2205" s="5"/>
    </row>
    <row r="2206" spans="5:10" x14ac:dyDescent="0.25">
      <c r="E2206" s="3"/>
      <c r="F2206" s="3"/>
      <c r="G2206" s="3"/>
      <c r="H2206" s="3"/>
      <c r="I2206" s="3"/>
      <c r="J2206" s="5"/>
    </row>
    <row r="2207" spans="5:10" x14ac:dyDescent="0.25">
      <c r="E2207" s="3"/>
      <c r="F2207" s="3"/>
      <c r="G2207" s="3"/>
      <c r="H2207" s="3"/>
      <c r="I2207" s="3"/>
      <c r="J2207" s="5"/>
    </row>
    <row r="2208" spans="5:10" x14ac:dyDescent="0.25">
      <c r="E2208" s="3"/>
      <c r="F2208" s="3"/>
      <c r="G2208" s="3"/>
      <c r="H2208" s="3"/>
      <c r="I2208" s="3"/>
      <c r="J2208" s="5"/>
    </row>
    <row r="2209" spans="5:10" x14ac:dyDescent="0.25">
      <c r="E2209" s="3"/>
      <c r="F2209" s="3"/>
      <c r="G2209" s="3"/>
      <c r="H2209" s="3"/>
      <c r="I2209" s="3"/>
      <c r="J2209" s="5"/>
    </row>
    <row r="2210" spans="5:10" x14ac:dyDescent="0.25">
      <c r="E2210" s="3"/>
      <c r="F2210" s="3"/>
      <c r="G2210" s="3"/>
      <c r="H2210" s="3"/>
      <c r="I2210" s="3"/>
      <c r="J2210" s="5"/>
    </row>
    <row r="2211" spans="5:10" x14ac:dyDescent="0.25">
      <c r="E2211" s="3"/>
      <c r="F2211" s="3"/>
      <c r="G2211" s="3"/>
      <c r="H2211" s="3"/>
      <c r="I2211" s="3"/>
      <c r="J2211" s="5"/>
    </row>
    <row r="2212" spans="5:10" x14ac:dyDescent="0.25">
      <c r="E2212" s="3"/>
      <c r="F2212" s="3"/>
      <c r="G2212" s="3"/>
      <c r="H2212" s="3"/>
      <c r="I2212" s="3"/>
      <c r="J2212" s="5"/>
    </row>
    <row r="2213" spans="5:10" x14ac:dyDescent="0.25">
      <c r="E2213" s="3"/>
      <c r="F2213" s="3"/>
      <c r="G2213" s="3"/>
      <c r="H2213" s="3"/>
      <c r="I2213" s="3"/>
      <c r="J2213" s="5"/>
    </row>
    <row r="2214" spans="5:10" x14ac:dyDescent="0.25">
      <c r="E2214" s="3"/>
      <c r="F2214" s="3"/>
      <c r="G2214" s="3"/>
      <c r="H2214" s="3"/>
      <c r="I2214" s="3"/>
      <c r="J2214" s="5"/>
    </row>
    <row r="2215" spans="5:10" x14ac:dyDescent="0.25">
      <c r="E2215" s="3"/>
      <c r="F2215" s="3"/>
      <c r="G2215" s="3"/>
      <c r="H2215" s="3"/>
      <c r="I2215" s="3"/>
      <c r="J2215" s="5"/>
    </row>
    <row r="2216" spans="5:10" x14ac:dyDescent="0.25">
      <c r="E2216" s="3"/>
      <c r="F2216" s="3"/>
      <c r="G2216" s="3"/>
      <c r="H2216" s="3"/>
      <c r="I2216" s="3"/>
      <c r="J2216" s="5"/>
    </row>
    <row r="2217" spans="5:10" x14ac:dyDescent="0.25">
      <c r="E2217" s="3"/>
      <c r="F2217" s="3"/>
      <c r="G2217" s="3"/>
      <c r="H2217" s="3"/>
      <c r="I2217" s="3"/>
      <c r="J2217" s="5"/>
    </row>
    <row r="2218" spans="5:10" x14ac:dyDescent="0.25">
      <c r="E2218" s="3"/>
      <c r="F2218" s="3"/>
      <c r="G2218" s="3"/>
      <c r="H2218" s="3"/>
      <c r="I2218" s="3"/>
      <c r="J2218" s="5"/>
    </row>
    <row r="2219" spans="5:10" x14ac:dyDescent="0.25">
      <c r="E2219" s="3"/>
      <c r="F2219" s="3"/>
      <c r="G2219" s="3"/>
      <c r="H2219" s="3"/>
      <c r="I2219" s="3"/>
      <c r="J2219" s="5"/>
    </row>
    <row r="2220" spans="5:10" x14ac:dyDescent="0.25">
      <c r="E2220" s="3"/>
      <c r="F2220" s="3"/>
      <c r="G2220" s="3"/>
      <c r="H2220" s="3"/>
      <c r="I2220" s="3"/>
      <c r="J2220" s="5"/>
    </row>
    <row r="2221" spans="5:10" x14ac:dyDescent="0.25">
      <c r="E2221" s="3"/>
      <c r="F2221" s="3"/>
      <c r="G2221" s="3"/>
      <c r="H2221" s="3"/>
      <c r="I2221" s="3"/>
      <c r="J2221" s="5"/>
    </row>
    <row r="2222" spans="5:10" x14ac:dyDescent="0.25">
      <c r="E2222" s="3"/>
      <c r="F2222" s="3"/>
      <c r="G2222" s="3"/>
      <c r="H2222" s="3"/>
      <c r="I2222" s="3"/>
      <c r="J2222" s="5"/>
    </row>
    <row r="2223" spans="5:10" x14ac:dyDescent="0.25">
      <c r="E2223" s="3"/>
      <c r="F2223" s="3"/>
      <c r="G2223" s="3"/>
      <c r="H2223" s="3"/>
      <c r="I2223" s="3"/>
      <c r="J2223" s="5"/>
    </row>
    <row r="2224" spans="5:10" x14ac:dyDescent="0.25">
      <c r="E2224" s="3"/>
      <c r="F2224" s="3"/>
      <c r="G2224" s="3"/>
      <c r="H2224" s="3"/>
      <c r="I2224" s="3"/>
      <c r="J2224" s="5"/>
    </row>
    <row r="2225" spans="5:10" x14ac:dyDescent="0.25">
      <c r="E2225" s="3"/>
      <c r="F2225" s="3"/>
      <c r="G2225" s="3"/>
      <c r="H2225" s="3"/>
      <c r="I2225" s="3"/>
      <c r="J2225" s="5"/>
    </row>
    <row r="2226" spans="5:10" x14ac:dyDescent="0.25">
      <c r="E2226" s="3"/>
      <c r="F2226" s="3"/>
      <c r="G2226" s="3"/>
      <c r="H2226" s="3"/>
      <c r="I2226" s="3"/>
      <c r="J2226" s="5"/>
    </row>
    <row r="2227" spans="5:10" x14ac:dyDescent="0.25">
      <c r="E2227" s="3"/>
      <c r="F2227" s="3"/>
      <c r="G2227" s="3"/>
      <c r="H2227" s="3"/>
      <c r="I2227" s="3"/>
      <c r="J2227" s="5"/>
    </row>
    <row r="2228" spans="5:10" x14ac:dyDescent="0.25">
      <c r="E2228" s="3"/>
      <c r="F2228" s="3"/>
      <c r="G2228" s="3"/>
      <c r="H2228" s="3"/>
      <c r="I2228" s="3"/>
      <c r="J2228" s="5"/>
    </row>
    <row r="2229" spans="5:10" x14ac:dyDescent="0.25">
      <c r="E2229" s="3"/>
      <c r="F2229" s="3"/>
      <c r="G2229" s="3"/>
      <c r="H2229" s="3"/>
      <c r="I2229" s="3"/>
      <c r="J2229" s="5"/>
    </row>
    <row r="2230" spans="5:10" x14ac:dyDescent="0.25">
      <c r="E2230" s="3"/>
      <c r="F2230" s="3"/>
      <c r="G2230" s="3"/>
      <c r="H2230" s="3"/>
      <c r="I2230" s="3"/>
      <c r="J2230" s="5"/>
    </row>
    <row r="2231" spans="5:10" x14ac:dyDescent="0.25">
      <c r="E2231" s="3"/>
      <c r="F2231" s="3"/>
      <c r="G2231" s="3"/>
      <c r="H2231" s="3"/>
      <c r="I2231" s="3"/>
      <c r="J2231" s="5"/>
    </row>
    <row r="2232" spans="5:10" x14ac:dyDescent="0.25">
      <c r="E2232" s="3"/>
      <c r="F2232" s="3"/>
      <c r="G2232" s="3"/>
      <c r="H2232" s="3"/>
      <c r="I2232" s="3"/>
      <c r="J2232" s="5"/>
    </row>
    <row r="2233" spans="5:10" x14ac:dyDescent="0.25">
      <c r="E2233" s="3"/>
      <c r="F2233" s="3"/>
      <c r="G2233" s="3"/>
      <c r="H2233" s="3"/>
      <c r="I2233" s="3"/>
      <c r="J2233" s="5"/>
    </row>
    <row r="2234" spans="5:10" x14ac:dyDescent="0.25">
      <c r="E2234" s="3"/>
      <c r="F2234" s="3"/>
      <c r="G2234" s="3"/>
      <c r="H2234" s="3"/>
      <c r="I2234" s="3"/>
      <c r="J2234" s="5"/>
    </row>
    <row r="2235" spans="5:10" x14ac:dyDescent="0.25">
      <c r="E2235" s="3"/>
      <c r="F2235" s="3"/>
      <c r="G2235" s="3"/>
      <c r="H2235" s="3"/>
      <c r="I2235" s="3"/>
      <c r="J2235" s="5"/>
    </row>
    <row r="2236" spans="5:10" x14ac:dyDescent="0.25">
      <c r="E2236" s="3"/>
      <c r="F2236" s="3"/>
      <c r="G2236" s="3"/>
      <c r="H2236" s="3"/>
      <c r="I2236" s="3"/>
      <c r="J2236" s="5"/>
    </row>
    <row r="2237" spans="5:10" x14ac:dyDescent="0.25">
      <c r="E2237" s="3"/>
      <c r="F2237" s="3"/>
      <c r="G2237" s="3"/>
      <c r="H2237" s="3"/>
      <c r="I2237" s="3"/>
      <c r="J2237" s="5"/>
    </row>
    <row r="2238" spans="5:10" x14ac:dyDescent="0.25">
      <c r="E2238" s="3"/>
      <c r="F2238" s="3"/>
      <c r="G2238" s="3"/>
      <c r="H2238" s="3"/>
      <c r="I2238" s="3"/>
      <c r="J2238" s="5"/>
    </row>
    <row r="2239" spans="5:10" x14ac:dyDescent="0.25">
      <c r="E2239" s="3"/>
      <c r="F2239" s="3"/>
      <c r="G2239" s="3"/>
      <c r="H2239" s="3"/>
      <c r="I2239" s="3"/>
      <c r="J2239" s="5"/>
    </row>
    <row r="2240" spans="5:10" x14ac:dyDescent="0.25">
      <c r="E2240" s="3"/>
      <c r="F2240" s="3"/>
      <c r="G2240" s="3"/>
      <c r="H2240" s="3"/>
      <c r="I2240" s="3"/>
      <c r="J2240" s="5"/>
    </row>
    <row r="2241" spans="5:10" x14ac:dyDescent="0.25">
      <c r="E2241" s="3"/>
      <c r="F2241" s="3"/>
      <c r="G2241" s="3"/>
      <c r="H2241" s="3"/>
      <c r="I2241" s="3"/>
      <c r="J2241" s="5"/>
    </row>
    <row r="2242" spans="5:10" x14ac:dyDescent="0.25">
      <c r="E2242" s="3"/>
      <c r="F2242" s="3"/>
      <c r="G2242" s="3"/>
      <c r="H2242" s="3"/>
      <c r="I2242" s="3"/>
      <c r="J2242" s="5"/>
    </row>
    <row r="2243" spans="5:10" x14ac:dyDescent="0.25">
      <c r="E2243" s="3"/>
      <c r="F2243" s="3"/>
      <c r="G2243" s="3"/>
      <c r="H2243" s="3"/>
      <c r="I2243" s="3"/>
      <c r="J2243" s="5"/>
    </row>
    <row r="2244" spans="5:10" x14ac:dyDescent="0.25">
      <c r="E2244" s="3"/>
      <c r="F2244" s="3"/>
      <c r="G2244" s="3"/>
      <c r="H2244" s="3"/>
      <c r="I2244" s="3"/>
      <c r="J2244" s="5"/>
    </row>
    <row r="2245" spans="5:10" x14ac:dyDescent="0.25">
      <c r="E2245" s="3"/>
      <c r="F2245" s="3"/>
      <c r="G2245" s="3"/>
      <c r="H2245" s="3"/>
      <c r="I2245" s="3"/>
      <c r="J2245" s="5"/>
    </row>
    <row r="2246" spans="5:10" x14ac:dyDescent="0.25">
      <c r="E2246" s="3"/>
      <c r="F2246" s="3"/>
      <c r="G2246" s="3"/>
      <c r="H2246" s="3"/>
      <c r="I2246" s="3"/>
      <c r="J2246" s="5"/>
    </row>
    <row r="2247" spans="5:10" x14ac:dyDescent="0.25">
      <c r="E2247" s="3"/>
      <c r="F2247" s="3"/>
      <c r="G2247" s="3"/>
      <c r="H2247" s="3"/>
      <c r="I2247" s="3"/>
      <c r="J2247" s="5"/>
    </row>
    <row r="2248" spans="5:10" x14ac:dyDescent="0.25">
      <c r="E2248" s="3"/>
      <c r="F2248" s="3"/>
      <c r="G2248" s="3"/>
      <c r="H2248" s="3"/>
      <c r="I2248" s="3"/>
      <c r="J2248" s="5"/>
    </row>
    <row r="2249" spans="5:10" x14ac:dyDescent="0.25">
      <c r="E2249" s="3"/>
      <c r="F2249" s="3"/>
      <c r="G2249" s="3"/>
      <c r="H2249" s="3"/>
      <c r="I2249" s="3"/>
      <c r="J2249" s="5"/>
    </row>
    <row r="2250" spans="5:10" x14ac:dyDescent="0.25">
      <c r="E2250" s="3"/>
      <c r="F2250" s="3"/>
      <c r="G2250" s="3"/>
      <c r="H2250" s="3"/>
      <c r="I2250" s="3"/>
      <c r="J2250" s="5"/>
    </row>
    <row r="2251" spans="5:10" x14ac:dyDescent="0.25">
      <c r="E2251" s="3"/>
      <c r="F2251" s="3"/>
      <c r="G2251" s="3"/>
      <c r="H2251" s="3"/>
      <c r="I2251" s="3"/>
      <c r="J2251" s="5"/>
    </row>
    <row r="2252" spans="5:10" x14ac:dyDescent="0.25">
      <c r="E2252" s="3"/>
      <c r="F2252" s="3"/>
      <c r="G2252" s="3"/>
      <c r="H2252" s="3"/>
      <c r="I2252" s="3"/>
      <c r="J2252" s="5"/>
    </row>
    <row r="2253" spans="5:10" x14ac:dyDescent="0.25">
      <c r="E2253" s="3"/>
      <c r="F2253" s="3"/>
      <c r="G2253" s="3"/>
      <c r="H2253" s="3"/>
      <c r="I2253" s="3"/>
      <c r="J2253" s="5"/>
    </row>
    <row r="2254" spans="5:10" x14ac:dyDescent="0.25">
      <c r="E2254" s="3"/>
      <c r="F2254" s="3"/>
      <c r="G2254" s="3"/>
      <c r="H2254" s="3"/>
      <c r="I2254" s="3"/>
      <c r="J2254" s="5"/>
    </row>
    <row r="2255" spans="5:10" x14ac:dyDescent="0.25">
      <c r="E2255" s="3"/>
      <c r="F2255" s="3"/>
      <c r="G2255" s="3"/>
      <c r="H2255" s="3"/>
      <c r="I2255" s="3"/>
      <c r="J2255" s="5"/>
    </row>
    <row r="2256" spans="5:10" x14ac:dyDescent="0.25">
      <c r="E2256" s="3"/>
      <c r="F2256" s="3"/>
      <c r="G2256" s="3"/>
      <c r="H2256" s="3"/>
      <c r="I2256" s="3"/>
      <c r="J2256" s="5"/>
    </row>
    <row r="2257" spans="5:10" x14ac:dyDescent="0.25">
      <c r="E2257" s="3"/>
      <c r="F2257" s="3"/>
      <c r="G2257" s="3"/>
      <c r="H2257" s="3"/>
      <c r="I2257" s="3"/>
      <c r="J2257" s="5"/>
    </row>
    <row r="2258" spans="5:10" x14ac:dyDescent="0.25">
      <c r="E2258" s="3"/>
      <c r="F2258" s="3"/>
      <c r="G2258" s="3"/>
      <c r="H2258" s="3"/>
      <c r="I2258" s="3"/>
      <c r="J2258" s="5"/>
    </row>
    <row r="2259" spans="5:10" x14ac:dyDescent="0.25">
      <c r="E2259" s="3"/>
      <c r="F2259" s="3"/>
      <c r="G2259" s="3"/>
      <c r="H2259" s="3"/>
      <c r="I2259" s="3"/>
      <c r="J2259" s="5"/>
    </row>
    <row r="2260" spans="5:10" x14ac:dyDescent="0.25">
      <c r="E2260" s="3"/>
      <c r="F2260" s="3"/>
      <c r="G2260" s="3"/>
      <c r="H2260" s="3"/>
      <c r="I2260" s="3"/>
      <c r="J2260" s="5"/>
    </row>
    <row r="2261" spans="5:10" x14ac:dyDescent="0.25">
      <c r="E2261" s="3"/>
      <c r="F2261" s="3"/>
      <c r="G2261" s="3"/>
      <c r="H2261" s="3"/>
      <c r="I2261" s="3"/>
      <c r="J2261" s="5"/>
    </row>
    <row r="2262" spans="5:10" x14ac:dyDescent="0.25">
      <c r="E2262" s="3"/>
      <c r="F2262" s="3"/>
      <c r="G2262" s="3"/>
      <c r="H2262" s="3"/>
      <c r="I2262" s="3"/>
      <c r="J2262" s="5"/>
    </row>
    <row r="2263" spans="5:10" x14ac:dyDescent="0.25">
      <c r="E2263" s="3"/>
      <c r="F2263" s="3"/>
      <c r="G2263" s="3"/>
      <c r="H2263" s="3"/>
      <c r="I2263" s="3"/>
      <c r="J2263" s="5"/>
    </row>
    <row r="2264" spans="5:10" x14ac:dyDescent="0.25">
      <c r="E2264" s="3"/>
      <c r="F2264" s="3"/>
      <c r="G2264" s="3"/>
      <c r="H2264" s="3"/>
      <c r="I2264" s="3"/>
      <c r="J2264" s="5"/>
    </row>
    <row r="2265" spans="5:10" x14ac:dyDescent="0.25">
      <c r="E2265" s="3"/>
      <c r="F2265" s="3"/>
      <c r="G2265" s="3"/>
      <c r="H2265" s="3"/>
      <c r="I2265" s="3"/>
      <c r="J2265" s="5"/>
    </row>
    <row r="2266" spans="5:10" x14ac:dyDescent="0.25">
      <c r="E2266" s="3"/>
      <c r="F2266" s="3"/>
      <c r="G2266" s="3"/>
      <c r="H2266" s="3"/>
      <c r="I2266" s="3"/>
      <c r="J2266" s="5"/>
    </row>
    <row r="2267" spans="5:10" x14ac:dyDescent="0.25">
      <c r="E2267" s="3"/>
      <c r="F2267" s="3"/>
      <c r="G2267" s="3"/>
      <c r="H2267" s="3"/>
      <c r="I2267" s="3"/>
      <c r="J2267" s="5"/>
    </row>
    <row r="2268" spans="5:10" x14ac:dyDescent="0.25">
      <c r="E2268" s="3"/>
      <c r="F2268" s="3"/>
      <c r="G2268" s="3"/>
      <c r="H2268" s="3"/>
      <c r="I2268" s="3"/>
      <c r="J2268" s="5"/>
    </row>
    <row r="2269" spans="5:10" x14ac:dyDescent="0.25">
      <c r="E2269" s="3"/>
      <c r="F2269" s="3"/>
      <c r="G2269" s="3"/>
      <c r="H2269" s="3"/>
      <c r="I2269" s="3"/>
      <c r="J2269" s="5"/>
    </row>
    <row r="2270" spans="5:10" x14ac:dyDescent="0.25">
      <c r="E2270" s="3"/>
      <c r="F2270" s="3"/>
      <c r="G2270" s="3"/>
      <c r="H2270" s="3"/>
      <c r="I2270" s="3"/>
      <c r="J2270" s="5"/>
    </row>
    <row r="2271" spans="5:10" x14ac:dyDescent="0.25">
      <c r="E2271" s="3"/>
      <c r="F2271" s="3"/>
      <c r="G2271" s="3"/>
      <c r="H2271" s="3"/>
      <c r="I2271" s="3"/>
      <c r="J2271" s="5"/>
    </row>
    <row r="2272" spans="5:10" x14ac:dyDescent="0.25">
      <c r="E2272" s="3"/>
      <c r="F2272" s="3"/>
      <c r="G2272" s="3"/>
      <c r="H2272" s="3"/>
      <c r="I2272" s="3"/>
      <c r="J2272" s="5"/>
    </row>
    <row r="2273" spans="5:10" x14ac:dyDescent="0.25">
      <c r="E2273" s="3"/>
      <c r="F2273" s="3"/>
      <c r="G2273" s="3"/>
      <c r="H2273" s="3"/>
      <c r="I2273" s="3"/>
      <c r="J2273" s="5"/>
    </row>
    <row r="2274" spans="5:10" x14ac:dyDescent="0.25">
      <c r="E2274" s="3"/>
      <c r="F2274" s="3"/>
      <c r="G2274" s="3"/>
      <c r="H2274" s="3"/>
      <c r="I2274" s="3"/>
      <c r="J2274" s="5"/>
    </row>
    <row r="2275" spans="5:10" x14ac:dyDescent="0.25">
      <c r="E2275" s="3"/>
      <c r="F2275" s="3"/>
      <c r="G2275" s="3"/>
      <c r="H2275" s="3"/>
      <c r="I2275" s="3"/>
      <c r="J2275" s="5"/>
    </row>
    <row r="2276" spans="5:10" x14ac:dyDescent="0.25">
      <c r="E2276" s="3"/>
      <c r="F2276" s="3"/>
      <c r="G2276" s="3"/>
      <c r="H2276" s="3"/>
      <c r="I2276" s="3"/>
      <c r="J2276" s="5"/>
    </row>
    <row r="2277" spans="5:10" x14ac:dyDescent="0.25">
      <c r="E2277" s="3"/>
      <c r="F2277" s="3"/>
      <c r="G2277" s="3"/>
      <c r="H2277" s="3"/>
      <c r="I2277" s="3"/>
      <c r="J2277" s="5"/>
    </row>
    <row r="2278" spans="5:10" x14ac:dyDescent="0.25">
      <c r="E2278" s="3"/>
      <c r="F2278" s="3"/>
      <c r="G2278" s="3"/>
      <c r="H2278" s="3"/>
      <c r="I2278" s="3"/>
      <c r="J2278" s="5"/>
    </row>
    <row r="2279" spans="5:10" x14ac:dyDescent="0.25">
      <c r="E2279" s="3"/>
      <c r="F2279" s="3"/>
      <c r="G2279" s="3"/>
      <c r="H2279" s="3"/>
      <c r="I2279" s="3"/>
      <c r="J2279" s="5"/>
    </row>
    <row r="2280" spans="5:10" x14ac:dyDescent="0.25">
      <c r="E2280" s="3"/>
      <c r="F2280" s="3"/>
      <c r="G2280" s="3"/>
      <c r="H2280" s="3"/>
      <c r="I2280" s="3"/>
      <c r="J2280" s="5"/>
    </row>
    <row r="2281" spans="5:10" x14ac:dyDescent="0.25">
      <c r="E2281" s="3"/>
      <c r="F2281" s="3"/>
      <c r="G2281" s="3"/>
      <c r="H2281" s="3"/>
      <c r="I2281" s="3"/>
      <c r="J2281" s="5"/>
    </row>
    <row r="2282" spans="5:10" x14ac:dyDescent="0.25">
      <c r="E2282" s="3"/>
      <c r="F2282" s="3"/>
      <c r="G2282" s="3"/>
      <c r="H2282" s="3"/>
      <c r="I2282" s="3"/>
      <c r="J2282" s="5"/>
    </row>
    <row r="2283" spans="5:10" x14ac:dyDescent="0.25">
      <c r="E2283" s="3"/>
      <c r="F2283" s="3"/>
      <c r="G2283" s="3"/>
      <c r="H2283" s="3"/>
      <c r="I2283" s="3"/>
      <c r="J2283" s="5"/>
    </row>
    <row r="2284" spans="5:10" x14ac:dyDescent="0.25">
      <c r="E2284" s="3"/>
      <c r="F2284" s="3"/>
      <c r="G2284" s="3"/>
      <c r="H2284" s="3"/>
      <c r="I2284" s="3"/>
      <c r="J2284" s="5"/>
    </row>
    <row r="2285" spans="5:10" x14ac:dyDescent="0.25">
      <c r="E2285" s="3"/>
      <c r="F2285" s="3"/>
      <c r="G2285" s="3"/>
      <c r="H2285" s="3"/>
      <c r="I2285" s="3"/>
      <c r="J2285" s="5"/>
    </row>
    <row r="2286" spans="5:10" x14ac:dyDescent="0.25">
      <c r="E2286" s="3"/>
      <c r="F2286" s="3"/>
      <c r="G2286" s="3"/>
      <c r="H2286" s="3"/>
      <c r="I2286" s="3"/>
      <c r="J2286" s="5"/>
    </row>
    <row r="2287" spans="5:10" x14ac:dyDescent="0.25">
      <c r="E2287" s="3"/>
      <c r="F2287" s="3"/>
      <c r="G2287" s="3"/>
      <c r="H2287" s="3"/>
      <c r="I2287" s="3"/>
      <c r="J2287" s="5"/>
    </row>
    <row r="2288" spans="5:10" x14ac:dyDescent="0.25">
      <c r="E2288" s="3"/>
      <c r="F2288" s="3"/>
      <c r="G2288" s="3"/>
      <c r="H2288" s="3"/>
      <c r="I2288" s="3"/>
      <c r="J2288" s="5"/>
    </row>
    <row r="2289" spans="5:10" x14ac:dyDescent="0.25">
      <c r="E2289" s="3"/>
      <c r="F2289" s="3"/>
      <c r="G2289" s="3"/>
      <c r="H2289" s="3"/>
      <c r="I2289" s="3"/>
      <c r="J2289" s="5"/>
    </row>
    <row r="2290" spans="5:10" x14ac:dyDescent="0.25">
      <c r="E2290" s="3"/>
      <c r="F2290" s="3"/>
      <c r="G2290" s="3"/>
      <c r="H2290" s="3"/>
      <c r="I2290" s="3"/>
      <c r="J2290" s="5"/>
    </row>
    <row r="2291" spans="5:10" x14ac:dyDescent="0.25">
      <c r="E2291" s="3"/>
      <c r="F2291" s="3"/>
      <c r="G2291" s="3"/>
      <c r="H2291" s="3"/>
      <c r="I2291" s="3"/>
      <c r="J2291" s="5"/>
    </row>
    <row r="2292" spans="5:10" x14ac:dyDescent="0.25">
      <c r="E2292" s="3"/>
      <c r="F2292" s="3"/>
      <c r="G2292" s="3"/>
      <c r="H2292" s="3"/>
      <c r="I2292" s="3"/>
      <c r="J2292" s="5"/>
    </row>
    <row r="2293" spans="5:10" x14ac:dyDescent="0.25">
      <c r="E2293" s="3"/>
      <c r="F2293" s="3"/>
      <c r="G2293" s="3"/>
      <c r="H2293" s="3"/>
      <c r="I2293" s="3"/>
      <c r="J2293" s="5"/>
    </row>
    <row r="2294" spans="5:10" x14ac:dyDescent="0.25">
      <c r="E2294" s="3"/>
      <c r="F2294" s="3"/>
      <c r="G2294" s="3"/>
      <c r="H2294" s="3"/>
      <c r="I2294" s="3"/>
      <c r="J2294" s="5"/>
    </row>
    <row r="2295" spans="5:10" x14ac:dyDescent="0.25">
      <c r="E2295" s="3"/>
      <c r="F2295" s="3"/>
      <c r="G2295" s="3"/>
      <c r="H2295" s="3"/>
      <c r="I2295" s="3"/>
      <c r="J2295" s="5"/>
    </row>
    <row r="2296" spans="5:10" x14ac:dyDescent="0.25">
      <c r="E2296" s="3"/>
      <c r="F2296" s="3"/>
      <c r="G2296" s="3"/>
      <c r="H2296" s="3"/>
      <c r="I2296" s="3"/>
      <c r="J2296" s="5"/>
    </row>
    <row r="2297" spans="5:10" x14ac:dyDescent="0.25">
      <c r="E2297" s="3"/>
      <c r="F2297" s="3"/>
      <c r="G2297" s="3"/>
      <c r="H2297" s="3"/>
      <c r="I2297" s="3"/>
      <c r="J2297" s="5"/>
    </row>
    <row r="2298" spans="5:10" x14ac:dyDescent="0.25">
      <c r="E2298" s="3"/>
      <c r="F2298" s="3"/>
      <c r="G2298" s="3"/>
      <c r="H2298" s="3"/>
      <c r="I2298" s="3"/>
      <c r="J2298" s="5"/>
    </row>
    <row r="2299" spans="5:10" x14ac:dyDescent="0.25">
      <c r="E2299" s="3"/>
      <c r="F2299" s="3"/>
      <c r="G2299" s="3"/>
      <c r="H2299" s="3"/>
      <c r="I2299" s="3"/>
      <c r="J2299" s="5"/>
    </row>
    <row r="2300" spans="5:10" x14ac:dyDescent="0.25">
      <c r="E2300" s="3"/>
      <c r="F2300" s="3"/>
      <c r="G2300" s="3"/>
      <c r="H2300" s="3"/>
      <c r="I2300" s="3"/>
      <c r="J2300" s="5"/>
    </row>
    <row r="2301" spans="5:10" x14ac:dyDescent="0.25">
      <c r="E2301" s="3"/>
      <c r="F2301" s="3"/>
      <c r="G2301" s="3"/>
      <c r="H2301" s="3"/>
      <c r="I2301" s="3"/>
      <c r="J2301" s="5"/>
    </row>
    <row r="2302" spans="5:10" x14ac:dyDescent="0.25">
      <c r="E2302" s="3"/>
      <c r="F2302" s="3"/>
      <c r="G2302" s="3"/>
      <c r="H2302" s="3"/>
      <c r="I2302" s="3"/>
      <c r="J2302" s="5"/>
    </row>
    <row r="2303" spans="5:10" x14ac:dyDescent="0.25">
      <c r="E2303" s="3"/>
      <c r="F2303" s="3"/>
      <c r="G2303" s="3"/>
      <c r="H2303" s="3"/>
      <c r="I2303" s="3"/>
      <c r="J2303" s="5"/>
    </row>
    <row r="2304" spans="5:10" x14ac:dyDescent="0.25">
      <c r="E2304" s="3"/>
      <c r="F2304" s="3"/>
      <c r="G2304" s="3"/>
      <c r="H2304" s="3"/>
      <c r="I2304" s="3"/>
      <c r="J2304" s="5"/>
    </row>
    <row r="2305" spans="5:10" x14ac:dyDescent="0.25">
      <c r="E2305" s="3"/>
      <c r="F2305" s="3"/>
      <c r="G2305" s="3"/>
      <c r="H2305" s="3"/>
      <c r="I2305" s="3"/>
      <c r="J2305" s="5"/>
    </row>
    <row r="2306" spans="5:10" x14ac:dyDescent="0.25">
      <c r="E2306" s="3"/>
      <c r="F2306" s="3"/>
      <c r="G2306" s="3"/>
      <c r="H2306" s="3"/>
      <c r="I2306" s="3"/>
      <c r="J2306" s="5"/>
    </row>
    <row r="2307" spans="5:10" x14ac:dyDescent="0.25">
      <c r="E2307" s="3"/>
      <c r="F2307" s="3"/>
      <c r="G2307" s="3"/>
      <c r="H2307" s="3"/>
      <c r="I2307" s="3"/>
      <c r="J2307" s="5"/>
    </row>
    <row r="2308" spans="5:10" x14ac:dyDescent="0.25">
      <c r="E2308" s="3"/>
      <c r="F2308" s="3"/>
      <c r="G2308" s="3"/>
      <c r="H2308" s="3"/>
      <c r="I2308" s="3"/>
      <c r="J2308" s="5"/>
    </row>
    <row r="2309" spans="5:10" x14ac:dyDescent="0.25">
      <c r="E2309" s="3"/>
      <c r="F2309" s="3"/>
      <c r="G2309" s="3"/>
      <c r="H2309" s="3"/>
      <c r="I2309" s="3"/>
      <c r="J2309" s="5"/>
    </row>
    <row r="2310" spans="5:10" x14ac:dyDescent="0.25">
      <c r="E2310" s="3"/>
      <c r="F2310" s="3"/>
      <c r="G2310" s="3"/>
      <c r="H2310" s="3"/>
      <c r="I2310" s="3"/>
      <c r="J2310" s="5"/>
    </row>
    <row r="2311" spans="5:10" x14ac:dyDescent="0.25">
      <c r="E2311" s="3"/>
      <c r="F2311" s="3"/>
      <c r="G2311" s="3"/>
      <c r="H2311" s="3"/>
      <c r="I2311" s="3"/>
      <c r="J2311" s="5"/>
    </row>
    <row r="2312" spans="5:10" x14ac:dyDescent="0.25">
      <c r="E2312" s="3"/>
      <c r="F2312" s="3"/>
      <c r="G2312" s="3"/>
      <c r="H2312" s="3"/>
      <c r="I2312" s="3"/>
      <c r="J2312" s="5"/>
    </row>
    <row r="2313" spans="5:10" x14ac:dyDescent="0.25">
      <c r="E2313" s="3"/>
      <c r="F2313" s="3"/>
      <c r="G2313" s="3"/>
      <c r="H2313" s="3"/>
      <c r="I2313" s="3"/>
      <c r="J2313" s="5"/>
    </row>
    <row r="2314" spans="5:10" x14ac:dyDescent="0.25">
      <c r="E2314" s="3"/>
      <c r="F2314" s="3"/>
      <c r="G2314" s="3"/>
      <c r="H2314" s="3"/>
      <c r="I2314" s="3"/>
      <c r="J2314" s="5"/>
    </row>
    <row r="2315" spans="5:10" x14ac:dyDescent="0.25">
      <c r="E2315" s="3"/>
      <c r="F2315" s="3"/>
      <c r="G2315" s="3"/>
      <c r="H2315" s="3"/>
      <c r="I2315" s="3"/>
      <c r="J2315" s="5"/>
    </row>
    <row r="2316" spans="5:10" x14ac:dyDescent="0.25">
      <c r="E2316" s="3"/>
      <c r="F2316" s="3"/>
      <c r="G2316" s="3"/>
      <c r="H2316" s="3"/>
      <c r="I2316" s="3"/>
      <c r="J2316" s="5"/>
    </row>
    <row r="2317" spans="5:10" x14ac:dyDescent="0.25">
      <c r="E2317" s="3"/>
      <c r="F2317" s="3"/>
      <c r="G2317" s="3"/>
      <c r="H2317" s="3"/>
      <c r="I2317" s="3"/>
      <c r="J2317" s="5"/>
    </row>
    <row r="2318" spans="5:10" x14ac:dyDescent="0.25">
      <c r="E2318" s="3"/>
      <c r="F2318" s="3"/>
      <c r="G2318" s="3"/>
      <c r="H2318" s="3"/>
      <c r="I2318" s="3"/>
      <c r="J2318" s="5"/>
    </row>
    <row r="2319" spans="5:10" x14ac:dyDescent="0.25">
      <c r="E2319" s="3"/>
      <c r="F2319" s="3"/>
      <c r="G2319" s="3"/>
      <c r="H2319" s="3"/>
      <c r="I2319" s="3"/>
      <c r="J2319" s="5"/>
    </row>
    <row r="2320" spans="5:10" x14ac:dyDescent="0.25">
      <c r="E2320" s="3"/>
      <c r="F2320" s="3"/>
      <c r="G2320" s="3"/>
      <c r="H2320" s="3"/>
      <c r="I2320" s="3"/>
      <c r="J2320" s="5"/>
    </row>
    <row r="2321" spans="5:10" x14ac:dyDescent="0.25">
      <c r="E2321" s="3"/>
      <c r="F2321" s="3"/>
      <c r="G2321" s="3"/>
      <c r="H2321" s="3"/>
      <c r="I2321" s="3"/>
      <c r="J2321" s="5"/>
    </row>
    <row r="2322" spans="5:10" x14ac:dyDescent="0.25">
      <c r="E2322" s="3"/>
      <c r="F2322" s="3"/>
      <c r="G2322" s="3"/>
      <c r="H2322" s="3"/>
      <c r="I2322" s="3"/>
      <c r="J2322" s="5"/>
    </row>
    <row r="2323" spans="5:10" x14ac:dyDescent="0.25">
      <c r="E2323" s="3"/>
      <c r="F2323" s="3"/>
      <c r="G2323" s="3"/>
      <c r="H2323" s="3"/>
      <c r="I2323" s="3"/>
      <c r="J2323" s="5"/>
    </row>
    <row r="2324" spans="5:10" x14ac:dyDescent="0.25">
      <c r="E2324" s="3"/>
      <c r="F2324" s="3"/>
      <c r="G2324" s="3"/>
      <c r="H2324" s="3"/>
      <c r="I2324" s="3"/>
      <c r="J2324" s="5"/>
    </row>
    <row r="2325" spans="5:10" x14ac:dyDescent="0.25">
      <c r="E2325" s="3"/>
      <c r="F2325" s="3"/>
      <c r="G2325" s="3"/>
      <c r="H2325" s="3"/>
      <c r="I2325" s="3"/>
      <c r="J2325" s="5"/>
    </row>
    <row r="2326" spans="5:10" x14ac:dyDescent="0.25">
      <c r="E2326" s="3"/>
      <c r="F2326" s="3"/>
      <c r="G2326" s="3"/>
      <c r="H2326" s="3"/>
      <c r="I2326" s="3"/>
      <c r="J2326" s="5"/>
    </row>
    <row r="2327" spans="5:10" x14ac:dyDescent="0.25">
      <c r="E2327" s="3"/>
      <c r="F2327" s="3"/>
      <c r="G2327" s="3"/>
      <c r="H2327" s="3"/>
      <c r="I2327" s="3"/>
      <c r="J2327" s="5"/>
    </row>
    <row r="2328" spans="5:10" x14ac:dyDescent="0.25">
      <c r="E2328" s="3"/>
      <c r="F2328" s="3"/>
      <c r="G2328" s="3"/>
      <c r="H2328" s="3"/>
      <c r="I2328" s="3"/>
      <c r="J2328" s="5"/>
    </row>
    <row r="2329" spans="5:10" x14ac:dyDescent="0.25">
      <c r="E2329" s="3"/>
      <c r="F2329" s="3"/>
      <c r="G2329" s="3"/>
      <c r="H2329" s="3"/>
      <c r="I2329" s="3"/>
      <c r="J2329" s="5"/>
    </row>
    <row r="2330" spans="5:10" x14ac:dyDescent="0.25">
      <c r="E2330" s="3"/>
      <c r="F2330" s="3"/>
      <c r="G2330" s="3"/>
      <c r="H2330" s="3"/>
      <c r="I2330" s="3"/>
      <c r="J2330" s="5"/>
    </row>
    <row r="2331" spans="5:10" x14ac:dyDescent="0.25">
      <c r="E2331" s="3"/>
      <c r="F2331" s="3"/>
      <c r="G2331" s="3"/>
      <c r="H2331" s="3"/>
      <c r="I2331" s="3"/>
      <c r="J2331" s="5"/>
    </row>
    <row r="2332" spans="5:10" x14ac:dyDescent="0.25">
      <c r="E2332" s="3"/>
      <c r="F2332" s="3"/>
      <c r="G2332" s="3"/>
      <c r="H2332" s="3"/>
      <c r="I2332" s="3"/>
      <c r="J2332" s="5"/>
    </row>
    <row r="2333" spans="5:10" x14ac:dyDescent="0.25">
      <c r="E2333" s="3"/>
      <c r="F2333" s="3"/>
      <c r="G2333" s="3"/>
      <c r="H2333" s="3"/>
      <c r="I2333" s="3"/>
      <c r="J2333" s="5"/>
    </row>
    <row r="2334" spans="5:10" x14ac:dyDescent="0.25">
      <c r="E2334" s="3"/>
      <c r="F2334" s="3"/>
      <c r="G2334" s="3"/>
      <c r="H2334" s="3"/>
      <c r="I2334" s="3"/>
      <c r="J2334" s="5"/>
    </row>
    <row r="2335" spans="5:10" x14ac:dyDescent="0.25">
      <c r="E2335" s="3"/>
      <c r="F2335" s="3"/>
      <c r="G2335" s="3"/>
      <c r="H2335" s="3"/>
      <c r="I2335" s="3"/>
      <c r="J2335" s="5"/>
    </row>
    <row r="2336" spans="5:10" x14ac:dyDescent="0.25">
      <c r="E2336" s="3"/>
      <c r="F2336" s="3"/>
      <c r="G2336" s="3"/>
      <c r="H2336" s="3"/>
      <c r="I2336" s="3"/>
      <c r="J2336" s="5"/>
    </row>
    <row r="2337" spans="5:10" x14ac:dyDescent="0.25">
      <c r="E2337" s="3"/>
      <c r="F2337" s="3"/>
      <c r="G2337" s="3"/>
      <c r="H2337" s="3"/>
      <c r="I2337" s="3"/>
      <c r="J2337" s="5"/>
    </row>
    <row r="2338" spans="5:10" x14ac:dyDescent="0.25">
      <c r="E2338" s="3"/>
      <c r="F2338" s="3"/>
      <c r="G2338" s="3"/>
      <c r="H2338" s="3"/>
      <c r="I2338" s="3"/>
      <c r="J2338" s="5"/>
    </row>
    <row r="2339" spans="5:10" x14ac:dyDescent="0.25">
      <c r="E2339" s="3"/>
      <c r="F2339" s="3"/>
      <c r="G2339" s="3"/>
      <c r="H2339" s="3"/>
      <c r="I2339" s="3"/>
      <c r="J2339" s="5"/>
    </row>
    <row r="2340" spans="5:10" x14ac:dyDescent="0.25">
      <c r="E2340" s="3"/>
      <c r="F2340" s="3"/>
      <c r="G2340" s="3"/>
      <c r="H2340" s="3"/>
      <c r="I2340" s="3"/>
      <c r="J2340" s="5"/>
    </row>
    <row r="2341" spans="5:10" x14ac:dyDescent="0.25">
      <c r="E2341" s="3"/>
      <c r="F2341" s="3"/>
      <c r="G2341" s="3"/>
      <c r="H2341" s="3"/>
      <c r="I2341" s="3"/>
      <c r="J2341" s="5"/>
    </row>
    <row r="2342" spans="5:10" x14ac:dyDescent="0.25">
      <c r="E2342" s="3"/>
      <c r="F2342" s="3"/>
      <c r="G2342" s="3"/>
      <c r="H2342" s="3"/>
      <c r="I2342" s="3"/>
      <c r="J2342" s="5"/>
    </row>
    <row r="2343" spans="5:10" x14ac:dyDescent="0.25">
      <c r="E2343" s="3"/>
      <c r="F2343" s="3"/>
      <c r="G2343" s="3"/>
      <c r="H2343" s="3"/>
      <c r="I2343" s="3"/>
      <c r="J2343" s="5"/>
    </row>
    <row r="2344" spans="5:10" x14ac:dyDescent="0.25">
      <c r="E2344" s="3"/>
      <c r="F2344" s="3"/>
      <c r="G2344" s="3"/>
      <c r="H2344" s="3"/>
      <c r="I2344" s="3"/>
      <c r="J2344" s="5"/>
    </row>
    <row r="2345" spans="5:10" x14ac:dyDescent="0.25">
      <c r="E2345" s="3"/>
      <c r="F2345" s="3"/>
      <c r="G2345" s="3"/>
      <c r="H2345" s="3"/>
      <c r="I2345" s="3"/>
      <c r="J2345" s="5"/>
    </row>
    <row r="2346" spans="5:10" x14ac:dyDescent="0.25">
      <c r="E2346" s="3"/>
      <c r="F2346" s="3"/>
      <c r="G2346" s="3"/>
      <c r="H2346" s="3"/>
      <c r="I2346" s="3"/>
      <c r="J2346" s="5"/>
    </row>
    <row r="2347" spans="5:10" x14ac:dyDescent="0.25">
      <c r="E2347" s="3"/>
      <c r="F2347" s="3"/>
      <c r="G2347" s="3"/>
      <c r="H2347" s="3"/>
      <c r="I2347" s="3"/>
      <c r="J2347" s="5"/>
    </row>
    <row r="2348" spans="5:10" x14ac:dyDescent="0.25">
      <c r="E2348" s="3"/>
      <c r="F2348" s="3"/>
      <c r="G2348" s="3"/>
      <c r="H2348" s="3"/>
      <c r="I2348" s="3"/>
      <c r="J2348" s="5"/>
    </row>
    <row r="2349" spans="5:10" x14ac:dyDescent="0.25">
      <c r="E2349" s="3"/>
      <c r="F2349" s="3"/>
      <c r="G2349" s="3"/>
      <c r="H2349" s="3"/>
      <c r="I2349" s="3"/>
      <c r="J2349" s="5"/>
    </row>
    <row r="2350" spans="5:10" x14ac:dyDescent="0.25">
      <c r="E2350" s="3"/>
      <c r="F2350" s="3"/>
      <c r="G2350" s="3"/>
      <c r="H2350" s="3"/>
      <c r="I2350" s="3"/>
      <c r="J2350" s="5"/>
    </row>
    <row r="2351" spans="5:10" x14ac:dyDescent="0.25">
      <c r="E2351" s="3"/>
      <c r="F2351" s="3"/>
      <c r="G2351" s="3"/>
      <c r="H2351" s="3"/>
      <c r="I2351" s="3"/>
      <c r="J2351" s="5"/>
    </row>
    <row r="2352" spans="5:10" x14ac:dyDescent="0.25">
      <c r="E2352" s="3"/>
      <c r="F2352" s="3"/>
      <c r="G2352" s="3"/>
      <c r="H2352" s="3"/>
      <c r="I2352" s="3"/>
      <c r="J2352" s="5"/>
    </row>
    <row r="2353" spans="5:10" x14ac:dyDescent="0.25">
      <c r="E2353" s="3"/>
      <c r="F2353" s="3"/>
      <c r="G2353" s="3"/>
      <c r="H2353" s="3"/>
      <c r="I2353" s="3"/>
      <c r="J2353" s="5"/>
    </row>
    <row r="2354" spans="5:10" x14ac:dyDescent="0.25">
      <c r="E2354" s="3"/>
      <c r="F2354" s="3"/>
      <c r="G2354" s="3"/>
      <c r="H2354" s="3"/>
      <c r="I2354" s="3"/>
      <c r="J2354" s="5"/>
    </row>
    <row r="2355" spans="5:10" x14ac:dyDescent="0.25">
      <c r="E2355" s="3"/>
      <c r="F2355" s="3"/>
      <c r="G2355" s="3"/>
      <c r="H2355" s="3"/>
      <c r="I2355" s="3"/>
      <c r="J2355" s="5"/>
    </row>
    <row r="2356" spans="5:10" x14ac:dyDescent="0.25">
      <c r="E2356" s="3"/>
      <c r="F2356" s="3"/>
      <c r="G2356" s="3"/>
      <c r="H2356" s="3"/>
      <c r="I2356" s="3"/>
      <c r="J2356" s="5"/>
    </row>
    <row r="2357" spans="5:10" x14ac:dyDescent="0.25">
      <c r="E2357" s="3"/>
      <c r="F2357" s="3"/>
      <c r="G2357" s="3"/>
      <c r="H2357" s="3"/>
      <c r="I2357" s="3"/>
      <c r="J2357" s="5"/>
    </row>
    <row r="2358" spans="5:10" x14ac:dyDescent="0.25">
      <c r="E2358" s="3"/>
      <c r="F2358" s="3"/>
      <c r="G2358" s="3"/>
      <c r="H2358" s="3"/>
      <c r="I2358" s="3"/>
      <c r="J2358" s="5"/>
    </row>
    <row r="2359" spans="5:10" x14ac:dyDescent="0.25">
      <c r="E2359" s="3"/>
      <c r="F2359" s="3"/>
      <c r="G2359" s="3"/>
      <c r="H2359" s="3"/>
      <c r="I2359" s="3"/>
      <c r="J2359" s="5"/>
    </row>
    <row r="2360" spans="5:10" x14ac:dyDescent="0.25">
      <c r="E2360" s="3"/>
      <c r="F2360" s="3"/>
      <c r="G2360" s="3"/>
      <c r="H2360" s="3"/>
      <c r="I2360" s="3"/>
      <c r="J2360" s="5"/>
    </row>
    <row r="2361" spans="5:10" x14ac:dyDescent="0.25">
      <c r="E2361" s="3"/>
      <c r="F2361" s="3"/>
      <c r="G2361" s="3"/>
      <c r="H2361" s="3"/>
      <c r="I2361" s="3"/>
      <c r="J2361" s="5"/>
    </row>
    <row r="2362" spans="5:10" x14ac:dyDescent="0.25">
      <c r="E2362" s="3"/>
      <c r="F2362" s="3"/>
      <c r="G2362" s="3"/>
      <c r="H2362" s="3"/>
      <c r="I2362" s="3"/>
      <c r="J2362" s="5"/>
    </row>
    <row r="2363" spans="5:10" x14ac:dyDescent="0.25">
      <c r="E2363" s="3"/>
      <c r="F2363" s="3"/>
      <c r="G2363" s="3"/>
      <c r="H2363" s="3"/>
      <c r="I2363" s="3"/>
      <c r="J2363" s="5"/>
    </row>
    <row r="2364" spans="5:10" x14ac:dyDescent="0.25">
      <c r="E2364" s="3"/>
      <c r="F2364" s="3"/>
      <c r="G2364" s="3"/>
      <c r="H2364" s="3"/>
      <c r="I2364" s="3"/>
      <c r="J2364" s="5"/>
    </row>
    <row r="2365" spans="5:10" x14ac:dyDescent="0.25">
      <c r="E2365" s="3"/>
      <c r="F2365" s="3"/>
      <c r="G2365" s="3"/>
      <c r="H2365" s="3"/>
      <c r="I2365" s="3"/>
      <c r="J2365" s="5"/>
    </row>
    <row r="2366" spans="5:10" x14ac:dyDescent="0.25">
      <c r="E2366" s="3"/>
      <c r="F2366" s="3"/>
      <c r="G2366" s="3"/>
      <c r="H2366" s="3"/>
      <c r="I2366" s="3"/>
      <c r="J2366" s="5"/>
    </row>
    <row r="2367" spans="5:10" x14ac:dyDescent="0.25">
      <c r="E2367" s="3"/>
      <c r="F2367" s="3"/>
      <c r="G2367" s="3"/>
      <c r="H2367" s="3"/>
      <c r="I2367" s="3"/>
      <c r="J2367" s="5"/>
    </row>
    <row r="2368" spans="5:10" x14ac:dyDescent="0.25">
      <c r="E2368" s="3"/>
      <c r="F2368" s="3"/>
      <c r="G2368" s="3"/>
      <c r="H2368" s="3"/>
      <c r="I2368" s="3"/>
      <c r="J2368" s="5"/>
    </row>
    <row r="2369" spans="5:10" x14ac:dyDescent="0.25">
      <c r="E2369" s="3"/>
      <c r="F2369" s="3"/>
      <c r="G2369" s="3"/>
      <c r="H2369" s="3"/>
      <c r="I2369" s="3"/>
      <c r="J2369" s="5"/>
    </row>
    <row r="2370" spans="5:10" x14ac:dyDescent="0.25">
      <c r="E2370" s="3"/>
      <c r="F2370" s="3"/>
      <c r="G2370" s="3"/>
      <c r="H2370" s="3"/>
      <c r="I2370" s="3"/>
      <c r="J2370" s="5"/>
    </row>
    <row r="2371" spans="5:10" x14ac:dyDescent="0.25">
      <c r="E2371" s="3"/>
      <c r="F2371" s="3"/>
      <c r="G2371" s="3"/>
      <c r="H2371" s="3"/>
      <c r="I2371" s="3"/>
      <c r="J2371" s="5"/>
    </row>
    <row r="2372" spans="5:10" x14ac:dyDescent="0.25">
      <c r="E2372" s="3"/>
      <c r="F2372" s="3"/>
      <c r="G2372" s="3"/>
      <c r="H2372" s="3"/>
      <c r="I2372" s="3"/>
      <c r="J2372" s="5"/>
    </row>
    <row r="2373" spans="5:10" x14ac:dyDescent="0.25">
      <c r="E2373" s="3"/>
      <c r="F2373" s="3"/>
      <c r="G2373" s="3"/>
      <c r="H2373" s="3"/>
      <c r="I2373" s="3"/>
      <c r="J2373" s="5"/>
    </row>
    <row r="2374" spans="5:10" x14ac:dyDescent="0.25">
      <c r="E2374" s="3"/>
      <c r="F2374" s="3"/>
      <c r="G2374" s="3"/>
      <c r="H2374" s="3"/>
      <c r="I2374" s="3"/>
      <c r="J2374" s="5"/>
    </row>
    <row r="2375" spans="5:10" x14ac:dyDescent="0.25">
      <c r="E2375" s="3"/>
      <c r="F2375" s="3"/>
      <c r="G2375" s="3"/>
      <c r="H2375" s="3"/>
      <c r="I2375" s="3"/>
      <c r="J2375" s="5"/>
    </row>
    <row r="2376" spans="5:10" x14ac:dyDescent="0.25">
      <c r="E2376" s="3"/>
      <c r="F2376" s="3"/>
      <c r="G2376" s="3"/>
      <c r="H2376" s="3"/>
      <c r="I2376" s="3"/>
      <c r="J2376" s="5"/>
    </row>
    <row r="2377" spans="5:10" x14ac:dyDescent="0.25">
      <c r="E2377" s="3"/>
      <c r="F2377" s="3"/>
      <c r="G2377" s="3"/>
      <c r="H2377" s="3"/>
      <c r="I2377" s="3"/>
      <c r="J2377" s="5"/>
    </row>
    <row r="2378" spans="5:10" x14ac:dyDescent="0.25">
      <c r="E2378" s="3"/>
      <c r="F2378" s="3"/>
      <c r="G2378" s="3"/>
      <c r="H2378" s="3"/>
      <c r="I2378" s="3"/>
      <c r="J2378" s="5"/>
    </row>
    <row r="2379" spans="5:10" x14ac:dyDescent="0.25">
      <c r="E2379" s="3"/>
      <c r="F2379" s="3"/>
      <c r="G2379" s="3"/>
      <c r="H2379" s="3"/>
      <c r="I2379" s="3"/>
      <c r="J2379" s="5"/>
    </row>
    <row r="2380" spans="5:10" x14ac:dyDescent="0.25">
      <c r="E2380" s="3"/>
      <c r="F2380" s="3"/>
      <c r="G2380" s="3"/>
      <c r="H2380" s="3"/>
      <c r="I2380" s="3"/>
      <c r="J2380" s="5"/>
    </row>
    <row r="2381" spans="5:10" x14ac:dyDescent="0.25">
      <c r="E2381" s="3"/>
      <c r="F2381" s="3"/>
      <c r="G2381" s="3"/>
      <c r="H2381" s="3"/>
      <c r="I2381" s="3"/>
      <c r="J2381" s="5"/>
    </row>
    <row r="2382" spans="5:10" x14ac:dyDescent="0.25">
      <c r="E2382" s="3"/>
      <c r="F2382" s="3"/>
      <c r="G2382" s="3"/>
      <c r="H2382" s="3"/>
      <c r="I2382" s="3"/>
      <c r="J2382" s="5"/>
    </row>
    <row r="2383" spans="5:10" x14ac:dyDescent="0.25">
      <c r="E2383" s="3"/>
      <c r="F2383" s="3"/>
      <c r="G2383" s="3"/>
      <c r="H2383" s="3"/>
      <c r="I2383" s="3"/>
      <c r="J2383" s="5"/>
    </row>
    <row r="2384" spans="5:10" x14ac:dyDescent="0.25">
      <c r="E2384" s="3"/>
      <c r="F2384" s="3"/>
      <c r="G2384" s="3"/>
      <c r="H2384" s="3"/>
      <c r="I2384" s="3"/>
      <c r="J2384" s="5"/>
    </row>
    <row r="2385" spans="5:10" x14ac:dyDescent="0.25">
      <c r="E2385" s="3"/>
      <c r="F2385" s="3"/>
      <c r="G2385" s="3"/>
      <c r="H2385" s="3"/>
      <c r="I2385" s="3"/>
      <c r="J2385" s="5"/>
    </row>
    <row r="2386" spans="5:10" x14ac:dyDescent="0.25">
      <c r="E2386" s="3"/>
      <c r="F2386" s="3"/>
      <c r="G2386" s="3"/>
      <c r="H2386" s="3"/>
      <c r="I2386" s="3"/>
      <c r="J2386" s="5"/>
    </row>
    <row r="2387" spans="5:10" x14ac:dyDescent="0.25">
      <c r="E2387" s="3"/>
      <c r="F2387" s="3"/>
      <c r="G2387" s="3"/>
      <c r="H2387" s="3"/>
      <c r="I2387" s="3"/>
      <c r="J2387" s="5"/>
    </row>
    <row r="2388" spans="5:10" x14ac:dyDescent="0.25">
      <c r="E2388" s="3"/>
      <c r="F2388" s="3"/>
      <c r="G2388" s="3"/>
      <c r="H2388" s="3"/>
      <c r="I2388" s="3"/>
      <c r="J2388" s="5"/>
    </row>
    <row r="2389" spans="5:10" x14ac:dyDescent="0.25">
      <c r="E2389" s="3"/>
      <c r="F2389" s="3"/>
      <c r="G2389" s="3"/>
      <c r="H2389" s="3"/>
      <c r="I2389" s="3"/>
      <c r="J2389" s="5"/>
    </row>
    <row r="2390" spans="5:10" x14ac:dyDescent="0.25">
      <c r="E2390" s="3"/>
      <c r="F2390" s="3"/>
      <c r="G2390" s="3"/>
      <c r="H2390" s="3"/>
      <c r="I2390" s="3"/>
      <c r="J2390" s="5"/>
    </row>
    <row r="2391" spans="5:10" x14ac:dyDescent="0.25">
      <c r="E2391" s="3"/>
      <c r="F2391" s="3"/>
      <c r="G2391" s="3"/>
      <c r="H2391" s="3"/>
      <c r="I2391" s="3"/>
      <c r="J2391" s="5"/>
    </row>
    <row r="2392" spans="5:10" x14ac:dyDescent="0.25">
      <c r="E2392" s="3"/>
      <c r="F2392" s="3"/>
      <c r="G2392" s="3"/>
      <c r="H2392" s="3"/>
      <c r="I2392" s="3"/>
      <c r="J2392" s="5"/>
    </row>
    <row r="2393" spans="5:10" x14ac:dyDescent="0.25">
      <c r="E2393" s="3"/>
      <c r="F2393" s="3"/>
      <c r="G2393" s="3"/>
      <c r="H2393" s="3"/>
      <c r="I2393" s="3"/>
      <c r="J2393" s="5"/>
    </row>
    <row r="2394" spans="5:10" x14ac:dyDescent="0.25">
      <c r="E2394" s="3"/>
      <c r="F2394" s="3"/>
      <c r="G2394" s="3"/>
      <c r="H2394" s="3"/>
      <c r="I2394" s="3"/>
      <c r="J2394" s="5"/>
    </row>
    <row r="2395" spans="5:10" x14ac:dyDescent="0.25">
      <c r="E2395" s="3"/>
      <c r="F2395" s="3"/>
      <c r="G2395" s="3"/>
      <c r="H2395" s="3"/>
      <c r="I2395" s="3"/>
      <c r="J2395" s="5"/>
    </row>
    <row r="2396" spans="5:10" x14ac:dyDescent="0.25">
      <c r="E2396" s="3"/>
      <c r="F2396" s="3"/>
      <c r="G2396" s="3"/>
      <c r="H2396" s="3"/>
      <c r="I2396" s="3"/>
      <c r="J2396" s="5"/>
    </row>
    <row r="2397" spans="5:10" x14ac:dyDescent="0.25">
      <c r="E2397" s="3"/>
      <c r="F2397" s="3"/>
      <c r="G2397" s="3"/>
      <c r="H2397" s="3"/>
      <c r="I2397" s="3"/>
      <c r="J2397" s="5"/>
    </row>
    <row r="2398" spans="5:10" x14ac:dyDescent="0.25">
      <c r="E2398" s="3"/>
      <c r="F2398" s="3"/>
      <c r="G2398" s="3"/>
      <c r="H2398" s="3"/>
      <c r="I2398" s="3"/>
      <c r="J2398" s="5"/>
    </row>
    <row r="2399" spans="5:10" x14ac:dyDescent="0.25">
      <c r="E2399" s="3"/>
      <c r="F2399" s="3"/>
      <c r="G2399" s="3"/>
      <c r="H2399" s="3"/>
      <c r="I2399" s="3"/>
      <c r="J2399" s="5"/>
    </row>
    <row r="2400" spans="5:10" x14ac:dyDescent="0.25">
      <c r="E2400" s="3"/>
      <c r="F2400" s="3"/>
      <c r="G2400" s="3"/>
      <c r="H2400" s="3"/>
      <c r="I2400" s="3"/>
      <c r="J2400" s="5"/>
    </row>
    <row r="2401" spans="5:10" x14ac:dyDescent="0.25">
      <c r="E2401" s="3"/>
      <c r="F2401" s="3"/>
      <c r="G2401" s="3"/>
      <c r="H2401" s="3"/>
      <c r="I2401" s="3"/>
      <c r="J2401" s="5"/>
    </row>
    <row r="2402" spans="5:10" x14ac:dyDescent="0.25">
      <c r="E2402" s="3"/>
      <c r="F2402" s="3"/>
      <c r="G2402" s="3"/>
      <c r="H2402" s="3"/>
      <c r="I2402" s="3"/>
      <c r="J2402" s="5"/>
    </row>
    <row r="2403" spans="5:10" x14ac:dyDescent="0.25">
      <c r="E2403" s="3"/>
      <c r="F2403" s="3"/>
      <c r="G2403" s="3"/>
      <c r="H2403" s="3"/>
      <c r="I2403" s="3"/>
      <c r="J2403" s="5"/>
    </row>
    <row r="2404" spans="5:10" x14ac:dyDescent="0.25">
      <c r="E2404" s="3"/>
      <c r="F2404" s="3"/>
      <c r="G2404" s="3"/>
      <c r="H2404" s="3"/>
      <c r="I2404" s="3"/>
      <c r="J2404" s="5"/>
    </row>
    <row r="2405" spans="5:10" x14ac:dyDescent="0.25">
      <c r="E2405" s="3"/>
      <c r="F2405" s="3"/>
      <c r="G2405" s="3"/>
      <c r="H2405" s="3"/>
      <c r="I2405" s="3"/>
      <c r="J2405" s="5"/>
    </row>
    <row r="2406" spans="5:10" x14ac:dyDescent="0.25">
      <c r="E2406" s="3"/>
      <c r="F2406" s="3"/>
      <c r="G2406" s="3"/>
      <c r="H2406" s="3"/>
      <c r="I2406" s="3"/>
      <c r="J2406" s="5"/>
    </row>
    <row r="2407" spans="5:10" x14ac:dyDescent="0.25">
      <c r="E2407" s="3"/>
      <c r="F2407" s="3"/>
      <c r="G2407" s="3"/>
      <c r="H2407" s="3"/>
      <c r="I2407" s="3"/>
      <c r="J2407" s="5"/>
    </row>
    <row r="2408" spans="5:10" x14ac:dyDescent="0.25">
      <c r="E2408" s="3"/>
      <c r="F2408" s="3"/>
      <c r="G2408" s="3"/>
      <c r="H2408" s="3"/>
      <c r="I2408" s="3"/>
      <c r="J2408" s="5"/>
    </row>
    <row r="2409" spans="5:10" x14ac:dyDescent="0.25">
      <c r="E2409" s="3"/>
      <c r="F2409" s="3"/>
      <c r="G2409" s="3"/>
      <c r="H2409" s="3"/>
      <c r="I2409" s="3"/>
      <c r="J2409" s="5"/>
    </row>
    <row r="2410" spans="5:10" x14ac:dyDescent="0.25">
      <c r="E2410" s="3"/>
      <c r="F2410" s="3"/>
      <c r="G2410" s="3"/>
      <c r="H2410" s="3"/>
      <c r="I2410" s="3"/>
      <c r="J2410" s="5"/>
    </row>
    <row r="2411" spans="5:10" x14ac:dyDescent="0.25">
      <c r="E2411" s="3"/>
      <c r="F2411" s="3"/>
      <c r="G2411" s="3"/>
      <c r="H2411" s="3"/>
      <c r="I2411" s="3"/>
      <c r="J2411" s="5"/>
    </row>
    <row r="2412" spans="5:10" x14ac:dyDescent="0.25">
      <c r="E2412" s="3"/>
      <c r="F2412" s="3"/>
      <c r="G2412" s="3"/>
      <c r="H2412" s="3"/>
      <c r="I2412" s="3"/>
      <c r="J2412" s="5"/>
    </row>
    <row r="2413" spans="5:10" x14ac:dyDescent="0.25">
      <c r="E2413" s="3"/>
      <c r="F2413" s="3"/>
      <c r="G2413" s="3"/>
      <c r="H2413" s="3"/>
      <c r="I2413" s="3"/>
      <c r="J2413" s="5"/>
    </row>
    <row r="2414" spans="5:10" x14ac:dyDescent="0.25">
      <c r="E2414" s="3"/>
      <c r="F2414" s="3"/>
      <c r="G2414" s="3"/>
      <c r="H2414" s="3"/>
      <c r="I2414" s="3"/>
      <c r="J2414" s="5"/>
    </row>
    <row r="2415" spans="5:10" x14ac:dyDescent="0.25">
      <c r="E2415" s="3"/>
      <c r="F2415" s="3"/>
      <c r="G2415" s="3"/>
      <c r="H2415" s="3"/>
      <c r="I2415" s="3"/>
      <c r="J2415" s="5"/>
    </row>
    <row r="2416" spans="5:10" x14ac:dyDescent="0.25">
      <c r="E2416" s="3"/>
      <c r="F2416" s="3"/>
      <c r="G2416" s="3"/>
      <c r="H2416" s="3"/>
      <c r="I2416" s="3"/>
      <c r="J2416" s="5"/>
    </row>
    <row r="2417" spans="5:10" x14ac:dyDescent="0.25">
      <c r="E2417" s="3"/>
      <c r="F2417" s="3"/>
      <c r="G2417" s="3"/>
      <c r="H2417" s="3"/>
      <c r="I2417" s="3"/>
      <c r="J2417" s="5"/>
    </row>
    <row r="2418" spans="5:10" x14ac:dyDescent="0.25">
      <c r="E2418" s="3"/>
      <c r="F2418" s="3"/>
      <c r="G2418" s="3"/>
      <c r="H2418" s="3"/>
      <c r="I2418" s="3"/>
      <c r="J2418" s="5"/>
    </row>
    <row r="2419" spans="5:10" x14ac:dyDescent="0.25">
      <c r="E2419" s="3"/>
      <c r="F2419" s="3"/>
      <c r="G2419" s="3"/>
      <c r="H2419" s="3"/>
      <c r="I2419" s="3"/>
      <c r="J2419" s="5"/>
    </row>
    <row r="2420" spans="5:10" x14ac:dyDescent="0.25">
      <c r="E2420" s="3"/>
      <c r="F2420" s="3"/>
      <c r="G2420" s="3"/>
      <c r="H2420" s="3"/>
      <c r="I2420" s="3"/>
      <c r="J2420" s="5"/>
    </row>
    <row r="2421" spans="5:10" x14ac:dyDescent="0.25">
      <c r="E2421" s="3"/>
      <c r="F2421" s="3"/>
      <c r="G2421" s="3"/>
      <c r="H2421" s="3"/>
      <c r="I2421" s="3"/>
      <c r="J2421" s="5"/>
    </row>
    <row r="2422" spans="5:10" x14ac:dyDescent="0.25">
      <c r="E2422" s="3"/>
      <c r="F2422" s="3"/>
      <c r="G2422" s="3"/>
      <c r="H2422" s="3"/>
      <c r="I2422" s="3"/>
      <c r="J2422" s="5"/>
    </row>
    <row r="2423" spans="5:10" x14ac:dyDescent="0.25">
      <c r="E2423" s="3"/>
      <c r="F2423" s="3"/>
      <c r="G2423" s="3"/>
      <c r="H2423" s="3"/>
      <c r="I2423" s="3"/>
      <c r="J2423" s="5"/>
    </row>
    <row r="2424" spans="5:10" x14ac:dyDescent="0.25">
      <c r="E2424" s="3"/>
      <c r="F2424" s="3"/>
      <c r="G2424" s="3"/>
      <c r="H2424" s="3"/>
      <c r="I2424" s="3"/>
      <c r="J2424" s="5"/>
    </row>
    <row r="2425" spans="5:10" x14ac:dyDescent="0.25">
      <c r="E2425" s="3"/>
      <c r="F2425" s="3"/>
      <c r="G2425" s="3"/>
      <c r="H2425" s="3"/>
      <c r="I2425" s="3"/>
      <c r="J2425" s="5"/>
    </row>
    <row r="2426" spans="5:10" x14ac:dyDescent="0.25">
      <c r="E2426" s="3"/>
      <c r="F2426" s="3"/>
      <c r="G2426" s="3"/>
      <c r="H2426" s="3"/>
      <c r="I2426" s="3"/>
      <c r="J2426" s="5"/>
    </row>
    <row r="2427" spans="5:10" x14ac:dyDescent="0.25">
      <c r="E2427" s="3"/>
      <c r="F2427" s="3"/>
      <c r="G2427" s="3"/>
      <c r="H2427" s="3"/>
      <c r="I2427" s="3"/>
      <c r="J2427" s="5"/>
    </row>
    <row r="2428" spans="5:10" x14ac:dyDescent="0.25">
      <c r="E2428" s="3"/>
      <c r="F2428" s="3"/>
      <c r="G2428" s="3"/>
      <c r="H2428" s="3"/>
      <c r="I2428" s="3"/>
      <c r="J2428" s="5"/>
    </row>
    <row r="2429" spans="5:10" x14ac:dyDescent="0.25">
      <c r="E2429" s="3"/>
      <c r="F2429" s="3"/>
      <c r="G2429" s="3"/>
      <c r="H2429" s="3"/>
      <c r="I2429" s="3"/>
      <c r="J2429" s="5"/>
    </row>
    <row r="2430" spans="5:10" x14ac:dyDescent="0.25">
      <c r="E2430" s="3"/>
      <c r="F2430" s="3"/>
      <c r="G2430" s="3"/>
      <c r="H2430" s="3"/>
      <c r="I2430" s="3"/>
      <c r="J2430" s="5"/>
    </row>
    <row r="2431" spans="5:10" x14ac:dyDescent="0.25">
      <c r="E2431" s="3"/>
      <c r="F2431" s="3"/>
      <c r="G2431" s="3"/>
      <c r="H2431" s="3"/>
      <c r="I2431" s="3"/>
      <c r="J2431" s="5"/>
    </row>
    <row r="2432" spans="5:10" x14ac:dyDescent="0.25">
      <c r="E2432" s="3"/>
      <c r="F2432" s="3"/>
      <c r="G2432" s="3"/>
      <c r="H2432" s="3"/>
      <c r="I2432" s="3"/>
      <c r="J2432" s="5"/>
    </row>
    <row r="2433" spans="5:10" x14ac:dyDescent="0.25">
      <c r="E2433" s="3"/>
      <c r="F2433" s="3"/>
      <c r="G2433" s="3"/>
      <c r="H2433" s="3"/>
      <c r="I2433" s="3"/>
      <c r="J2433" s="5"/>
    </row>
    <row r="2434" spans="5:10" x14ac:dyDescent="0.25">
      <c r="E2434" s="3"/>
      <c r="F2434" s="3"/>
      <c r="G2434" s="3"/>
      <c r="H2434" s="3"/>
      <c r="I2434" s="3"/>
      <c r="J2434" s="5"/>
    </row>
    <row r="2435" spans="5:10" x14ac:dyDescent="0.25">
      <c r="E2435" s="3"/>
      <c r="F2435" s="3"/>
      <c r="G2435" s="3"/>
      <c r="H2435" s="3"/>
      <c r="I2435" s="3"/>
      <c r="J2435" s="5"/>
    </row>
    <row r="2436" spans="5:10" x14ac:dyDescent="0.25">
      <c r="E2436" s="3"/>
      <c r="F2436" s="3"/>
      <c r="G2436" s="3"/>
      <c r="H2436" s="3"/>
      <c r="I2436" s="3"/>
      <c r="J2436" s="5"/>
    </row>
    <row r="2437" spans="5:10" x14ac:dyDescent="0.25">
      <c r="E2437" s="3"/>
      <c r="F2437" s="3"/>
      <c r="G2437" s="3"/>
      <c r="H2437" s="3"/>
      <c r="I2437" s="3"/>
      <c r="J2437" s="5"/>
    </row>
    <row r="2438" spans="5:10" x14ac:dyDescent="0.25">
      <c r="E2438" s="3"/>
      <c r="F2438" s="3"/>
      <c r="G2438" s="3"/>
      <c r="H2438" s="3"/>
      <c r="I2438" s="3"/>
      <c r="J2438" s="5"/>
    </row>
    <row r="2439" spans="5:10" x14ac:dyDescent="0.25">
      <c r="E2439" s="3"/>
      <c r="F2439" s="3"/>
      <c r="G2439" s="3"/>
      <c r="H2439" s="3"/>
      <c r="I2439" s="3"/>
      <c r="J2439" s="5"/>
    </row>
    <row r="2440" spans="5:10" x14ac:dyDescent="0.25">
      <c r="E2440" s="3"/>
      <c r="F2440" s="3"/>
      <c r="G2440" s="3"/>
      <c r="H2440" s="3"/>
      <c r="I2440" s="3"/>
      <c r="J2440" s="5"/>
    </row>
    <row r="2441" spans="5:10" x14ac:dyDescent="0.25">
      <c r="E2441" s="3"/>
      <c r="F2441" s="3"/>
      <c r="G2441" s="3"/>
      <c r="H2441" s="3"/>
      <c r="I2441" s="3"/>
      <c r="J2441" s="5"/>
    </row>
    <row r="2442" spans="5:10" x14ac:dyDescent="0.25">
      <c r="E2442" s="3"/>
      <c r="F2442" s="3"/>
      <c r="G2442" s="3"/>
      <c r="H2442" s="3"/>
      <c r="I2442" s="3"/>
      <c r="J2442" s="5"/>
    </row>
    <row r="2443" spans="5:10" x14ac:dyDescent="0.25">
      <c r="E2443" s="3"/>
      <c r="F2443" s="3"/>
      <c r="G2443" s="3"/>
      <c r="H2443" s="3"/>
      <c r="I2443" s="3"/>
      <c r="J2443" s="5"/>
    </row>
    <row r="2444" spans="5:10" x14ac:dyDescent="0.25">
      <c r="E2444" s="3"/>
      <c r="F2444" s="3"/>
      <c r="G2444" s="3"/>
      <c r="H2444" s="3"/>
      <c r="I2444" s="3"/>
      <c r="J2444" s="5"/>
    </row>
    <row r="2445" spans="5:10" x14ac:dyDescent="0.25">
      <c r="E2445" s="3"/>
      <c r="F2445" s="3"/>
      <c r="G2445" s="3"/>
      <c r="H2445" s="3"/>
      <c r="I2445" s="3"/>
      <c r="J2445" s="5"/>
    </row>
    <row r="2446" spans="5:10" x14ac:dyDescent="0.25">
      <c r="E2446" s="3"/>
      <c r="F2446" s="3"/>
      <c r="G2446" s="3"/>
      <c r="H2446" s="3"/>
      <c r="I2446" s="3"/>
      <c r="J2446" s="5"/>
    </row>
    <row r="2447" spans="5:10" x14ac:dyDescent="0.25">
      <c r="E2447" s="3"/>
      <c r="F2447" s="3"/>
      <c r="G2447" s="3"/>
      <c r="H2447" s="3"/>
      <c r="I2447" s="3"/>
      <c r="J2447" s="5"/>
    </row>
    <row r="2448" spans="5:10" x14ac:dyDescent="0.25">
      <c r="E2448" s="3"/>
      <c r="F2448" s="3"/>
      <c r="G2448" s="3"/>
      <c r="H2448" s="3"/>
      <c r="I2448" s="3"/>
      <c r="J2448" s="5"/>
    </row>
    <row r="2449" spans="5:10" x14ac:dyDescent="0.25">
      <c r="E2449" s="3"/>
      <c r="F2449" s="3"/>
      <c r="G2449" s="3"/>
      <c r="H2449" s="3"/>
      <c r="I2449" s="3"/>
      <c r="J2449" s="5"/>
    </row>
    <row r="2450" spans="5:10" x14ac:dyDescent="0.25">
      <c r="E2450" s="3"/>
      <c r="F2450" s="3"/>
      <c r="G2450" s="3"/>
      <c r="H2450" s="3"/>
      <c r="I2450" s="3"/>
      <c r="J2450" s="5"/>
    </row>
    <row r="2451" spans="5:10" x14ac:dyDescent="0.25">
      <c r="E2451" s="3"/>
      <c r="F2451" s="3"/>
      <c r="G2451" s="3"/>
      <c r="H2451" s="3"/>
      <c r="I2451" s="3"/>
      <c r="J2451" s="5"/>
    </row>
    <row r="2452" spans="5:10" x14ac:dyDescent="0.25">
      <c r="E2452" s="3"/>
      <c r="F2452" s="3"/>
      <c r="G2452" s="3"/>
      <c r="H2452" s="3"/>
      <c r="I2452" s="3"/>
      <c r="J2452" s="5"/>
    </row>
    <row r="2453" spans="5:10" x14ac:dyDescent="0.25">
      <c r="E2453" s="3"/>
      <c r="F2453" s="3"/>
      <c r="G2453" s="3"/>
      <c r="H2453" s="3"/>
      <c r="I2453" s="3"/>
      <c r="J2453" s="5"/>
    </row>
    <row r="2454" spans="5:10" x14ac:dyDescent="0.25">
      <c r="E2454" s="3"/>
      <c r="F2454" s="3"/>
      <c r="G2454" s="3"/>
      <c r="H2454" s="3"/>
      <c r="I2454" s="3"/>
      <c r="J2454" s="5"/>
    </row>
    <row r="2455" spans="5:10" x14ac:dyDescent="0.25">
      <c r="E2455" s="3"/>
      <c r="F2455" s="3"/>
      <c r="G2455" s="3"/>
      <c r="H2455" s="3"/>
      <c r="I2455" s="3"/>
      <c r="J2455" s="5"/>
    </row>
    <row r="2456" spans="5:10" x14ac:dyDescent="0.25">
      <c r="E2456" s="3"/>
      <c r="F2456" s="3"/>
      <c r="G2456" s="3"/>
      <c r="H2456" s="3"/>
      <c r="I2456" s="3"/>
      <c r="J2456" s="5"/>
    </row>
    <row r="2457" spans="5:10" x14ac:dyDescent="0.25">
      <c r="E2457" s="3"/>
      <c r="F2457" s="3"/>
      <c r="G2457" s="3"/>
      <c r="H2457" s="3"/>
      <c r="I2457" s="3"/>
      <c r="J2457" s="5"/>
    </row>
    <row r="2458" spans="5:10" x14ac:dyDescent="0.25">
      <c r="E2458" s="3"/>
      <c r="F2458" s="3"/>
      <c r="G2458" s="3"/>
      <c r="H2458" s="3"/>
      <c r="I2458" s="3"/>
      <c r="J2458" s="5"/>
    </row>
    <row r="2459" spans="5:10" x14ac:dyDescent="0.25">
      <c r="E2459" s="3"/>
      <c r="F2459" s="3"/>
      <c r="G2459" s="3"/>
      <c r="H2459" s="3"/>
      <c r="I2459" s="3"/>
      <c r="J2459" s="5"/>
    </row>
    <row r="2460" spans="5:10" x14ac:dyDescent="0.25">
      <c r="E2460" s="3"/>
      <c r="F2460" s="3"/>
      <c r="G2460" s="3"/>
      <c r="H2460" s="3"/>
      <c r="I2460" s="3"/>
      <c r="J2460" s="5"/>
    </row>
    <row r="2461" spans="5:10" x14ac:dyDescent="0.25">
      <c r="E2461" s="3"/>
      <c r="F2461" s="3"/>
      <c r="G2461" s="3"/>
      <c r="H2461" s="3"/>
      <c r="I2461" s="3"/>
      <c r="J2461" s="5"/>
    </row>
    <row r="2462" spans="5:10" x14ac:dyDescent="0.25">
      <c r="E2462" s="3"/>
      <c r="F2462" s="3"/>
      <c r="G2462" s="3"/>
      <c r="H2462" s="3"/>
      <c r="I2462" s="3"/>
      <c r="J2462" s="5"/>
    </row>
    <row r="2463" spans="5:10" x14ac:dyDescent="0.25">
      <c r="E2463" s="3"/>
      <c r="F2463" s="3"/>
      <c r="G2463" s="3"/>
      <c r="H2463" s="3"/>
      <c r="I2463" s="3"/>
      <c r="J2463" s="5"/>
    </row>
    <row r="2464" spans="5:10" x14ac:dyDescent="0.25">
      <c r="E2464" s="3"/>
      <c r="F2464" s="3"/>
      <c r="G2464" s="3"/>
      <c r="H2464" s="3"/>
      <c r="I2464" s="3"/>
      <c r="J2464" s="5"/>
    </row>
    <row r="2465" spans="5:10" x14ac:dyDescent="0.25">
      <c r="E2465" s="3"/>
      <c r="F2465" s="3"/>
      <c r="G2465" s="3"/>
      <c r="H2465" s="3"/>
      <c r="I2465" s="3"/>
      <c r="J2465" s="5"/>
    </row>
    <row r="2466" spans="5:10" x14ac:dyDescent="0.25">
      <c r="E2466" s="3"/>
      <c r="F2466" s="3"/>
      <c r="G2466" s="3"/>
      <c r="H2466" s="3"/>
      <c r="I2466" s="3"/>
      <c r="J2466" s="5"/>
    </row>
    <row r="2467" spans="5:10" x14ac:dyDescent="0.25">
      <c r="E2467" s="3"/>
      <c r="F2467" s="3"/>
      <c r="G2467" s="3"/>
      <c r="H2467" s="3"/>
      <c r="I2467" s="3"/>
      <c r="J2467" s="5"/>
    </row>
    <row r="2468" spans="5:10" x14ac:dyDescent="0.25">
      <c r="E2468" s="3"/>
      <c r="F2468" s="3"/>
      <c r="G2468" s="3"/>
      <c r="H2468" s="3"/>
      <c r="I2468" s="3"/>
      <c r="J2468" s="5"/>
    </row>
    <row r="2469" spans="5:10" x14ac:dyDescent="0.25">
      <c r="E2469" s="3"/>
      <c r="F2469" s="3"/>
      <c r="G2469" s="3"/>
      <c r="H2469" s="3"/>
      <c r="I2469" s="3"/>
      <c r="J2469" s="5"/>
    </row>
    <row r="2470" spans="5:10" x14ac:dyDescent="0.25">
      <c r="E2470" s="3"/>
      <c r="F2470" s="3"/>
      <c r="G2470" s="3"/>
      <c r="H2470" s="3"/>
      <c r="I2470" s="3"/>
      <c r="J2470" s="5"/>
    </row>
    <row r="2471" spans="5:10" x14ac:dyDescent="0.25">
      <c r="E2471" s="3"/>
      <c r="F2471" s="3"/>
      <c r="G2471" s="3"/>
      <c r="H2471" s="3"/>
      <c r="I2471" s="3"/>
      <c r="J2471" s="5"/>
    </row>
    <row r="2472" spans="5:10" x14ac:dyDescent="0.25">
      <c r="E2472" s="3"/>
      <c r="F2472" s="3"/>
      <c r="G2472" s="3"/>
      <c r="H2472" s="3"/>
      <c r="I2472" s="3"/>
      <c r="J2472" s="5"/>
    </row>
    <row r="2473" spans="5:10" x14ac:dyDescent="0.25">
      <c r="E2473" s="3"/>
      <c r="F2473" s="3"/>
      <c r="G2473" s="3"/>
      <c r="H2473" s="3"/>
      <c r="I2473" s="3"/>
      <c r="J2473" s="5"/>
    </row>
    <row r="2474" spans="5:10" x14ac:dyDescent="0.25">
      <c r="E2474" s="3"/>
      <c r="F2474" s="3"/>
      <c r="G2474" s="3"/>
      <c r="H2474" s="3"/>
      <c r="I2474" s="3"/>
      <c r="J2474" s="5"/>
    </row>
    <row r="2475" spans="5:10" x14ac:dyDescent="0.25">
      <c r="E2475" s="3"/>
      <c r="F2475" s="3"/>
      <c r="G2475" s="3"/>
      <c r="H2475" s="3"/>
      <c r="I2475" s="3"/>
      <c r="J2475" s="5"/>
    </row>
    <row r="2476" spans="5:10" x14ac:dyDescent="0.25">
      <c r="E2476" s="3"/>
      <c r="F2476" s="3"/>
      <c r="G2476" s="3"/>
      <c r="H2476" s="3"/>
      <c r="I2476" s="3"/>
      <c r="J2476" s="5"/>
    </row>
    <row r="2477" spans="5:10" x14ac:dyDescent="0.25">
      <c r="E2477" s="3"/>
      <c r="F2477" s="3"/>
      <c r="G2477" s="3"/>
      <c r="H2477" s="3"/>
      <c r="I2477" s="3"/>
      <c r="J2477" s="5"/>
    </row>
    <row r="2478" spans="5:10" x14ac:dyDescent="0.25">
      <c r="E2478" s="3"/>
      <c r="F2478" s="3"/>
      <c r="G2478" s="3"/>
      <c r="H2478" s="3"/>
      <c r="I2478" s="3"/>
      <c r="J2478" s="5"/>
    </row>
    <row r="2479" spans="5:10" x14ac:dyDescent="0.25">
      <c r="E2479" s="3"/>
      <c r="F2479" s="3"/>
      <c r="G2479" s="3"/>
      <c r="H2479" s="3"/>
      <c r="I2479" s="3"/>
      <c r="J2479" s="5"/>
    </row>
    <row r="2480" spans="5:10" x14ac:dyDescent="0.25">
      <c r="E2480" s="3"/>
      <c r="F2480" s="3"/>
      <c r="G2480" s="3"/>
      <c r="H2480" s="3"/>
      <c r="I2480" s="3"/>
      <c r="J2480" s="5"/>
    </row>
    <row r="2481" spans="5:10" x14ac:dyDescent="0.25">
      <c r="E2481" s="3"/>
      <c r="F2481" s="3"/>
      <c r="G2481" s="3"/>
      <c r="H2481" s="3"/>
      <c r="I2481" s="3"/>
      <c r="J2481" s="5"/>
    </row>
    <row r="2482" spans="5:10" x14ac:dyDescent="0.25">
      <c r="E2482" s="3"/>
      <c r="F2482" s="3"/>
      <c r="G2482" s="3"/>
      <c r="H2482" s="3"/>
      <c r="I2482" s="3"/>
      <c r="J2482" s="5"/>
    </row>
    <row r="2483" spans="5:10" x14ac:dyDescent="0.25">
      <c r="E2483" s="3"/>
      <c r="F2483" s="3"/>
      <c r="G2483" s="3"/>
      <c r="H2483" s="3"/>
      <c r="I2483" s="3"/>
      <c r="J2483" s="5"/>
    </row>
    <row r="2484" spans="5:10" x14ac:dyDescent="0.25">
      <c r="E2484" s="3"/>
      <c r="F2484" s="3"/>
      <c r="G2484" s="3"/>
      <c r="H2484" s="3"/>
      <c r="I2484" s="3"/>
      <c r="J2484" s="5"/>
    </row>
    <row r="2485" spans="5:10" x14ac:dyDescent="0.25">
      <c r="E2485" s="3"/>
      <c r="F2485" s="3"/>
      <c r="G2485" s="3"/>
      <c r="H2485" s="3"/>
      <c r="I2485" s="3"/>
      <c r="J2485" s="5"/>
    </row>
    <row r="2486" spans="5:10" x14ac:dyDescent="0.25">
      <c r="E2486" s="3"/>
      <c r="F2486" s="3"/>
      <c r="G2486" s="3"/>
      <c r="H2486" s="3"/>
      <c r="I2486" s="3"/>
      <c r="J2486" s="5"/>
    </row>
    <row r="2487" spans="5:10" x14ac:dyDescent="0.25">
      <c r="E2487" s="3"/>
      <c r="F2487" s="3"/>
      <c r="G2487" s="3"/>
      <c r="H2487" s="3"/>
      <c r="I2487" s="3"/>
      <c r="J2487" s="5"/>
    </row>
    <row r="2488" spans="5:10" x14ac:dyDescent="0.25">
      <c r="E2488" s="3"/>
      <c r="F2488" s="3"/>
      <c r="G2488" s="3"/>
      <c r="H2488" s="3"/>
      <c r="I2488" s="3"/>
      <c r="J2488" s="5"/>
    </row>
    <row r="2489" spans="5:10" x14ac:dyDescent="0.25">
      <c r="E2489" s="3"/>
      <c r="F2489" s="3"/>
      <c r="G2489" s="3"/>
      <c r="H2489" s="3"/>
      <c r="I2489" s="3"/>
      <c r="J2489" s="5"/>
    </row>
    <row r="2490" spans="5:10" x14ac:dyDescent="0.25">
      <c r="E2490" s="3"/>
      <c r="F2490" s="3"/>
      <c r="G2490" s="3"/>
      <c r="H2490" s="3"/>
      <c r="I2490" s="3"/>
      <c r="J2490" s="5"/>
    </row>
    <row r="2491" spans="5:10" x14ac:dyDescent="0.25">
      <c r="E2491" s="3"/>
      <c r="F2491" s="3"/>
      <c r="G2491" s="3"/>
      <c r="H2491" s="3"/>
      <c r="I2491" s="3"/>
      <c r="J2491" s="5"/>
    </row>
    <row r="2492" spans="5:10" x14ac:dyDescent="0.25">
      <c r="E2492" s="3"/>
      <c r="F2492" s="3"/>
      <c r="G2492" s="3"/>
      <c r="H2492" s="3"/>
      <c r="I2492" s="3"/>
      <c r="J2492" s="5"/>
    </row>
    <row r="2493" spans="5:10" x14ac:dyDescent="0.25">
      <c r="E2493" s="3"/>
      <c r="F2493" s="3"/>
      <c r="G2493" s="3"/>
      <c r="H2493" s="3"/>
      <c r="I2493" s="3"/>
      <c r="J2493" s="5"/>
    </row>
    <row r="2494" spans="5:10" x14ac:dyDescent="0.25">
      <c r="E2494" s="3"/>
      <c r="F2494" s="3"/>
      <c r="G2494" s="3"/>
      <c r="H2494" s="3"/>
      <c r="I2494" s="3"/>
      <c r="J2494" s="5"/>
    </row>
    <row r="2495" spans="5:10" x14ac:dyDescent="0.25">
      <c r="E2495" s="3"/>
      <c r="F2495" s="3"/>
      <c r="G2495" s="3"/>
      <c r="H2495" s="3"/>
      <c r="I2495" s="3"/>
      <c r="J2495" s="5"/>
    </row>
    <row r="2496" spans="5:10" x14ac:dyDescent="0.25">
      <c r="E2496" s="3"/>
      <c r="F2496" s="3"/>
      <c r="G2496" s="3"/>
      <c r="H2496" s="3"/>
      <c r="I2496" s="3"/>
      <c r="J2496" s="5"/>
    </row>
    <row r="2497" spans="5:10" x14ac:dyDescent="0.25">
      <c r="E2497" s="3"/>
      <c r="F2497" s="3"/>
      <c r="G2497" s="3"/>
      <c r="H2497" s="3"/>
      <c r="I2497" s="3"/>
      <c r="J2497" s="5"/>
    </row>
    <row r="2498" spans="5:10" x14ac:dyDescent="0.25">
      <c r="E2498" s="3"/>
      <c r="F2498" s="3"/>
      <c r="G2498" s="3"/>
      <c r="H2498" s="3"/>
      <c r="I2498" s="3"/>
      <c r="J2498" s="5"/>
    </row>
    <row r="2499" spans="5:10" x14ac:dyDescent="0.25">
      <c r="E2499" s="3"/>
      <c r="F2499" s="3"/>
      <c r="G2499" s="3"/>
      <c r="H2499" s="3"/>
      <c r="I2499" s="3"/>
      <c r="J2499" s="5"/>
    </row>
    <row r="2500" spans="5:10" x14ac:dyDescent="0.25">
      <c r="E2500" s="3"/>
      <c r="F2500" s="3"/>
      <c r="G2500" s="3"/>
      <c r="H2500" s="3"/>
      <c r="I2500" s="3"/>
      <c r="J2500" s="5"/>
    </row>
    <row r="2501" spans="5:10" x14ac:dyDescent="0.25">
      <c r="E2501" s="3"/>
      <c r="F2501" s="3"/>
      <c r="G2501" s="3"/>
      <c r="H2501" s="3"/>
      <c r="I2501" s="3"/>
      <c r="J2501" s="5"/>
    </row>
    <row r="2502" spans="5:10" x14ac:dyDescent="0.25">
      <c r="E2502" s="3"/>
      <c r="F2502" s="3"/>
      <c r="G2502" s="3"/>
      <c r="H2502" s="3"/>
      <c r="I2502" s="3"/>
      <c r="J2502" s="5"/>
    </row>
    <row r="2503" spans="5:10" x14ac:dyDescent="0.25">
      <c r="E2503" s="3"/>
      <c r="F2503" s="3"/>
      <c r="G2503" s="3"/>
      <c r="H2503" s="3"/>
      <c r="I2503" s="3"/>
      <c r="J2503" s="5"/>
    </row>
    <row r="2504" spans="5:10" x14ac:dyDescent="0.25">
      <c r="E2504" s="3"/>
      <c r="F2504" s="3"/>
      <c r="G2504" s="3"/>
      <c r="H2504" s="3"/>
      <c r="I2504" s="3"/>
      <c r="J2504" s="5"/>
    </row>
    <row r="2505" spans="5:10" x14ac:dyDescent="0.25">
      <c r="E2505" s="3"/>
      <c r="F2505" s="3"/>
      <c r="G2505" s="3"/>
      <c r="H2505" s="3"/>
      <c r="I2505" s="3"/>
      <c r="J2505" s="5"/>
    </row>
    <row r="2506" spans="5:10" x14ac:dyDescent="0.25">
      <c r="E2506" s="3"/>
      <c r="F2506" s="3"/>
      <c r="G2506" s="3"/>
      <c r="H2506" s="3"/>
      <c r="I2506" s="3"/>
      <c r="J2506" s="5"/>
    </row>
    <row r="2507" spans="5:10" x14ac:dyDescent="0.25">
      <c r="E2507" s="3"/>
      <c r="F2507" s="3"/>
      <c r="G2507" s="3"/>
      <c r="H2507" s="3"/>
      <c r="I2507" s="3"/>
      <c r="J2507" s="5"/>
    </row>
    <row r="2508" spans="5:10" x14ac:dyDescent="0.25">
      <c r="E2508" s="3"/>
      <c r="F2508" s="3"/>
      <c r="G2508" s="3"/>
      <c r="H2508" s="3"/>
      <c r="I2508" s="3"/>
      <c r="J2508" s="5"/>
    </row>
    <row r="2509" spans="5:10" x14ac:dyDescent="0.25">
      <c r="E2509" s="3"/>
      <c r="F2509" s="3"/>
      <c r="G2509" s="3"/>
      <c r="H2509" s="3"/>
      <c r="I2509" s="3"/>
      <c r="J2509" s="5"/>
    </row>
    <row r="2510" spans="5:10" x14ac:dyDescent="0.25">
      <c r="E2510" s="3"/>
      <c r="F2510" s="3"/>
      <c r="G2510" s="3"/>
      <c r="H2510" s="3"/>
      <c r="I2510" s="3"/>
      <c r="J2510" s="5"/>
    </row>
    <row r="2511" spans="5:10" x14ac:dyDescent="0.25">
      <c r="E2511" s="3"/>
      <c r="F2511" s="3"/>
      <c r="G2511" s="3"/>
      <c r="H2511" s="3"/>
      <c r="I2511" s="3"/>
      <c r="J2511" s="5"/>
    </row>
    <row r="2512" spans="5:10" x14ac:dyDescent="0.25">
      <c r="E2512" s="3"/>
      <c r="F2512" s="3"/>
      <c r="G2512" s="3"/>
      <c r="H2512" s="3"/>
      <c r="I2512" s="3"/>
      <c r="J2512" s="5"/>
    </row>
    <row r="2513" spans="5:10" x14ac:dyDescent="0.25">
      <c r="E2513" s="3"/>
      <c r="F2513" s="3"/>
      <c r="G2513" s="3"/>
      <c r="H2513" s="3"/>
      <c r="I2513" s="3"/>
      <c r="J2513" s="5"/>
    </row>
    <row r="2514" spans="5:10" x14ac:dyDescent="0.25">
      <c r="E2514" s="3"/>
      <c r="F2514" s="3"/>
      <c r="G2514" s="3"/>
      <c r="H2514" s="3"/>
      <c r="I2514" s="3"/>
      <c r="J2514" s="5"/>
    </row>
    <row r="2515" spans="5:10" x14ac:dyDescent="0.25">
      <c r="E2515" s="3"/>
      <c r="F2515" s="3"/>
      <c r="G2515" s="3"/>
      <c r="H2515" s="3"/>
      <c r="I2515" s="3"/>
      <c r="J2515" s="5"/>
    </row>
    <row r="2516" spans="5:10" x14ac:dyDescent="0.25">
      <c r="E2516" s="3"/>
      <c r="F2516" s="3"/>
      <c r="G2516" s="3"/>
      <c r="H2516" s="3"/>
      <c r="I2516" s="3"/>
      <c r="J2516" s="5"/>
    </row>
    <row r="2517" spans="5:10" x14ac:dyDescent="0.25">
      <c r="E2517" s="3"/>
      <c r="F2517" s="3"/>
      <c r="G2517" s="3"/>
      <c r="H2517" s="3"/>
      <c r="I2517" s="3"/>
      <c r="J2517" s="5"/>
    </row>
    <row r="2518" spans="5:10" x14ac:dyDescent="0.25">
      <c r="E2518" s="3"/>
      <c r="F2518" s="3"/>
      <c r="G2518" s="3"/>
      <c r="H2518" s="3"/>
      <c r="I2518" s="3"/>
      <c r="J2518" s="5"/>
    </row>
    <row r="2519" spans="5:10" x14ac:dyDescent="0.25">
      <c r="E2519" s="3"/>
      <c r="F2519" s="3"/>
      <c r="G2519" s="3"/>
      <c r="H2519" s="3"/>
      <c r="I2519" s="3"/>
      <c r="J2519" s="5"/>
    </row>
    <row r="2520" spans="5:10" x14ac:dyDescent="0.25">
      <c r="E2520" s="3"/>
      <c r="F2520" s="3"/>
      <c r="G2520" s="3"/>
      <c r="H2520" s="3"/>
      <c r="I2520" s="3"/>
      <c r="J2520" s="5"/>
    </row>
    <row r="2521" spans="5:10" x14ac:dyDescent="0.25">
      <c r="E2521" s="3"/>
      <c r="F2521" s="3"/>
      <c r="G2521" s="3"/>
      <c r="H2521" s="3"/>
      <c r="I2521" s="3"/>
      <c r="J2521" s="5"/>
    </row>
    <row r="2522" spans="5:10" x14ac:dyDescent="0.25">
      <c r="E2522" s="3"/>
      <c r="F2522" s="3"/>
      <c r="G2522" s="3"/>
      <c r="H2522" s="3"/>
      <c r="I2522" s="3"/>
      <c r="J2522" s="5"/>
    </row>
    <row r="2523" spans="5:10" x14ac:dyDescent="0.25">
      <c r="E2523" s="3"/>
      <c r="F2523" s="3"/>
      <c r="G2523" s="3"/>
      <c r="H2523" s="3"/>
      <c r="I2523" s="3"/>
      <c r="J2523" s="5"/>
    </row>
    <row r="2524" spans="5:10" x14ac:dyDescent="0.25">
      <c r="E2524" s="3"/>
      <c r="F2524" s="3"/>
      <c r="G2524" s="3"/>
      <c r="H2524" s="3"/>
      <c r="I2524" s="3"/>
      <c r="J2524" s="5"/>
    </row>
    <row r="2525" spans="5:10" x14ac:dyDescent="0.25">
      <c r="E2525" s="3"/>
      <c r="F2525" s="3"/>
      <c r="G2525" s="3"/>
      <c r="H2525" s="3"/>
      <c r="I2525" s="3"/>
      <c r="J2525" s="5"/>
    </row>
    <row r="2526" spans="5:10" x14ac:dyDescent="0.25">
      <c r="E2526" s="3"/>
      <c r="F2526" s="3"/>
      <c r="G2526" s="3"/>
      <c r="H2526" s="3"/>
      <c r="I2526" s="3"/>
      <c r="J2526" s="5"/>
    </row>
    <row r="2527" spans="5:10" x14ac:dyDescent="0.25">
      <c r="E2527" s="3"/>
      <c r="F2527" s="3"/>
      <c r="G2527" s="3"/>
      <c r="H2527" s="3"/>
      <c r="I2527" s="3"/>
      <c r="J2527" s="5"/>
    </row>
    <row r="2528" spans="5:10" x14ac:dyDescent="0.25">
      <c r="E2528" s="3"/>
      <c r="F2528" s="3"/>
      <c r="G2528" s="3"/>
      <c r="H2528" s="3"/>
      <c r="I2528" s="3"/>
      <c r="J2528" s="5"/>
    </row>
    <row r="2529" spans="5:10" x14ac:dyDescent="0.25">
      <c r="E2529" s="3"/>
      <c r="F2529" s="3"/>
      <c r="G2529" s="3"/>
      <c r="H2529" s="3"/>
      <c r="I2529" s="3"/>
      <c r="J2529" s="5"/>
    </row>
    <row r="2530" spans="5:10" x14ac:dyDescent="0.25">
      <c r="E2530" s="3"/>
      <c r="F2530" s="3"/>
      <c r="G2530" s="3"/>
      <c r="H2530" s="3"/>
      <c r="I2530" s="3"/>
      <c r="J2530" s="5"/>
    </row>
    <row r="2531" spans="5:10" x14ac:dyDescent="0.25">
      <c r="E2531" s="3"/>
      <c r="F2531" s="3"/>
      <c r="G2531" s="3"/>
      <c r="H2531" s="3"/>
      <c r="I2531" s="3"/>
      <c r="J2531" s="5"/>
    </row>
    <row r="2532" spans="5:10" x14ac:dyDescent="0.25">
      <c r="E2532" s="3"/>
      <c r="F2532" s="3"/>
      <c r="G2532" s="3"/>
      <c r="H2532" s="3"/>
      <c r="I2532" s="3"/>
      <c r="J2532" s="5"/>
    </row>
    <row r="2533" spans="5:10" x14ac:dyDescent="0.25">
      <c r="E2533" s="3"/>
      <c r="F2533" s="3"/>
      <c r="G2533" s="3"/>
      <c r="H2533" s="3"/>
      <c r="I2533" s="3"/>
      <c r="J2533" s="5"/>
    </row>
    <row r="2534" spans="5:10" x14ac:dyDescent="0.25">
      <c r="E2534" s="3"/>
      <c r="F2534" s="3"/>
      <c r="G2534" s="3"/>
      <c r="H2534" s="3"/>
      <c r="I2534" s="3"/>
      <c r="J2534" s="5"/>
    </row>
    <row r="2535" spans="5:10" x14ac:dyDescent="0.25">
      <c r="E2535" s="3"/>
      <c r="F2535" s="3"/>
      <c r="G2535" s="3"/>
      <c r="H2535" s="3"/>
      <c r="I2535" s="3"/>
      <c r="J2535" s="5"/>
    </row>
    <row r="2536" spans="5:10" x14ac:dyDescent="0.25">
      <c r="E2536" s="3"/>
      <c r="F2536" s="3"/>
      <c r="G2536" s="3"/>
      <c r="H2536" s="3"/>
      <c r="I2536" s="3"/>
      <c r="J2536" s="5"/>
    </row>
    <row r="2537" spans="5:10" x14ac:dyDescent="0.25">
      <c r="E2537" s="3"/>
      <c r="F2537" s="3"/>
      <c r="G2537" s="3"/>
      <c r="H2537" s="3"/>
      <c r="I2537" s="3"/>
      <c r="J2537" s="5"/>
    </row>
    <row r="2538" spans="5:10" x14ac:dyDescent="0.25">
      <c r="E2538" s="3"/>
      <c r="F2538" s="3"/>
      <c r="G2538" s="3"/>
      <c r="H2538" s="3"/>
      <c r="I2538" s="3"/>
      <c r="J2538" s="5"/>
    </row>
    <row r="2539" spans="5:10" x14ac:dyDescent="0.25">
      <c r="E2539" s="3"/>
      <c r="F2539" s="3"/>
      <c r="G2539" s="3"/>
      <c r="H2539" s="3"/>
      <c r="I2539" s="3"/>
      <c r="J2539" s="5"/>
    </row>
    <row r="2540" spans="5:10" x14ac:dyDescent="0.25">
      <c r="E2540" s="3"/>
      <c r="F2540" s="3"/>
      <c r="G2540" s="3"/>
      <c r="H2540" s="3"/>
      <c r="I2540" s="3"/>
      <c r="J2540" s="5"/>
    </row>
    <row r="2541" spans="5:10" x14ac:dyDescent="0.25">
      <c r="E2541" s="3"/>
      <c r="F2541" s="3"/>
      <c r="G2541" s="3"/>
      <c r="H2541" s="3"/>
      <c r="I2541" s="3"/>
      <c r="J2541" s="5"/>
    </row>
    <row r="2542" spans="5:10" x14ac:dyDescent="0.25">
      <c r="E2542" s="3"/>
      <c r="F2542" s="3"/>
      <c r="G2542" s="3"/>
      <c r="H2542" s="3"/>
      <c r="I2542" s="3"/>
      <c r="J2542" s="5"/>
    </row>
    <row r="2543" spans="5:10" x14ac:dyDescent="0.25">
      <c r="E2543" s="3"/>
      <c r="F2543" s="3"/>
      <c r="G2543" s="3"/>
      <c r="H2543" s="3"/>
      <c r="I2543" s="3"/>
      <c r="J2543" s="5"/>
    </row>
    <row r="2544" spans="5:10" x14ac:dyDescent="0.25">
      <c r="E2544" s="3"/>
      <c r="F2544" s="3"/>
      <c r="G2544" s="3"/>
      <c r="H2544" s="3"/>
      <c r="I2544" s="3"/>
      <c r="J2544" s="5"/>
    </row>
    <row r="2545" spans="5:10" x14ac:dyDescent="0.25">
      <c r="E2545" s="3"/>
      <c r="F2545" s="3"/>
      <c r="G2545" s="3"/>
      <c r="H2545" s="3"/>
      <c r="I2545" s="3"/>
      <c r="J2545" s="5"/>
    </row>
    <row r="2546" spans="5:10" x14ac:dyDescent="0.25">
      <c r="E2546" s="3"/>
      <c r="F2546" s="3"/>
      <c r="G2546" s="3"/>
      <c r="H2546" s="3"/>
      <c r="I2546" s="3"/>
      <c r="J2546" s="5"/>
    </row>
    <row r="2547" spans="5:10" x14ac:dyDescent="0.25">
      <c r="E2547" s="3"/>
      <c r="F2547" s="3"/>
      <c r="G2547" s="3"/>
      <c r="H2547" s="3"/>
      <c r="I2547" s="3"/>
      <c r="J2547" s="5"/>
    </row>
    <row r="2548" spans="5:10" x14ac:dyDescent="0.25">
      <c r="E2548" s="3"/>
      <c r="F2548" s="3"/>
      <c r="G2548" s="3"/>
      <c r="H2548" s="3"/>
      <c r="I2548" s="3"/>
      <c r="J2548" s="5"/>
    </row>
    <row r="2549" spans="5:10" x14ac:dyDescent="0.25">
      <c r="E2549" s="3"/>
      <c r="F2549" s="3"/>
      <c r="G2549" s="3"/>
      <c r="H2549" s="3"/>
      <c r="I2549" s="3"/>
      <c r="J2549" s="5"/>
    </row>
    <row r="2550" spans="5:10" x14ac:dyDescent="0.25">
      <c r="E2550" s="3"/>
      <c r="F2550" s="3"/>
      <c r="G2550" s="3"/>
      <c r="H2550" s="3"/>
      <c r="I2550" s="3"/>
      <c r="J2550" s="5"/>
    </row>
    <row r="2551" spans="5:10" x14ac:dyDescent="0.25">
      <c r="E2551" s="3"/>
      <c r="F2551" s="3"/>
      <c r="G2551" s="3"/>
      <c r="H2551" s="3"/>
      <c r="I2551" s="3"/>
      <c r="J2551" s="5"/>
    </row>
    <row r="2552" spans="5:10" x14ac:dyDescent="0.25">
      <c r="E2552" s="3"/>
      <c r="F2552" s="3"/>
      <c r="G2552" s="3"/>
      <c r="H2552" s="3"/>
      <c r="I2552" s="3"/>
      <c r="J2552" s="5"/>
    </row>
    <row r="2553" spans="5:10" x14ac:dyDescent="0.25">
      <c r="E2553" s="3"/>
      <c r="F2553" s="3"/>
      <c r="G2553" s="3"/>
      <c r="H2553" s="3"/>
      <c r="I2553" s="3"/>
      <c r="J2553" s="5"/>
    </row>
    <row r="2554" spans="5:10" x14ac:dyDescent="0.25">
      <c r="E2554" s="3"/>
      <c r="F2554" s="3"/>
      <c r="G2554" s="3"/>
      <c r="H2554" s="3"/>
      <c r="I2554" s="3"/>
      <c r="J2554" s="5"/>
    </row>
    <row r="2555" spans="5:10" x14ac:dyDescent="0.25">
      <c r="E2555" s="3"/>
      <c r="F2555" s="3"/>
      <c r="G2555" s="3"/>
      <c r="H2555" s="3"/>
      <c r="I2555" s="3"/>
      <c r="J2555" s="5"/>
    </row>
    <row r="2556" spans="5:10" x14ac:dyDescent="0.25">
      <c r="E2556" s="3"/>
      <c r="F2556" s="3"/>
      <c r="G2556" s="3"/>
      <c r="H2556" s="3"/>
      <c r="I2556" s="3"/>
      <c r="J2556" s="5"/>
    </row>
    <row r="2557" spans="5:10" x14ac:dyDescent="0.25">
      <c r="E2557" s="3"/>
      <c r="F2557" s="3"/>
      <c r="G2557" s="3"/>
      <c r="H2557" s="3"/>
      <c r="I2557" s="3"/>
      <c r="J2557" s="5"/>
    </row>
    <row r="2558" spans="5:10" x14ac:dyDescent="0.25">
      <c r="E2558" s="3"/>
      <c r="F2558" s="3"/>
      <c r="G2558" s="3"/>
      <c r="H2558" s="3"/>
      <c r="I2558" s="3"/>
      <c r="J2558" s="5"/>
    </row>
    <row r="2559" spans="5:10" x14ac:dyDescent="0.25">
      <c r="E2559" s="3"/>
      <c r="F2559" s="3"/>
      <c r="G2559" s="3"/>
      <c r="H2559" s="3"/>
      <c r="I2559" s="3"/>
      <c r="J2559" s="5"/>
    </row>
    <row r="2560" spans="5:10" x14ac:dyDescent="0.25">
      <c r="E2560" s="3"/>
      <c r="F2560" s="3"/>
      <c r="G2560" s="3"/>
      <c r="H2560" s="3"/>
      <c r="I2560" s="3"/>
      <c r="J2560" s="5"/>
    </row>
    <row r="2561" spans="5:10" x14ac:dyDescent="0.25">
      <c r="E2561" s="3"/>
      <c r="F2561" s="3"/>
      <c r="G2561" s="3"/>
      <c r="H2561" s="3"/>
      <c r="I2561" s="3"/>
      <c r="J2561" s="5"/>
    </row>
    <row r="2562" spans="5:10" x14ac:dyDescent="0.25">
      <c r="E2562" s="3"/>
      <c r="F2562" s="3"/>
      <c r="G2562" s="3"/>
      <c r="H2562" s="3"/>
      <c r="I2562" s="3"/>
      <c r="J2562" s="5"/>
    </row>
    <row r="2563" spans="5:10" x14ac:dyDescent="0.25">
      <c r="E2563" s="3"/>
      <c r="F2563" s="3"/>
      <c r="G2563" s="3"/>
      <c r="H2563" s="3"/>
      <c r="I2563" s="3"/>
      <c r="J2563" s="5"/>
    </row>
    <row r="2564" spans="5:10" x14ac:dyDescent="0.25">
      <c r="E2564" s="3"/>
      <c r="F2564" s="3"/>
      <c r="G2564" s="3"/>
      <c r="H2564" s="3"/>
      <c r="I2564" s="3"/>
      <c r="J2564" s="5"/>
    </row>
    <row r="2565" spans="5:10" x14ac:dyDescent="0.25">
      <c r="E2565" s="3"/>
      <c r="F2565" s="3"/>
      <c r="G2565" s="3"/>
      <c r="H2565" s="3"/>
      <c r="I2565" s="3"/>
      <c r="J2565" s="5"/>
    </row>
    <row r="2566" spans="5:10" x14ac:dyDescent="0.25">
      <c r="E2566" s="3"/>
      <c r="F2566" s="3"/>
      <c r="G2566" s="3"/>
      <c r="H2566" s="3"/>
      <c r="I2566" s="3"/>
      <c r="J2566" s="5"/>
    </row>
    <row r="2567" spans="5:10" x14ac:dyDescent="0.25">
      <c r="E2567" s="3"/>
      <c r="F2567" s="3"/>
      <c r="G2567" s="3"/>
      <c r="H2567" s="3"/>
      <c r="I2567" s="3"/>
      <c r="J2567" s="5"/>
    </row>
    <row r="2568" spans="5:10" x14ac:dyDescent="0.25">
      <c r="E2568" s="3"/>
      <c r="F2568" s="3"/>
      <c r="G2568" s="3"/>
      <c r="H2568" s="3"/>
      <c r="I2568" s="3"/>
      <c r="J2568" s="5"/>
    </row>
    <row r="2569" spans="5:10" x14ac:dyDescent="0.25">
      <c r="E2569" s="3"/>
      <c r="F2569" s="3"/>
      <c r="G2569" s="3"/>
      <c r="H2569" s="3"/>
      <c r="I2569" s="3"/>
      <c r="J2569" s="5"/>
    </row>
    <row r="2570" spans="5:10" x14ac:dyDescent="0.25">
      <c r="E2570" s="3"/>
      <c r="F2570" s="3"/>
      <c r="G2570" s="3"/>
      <c r="H2570" s="3"/>
      <c r="I2570" s="3"/>
      <c r="J2570" s="5"/>
    </row>
    <row r="2571" spans="5:10" x14ac:dyDescent="0.25">
      <c r="E2571" s="3"/>
      <c r="F2571" s="3"/>
      <c r="G2571" s="3"/>
      <c r="H2571" s="3"/>
      <c r="I2571" s="3"/>
      <c r="J2571" s="5"/>
    </row>
    <row r="2572" spans="5:10" x14ac:dyDescent="0.25">
      <c r="E2572" s="3"/>
      <c r="F2572" s="3"/>
      <c r="G2572" s="3"/>
      <c r="H2572" s="3"/>
      <c r="I2572" s="3"/>
      <c r="J2572" s="5"/>
    </row>
    <row r="2573" spans="5:10" x14ac:dyDescent="0.25">
      <c r="E2573" s="3"/>
      <c r="F2573" s="3"/>
      <c r="G2573" s="3"/>
      <c r="H2573" s="3"/>
      <c r="I2573" s="3"/>
      <c r="J2573" s="5"/>
    </row>
    <row r="2574" spans="5:10" x14ac:dyDescent="0.25">
      <c r="E2574" s="3"/>
      <c r="F2574" s="3"/>
      <c r="G2574" s="3"/>
      <c r="H2574" s="3"/>
      <c r="I2574" s="3"/>
      <c r="J2574" s="5"/>
    </row>
    <row r="2575" spans="5:10" x14ac:dyDescent="0.25">
      <c r="E2575" s="3"/>
      <c r="F2575" s="3"/>
      <c r="G2575" s="3"/>
      <c r="H2575" s="3"/>
      <c r="I2575" s="3"/>
      <c r="J2575" s="5"/>
    </row>
    <row r="2576" spans="5:10" x14ac:dyDescent="0.25">
      <c r="E2576" s="3"/>
      <c r="F2576" s="3"/>
      <c r="G2576" s="3"/>
      <c r="H2576" s="3"/>
      <c r="I2576" s="3"/>
      <c r="J2576" s="5"/>
    </row>
    <row r="2577" spans="5:10" x14ac:dyDescent="0.25">
      <c r="E2577" s="3"/>
      <c r="F2577" s="3"/>
      <c r="G2577" s="3"/>
      <c r="H2577" s="3"/>
      <c r="I2577" s="3"/>
      <c r="J2577" s="5"/>
    </row>
    <row r="2578" spans="5:10" x14ac:dyDescent="0.25">
      <c r="E2578" s="3"/>
      <c r="F2578" s="3"/>
      <c r="G2578" s="3"/>
      <c r="H2578" s="3"/>
      <c r="I2578" s="3"/>
      <c r="J2578" s="5"/>
    </row>
    <row r="2579" spans="5:10" x14ac:dyDescent="0.25">
      <c r="E2579" s="3"/>
      <c r="F2579" s="3"/>
      <c r="G2579" s="3"/>
      <c r="H2579" s="3"/>
      <c r="I2579" s="3"/>
      <c r="J2579" s="5"/>
    </row>
    <row r="2580" spans="5:10" x14ac:dyDescent="0.25">
      <c r="E2580" s="3"/>
      <c r="F2580" s="3"/>
      <c r="G2580" s="3"/>
      <c r="H2580" s="3"/>
      <c r="I2580" s="3"/>
      <c r="J2580" s="5"/>
    </row>
    <row r="2581" spans="5:10" x14ac:dyDescent="0.25">
      <c r="E2581" s="3"/>
      <c r="F2581" s="3"/>
      <c r="G2581" s="3"/>
      <c r="H2581" s="3"/>
      <c r="I2581" s="3"/>
      <c r="J2581" s="5"/>
    </row>
    <row r="2582" spans="5:10" x14ac:dyDescent="0.25">
      <c r="E2582" s="3"/>
      <c r="F2582" s="3"/>
      <c r="G2582" s="3"/>
      <c r="H2582" s="3"/>
      <c r="I2582" s="3"/>
      <c r="J2582" s="5"/>
    </row>
    <row r="2583" spans="5:10" x14ac:dyDescent="0.25">
      <c r="E2583" s="3"/>
      <c r="F2583" s="3"/>
      <c r="G2583" s="3"/>
      <c r="H2583" s="3"/>
      <c r="I2583" s="3"/>
      <c r="J2583" s="5"/>
    </row>
    <row r="2584" spans="5:10" x14ac:dyDescent="0.25">
      <c r="E2584" s="3"/>
      <c r="F2584" s="3"/>
      <c r="G2584" s="3"/>
      <c r="H2584" s="3"/>
      <c r="I2584" s="3"/>
      <c r="J2584" s="5"/>
    </row>
    <row r="2585" spans="5:10" x14ac:dyDescent="0.25">
      <c r="E2585" s="3"/>
      <c r="F2585" s="3"/>
      <c r="G2585" s="3"/>
      <c r="H2585" s="3"/>
      <c r="I2585" s="3"/>
      <c r="J2585" s="5"/>
    </row>
    <row r="2586" spans="5:10" x14ac:dyDescent="0.25">
      <c r="E2586" s="3"/>
      <c r="F2586" s="3"/>
      <c r="G2586" s="3"/>
      <c r="H2586" s="3"/>
      <c r="I2586" s="3"/>
      <c r="J2586" s="5"/>
    </row>
    <row r="2587" spans="5:10" x14ac:dyDescent="0.25">
      <c r="E2587" s="3"/>
      <c r="F2587" s="3"/>
      <c r="G2587" s="3"/>
      <c r="H2587" s="3"/>
      <c r="I2587" s="3"/>
      <c r="J2587" s="5"/>
    </row>
    <row r="2588" spans="5:10" x14ac:dyDescent="0.25">
      <c r="E2588" s="3"/>
      <c r="F2588" s="3"/>
      <c r="G2588" s="3"/>
      <c r="H2588" s="3"/>
      <c r="I2588" s="3"/>
      <c r="J2588" s="5"/>
    </row>
    <row r="2589" spans="5:10" x14ac:dyDescent="0.25">
      <c r="E2589" s="3"/>
      <c r="F2589" s="3"/>
      <c r="G2589" s="3"/>
      <c r="H2589" s="3"/>
      <c r="I2589" s="3"/>
      <c r="J2589" s="5"/>
    </row>
    <row r="2590" spans="5:10" x14ac:dyDescent="0.25">
      <c r="E2590" s="3"/>
      <c r="F2590" s="3"/>
      <c r="G2590" s="3"/>
      <c r="H2590" s="3"/>
      <c r="I2590" s="3"/>
      <c r="J2590" s="5"/>
    </row>
    <row r="2591" spans="5:10" x14ac:dyDescent="0.25">
      <c r="E2591" s="3"/>
      <c r="F2591" s="3"/>
      <c r="G2591" s="3"/>
      <c r="H2591" s="3"/>
      <c r="I2591" s="3"/>
      <c r="J2591" s="5"/>
    </row>
    <row r="2592" spans="5:10" x14ac:dyDescent="0.25">
      <c r="E2592" s="3"/>
      <c r="F2592" s="3"/>
      <c r="G2592" s="3"/>
      <c r="H2592" s="3"/>
      <c r="I2592" s="3"/>
      <c r="J2592" s="5"/>
    </row>
    <row r="2593" spans="5:10" x14ac:dyDescent="0.25">
      <c r="E2593" s="3"/>
      <c r="F2593" s="3"/>
      <c r="G2593" s="3"/>
      <c r="H2593" s="3"/>
      <c r="I2593" s="3"/>
      <c r="J2593" s="5"/>
    </row>
    <row r="2594" spans="5:10" x14ac:dyDescent="0.25">
      <c r="E2594" s="3"/>
      <c r="F2594" s="3"/>
      <c r="G2594" s="3"/>
      <c r="H2594" s="3"/>
      <c r="I2594" s="3"/>
      <c r="J2594" s="5"/>
    </row>
    <row r="2595" spans="5:10" x14ac:dyDescent="0.25">
      <c r="E2595" s="3"/>
      <c r="F2595" s="3"/>
      <c r="G2595" s="3"/>
      <c r="H2595" s="3"/>
      <c r="I2595" s="3"/>
      <c r="J2595" s="5"/>
    </row>
    <row r="2596" spans="5:10" x14ac:dyDescent="0.25">
      <c r="E2596" s="3"/>
      <c r="F2596" s="3"/>
      <c r="G2596" s="3"/>
      <c r="H2596" s="3"/>
      <c r="I2596" s="3"/>
      <c r="J2596" s="5"/>
    </row>
    <row r="2597" spans="5:10" x14ac:dyDescent="0.25">
      <c r="E2597" s="3"/>
      <c r="F2597" s="3"/>
      <c r="G2597" s="3"/>
      <c r="H2597" s="3"/>
      <c r="I2597" s="3"/>
      <c r="J2597" s="5"/>
    </row>
    <row r="2598" spans="5:10" x14ac:dyDescent="0.25">
      <c r="E2598" s="3"/>
      <c r="F2598" s="3"/>
      <c r="G2598" s="3"/>
      <c r="H2598" s="3"/>
      <c r="I2598" s="3"/>
      <c r="J2598" s="5"/>
    </row>
    <row r="2599" spans="5:10" x14ac:dyDescent="0.25">
      <c r="E2599" s="3"/>
      <c r="F2599" s="3"/>
      <c r="G2599" s="3"/>
      <c r="H2599" s="3"/>
      <c r="I2599" s="3"/>
      <c r="J2599" s="5"/>
    </row>
    <row r="2600" spans="5:10" x14ac:dyDescent="0.25">
      <c r="E2600" s="3"/>
      <c r="F2600" s="3"/>
      <c r="G2600" s="3"/>
      <c r="H2600" s="3"/>
      <c r="I2600" s="3"/>
      <c r="J2600" s="5"/>
    </row>
    <row r="2601" spans="5:10" x14ac:dyDescent="0.25">
      <c r="E2601" s="3"/>
      <c r="F2601" s="3"/>
      <c r="G2601" s="3"/>
      <c r="H2601" s="3"/>
      <c r="I2601" s="3"/>
      <c r="J2601" s="5"/>
    </row>
    <row r="2602" spans="5:10" x14ac:dyDescent="0.25">
      <c r="E2602" s="3"/>
      <c r="F2602" s="3"/>
      <c r="G2602" s="3"/>
      <c r="H2602" s="3"/>
      <c r="I2602" s="3"/>
      <c r="J2602" s="5"/>
    </row>
    <row r="2603" spans="5:10" x14ac:dyDescent="0.25">
      <c r="E2603" s="3"/>
      <c r="F2603" s="3"/>
      <c r="G2603" s="3"/>
      <c r="H2603" s="3"/>
      <c r="I2603" s="3"/>
      <c r="J2603" s="5"/>
    </row>
    <row r="2604" spans="5:10" x14ac:dyDescent="0.25">
      <c r="E2604" s="3"/>
      <c r="F2604" s="3"/>
      <c r="G2604" s="3"/>
      <c r="H2604" s="3"/>
      <c r="I2604" s="3"/>
      <c r="J2604" s="5"/>
    </row>
    <row r="2605" spans="5:10" x14ac:dyDescent="0.25">
      <c r="E2605" s="3"/>
      <c r="F2605" s="3"/>
      <c r="G2605" s="3"/>
      <c r="H2605" s="3"/>
      <c r="I2605" s="3"/>
      <c r="J2605" s="5"/>
    </row>
    <row r="2606" spans="5:10" x14ac:dyDescent="0.25">
      <c r="E2606" s="3"/>
      <c r="F2606" s="3"/>
      <c r="G2606" s="3"/>
      <c r="H2606" s="3"/>
      <c r="I2606" s="3"/>
      <c r="J2606" s="5"/>
    </row>
    <row r="2607" spans="5:10" x14ac:dyDescent="0.25">
      <c r="E2607" s="3"/>
      <c r="F2607" s="3"/>
      <c r="G2607" s="3"/>
      <c r="H2607" s="3"/>
      <c r="I2607" s="3"/>
      <c r="J2607" s="5"/>
    </row>
    <row r="2608" spans="5:10" x14ac:dyDescent="0.25">
      <c r="E2608" s="3"/>
      <c r="F2608" s="3"/>
      <c r="G2608" s="3"/>
      <c r="H2608" s="3"/>
      <c r="I2608" s="3"/>
      <c r="J2608" s="5"/>
    </row>
    <row r="2609" spans="5:10" x14ac:dyDescent="0.25">
      <c r="E2609" s="3"/>
      <c r="F2609" s="3"/>
      <c r="G2609" s="3"/>
      <c r="H2609" s="3"/>
      <c r="I2609" s="3"/>
      <c r="J2609" s="5"/>
    </row>
    <row r="2610" spans="5:10" x14ac:dyDescent="0.25">
      <c r="E2610" s="3"/>
      <c r="F2610" s="3"/>
      <c r="G2610" s="3"/>
      <c r="H2610" s="3"/>
      <c r="I2610" s="3"/>
      <c r="J2610" s="5"/>
    </row>
    <row r="2611" spans="5:10" x14ac:dyDescent="0.25">
      <c r="E2611" s="3"/>
      <c r="F2611" s="3"/>
      <c r="G2611" s="3"/>
      <c r="H2611" s="3"/>
      <c r="I2611" s="3"/>
      <c r="J2611" s="5"/>
    </row>
    <row r="2612" spans="5:10" x14ac:dyDescent="0.25">
      <c r="E2612" s="3"/>
      <c r="F2612" s="3"/>
      <c r="G2612" s="3"/>
      <c r="H2612" s="3"/>
      <c r="I2612" s="3"/>
      <c r="J2612" s="5"/>
    </row>
    <row r="2613" spans="5:10" x14ac:dyDescent="0.25">
      <c r="E2613" s="3"/>
      <c r="F2613" s="3"/>
      <c r="G2613" s="3"/>
      <c r="H2613" s="3"/>
      <c r="I2613" s="3"/>
      <c r="J2613" s="5"/>
    </row>
    <row r="2614" spans="5:10" x14ac:dyDescent="0.25">
      <c r="E2614" s="3"/>
      <c r="F2614" s="3"/>
      <c r="G2614" s="3"/>
      <c r="H2614" s="3"/>
      <c r="I2614" s="3"/>
      <c r="J2614" s="5"/>
    </row>
    <row r="2615" spans="5:10" x14ac:dyDescent="0.25">
      <c r="E2615" s="3"/>
      <c r="F2615" s="3"/>
      <c r="G2615" s="3"/>
      <c r="H2615" s="3"/>
      <c r="I2615" s="3"/>
      <c r="J2615" s="5"/>
    </row>
    <row r="2616" spans="5:10" x14ac:dyDescent="0.25">
      <c r="E2616" s="3"/>
      <c r="F2616" s="3"/>
      <c r="G2616" s="3"/>
      <c r="H2616" s="3"/>
      <c r="I2616" s="3"/>
      <c r="J2616" s="5"/>
    </row>
    <row r="2617" spans="5:10" x14ac:dyDescent="0.25">
      <c r="E2617" s="3"/>
      <c r="F2617" s="3"/>
      <c r="G2617" s="3"/>
      <c r="H2617" s="3"/>
      <c r="I2617" s="3"/>
      <c r="J2617" s="5"/>
    </row>
    <row r="2618" spans="5:10" x14ac:dyDescent="0.25">
      <c r="E2618" s="3"/>
      <c r="F2618" s="3"/>
      <c r="G2618" s="3"/>
      <c r="H2618" s="3"/>
      <c r="I2618" s="3"/>
      <c r="J2618" s="5"/>
    </row>
    <row r="2619" spans="5:10" x14ac:dyDescent="0.25">
      <c r="E2619" s="3"/>
      <c r="F2619" s="3"/>
      <c r="G2619" s="3"/>
      <c r="H2619" s="3"/>
      <c r="I2619" s="3"/>
      <c r="J2619" s="5"/>
    </row>
    <row r="2620" spans="5:10" x14ac:dyDescent="0.25">
      <c r="E2620" s="3"/>
      <c r="F2620" s="3"/>
      <c r="G2620" s="3"/>
      <c r="H2620" s="3"/>
      <c r="I2620" s="3"/>
      <c r="J2620" s="5"/>
    </row>
    <row r="2621" spans="5:10" x14ac:dyDescent="0.25">
      <c r="E2621" s="3"/>
      <c r="F2621" s="3"/>
      <c r="G2621" s="3"/>
      <c r="H2621" s="3"/>
      <c r="I2621" s="3"/>
      <c r="J2621" s="5"/>
    </row>
    <row r="2622" spans="5:10" x14ac:dyDescent="0.25">
      <c r="E2622" s="3"/>
      <c r="F2622" s="3"/>
      <c r="G2622" s="3"/>
      <c r="H2622" s="3"/>
      <c r="I2622" s="3"/>
      <c r="J2622" s="5"/>
    </row>
    <row r="2623" spans="5:10" x14ac:dyDescent="0.25">
      <c r="E2623" s="3"/>
      <c r="F2623" s="3"/>
      <c r="G2623" s="3"/>
      <c r="H2623" s="3"/>
      <c r="I2623" s="3"/>
      <c r="J2623" s="5"/>
    </row>
    <row r="2624" spans="5:10" x14ac:dyDescent="0.25">
      <c r="E2624" s="3"/>
      <c r="F2624" s="3"/>
      <c r="G2624" s="3"/>
      <c r="H2624" s="3"/>
      <c r="I2624" s="3"/>
      <c r="J2624" s="5"/>
    </row>
    <row r="2625" spans="5:10" x14ac:dyDescent="0.25">
      <c r="E2625" s="3"/>
      <c r="F2625" s="3"/>
      <c r="G2625" s="3"/>
      <c r="H2625" s="3"/>
      <c r="I2625" s="3"/>
      <c r="J2625" s="5"/>
    </row>
    <row r="2626" spans="5:10" x14ac:dyDescent="0.25">
      <c r="E2626" s="3"/>
      <c r="F2626" s="3"/>
      <c r="G2626" s="3"/>
      <c r="H2626" s="3"/>
      <c r="I2626" s="3"/>
      <c r="J2626" s="5"/>
    </row>
    <row r="2627" spans="5:10" x14ac:dyDescent="0.25">
      <c r="E2627" s="3"/>
      <c r="F2627" s="3"/>
      <c r="G2627" s="3"/>
      <c r="H2627" s="3"/>
      <c r="I2627" s="3"/>
      <c r="J2627" s="5"/>
    </row>
    <row r="2628" spans="5:10" x14ac:dyDescent="0.25">
      <c r="E2628" s="3"/>
      <c r="F2628" s="3"/>
      <c r="G2628" s="3"/>
      <c r="H2628" s="3"/>
      <c r="I2628" s="3"/>
      <c r="J2628" s="5"/>
    </row>
    <row r="2629" spans="5:10" x14ac:dyDescent="0.25">
      <c r="E2629" s="3"/>
      <c r="F2629" s="3"/>
      <c r="G2629" s="3"/>
      <c r="H2629" s="3"/>
      <c r="I2629" s="3"/>
      <c r="J2629" s="5"/>
    </row>
    <row r="2630" spans="5:10" x14ac:dyDescent="0.25">
      <c r="E2630" s="3"/>
      <c r="F2630" s="3"/>
      <c r="G2630" s="3"/>
      <c r="H2630" s="3"/>
      <c r="I2630" s="3"/>
      <c r="J2630" s="5"/>
    </row>
    <row r="2631" spans="5:10" x14ac:dyDescent="0.25">
      <c r="E2631" s="3"/>
      <c r="F2631" s="3"/>
      <c r="G2631" s="3"/>
      <c r="H2631" s="3"/>
      <c r="I2631" s="3"/>
      <c r="J2631" s="5"/>
    </row>
    <row r="2632" spans="5:10" x14ac:dyDescent="0.25">
      <c r="E2632" s="3"/>
      <c r="F2632" s="3"/>
      <c r="G2632" s="3"/>
      <c r="H2632" s="3"/>
      <c r="I2632" s="3"/>
      <c r="J2632" s="5"/>
    </row>
    <row r="2633" spans="5:10" x14ac:dyDescent="0.25">
      <c r="E2633" s="3"/>
      <c r="F2633" s="3"/>
      <c r="G2633" s="3"/>
      <c r="H2633" s="3"/>
      <c r="I2633" s="3"/>
      <c r="J2633" s="5"/>
    </row>
    <row r="2634" spans="5:10" x14ac:dyDescent="0.25">
      <c r="E2634" s="3"/>
      <c r="F2634" s="3"/>
      <c r="G2634" s="3"/>
      <c r="H2634" s="3"/>
      <c r="I2634" s="3"/>
      <c r="J2634" s="5"/>
    </row>
    <row r="2635" spans="5:10" x14ac:dyDescent="0.25">
      <c r="E2635" s="3"/>
      <c r="F2635" s="3"/>
      <c r="G2635" s="3"/>
      <c r="H2635" s="3"/>
      <c r="I2635" s="3"/>
      <c r="J2635" s="5"/>
    </row>
    <row r="2636" spans="5:10" x14ac:dyDescent="0.25">
      <c r="E2636" s="3"/>
      <c r="F2636" s="3"/>
      <c r="G2636" s="3"/>
      <c r="H2636" s="3"/>
      <c r="I2636" s="3"/>
      <c r="J2636" s="5"/>
    </row>
    <row r="2637" spans="5:10" x14ac:dyDescent="0.25">
      <c r="E2637" s="3"/>
      <c r="F2637" s="3"/>
      <c r="G2637" s="3"/>
      <c r="H2637" s="3"/>
      <c r="I2637" s="3"/>
      <c r="J2637" s="5"/>
    </row>
    <row r="2638" spans="5:10" x14ac:dyDescent="0.25">
      <c r="E2638" s="3"/>
      <c r="F2638" s="3"/>
      <c r="G2638" s="3"/>
      <c r="H2638" s="3"/>
      <c r="I2638" s="3"/>
      <c r="J2638" s="5"/>
    </row>
    <row r="2639" spans="5:10" x14ac:dyDescent="0.25">
      <c r="E2639" s="3"/>
      <c r="F2639" s="3"/>
      <c r="G2639" s="3"/>
      <c r="H2639" s="3"/>
      <c r="I2639" s="3"/>
      <c r="J2639" s="5"/>
    </row>
    <row r="2640" spans="5:10" x14ac:dyDescent="0.25">
      <c r="E2640" s="3"/>
      <c r="F2640" s="3"/>
      <c r="G2640" s="3"/>
      <c r="H2640" s="3"/>
      <c r="I2640" s="3"/>
      <c r="J2640" s="5"/>
    </row>
    <row r="2641" spans="5:10" x14ac:dyDescent="0.25">
      <c r="E2641" s="3"/>
      <c r="F2641" s="3"/>
      <c r="G2641" s="3"/>
      <c r="H2641" s="3"/>
      <c r="I2641" s="3"/>
      <c r="J2641" s="5"/>
    </row>
    <row r="2642" spans="5:10" x14ac:dyDescent="0.25">
      <c r="E2642" s="3"/>
      <c r="F2642" s="3"/>
      <c r="G2642" s="3"/>
      <c r="H2642" s="3"/>
      <c r="I2642" s="3"/>
      <c r="J2642" s="5"/>
    </row>
    <row r="2643" spans="5:10" x14ac:dyDescent="0.25">
      <c r="E2643" s="3"/>
      <c r="F2643" s="3"/>
      <c r="G2643" s="3"/>
      <c r="H2643" s="3"/>
      <c r="I2643" s="3"/>
      <c r="J2643" s="5"/>
    </row>
    <row r="2644" spans="5:10" x14ac:dyDescent="0.25">
      <c r="E2644" s="3"/>
      <c r="F2644" s="3"/>
      <c r="G2644" s="3"/>
      <c r="H2644" s="3"/>
      <c r="I2644" s="3"/>
      <c r="J2644" s="5"/>
    </row>
    <row r="2645" spans="5:10" x14ac:dyDescent="0.25">
      <c r="E2645" s="3"/>
      <c r="F2645" s="3"/>
      <c r="G2645" s="3"/>
      <c r="H2645" s="3"/>
      <c r="I2645" s="3"/>
      <c r="J2645" s="5"/>
    </row>
    <row r="2646" spans="5:10" x14ac:dyDescent="0.25">
      <c r="E2646" s="3"/>
      <c r="F2646" s="3"/>
      <c r="G2646" s="3"/>
      <c r="H2646" s="3"/>
      <c r="I2646" s="3"/>
      <c r="J2646" s="5"/>
    </row>
    <row r="2647" spans="5:10" x14ac:dyDescent="0.25">
      <c r="E2647" s="3"/>
      <c r="F2647" s="3"/>
      <c r="G2647" s="3"/>
      <c r="H2647" s="3"/>
      <c r="I2647" s="3"/>
      <c r="J2647" s="5"/>
    </row>
    <row r="2648" spans="5:10" x14ac:dyDescent="0.25">
      <c r="E2648" s="3"/>
      <c r="F2648" s="3"/>
      <c r="G2648" s="3"/>
      <c r="H2648" s="3"/>
      <c r="I2648" s="3"/>
      <c r="J2648" s="5"/>
    </row>
    <row r="2649" spans="5:10" x14ac:dyDescent="0.25">
      <c r="E2649" s="3"/>
      <c r="F2649" s="3"/>
      <c r="G2649" s="3"/>
      <c r="H2649" s="3"/>
      <c r="I2649" s="3"/>
      <c r="J2649" s="5"/>
    </row>
    <row r="2650" spans="5:10" x14ac:dyDescent="0.25">
      <c r="E2650" s="3"/>
      <c r="F2650" s="3"/>
      <c r="G2650" s="3"/>
      <c r="H2650" s="3"/>
      <c r="I2650" s="3"/>
      <c r="J2650" s="5"/>
    </row>
    <row r="2651" spans="5:10" x14ac:dyDescent="0.25">
      <c r="E2651" s="3"/>
      <c r="F2651" s="3"/>
      <c r="G2651" s="3"/>
      <c r="H2651" s="3"/>
      <c r="I2651" s="3"/>
      <c r="J2651" s="5"/>
    </row>
    <row r="2652" spans="5:10" x14ac:dyDescent="0.25">
      <c r="E2652" s="3"/>
      <c r="F2652" s="3"/>
      <c r="G2652" s="3"/>
      <c r="H2652" s="3"/>
      <c r="I2652" s="3"/>
      <c r="J2652" s="5"/>
    </row>
    <row r="2653" spans="5:10" x14ac:dyDescent="0.25">
      <c r="E2653" s="3"/>
      <c r="F2653" s="3"/>
      <c r="G2653" s="3"/>
      <c r="H2653" s="3"/>
      <c r="I2653" s="3"/>
      <c r="J2653" s="5"/>
    </row>
    <row r="2654" spans="5:10" x14ac:dyDescent="0.25">
      <c r="E2654" s="3"/>
      <c r="F2654" s="3"/>
      <c r="G2654" s="3"/>
      <c r="H2654" s="3"/>
      <c r="I2654" s="3"/>
      <c r="J2654" s="5"/>
    </row>
    <row r="2655" spans="5:10" x14ac:dyDescent="0.25">
      <c r="E2655" s="3"/>
      <c r="F2655" s="3"/>
      <c r="G2655" s="3"/>
      <c r="H2655" s="3"/>
      <c r="I2655" s="3"/>
      <c r="J2655" s="5"/>
    </row>
    <row r="2656" spans="5:10" x14ac:dyDescent="0.25">
      <c r="E2656" s="3"/>
      <c r="F2656" s="3"/>
      <c r="G2656" s="3"/>
      <c r="H2656" s="3"/>
      <c r="I2656" s="3"/>
      <c r="J2656" s="5"/>
    </row>
    <row r="2657" spans="5:10" x14ac:dyDescent="0.25">
      <c r="E2657" s="3"/>
      <c r="F2657" s="3"/>
      <c r="G2657" s="3"/>
      <c r="H2657" s="3"/>
      <c r="I2657" s="3"/>
      <c r="J2657" s="5"/>
    </row>
    <row r="2658" spans="5:10" x14ac:dyDescent="0.25">
      <c r="E2658" s="3"/>
      <c r="F2658" s="3"/>
      <c r="G2658" s="3"/>
      <c r="H2658" s="3"/>
      <c r="I2658" s="3"/>
      <c r="J2658" s="5"/>
    </row>
    <row r="2659" spans="5:10" x14ac:dyDescent="0.25">
      <c r="E2659" s="3"/>
      <c r="F2659" s="3"/>
      <c r="G2659" s="3"/>
      <c r="H2659" s="3"/>
      <c r="I2659" s="3"/>
      <c r="J2659" s="5"/>
    </row>
    <row r="2660" spans="5:10" x14ac:dyDescent="0.25">
      <c r="E2660" s="3"/>
      <c r="F2660" s="3"/>
      <c r="G2660" s="3"/>
      <c r="H2660" s="3"/>
      <c r="I2660" s="3"/>
      <c r="J2660" s="5"/>
    </row>
    <row r="2661" spans="5:10" x14ac:dyDescent="0.25">
      <c r="E2661" s="3"/>
      <c r="F2661" s="3"/>
      <c r="G2661" s="3"/>
      <c r="H2661" s="3"/>
      <c r="I2661" s="3"/>
      <c r="J2661" s="5"/>
    </row>
    <row r="2662" spans="5:10" x14ac:dyDescent="0.25">
      <c r="E2662" s="3"/>
      <c r="F2662" s="3"/>
      <c r="G2662" s="3"/>
      <c r="H2662" s="3"/>
      <c r="I2662" s="3"/>
      <c r="J2662" s="5"/>
    </row>
    <row r="2663" spans="5:10" x14ac:dyDescent="0.25">
      <c r="E2663" s="3"/>
      <c r="F2663" s="3"/>
      <c r="G2663" s="3"/>
      <c r="H2663" s="3"/>
      <c r="I2663" s="3"/>
      <c r="J2663" s="5"/>
    </row>
    <row r="2664" spans="5:10" x14ac:dyDescent="0.25">
      <c r="E2664" s="3"/>
      <c r="F2664" s="3"/>
      <c r="G2664" s="3"/>
      <c r="H2664" s="3"/>
      <c r="I2664" s="3"/>
      <c r="J2664" s="5"/>
    </row>
    <row r="2665" spans="5:10" x14ac:dyDescent="0.25">
      <c r="E2665" s="3"/>
      <c r="F2665" s="3"/>
      <c r="G2665" s="3"/>
      <c r="H2665" s="3"/>
      <c r="I2665" s="3"/>
      <c r="J2665" s="5"/>
    </row>
    <row r="2666" spans="5:10" x14ac:dyDescent="0.25">
      <c r="E2666" s="3"/>
      <c r="F2666" s="3"/>
      <c r="G2666" s="3"/>
      <c r="H2666" s="3"/>
      <c r="I2666" s="3"/>
      <c r="J2666" s="5"/>
    </row>
    <row r="2667" spans="5:10" x14ac:dyDescent="0.25">
      <c r="E2667" s="3"/>
      <c r="F2667" s="3"/>
      <c r="G2667" s="3"/>
      <c r="H2667" s="3"/>
      <c r="I2667" s="3"/>
      <c r="J2667" s="5"/>
    </row>
    <row r="2668" spans="5:10" x14ac:dyDescent="0.25">
      <c r="E2668" s="3"/>
      <c r="F2668" s="3"/>
      <c r="G2668" s="3"/>
      <c r="H2668" s="3"/>
      <c r="I2668" s="3"/>
      <c r="J2668" s="5"/>
    </row>
    <row r="2669" spans="5:10" x14ac:dyDescent="0.25">
      <c r="E2669" s="3"/>
      <c r="F2669" s="3"/>
      <c r="G2669" s="3"/>
      <c r="H2669" s="3"/>
      <c r="I2669" s="3"/>
      <c r="J2669" s="5"/>
    </row>
    <row r="2670" spans="5:10" x14ac:dyDescent="0.25">
      <c r="E2670" s="3"/>
      <c r="F2670" s="3"/>
      <c r="G2670" s="3"/>
      <c r="H2670" s="3"/>
      <c r="I2670" s="3"/>
      <c r="J2670" s="5"/>
    </row>
    <row r="2671" spans="5:10" x14ac:dyDescent="0.25">
      <c r="E2671" s="3"/>
      <c r="F2671" s="3"/>
      <c r="G2671" s="3"/>
      <c r="H2671" s="3"/>
      <c r="I2671" s="3"/>
      <c r="J2671" s="5"/>
    </row>
    <row r="2672" spans="5:10" x14ac:dyDescent="0.25">
      <c r="E2672" s="3"/>
      <c r="F2672" s="3"/>
      <c r="G2672" s="3"/>
      <c r="H2672" s="3"/>
      <c r="I2672" s="3"/>
      <c r="J2672" s="5"/>
    </row>
    <row r="2673" spans="5:10" x14ac:dyDescent="0.25">
      <c r="E2673" s="3"/>
      <c r="F2673" s="3"/>
      <c r="G2673" s="3"/>
      <c r="H2673" s="3"/>
      <c r="I2673" s="3"/>
      <c r="J2673" s="5"/>
    </row>
    <row r="2674" spans="5:10" x14ac:dyDescent="0.25">
      <c r="E2674" s="3"/>
      <c r="F2674" s="3"/>
      <c r="G2674" s="3"/>
      <c r="H2674" s="3"/>
      <c r="I2674" s="3"/>
      <c r="J2674" s="5"/>
    </row>
    <row r="2675" spans="5:10" x14ac:dyDescent="0.25">
      <c r="E2675" s="3"/>
      <c r="F2675" s="3"/>
      <c r="G2675" s="3"/>
      <c r="H2675" s="3"/>
      <c r="I2675" s="3"/>
      <c r="J2675" s="5"/>
    </row>
    <row r="2676" spans="5:10" x14ac:dyDescent="0.25">
      <c r="E2676" s="3"/>
      <c r="F2676" s="3"/>
      <c r="G2676" s="3"/>
      <c r="H2676" s="3"/>
      <c r="I2676" s="3"/>
      <c r="J2676" s="5"/>
    </row>
    <row r="2677" spans="5:10" x14ac:dyDescent="0.25">
      <c r="E2677" s="3"/>
      <c r="F2677" s="3"/>
      <c r="G2677" s="3"/>
      <c r="H2677" s="3"/>
      <c r="I2677" s="3"/>
      <c r="J2677" s="5"/>
    </row>
    <row r="2678" spans="5:10" x14ac:dyDescent="0.25">
      <c r="E2678" s="3"/>
      <c r="F2678" s="3"/>
      <c r="G2678" s="3"/>
      <c r="H2678" s="3"/>
      <c r="I2678" s="3"/>
      <c r="J2678" s="5"/>
    </row>
    <row r="2679" spans="5:10" x14ac:dyDescent="0.25">
      <c r="E2679" s="3"/>
      <c r="F2679" s="3"/>
      <c r="G2679" s="3"/>
      <c r="H2679" s="3"/>
      <c r="I2679" s="3"/>
      <c r="J2679" s="5"/>
    </row>
    <row r="2680" spans="5:10" x14ac:dyDescent="0.25">
      <c r="E2680" s="3"/>
      <c r="F2680" s="3"/>
      <c r="G2680" s="3"/>
      <c r="H2680" s="3"/>
      <c r="I2680" s="3"/>
      <c r="J2680" s="5"/>
    </row>
    <row r="2681" spans="5:10" x14ac:dyDescent="0.25">
      <c r="E2681" s="3"/>
      <c r="F2681" s="3"/>
      <c r="G2681" s="3"/>
      <c r="H2681" s="3"/>
      <c r="I2681" s="3"/>
      <c r="J2681" s="5"/>
    </row>
    <row r="2682" spans="5:10" x14ac:dyDescent="0.25">
      <c r="E2682" s="3"/>
      <c r="F2682" s="3"/>
      <c r="G2682" s="3"/>
      <c r="H2682" s="3"/>
      <c r="I2682" s="3"/>
      <c r="J2682" s="5"/>
    </row>
    <row r="2683" spans="5:10" x14ac:dyDescent="0.25">
      <c r="E2683" s="3"/>
      <c r="F2683" s="3"/>
      <c r="G2683" s="3"/>
      <c r="H2683" s="3"/>
      <c r="I2683" s="3"/>
      <c r="J2683" s="5"/>
    </row>
    <row r="2684" spans="5:10" x14ac:dyDescent="0.25">
      <c r="E2684" s="3"/>
      <c r="F2684" s="3"/>
      <c r="G2684" s="3"/>
      <c r="H2684" s="3"/>
      <c r="I2684" s="3"/>
      <c r="J2684" s="5"/>
    </row>
    <row r="2685" spans="5:10" x14ac:dyDescent="0.25">
      <c r="E2685" s="3"/>
      <c r="F2685" s="3"/>
      <c r="G2685" s="3"/>
      <c r="H2685" s="3"/>
      <c r="I2685" s="3"/>
      <c r="J2685" s="5"/>
    </row>
    <row r="2686" spans="5:10" x14ac:dyDescent="0.25">
      <c r="E2686" s="3"/>
      <c r="F2686" s="3"/>
      <c r="G2686" s="3"/>
      <c r="H2686" s="3"/>
      <c r="I2686" s="3"/>
      <c r="J2686" s="5"/>
    </row>
    <row r="2687" spans="5:10" x14ac:dyDescent="0.25">
      <c r="E2687" s="3"/>
      <c r="F2687" s="3"/>
      <c r="G2687" s="3"/>
      <c r="H2687" s="3"/>
      <c r="I2687" s="3"/>
      <c r="J2687" s="5"/>
    </row>
    <row r="2688" spans="5:10" x14ac:dyDescent="0.25">
      <c r="E2688" s="3"/>
      <c r="F2688" s="3"/>
      <c r="G2688" s="3"/>
      <c r="H2688" s="3"/>
      <c r="I2688" s="3"/>
      <c r="J2688" s="5"/>
    </row>
    <row r="2689" spans="5:10" x14ac:dyDescent="0.25">
      <c r="E2689" s="3"/>
      <c r="F2689" s="3"/>
      <c r="G2689" s="3"/>
      <c r="H2689" s="3"/>
      <c r="I2689" s="3"/>
      <c r="J2689" s="5"/>
    </row>
    <row r="2690" spans="5:10" x14ac:dyDescent="0.25">
      <c r="E2690" s="3"/>
      <c r="F2690" s="3"/>
      <c r="G2690" s="3"/>
      <c r="H2690" s="3"/>
      <c r="I2690" s="3"/>
      <c r="J2690" s="5"/>
    </row>
    <row r="2691" spans="5:10" x14ac:dyDescent="0.25">
      <c r="E2691" s="3"/>
      <c r="F2691" s="3"/>
      <c r="G2691" s="3"/>
      <c r="H2691" s="3"/>
      <c r="I2691" s="3"/>
      <c r="J2691" s="5"/>
    </row>
    <row r="2692" spans="5:10" x14ac:dyDescent="0.25">
      <c r="E2692" s="3"/>
      <c r="F2692" s="3"/>
      <c r="G2692" s="3"/>
      <c r="H2692" s="3"/>
      <c r="I2692" s="3"/>
      <c r="J2692" s="5"/>
    </row>
    <row r="2693" spans="5:10" x14ac:dyDescent="0.25">
      <c r="E2693" s="3"/>
      <c r="F2693" s="3"/>
      <c r="G2693" s="3"/>
      <c r="H2693" s="3"/>
      <c r="I2693" s="3"/>
      <c r="J2693" s="5"/>
    </row>
    <row r="2694" spans="5:10" x14ac:dyDescent="0.25">
      <c r="E2694" s="3"/>
      <c r="F2694" s="3"/>
      <c r="G2694" s="3"/>
      <c r="H2694" s="3"/>
      <c r="I2694" s="3"/>
      <c r="J2694" s="5"/>
    </row>
    <row r="2695" spans="5:10" x14ac:dyDescent="0.25">
      <c r="E2695" s="3"/>
      <c r="F2695" s="3"/>
      <c r="G2695" s="3"/>
      <c r="H2695" s="3"/>
      <c r="I2695" s="3"/>
      <c r="J2695" s="5"/>
    </row>
    <row r="2696" spans="5:10" x14ac:dyDescent="0.25">
      <c r="E2696" s="3"/>
      <c r="F2696" s="3"/>
      <c r="G2696" s="3"/>
      <c r="H2696" s="3"/>
      <c r="I2696" s="3"/>
      <c r="J2696" s="5"/>
    </row>
    <row r="2697" spans="5:10" x14ac:dyDescent="0.25">
      <c r="E2697" s="3"/>
      <c r="F2697" s="3"/>
      <c r="G2697" s="3"/>
      <c r="H2697" s="3"/>
      <c r="I2697" s="3"/>
      <c r="J2697" s="5"/>
    </row>
    <row r="2698" spans="5:10" x14ac:dyDescent="0.25">
      <c r="E2698" s="3"/>
      <c r="F2698" s="3"/>
      <c r="G2698" s="3"/>
      <c r="H2698" s="3"/>
      <c r="I2698" s="3"/>
      <c r="J2698" s="5"/>
    </row>
    <row r="2699" spans="5:10" x14ac:dyDescent="0.25">
      <c r="E2699" s="3"/>
      <c r="F2699" s="3"/>
      <c r="G2699" s="3"/>
      <c r="H2699" s="3"/>
      <c r="I2699" s="3"/>
      <c r="J2699" s="5"/>
    </row>
    <row r="2700" spans="5:10" x14ac:dyDescent="0.25">
      <c r="E2700" s="3"/>
      <c r="F2700" s="3"/>
      <c r="G2700" s="3"/>
      <c r="H2700" s="3"/>
      <c r="I2700" s="3"/>
      <c r="J2700" s="5"/>
    </row>
    <row r="2701" spans="5:10" x14ac:dyDescent="0.25">
      <c r="E2701" s="3"/>
      <c r="F2701" s="3"/>
      <c r="G2701" s="3"/>
      <c r="H2701" s="3"/>
      <c r="I2701" s="3"/>
      <c r="J2701" s="5"/>
    </row>
    <row r="2702" spans="5:10" x14ac:dyDescent="0.25">
      <c r="E2702" s="3"/>
      <c r="F2702" s="3"/>
      <c r="G2702" s="3"/>
      <c r="H2702" s="3"/>
      <c r="I2702" s="3"/>
      <c r="J2702" s="5"/>
    </row>
    <row r="2703" spans="5:10" x14ac:dyDescent="0.25">
      <c r="E2703" s="3"/>
      <c r="F2703" s="3"/>
      <c r="G2703" s="3"/>
      <c r="H2703" s="3"/>
      <c r="I2703" s="3"/>
      <c r="J2703" s="5"/>
    </row>
    <row r="2704" spans="5:10" x14ac:dyDescent="0.25">
      <c r="E2704" s="3"/>
      <c r="F2704" s="3"/>
      <c r="G2704" s="3"/>
      <c r="H2704" s="3"/>
      <c r="I2704" s="3"/>
      <c r="J2704" s="5"/>
    </row>
    <row r="2705" spans="5:10" x14ac:dyDescent="0.25">
      <c r="E2705" s="3"/>
      <c r="F2705" s="3"/>
      <c r="G2705" s="3"/>
      <c r="H2705" s="3"/>
      <c r="I2705" s="3"/>
      <c r="J2705" s="5"/>
    </row>
    <row r="2706" spans="5:10" x14ac:dyDescent="0.25">
      <c r="E2706" s="3"/>
      <c r="F2706" s="3"/>
      <c r="G2706" s="3"/>
      <c r="H2706" s="3"/>
      <c r="I2706" s="3"/>
      <c r="J2706" s="5"/>
    </row>
    <row r="2707" spans="5:10" x14ac:dyDescent="0.25">
      <c r="E2707" s="3"/>
      <c r="F2707" s="3"/>
      <c r="G2707" s="3"/>
      <c r="H2707" s="3"/>
      <c r="I2707" s="3"/>
      <c r="J2707" s="5"/>
    </row>
    <row r="2708" spans="5:10" x14ac:dyDescent="0.25">
      <c r="E2708" s="3"/>
      <c r="F2708" s="3"/>
      <c r="G2708" s="3"/>
      <c r="H2708" s="3"/>
      <c r="I2708" s="3"/>
      <c r="J2708" s="5"/>
    </row>
    <row r="2709" spans="5:10" x14ac:dyDescent="0.25">
      <c r="E2709" s="3"/>
      <c r="F2709" s="3"/>
      <c r="G2709" s="3"/>
      <c r="H2709" s="3"/>
      <c r="I2709" s="3"/>
      <c r="J2709" s="5"/>
    </row>
    <row r="2710" spans="5:10" x14ac:dyDescent="0.25">
      <c r="E2710" s="3"/>
      <c r="F2710" s="3"/>
      <c r="G2710" s="3"/>
      <c r="H2710" s="3"/>
      <c r="I2710" s="3"/>
      <c r="J2710" s="5"/>
    </row>
    <row r="2711" spans="5:10" x14ac:dyDescent="0.25">
      <c r="E2711" s="3"/>
      <c r="F2711" s="3"/>
      <c r="G2711" s="3"/>
      <c r="H2711" s="3"/>
      <c r="I2711" s="3"/>
      <c r="J2711" s="5"/>
    </row>
    <row r="2712" spans="5:10" x14ac:dyDescent="0.25">
      <c r="E2712" s="3"/>
      <c r="F2712" s="3"/>
      <c r="G2712" s="3"/>
      <c r="H2712" s="3"/>
      <c r="I2712" s="3"/>
      <c r="J2712" s="5"/>
    </row>
    <row r="2713" spans="5:10" x14ac:dyDescent="0.25">
      <c r="E2713" s="3"/>
      <c r="F2713" s="3"/>
      <c r="G2713" s="3"/>
      <c r="H2713" s="3"/>
      <c r="I2713" s="3"/>
      <c r="J2713" s="5"/>
    </row>
    <row r="2714" spans="5:10" x14ac:dyDescent="0.25">
      <c r="E2714" s="3"/>
      <c r="F2714" s="3"/>
      <c r="G2714" s="3"/>
      <c r="H2714" s="3"/>
      <c r="I2714" s="3"/>
      <c r="J2714" s="5"/>
    </row>
    <row r="2715" spans="5:10" x14ac:dyDescent="0.25">
      <c r="E2715" s="3"/>
      <c r="F2715" s="3"/>
      <c r="G2715" s="3"/>
      <c r="H2715" s="3"/>
      <c r="I2715" s="3"/>
      <c r="J2715" s="5"/>
    </row>
    <row r="2716" spans="5:10" x14ac:dyDescent="0.25">
      <c r="E2716" s="3"/>
      <c r="F2716" s="3"/>
      <c r="G2716" s="3"/>
      <c r="H2716" s="3"/>
      <c r="I2716" s="3"/>
      <c r="J2716" s="5"/>
    </row>
    <row r="2717" spans="5:10" x14ac:dyDescent="0.25">
      <c r="E2717" s="3"/>
      <c r="F2717" s="3"/>
      <c r="G2717" s="3"/>
      <c r="H2717" s="3"/>
      <c r="I2717" s="3"/>
      <c r="J2717" s="5"/>
    </row>
    <row r="2718" spans="5:10" x14ac:dyDescent="0.25">
      <c r="E2718" s="3"/>
      <c r="F2718" s="3"/>
      <c r="G2718" s="3"/>
      <c r="H2718" s="3"/>
      <c r="I2718" s="3"/>
      <c r="J2718" s="5"/>
    </row>
    <row r="2719" spans="5:10" x14ac:dyDescent="0.25">
      <c r="E2719" s="3"/>
      <c r="F2719" s="3"/>
      <c r="G2719" s="3"/>
      <c r="H2719" s="3"/>
      <c r="I2719" s="3"/>
      <c r="J2719" s="5"/>
    </row>
    <row r="2720" spans="5:10" x14ac:dyDescent="0.25">
      <c r="E2720" s="3"/>
      <c r="F2720" s="3"/>
      <c r="G2720" s="3"/>
      <c r="H2720" s="3"/>
      <c r="I2720" s="3"/>
      <c r="J2720" s="5"/>
    </row>
    <row r="2721" spans="5:10" x14ac:dyDescent="0.25">
      <c r="E2721" s="3"/>
      <c r="F2721" s="3"/>
      <c r="G2721" s="3"/>
      <c r="H2721" s="3"/>
      <c r="I2721" s="3"/>
      <c r="J2721" s="5"/>
    </row>
    <row r="2722" spans="5:10" x14ac:dyDescent="0.25">
      <c r="E2722" s="3"/>
      <c r="F2722" s="3"/>
      <c r="G2722" s="3"/>
      <c r="H2722" s="3"/>
      <c r="I2722" s="3"/>
      <c r="J2722" s="5"/>
    </row>
    <row r="2723" spans="5:10" x14ac:dyDescent="0.25">
      <c r="E2723" s="3"/>
      <c r="F2723" s="3"/>
      <c r="G2723" s="3"/>
      <c r="H2723" s="3"/>
      <c r="I2723" s="3"/>
      <c r="J2723" s="5"/>
    </row>
    <row r="2724" spans="5:10" x14ac:dyDescent="0.25">
      <c r="E2724" s="3"/>
      <c r="F2724" s="3"/>
      <c r="G2724" s="3"/>
      <c r="H2724" s="3"/>
      <c r="I2724" s="3"/>
      <c r="J2724" s="5"/>
    </row>
    <row r="2725" spans="5:10" x14ac:dyDescent="0.25">
      <c r="E2725" s="3"/>
      <c r="F2725" s="3"/>
      <c r="G2725" s="3"/>
      <c r="H2725" s="3"/>
      <c r="I2725" s="3"/>
      <c r="J2725" s="5"/>
    </row>
    <row r="2726" spans="5:10" x14ac:dyDescent="0.25">
      <c r="E2726" s="3"/>
      <c r="F2726" s="3"/>
      <c r="G2726" s="3"/>
      <c r="H2726" s="3"/>
      <c r="I2726" s="3"/>
      <c r="J2726" s="5"/>
    </row>
    <row r="2727" spans="5:10" x14ac:dyDescent="0.25">
      <c r="E2727" s="3"/>
      <c r="F2727" s="3"/>
      <c r="G2727" s="3"/>
      <c r="H2727" s="3"/>
      <c r="I2727" s="3"/>
      <c r="J2727" s="5"/>
    </row>
    <row r="2728" spans="5:10" x14ac:dyDescent="0.25">
      <c r="E2728" s="3"/>
      <c r="F2728" s="3"/>
      <c r="G2728" s="3"/>
      <c r="H2728" s="3"/>
      <c r="I2728" s="3"/>
      <c r="J2728" s="5"/>
    </row>
    <row r="2729" spans="5:10" x14ac:dyDescent="0.25">
      <c r="E2729" s="3"/>
      <c r="F2729" s="3"/>
      <c r="G2729" s="3"/>
      <c r="H2729" s="3"/>
      <c r="I2729" s="3"/>
      <c r="J2729" s="5"/>
    </row>
    <row r="2730" spans="5:10" x14ac:dyDescent="0.25">
      <c r="E2730" s="3"/>
      <c r="F2730" s="3"/>
      <c r="G2730" s="3"/>
      <c r="H2730" s="3"/>
      <c r="I2730" s="3"/>
      <c r="J2730" s="5"/>
    </row>
    <row r="2731" spans="5:10" x14ac:dyDescent="0.25">
      <c r="E2731" s="3"/>
      <c r="F2731" s="3"/>
      <c r="G2731" s="3"/>
      <c r="H2731" s="3"/>
      <c r="I2731" s="3"/>
      <c r="J2731" s="5"/>
    </row>
    <row r="2732" spans="5:10" x14ac:dyDescent="0.25">
      <c r="E2732" s="3"/>
      <c r="F2732" s="3"/>
      <c r="G2732" s="3"/>
      <c r="H2732" s="3"/>
      <c r="I2732" s="3"/>
      <c r="J2732" s="5"/>
    </row>
    <row r="2733" spans="5:10" x14ac:dyDescent="0.25">
      <c r="E2733" s="3"/>
      <c r="F2733" s="3"/>
      <c r="G2733" s="3"/>
      <c r="H2733" s="3"/>
      <c r="I2733" s="3"/>
      <c r="J2733" s="5"/>
    </row>
    <row r="2734" spans="5:10" x14ac:dyDescent="0.25">
      <c r="E2734" s="3"/>
      <c r="F2734" s="3"/>
      <c r="G2734" s="3"/>
      <c r="H2734" s="3"/>
      <c r="I2734" s="3"/>
      <c r="J2734" s="5"/>
    </row>
    <row r="2735" spans="5:10" x14ac:dyDescent="0.25">
      <c r="E2735" s="3"/>
      <c r="F2735" s="3"/>
      <c r="G2735" s="3"/>
      <c r="H2735" s="3"/>
      <c r="I2735" s="3"/>
      <c r="J2735" s="5"/>
    </row>
    <row r="2736" spans="5:10" x14ac:dyDescent="0.25">
      <c r="E2736" s="3"/>
      <c r="F2736" s="3"/>
      <c r="G2736" s="3"/>
      <c r="H2736" s="3"/>
      <c r="I2736" s="3"/>
      <c r="J2736" s="5"/>
    </row>
    <row r="2737" spans="5:10" x14ac:dyDescent="0.25">
      <c r="E2737" s="3"/>
      <c r="F2737" s="3"/>
      <c r="G2737" s="3"/>
      <c r="H2737" s="3"/>
      <c r="I2737" s="3"/>
      <c r="J2737" s="5"/>
    </row>
    <row r="2738" spans="5:10" x14ac:dyDescent="0.25">
      <c r="E2738" s="3"/>
      <c r="F2738" s="3"/>
      <c r="G2738" s="3"/>
      <c r="H2738" s="3"/>
      <c r="I2738" s="3"/>
      <c r="J2738" s="5"/>
    </row>
    <row r="2739" spans="5:10" x14ac:dyDescent="0.25">
      <c r="E2739" s="3"/>
      <c r="F2739" s="3"/>
      <c r="G2739" s="3"/>
      <c r="H2739" s="3"/>
      <c r="I2739" s="3"/>
      <c r="J2739" s="5"/>
    </row>
    <row r="2740" spans="5:10" x14ac:dyDescent="0.25">
      <c r="E2740" s="3"/>
      <c r="F2740" s="3"/>
      <c r="G2740" s="3"/>
      <c r="H2740" s="3"/>
      <c r="I2740" s="3"/>
      <c r="J2740" s="5"/>
    </row>
    <row r="2741" spans="5:10" x14ac:dyDescent="0.25">
      <c r="E2741" s="3"/>
      <c r="F2741" s="3"/>
      <c r="G2741" s="3"/>
      <c r="H2741" s="3"/>
      <c r="I2741" s="3"/>
      <c r="J2741" s="5"/>
    </row>
    <row r="2742" spans="5:10" x14ac:dyDescent="0.25">
      <c r="E2742" s="3"/>
      <c r="F2742" s="3"/>
      <c r="G2742" s="3"/>
      <c r="H2742" s="3"/>
      <c r="I2742" s="3"/>
      <c r="J2742" s="5"/>
    </row>
    <row r="2743" spans="5:10" x14ac:dyDescent="0.25">
      <c r="E2743" s="3"/>
      <c r="F2743" s="3"/>
      <c r="G2743" s="3"/>
      <c r="H2743" s="3"/>
      <c r="I2743" s="3"/>
      <c r="J2743" s="5"/>
    </row>
    <row r="2744" spans="5:10" x14ac:dyDescent="0.25">
      <c r="E2744" s="3"/>
      <c r="F2744" s="3"/>
      <c r="G2744" s="3"/>
      <c r="H2744" s="3"/>
      <c r="I2744" s="3"/>
      <c r="J2744" s="5"/>
    </row>
    <row r="2745" spans="5:10" x14ac:dyDescent="0.25">
      <c r="E2745" s="3"/>
      <c r="F2745" s="3"/>
      <c r="G2745" s="3"/>
      <c r="H2745" s="3"/>
      <c r="I2745" s="3"/>
      <c r="J2745" s="5"/>
    </row>
    <row r="2746" spans="5:10" x14ac:dyDescent="0.25">
      <c r="E2746" s="3"/>
      <c r="F2746" s="3"/>
      <c r="G2746" s="3"/>
      <c r="H2746" s="3"/>
      <c r="I2746" s="3"/>
      <c r="J2746" s="5"/>
    </row>
    <row r="2747" spans="5:10" x14ac:dyDescent="0.25">
      <c r="E2747" s="3"/>
      <c r="F2747" s="3"/>
      <c r="G2747" s="3"/>
      <c r="H2747" s="3"/>
      <c r="I2747" s="3"/>
      <c r="J2747" s="5"/>
    </row>
    <row r="2748" spans="5:10" x14ac:dyDescent="0.25">
      <c r="E2748" s="3"/>
      <c r="F2748" s="3"/>
      <c r="G2748" s="3"/>
      <c r="H2748" s="3"/>
      <c r="I2748" s="3"/>
      <c r="J2748" s="5"/>
    </row>
    <row r="2749" spans="5:10" x14ac:dyDescent="0.25">
      <c r="E2749" s="3"/>
      <c r="F2749" s="3"/>
      <c r="G2749" s="3"/>
      <c r="H2749" s="3"/>
      <c r="I2749" s="3"/>
      <c r="J2749" s="5"/>
    </row>
    <row r="2750" spans="5:10" x14ac:dyDescent="0.25">
      <c r="E2750" s="3"/>
      <c r="F2750" s="3"/>
      <c r="G2750" s="3"/>
      <c r="H2750" s="3"/>
      <c r="I2750" s="3"/>
      <c r="J2750" s="5"/>
    </row>
    <row r="2751" spans="5:10" x14ac:dyDescent="0.25">
      <c r="E2751" s="3"/>
      <c r="F2751" s="3"/>
      <c r="G2751" s="3"/>
      <c r="H2751" s="3"/>
      <c r="I2751" s="3"/>
      <c r="J2751" s="5"/>
    </row>
    <row r="2752" spans="5:10" x14ac:dyDescent="0.25">
      <c r="E2752" s="3"/>
      <c r="F2752" s="3"/>
      <c r="G2752" s="3"/>
      <c r="H2752" s="3"/>
      <c r="I2752" s="3"/>
      <c r="J2752" s="5"/>
    </row>
    <row r="2753" spans="5:10" x14ac:dyDescent="0.25">
      <c r="E2753" s="3"/>
      <c r="F2753" s="3"/>
      <c r="G2753" s="3"/>
      <c r="H2753" s="3"/>
      <c r="I2753" s="3"/>
      <c r="J2753" s="5"/>
    </row>
    <row r="2754" spans="5:10" x14ac:dyDescent="0.25">
      <c r="E2754" s="3"/>
      <c r="F2754" s="3"/>
      <c r="G2754" s="3"/>
      <c r="H2754" s="3"/>
      <c r="I2754" s="3"/>
      <c r="J2754" s="5"/>
    </row>
    <row r="2755" spans="5:10" x14ac:dyDescent="0.25">
      <c r="E2755" s="3"/>
      <c r="F2755" s="3"/>
      <c r="G2755" s="3"/>
      <c r="H2755" s="3"/>
      <c r="I2755" s="3"/>
      <c r="J2755" s="5"/>
    </row>
    <row r="2756" spans="5:10" x14ac:dyDescent="0.25">
      <c r="E2756" s="3"/>
      <c r="F2756" s="3"/>
      <c r="G2756" s="3"/>
      <c r="H2756" s="3"/>
      <c r="I2756" s="3"/>
      <c r="J2756" s="5"/>
    </row>
    <row r="2757" spans="5:10" x14ac:dyDescent="0.25">
      <c r="E2757" s="3"/>
      <c r="F2757" s="3"/>
      <c r="G2757" s="3"/>
      <c r="H2757" s="3"/>
      <c r="I2757" s="3"/>
      <c r="J2757" s="5"/>
    </row>
    <row r="2758" spans="5:10" x14ac:dyDescent="0.25">
      <c r="E2758" s="3"/>
      <c r="F2758" s="3"/>
      <c r="G2758" s="3"/>
      <c r="H2758" s="3"/>
      <c r="I2758" s="3"/>
      <c r="J2758" s="5"/>
    </row>
    <row r="2759" spans="5:10" x14ac:dyDescent="0.25">
      <c r="E2759" s="3"/>
      <c r="F2759" s="3"/>
      <c r="G2759" s="3"/>
      <c r="H2759" s="3"/>
      <c r="I2759" s="3"/>
      <c r="J2759" s="5"/>
    </row>
    <row r="2760" spans="5:10" x14ac:dyDescent="0.25">
      <c r="E2760" s="3"/>
      <c r="F2760" s="3"/>
      <c r="G2760" s="3"/>
      <c r="H2760" s="3"/>
      <c r="I2760" s="3"/>
      <c r="J2760" s="5"/>
    </row>
    <row r="2761" spans="5:10" x14ac:dyDescent="0.25">
      <c r="E2761" s="3"/>
      <c r="F2761" s="3"/>
      <c r="G2761" s="3"/>
      <c r="H2761" s="3"/>
      <c r="I2761" s="3"/>
      <c r="J2761" s="5"/>
    </row>
    <row r="2762" spans="5:10" x14ac:dyDescent="0.25">
      <c r="E2762" s="3"/>
      <c r="F2762" s="3"/>
      <c r="G2762" s="3"/>
      <c r="H2762" s="3"/>
      <c r="I2762" s="3"/>
      <c r="J2762" s="5"/>
    </row>
    <row r="2763" spans="5:10" x14ac:dyDescent="0.25">
      <c r="E2763" s="3"/>
      <c r="F2763" s="3"/>
      <c r="G2763" s="3"/>
      <c r="H2763" s="3"/>
      <c r="I2763" s="3"/>
      <c r="J2763" s="5"/>
    </row>
    <row r="2764" spans="5:10" x14ac:dyDescent="0.25">
      <c r="E2764" s="3"/>
      <c r="F2764" s="3"/>
      <c r="G2764" s="3"/>
      <c r="H2764" s="3"/>
      <c r="I2764" s="3"/>
      <c r="J2764" s="5"/>
    </row>
    <row r="2765" spans="5:10" x14ac:dyDescent="0.25">
      <c r="E2765" s="3"/>
      <c r="F2765" s="3"/>
      <c r="G2765" s="3"/>
      <c r="H2765" s="3"/>
      <c r="I2765" s="3"/>
      <c r="J2765" s="5"/>
    </row>
    <row r="2766" spans="5:10" x14ac:dyDescent="0.25">
      <c r="E2766" s="3"/>
      <c r="F2766" s="3"/>
      <c r="G2766" s="3"/>
      <c r="H2766" s="3"/>
      <c r="I2766" s="3"/>
      <c r="J2766" s="5"/>
    </row>
    <row r="2767" spans="5:10" x14ac:dyDescent="0.25">
      <c r="E2767" s="3"/>
      <c r="F2767" s="3"/>
      <c r="G2767" s="3"/>
      <c r="H2767" s="3"/>
      <c r="I2767" s="3"/>
      <c r="J2767" s="5"/>
    </row>
    <row r="2768" spans="5:10" x14ac:dyDescent="0.25">
      <c r="E2768" s="3"/>
      <c r="F2768" s="3"/>
      <c r="G2768" s="3"/>
      <c r="H2768" s="3"/>
      <c r="I2768" s="3"/>
      <c r="J2768" s="5"/>
    </row>
    <row r="2769" spans="5:10" x14ac:dyDescent="0.25">
      <c r="E2769" s="3"/>
      <c r="F2769" s="3"/>
      <c r="G2769" s="3"/>
      <c r="H2769" s="3"/>
      <c r="I2769" s="3"/>
      <c r="J2769" s="5"/>
    </row>
    <row r="2770" spans="5:10" x14ac:dyDescent="0.25">
      <c r="E2770" s="3"/>
      <c r="F2770" s="3"/>
      <c r="G2770" s="3"/>
      <c r="H2770" s="3"/>
      <c r="I2770" s="3"/>
      <c r="J2770" s="5"/>
    </row>
    <row r="2771" spans="5:10" x14ac:dyDescent="0.25">
      <c r="E2771" s="3"/>
      <c r="F2771" s="3"/>
      <c r="G2771" s="3"/>
      <c r="H2771" s="3"/>
      <c r="I2771" s="3"/>
      <c r="J2771" s="5"/>
    </row>
    <row r="2772" spans="5:10" x14ac:dyDescent="0.25">
      <c r="E2772" s="3"/>
      <c r="F2772" s="3"/>
      <c r="G2772" s="3"/>
      <c r="H2772" s="3"/>
      <c r="I2772" s="3"/>
      <c r="J2772" s="5"/>
    </row>
    <row r="2773" spans="5:10" x14ac:dyDescent="0.25">
      <c r="E2773" s="3"/>
      <c r="F2773" s="3"/>
      <c r="G2773" s="3"/>
      <c r="H2773" s="3"/>
      <c r="I2773" s="3"/>
      <c r="J2773" s="5"/>
    </row>
    <row r="2774" spans="5:10" x14ac:dyDescent="0.25">
      <c r="E2774" s="3"/>
      <c r="F2774" s="3"/>
      <c r="G2774" s="3"/>
      <c r="H2774" s="3"/>
      <c r="I2774" s="3"/>
      <c r="J2774" s="5"/>
    </row>
    <row r="2775" spans="5:10" x14ac:dyDescent="0.25">
      <c r="E2775" s="3"/>
      <c r="F2775" s="3"/>
      <c r="G2775" s="3"/>
      <c r="H2775" s="3"/>
      <c r="I2775" s="3"/>
      <c r="J2775" s="5"/>
    </row>
    <row r="2776" spans="5:10" x14ac:dyDescent="0.25">
      <c r="E2776" s="3"/>
      <c r="F2776" s="3"/>
      <c r="G2776" s="3"/>
      <c r="H2776" s="3"/>
      <c r="I2776" s="3"/>
      <c r="J2776" s="5"/>
    </row>
    <row r="2777" spans="5:10" x14ac:dyDescent="0.25">
      <c r="E2777" s="3"/>
      <c r="F2777" s="3"/>
      <c r="G2777" s="3"/>
      <c r="H2777" s="3"/>
      <c r="I2777" s="3"/>
      <c r="J2777" s="5"/>
    </row>
    <row r="2778" spans="5:10" x14ac:dyDescent="0.25">
      <c r="E2778" s="3"/>
      <c r="F2778" s="3"/>
      <c r="G2778" s="3"/>
      <c r="H2778" s="3"/>
      <c r="I2778" s="3"/>
      <c r="J2778" s="5"/>
    </row>
    <row r="2779" spans="5:10" x14ac:dyDescent="0.25">
      <c r="E2779" s="3"/>
      <c r="F2779" s="3"/>
      <c r="G2779" s="3"/>
      <c r="H2779" s="3"/>
      <c r="I2779" s="3"/>
      <c r="J2779" s="5"/>
    </row>
    <row r="2780" spans="5:10" x14ac:dyDescent="0.25">
      <c r="E2780" s="3"/>
      <c r="F2780" s="3"/>
      <c r="G2780" s="3"/>
      <c r="H2780" s="3"/>
      <c r="I2780" s="3"/>
      <c r="J2780" s="5"/>
    </row>
  </sheetData>
  <pageMargins left="0.7" right="0.7" top="0.78740157499999996" bottom="0.78740157499999996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C17" sqref="C17"/>
    </sheetView>
  </sheetViews>
  <sheetFormatPr baseColWidth="10" defaultRowHeight="15" x14ac:dyDescent="0.25"/>
  <cols>
    <col min="3" max="3" width="17.42578125" bestFit="1" customWidth="1"/>
  </cols>
  <sheetData>
    <row r="1" spans="1:3" x14ac:dyDescent="0.25">
      <c r="A1" s="1" t="s">
        <v>6</v>
      </c>
      <c r="B1" s="1" t="s">
        <v>7</v>
      </c>
      <c r="C1" s="1" t="s">
        <v>8</v>
      </c>
    </row>
    <row r="2" spans="1:3" x14ac:dyDescent="0.25">
      <c r="A2" t="s">
        <v>9</v>
      </c>
      <c r="B2">
        <f>HEX2DEC(MID(A2,3,2))</f>
        <v>163</v>
      </c>
      <c r="C2" t="s">
        <v>1418</v>
      </c>
    </row>
    <row r="3" spans="1:3" x14ac:dyDescent="0.25">
      <c r="A3" t="s">
        <v>10</v>
      </c>
      <c r="B3">
        <f t="shared" ref="B3:B21" si="0">HEX2DEC(MID(A3,3,2))</f>
        <v>165</v>
      </c>
      <c r="C3" t="s">
        <v>1430</v>
      </c>
    </row>
    <row r="4" spans="1:3" x14ac:dyDescent="0.25">
      <c r="A4" t="s">
        <v>11</v>
      </c>
      <c r="B4">
        <f t="shared" si="0"/>
        <v>166</v>
      </c>
      <c r="C4" t="s">
        <v>1419</v>
      </c>
    </row>
    <row r="5" spans="1:3" x14ac:dyDescent="0.25">
      <c r="A5" t="s">
        <v>12</v>
      </c>
      <c r="B5">
        <f t="shared" si="0"/>
        <v>176</v>
      </c>
      <c r="C5" t="s">
        <v>1420</v>
      </c>
    </row>
    <row r="6" spans="1:3" x14ac:dyDescent="0.25">
      <c r="A6" t="s">
        <v>964</v>
      </c>
      <c r="B6">
        <f t="shared" si="0"/>
        <v>177</v>
      </c>
      <c r="C6" t="s">
        <v>1421</v>
      </c>
    </row>
    <row r="7" spans="1:3" x14ac:dyDescent="0.25">
      <c r="A7" t="s">
        <v>965</v>
      </c>
      <c r="B7">
        <f t="shared" si="0"/>
        <v>178</v>
      </c>
      <c r="C7" t="s">
        <v>1422</v>
      </c>
    </row>
    <row r="8" spans="1:3" x14ac:dyDescent="0.25">
      <c r="A8" t="s">
        <v>966</v>
      </c>
      <c r="B8">
        <f t="shared" si="0"/>
        <v>179</v>
      </c>
      <c r="C8" t="s">
        <v>1423</v>
      </c>
    </row>
    <row r="9" spans="1:3" x14ac:dyDescent="0.25">
      <c r="A9" t="s">
        <v>967</v>
      </c>
      <c r="B9">
        <f t="shared" si="0"/>
        <v>180</v>
      </c>
      <c r="C9" t="s">
        <v>1424</v>
      </c>
    </row>
    <row r="10" spans="1:3" x14ac:dyDescent="0.25">
      <c r="A10" t="s">
        <v>968</v>
      </c>
      <c r="B10">
        <f t="shared" si="0"/>
        <v>181</v>
      </c>
      <c r="C10" t="s">
        <v>1425</v>
      </c>
    </row>
    <row r="11" spans="1:3" x14ac:dyDescent="0.25">
      <c r="A11" t="s">
        <v>969</v>
      </c>
      <c r="B11">
        <f t="shared" si="0"/>
        <v>182</v>
      </c>
      <c r="C11" t="s">
        <v>1426</v>
      </c>
    </row>
    <row r="12" spans="1:3" x14ac:dyDescent="0.25">
      <c r="A12" t="s">
        <v>970</v>
      </c>
      <c r="B12">
        <f t="shared" si="0"/>
        <v>183</v>
      </c>
      <c r="C12" t="s">
        <v>1427</v>
      </c>
    </row>
    <row r="13" spans="1:3" x14ac:dyDescent="0.25">
      <c r="A13" t="s">
        <v>971</v>
      </c>
      <c r="B13">
        <f t="shared" si="0"/>
        <v>184</v>
      </c>
      <c r="C13" t="s">
        <v>1428</v>
      </c>
    </row>
    <row r="14" spans="1:3" x14ac:dyDescent="0.25">
      <c r="A14" t="s">
        <v>13</v>
      </c>
      <c r="B14">
        <f t="shared" si="0"/>
        <v>185</v>
      </c>
      <c r="C14" t="s">
        <v>1429</v>
      </c>
    </row>
    <row r="15" spans="1:3" x14ac:dyDescent="0.25">
      <c r="A15" t="s">
        <v>14</v>
      </c>
      <c r="B15">
        <f t="shared" si="0"/>
        <v>169</v>
      </c>
      <c r="C15" t="s">
        <v>1417</v>
      </c>
    </row>
    <row r="16" spans="1:3" x14ac:dyDescent="0.25">
      <c r="A16" t="s">
        <v>15</v>
      </c>
      <c r="B16">
        <f t="shared" si="0"/>
        <v>170</v>
      </c>
      <c r="C16" t="s">
        <v>1435</v>
      </c>
    </row>
    <row r="17" spans="1:3" x14ac:dyDescent="0.25">
      <c r="A17" t="s">
        <v>16</v>
      </c>
      <c r="B17">
        <f t="shared" si="0"/>
        <v>172</v>
      </c>
      <c r="C17" t="s">
        <v>1436</v>
      </c>
    </row>
    <row r="18" spans="1:3" x14ac:dyDescent="0.25">
      <c r="A18" t="s">
        <v>17</v>
      </c>
      <c r="B18">
        <f t="shared" si="0"/>
        <v>147</v>
      </c>
      <c r="C18" t="s">
        <v>1432</v>
      </c>
    </row>
    <row r="19" spans="1:3" x14ac:dyDescent="0.25">
      <c r="A19" t="s">
        <v>18</v>
      </c>
      <c r="B19">
        <f t="shared" si="0"/>
        <v>156</v>
      </c>
      <c r="C19" t="s">
        <v>1431</v>
      </c>
    </row>
    <row r="20" spans="1:3" x14ac:dyDescent="0.25">
      <c r="A20" t="s">
        <v>19</v>
      </c>
      <c r="B20">
        <f t="shared" si="0"/>
        <v>150</v>
      </c>
      <c r="C20" t="s">
        <v>1433</v>
      </c>
    </row>
    <row r="21" spans="1:3" x14ac:dyDescent="0.25">
      <c r="A21" t="s">
        <v>20</v>
      </c>
      <c r="B21">
        <f t="shared" si="0"/>
        <v>154</v>
      </c>
      <c r="C21" t="s">
        <v>1434</v>
      </c>
    </row>
    <row r="22" spans="1:3" x14ac:dyDescent="0.25">
      <c r="A22" s="2" t="s">
        <v>21</v>
      </c>
      <c r="B22" s="2" t="s">
        <v>21</v>
      </c>
      <c r="C22" s="2" t="s">
        <v>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Log</vt:lpstr>
      <vt:lpstr>Codes</vt:lpstr>
      <vt:lpstr>KdoCodeTab</vt:lpstr>
      <vt:lpstr>KdoWertTab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 Sonnenrein</dc:creator>
  <cp:lastModifiedBy>Fred Sonnenrein</cp:lastModifiedBy>
  <dcterms:created xsi:type="dcterms:W3CDTF">2015-12-05T18:00:47Z</dcterms:created>
  <dcterms:modified xsi:type="dcterms:W3CDTF">2016-11-08T08:57:14Z</dcterms:modified>
</cp:coreProperties>
</file>